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tables/table3.xml" ContentType="application/vnd.openxmlformats-officedocument.spreadsheetml.table+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C:\WorkSpace\_Stock\"/>
    </mc:Choice>
  </mc:AlternateContent>
  <xr:revisionPtr revIDLastSave="0" documentId="13_ncr:1_{B79F151C-3B31-48D9-A9A0-099219519688}" xr6:coauthVersionLast="43" xr6:coauthVersionMax="43" xr10:uidLastSave="{00000000-0000-0000-0000-000000000000}"/>
  <bookViews>
    <workbookView xWindow="-120" yWindow="-120" windowWidth="29040" windowHeight="15990" activeTab="2" xr2:uid="{CF2B30E1-39B2-4837-AEAE-671E5370CDE2}"/>
  </bookViews>
  <sheets>
    <sheet name="StockHistory" sheetId="6" r:id="rId1"/>
    <sheet name="Articles" sheetId="19" r:id="rId2"/>
    <sheet name="Main" sheetId="4" r:id="rId3"/>
    <sheet name="Articles_commandes" sheetId="5" state="hidden" r:id="rId4"/>
    <sheet name="Commands" sheetId="15" r:id="rId5"/>
    <sheet name="Product_Example_v1" sheetId="17" r:id="rId6"/>
    <sheet name="ProductTemplate" sheetId="14" r:id="rId7"/>
    <sheet name="ProductConfig" sheetId="9" r:id="rId8"/>
    <sheet name="OrderAdder" sheetId="11" r:id="rId9"/>
    <sheet name="OrderAdder_work" sheetId="13" r:id="rId10"/>
  </sheets>
  <definedNames>
    <definedName name="_xlnm._FilterDatabase" localSheetId="3" hidden="1">Articles_commandes!$A$1:$F$64</definedName>
    <definedName name="_xlnm._FilterDatabase" localSheetId="4" hidden="1">Commands!$A$1:$M$3</definedName>
    <definedName name="_xlnm._FilterDatabase" localSheetId="5" hidden="1">Product_Example_v1!$A$1:$E$3</definedName>
    <definedName name="_xlnm._FilterDatabase" localSheetId="6" hidden="1">ProductTemplate!$A$1:$E$2</definedName>
    <definedName name="RF_Transceiver">OrderAdder_work!#REF!</definedName>
    <definedName name="zzzzzzzzzzz" localSheetId="5">OrderAdder_work!#REF!</definedName>
    <definedName name="zzzzzzzzzzz" localSheetId="6">OrderAdder_work!#REF!</definedName>
    <definedName name="zzzzzzzzzzz">OrderAdder_work!#REF!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 i="15" l="1"/>
  <c r="K3" i="15" s="1"/>
  <c r="J2" i="15"/>
  <c r="K2" i="15" s="1"/>
  <c r="B3" i="17" l="1"/>
  <c r="E3" i="17"/>
  <c r="F3" i="17" s="1"/>
  <c r="G3" i="17"/>
  <c r="Z3" i="19"/>
  <c r="H3" i="19" a="1"/>
  <c r="H3" i="19" s="1"/>
  <c r="I3" i="19" a="1"/>
  <c r="I3" i="19" s="1"/>
  <c r="H3" i="17" l="1"/>
  <c r="H2" i="19" a="1"/>
  <c r="H2" i="19" s="1"/>
  <c r="I2" i="19" a="1"/>
  <c r="I2" i="19" s="1"/>
  <c r="M2" i="15" l="1"/>
  <c r="M3" i="15"/>
  <c r="L3" i="15" l="1"/>
  <c r="L2" i="15"/>
  <c r="E2" i="14"/>
  <c r="B2" i="14"/>
  <c r="B2" i="17"/>
  <c r="E2" i="17"/>
  <c r="Z2" i="19" l="1"/>
  <c r="K4" i="15" l="1"/>
  <c r="G2" i="17" l="1"/>
  <c r="H2" i="17" s="1"/>
  <c r="F2" i="17" l="1"/>
  <c r="F2" i="11"/>
  <c r="G2" i="14" l="1"/>
  <c r="F2" i="14"/>
  <c r="H2"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H2" authorId="0" shapeId="0" xr:uid="{C1EB4B36-3E96-4925-B96B-ADE76CFD2634}">
      <text>
        <r>
          <rPr>
            <b/>
            <sz val="9"/>
            <color indexed="81"/>
            <rFont val="Tahoma"/>
            <family val="2"/>
          </rPr>
          <t>Esseiva Nicolas:</t>
        </r>
        <r>
          <rPr>
            <sz val="9"/>
            <color indexed="81"/>
            <rFont val="Tahoma"/>
            <family val="2"/>
          </rPr>
          <t xml:space="preserve">
Do not edit</t>
        </r>
      </text>
    </comment>
    <comment ref="I2" authorId="0" shapeId="0" xr:uid="{50451E70-10CD-4261-BB98-9B5C91D12988}">
      <text>
        <r>
          <rPr>
            <b/>
            <sz val="9"/>
            <color indexed="81"/>
            <rFont val="Tahoma"/>
            <family val="2"/>
          </rPr>
          <t>Esseiva Nicolas:</t>
        </r>
        <r>
          <rPr>
            <sz val="9"/>
            <color indexed="81"/>
            <rFont val="Tahoma"/>
            <family val="2"/>
          </rPr>
          <t xml:space="preserve">
Do not edit</t>
        </r>
      </text>
    </comment>
    <comment ref="X2" authorId="0" shapeId="0" xr:uid="{8B0D57AC-50EC-4901-8CB5-883056CB280E}">
      <text>
        <r>
          <rPr>
            <b/>
            <sz val="9"/>
            <color indexed="81"/>
            <rFont val="Tahoma"/>
            <family val="2"/>
          </rPr>
          <t>Esseiva Nicolas:</t>
        </r>
        <r>
          <rPr>
            <sz val="9"/>
            <color indexed="81"/>
            <rFont val="Tahoma"/>
            <family val="2"/>
          </rPr>
          <t xml:space="preserve">
Article number for any other retailer that is not implemented</t>
        </r>
      </text>
    </comment>
    <comment ref="Z2" authorId="0" shapeId="0" xr:uid="{66DDC70A-1D09-4F5B-B01C-74361CB7069F}">
      <text>
        <r>
          <rPr>
            <b/>
            <sz val="9"/>
            <color indexed="81"/>
            <rFont val="Tahoma"/>
            <family val="2"/>
          </rPr>
          <t>Esseiva Nicolas:</t>
        </r>
        <r>
          <rPr>
            <sz val="9"/>
            <color indexed="81"/>
            <rFont val="Tahoma"/>
            <family val="2"/>
          </rPr>
          <t xml:space="preserve">
Do not edit
Indicate if this article will be ordered in the next order batch</t>
        </r>
      </text>
    </comment>
    <comment ref="A3" authorId="0" shapeId="0" xr:uid="{512CCF5C-C421-4A76-81AA-2C22E2554E62}">
      <text>
        <r>
          <rPr>
            <b/>
            <sz val="9"/>
            <color indexed="81"/>
            <rFont val="Tahoma"/>
            <family val="2"/>
          </rPr>
          <t>Esseiva Nicolas:</t>
        </r>
        <r>
          <rPr>
            <sz val="9"/>
            <color indexed="81"/>
            <rFont val="Tahoma"/>
            <family val="2"/>
          </rPr>
          <t xml:space="preserve">
Article number of the manufacturer</t>
        </r>
      </text>
    </comment>
    <comment ref="C3" authorId="0" shapeId="0" xr:uid="{4EA46B94-8076-4652-BF39-705A0FEE664C}">
      <text>
        <r>
          <rPr>
            <b/>
            <sz val="9"/>
            <color indexed="81"/>
            <rFont val="Tahoma"/>
            <family val="2"/>
          </rPr>
          <t>Esseiva Nicolas:</t>
        </r>
        <r>
          <rPr>
            <sz val="9"/>
            <color indexed="81"/>
            <rFont val="Tahoma"/>
            <family val="2"/>
          </rPr>
          <t xml:space="preserve">
Where it is located</t>
        </r>
      </text>
    </comment>
    <comment ref="E3" authorId="0" shapeId="0" xr:uid="{FC8AE644-534A-43DA-BB59-213E76457869}">
      <text>
        <r>
          <rPr>
            <b/>
            <sz val="9"/>
            <color indexed="81"/>
            <rFont val="Tahoma"/>
            <family val="2"/>
          </rPr>
          <t>Esseiva Nicolas:</t>
        </r>
        <r>
          <rPr>
            <sz val="9"/>
            <color indexed="81"/>
            <rFont val="Tahoma"/>
            <family val="2"/>
          </rPr>
          <t xml:space="preserve">
Current stock</t>
        </r>
      </text>
    </comment>
    <comment ref="F3" authorId="0" shapeId="0" xr:uid="{557882FF-0FC2-4F14-9020-FB2A6C64EC0F}">
      <text>
        <r>
          <rPr>
            <b/>
            <sz val="9"/>
            <color indexed="81"/>
            <rFont val="Tahoma"/>
            <family val="2"/>
          </rPr>
          <t>Esseiva Nicolas:</t>
        </r>
        <r>
          <rPr>
            <sz val="9"/>
            <color indexed="81"/>
            <rFont val="Tahoma"/>
            <family val="2"/>
          </rPr>
          <t xml:space="preserve">
Minimum stock to place order</t>
        </r>
      </text>
    </comment>
    <comment ref="G3" authorId="0" shapeId="0" xr:uid="{01006E95-3567-4511-84FC-B13BFF0DFD31}">
      <text>
        <r>
          <rPr>
            <b/>
            <sz val="9"/>
            <color indexed="81"/>
            <rFont val="Tahoma"/>
            <family val="2"/>
          </rPr>
          <t>Esseiva Nicolas:</t>
        </r>
        <r>
          <rPr>
            <sz val="9"/>
            <color indexed="81"/>
            <rFont val="Tahoma"/>
            <family val="2"/>
          </rPr>
          <t xml:space="preserve">
Indicate if this article is eligible for automatic orders
Set 1 for True
Anything else for false</t>
        </r>
      </text>
    </comment>
    <comment ref="J3" authorId="0" shapeId="0" xr:uid="{E5351B7C-934A-487A-A8C9-0A1DBF2129EB}">
      <text>
        <r>
          <rPr>
            <b/>
            <sz val="9"/>
            <color indexed="81"/>
            <rFont val="Tahoma"/>
            <family val="2"/>
          </rPr>
          <t>Esseiva Nicolas:</t>
        </r>
        <r>
          <rPr>
            <sz val="9"/>
            <color indexed="81"/>
            <rFont val="Tahoma"/>
            <family val="2"/>
          </rPr>
          <t xml:space="preserve">
Article number of the specified retailer, with the unit price to the right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B2" authorId="0" shapeId="0" xr:uid="{A4D00FB4-094E-4E2C-AFB2-0D1C0236F5E4}">
      <text>
        <r>
          <rPr>
            <b/>
            <sz val="9"/>
            <color indexed="81"/>
            <rFont val="Tahoma"/>
            <family val="2"/>
          </rPr>
          <t>Esseiva Nicolas:</t>
        </r>
        <r>
          <rPr>
            <sz val="9"/>
            <color indexed="81"/>
            <rFont val="Tahoma"/>
            <family val="2"/>
          </rPr>
          <t xml:space="preserve">
Add a new article to the lst</t>
        </r>
      </text>
    </comment>
    <comment ref="G2" authorId="0" shapeId="0" xr:uid="{F6521365-CD9A-4BC9-AA37-89D761FFFEE7}">
      <text>
        <r>
          <rPr>
            <b/>
            <sz val="9"/>
            <color indexed="81"/>
            <rFont val="Tahoma"/>
            <family val="2"/>
          </rPr>
          <t>Esseiva Nicolas:</t>
        </r>
        <r>
          <rPr>
            <sz val="9"/>
            <color indexed="81"/>
            <rFont val="Tahoma"/>
            <family val="2"/>
          </rPr>
          <t xml:space="preserve">
Just information for you to remember what places are what
You can delete it if you don't use</t>
        </r>
      </text>
    </comment>
    <comment ref="J2" authorId="0" shapeId="0" xr:uid="{9C974038-13D3-4118-8CB2-517C6A2E2E2F}">
      <text>
        <r>
          <rPr>
            <b/>
            <sz val="9"/>
            <color indexed="81"/>
            <rFont val="Tahoma"/>
            <family val="2"/>
          </rPr>
          <t>Esseiva Nicolas:</t>
        </r>
        <r>
          <rPr>
            <sz val="9"/>
            <color indexed="81"/>
            <rFont val="Tahoma"/>
            <family val="2"/>
          </rPr>
          <t xml:space="preserve">
Just information for you for specific components
You can delete it if you don't use</t>
        </r>
      </text>
    </comment>
    <comment ref="B5" authorId="0" shapeId="0" xr:uid="{4B34720A-6A8E-4C23-8315-1B64384441CF}">
      <text>
        <r>
          <rPr>
            <b/>
            <sz val="9"/>
            <color indexed="81"/>
            <rFont val="Tahoma"/>
            <family val="2"/>
          </rPr>
          <t>Esseiva Nicolas:</t>
        </r>
        <r>
          <rPr>
            <sz val="9"/>
            <color indexed="81"/>
            <rFont val="Tahoma"/>
            <family val="2"/>
          </rPr>
          <t xml:space="preserve">
Edit article information
Retailer, Retailer article number, Retailer unit price can not be modified through this, please do it manually</t>
        </r>
      </text>
    </comment>
    <comment ref="B8" authorId="0" shapeId="0" xr:uid="{106E14B5-AF10-4AFF-B6F0-AD4B5A2E21EE}">
      <text>
        <r>
          <rPr>
            <b/>
            <sz val="9"/>
            <color indexed="81"/>
            <rFont val="Tahoma"/>
            <family val="2"/>
          </rPr>
          <t>Esseiva Nicolas:</t>
        </r>
        <r>
          <rPr>
            <sz val="9"/>
            <color indexed="81"/>
            <rFont val="Tahoma"/>
            <family val="2"/>
          </rPr>
          <t xml:space="preserve">
Remove (or add) components for a specific project from the stock</t>
        </r>
      </text>
    </comment>
    <comment ref="B11" authorId="0" shapeId="0" xr:uid="{E05D0D1F-A6D8-49F3-A527-B007700A91E3}">
      <text>
        <r>
          <rPr>
            <b/>
            <sz val="9"/>
            <color indexed="81"/>
            <rFont val="Tahoma"/>
            <family val="2"/>
          </rPr>
          <t>Esseiva Nicolas:</t>
        </r>
        <r>
          <rPr>
            <sz val="9"/>
            <color indexed="81"/>
            <rFont val="Tahoma"/>
            <family val="2"/>
          </rPr>
          <t xml:space="preserve">
Generate order batch sheet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J1" authorId="0" shapeId="0" xr:uid="{2867883C-FF5F-45E1-8055-1687563C59B7}">
      <text>
        <r>
          <rPr>
            <b/>
            <sz val="9"/>
            <color indexed="81"/>
            <rFont val="Tahoma"/>
            <family val="2"/>
          </rPr>
          <t>Esseiva Nicolas:</t>
        </r>
        <r>
          <rPr>
            <sz val="9"/>
            <color indexed="81"/>
            <rFont val="Tahoma"/>
            <family val="2"/>
          </rPr>
          <t xml:space="preserve">
Quantity to be ordered
The formula can be overriden by constant number</t>
        </r>
      </text>
    </comment>
    <comment ref="L1" authorId="0" shapeId="0" xr:uid="{089674DE-5EFB-4E97-A569-86E9E4C77868}">
      <text>
        <r>
          <rPr>
            <b/>
            <sz val="9"/>
            <color indexed="81"/>
            <rFont val="Tahoma"/>
            <family val="2"/>
          </rPr>
          <t>Esseiva Nicolas:</t>
        </r>
        <r>
          <rPr>
            <sz val="9"/>
            <color indexed="81"/>
            <rFont val="Tahoma"/>
            <family val="2"/>
          </rPr>
          <t xml:space="preserve">
Bulk add, just copy those two columns (quantity and retailer product number) and paste to bulk add function from retailer</t>
        </r>
      </text>
    </comment>
    <comment ref="O2" authorId="0" shapeId="0" xr:uid="{26C600DB-A367-4C53-BB6D-2C24879F5BF7}">
      <text>
        <r>
          <rPr>
            <b/>
            <sz val="9"/>
            <color indexed="81"/>
            <rFont val="Tahoma"/>
            <family val="2"/>
          </rPr>
          <t>Esseiva Nicolas:</t>
        </r>
        <r>
          <rPr>
            <sz val="9"/>
            <color indexed="81"/>
            <rFont val="Tahoma"/>
            <family val="2"/>
          </rPr>
          <t xml:space="preserve">
Clear (almost) all data</t>
        </r>
      </text>
    </comment>
    <comment ref="K4" authorId="0" shapeId="0" xr:uid="{B17ACDF7-CB05-4713-9858-C24CF979B900}">
      <text>
        <r>
          <rPr>
            <b/>
            <sz val="9"/>
            <color indexed="81"/>
            <rFont val="Tahoma"/>
            <family val="2"/>
          </rPr>
          <t>Esseiva Nicolas:</t>
        </r>
        <r>
          <rPr>
            <sz val="9"/>
            <color indexed="81"/>
            <rFont val="Tahoma"/>
            <family val="2"/>
          </rPr>
          <t xml:space="preserve">
Total estimated cost</t>
        </r>
      </text>
    </comment>
    <comment ref="O5" authorId="0" shapeId="0" xr:uid="{571C1517-5AE2-4004-B8BA-AB4ADFF0A55D}">
      <text>
        <r>
          <rPr>
            <b/>
            <sz val="9"/>
            <color indexed="81"/>
            <rFont val="Tahoma"/>
            <family val="2"/>
          </rPr>
          <t>Esseiva Nicolas:</t>
        </r>
        <r>
          <rPr>
            <sz val="9"/>
            <color indexed="81"/>
            <rFont val="Tahoma"/>
            <family val="2"/>
          </rPr>
          <t xml:space="preserve">
Insert new line</t>
        </r>
      </text>
    </comment>
    <comment ref="O8" authorId="0" shapeId="0" xr:uid="{582FF92F-F9A5-4532-B11F-95A48804E609}">
      <text>
        <r>
          <rPr>
            <b/>
            <sz val="9"/>
            <color indexed="81"/>
            <rFont val="Tahoma"/>
            <family val="2"/>
          </rPr>
          <t>Esseiva Nicolas:</t>
        </r>
        <r>
          <rPr>
            <sz val="9"/>
            <color indexed="81"/>
            <rFont val="Tahoma"/>
            <family val="2"/>
          </rPr>
          <t xml:space="preserve">
Reset first 2 lines formulas' to default ones</t>
        </r>
      </text>
    </comment>
    <comment ref="O11" authorId="0" shapeId="0" xr:uid="{77B6E68E-3ED6-40E1-BEC3-4A9E385A073C}">
      <text>
        <r>
          <rPr>
            <b/>
            <sz val="9"/>
            <color indexed="81"/>
            <rFont val="Tahoma"/>
            <family val="2"/>
          </rPr>
          <t>Esseiva Nicolas:</t>
        </r>
        <r>
          <rPr>
            <sz val="9"/>
            <color indexed="81"/>
            <rFont val="Tahoma"/>
            <family val="2"/>
          </rPr>
          <t xml:space="preserve">
Show the process window</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E1" authorId="0" shapeId="0" xr:uid="{95F7AD73-198F-47A1-96E3-350C0A50208D}">
      <text>
        <r>
          <rPr>
            <b/>
            <sz val="9"/>
            <color indexed="81"/>
            <rFont val="Tahoma"/>
            <family val="2"/>
          </rPr>
          <t>Esseiva Nicolas:</t>
        </r>
        <r>
          <rPr>
            <sz val="9"/>
            <color indexed="81"/>
            <rFont val="Tahoma"/>
            <family val="2"/>
          </rPr>
          <t xml:space="preserve">
Do not edit
Indicate current stock for this article</t>
        </r>
      </text>
    </comment>
    <comment ref="F1" authorId="0" shapeId="0" xr:uid="{D7649469-DC8E-4023-AE00-30BB7B276A39}">
      <text>
        <r>
          <rPr>
            <b/>
            <sz val="9"/>
            <color indexed="81"/>
            <rFont val="Tahoma"/>
            <family val="2"/>
          </rPr>
          <t>Esseiva Nicolas:</t>
        </r>
        <r>
          <rPr>
            <sz val="9"/>
            <color indexed="81"/>
            <rFont val="Tahoma"/>
            <family val="2"/>
          </rPr>
          <t xml:space="preserve">
Indicate if enough in stock for this article</t>
        </r>
      </text>
    </comment>
    <comment ref="G1" authorId="0" shapeId="0" xr:uid="{EDA6BB62-C4CD-4B5E-B414-8AC39F80272D}">
      <text>
        <r>
          <rPr>
            <b/>
            <sz val="9"/>
            <color indexed="81"/>
            <rFont val="Tahoma"/>
            <family val="2"/>
          </rPr>
          <t>Esseiva Nicolas:</t>
        </r>
        <r>
          <rPr>
            <sz val="9"/>
            <color indexed="81"/>
            <rFont val="Tahoma"/>
            <family val="2"/>
          </rPr>
          <t xml:space="preserve">
Total quantity and total available used for the multiplier</t>
        </r>
      </text>
    </comment>
    <comment ref="K1" authorId="0" shapeId="0" xr:uid="{59197A20-A32D-4D7E-AB7F-42F47E796068}">
      <text>
        <r>
          <rPr>
            <b/>
            <sz val="9"/>
            <color indexed="81"/>
            <rFont val="Tahoma"/>
            <family val="2"/>
          </rPr>
          <t>Esseiva Nicolas:</t>
        </r>
        <r>
          <rPr>
            <sz val="9"/>
            <color indexed="81"/>
            <rFont val="Tahoma"/>
            <family val="2"/>
          </rPr>
          <t xml:space="preserve">
Multiplier, just for an information, using the product editor willl only remove one</t>
        </r>
      </text>
    </comment>
    <comment ref="A3" authorId="0" shapeId="0" xr:uid="{6A164967-299C-43CE-9B71-DB77B3241EE5}">
      <text>
        <r>
          <rPr>
            <b/>
            <sz val="9"/>
            <color indexed="81"/>
            <rFont val="Tahoma"/>
            <family val="2"/>
          </rPr>
          <t>Esseiva Nicolas:</t>
        </r>
        <r>
          <rPr>
            <sz val="9"/>
            <color indexed="81"/>
            <rFont val="Tahoma"/>
            <family val="2"/>
          </rPr>
          <t xml:space="preserve">
Enter manufacturer article number here</t>
        </r>
      </text>
    </comment>
    <comment ref="B3" authorId="0" shapeId="0" xr:uid="{97FE7ADC-812C-4083-891D-AE55C3E98BD4}">
      <text>
        <r>
          <rPr>
            <b/>
            <sz val="9"/>
            <color indexed="81"/>
            <rFont val="Tahoma"/>
            <family val="2"/>
          </rPr>
          <t>Esseiva Nicolas:</t>
        </r>
        <r>
          <rPr>
            <sz val="9"/>
            <color indexed="81"/>
            <rFont val="Tahoma"/>
            <family val="2"/>
          </rPr>
          <t xml:space="preserve">
Do not edit
The description is automatically retrieved from the article list</t>
        </r>
      </text>
    </comment>
    <comment ref="B16" authorId="0" shapeId="0" xr:uid="{3EB319C4-9A35-470C-878E-777BA7274422}">
      <text>
        <r>
          <rPr>
            <b/>
            <sz val="9"/>
            <color indexed="81"/>
            <rFont val="Tahoma"/>
            <family val="2"/>
          </rPr>
          <t>Esseiva Nicolas:</t>
        </r>
        <r>
          <rPr>
            <sz val="9"/>
            <color indexed="81"/>
            <rFont val="Tahoma"/>
            <family val="2"/>
          </rPr>
          <t xml:space="preserve">
Then open ProductConfig sheet to configure for the product editor feature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A1" authorId="0" shapeId="0" xr:uid="{FBAAF92B-C4C2-4DEA-8EC6-FAE6D1939292}">
      <text>
        <r>
          <rPr>
            <b/>
            <sz val="9"/>
            <color indexed="81"/>
            <rFont val="Tahoma"/>
            <family val="2"/>
          </rPr>
          <t>Esseiva Nicolas:</t>
        </r>
        <r>
          <rPr>
            <sz val="9"/>
            <color indexed="81"/>
            <rFont val="Tahoma"/>
            <family val="2"/>
          </rPr>
          <t xml:space="preserve">
Don't set anything important on this line, it will be overriden</t>
        </r>
      </text>
    </comment>
    <comment ref="A6" authorId="0" shapeId="0" xr:uid="{7F0C007C-D2C0-46F0-B7EC-8A782E82AD02}">
      <text>
        <r>
          <rPr>
            <b/>
            <sz val="9"/>
            <color indexed="81"/>
            <rFont val="Tahoma"/>
            <family val="2"/>
          </rPr>
          <t>Esseiva Nicolas:</t>
        </r>
        <r>
          <rPr>
            <sz val="9"/>
            <color indexed="81"/>
            <rFont val="Tahoma"/>
            <family val="2"/>
          </rPr>
          <t xml:space="preserve">
Currently not used
optional</t>
        </r>
      </text>
    </comment>
    <comment ref="C6" authorId="0" shapeId="0" xr:uid="{5530E3DC-D7C7-40FF-A442-18BF99000786}">
      <text>
        <r>
          <rPr>
            <b/>
            <sz val="9"/>
            <color indexed="81"/>
            <rFont val="Tahoma"/>
            <family val="2"/>
          </rPr>
          <t>Esseiva Nicolas:</t>
        </r>
        <r>
          <rPr>
            <sz val="9"/>
            <color indexed="81"/>
            <rFont val="Tahoma"/>
            <family val="2"/>
          </rPr>
          <t xml:space="preserve">
EXACT name of the corresponding sheet</t>
        </r>
      </text>
    </comment>
    <comment ref="B7" authorId="0" shapeId="0" xr:uid="{E589C4D5-41B3-488D-B8C5-0308ADB0330C}">
      <text>
        <r>
          <rPr>
            <b/>
            <sz val="9"/>
            <color indexed="81"/>
            <rFont val="Tahoma"/>
            <family val="2"/>
          </rPr>
          <t>Esseiva Nicolas:</t>
        </r>
        <r>
          <rPr>
            <sz val="9"/>
            <color indexed="81"/>
            <rFont val="Tahoma"/>
            <family val="2"/>
          </rPr>
          <t xml:space="preserve">
Displayed name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Esseiva Nicolas</author>
  </authors>
  <commentList>
    <comment ref="J4" authorId="0" shapeId="0" xr:uid="{52396493-4E29-4E9B-AE23-23D3EB2ABD3E}">
      <text>
        <r>
          <rPr>
            <b/>
            <sz val="9"/>
            <color indexed="81"/>
            <rFont val="Tahoma"/>
            <family val="2"/>
          </rPr>
          <t>Esseiva Nicolas:</t>
        </r>
        <r>
          <rPr>
            <sz val="9"/>
            <color indexed="81"/>
            <rFont val="Tahoma"/>
            <family val="2"/>
          </rPr>
          <t xml:space="preserve">
Use this to process
Read file : Select xslx file and click on Read
It it now outputed to the OrderAdder_work sheet
You can now close and come back to it later, it won't disappear
Upper right texbox indicate the text to be placed in the history info (can be edited later)
Display error will show errors messages if invalid entries
Clear page delete the OrderAdder_work sheet
Process will substract from stock
Undo process will add to stock</t>
        </r>
      </text>
    </comment>
    <comment ref="O4" authorId="0" shapeId="0" xr:uid="{C16853F3-BCE3-4153-9196-20486C11B01E}">
      <text>
        <r>
          <rPr>
            <b/>
            <sz val="9"/>
            <color indexed="81"/>
            <rFont val="Tahoma"/>
            <family val="2"/>
          </rPr>
          <t>Esseiva Nicolas:</t>
        </r>
        <r>
          <rPr>
            <sz val="9"/>
            <color indexed="81"/>
            <rFont val="Tahoma"/>
            <family val="2"/>
          </rPr>
          <t xml:space="preserve">
Example of configuration for Digikey Cart export (order) and below for a BOM list</t>
        </r>
      </text>
    </comment>
    <comment ref="A5" authorId="0" shapeId="0" xr:uid="{295DA5EC-9770-4C93-B520-BC8C313BAC42}">
      <text>
        <r>
          <rPr>
            <b/>
            <sz val="9"/>
            <color indexed="81"/>
            <rFont val="Tahoma"/>
            <family val="2"/>
          </rPr>
          <t>Esseiva Nicolas:</t>
        </r>
        <r>
          <rPr>
            <sz val="9"/>
            <color indexed="81"/>
            <rFont val="Tahoma"/>
            <family val="2"/>
          </rPr>
          <t xml:space="preserve">
Indicate the column index OR a constant string OR a empty cell (which will work as a empty constant string)</t>
        </r>
      </text>
    </comment>
    <comment ref="J9" authorId="0" shapeId="0" xr:uid="{AE44FF72-3476-47BC-A143-A75FB991F722}">
      <text>
        <r>
          <rPr>
            <b/>
            <sz val="9"/>
            <color indexed="81"/>
            <rFont val="Tahoma"/>
            <family val="2"/>
          </rPr>
          <t>Esseiva Nicolas:</t>
        </r>
        <r>
          <rPr>
            <sz val="9"/>
            <color indexed="81"/>
            <rFont val="Tahoma"/>
            <family val="2"/>
          </rPr>
          <t xml:space="preserve">
Batch add of articles from xslx (csv may bug sometimes) file
Can be retrieved from BOM or cart export</t>
        </r>
      </text>
    </comment>
  </commentList>
</comments>
</file>

<file path=xl/sharedStrings.xml><?xml version="1.0" encoding="utf-8"?>
<sst xmlns="http://schemas.openxmlformats.org/spreadsheetml/2006/main" count="430" uniqueCount="264">
  <si>
    <t>Man. Number</t>
  </si>
  <si>
    <t>Art. Number</t>
  </si>
  <si>
    <t>Description</t>
  </si>
  <si>
    <t>In stock</t>
  </si>
  <si>
    <t>Retailer</t>
  </si>
  <si>
    <t>Farnell</t>
  </si>
  <si>
    <t>Manufacturer</t>
  </si>
  <si>
    <t>3M</t>
  </si>
  <si>
    <t>Unit price</t>
  </si>
  <si>
    <t xml:space="preserve">SN74LV00AD </t>
  </si>
  <si>
    <t>Porte Logique NON-ET, 4 Portes, 2 entrées, 12 mA, 2V à 5.5V</t>
  </si>
  <si>
    <t>Condensateur électrolytique, 4.7 µF, 35 V, Série MCGPR, ± 20%, À sorties radiales, 5 mm</t>
  </si>
  <si>
    <t>MCGPR35V475M5X11</t>
  </si>
  <si>
    <t>Condensateur électrolytique, 10 µF, 35 V, Série MCGPR, ± 20%, À sorties radiales, 5 mm</t>
  </si>
  <si>
    <t>MCGPR35V106M5X11</t>
  </si>
  <si>
    <t>Fusible à cartouche, Action rapide, 630 mA, 250 V</t>
  </si>
  <si>
    <t>MC000886</t>
  </si>
  <si>
    <t>Amplificateur opérationnel, Simple, 1 amplificateur, 1 MHz, 0.6 V/µs, 1.8V à 6V</t>
  </si>
  <si>
    <t>MCP6001RT-I/OT</t>
  </si>
  <si>
    <t>LED haute luminosité, Little Star Series, Blanc froid, 120 °, 100 lm, 350 mA</t>
  </si>
  <si>
    <t>VLMW712U2U3XV-GS08</t>
  </si>
  <si>
    <t>Chargeur de batterie pour 1 cellule Li-Ion, batterie Li-Pol, entrée 6V, charge 4.2V/500mA</t>
  </si>
  <si>
    <t>MCP73832T-2ACI/OT</t>
  </si>
  <si>
    <t>Superviseur, Reset drain ouvert, actif à l'état bas, 1V-5.5Vin</t>
  </si>
  <si>
    <t>MCP121T-315E/TT</t>
  </si>
  <si>
    <t>Régulateur LDO, Fixe, Entrée 1.7 V à 5,5 V, Sortie 3.3 V/300 mA, Chute de 150 mV</t>
  </si>
  <si>
    <t xml:space="preserve"> ON SEMICONDUCTOR</t>
  </si>
  <si>
    <t>NCP114ASN330T1G</t>
  </si>
  <si>
    <t>Cavalier (barre bus), Shunt, Shunt, Embases au pas de 0.100", 2 Voies, 2.54 mm</t>
  </si>
  <si>
    <t>Porte fusible, Design ouvert, 500V, 10A, 5 x 20mm, traversant, noir</t>
  </si>
  <si>
    <t>Accessoire de fusible, Fusible cartouche, 5 x 20mm, OGN et OGN-SMD, Noir, Poignée</t>
  </si>
  <si>
    <t>0853.1201</t>
  </si>
  <si>
    <t>LED, Rouge, Traversant, 3mm, 20 mA, 1.8 V, 643 nm</t>
  </si>
  <si>
    <t>MULTICOMP</t>
  </si>
  <si>
    <t>703-0090</t>
  </si>
  <si>
    <t>Condensateur céramique multicouche CMS, 1206 [3216 Metric], 0.1 µF, 25 V, ± 10%, X7R</t>
  </si>
  <si>
    <t>VJ1206Y104KXXCW1BC</t>
  </si>
  <si>
    <t>Potentiomètres variables, 10 ohm, 15 Tour(s), Traversant</t>
  </si>
  <si>
    <t>3006P-1-100LF</t>
  </si>
  <si>
    <t>Connecteur carte-à-carte, 2.54 mm, 36 Contact(s), Embase</t>
  </si>
  <si>
    <t xml:space="preserve">929974-01-36-RK </t>
  </si>
  <si>
    <t>Transistor MOSFET, Canal P, -7.1 A, -12 V, 28.5 mohm, -4.5 V, -400 mV</t>
  </si>
  <si>
    <t>VISHAY</t>
  </si>
  <si>
    <t>SI2333CDS-T1-GE3</t>
  </si>
  <si>
    <t>Transistor MOSFET, Canal N, 2.2 A, 30 V, 65 mohm, 4.5 V, 700 mV</t>
  </si>
  <si>
    <t>ON SEMICONDUCTOR</t>
  </si>
  <si>
    <t>FDN337N</t>
  </si>
  <si>
    <t>Potentiomètres variables, 100 kohm, 23 Tour(s), Traversant</t>
  </si>
  <si>
    <t xml:space="preserve">VISHAY </t>
  </si>
  <si>
    <t>T93XA104KT20</t>
  </si>
  <si>
    <t>Résistance à puce CMS, Couche épaisse, 150 kohm</t>
  </si>
  <si>
    <t xml:space="preserve">MULTICOMP </t>
  </si>
  <si>
    <t>MCWR08X1503FTL</t>
  </si>
  <si>
    <t>Résistance à puce CMS, Céramique, 4.7 kohm</t>
  </si>
  <si>
    <t>MCMR08X4701FTL</t>
  </si>
  <si>
    <t>Résistance à puce CMS, Céramique, 22 ohm</t>
  </si>
  <si>
    <t>MCMR08X22R0FTL</t>
  </si>
  <si>
    <t>Résistance à puce CMS, Couche épaisse, 110 kohm</t>
  </si>
  <si>
    <t xml:space="preserve">PANASONIC ELECTRONIC COMPONENTS  </t>
  </si>
  <si>
    <t>ERJ6RED1103V</t>
  </si>
  <si>
    <t>Résistance à puce CMS, Couche épaisse, 1 Mohm</t>
  </si>
  <si>
    <t>MCHP05W4F1004T5E</t>
  </si>
  <si>
    <t>Résistance à puce CMS, 100 kohm</t>
  </si>
  <si>
    <t>MCWF08P1003FTL</t>
  </si>
  <si>
    <t>377-2428-ND</t>
  </si>
  <si>
    <t>-</t>
  </si>
  <si>
    <t>BOX PLASTIC GRY/CLR 4.9"LX4.92"W</t>
  </si>
  <si>
    <t>PB1175CT-ND</t>
  </si>
  <si>
    <t>RELAY TELECOM DPDT 5A 2.4V</t>
  </si>
  <si>
    <t>TE Connectivity Potter &amp; Brumfield Relays</t>
  </si>
  <si>
    <t>NSL-19M51-ND</t>
  </si>
  <si>
    <t>PHOTOCELL</t>
  </si>
  <si>
    <t>Luna Optoelectronics</t>
  </si>
  <si>
    <t>NSL-19M51</t>
  </si>
  <si>
    <t>668-1204-ND</t>
  </si>
  <si>
    <t>AUDIO PIEZO INDICATOR 2-5V TH</t>
  </si>
  <si>
    <t>PUI Audio, Inc.</t>
  </si>
  <si>
    <t>AI-3035-TWT-3V-R</t>
  </si>
  <si>
    <t>PIC16LF1827-I/P-ND</t>
  </si>
  <si>
    <t>IC MCU 8BIT 7KB FLASH 18DIP</t>
  </si>
  <si>
    <t>Microchip Technology</t>
  </si>
  <si>
    <t>PIC16LF1827-I/P</t>
  </si>
  <si>
    <t>Digikey</t>
  </si>
  <si>
    <t>Panneau solaire</t>
  </si>
  <si>
    <t>Batterie</t>
  </si>
  <si>
    <t>Communication RF</t>
  </si>
  <si>
    <t>DC Step-up</t>
  </si>
  <si>
    <t>Porte-batterie</t>
  </si>
  <si>
    <t>Banggood</t>
  </si>
  <si>
    <t>1822046</t>
  </si>
  <si>
    <t>827914-1</t>
  </si>
  <si>
    <t>TE CONNECTIVITY</t>
  </si>
  <si>
    <t>BOURNS</t>
  </si>
  <si>
    <t>SCHURTER</t>
  </si>
  <si>
    <t>MICROCHIP</t>
  </si>
  <si>
    <t>Bud Industries</t>
  </si>
  <si>
    <t>Cavalier (barre bus), Shunt, Shunt, Embases au pas de 0.100"</t>
  </si>
  <si>
    <t xml:space="preserve">1N4148TR </t>
  </si>
  <si>
    <t>Diode signaux faibles</t>
  </si>
  <si>
    <t>8540861</t>
  </si>
  <si>
    <t>MCP6004-I/ST</t>
  </si>
  <si>
    <t>MCP6002-I/MS</t>
  </si>
  <si>
    <t>Amplificateur opérationnel, Double</t>
  </si>
  <si>
    <t>8540853</t>
  </si>
  <si>
    <t>Amplificateur opérationnel, Quadruple</t>
  </si>
  <si>
    <t>MCP6004-I/P.</t>
  </si>
  <si>
    <t>1605571</t>
  </si>
  <si>
    <t>22-28-4360</t>
  </si>
  <si>
    <t>MOLEX</t>
  </si>
  <si>
    <t>1654535</t>
  </si>
  <si>
    <t>Connecteur carte-à-carte, Angle Droit, 2.54 mm, 40 Contact(s)</t>
  </si>
  <si>
    <t>2356192</t>
  </si>
  <si>
    <t>WURTH ELEKTRONIK</t>
  </si>
  <si>
    <t>2213S-40G</t>
  </si>
  <si>
    <t>2725179</t>
  </si>
  <si>
    <t>Connecteur carte-à-carte, Vertical, 2.54 mm, 36 Contact(s)</t>
  </si>
  <si>
    <t>Connecteur carte-à-carte, 2.54 mm, 40 Contact(s)</t>
  </si>
  <si>
    <t>0031.8201</t>
  </si>
  <si>
    <t>1-881545-1</t>
  </si>
  <si>
    <t>Supports CI, 20 Contact(s), Fiche femelle DIP, 2.54 mm</t>
  </si>
  <si>
    <t>SPC15501</t>
  </si>
  <si>
    <t>2678574</t>
  </si>
  <si>
    <t>Supports CI, 18 Contact(s), Fiche femelle DIP, 2.54 mm</t>
  </si>
  <si>
    <t>1-2199298-5</t>
  </si>
  <si>
    <t>2445623</t>
  </si>
  <si>
    <t>Réseau de transistors bipolaires, Darlington, NPN, 50 V, 350 mA</t>
  </si>
  <si>
    <t>ULN2004AN</t>
  </si>
  <si>
    <t>TEXAS INSTRUMENTS</t>
  </si>
  <si>
    <t>1103041</t>
  </si>
  <si>
    <t>ULN2003ADRG3</t>
  </si>
  <si>
    <t>2769437</t>
  </si>
  <si>
    <t>Réseau de transistors bipolaires, NPN, 50 V, 500 mA</t>
  </si>
  <si>
    <t>Supports CI, 16 Contact(s), Fiche femelle DIP, 2.54 mm</t>
  </si>
  <si>
    <t>4816-3004-CP</t>
  </si>
  <si>
    <t>2672298</t>
  </si>
  <si>
    <t>Porte Logique Inverseur, 1 entrée, 8 mA, 2V à 5.5V</t>
  </si>
  <si>
    <t>SN74AHC1G04QDCKRQ1</t>
  </si>
  <si>
    <t>2334901</t>
  </si>
  <si>
    <t>Quantity</t>
  </si>
  <si>
    <t>1462039-9</t>
  </si>
  <si>
    <t>732-4998-1-ND</t>
  </si>
  <si>
    <t>150141M173100</t>
  </si>
  <si>
    <t>LED RGB CLEAR 3528 SMD</t>
  </si>
  <si>
    <t>VEML6040A3OGCT-ND</t>
  </si>
  <si>
    <t>VEML6040A3OG</t>
  </si>
  <si>
    <t>RGBW COLOR SENSOR I2C INTERFACE</t>
  </si>
  <si>
    <t>PIC16LF1827-I/SS-ND</t>
  </si>
  <si>
    <t>PIC16LF1827-I/SS</t>
  </si>
  <si>
    <t>IC MCU 8BIT 7KB FLASH 20SSOP</t>
  </si>
  <si>
    <t>PIC16LF18346-E/SO-ND</t>
  </si>
  <si>
    <t>PIC16LF18346-E/SO</t>
  </si>
  <si>
    <t>IC MCU 8BIT 28KB FLASH 20SOIC</t>
  </si>
  <si>
    <t>PIC16F18346-I/P-ND</t>
  </si>
  <si>
    <t>PIC16F18346-I/P</t>
  </si>
  <si>
    <t>IC MCU 8BIT 28KB FLASH 20DIP</t>
  </si>
  <si>
    <t>609-4052-1-ND</t>
  </si>
  <si>
    <t>10104110-0001LF</t>
  </si>
  <si>
    <t>CONN RCPT STD MICRO USB TYPE B</t>
  </si>
  <si>
    <t>PTS-25310-C</t>
  </si>
  <si>
    <t>9843680</t>
  </si>
  <si>
    <t>Wurth Electronics Inc.</t>
  </si>
  <si>
    <t>Vishay Semiconductor Opto Division</t>
  </si>
  <si>
    <t>Amphenol FCI</t>
  </si>
  <si>
    <t>9451234</t>
  </si>
  <si>
    <t>1822174</t>
  </si>
  <si>
    <t>Available</t>
  </si>
  <si>
    <t>Multiplier</t>
  </si>
  <si>
    <t>Total quantity</t>
  </si>
  <si>
    <t>3006P-1-100LF-ND</t>
  </si>
  <si>
    <t>Bourns Inc.</t>
  </si>
  <si>
    <t>Date</t>
  </si>
  <si>
    <t>Creation</t>
  </si>
  <si>
    <t>INFO</t>
  </si>
  <si>
    <t>Stock Before</t>
  </si>
  <si>
    <t>Stock After</t>
  </si>
  <si>
    <t>Total available</t>
  </si>
  <si>
    <t>Modification</t>
  </si>
  <si>
    <t>MAN</t>
  </si>
  <si>
    <t>F10794-ND</t>
  </si>
  <si>
    <t>08743.15MXEP</t>
  </si>
  <si>
    <t>FUSE CERAMIC 3.15A 250VAC AXIAL</t>
  </si>
  <si>
    <t>XQDAWT-00-0000-00000BF50CT-ND</t>
  </si>
  <si>
    <t>XQDAWT-00-0000-00000BF50</t>
  </si>
  <si>
    <t>LED XLAMP COOL WHITE 6200K 0606</t>
  </si>
  <si>
    <t>XTEAWT-00-0000-000000KE1CT-ND</t>
  </si>
  <si>
    <t>XTEAWT-00-0000-000000KE1</t>
  </si>
  <si>
    <t>LED XLAMP XT-E 6500K WHITE SMD</t>
  </si>
  <si>
    <t>541-4131-1-ND</t>
  </si>
  <si>
    <t>CRCW08054K70FKEAC</t>
  </si>
  <si>
    <t>RES SMD 4.7K OHM 1% 1/8W 0805</t>
  </si>
  <si>
    <t>296-46314-1-ND</t>
  </si>
  <si>
    <t>LP38511MRX-ADJ/NOPB</t>
  </si>
  <si>
    <t>IC REG LIN POS ADJ 800MA 8SO</t>
  </si>
  <si>
    <t>1510-2262-1-ND</t>
  </si>
  <si>
    <t>SPHWHTL3DA0CF4QTW6</t>
  </si>
  <si>
    <t>LED WHITE CERAMIC LH351D</t>
  </si>
  <si>
    <t>SMD291-ND</t>
  </si>
  <si>
    <t>SMD291</t>
  </si>
  <si>
    <t>FLUX NO-CLEAN 10CC SYR SMD</t>
  </si>
  <si>
    <t>Index</t>
  </si>
  <si>
    <t>Name</t>
  </si>
  <si>
    <t>SheetName</t>
  </si>
  <si>
    <t>Unknown</t>
  </si>
  <si>
    <t>Starting row</t>
  </si>
  <si>
    <t>Art. number</t>
  </si>
  <si>
    <t>U1</t>
  </si>
  <si>
    <t>Dgikey xlsx</t>
  </si>
  <si>
    <t>Place</t>
  </si>
  <si>
    <t>Config :</t>
  </si>
  <si>
    <t>Qty</t>
  </si>
  <si>
    <t>Man. Art.  Number</t>
  </si>
  <si>
    <t>Ref</t>
  </si>
  <si>
    <t>Reference</t>
  </si>
  <si>
    <t>D002-XXXX</t>
  </si>
  <si>
    <t>D001-XXXX</t>
  </si>
  <si>
    <t>E-PCB-000</t>
  </si>
  <si>
    <t>E-PCB-001</t>
  </si>
  <si>
    <t>E-PCB-002</t>
  </si>
  <si>
    <t>D001-025</t>
  </si>
  <si>
    <t>D010-XXXX</t>
  </si>
  <si>
    <t>D020-XXXX</t>
  </si>
  <si>
    <t>D100-XXXX</t>
  </si>
  <si>
    <t>D101-XXXX</t>
  </si>
  <si>
    <t>Bulk Add : Quantity</t>
  </si>
  <si>
    <t>Min in stock</t>
  </si>
  <si>
    <t>Bulk Add : Product Number</t>
  </si>
  <si>
    <t>Dgikey Bom</t>
  </si>
  <si>
    <t>Digikey Art. Number</t>
  </si>
  <si>
    <t>Distrelec Art. Number</t>
  </si>
  <si>
    <t>Farnell Art. Number</t>
  </si>
  <si>
    <t>Mouser Art. Number</t>
  </si>
  <si>
    <t>Conrad Art. Number</t>
  </si>
  <si>
    <t>Article Number</t>
  </si>
  <si>
    <t>Aliexpress Art. Number</t>
  </si>
  <si>
    <t>Banggood Art. Number</t>
  </si>
  <si>
    <t>Unit price2</t>
  </si>
  <si>
    <t>Unit price3</t>
  </si>
  <si>
    <t>Unit price4</t>
  </si>
  <si>
    <t>Unit price5</t>
  </si>
  <si>
    <t>Unit price6</t>
  </si>
  <si>
    <t>Unit price7</t>
  </si>
  <si>
    <t>In next order</t>
  </si>
  <si>
    <t>Min Stock</t>
  </si>
  <si>
    <t>Total price</t>
  </si>
  <si>
    <t>Total</t>
  </si>
  <si>
    <t>Ret. Art. Number</t>
  </si>
  <si>
    <t>Ctrl + N</t>
  </si>
  <si>
    <t>Ctrl + K</t>
  </si>
  <si>
    <t>Ctrl + P</t>
  </si>
  <si>
    <t>Ctrl + O</t>
  </si>
  <si>
    <t>Default Art. Number</t>
  </si>
  <si>
    <t>Default Unit price</t>
  </si>
  <si>
    <t>Auto Order</t>
  </si>
  <si>
    <t>Unit price8</t>
  </si>
  <si>
    <t>Other Art. Number</t>
  </si>
  <si>
    <t>Article Number 1</t>
  </si>
  <si>
    <t>Stock</t>
  </si>
  <si>
    <t>Minimum stock</t>
  </si>
  <si>
    <t>Automatic order placement</t>
  </si>
  <si>
    <t>Article number</t>
  </si>
  <si>
    <t>Places</t>
  </si>
  <si>
    <t>Components</t>
  </si>
  <si>
    <t>Product example (v1)</t>
  </si>
  <si>
    <t>Product_Example_v1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</si>
</sst>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hh:mm:ss"/>
  </numFmts>
  <fonts count="6" x14ac:knownFonts="1">
    <font>
      <sz val="11"/>
      <color theme="1"/>
      <name val="Calibri"/>
      <family val="2"/>
      <scheme val="minor"/>
    </font>
    <font>
      <sz val="18"/>
      <color theme="1"/>
      <name val="Calibri"/>
      <family val="2"/>
      <scheme val="minor"/>
    </font>
    <font>
      <sz val="11"/>
      <color rgb="FF000000"/>
      <name val="Calibri"/>
      <family val="2"/>
    </font>
    <font>
      <b/>
      <sz val="11"/>
      <color theme="0"/>
      <name val="Calibri"/>
      <family val="2"/>
      <scheme val="minor"/>
    </font>
    <font>
      <sz val="9"/>
      <color indexed="81"/>
      <name val="Tahoma"/>
      <family val="2"/>
    </font>
    <font>
      <b/>
      <sz val="9"/>
      <color indexed="81"/>
      <name val="Tahoma"/>
      <family val="2"/>
    </font>
  </fonts>
  <fills count="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rgb="FF0070C0"/>
        <bgColor indexed="64"/>
      </patternFill>
    </fill>
    <fill>
      <patternFill patternType="solid">
        <fgColor theme="0" tint="-4.9989318521683403E-2"/>
        <bgColor indexed="64"/>
      </patternFill>
    </fill>
    <fill>
      <patternFill patternType="solid">
        <fgColor theme="4"/>
        <bgColor theme="4"/>
      </patternFill>
    </fill>
  </fills>
  <borders count="6">
    <border>
      <left/>
      <right/>
      <top/>
      <bottom/>
      <diagonal/>
    </border>
    <border>
      <left/>
      <right/>
      <top/>
      <bottom style="medium">
        <color indexed="64"/>
      </bottom>
      <diagonal/>
    </border>
    <border>
      <left/>
      <right/>
      <top/>
      <bottom style="medium">
        <color rgb="FF000000"/>
      </bottom>
      <diagonal/>
    </border>
    <border>
      <left style="thin">
        <color indexed="64"/>
      </left>
      <right style="thin">
        <color indexed="64"/>
      </right>
      <top style="thin">
        <color indexed="64"/>
      </top>
      <bottom style="thin">
        <color indexed="64"/>
      </bottom>
      <diagonal/>
    </border>
    <border>
      <left/>
      <right/>
      <top style="thin">
        <color theme="4" tint="0.39997558519241921"/>
      </top>
      <bottom/>
      <diagonal/>
    </border>
    <border>
      <left/>
      <right/>
      <top style="medium">
        <color indexed="64"/>
      </top>
      <bottom/>
      <diagonal/>
    </border>
  </borders>
  <cellStyleXfs count="1">
    <xf numFmtId="0" fontId="0" fillId="0" borderId="0"/>
  </cellStyleXfs>
  <cellXfs count="54">
    <xf numFmtId="0" fontId="0" fillId="0" borderId="0" xfId="0"/>
    <xf numFmtId="49" fontId="0" fillId="0" borderId="1" xfId="0" applyNumberFormat="1" applyBorder="1" applyAlignment="1">
      <alignment horizontal="left"/>
    </xf>
    <xf numFmtId="0" fontId="0" fillId="0" borderId="1" xfId="0" applyBorder="1" applyAlignment="1">
      <alignment horizontal="left"/>
    </xf>
    <xf numFmtId="49" fontId="0" fillId="0" borderId="0" xfId="0" applyNumberFormat="1" applyAlignment="1">
      <alignment horizontal="left"/>
    </xf>
    <xf numFmtId="0" fontId="0" fillId="0" borderId="0" xfId="0" applyAlignment="1">
      <alignment horizontal="left"/>
    </xf>
    <xf numFmtId="2" fontId="0" fillId="0" borderId="0" xfId="0" applyNumberFormat="1" applyAlignment="1">
      <alignment horizontal="left"/>
    </xf>
    <xf numFmtId="49" fontId="0" fillId="0" borderId="0" xfId="0" applyNumberFormat="1" applyAlignment="1">
      <alignment horizontal="left" wrapText="1"/>
    </xf>
    <xf numFmtId="0" fontId="0" fillId="0" borderId="2" xfId="0" applyBorder="1" applyAlignment="1">
      <alignment horizontal="left"/>
    </xf>
    <xf numFmtId="0" fontId="0" fillId="0" borderId="0" xfId="0" applyAlignment="1">
      <alignment horizontal="center"/>
    </xf>
    <xf numFmtId="0" fontId="0" fillId="0" borderId="0" xfId="0" applyAlignment="1">
      <alignment horizontal="right"/>
    </xf>
    <xf numFmtId="49" fontId="0" fillId="0" borderId="0" xfId="0" quotePrefix="1" applyNumberFormat="1" applyAlignment="1">
      <alignment horizontal="right"/>
    </xf>
    <xf numFmtId="2" fontId="0" fillId="0" borderId="0" xfId="0" applyNumberFormat="1" applyAlignment="1">
      <alignment horizontal="right"/>
    </xf>
    <xf numFmtId="49" fontId="0" fillId="0" borderId="0" xfId="0" quotePrefix="1" applyNumberFormat="1" applyAlignment="1">
      <alignment horizontal="left"/>
    </xf>
    <xf numFmtId="164" fontId="0" fillId="0" borderId="0" xfId="0" applyNumberFormat="1" applyAlignment="1">
      <alignment horizontal="right"/>
    </xf>
    <xf numFmtId="0" fontId="0" fillId="2" borderId="0" xfId="0" applyFill="1" applyAlignment="1">
      <alignment horizontal="center"/>
    </xf>
    <xf numFmtId="0" fontId="0" fillId="3" borderId="0" xfId="0" applyFill="1"/>
    <xf numFmtId="0" fontId="0" fillId="4" borderId="3" xfId="0" applyFill="1" applyBorder="1"/>
    <xf numFmtId="49" fontId="0" fillId="0" borderId="0" xfId="0" applyNumberFormat="1"/>
    <xf numFmtId="2" fontId="0" fillId="0" borderId="1" xfId="0" applyNumberFormat="1" applyBorder="1" applyAlignment="1">
      <alignment horizontal="left"/>
    </xf>
    <xf numFmtId="0" fontId="0" fillId="2" borderId="0" xfId="0" applyFill="1"/>
    <xf numFmtId="0" fontId="0" fillId="4" borderId="0" xfId="0" applyFill="1"/>
    <xf numFmtId="0" fontId="0" fillId="6" borderId="1" xfId="0" applyFill="1" applyBorder="1" applyAlignment="1">
      <alignment horizontal="left"/>
    </xf>
    <xf numFmtId="0" fontId="0" fillId="0" borderId="0" xfId="0" applyAlignment="1">
      <alignment horizontal="center"/>
    </xf>
    <xf numFmtId="0" fontId="0" fillId="0" borderId="0" xfId="0" applyFill="1" applyAlignment="1">
      <alignment horizontal="left"/>
    </xf>
    <xf numFmtId="0" fontId="0" fillId="0" borderId="0" xfId="0" applyFill="1"/>
    <xf numFmtId="0" fontId="0" fillId="7" borderId="0" xfId="0" applyFill="1" applyAlignment="1">
      <alignment horizontal="left"/>
    </xf>
    <xf numFmtId="0" fontId="0" fillId="7" borderId="0" xfId="0" applyFill="1"/>
    <xf numFmtId="2" fontId="3" fillId="8" borderId="1" xfId="0" applyNumberFormat="1" applyFont="1" applyFill="1" applyBorder="1" applyAlignment="1">
      <alignment horizontal="left"/>
    </xf>
    <xf numFmtId="0" fontId="0" fillId="7" borderId="0" xfId="0" applyNumberFormat="1" applyFill="1" applyAlignment="1">
      <alignment horizontal="left"/>
    </xf>
    <xf numFmtId="2" fontId="0" fillId="0" borderId="1" xfId="0" applyNumberFormat="1" applyFill="1" applyBorder="1" applyAlignment="1">
      <alignment horizontal="left"/>
    </xf>
    <xf numFmtId="0" fontId="0" fillId="2" borderId="0" xfId="0" applyFill="1" applyAlignment="1">
      <alignment horizontal="left"/>
    </xf>
    <xf numFmtId="0" fontId="0" fillId="2" borderId="0" xfId="0" applyNumberFormat="1" applyFill="1" applyAlignment="1">
      <alignment horizontal="left"/>
    </xf>
    <xf numFmtId="2" fontId="3" fillId="0" borderId="1" xfId="0" applyNumberFormat="1" applyFont="1" applyFill="1" applyBorder="1" applyAlignment="1">
      <alignment horizontal="left"/>
    </xf>
    <xf numFmtId="2" fontId="0" fillId="0" borderId="0" xfId="0" applyNumberFormat="1"/>
    <xf numFmtId="0" fontId="0" fillId="0" borderId="0" xfId="0" applyNumberFormat="1"/>
    <xf numFmtId="0" fontId="3" fillId="8" borderId="0" xfId="0" applyFont="1" applyFill="1" applyBorder="1" applyAlignment="1">
      <alignment horizontal="left"/>
    </xf>
    <xf numFmtId="0" fontId="3" fillId="8" borderId="0" xfId="0" applyNumberFormat="1" applyFont="1" applyFill="1" applyBorder="1" applyAlignment="1">
      <alignment horizontal="left"/>
    </xf>
    <xf numFmtId="2" fontId="3" fillId="8" borderId="0" xfId="0" applyNumberFormat="1" applyFont="1" applyFill="1" applyBorder="1" applyAlignment="1">
      <alignment horizontal="left"/>
    </xf>
    <xf numFmtId="49" fontId="3" fillId="8" borderId="0" xfId="0" applyNumberFormat="1" applyFont="1" applyFill="1" applyBorder="1" applyAlignment="1">
      <alignment horizontal="left"/>
    </xf>
    <xf numFmtId="49" fontId="0" fillId="0" borderId="5" xfId="0" applyNumberFormat="1" applyFont="1" applyFill="1" applyBorder="1" applyAlignment="1">
      <alignment horizontal="left"/>
    </xf>
    <xf numFmtId="0" fontId="0" fillId="0" borderId="5" xfId="0" applyFont="1" applyFill="1" applyBorder="1" applyAlignment="1">
      <alignment horizontal="left"/>
    </xf>
    <xf numFmtId="0" fontId="0" fillId="0" borderId="5" xfId="0" applyNumberFormat="1" applyFont="1" applyFill="1" applyBorder="1" applyAlignment="1">
      <alignment horizontal="left"/>
    </xf>
    <xf numFmtId="2" fontId="0" fillId="0" borderId="5" xfId="0" applyNumberFormat="1" applyFont="1" applyFill="1" applyBorder="1" applyAlignment="1">
      <alignment horizontal="left"/>
    </xf>
    <xf numFmtId="49" fontId="0" fillId="0" borderId="4" xfId="0" applyNumberFormat="1" applyFont="1" applyFill="1" applyBorder="1" applyAlignment="1">
      <alignment horizontal="left"/>
    </xf>
    <xf numFmtId="0" fontId="0" fillId="0" borderId="4" xfId="0" applyFont="1" applyFill="1" applyBorder="1" applyAlignment="1">
      <alignment horizontal="left"/>
    </xf>
    <xf numFmtId="0" fontId="0" fillId="0" borderId="4" xfId="0" applyNumberFormat="1" applyFont="1" applyFill="1" applyBorder="1" applyAlignment="1">
      <alignment horizontal="left"/>
    </xf>
    <xf numFmtId="2" fontId="0" fillId="0" borderId="4" xfId="0" applyNumberFormat="1" applyFont="1" applyFill="1" applyBorder="1" applyAlignment="1">
      <alignment horizontal="left"/>
    </xf>
    <xf numFmtId="0" fontId="0" fillId="0" borderId="0" xfId="0" applyAlignment="1"/>
    <xf numFmtId="0" fontId="0" fillId="0" borderId="0" xfId="0" applyNumberFormat="1" applyAlignment="1">
      <alignment horizontal="left"/>
    </xf>
    <xf numFmtId="0" fontId="1" fillId="0" borderId="0" xfId="0" applyFont="1" applyAlignment="1"/>
    <xf numFmtId="164" fontId="0" fillId="0" borderId="0" xfId="0" applyNumberFormat="1" applyAlignment="1">
      <alignment horizontal="center"/>
    </xf>
    <xf numFmtId="0" fontId="0" fillId="0" borderId="0" xfId="0" applyAlignment="1">
      <alignment horizontal="center" vertical="center"/>
    </xf>
    <xf numFmtId="0" fontId="0" fillId="5" borderId="0" xfId="0" applyFill="1" applyAlignment="1">
      <alignment horizontal="center"/>
    </xf>
    <xf numFmtId="0" fontId="0" fillId="0" borderId="0" xfId="0" applyAlignment="1">
      <alignment horizontal="center"/>
    </xf>
  </cellXfs>
  <cellStyles count="1">
    <cellStyle name="Normal" xfId="0" builtinId="0"/>
  </cellStyles>
  <dxfs count="107">
    <dxf>
      <fill>
        <patternFill>
          <bgColor rgb="FFFF0000"/>
        </patternFill>
      </fill>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left" vertical="bottom" textRotation="0" wrapText="0" indent="0" justifyLastLine="0" shrinkToFit="0" readingOrder="0"/>
    </dxf>
    <dxf>
      <border outline="0">
        <bottom style="medium">
          <color rgb="FF000000"/>
        </bottom>
      </border>
    </dxf>
    <dxf>
      <alignment horizontal="left" vertical="bottom" textRotation="0" wrapText="0" indent="0" justifyLastLine="0" shrinkToFit="0" readingOrder="0"/>
    </dxf>
    <dxf>
      <fill>
        <patternFill>
          <bgColor rgb="FFFF8F8F"/>
        </patternFill>
      </fill>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left" vertical="bottom" textRotation="0" wrapText="0" indent="0" justifyLastLine="0" shrinkToFit="0" readingOrder="0"/>
    </dxf>
    <dxf>
      <border outline="0">
        <bottom style="medium">
          <color rgb="FF000000"/>
        </bottom>
      </border>
    </dxf>
    <dxf>
      <alignment horizontal="left" vertical="bottom" textRotation="0" wrapText="0" indent="0" justifyLastLine="0" shrinkToFit="0" readingOrder="0"/>
    </dxf>
    <dxf>
      <fill>
        <patternFill>
          <bgColor rgb="FF00B050"/>
        </patternFill>
      </fill>
    </dxf>
    <dxf>
      <fill>
        <patternFill>
          <bgColor rgb="FFFF8F8F"/>
        </patternFill>
      </fill>
    </dxf>
    <dxf>
      <numFmt numFmtId="0" formatCode="General"/>
      <fill>
        <patternFill patternType="solid">
          <fgColor indexed="64"/>
          <bgColor theme="4" tint="0.79998168889431442"/>
        </patternFill>
      </fill>
      <alignment horizontal="left" vertical="bottom" textRotation="0" wrapText="0" indent="0" justifyLastLine="0" shrinkToFit="0" readingOrder="0"/>
    </dxf>
    <dxf>
      <numFmt numFmtId="0" formatCode="General"/>
      <fill>
        <patternFill patternType="solid">
          <fgColor indexed="64"/>
          <bgColor theme="4" tint="0.79998168889431442"/>
        </patternFill>
      </fill>
      <alignment horizontal="left" vertical="bottom" textRotation="0" wrapText="0" indent="0" justifyLastLine="0" shrinkToFit="0" readingOrder="0"/>
    </dxf>
    <dxf>
      <numFmt numFmtId="0" formatCode="General"/>
      <fill>
        <patternFill patternType="solid">
          <fgColor indexed="64"/>
          <bgColor theme="4" tint="0.79998168889431442"/>
        </patternFill>
      </fill>
      <alignment horizontal="left" vertical="bottom" textRotation="0" wrapText="0" indent="0" justifyLastLine="0" shrinkToFit="0" readingOrder="0"/>
    </dxf>
    <dxf>
      <numFmt numFmtId="0" formatCode="General"/>
      <fill>
        <patternFill patternType="solid">
          <fgColor indexed="64"/>
          <bgColor theme="4" tint="0.79998168889431442"/>
        </patternFill>
      </fill>
      <alignment horizontal="left" vertical="bottom" textRotation="0" wrapText="0" indent="0" justifyLastLine="0" shrinkToFit="0" readingOrder="0"/>
    </dxf>
    <dxf>
      <fill>
        <patternFill patternType="solid">
          <fgColor indexed="64"/>
          <bgColor theme="0" tint="-4.9989318521683403E-2"/>
        </patternFill>
      </fill>
      <alignment horizontal="left" vertical="bottom" textRotation="0" wrapText="0" indent="0" justifyLastLine="0" shrinkToFit="0" readingOrder="0"/>
    </dxf>
    <dxf>
      <numFmt numFmtId="0" formatCode="General"/>
      <fill>
        <patternFill>
          <bgColor theme="0" tint="-4.9989318521683403E-2"/>
        </patternFill>
      </fill>
      <alignment horizontal="left" vertical="bottom" textRotation="0" wrapText="0" indent="0" justifyLastLine="0" shrinkToFit="0" readingOrder="0"/>
    </dxf>
    <dxf>
      <numFmt numFmtId="0" formatCode="General"/>
      <fill>
        <patternFill patternType="solid">
          <fgColor indexed="64"/>
          <bgColor theme="0" tint="-4.9989318521683403E-2"/>
        </patternFill>
      </fill>
      <alignment horizontal="left" vertical="bottom" textRotation="0" wrapText="0" indent="0" justifyLastLine="0" shrinkToFit="0" readingOrder="0"/>
    </dxf>
    <dxf>
      <numFmt numFmtId="0" formatCode="General"/>
      <fill>
        <patternFill>
          <bgColor theme="0" tint="-4.9989318521683403E-2"/>
        </patternFill>
      </fill>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border outline="0">
        <top style="thin">
          <color theme="4" tint="0.39997558519241921"/>
        </top>
      </border>
    </dxf>
    <dxf>
      <alignment horizontal="left" vertical="bottom"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theme="0"/>
        <name val="Calibri"/>
        <family val="2"/>
        <scheme val="minor"/>
      </font>
      <numFmt numFmtId="2" formatCode="0.00"/>
      <fill>
        <patternFill patternType="solid">
          <fgColor theme="4"/>
          <bgColor theme="4"/>
        </patternFill>
      </fill>
      <alignment horizontal="left" vertical="bottom" textRotation="0" wrapText="0" indent="0" justifyLastLine="0" shrinkToFit="0" readingOrder="0"/>
    </dxf>
    <dxf>
      <numFmt numFmtId="2" formatCode="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30" formatCode="@"/>
      <alignment horizontal="left" vertical="bottom" textRotation="0" wrapText="0" indent="0" justifyLastLine="0" shrinkToFit="0" readingOrder="0"/>
    </dxf>
    <dxf>
      <alignment horizontal="left" vertical="bottom" textRotation="0" wrapText="0" indent="0" justifyLastLine="0" shrinkToFit="0" readingOrder="0"/>
    </dxf>
    <dxf>
      <border outline="0">
        <bottom style="medium">
          <color rgb="FF000000"/>
        </bottom>
      </border>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30" formatCode="@"/>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right/>
        <top style="thin">
          <color theme="4" tint="0.39997558519241921"/>
        </top>
        <bottom/>
      </border>
    </dxf>
    <dxf>
      <numFmt numFmtId="30" formatCode="@"/>
      <fill>
        <patternFill patternType="none">
          <fgColor indexed="64"/>
          <bgColor auto="1"/>
        </patternFill>
      </fill>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left" vertical="bottom" textRotation="0" wrapText="0" indent="0" justifyLastLine="0" shrinkToFit="0" readingOrder="0"/>
    </dxf>
    <dxf>
      <font>
        <b/>
        <i val="0"/>
        <strike val="0"/>
        <condense val="0"/>
        <extend val="0"/>
        <outline val="0"/>
        <shadow val="0"/>
        <u val="none"/>
        <vertAlign val="baseline"/>
        <sz val="11"/>
        <color theme="0"/>
        <name val="Calibri"/>
        <family val="2"/>
        <scheme val="minor"/>
      </font>
      <numFmt numFmtId="2" formatCode="0.00"/>
      <fill>
        <patternFill patternType="solid">
          <fgColor theme="4"/>
          <bgColor theme="4"/>
        </patternFill>
      </fill>
      <alignment horizontal="left" vertical="bottom" textRotation="0" wrapText="0" indent="0" justifyLastLine="0" shrinkToFit="0" readingOrder="0"/>
    </dxf>
    <dxf>
      <fill>
        <patternFill>
          <bgColor rgb="FF00B050"/>
        </patternFill>
      </fill>
    </dxf>
    <dxf>
      <fill>
        <patternFill>
          <bgColor rgb="FFFFC000"/>
        </patternFill>
      </fill>
    </dxf>
    <dxf>
      <fill>
        <patternFill>
          <bgColor rgb="FFFFC000"/>
        </patternFill>
      </fill>
    </dxf>
    <dxf>
      <fill>
        <patternFill>
          <bgColor rgb="FFFFC000"/>
        </patternFill>
      </fill>
    </dxf>
    <dxf>
      <numFmt numFmtId="30" formatCode="@"/>
      <alignment horizontal="left" vertical="bottom" textRotation="0" wrapText="0" indent="0" justifyLastLine="0" shrinkToFit="0" readingOrder="0"/>
    </dxf>
    <dxf>
      <numFmt numFmtId="30" formatCode="@"/>
      <alignment horizontal="right" vertical="bottom" textRotation="0" wrapText="0" indent="0" justifyLastLine="0" shrinkToFit="0" readingOrder="0"/>
    </dxf>
    <dxf>
      <numFmt numFmtId="30" formatCode="@"/>
      <alignment horizontal="right" vertical="bottom" textRotation="0" wrapText="0" indent="0" justifyLastLine="0" shrinkToFit="0" readingOrder="0"/>
    </dxf>
    <dxf>
      <numFmt numFmtId="30" formatCode="@"/>
      <alignment horizontal="righ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dd/mm/yyyy\ hh:mm:ss"/>
      <alignment horizontal="center" vertical="bottom" textRotation="0" wrapText="0" indent="0" justifyLastLine="0" shrinkToFit="0" readingOrder="0"/>
    </dxf>
    <dxf>
      <alignment horizontal="left" vertical="bottom"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EAB4BC6-5566-447F-ADAA-203397440666}">
      <tableStyleElement type="wholeTable" dxfId="106"/>
      <tableStyleElement type="headerRow" dxfId="105"/>
    </tableStyle>
  </tableStyles>
  <colors>
    <mruColors>
      <color rgb="FFF1450F"/>
      <color rgb="FFFF9966"/>
      <color rgb="FFFF8F8F"/>
      <color rgb="FFFF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4</xdr:col>
          <xdr:colOff>0</xdr:colOff>
          <xdr:row>3</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Add articles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0</xdr:rowOff>
        </xdr:from>
        <xdr:to>
          <xdr:col>4</xdr:col>
          <xdr:colOff>0</xdr:colOff>
          <xdr:row>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Edit articles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7</xdr:row>
          <xdr:rowOff>0</xdr:rowOff>
        </xdr:from>
        <xdr:to>
          <xdr:col>4</xdr:col>
          <xdr:colOff>0</xdr:colOff>
          <xdr:row>9</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Edit products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4</xdr:col>
          <xdr:colOff>0</xdr:colOff>
          <xdr:row>12</xdr:row>
          <xdr:rowOff>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2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Make order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333375</xdr:colOff>
          <xdr:row>1</xdr:row>
          <xdr:rowOff>0</xdr:rowOff>
        </xdr:from>
        <xdr:to>
          <xdr:col>14</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333375</xdr:colOff>
          <xdr:row>4</xdr:row>
          <xdr:rowOff>0</xdr:rowOff>
        </xdr:from>
        <xdr:to>
          <xdr:col>14</xdr:col>
          <xdr:colOff>0</xdr:colOff>
          <xdr:row>6</xdr:row>
          <xdr:rowOff>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Insert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333375</xdr:colOff>
          <xdr:row>7</xdr:row>
          <xdr:rowOff>0</xdr:rowOff>
        </xdr:from>
        <xdr:to>
          <xdr:col>14</xdr:col>
          <xdr:colOff>0</xdr:colOff>
          <xdr:row>9</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Reset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333375</xdr:colOff>
          <xdr:row>10</xdr:row>
          <xdr:rowOff>0</xdr:rowOff>
        </xdr:from>
        <xdr:to>
          <xdr:col>14</xdr:col>
          <xdr:colOff>0</xdr:colOff>
          <xdr:row>12</xdr:row>
          <xdr:rowOff>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400-00001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Process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13</xdr:col>
          <xdr:colOff>0</xdr:colOff>
          <xdr:row>4</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8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rPr>
                <a:t>Open menu</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F600476-F82A-4D32-B44D-14BFB3EE84A5}" name="Table4" displayName="Table4" ref="A1:F2" totalsRowShown="0" headerRowDxfId="104">
  <autoFilter ref="A1:F2" xr:uid="{BDAE12D6-129D-4B55-B01B-D1493E590308}"/>
  <tableColumns count="6">
    <tableColumn id="1" xr3:uid="{F20AB9A4-F1CA-4493-AFCA-1ECFD6C72926}" name="Date" dataDxfId="103"/>
    <tableColumn id="2" xr3:uid="{9E5C5770-C960-45BB-8115-75DB62A3B16C}" name="Article Number" dataDxfId="102"/>
    <tableColumn id="5" xr3:uid="{16BFD56B-B56A-4848-9201-68C2F28CFA64}" name="Modification" dataDxfId="101"/>
    <tableColumn id="3" xr3:uid="{10BA92E7-A8AC-46B9-9939-48EDBF630513}" name="Stock Before" dataDxfId="100"/>
    <tableColumn id="4" xr3:uid="{89A58CF5-EDCB-4EF1-963E-E9EB1A0CCFEF}" name="Stock After" dataDxfId="99"/>
    <tableColumn id="6" xr3:uid="{FF179CF1-10A5-4445-94E5-D3770F8EB2DA}" name="INFO" dataDxfId="9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297E45-E9C7-4516-9302-D8263184412D}" name="Table1" displayName="Table1" ref="A1:Z3" totalsRowShown="0" headerRowDxfId="93" dataDxfId="92" tableBorderDxfId="91">
  <autoFilter ref="A1:Z3" xr:uid="{3C65767D-796D-455D-8592-2DCFC786B11E}"/>
  <sortState ref="A2:Z3">
    <sortCondition ref="A1:A3"/>
  </sortState>
  <tableColumns count="26">
    <tableColumn id="1" xr3:uid="{435165AF-465B-418C-8DDE-9CFA2D278BBE}" name="Article Number" dataDxfId="90"/>
    <tableColumn id="2" xr3:uid="{FBC6B9C9-57F8-45DA-AF22-C249E2B185F4}" name="Manufacturer" dataDxfId="89"/>
    <tableColumn id="3" xr3:uid="{288AF9C9-A6A1-4913-A84A-1B41F0951CD7}" name="Place" dataDxfId="88"/>
    <tableColumn id="4" xr3:uid="{991CB349-C1A2-4024-AD86-41FE070F01AA}" name="Description" dataDxfId="87"/>
    <tableColumn id="5" xr3:uid="{AF531B20-C2C7-43E4-88F6-C002EAFA6EF0}" name="In stock" dataDxfId="86"/>
    <tableColumn id="6" xr3:uid="{4AE22FEC-1D74-4166-880B-DE3C3B0F48C3}" name="Min in stock" dataDxfId="85">
      <calculatedColumnFormula>10</calculatedColumnFormula>
    </tableColumn>
    <tableColumn id="7" xr3:uid="{DDF25EC9-10A6-4A51-A3FF-5F173DC0429C}" name="Auto Order" dataDxfId="84">
      <calculatedColumnFormula>1</calculatedColumnFormula>
    </tableColumn>
    <tableColumn id="8" xr3:uid="{8FB77B6F-1796-445F-A628-6683E80A406B}" name="Default Art. Number" dataDxfId="83">
      <calculatedColumnFormula array="1">IF(ISERROR(INDEX(Articles!$J2:$W2, MATCH(FALSE, ISBLANK(Articles!$J2:$W2),0))),"N/A",INDEX(Articles!$J2:$W2, MATCH(FALSE, ISBLANK(Articles!$J2:$W2),0)))</calculatedColumnFormula>
    </tableColumn>
    <tableColumn id="9" xr3:uid="{FFD8B420-52D8-4860-B12E-57F5E09452F3}" name="Default Unit price" dataDxfId="82">
      <calculatedColumnFormula array="1">IF(ISERROR(OFFSET(INDEX(Articles!$J2:$Y2, MATCH(FALSE, ISBLANK(Articles!$J2:$Y2),0)),0,1)),"N/A",OFFSET(INDEX(Articles!$J2:$Y2, MATCH(FALSE, ISBLANK(Articles!$J2:$Y2),0)),0,1))</calculatedColumnFormula>
    </tableColumn>
    <tableColumn id="10" xr3:uid="{7E60C342-9987-408E-8654-849687FC9CF5}" name="Digikey Art. Number" dataDxfId="81"/>
    <tableColumn id="11" xr3:uid="{904ACEAE-3EBB-4B5A-B40F-F27BEC67197D}" name="Unit price" dataDxfId="80"/>
    <tableColumn id="12" xr3:uid="{1C8E6FC8-F976-4331-BE85-AE9F5CCE5385}" name="Farnell Art. Number" dataDxfId="79"/>
    <tableColumn id="13" xr3:uid="{9CEB0B0D-E776-4EE1-BA17-F20F36573DF1}" name="Unit price2" dataDxfId="78"/>
    <tableColumn id="14" xr3:uid="{4835AE8C-6AA4-4E3D-AA3C-47D081785B10}" name="Distrelec Art. Number" dataDxfId="77"/>
    <tableColumn id="15" xr3:uid="{CFC19F72-EB6A-4DA4-8140-6E03AC8C87E2}" name="Unit price3" dataDxfId="76"/>
    <tableColumn id="16" xr3:uid="{440F2FEC-A527-4DB9-8F02-E02C455DD168}" name="Conrad Art. Number" dataDxfId="75"/>
    <tableColumn id="17" xr3:uid="{C15F9ED7-FCDD-4ED8-8193-766AD4AACE12}" name="Unit price4" dataDxfId="74"/>
    <tableColumn id="18" xr3:uid="{E8BE4F49-80E3-4D58-8712-2588048DD5B2}" name="Mouser Art. Number" dataDxfId="73"/>
    <tableColumn id="19" xr3:uid="{71B82CF1-AA7C-485A-B22F-DFCA002E3E0B}" name="Unit price5" dataDxfId="72"/>
    <tableColumn id="20" xr3:uid="{B372D927-D0BD-4305-A32A-0C014ACEEBAB}" name="Aliexpress Art. Number" dataDxfId="71"/>
    <tableColumn id="21" xr3:uid="{56A9B167-940C-4D6B-8B5D-F91623F90BD6}" name="Unit price6" dataDxfId="70"/>
    <tableColumn id="22" xr3:uid="{2E67C835-F42C-4886-A3E6-A86A66CF03DE}" name="Banggood Art. Number" dataDxfId="69"/>
    <tableColumn id="23" xr3:uid="{96EE1B48-7059-4798-A1ED-B830DB9D7D70}" name="Unit price7" dataDxfId="68"/>
    <tableColumn id="24" xr3:uid="{DFC2A0A6-4951-479C-8775-526D9FDB26B4}" name="Other Art. Number" dataDxfId="67"/>
    <tableColumn id="25" xr3:uid="{09619815-DA2C-43CD-A998-2BAAC30ACE14}" name="Unit price8" dataDxfId="66"/>
    <tableColumn id="26" xr3:uid="{CBAAFE5B-29D9-4E86-8241-3FA6E46052BB}" name="In next order" dataDxfId="65">
      <calculatedColumnFormula>IF(Articles!$G2=1,IF(Articles!$E2&lt;Articles!$F2,1,""),"")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7EC509A-A40F-4A82-947D-97925FC66979}" name="Table13" displayName="Table13" ref="A1:F64" totalsRowShown="0" headerRowDxfId="64" dataDxfId="62" headerRowBorderDxfId="63">
  <autoFilter ref="A1:F64" xr:uid="{06E2CB8E-61AB-472E-BCF2-E6E1E6F7BC5B}"/>
  <sortState ref="A2:F64">
    <sortCondition ref="B1:B64"/>
  </sortState>
  <tableColumns count="6">
    <tableColumn id="1" xr3:uid="{8B723864-414F-452D-9283-19CAA018B66B}" name="Art. Number" dataDxfId="61"/>
    <tableColumn id="2" xr3:uid="{868F71A1-EA8D-4FE4-9E10-4FA4EE5293B1}" name="Man. Number" dataDxfId="60"/>
    <tableColumn id="3" xr3:uid="{2BE62D1D-359E-4098-A703-65FA8EB2A2EB}" name="Manufacturer" dataDxfId="59"/>
    <tableColumn id="4" xr3:uid="{AEC8A4D9-9242-49C2-8841-3FA0C13E4BF7}" name="Retailer" dataDxfId="58"/>
    <tableColumn id="5" xr3:uid="{727086BC-BBF9-470F-8005-62D7E303CEAD}" name="Description" dataDxfId="57"/>
    <tableColumn id="7" xr3:uid="{38960764-2FF5-4AE8-BD63-75EC1C594716}" name="Unit price" dataDxfId="5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2649B3B-3E5F-4D5F-A20D-27741775A0FA}" name="Table8" displayName="Table8" ref="A1:M4" totalsRowCount="1" headerRowDxfId="55" dataDxfId="53" headerRowBorderDxfId="54" tableBorderDxfId="52">
  <autoFilter ref="A1:M3" xr:uid="{46700432-4BF0-4DCB-9154-EC411D24C381}"/>
  <sortState ref="A2:M3">
    <sortCondition ref="A1:A3"/>
  </sortState>
  <tableColumns count="13">
    <tableColumn id="2" xr3:uid="{09884C69-0E00-49B1-878D-118ACDF0CE5A}" name="Art. Number" totalsRowLabel="Total" dataDxfId="51" totalsRowDxfId="50"/>
    <tableColumn id="1" xr3:uid="{B10D53AF-03D1-4287-B98C-B2EBD99019D4}" name="Ret. Art. Number" dataDxfId="49" totalsRowDxfId="48"/>
    <tableColumn id="3" xr3:uid="{4C487402-2AAB-4AF3-BE67-7394C36C842C}" name="Manufacturer" dataDxfId="47" totalsRowDxfId="46"/>
    <tableColumn id="4" xr3:uid="{8EC0DC8E-76AD-4B9F-83B7-1A0DD14BB27F}" name="Retailer" dataDxfId="45" totalsRowDxfId="44"/>
    <tableColumn id="5" xr3:uid="{F034F88F-58E3-461F-AA98-A329A317450C}" name="Place" dataDxfId="43" totalsRowDxfId="42"/>
    <tableColumn id="6" xr3:uid="{270626A5-5AC9-4B4B-BFA1-CB61FB278FF7}" name="Description" dataDxfId="41" totalsRowDxfId="40"/>
    <tableColumn id="7" xr3:uid="{6AED47F2-55E6-446F-831B-A118A7B0B1ED}" name="In stock" dataDxfId="39" totalsRowDxfId="38"/>
    <tableColumn id="8" xr3:uid="{AC92F839-E54E-493C-ABE5-5E0757E61859}" name="Min Stock" dataDxfId="37" totalsRowDxfId="36"/>
    <tableColumn id="11" xr3:uid="{FA19872E-A366-497E-9D69-828A97ECF042}" name="Unit price" dataDxfId="35" totalsRowDxfId="34"/>
    <tableColumn id="13" xr3:uid="{EA825846-8448-46C3-B6A4-847B2F364E4E}" name="Quantity" dataDxfId="33" totalsRowDxfId="32">
      <calculatedColumnFormula>ROUNDUP(Table8[[#This Row],[Min Stock]]-Table8[[#This Row],[In stock]],0)</calculatedColumnFormula>
    </tableColumn>
    <tableColumn id="12" xr3:uid="{6C84EE35-1734-410D-8E78-A4C0532259BC}" name="Total price" totalsRowFunction="sum" dataDxfId="31" totalsRowDxfId="30">
      <calculatedColumnFormula>Table8[[#This Row],[Quantity]]*Table8[[#This Row],[Unit price]]</calculatedColumnFormula>
    </tableColumn>
    <tableColumn id="9" xr3:uid="{CF148814-A309-4554-8503-283AD3C9BC12}" name="Bulk Add : Quantity" dataDxfId="29" totalsRowDxfId="28">
      <calculatedColumnFormula>Table8[[#This Row],[Quantity]]</calculatedColumnFormula>
    </tableColumn>
    <tableColumn id="10" xr3:uid="{B113FB1E-B792-4B87-9210-09F62D33E8F1}" name="Bulk Add : Product Number" dataDxfId="27" totalsRowDxfId="26">
      <calculatedColumnFormula>Table8[[#This Row],[Ret. Art. Number]]</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CF5E1AD-E352-49B0-B13B-903285402E83}" name="Table146811" displayName="Table146811" ref="A1:H3" totalsRowShown="0" headerRowDxfId="23" dataDxfId="21" headerRowBorderDxfId="22">
  <autoFilter ref="A1:H3" xr:uid="{06E2CB8E-61AB-472E-BCF2-E6E1E6F7BC5B}"/>
  <tableColumns count="8">
    <tableColumn id="2" xr3:uid="{AD6FF1DB-33D0-406A-BC62-5C920E3086F8}" name="Man. Number" dataDxfId="20"/>
    <tableColumn id="5" xr3:uid="{DE30DEEA-B1F2-49E6-90FB-A3A09084BC7F}" name="Description" dataDxfId="19">
      <calculatedColumnFormula>VLOOKUP(Table146811[[#This Row],[Man. Number]],Articles!A:E,COLUMN(Articles!$D$1)-COLUMN(Articles!$A$1)+1,FALSE)</calculatedColumnFormula>
    </tableColumn>
    <tableColumn id="7" xr3:uid="{E29F3B01-1B5E-47D4-ACAE-0F635E3A7017}" name="Reference" dataDxfId="18"/>
    <tableColumn id="8" xr3:uid="{19242CC9-CDB5-49EB-B17E-553D3745B52B}" name="Quantity" dataDxfId="17"/>
    <tableColumn id="6" xr3:uid="{ECC39063-2325-4B34-AEC6-9D8392F57051}" name="In stock" dataDxfId="16">
      <calculatedColumnFormula>VLOOKUP(Table146811[[#This Row],[Man. Number]],Articles!A:E,COLUMN(Articles!$E$1)-COLUMN(Articles!$A$1)+1,FALSE)</calculatedColumnFormula>
    </tableColumn>
    <tableColumn id="1" xr3:uid="{4C77BBEA-BE9D-47A6-A8FA-309C09471A07}" name="Available" dataDxfId="15">
      <calculatedColumnFormula>IF(Table146811[[#This Row],[In stock]] &gt;= Table146811[[#This Row],[Quantity]],"YES","NO")</calculatedColumnFormula>
    </tableColumn>
    <tableColumn id="3" xr3:uid="{DDAA5D15-9725-490B-BD3A-48CD27933BE8}" name="Total quantity" dataDxfId="14">
      <calculatedColumnFormula>Table146811[[#This Row],[Quantity]]*$K$1</calculatedColumnFormula>
    </tableColumn>
    <tableColumn id="4" xr3:uid="{DF2985A7-E964-4DBC-B346-C3ABD3D6D1AC}" name="Total available" dataDxfId="13">
      <calculatedColumnFormula>IF(Table146811[[#This Row],[In stock]] &gt;= Table146811[[#This Row],[Total quantity]],"YES","NO")</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AE8F342-CA90-4972-AB98-564E2D2F487D}" name="Table1468" displayName="Table1468" ref="A1:H2" totalsRowShown="0" headerRowDxfId="11" dataDxfId="9" headerRowBorderDxfId="10">
  <autoFilter ref="A1:H2" xr:uid="{06E2CB8E-61AB-472E-BCF2-E6E1E6F7BC5B}"/>
  <tableColumns count="8">
    <tableColumn id="2" xr3:uid="{82F37E31-D1D4-4FFD-A09E-64F3B03018B7}" name="Man. Number" dataDxfId="8"/>
    <tableColumn id="5" xr3:uid="{524F6B01-486E-4166-AE6A-BDBA58BD1A60}" name="Description" dataDxfId="7">
      <calculatedColumnFormula>VLOOKUP(Table1468[[#This Row],[Man. Number]],Articles!A:E,COLUMN(Articles!$D$1)-COLUMN(Articles!$A$1)+1,FALSE)</calculatedColumnFormula>
    </tableColumn>
    <tableColumn id="7" xr3:uid="{0EDA27D7-E2B2-4D98-8FFC-602AD8A774D7}" name="Reference" dataDxfId="6"/>
    <tableColumn id="8" xr3:uid="{A834D686-252C-4BF4-9FDE-28A4A6AFDD1F}" name="Quantity" dataDxfId="5"/>
    <tableColumn id="6" xr3:uid="{66DB620F-4FDE-44EB-BF35-96CAEBE4C1C6}" name="In stock" dataDxfId="4">
      <calculatedColumnFormula>VLOOKUP(Table1468[[#This Row],[Man. Number]],Articles!A:E,COLUMN(Articles!$E$1)-COLUMN(Articles!$A$1)+1,FALSE)</calculatedColumnFormula>
    </tableColumn>
    <tableColumn id="1" xr3:uid="{245282B4-7ECB-44D1-B528-BBB44C658582}" name="Available" dataDxfId="3">
      <calculatedColumnFormula>IF(Table1468[[#This Row],[In stock]] &gt;= Table1468[[#This Row],[Quantity]],"YES","NO")</calculatedColumnFormula>
    </tableColumn>
    <tableColumn id="3" xr3:uid="{67B74FDC-0575-406A-89BB-0D882E866451}" name="Total quantity" dataDxfId="2">
      <calculatedColumnFormula>Table1468[[#This Row],[Quantity]]*$K$1</calculatedColumnFormula>
    </tableColumn>
    <tableColumn id="4" xr3:uid="{56337732-A0D6-4CED-A2E1-0A9BD957CBCA}" name="Total available" dataDxfId="1">
      <calculatedColumnFormula>IF(Table1468[[#This Row],[In stock]] &gt;= Table1468[[#This Row],[Total quantity]],"YES","NO")</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226358-A437-44A8-89CD-F2B1C0353077}" name="Table6" displayName="Table6" ref="A6:C7" totalsRowShown="0">
  <autoFilter ref="A6:C7" xr:uid="{872FC7A3-44C5-4B5B-B3BD-3A0E54A1C252}"/>
  <tableColumns count="3">
    <tableColumn id="1" xr3:uid="{79A80DDF-8238-4698-90CE-9D2101A7FB4D}" name="Index"/>
    <tableColumn id="2" xr3:uid="{18AED83E-211C-4D49-8533-A66EA207A333}" name="Name"/>
    <tableColumn id="3" xr3:uid="{63C951D6-FF6F-4BF6-9A81-E207D05276DE}" name="Sheet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5.xml"/><Relationship Id="rId7"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9F36D-F5FA-46FD-97BE-6722B1B28781}">
  <sheetPr codeName="Sheet5">
    <tabColor rgb="FF0070C0"/>
  </sheetPr>
  <dimension ref="A1:F2"/>
  <sheetViews>
    <sheetView workbookViewId="0">
      <pane ySplit="1" topLeftCell="A2" activePane="bottomLeft" state="frozen"/>
      <selection pane="bottomLeft" activeCell="A2" sqref="A2"/>
    </sheetView>
  </sheetViews>
  <sheetFormatPr defaultRowHeight="15" x14ac:dyDescent="0.25"/>
  <cols>
    <col min="1" max="1" width="18" style="13" bestFit="1" customWidth="1"/>
    <col min="2" max="2" width="56.42578125" style="3" bestFit="1" customWidth="1"/>
    <col min="3" max="3" width="14.7109375" style="11" bestFit="1" customWidth="1"/>
    <col min="4" max="4" width="14.42578125" style="11" bestFit="1" customWidth="1"/>
    <col min="5" max="5" width="13" style="11" bestFit="1" customWidth="1"/>
    <col min="6" max="6" width="48.28515625" style="3" bestFit="1" customWidth="1"/>
  </cols>
  <sheetData>
    <row r="1" spans="1:6" x14ac:dyDescent="0.25">
      <c r="A1" s="4" t="s">
        <v>170</v>
      </c>
      <c r="B1" s="3" t="s">
        <v>232</v>
      </c>
      <c r="C1" s="5" t="s">
        <v>176</v>
      </c>
      <c r="D1" s="5" t="s">
        <v>173</v>
      </c>
      <c r="E1" s="5" t="s">
        <v>174</v>
      </c>
      <c r="F1" s="3" t="s">
        <v>172</v>
      </c>
    </row>
    <row r="2" spans="1:6" x14ac:dyDescent="0.25">
      <c r="A2" s="50">
        <v>43331.621458333335</v>
      </c>
      <c r="B2" s="12"/>
      <c r="C2" s="10"/>
      <c r="D2" s="10"/>
      <c r="E2" s="10"/>
      <c r="F2" s="3" t="s">
        <v>171</v>
      </c>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B0708C-2AF7-4A45-8EEB-3D20225C7C88}">
  <sheetPr codeName="Sheet14">
    <tabColor theme="9" tint="0.59999389629810485"/>
  </sheetPr>
  <dimension ref="A1:Z3"/>
  <sheetViews>
    <sheetView zoomScaleNormal="100" workbookViewId="0">
      <pane ySplit="1" topLeftCell="A2" activePane="bottomLeft" state="frozen"/>
      <selection activeCell="F1" sqref="F1"/>
      <selection pane="bottomLeft" activeCell="A2" sqref="A2"/>
    </sheetView>
  </sheetViews>
  <sheetFormatPr defaultRowHeight="15" x14ac:dyDescent="0.25"/>
  <cols>
    <col min="1" max="1" width="26.85546875" style="17" bestFit="1" customWidth="1"/>
    <col min="2" max="2" width="38.85546875" bestFit="1" customWidth="1"/>
    <col min="3" max="3" width="11.140625" bestFit="1" customWidth="1"/>
    <col min="4" max="4" width="80.85546875" bestFit="1" customWidth="1"/>
    <col min="5" max="5" width="10" bestFit="1" customWidth="1"/>
    <col min="6" max="6" width="14" bestFit="1" customWidth="1"/>
    <col min="7" max="7" width="13.140625" bestFit="1" customWidth="1"/>
    <col min="8" max="8" width="21.5703125" style="34" bestFit="1" customWidth="1"/>
    <col min="9" max="9" width="19.140625" style="33" bestFit="1" customWidth="1"/>
    <col min="10" max="10" width="32.5703125" style="17" bestFit="1" customWidth="1"/>
    <col min="11" max="11" width="12" style="33" bestFit="1" customWidth="1"/>
    <col min="12" max="12" width="21.140625" style="17" bestFit="1" customWidth="1"/>
    <col min="13" max="13" width="13" style="33" bestFit="1" customWidth="1"/>
    <col min="14" max="14" width="22.85546875" style="17" bestFit="1" customWidth="1"/>
    <col min="15" max="15" width="13" style="33" bestFit="1" customWidth="1"/>
    <col min="16" max="16" width="21.28515625" style="17" bestFit="1" customWidth="1"/>
    <col min="17" max="17" width="13" style="33" bestFit="1" customWidth="1"/>
    <col min="18" max="18" width="21.85546875" style="17" bestFit="1" customWidth="1"/>
    <col min="19" max="19" width="13" style="33" bestFit="1" customWidth="1"/>
    <col min="20" max="20" width="24.42578125" style="17" bestFit="1" customWidth="1"/>
    <col min="21" max="21" width="13" style="33" bestFit="1" customWidth="1"/>
    <col min="22" max="22" width="23.85546875" style="17" bestFit="1" customWidth="1"/>
    <col min="23" max="23" width="13" style="33" bestFit="1" customWidth="1"/>
    <col min="24" max="24" width="19.85546875" style="33" customWidth="1"/>
    <col min="25" max="25" width="13" style="33" customWidth="1"/>
    <col min="26" max="26" width="14.7109375" bestFit="1" customWidth="1"/>
    <col min="31" max="31" width="10" bestFit="1" customWidth="1"/>
    <col min="32" max="32" width="12" bestFit="1" customWidth="1"/>
    <col min="33" max="33" width="14" bestFit="1" customWidth="1"/>
    <col min="34" max="34" width="17.140625" bestFit="1" customWidth="1"/>
  </cols>
  <sheetData>
    <row r="1" spans="1:26" ht="15.75" thickBot="1" x14ac:dyDescent="0.3">
      <c r="A1" s="38" t="s">
        <v>232</v>
      </c>
      <c r="B1" s="35" t="s">
        <v>6</v>
      </c>
      <c r="C1" s="35" t="s">
        <v>207</v>
      </c>
      <c r="D1" s="35" t="s">
        <v>2</v>
      </c>
      <c r="E1" s="35" t="s">
        <v>3</v>
      </c>
      <c r="F1" s="35" t="s">
        <v>224</v>
      </c>
      <c r="G1" s="35" t="s">
        <v>252</v>
      </c>
      <c r="H1" s="36" t="s">
        <v>250</v>
      </c>
      <c r="I1" s="37" t="s">
        <v>251</v>
      </c>
      <c r="J1" s="38" t="s">
        <v>227</v>
      </c>
      <c r="K1" s="37" t="s">
        <v>8</v>
      </c>
      <c r="L1" s="38" t="s">
        <v>229</v>
      </c>
      <c r="M1" s="37" t="s">
        <v>235</v>
      </c>
      <c r="N1" s="38" t="s">
        <v>228</v>
      </c>
      <c r="O1" s="37" t="s">
        <v>236</v>
      </c>
      <c r="P1" s="38" t="s">
        <v>231</v>
      </c>
      <c r="Q1" s="37" t="s">
        <v>237</v>
      </c>
      <c r="R1" s="38" t="s">
        <v>230</v>
      </c>
      <c r="S1" s="37" t="s">
        <v>238</v>
      </c>
      <c r="T1" s="38" t="s">
        <v>233</v>
      </c>
      <c r="U1" s="37" t="s">
        <v>239</v>
      </c>
      <c r="V1" s="38" t="s">
        <v>234</v>
      </c>
      <c r="W1" s="37" t="s">
        <v>240</v>
      </c>
      <c r="X1" s="37" t="s">
        <v>254</v>
      </c>
      <c r="Y1" s="37" t="s">
        <v>253</v>
      </c>
      <c r="Z1" s="35" t="s">
        <v>241</v>
      </c>
    </row>
    <row r="2" spans="1:26" x14ac:dyDescent="0.25">
      <c r="A2" s="39" t="s">
        <v>255</v>
      </c>
      <c r="B2" s="40" t="s">
        <v>6</v>
      </c>
      <c r="C2" s="40" t="s">
        <v>207</v>
      </c>
      <c r="D2" s="40" t="s">
        <v>2</v>
      </c>
      <c r="E2" s="40" t="s">
        <v>256</v>
      </c>
      <c r="F2" s="40" t="s">
        <v>257</v>
      </c>
      <c r="G2" s="40" t="s">
        <v>258</v>
      </c>
      <c r="H2" s="41" t="str">
        <f t="array" ref="H2">IF(ISERROR(INDEX(Articles!$J2:$W2, MATCH(FALSE, ISBLANK(Articles!$J2:$W2),0))),"N/A",INDEX(Articles!$J2:$W2, MATCH(FALSE, ISBLANK(Articles!$J2:$W2),0)))</f>
        <v>N/A</v>
      </c>
      <c r="I2" s="42" t="str">
        <f t="array" aca="1" ref="I2" ca="1">IF(ISERROR(OFFSET(INDEX(Articles!$J2:$Y2, MATCH(FALSE, ISBLANK(Articles!$J2:$Y2),0)),0,1)),"N/A",OFFSET(INDEX(Articles!$J2:$Y2, MATCH(FALSE, ISBLANK(Articles!$J2:$Y2),0)),0,1))</f>
        <v>Unit price</v>
      </c>
      <c r="J2" s="39"/>
      <c r="K2" s="42"/>
      <c r="L2" s="39"/>
      <c r="M2" s="42"/>
      <c r="N2" s="39"/>
      <c r="O2" s="42"/>
      <c r="P2" s="39"/>
      <c r="Q2" s="42"/>
      <c r="R2" s="39"/>
      <c r="S2" s="42"/>
      <c r="T2" s="39"/>
      <c r="U2" s="42"/>
      <c r="V2" s="39"/>
      <c r="W2" s="42"/>
      <c r="X2" s="42" t="s">
        <v>259</v>
      </c>
      <c r="Y2" s="42" t="s">
        <v>8</v>
      </c>
      <c r="Z2" s="40" t="str">
        <f>IF(Articles!$G2=1,IF(Articles!$E2&lt;Articles!$F2,1,""),"")</f>
        <v/>
      </c>
    </row>
    <row r="3" spans="1:26" x14ac:dyDescent="0.25">
      <c r="A3" s="43" t="s">
        <v>147</v>
      </c>
      <c r="B3" s="44" t="s">
        <v>80</v>
      </c>
      <c r="C3" s="44" t="s">
        <v>218</v>
      </c>
      <c r="D3" s="44" t="s">
        <v>148</v>
      </c>
      <c r="E3" s="44">
        <v>3</v>
      </c>
      <c r="F3" s="44">
        <v>10</v>
      </c>
      <c r="G3" s="44">
        <v>1</v>
      </c>
      <c r="H3" s="45" t="str">
        <f t="array" ref="H3">IF(ISERROR(INDEX(Articles!$J3:$W3, MATCH(FALSE, ISBLANK(Articles!$J3:$W3),0))),"N/A",INDEX(Articles!$J3:$W3, MATCH(FALSE, ISBLANK(Articles!$J3:$W3),0)))</f>
        <v>PIC16LF1827-I/SS-ND</v>
      </c>
      <c r="I3" s="46">
        <f t="array" aca="1" ref="I3" ca="1">IF(ISERROR(OFFSET(INDEX(Articles!$J3:$Y3, MATCH(FALSE, ISBLANK(Articles!$J3:$Y3),0)),0,1)),"N/A",OFFSET(INDEX(Articles!$J3:$Y3, MATCH(FALSE, ISBLANK(Articles!$J3:$Y3),0)),0,1))</f>
        <v>1.47</v>
      </c>
      <c r="J3" s="43" t="s">
        <v>146</v>
      </c>
      <c r="K3" s="46">
        <v>1.47</v>
      </c>
      <c r="L3" s="43"/>
      <c r="M3" s="46"/>
      <c r="N3" s="43"/>
      <c r="O3" s="46"/>
      <c r="P3" s="43"/>
      <c r="Q3" s="46"/>
      <c r="R3" s="43"/>
      <c r="S3" s="46"/>
      <c r="T3" s="43"/>
      <c r="U3" s="46"/>
      <c r="V3" s="43"/>
      <c r="W3" s="46"/>
      <c r="X3" s="46"/>
      <c r="Y3" s="46"/>
      <c r="Z3" s="44">
        <f>IF(Articles!$G3=1,IF(Articles!$E3&lt;Articles!$F3,1,""),"")</f>
        <v>1</v>
      </c>
    </row>
  </sheetData>
  <dataConsolidate/>
  <conditionalFormatting sqref="E2">
    <cfRule type="containsBlanks" priority="13" stopIfTrue="1">
      <formula>LEN(TRIM(E2))=0</formula>
    </cfRule>
    <cfRule type="cellIs" dxfId="97" priority="36" operator="equal">
      <formula>0</formula>
    </cfRule>
  </conditionalFormatting>
  <conditionalFormatting sqref="Z1:Z3">
    <cfRule type="cellIs" dxfId="96" priority="12" operator="equal">
      <formula>1</formula>
    </cfRule>
  </conditionalFormatting>
  <conditionalFormatting sqref="E3">
    <cfRule type="containsBlanks" priority="1" stopIfTrue="1">
      <formula>LEN(TRIM(E3))=0</formula>
    </cfRule>
    <cfRule type="cellIs" dxfId="95" priority="2" operator="lessThanOrEqual">
      <formula>0</formula>
    </cfRule>
  </conditionalFormatting>
  <conditionalFormatting sqref="A2:A3">
    <cfRule type="duplicateValues" dxfId="94" priority="66"/>
  </conditionalFormatting>
  <pageMargins left="0.7" right="0.7" top="0.75" bottom="0.75" header="0.3" footer="0.3"/>
  <pageSetup paperSize="9"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6F1B8D-761F-47A7-8FA1-B5480084348F}">
  <sheetPr codeName="Sheet1"/>
  <dimension ref="A2:K12"/>
  <sheetViews>
    <sheetView tabSelected="1" workbookViewId="0"/>
  </sheetViews>
  <sheetFormatPr defaultRowHeight="15" x14ac:dyDescent="0.25"/>
  <cols>
    <col min="1" max="1" width="11.140625" customWidth="1"/>
    <col min="7" max="7" width="14.5703125" bestFit="1" customWidth="1"/>
    <col min="8" max="8" width="32.85546875" bestFit="1" customWidth="1"/>
    <col min="10" max="10" width="12.28515625" bestFit="1" customWidth="1"/>
    <col min="11" max="11" width="18.140625" bestFit="1" customWidth="1"/>
  </cols>
  <sheetData>
    <row r="2" spans="1:11" x14ac:dyDescent="0.25">
      <c r="B2" s="51" t="s">
        <v>246</v>
      </c>
      <c r="G2" s="19" t="s">
        <v>260</v>
      </c>
      <c r="J2" s="19" t="s">
        <v>261</v>
      </c>
    </row>
    <row r="3" spans="1:11" x14ac:dyDescent="0.25">
      <c r="B3" s="51"/>
      <c r="G3" s="20" t="s">
        <v>212</v>
      </c>
      <c r="H3" s="20" t="s">
        <v>2</v>
      </c>
      <c r="J3" s="20" t="s">
        <v>212</v>
      </c>
      <c r="K3" s="20" t="s">
        <v>2</v>
      </c>
    </row>
    <row r="4" spans="1:11" x14ac:dyDescent="0.25">
      <c r="G4" t="s">
        <v>214</v>
      </c>
      <c r="J4" t="s">
        <v>215</v>
      </c>
    </row>
    <row r="5" spans="1:11" x14ac:dyDescent="0.25">
      <c r="B5" s="51" t="s">
        <v>247</v>
      </c>
      <c r="G5" t="s">
        <v>213</v>
      </c>
      <c r="J5" t="s">
        <v>216</v>
      </c>
    </row>
    <row r="6" spans="1:11" x14ac:dyDescent="0.25">
      <c r="B6" s="51"/>
      <c r="G6" t="s">
        <v>219</v>
      </c>
      <c r="J6" t="s">
        <v>217</v>
      </c>
    </row>
    <row r="7" spans="1:11" x14ac:dyDescent="0.25">
      <c r="G7" t="s">
        <v>220</v>
      </c>
    </row>
    <row r="8" spans="1:11" x14ac:dyDescent="0.25">
      <c r="B8" s="51" t="s">
        <v>248</v>
      </c>
      <c r="G8" t="s">
        <v>221</v>
      </c>
    </row>
    <row r="9" spans="1:11" x14ac:dyDescent="0.25">
      <c r="B9" s="51"/>
      <c r="G9" t="s">
        <v>222</v>
      </c>
    </row>
    <row r="11" spans="1:11" x14ac:dyDescent="0.25">
      <c r="A11" s="47"/>
      <c r="B11" s="51" t="s">
        <v>249</v>
      </c>
    </row>
    <row r="12" spans="1:11" x14ac:dyDescent="0.25">
      <c r="A12" s="47"/>
      <c r="B12" s="51"/>
    </row>
  </sheetData>
  <mergeCells count="4">
    <mergeCell ref="B11:B12"/>
    <mergeCell ref="B2:B3"/>
    <mergeCell ref="B5:B6"/>
    <mergeCell ref="B8:B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tn_AddArticle">
                <anchor moveWithCells="1" sizeWithCells="1">
                  <from>
                    <xdr:col>2</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26" r:id="rId5" name="Button 2">
              <controlPr defaultSize="0" print="0" autoFill="0" autoPict="0" macro="[0]!btn_EditArticles">
                <anchor moveWithCells="1" sizeWithCells="1">
                  <from>
                    <xdr:col>2</xdr:col>
                    <xdr:colOff>0</xdr:colOff>
                    <xdr:row>4</xdr:row>
                    <xdr:rowOff>0</xdr:rowOff>
                  </from>
                  <to>
                    <xdr:col>4</xdr:col>
                    <xdr:colOff>0</xdr:colOff>
                    <xdr:row>6</xdr:row>
                    <xdr:rowOff>0</xdr:rowOff>
                  </to>
                </anchor>
              </controlPr>
            </control>
          </mc:Choice>
        </mc:AlternateContent>
        <mc:AlternateContent xmlns:mc="http://schemas.openxmlformats.org/markup-compatibility/2006">
          <mc:Choice Requires="x14">
            <control shapeId="1027" r:id="rId6" name="Button 3">
              <controlPr defaultSize="0" print="0" autoFill="0" autoPict="0" macro="[0]!btn_EditProduct">
                <anchor moveWithCells="1" sizeWithCells="1">
                  <from>
                    <xdr:col>2</xdr:col>
                    <xdr:colOff>0</xdr:colOff>
                    <xdr:row>7</xdr:row>
                    <xdr:rowOff>0</xdr:rowOff>
                  </from>
                  <to>
                    <xdr:col>4</xdr:col>
                    <xdr:colOff>0</xdr:colOff>
                    <xdr:row>9</xdr:row>
                    <xdr:rowOff>0</xdr:rowOff>
                  </to>
                </anchor>
              </controlPr>
            </control>
          </mc:Choice>
        </mc:AlternateContent>
        <mc:AlternateContent xmlns:mc="http://schemas.openxmlformats.org/markup-compatibility/2006">
          <mc:Choice Requires="x14">
            <control shapeId="1029" r:id="rId7" name="Button 5">
              <controlPr defaultSize="0" print="0" autoFill="0" autoPict="0" macro="[0]!btn_CreateOrder">
                <anchor moveWithCells="1">
                  <from>
                    <xdr:col>2</xdr:col>
                    <xdr:colOff>0</xdr:colOff>
                    <xdr:row>10</xdr:row>
                    <xdr:rowOff>0</xdr:rowOff>
                  </from>
                  <to>
                    <xdr:col>4</xdr:col>
                    <xdr:colOff>0</xdr:colOff>
                    <xdr:row>12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452E8-98FA-4088-BCD0-DC7B7A67B9E6}">
  <sheetPr codeName="Sheet4">
    <tabColor rgb="FFFFC000"/>
  </sheetPr>
  <dimension ref="A1:F64"/>
  <sheetViews>
    <sheetView workbookViewId="0">
      <pane ySplit="1" topLeftCell="A38" activePane="bottomLeft" state="frozen"/>
      <selection pane="bottomLeft" activeCell="E70" sqref="E70"/>
    </sheetView>
  </sheetViews>
  <sheetFormatPr defaultRowHeight="15" x14ac:dyDescent="0.25"/>
  <cols>
    <col min="1" max="1" width="18.7109375" style="3" bestFit="1" customWidth="1"/>
    <col min="2" max="2" width="22.140625" style="3" bestFit="1" customWidth="1"/>
    <col min="3" max="3" width="38.85546875" style="4" bestFit="1" customWidth="1"/>
    <col min="4" max="4" width="10.140625" style="4" customWidth="1"/>
    <col min="5" max="5" width="80.85546875" style="4" bestFit="1" customWidth="1"/>
    <col min="6" max="6" width="11.85546875" style="5" customWidth="1"/>
  </cols>
  <sheetData>
    <row r="1" spans="1:6" ht="15.75" thickBot="1" x14ac:dyDescent="0.3">
      <c r="A1" s="1" t="s">
        <v>1</v>
      </c>
      <c r="B1" s="2" t="s">
        <v>0</v>
      </c>
      <c r="C1" s="2" t="s">
        <v>6</v>
      </c>
      <c r="D1" s="2" t="s">
        <v>4</v>
      </c>
      <c r="E1" s="2" t="s">
        <v>2</v>
      </c>
      <c r="F1" s="2" t="s">
        <v>8</v>
      </c>
    </row>
    <row r="2" spans="1:6" x14ac:dyDescent="0.25">
      <c r="A2" s="3">
        <v>90990</v>
      </c>
      <c r="B2" s="3">
        <v>90990</v>
      </c>
      <c r="C2" s="4" t="s">
        <v>65</v>
      </c>
      <c r="D2" s="4" t="s">
        <v>88</v>
      </c>
      <c r="E2" s="4" t="s">
        <v>84</v>
      </c>
      <c r="F2" s="5">
        <v>13.1</v>
      </c>
    </row>
    <row r="3" spans="1:6" x14ac:dyDescent="0.25">
      <c r="A3" s="3">
        <v>912951</v>
      </c>
      <c r="B3" s="3">
        <v>912951</v>
      </c>
      <c r="C3" s="4" t="s">
        <v>65</v>
      </c>
      <c r="D3" s="4" t="s">
        <v>88</v>
      </c>
      <c r="E3" s="4" t="s">
        <v>85</v>
      </c>
      <c r="F3" s="5">
        <v>3.43</v>
      </c>
    </row>
    <row r="4" spans="1:6" x14ac:dyDescent="0.25">
      <c r="A4" s="3">
        <v>965083</v>
      </c>
      <c r="B4" s="3">
        <v>965083</v>
      </c>
      <c r="C4" s="4" t="s">
        <v>65</v>
      </c>
      <c r="D4" s="4" t="s">
        <v>88</v>
      </c>
      <c r="E4" s="4" t="s">
        <v>87</v>
      </c>
      <c r="F4" s="5">
        <v>3.18</v>
      </c>
    </row>
    <row r="5" spans="1:6" x14ac:dyDescent="0.25">
      <c r="A5" s="3">
        <v>1004068</v>
      </c>
      <c r="B5" s="3">
        <v>1004068</v>
      </c>
      <c r="C5" s="4" t="s">
        <v>65</v>
      </c>
      <c r="D5" s="4" t="s">
        <v>88</v>
      </c>
      <c r="E5" s="4" t="s">
        <v>83</v>
      </c>
      <c r="F5" s="5">
        <v>3.49</v>
      </c>
    </row>
    <row r="6" spans="1:6" x14ac:dyDescent="0.25">
      <c r="A6" s="3">
        <v>1181876</v>
      </c>
      <c r="B6" s="3">
        <v>1181876</v>
      </c>
      <c r="C6" s="4" t="s">
        <v>65</v>
      </c>
      <c r="D6" s="4" t="s">
        <v>88</v>
      </c>
      <c r="E6" s="4" t="s">
        <v>86</v>
      </c>
      <c r="F6" s="5">
        <v>3.79</v>
      </c>
    </row>
    <row r="7" spans="1:6" x14ac:dyDescent="0.25">
      <c r="A7" s="3" t="s">
        <v>111</v>
      </c>
      <c r="B7" s="3">
        <v>61304011021</v>
      </c>
      <c r="C7" s="4" t="s">
        <v>112</v>
      </c>
      <c r="D7" s="4" t="s">
        <v>5</v>
      </c>
      <c r="E7" s="4" t="s">
        <v>110</v>
      </c>
      <c r="F7" s="5">
        <v>1.58</v>
      </c>
    </row>
    <row r="8" spans="1:6" x14ac:dyDescent="0.25">
      <c r="A8" s="3">
        <v>1162740</v>
      </c>
      <c r="B8" s="3" t="s">
        <v>117</v>
      </c>
      <c r="C8" s="4" t="s">
        <v>93</v>
      </c>
      <c r="D8" s="4" t="s">
        <v>5</v>
      </c>
      <c r="E8" s="4" t="s">
        <v>29</v>
      </c>
      <c r="F8" s="5">
        <v>0.505</v>
      </c>
    </row>
    <row r="9" spans="1:6" x14ac:dyDescent="0.25">
      <c r="A9" s="3">
        <v>1829519</v>
      </c>
      <c r="B9" s="3" t="s">
        <v>31</v>
      </c>
      <c r="C9" s="4" t="s">
        <v>93</v>
      </c>
      <c r="D9" s="4" t="s">
        <v>5</v>
      </c>
      <c r="E9" s="4" t="s">
        <v>30</v>
      </c>
      <c r="F9" s="5">
        <v>0.78900000000000003</v>
      </c>
    </row>
    <row r="10" spans="1:6" x14ac:dyDescent="0.25">
      <c r="A10" s="3" t="s">
        <v>178</v>
      </c>
      <c r="B10" s="3" t="s">
        <v>179</v>
      </c>
      <c r="C10" s="4" t="s">
        <v>177</v>
      </c>
      <c r="D10" s="4" t="s">
        <v>82</v>
      </c>
      <c r="E10" s="4" t="s">
        <v>180</v>
      </c>
      <c r="F10" s="5">
        <v>1.82</v>
      </c>
    </row>
    <row r="11" spans="1:6" x14ac:dyDescent="0.25">
      <c r="A11" s="4" t="s">
        <v>155</v>
      </c>
      <c r="B11" s="4" t="s">
        <v>156</v>
      </c>
      <c r="C11" s="4" t="s">
        <v>162</v>
      </c>
      <c r="D11" s="4" t="s">
        <v>82</v>
      </c>
      <c r="E11" s="4" t="s">
        <v>157</v>
      </c>
      <c r="F11" s="5">
        <v>0.66500000000000004</v>
      </c>
    </row>
    <row r="12" spans="1:6" x14ac:dyDescent="0.25">
      <c r="A12" s="3" t="s">
        <v>124</v>
      </c>
      <c r="B12" s="3" t="s">
        <v>123</v>
      </c>
      <c r="C12" s="4" t="s">
        <v>91</v>
      </c>
      <c r="D12" s="4" t="s">
        <v>5</v>
      </c>
      <c r="E12" s="4" t="s">
        <v>122</v>
      </c>
      <c r="F12" s="5">
        <v>0.191</v>
      </c>
    </row>
    <row r="13" spans="1:6" x14ac:dyDescent="0.25">
      <c r="A13" s="4" t="s">
        <v>67</v>
      </c>
      <c r="B13" s="4" t="s">
        <v>139</v>
      </c>
      <c r="C13" s="4" t="s">
        <v>69</v>
      </c>
      <c r="D13" s="4" t="s">
        <v>82</v>
      </c>
      <c r="E13" s="4" t="s">
        <v>68</v>
      </c>
      <c r="F13" s="5">
        <v>4.88</v>
      </c>
    </row>
    <row r="14" spans="1:6" x14ac:dyDescent="0.25">
      <c r="A14" s="4" t="s">
        <v>140</v>
      </c>
      <c r="B14" s="4" t="s">
        <v>141</v>
      </c>
      <c r="C14" s="4" t="s">
        <v>160</v>
      </c>
      <c r="D14" s="4" t="s">
        <v>82</v>
      </c>
      <c r="E14" s="4" t="s">
        <v>142</v>
      </c>
      <c r="F14" s="5">
        <v>0.45</v>
      </c>
    </row>
    <row r="15" spans="1:6" x14ac:dyDescent="0.25">
      <c r="A15" s="3" t="s">
        <v>164</v>
      </c>
      <c r="B15" s="3" t="s">
        <v>118</v>
      </c>
      <c r="C15" s="4" t="s">
        <v>91</v>
      </c>
      <c r="D15" s="4" t="s">
        <v>5</v>
      </c>
      <c r="E15" s="4" t="s">
        <v>28</v>
      </c>
      <c r="F15" s="5">
        <v>0.112</v>
      </c>
    </row>
    <row r="16" spans="1:6" x14ac:dyDescent="0.25">
      <c r="A16" s="3" t="s">
        <v>159</v>
      </c>
      <c r="B16" s="3" t="s">
        <v>97</v>
      </c>
      <c r="C16" s="4" t="s">
        <v>26</v>
      </c>
      <c r="D16" s="4" t="s">
        <v>5</v>
      </c>
      <c r="E16" s="4" t="s">
        <v>98</v>
      </c>
      <c r="F16" s="5">
        <v>5.8900000000000001E-2</v>
      </c>
    </row>
    <row r="17" spans="1:6" x14ac:dyDescent="0.25">
      <c r="A17" s="3" t="s">
        <v>114</v>
      </c>
      <c r="B17" s="3" t="s">
        <v>113</v>
      </c>
      <c r="C17" s="4" t="s">
        <v>33</v>
      </c>
      <c r="D17" s="4" t="s">
        <v>5</v>
      </c>
      <c r="E17" s="4" t="s">
        <v>116</v>
      </c>
      <c r="F17" s="5">
        <v>0.28699999999999998</v>
      </c>
    </row>
    <row r="18" spans="1:6" x14ac:dyDescent="0.25">
      <c r="A18" s="3" t="s">
        <v>109</v>
      </c>
      <c r="B18" s="3" t="s">
        <v>107</v>
      </c>
      <c r="C18" s="4" t="s">
        <v>108</v>
      </c>
      <c r="D18" s="4" t="s">
        <v>5</v>
      </c>
      <c r="E18" s="4" t="s">
        <v>115</v>
      </c>
      <c r="F18" s="5">
        <v>1.55</v>
      </c>
    </row>
    <row r="19" spans="1:6" x14ac:dyDescent="0.25">
      <c r="A19" s="3" t="s">
        <v>168</v>
      </c>
      <c r="B19" s="3" t="s">
        <v>38</v>
      </c>
      <c r="C19" s="4" t="s">
        <v>169</v>
      </c>
      <c r="D19" s="4" t="s">
        <v>82</v>
      </c>
      <c r="E19" s="4" t="s">
        <v>37</v>
      </c>
      <c r="F19" s="5">
        <v>2.08</v>
      </c>
    </row>
    <row r="20" spans="1:6" x14ac:dyDescent="0.25">
      <c r="A20" s="3">
        <v>9352260</v>
      </c>
      <c r="B20" s="3" t="s">
        <v>38</v>
      </c>
      <c r="C20" s="4" t="s">
        <v>92</v>
      </c>
      <c r="D20" s="4" t="s">
        <v>5</v>
      </c>
      <c r="E20" s="4" t="s">
        <v>37</v>
      </c>
      <c r="F20" s="5">
        <v>2.76</v>
      </c>
    </row>
    <row r="21" spans="1:6" x14ac:dyDescent="0.25">
      <c r="A21" s="3" t="s">
        <v>134</v>
      </c>
      <c r="B21" s="3" t="s">
        <v>133</v>
      </c>
      <c r="C21" s="4" t="s">
        <v>7</v>
      </c>
      <c r="D21" s="4" t="s">
        <v>5</v>
      </c>
      <c r="E21" s="4" t="s">
        <v>132</v>
      </c>
      <c r="F21" s="5">
        <v>0.34899999999999998</v>
      </c>
    </row>
    <row r="22" spans="1:6" x14ac:dyDescent="0.25">
      <c r="A22" s="3">
        <v>2112100</v>
      </c>
      <c r="B22" s="3" t="s">
        <v>34</v>
      </c>
      <c r="C22" s="4" t="s">
        <v>33</v>
      </c>
      <c r="D22" s="4" t="s">
        <v>5</v>
      </c>
      <c r="E22" s="4" t="s">
        <v>32</v>
      </c>
      <c r="F22" s="5">
        <v>0.28999999999999998</v>
      </c>
    </row>
    <row r="23" spans="1:6" x14ac:dyDescent="0.25">
      <c r="A23" s="3" t="s">
        <v>89</v>
      </c>
      <c r="B23" s="3" t="s">
        <v>90</v>
      </c>
      <c r="C23" s="4" t="s">
        <v>91</v>
      </c>
      <c r="D23" s="4" t="s">
        <v>5</v>
      </c>
      <c r="E23" s="4" t="s">
        <v>96</v>
      </c>
      <c r="F23" s="5">
        <v>0.32600000000000001</v>
      </c>
    </row>
    <row r="24" spans="1:6" x14ac:dyDescent="0.25">
      <c r="A24" s="3">
        <v>2064805</v>
      </c>
      <c r="B24" s="3" t="s">
        <v>40</v>
      </c>
      <c r="C24" s="4" t="s">
        <v>7</v>
      </c>
      <c r="D24" s="4" t="s">
        <v>5</v>
      </c>
      <c r="E24" s="4" t="s">
        <v>39</v>
      </c>
      <c r="F24" s="5">
        <v>2.95</v>
      </c>
    </row>
    <row r="25" spans="1:6" x14ac:dyDescent="0.25">
      <c r="A25" s="4" t="s">
        <v>74</v>
      </c>
      <c r="B25" s="4" t="s">
        <v>77</v>
      </c>
      <c r="C25" s="4" t="s">
        <v>76</v>
      </c>
      <c r="D25" s="4" t="s">
        <v>82</v>
      </c>
      <c r="E25" s="4" t="s">
        <v>75</v>
      </c>
      <c r="F25" s="5">
        <v>2.98</v>
      </c>
    </row>
    <row r="26" spans="1:6" x14ac:dyDescent="0.25">
      <c r="A26" s="3" t="s">
        <v>187</v>
      </c>
      <c r="B26" s="3" t="s">
        <v>188</v>
      </c>
      <c r="C26" s="4" t="s">
        <v>177</v>
      </c>
      <c r="D26" s="4" t="s">
        <v>82</v>
      </c>
      <c r="E26" s="4" t="s">
        <v>189</v>
      </c>
      <c r="F26" s="5">
        <v>1.95E-2</v>
      </c>
    </row>
    <row r="27" spans="1:6" x14ac:dyDescent="0.25">
      <c r="A27" s="3">
        <v>2380458</v>
      </c>
      <c r="B27" s="3" t="s">
        <v>59</v>
      </c>
      <c r="C27" s="4" t="s">
        <v>58</v>
      </c>
      <c r="D27" s="4" t="s">
        <v>5</v>
      </c>
      <c r="E27" s="4" t="s">
        <v>57</v>
      </c>
      <c r="F27" s="5">
        <v>3.7499999999999999E-2</v>
      </c>
    </row>
    <row r="28" spans="1:6" x14ac:dyDescent="0.25">
      <c r="A28" s="3">
        <v>9845356</v>
      </c>
      <c r="B28" s="3" t="s">
        <v>46</v>
      </c>
      <c r="C28" s="4" t="s">
        <v>45</v>
      </c>
      <c r="D28" s="4" t="s">
        <v>5</v>
      </c>
      <c r="E28" s="4" t="s">
        <v>44</v>
      </c>
      <c r="F28" s="5">
        <v>0.42199999999999999</v>
      </c>
    </row>
    <row r="29" spans="1:6" x14ac:dyDescent="0.25">
      <c r="A29" s="3" t="s">
        <v>190</v>
      </c>
      <c r="B29" s="3" t="s">
        <v>191</v>
      </c>
      <c r="C29" s="4" t="s">
        <v>177</v>
      </c>
      <c r="D29" s="4" t="s">
        <v>82</v>
      </c>
      <c r="E29" s="4" t="s">
        <v>192</v>
      </c>
      <c r="F29" s="5">
        <v>1.82</v>
      </c>
    </row>
    <row r="30" spans="1:6" x14ac:dyDescent="0.25">
      <c r="A30" s="3">
        <v>2461217</v>
      </c>
      <c r="B30" s="3" t="s">
        <v>16</v>
      </c>
      <c r="C30" s="4" t="s">
        <v>33</v>
      </c>
      <c r="D30" s="4" t="s">
        <v>5</v>
      </c>
      <c r="E30" s="4" t="s">
        <v>15</v>
      </c>
      <c r="F30" s="5">
        <v>0.20200000000000001</v>
      </c>
    </row>
    <row r="31" spans="1:6" x14ac:dyDescent="0.25">
      <c r="A31" s="3">
        <v>9451242</v>
      </c>
      <c r="B31" s="3" t="s">
        <v>14</v>
      </c>
      <c r="C31" s="4" t="s">
        <v>33</v>
      </c>
      <c r="D31" s="4" t="s">
        <v>5</v>
      </c>
      <c r="E31" s="4" t="s">
        <v>13</v>
      </c>
      <c r="F31" s="5">
        <v>5.1700000000000003E-2</v>
      </c>
    </row>
    <row r="32" spans="1:6" x14ac:dyDescent="0.25">
      <c r="A32" s="3" t="s">
        <v>163</v>
      </c>
      <c r="B32" s="3" t="s">
        <v>12</v>
      </c>
      <c r="C32" s="4" t="s">
        <v>33</v>
      </c>
      <c r="D32" s="4" t="s">
        <v>5</v>
      </c>
      <c r="E32" s="4" t="s">
        <v>11</v>
      </c>
      <c r="F32" s="5">
        <v>5.0900000000000001E-2</v>
      </c>
    </row>
    <row r="33" spans="1:6" x14ac:dyDescent="0.25">
      <c r="A33" s="3">
        <v>1576507</v>
      </c>
      <c r="B33" s="3" t="s">
        <v>61</v>
      </c>
      <c r="C33" s="4" t="s">
        <v>33</v>
      </c>
      <c r="D33" s="4" t="s">
        <v>5</v>
      </c>
      <c r="E33" s="4" t="s">
        <v>60</v>
      </c>
      <c r="F33" s="5">
        <v>4.4499999999999998E-2</v>
      </c>
    </row>
    <row r="34" spans="1:6" x14ac:dyDescent="0.25">
      <c r="A34" s="3">
        <v>2073701</v>
      </c>
      <c r="B34" s="3" t="s">
        <v>56</v>
      </c>
      <c r="C34" s="4" t="s">
        <v>33</v>
      </c>
      <c r="D34" s="4" t="s">
        <v>5</v>
      </c>
      <c r="E34" s="4" t="s">
        <v>55</v>
      </c>
      <c r="F34" s="5">
        <v>1.55E-2</v>
      </c>
    </row>
    <row r="35" spans="1:6" x14ac:dyDescent="0.25">
      <c r="A35" s="3">
        <v>2073779</v>
      </c>
      <c r="B35" s="3" t="s">
        <v>54</v>
      </c>
      <c r="C35" s="4" t="s">
        <v>33</v>
      </c>
      <c r="D35" s="4" t="s">
        <v>5</v>
      </c>
      <c r="E35" s="4" t="s">
        <v>53</v>
      </c>
      <c r="F35" s="5">
        <v>2.3E-2</v>
      </c>
    </row>
    <row r="36" spans="1:6" x14ac:dyDescent="0.25">
      <c r="A36" s="3">
        <v>1851909</v>
      </c>
      <c r="B36" s="3" t="s">
        <v>24</v>
      </c>
      <c r="C36" s="4" t="s">
        <v>94</v>
      </c>
      <c r="D36" s="4" t="s">
        <v>5</v>
      </c>
      <c r="E36" s="4" t="s">
        <v>23</v>
      </c>
      <c r="F36" s="5">
        <v>0.51600000000000001</v>
      </c>
    </row>
    <row r="37" spans="1:6" x14ac:dyDescent="0.25">
      <c r="A37" s="3">
        <v>8540829</v>
      </c>
      <c r="B37" s="3" t="s">
        <v>18</v>
      </c>
      <c r="C37" s="4" t="s">
        <v>94</v>
      </c>
      <c r="D37" s="4" t="s">
        <v>5</v>
      </c>
      <c r="E37" s="4" t="s">
        <v>17</v>
      </c>
      <c r="F37" s="5">
        <v>0.246</v>
      </c>
    </row>
    <row r="38" spans="1:6" x14ac:dyDescent="0.25">
      <c r="A38" s="3" t="s">
        <v>103</v>
      </c>
      <c r="B38" s="6" t="s">
        <v>101</v>
      </c>
      <c r="C38" s="4" t="s">
        <v>94</v>
      </c>
      <c r="D38" s="4" t="s">
        <v>5</v>
      </c>
      <c r="E38" s="4" t="s">
        <v>102</v>
      </c>
      <c r="F38" s="5">
        <v>0.34</v>
      </c>
    </row>
    <row r="39" spans="1:6" x14ac:dyDescent="0.25">
      <c r="A39" s="3" t="s">
        <v>106</v>
      </c>
      <c r="B39" s="3" t="s">
        <v>105</v>
      </c>
      <c r="C39" s="4" t="s">
        <v>94</v>
      </c>
      <c r="D39" s="4" t="s">
        <v>5</v>
      </c>
      <c r="E39" s="4" t="s">
        <v>104</v>
      </c>
      <c r="F39" s="5">
        <v>0.44600000000000001</v>
      </c>
    </row>
    <row r="40" spans="1:6" x14ac:dyDescent="0.25">
      <c r="A40" s="3" t="s">
        <v>99</v>
      </c>
      <c r="B40" s="6" t="s">
        <v>100</v>
      </c>
      <c r="C40" s="4" t="s">
        <v>94</v>
      </c>
      <c r="D40" s="4" t="s">
        <v>5</v>
      </c>
      <c r="E40" s="4" t="s">
        <v>104</v>
      </c>
      <c r="F40" s="5">
        <v>0.44600000000000001</v>
      </c>
    </row>
    <row r="41" spans="1:6" x14ac:dyDescent="0.25">
      <c r="A41" s="3">
        <v>1332159</v>
      </c>
      <c r="B41" s="3" t="s">
        <v>22</v>
      </c>
      <c r="C41" s="4" t="s">
        <v>94</v>
      </c>
      <c r="D41" s="4" t="s">
        <v>5</v>
      </c>
      <c r="E41" s="4" t="s">
        <v>21</v>
      </c>
      <c r="F41" s="5">
        <v>0.57499999999999996</v>
      </c>
    </row>
    <row r="42" spans="1:6" x14ac:dyDescent="0.25">
      <c r="A42" s="3">
        <v>2694097</v>
      </c>
      <c r="B42" s="3" t="s">
        <v>63</v>
      </c>
      <c r="C42" s="4" t="s">
        <v>33</v>
      </c>
      <c r="D42" s="4" t="s">
        <v>5</v>
      </c>
      <c r="E42" s="4" t="s">
        <v>62</v>
      </c>
      <c r="F42" s="5">
        <v>2.3900000000000001E-2</v>
      </c>
    </row>
    <row r="43" spans="1:6" x14ac:dyDescent="0.25">
      <c r="A43" s="3">
        <v>2447573</v>
      </c>
      <c r="B43" s="3" t="s">
        <v>52</v>
      </c>
      <c r="C43" s="4" t="s">
        <v>51</v>
      </c>
      <c r="D43" s="4" t="s">
        <v>5</v>
      </c>
      <c r="E43" s="4" t="s">
        <v>50</v>
      </c>
      <c r="F43" s="5">
        <v>1.0999999999999999E-2</v>
      </c>
    </row>
    <row r="44" spans="1:6" x14ac:dyDescent="0.25">
      <c r="A44" s="3">
        <v>2677151</v>
      </c>
      <c r="B44" s="3" t="s">
        <v>27</v>
      </c>
      <c r="C44" s="4" t="s">
        <v>45</v>
      </c>
      <c r="D44" s="4" t="s">
        <v>5</v>
      </c>
      <c r="E44" s="4" t="s">
        <v>25</v>
      </c>
      <c r="F44" s="5">
        <v>0.26500000000000001</v>
      </c>
    </row>
    <row r="45" spans="1:6" x14ac:dyDescent="0.25">
      <c r="A45" s="4" t="s">
        <v>70</v>
      </c>
      <c r="B45" s="4" t="s">
        <v>73</v>
      </c>
      <c r="C45" s="4" t="s">
        <v>72</v>
      </c>
      <c r="D45" s="4" t="s">
        <v>82</v>
      </c>
      <c r="E45" s="4" t="s">
        <v>71</v>
      </c>
      <c r="F45" s="5">
        <v>1.07</v>
      </c>
    </row>
    <row r="46" spans="1:6" x14ac:dyDescent="0.25">
      <c r="A46" s="4" t="s">
        <v>152</v>
      </c>
      <c r="B46" s="4" t="s">
        <v>153</v>
      </c>
      <c r="C46" s="4" t="s">
        <v>80</v>
      </c>
      <c r="D46" s="4" t="s">
        <v>82</v>
      </c>
      <c r="E46" s="4" t="s">
        <v>154</v>
      </c>
      <c r="F46" s="5">
        <v>1.53</v>
      </c>
    </row>
    <row r="47" spans="1:6" x14ac:dyDescent="0.25">
      <c r="A47" s="4" t="s">
        <v>78</v>
      </c>
      <c r="B47" s="4" t="s">
        <v>81</v>
      </c>
      <c r="C47" s="4" t="s">
        <v>80</v>
      </c>
      <c r="D47" s="4" t="s">
        <v>82</v>
      </c>
      <c r="E47" s="4" t="s">
        <v>79</v>
      </c>
      <c r="F47" s="5">
        <v>1.57</v>
      </c>
    </row>
    <row r="48" spans="1:6" x14ac:dyDescent="0.25">
      <c r="A48" s="4" t="s">
        <v>146</v>
      </c>
      <c r="B48" s="4" t="s">
        <v>147</v>
      </c>
      <c r="C48" s="4" t="s">
        <v>80</v>
      </c>
      <c r="D48" s="4" t="s">
        <v>82</v>
      </c>
      <c r="E48" s="4" t="s">
        <v>148</v>
      </c>
      <c r="F48" s="5">
        <v>1.47</v>
      </c>
    </row>
    <row r="49" spans="1:6" x14ac:dyDescent="0.25">
      <c r="A49" s="4" t="s">
        <v>149</v>
      </c>
      <c r="B49" s="4" t="s">
        <v>150</v>
      </c>
      <c r="C49" s="4" t="s">
        <v>80</v>
      </c>
      <c r="D49" s="4" t="s">
        <v>82</v>
      </c>
      <c r="E49" s="4" t="s">
        <v>151</v>
      </c>
      <c r="F49" s="5">
        <v>1.43</v>
      </c>
    </row>
    <row r="50" spans="1:6" x14ac:dyDescent="0.25">
      <c r="A50" s="4" t="s">
        <v>64</v>
      </c>
      <c r="B50" s="4" t="s">
        <v>158</v>
      </c>
      <c r="C50" s="4" t="s">
        <v>95</v>
      </c>
      <c r="D50" s="4" t="s">
        <v>82</v>
      </c>
      <c r="E50" s="4" t="s">
        <v>66</v>
      </c>
      <c r="F50" s="5">
        <v>15.9</v>
      </c>
    </row>
    <row r="51" spans="1:6" x14ac:dyDescent="0.25">
      <c r="A51" s="3">
        <v>1779259</v>
      </c>
      <c r="B51" s="3" t="s">
        <v>43</v>
      </c>
      <c r="C51" s="4" t="s">
        <v>7</v>
      </c>
      <c r="D51" s="4" t="s">
        <v>5</v>
      </c>
      <c r="E51" s="4" t="s">
        <v>41</v>
      </c>
      <c r="F51" s="5">
        <v>0.27100000000000002</v>
      </c>
    </row>
    <row r="52" spans="1:6" x14ac:dyDescent="0.25">
      <c r="A52" s="3" t="s">
        <v>196</v>
      </c>
      <c r="B52" s="3" t="s">
        <v>197</v>
      </c>
      <c r="C52" s="4" t="s">
        <v>177</v>
      </c>
      <c r="D52" s="4" t="s">
        <v>82</v>
      </c>
      <c r="E52" s="4" t="s">
        <v>198</v>
      </c>
      <c r="F52" s="5">
        <v>15.95</v>
      </c>
    </row>
    <row r="53" spans="1:6" x14ac:dyDescent="0.25">
      <c r="A53" s="3" t="s">
        <v>137</v>
      </c>
      <c r="B53" s="3" t="s">
        <v>136</v>
      </c>
      <c r="C53" s="4" t="s">
        <v>127</v>
      </c>
      <c r="D53" s="4" t="s">
        <v>5</v>
      </c>
      <c r="E53" s="4" t="s">
        <v>135</v>
      </c>
      <c r="F53" s="5">
        <v>0.27100000000000002</v>
      </c>
    </row>
    <row r="54" spans="1:6" x14ac:dyDescent="0.25">
      <c r="A54" s="3">
        <v>1287598</v>
      </c>
      <c r="B54" s="3" t="s">
        <v>9</v>
      </c>
      <c r="C54" s="4" t="s">
        <v>7</v>
      </c>
      <c r="D54" s="4" t="s">
        <v>5</v>
      </c>
      <c r="E54" s="4" t="s">
        <v>10</v>
      </c>
      <c r="F54" s="5">
        <v>0.33100000000000002</v>
      </c>
    </row>
    <row r="55" spans="1:6" x14ac:dyDescent="0.25">
      <c r="A55" s="3" t="s">
        <v>121</v>
      </c>
      <c r="B55" s="3" t="s">
        <v>120</v>
      </c>
      <c r="C55" s="4" t="s">
        <v>33</v>
      </c>
      <c r="D55" s="4" t="s">
        <v>5</v>
      </c>
      <c r="E55" s="4" t="s">
        <v>119</v>
      </c>
      <c r="F55" s="5">
        <v>0.26500000000000001</v>
      </c>
    </row>
    <row r="56" spans="1:6" x14ac:dyDescent="0.25">
      <c r="A56" s="3" t="s">
        <v>193</v>
      </c>
      <c r="B56" s="3" t="s">
        <v>194</v>
      </c>
      <c r="C56" s="4" t="s">
        <v>177</v>
      </c>
      <c r="D56" s="4" t="s">
        <v>82</v>
      </c>
      <c r="E56" s="4" t="s">
        <v>195</v>
      </c>
      <c r="F56" s="5">
        <v>2.64</v>
      </c>
    </row>
    <row r="57" spans="1:6" x14ac:dyDescent="0.25">
      <c r="A57" s="3">
        <v>1141380</v>
      </c>
      <c r="B57" s="3" t="s">
        <v>49</v>
      </c>
      <c r="C57" s="4" t="s">
        <v>48</v>
      </c>
      <c r="D57" s="4" t="s">
        <v>5</v>
      </c>
      <c r="E57" s="4" t="s">
        <v>47</v>
      </c>
      <c r="F57" s="5">
        <v>1.62</v>
      </c>
    </row>
    <row r="58" spans="1:6" x14ac:dyDescent="0.25">
      <c r="A58" s="3" t="s">
        <v>130</v>
      </c>
      <c r="B58" s="3" t="s">
        <v>129</v>
      </c>
      <c r="C58" s="4" t="s">
        <v>127</v>
      </c>
      <c r="D58" s="4" t="s">
        <v>5</v>
      </c>
      <c r="E58" s="4" t="s">
        <v>131</v>
      </c>
      <c r="F58" s="5">
        <v>0.54600000000000004</v>
      </c>
    </row>
    <row r="59" spans="1:6" x14ac:dyDescent="0.25">
      <c r="A59" s="3" t="s">
        <v>128</v>
      </c>
      <c r="B59" s="3" t="s">
        <v>126</v>
      </c>
      <c r="C59" s="4" t="s">
        <v>127</v>
      </c>
      <c r="D59" s="4" t="s">
        <v>5</v>
      </c>
      <c r="E59" s="4" t="s">
        <v>125</v>
      </c>
      <c r="F59" s="5">
        <v>0.68600000000000005</v>
      </c>
    </row>
    <row r="60" spans="1:6" x14ac:dyDescent="0.25">
      <c r="A60" s="4" t="s">
        <v>143</v>
      </c>
      <c r="B60" s="4" t="s">
        <v>144</v>
      </c>
      <c r="C60" s="4" t="s">
        <v>161</v>
      </c>
      <c r="D60" s="4" t="s">
        <v>82</v>
      </c>
      <c r="E60" s="4" t="s">
        <v>145</v>
      </c>
      <c r="F60" s="5">
        <v>2.52</v>
      </c>
    </row>
    <row r="61" spans="1:6" x14ac:dyDescent="0.25">
      <c r="A61" s="3">
        <v>2896645</v>
      </c>
      <c r="B61" s="3" t="s">
        <v>36</v>
      </c>
      <c r="C61" s="4" t="s">
        <v>42</v>
      </c>
      <c r="D61" s="4" t="s">
        <v>5</v>
      </c>
      <c r="E61" s="4" t="s">
        <v>35</v>
      </c>
      <c r="F61" s="5">
        <v>0.106</v>
      </c>
    </row>
    <row r="62" spans="1:6" x14ac:dyDescent="0.25">
      <c r="A62" s="3">
        <v>2682731</v>
      </c>
      <c r="B62" s="3" t="s">
        <v>20</v>
      </c>
      <c r="C62" s="4" t="s">
        <v>42</v>
      </c>
      <c r="D62" s="4" t="s">
        <v>5</v>
      </c>
      <c r="E62" s="4" t="s">
        <v>19</v>
      </c>
      <c r="F62" s="5">
        <v>3.64</v>
      </c>
    </row>
    <row r="63" spans="1:6" x14ac:dyDescent="0.25">
      <c r="A63" s="3" t="s">
        <v>181</v>
      </c>
      <c r="B63" s="3" t="s">
        <v>182</v>
      </c>
      <c r="C63" s="4" t="s">
        <v>177</v>
      </c>
      <c r="D63" s="4" t="s">
        <v>82</v>
      </c>
      <c r="E63" s="4" t="s">
        <v>183</v>
      </c>
      <c r="F63" s="5">
        <v>0.8</v>
      </c>
    </row>
    <row r="64" spans="1:6" x14ac:dyDescent="0.25">
      <c r="A64" s="3" t="s">
        <v>184</v>
      </c>
      <c r="B64" s="3" t="s">
        <v>185</v>
      </c>
      <c r="C64" s="4" t="s">
        <v>177</v>
      </c>
      <c r="D64" s="4" t="s">
        <v>82</v>
      </c>
      <c r="E64" s="4" t="s">
        <v>186</v>
      </c>
      <c r="F64" s="5">
        <v>1.06</v>
      </c>
    </row>
  </sheetData>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05E7D-9139-456E-9221-4F89CF92C083}">
  <sheetPr codeName="Sheet9">
    <tabColor rgb="FF92D050"/>
  </sheetPr>
  <dimension ref="A1:O11"/>
  <sheetViews>
    <sheetView zoomScaleNormal="100" workbookViewId="0">
      <pane ySplit="1" topLeftCell="A2" activePane="bottomLeft" state="frozen"/>
      <selection pane="bottomLeft" activeCell="A2" sqref="A2"/>
    </sheetView>
  </sheetViews>
  <sheetFormatPr defaultRowHeight="15" x14ac:dyDescent="0.25"/>
  <cols>
    <col min="1" max="1" width="26.85546875" bestFit="1" customWidth="1"/>
    <col min="2" max="2" width="19" customWidth="1"/>
    <col min="3" max="3" width="20.28515625" customWidth="1"/>
    <col min="4" max="4" width="10.28515625" bestFit="1" customWidth="1"/>
    <col min="5" max="5" width="9" bestFit="1" customWidth="1"/>
    <col min="6" max="6" width="34.5703125" customWidth="1"/>
    <col min="7" max="7" width="10" bestFit="1" customWidth="1"/>
    <col min="8" max="9" width="12" bestFit="1" customWidth="1"/>
    <col min="10" max="10" width="11" style="26" bestFit="1" customWidth="1"/>
    <col min="11" max="11" width="12.5703125" style="26" bestFit="1" customWidth="1"/>
    <col min="12" max="12" width="12.5703125" style="19" customWidth="1"/>
    <col min="13" max="13" width="32.5703125" style="19" bestFit="1" customWidth="1"/>
    <col min="14" max="14" width="21.140625" style="24" customWidth="1"/>
    <col min="15" max="15" width="28.7109375" style="24" bestFit="1" customWidth="1"/>
  </cols>
  <sheetData>
    <row r="1" spans="1:15" ht="15.75" thickBot="1" x14ac:dyDescent="0.3">
      <c r="A1" s="2" t="s">
        <v>1</v>
      </c>
      <c r="B1" s="2" t="s">
        <v>245</v>
      </c>
      <c r="C1" s="2" t="s">
        <v>6</v>
      </c>
      <c r="D1" s="2" t="s">
        <v>4</v>
      </c>
      <c r="E1" s="2" t="s">
        <v>207</v>
      </c>
      <c r="F1" s="21" t="s">
        <v>2</v>
      </c>
      <c r="G1" s="2" t="s">
        <v>3</v>
      </c>
      <c r="H1" s="27" t="s">
        <v>242</v>
      </c>
      <c r="I1" s="18" t="s">
        <v>8</v>
      </c>
      <c r="J1" s="32" t="s">
        <v>138</v>
      </c>
      <c r="K1" s="29" t="s">
        <v>243</v>
      </c>
      <c r="L1" s="29" t="s">
        <v>223</v>
      </c>
      <c r="M1" s="29" t="s">
        <v>225</v>
      </c>
      <c r="N1" s="23"/>
      <c r="O1" s="4"/>
    </row>
    <row r="2" spans="1:15" x14ac:dyDescent="0.25">
      <c r="A2" s="4"/>
      <c r="B2" s="4"/>
      <c r="C2" s="4"/>
      <c r="D2" s="4"/>
      <c r="E2" s="4"/>
      <c r="F2" s="4"/>
      <c r="G2" s="4"/>
      <c r="H2" s="4"/>
      <c r="I2" s="4"/>
      <c r="J2" s="25">
        <f>ROUNDUP(Table8[[#This Row],[Min Stock]]-Table8[[#This Row],[In stock]],0)</f>
        <v>0</v>
      </c>
      <c r="K2" s="28">
        <f>Table8[[#This Row],[Quantity]]*Table8[[#This Row],[Unit price]]</f>
        <v>0</v>
      </c>
      <c r="L2" s="30">
        <f>Table8[[#This Row],[Quantity]]</f>
        <v>0</v>
      </c>
      <c r="M2" s="30">
        <f>Table8[[#This Row],[Ret. Art. Number]]</f>
        <v>0</v>
      </c>
      <c r="O2"/>
    </row>
    <row r="3" spans="1:15" x14ac:dyDescent="0.25">
      <c r="A3" s="4"/>
      <c r="B3" s="4"/>
      <c r="C3" s="4"/>
      <c r="D3" s="4"/>
      <c r="E3" s="4"/>
      <c r="F3" s="4"/>
      <c r="G3" s="4"/>
      <c r="H3" s="4"/>
      <c r="I3" s="4"/>
      <c r="J3" s="25">
        <f>ROUNDUP(Table8[[#This Row],[Min Stock]]-Table8[[#This Row],[In stock]],0)</f>
        <v>0</v>
      </c>
      <c r="K3" s="28">
        <f>Table8[[#This Row],[Quantity]]*Table8[[#This Row],[Unit price]]</f>
        <v>0</v>
      </c>
      <c r="L3" s="30">
        <f>Table8[[#This Row],[Quantity]]</f>
        <v>0</v>
      </c>
      <c r="M3" s="30">
        <f>Table8[[#This Row],[Ret. Art. Number]]</f>
        <v>0</v>
      </c>
      <c r="O3"/>
    </row>
    <row r="4" spans="1:15" x14ac:dyDescent="0.25">
      <c r="A4" s="4" t="s">
        <v>244</v>
      </c>
      <c r="B4" s="4"/>
      <c r="C4" s="4"/>
      <c r="D4" s="4"/>
      <c r="E4" s="4"/>
      <c r="F4" s="4"/>
      <c r="G4" s="4"/>
      <c r="H4" s="4"/>
      <c r="I4" s="4"/>
      <c r="J4" s="28"/>
      <c r="K4" s="25">
        <f>SUBTOTAL(109,Table8[Total price])</f>
        <v>0</v>
      </c>
      <c r="L4" s="31"/>
      <c r="M4" s="31"/>
    </row>
    <row r="5" spans="1:15" x14ac:dyDescent="0.25"/>
    <row r="8" spans="1:15" x14ac:dyDescent="0.25"/>
    <row r="11" spans="1:15" x14ac:dyDescent="0.25"/>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btn_ClearCommands">
                <anchor>
                  <from>
                    <xdr:col>13</xdr:col>
                    <xdr:colOff>333375</xdr:colOff>
                    <xdr:row>1</xdr:row>
                    <xdr:rowOff>0</xdr:rowOff>
                  </from>
                  <to>
                    <xdr:col>14</xdr:col>
                    <xdr:colOff>0</xdr:colOff>
                    <xdr:row>3</xdr:row>
                    <xdr:rowOff>0</xdr:rowOff>
                  </to>
                </anchor>
              </controlPr>
            </control>
          </mc:Choice>
        </mc:AlternateContent>
        <mc:AlternateContent xmlns:mc="http://schemas.openxmlformats.org/markup-compatibility/2006">
          <mc:Choice Requires="x14">
            <control shapeId="3080" r:id="rId4" name="Button 8">
              <controlPr defaultSize="0" print="0" autoFill="0" autoPict="0" macro="[0]!InsertCmdRow_Click">
                <anchor>
                  <from>
                    <xdr:col>13</xdr:col>
                    <xdr:colOff>333375</xdr:colOff>
                    <xdr:row>4</xdr:row>
                    <xdr:rowOff>0</xdr:rowOff>
                  </from>
                  <to>
                    <xdr:col>14</xdr:col>
                    <xdr:colOff>0</xdr:colOff>
                    <xdr:row>6</xdr:row>
                    <xdr:rowOff>0</xdr:rowOff>
                  </to>
                </anchor>
              </controlPr>
            </control>
          </mc:Choice>
        </mc:AlternateContent>
        <mc:AlternateContent xmlns:mc="http://schemas.openxmlformats.org/markup-compatibility/2006">
          <mc:Choice Requires="x14">
            <control shapeId="3083" r:id="rId5" name="Button 11">
              <controlPr defaultSize="0" print="0" autoFill="0" autoPict="0" macro="[0]!ResetFirstsLines_Click">
                <anchor>
                  <from>
                    <xdr:col>13</xdr:col>
                    <xdr:colOff>333375</xdr:colOff>
                    <xdr:row>7</xdr:row>
                    <xdr:rowOff>0</xdr:rowOff>
                  </from>
                  <to>
                    <xdr:col>14</xdr:col>
                    <xdr:colOff>0</xdr:colOff>
                    <xdr:row>9</xdr:row>
                    <xdr:rowOff>0</xdr:rowOff>
                  </to>
                </anchor>
              </controlPr>
            </control>
          </mc:Choice>
        </mc:AlternateContent>
        <mc:AlternateContent xmlns:mc="http://schemas.openxmlformats.org/markup-compatibility/2006">
          <mc:Choice Requires="x14">
            <control shapeId="3091" r:id="rId6" name="Button 19">
              <controlPr defaultSize="0" print="0" autoFill="0" autoPict="0" macro="[0]!btn_CreateOrder">
                <anchor>
                  <from>
                    <xdr:col>13</xdr:col>
                    <xdr:colOff>333375</xdr:colOff>
                    <xdr:row>10</xdr:row>
                    <xdr:rowOff>0</xdr:rowOff>
                  </from>
                  <to>
                    <xdr:col>14</xdr:col>
                    <xdr:colOff>0</xdr:colOff>
                    <xdr:row>12</xdr:row>
                    <xdr:rowOff>0</xdr:rowOff>
                  </to>
                </anchor>
              </controlPr>
            </control>
          </mc:Choice>
        </mc:AlternateContent>
      </controls>
    </mc:Choice>
  </mc:AlternateContent>
  <tableParts count="1">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FFC8B-7ABF-4F44-9C58-DD0CA6E6148C}">
  <sheetPr codeName="Sheet13"/>
  <dimension ref="A1:K16"/>
  <sheetViews>
    <sheetView workbookViewId="0">
      <pane ySplit="1" topLeftCell="A2" activePane="bottomLeft" state="frozen"/>
      <selection activeCell="B45" sqref="B45"/>
      <selection pane="bottomLeft" activeCell="A2" sqref="A2"/>
    </sheetView>
  </sheetViews>
  <sheetFormatPr defaultRowHeight="15" x14ac:dyDescent="0.25"/>
  <cols>
    <col min="1" max="1" width="22.42578125" style="3" bestFit="1" customWidth="1"/>
    <col min="2" max="2" width="80.85546875" style="4" bestFit="1" customWidth="1"/>
    <col min="3" max="3" width="12.42578125" style="4" bestFit="1" customWidth="1"/>
    <col min="4" max="4" width="11" style="4" bestFit="1" customWidth="1"/>
    <col min="5" max="5" width="10" style="4" bestFit="1" customWidth="1"/>
    <col min="6" max="6" width="11.5703125" bestFit="1" customWidth="1"/>
    <col min="7" max="7" width="15.7109375" customWidth="1"/>
    <col min="8" max="8" width="16.28515625" customWidth="1"/>
    <col min="9" max="10" width="9.85546875" customWidth="1"/>
    <col min="11" max="11" width="2" customWidth="1"/>
    <col min="12" max="12" width="9.140625" customWidth="1"/>
  </cols>
  <sheetData>
    <row r="1" spans="1:11" ht="15.75" thickBot="1" x14ac:dyDescent="0.3">
      <c r="A1" s="2" t="s">
        <v>0</v>
      </c>
      <c r="B1" s="2" t="s">
        <v>2</v>
      </c>
      <c r="C1" s="2" t="s">
        <v>212</v>
      </c>
      <c r="D1" s="2" t="s">
        <v>138</v>
      </c>
      <c r="E1" s="2" t="s">
        <v>3</v>
      </c>
      <c r="F1" s="7" t="s">
        <v>165</v>
      </c>
      <c r="G1" s="7" t="s">
        <v>167</v>
      </c>
      <c r="H1" s="7" t="s">
        <v>175</v>
      </c>
      <c r="J1" s="9" t="s">
        <v>166</v>
      </c>
      <c r="K1" s="4">
        <v>1</v>
      </c>
    </row>
    <row r="2" spans="1:11" x14ac:dyDescent="0.25">
      <c r="A2" s="3" t="s">
        <v>210</v>
      </c>
      <c r="B2" s="4" t="e">
        <f>VLOOKUP(Table146811[[#This Row],[Man. Number]],Articles!A:E,COLUMN(Articles!$D$1)-COLUMN(Articles!$A$1)+1,FALSE)</f>
        <v>#N/A</v>
      </c>
      <c r="C2" s="4" t="s">
        <v>211</v>
      </c>
      <c r="D2" s="4" t="s">
        <v>209</v>
      </c>
      <c r="E2" s="4" t="e">
        <f>VLOOKUP(Table146811[[#This Row],[Man. Number]],Articles!A:E,COLUMN(Articles!$E$1)-COLUMN(Articles!$A$1)+1,FALSE)</f>
        <v>#N/A</v>
      </c>
      <c r="F2" s="4" t="e">
        <f>IF(Table146811[[#This Row],[In stock]] &gt;= Table146811[[#This Row],[Quantity]],"YES","NO")</f>
        <v>#N/A</v>
      </c>
      <c r="G2" s="4" t="e">
        <f>Table146811[[#This Row],[Quantity]]*$K$1</f>
        <v>#VALUE!</v>
      </c>
      <c r="H2" s="4" t="e">
        <f>IF(Table146811[[#This Row],[In stock]] &gt;= Table146811[[#This Row],[Total quantity]],"YES","NO")</f>
        <v>#N/A</v>
      </c>
    </row>
    <row r="3" spans="1:11" x14ac:dyDescent="0.25">
      <c r="A3" s="43" t="s">
        <v>147</v>
      </c>
      <c r="B3" s="48" t="str">
        <f>VLOOKUP(Table146811[[#This Row],[Man. Number]],Articles!A:E,COLUMN(Articles!$D$1)-COLUMN(Articles!$A$1)+1,FALSE)</f>
        <v>IC MCU 8BIT 7KB FLASH 20SSOP</v>
      </c>
      <c r="C3" s="4" t="s">
        <v>205</v>
      </c>
      <c r="D3" s="4">
        <v>1</v>
      </c>
      <c r="E3" s="4">
        <f>VLOOKUP(Table146811[[#This Row],[Man. Number]],Articles!A:E,COLUMN(Articles!$E$1)-COLUMN(Articles!$A$1)+1,FALSE)</f>
        <v>3</v>
      </c>
      <c r="F3" s="48" t="str">
        <f>IF(Table146811[[#This Row],[In stock]] &gt;= Table146811[[#This Row],[Quantity]],"YES","NO")</f>
        <v>YES</v>
      </c>
      <c r="G3" s="48">
        <f>Table146811[[#This Row],[Quantity]]*$K$1</f>
        <v>1</v>
      </c>
      <c r="H3" s="48" t="str">
        <f>IF(Table146811[[#This Row],[In stock]] &gt;= Table146811[[#This Row],[Total quantity]],"YES","NO")</f>
        <v>YES</v>
      </c>
    </row>
    <row r="16" spans="1:11" x14ac:dyDescent="0.25"/>
  </sheetData>
  <conditionalFormatting sqref="F2:H1048576">
    <cfRule type="containsText" dxfId="25" priority="2" operator="containsText" text="NO">
      <formula>NOT(ISERROR(SEARCH("NO",F2)))</formula>
    </cfRule>
  </conditionalFormatting>
  <conditionalFormatting sqref="A3">
    <cfRule type="duplicateValues" dxfId="24" priority="1"/>
  </conditionalFormatting>
  <dataValidations count="1">
    <dataValidation type="whole" errorStyle="warning" operator="greaterThan" showErrorMessage="1" errorTitle="Invalid value" error="The multiplier has to be a whole number greater than 0." sqref="K1" xr:uid="{266625BE-A37D-4F09-A010-9A6AA5DD79B9}">
      <formula1>0</formula1>
    </dataValidation>
  </dataValidations>
  <pageMargins left="0.7" right="0.7" top="0.75" bottom="0.75" header="0.3" footer="0.3"/>
  <pageSetup paperSize="9" orientation="portrait" horizontalDpi="4294967293"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13595-1784-431F-A71E-80AD20BDD4E8}">
  <sheetPr codeName="Sheet11"/>
  <dimension ref="A1:K2"/>
  <sheetViews>
    <sheetView zoomScaleNormal="100" workbookViewId="0">
      <pane ySplit="1" topLeftCell="A2" activePane="bottomLeft" state="frozen"/>
      <selection pane="bottomLeft" activeCell="A2" sqref="A2"/>
    </sheetView>
  </sheetViews>
  <sheetFormatPr defaultRowHeight="15" x14ac:dyDescent="0.25"/>
  <cols>
    <col min="1" max="1" width="22.42578125" style="3" bestFit="1" customWidth="1"/>
    <col min="2" max="2" width="80.85546875" style="4" bestFit="1" customWidth="1"/>
    <col min="3" max="3" width="12.42578125" style="4" bestFit="1" customWidth="1"/>
    <col min="4" max="4" width="11" style="4" bestFit="1" customWidth="1"/>
    <col min="5" max="5" width="10" style="4" bestFit="1" customWidth="1"/>
    <col min="6" max="6" width="11.5703125" bestFit="1" customWidth="1"/>
    <col min="7" max="7" width="15.7109375" customWidth="1"/>
    <col min="8" max="8" width="16.28515625" customWidth="1"/>
    <col min="9" max="10" width="9.85546875" customWidth="1"/>
    <col min="11" max="11" width="2" customWidth="1"/>
    <col min="12" max="12" width="9.140625" customWidth="1"/>
  </cols>
  <sheetData>
    <row r="1" spans="1:11" ht="15.75" thickBot="1" x14ac:dyDescent="0.3">
      <c r="A1" s="2" t="s">
        <v>0</v>
      </c>
      <c r="B1" s="2" t="s">
        <v>2</v>
      </c>
      <c r="C1" s="2" t="s">
        <v>212</v>
      </c>
      <c r="D1" s="2" t="s">
        <v>138</v>
      </c>
      <c r="E1" s="2" t="s">
        <v>3</v>
      </c>
      <c r="F1" s="7" t="s">
        <v>165</v>
      </c>
      <c r="G1" s="7" t="s">
        <v>167</v>
      </c>
      <c r="H1" s="7" t="s">
        <v>175</v>
      </c>
      <c r="J1" s="9" t="s">
        <v>166</v>
      </c>
      <c r="K1" s="4">
        <v>1</v>
      </c>
    </row>
    <row r="2" spans="1:11" x14ac:dyDescent="0.25">
      <c r="A2" s="3" t="s">
        <v>210</v>
      </c>
      <c r="B2" s="4" t="e">
        <f>VLOOKUP(Table1468[[#This Row],[Man. Number]],Articles!A:E,COLUMN(Articles!$D$1)-COLUMN(Articles!$A$1)+1,FALSE)</f>
        <v>#N/A</v>
      </c>
      <c r="C2" s="4" t="s">
        <v>211</v>
      </c>
      <c r="D2" s="4" t="s">
        <v>209</v>
      </c>
      <c r="E2" s="4" t="e">
        <f>VLOOKUP(Table1468[[#This Row],[Man. Number]],Articles!A:E,COLUMN(Articles!$E$1)-COLUMN(Articles!$A$1)+1,FALSE)</f>
        <v>#N/A</v>
      </c>
      <c r="F2" s="4" t="e">
        <f>IF(Table1468[[#This Row],[In stock]] &gt;= Table1468[[#This Row],[Quantity]],"YES","NO")</f>
        <v>#N/A</v>
      </c>
      <c r="G2" s="4" t="e">
        <f>Table1468[[#This Row],[Quantity]]*$K$1</f>
        <v>#VALUE!</v>
      </c>
      <c r="H2" s="4" t="e">
        <f>IF(Table1468[[#This Row],[In stock]] &gt;= Table1468[[#This Row],[Total quantity]],"YES","NO")</f>
        <v>#N/A</v>
      </c>
    </row>
  </sheetData>
  <conditionalFormatting sqref="F2:H1048576">
    <cfRule type="containsText" dxfId="12" priority="3" operator="containsText" text="NO">
      <formula>NOT(ISERROR(SEARCH("NO",F2)))</formula>
    </cfRule>
  </conditionalFormatting>
  <dataValidations count="1">
    <dataValidation type="whole" errorStyle="warning" operator="greaterThan" showErrorMessage="1" errorTitle="Invalid value" error="The multiplier has to be a whole number greater than 0." sqref="K1" xr:uid="{15B4F726-3894-4EC9-BE49-619C8AAAFE2E}">
      <formula1>0</formula1>
    </dataValidation>
  </dataValidations>
  <pageMargins left="0.7" right="0.7" top="0.75" bottom="0.75" header="0.3" footer="0.3"/>
  <pageSetup paperSize="9" orientation="portrait" horizontalDpi="4294967293"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32E5D-A702-4303-A987-7B4F880F0FE4}">
  <sheetPr codeName="Sheet7">
    <tabColor rgb="FFFFC000"/>
  </sheetPr>
  <dimension ref="A1:C7"/>
  <sheetViews>
    <sheetView workbookViewId="0"/>
  </sheetViews>
  <sheetFormatPr defaultRowHeight="15" x14ac:dyDescent="0.25"/>
  <cols>
    <col min="1" max="1" width="9" customWidth="1"/>
    <col min="2" max="2" width="20.140625" bestFit="1" customWidth="1"/>
    <col min="3" max="3" width="19.7109375" bestFit="1" customWidth="1"/>
    <col min="4" max="4" width="17.5703125" bestFit="1" customWidth="1"/>
  </cols>
  <sheetData>
    <row r="1" spans="1:3" x14ac:dyDescent="0.25">
      <c r="A1" t="s">
        <v>263</v>
      </c>
    </row>
    <row r="3" spans="1:3" s="49" customFormat="1" ht="15" customHeight="1" x14ac:dyDescent="0.35"/>
    <row r="6" spans="1:3" x14ac:dyDescent="0.25">
      <c r="A6" t="s">
        <v>199</v>
      </c>
      <c r="B6" t="s">
        <v>200</v>
      </c>
      <c r="C6" t="s">
        <v>201</v>
      </c>
    </row>
    <row r="7" spans="1:3" x14ac:dyDescent="0.25">
      <c r="A7">
        <v>0</v>
      </c>
      <c r="B7" t="s">
        <v>262</v>
      </c>
      <c r="C7" t="s">
        <v>263</v>
      </c>
    </row>
  </sheetData>
  <pageMargins left="0.7" right="0.7" top="0.75" bottom="0.75" header="0.3" footer="0.3"/>
  <pageSetup paperSize="9"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C0591-378F-407D-9187-FF7FBFD31CE1}">
  <sheetPr codeName="Sheet8">
    <tabColor theme="4" tint="0.39997558519241921"/>
  </sheetPr>
  <dimension ref="A2:W9"/>
  <sheetViews>
    <sheetView workbookViewId="0"/>
  </sheetViews>
  <sheetFormatPr defaultRowHeight="15" x14ac:dyDescent="0.25"/>
  <cols>
    <col min="1" max="1" width="8.7109375" bestFit="1" customWidth="1"/>
    <col min="2" max="2" width="11.7109375" bestFit="1" customWidth="1"/>
    <col min="3" max="3" width="13.28515625" bestFit="1" customWidth="1"/>
    <col min="4" max="4" width="13.140625" bestFit="1" customWidth="1"/>
    <col min="5" max="5" width="8" bestFit="1" customWidth="1"/>
    <col min="6" max="6" width="11.140625" bestFit="1" customWidth="1"/>
    <col min="7" max="7" width="9.5703125" bestFit="1" customWidth="1"/>
    <col min="8" max="8" width="11.7109375" bestFit="1" customWidth="1"/>
    <col min="15" max="15" width="15.42578125" bestFit="1" customWidth="1"/>
    <col min="16" max="16" width="8.7109375" bestFit="1" customWidth="1"/>
    <col min="17" max="17" width="11.7109375" bestFit="1" customWidth="1"/>
    <col min="18" max="18" width="13.28515625" bestFit="1" customWidth="1"/>
    <col min="19" max="19" width="13.140625" bestFit="1" customWidth="1"/>
    <col min="20" max="20" width="8" bestFit="1" customWidth="1"/>
    <col min="21" max="21" width="11.140625" bestFit="1" customWidth="1"/>
    <col min="22" max="22" width="9.5703125" bestFit="1" customWidth="1"/>
    <col min="23" max="23" width="11.7109375" bestFit="1" customWidth="1"/>
  </cols>
  <sheetData>
    <row r="2" spans="1:23" x14ac:dyDescent="0.25">
      <c r="A2" s="52" t="s">
        <v>208</v>
      </c>
      <c r="B2" s="52"/>
      <c r="C2" s="52"/>
      <c r="D2" s="52"/>
      <c r="F2" s="53" t="str">
        <f>IF(ISNUMBER(C5),"","Man. Number must be set")</f>
        <v/>
      </c>
      <c r="G2" s="53"/>
      <c r="H2" s="53"/>
    </row>
    <row r="4" spans="1:23" x14ac:dyDescent="0.25">
      <c r="A4" s="16" t="s">
        <v>138</v>
      </c>
      <c r="B4" s="16" t="s">
        <v>204</v>
      </c>
      <c r="C4" s="16" t="s">
        <v>0</v>
      </c>
      <c r="D4" s="16" t="s">
        <v>6</v>
      </c>
      <c r="E4" s="16" t="s">
        <v>4</v>
      </c>
      <c r="F4" s="16" t="s">
        <v>2</v>
      </c>
      <c r="G4" s="16" t="s">
        <v>8</v>
      </c>
      <c r="H4" s="16" t="s">
        <v>203</v>
      </c>
      <c r="O4" s="15" t="s">
        <v>206</v>
      </c>
      <c r="P4" t="s">
        <v>138</v>
      </c>
      <c r="Q4" t="s">
        <v>204</v>
      </c>
      <c r="R4" t="s">
        <v>0</v>
      </c>
      <c r="S4" t="s">
        <v>6</v>
      </c>
      <c r="T4" t="s">
        <v>4</v>
      </c>
      <c r="U4" t="s">
        <v>2</v>
      </c>
      <c r="V4" t="s">
        <v>8</v>
      </c>
      <c r="W4" t="s">
        <v>203</v>
      </c>
    </row>
    <row r="5" spans="1:23" x14ac:dyDescent="0.25">
      <c r="A5" s="14">
        <v>8</v>
      </c>
      <c r="B5" s="14">
        <v>3</v>
      </c>
      <c r="C5" s="14">
        <v>1</v>
      </c>
      <c r="D5" s="14">
        <v>2</v>
      </c>
      <c r="E5" s="14" t="s">
        <v>82</v>
      </c>
      <c r="F5" s="14">
        <v>13</v>
      </c>
      <c r="G5" s="14">
        <v>9</v>
      </c>
      <c r="H5" s="14">
        <v>2</v>
      </c>
      <c r="O5" s="8"/>
      <c r="P5" s="8">
        <v>2</v>
      </c>
      <c r="Q5" s="8">
        <v>3</v>
      </c>
      <c r="R5" s="8">
        <v>4</v>
      </c>
      <c r="S5" s="8" t="s">
        <v>202</v>
      </c>
      <c r="T5" s="8" t="s">
        <v>82</v>
      </c>
      <c r="U5" s="8">
        <v>5</v>
      </c>
      <c r="V5" s="8">
        <v>8</v>
      </c>
      <c r="W5" s="8">
        <v>2</v>
      </c>
    </row>
    <row r="8" spans="1:23" x14ac:dyDescent="0.25">
      <c r="O8" s="15" t="s">
        <v>226</v>
      </c>
      <c r="P8" t="s">
        <v>138</v>
      </c>
      <c r="Q8" t="s">
        <v>204</v>
      </c>
      <c r="R8" t="s">
        <v>0</v>
      </c>
      <c r="S8" t="s">
        <v>6</v>
      </c>
      <c r="T8" t="s">
        <v>4</v>
      </c>
      <c r="U8" t="s">
        <v>2</v>
      </c>
      <c r="V8" t="s">
        <v>8</v>
      </c>
      <c r="W8" t="s">
        <v>203</v>
      </c>
    </row>
    <row r="9" spans="1:23" x14ac:dyDescent="0.25">
      <c r="O9" s="22"/>
      <c r="P9" s="22">
        <v>8</v>
      </c>
      <c r="Q9" s="22">
        <v>3</v>
      </c>
      <c r="R9" s="22">
        <v>1</v>
      </c>
      <c r="S9" s="22">
        <v>2</v>
      </c>
      <c r="T9" s="22" t="s">
        <v>82</v>
      </c>
      <c r="U9" s="22">
        <v>13</v>
      </c>
      <c r="V9" s="22">
        <v>9</v>
      </c>
      <c r="W9" s="22">
        <v>2</v>
      </c>
    </row>
  </sheetData>
  <mergeCells count="2">
    <mergeCell ref="A2:D2"/>
    <mergeCell ref="F2:H2"/>
  </mergeCells>
  <conditionalFormatting sqref="F2:H2">
    <cfRule type="cellIs" dxfId="0" priority="1" operator="notEqual">
      <formula>""</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tn_AddOrder">
                <anchor moveWithCells="1" sizeWithCells="1">
                  <from>
                    <xdr:col>10</xdr:col>
                    <xdr:colOff>0</xdr:colOff>
                    <xdr:row>1</xdr:row>
                    <xdr:rowOff>0</xdr:rowOff>
                  </from>
                  <to>
                    <xdr:col>13</xdr:col>
                    <xdr:colOff>0</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5F92D-24B8-4F04-8E94-C803D99A7FB6}">
  <sheetPr codeName="Sheet10">
    <tabColor rgb="FFFF0000"/>
  </sheetPr>
  <dimension ref="A1"/>
  <sheetViews>
    <sheetView workbookViewId="0"/>
  </sheetViews>
  <sheetFormatPr defaultColWidth="20.7109375" defaultRowHeight="15" x14ac:dyDescent="0.25"/>
  <cols>
    <col min="1" max="16384" width="20.7109375" style="17"/>
  </cols>
  <sheetData/>
  <dataConsolidate/>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StockHistory</vt:lpstr>
      <vt:lpstr>Articles</vt:lpstr>
      <vt:lpstr>Main</vt:lpstr>
      <vt:lpstr>Articles_commandes</vt:lpstr>
      <vt:lpstr>Commands</vt:lpstr>
      <vt:lpstr>Product_Example_v1</vt:lpstr>
      <vt:lpstr>ProductTemplate</vt:lpstr>
      <vt:lpstr>ProductConfig</vt:lpstr>
      <vt:lpstr>OrderAdder</vt:lpstr>
      <vt:lpstr>OrderAdder_work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Esseiva Nicolas</dc:creator>
  <cp:lastModifiedBy>Esseiva Nicolas</cp:lastModifiedBy>
  <cp:lastPrinted>2019-04-19T15:54:30Z</cp:lastPrinted>
  <dcterms:created xsi:type="dcterms:W3CDTF">2018-08-18T11:04:50Z</dcterms:created>
  <dcterms:modified xsi:type="dcterms:W3CDTF">2019-04-21T19:04:45Z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77c9cfae-5108-421e-8a75-a52cefa67c63</vt:lpwstr>
  </property>
</Properties>
</file>