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tables/table10.xml" ContentType="application/vnd.openxmlformats-officedocument.spreadsheetml.table+xml"/>
  <Override PartName="/xl/drawings/drawing10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12.xml" ContentType="application/vnd.openxmlformats-officedocument.drawing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151634F2-6954-4D10-8F0B-04E7B76C0B2C}" xr6:coauthVersionLast="43" xr6:coauthVersionMax="43" xr10:uidLastSave="{00000000-0000-0000-0000-000000000000}"/>
  <bookViews>
    <workbookView xWindow="-120" yWindow="-120" windowWidth="29040" windowHeight="15990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7" sheetId="24" r:id="rId5"/>
    <sheet name="LampeSolaire_v6" sheetId="21" state="hidden" r:id="rId6"/>
    <sheet name="LampeSolaire_v5" sheetId="20" state="hidden" r:id="rId7"/>
    <sheet name="LampeSolaire_v4" sheetId="3" state="hidden" r:id="rId8"/>
    <sheet name="TempoMetter_v1" sheetId="8" r:id="rId9"/>
    <sheet name="USB_Tool_v4" sheetId="22" r:id="rId10"/>
    <sheet name="USB_Tool_v1" sheetId="16" state="hidden" r:id="rId11"/>
    <sheet name="EXT_RF_RX_v1" sheetId="23" r:id="rId12"/>
    <sheet name="ProductTemplate" sheetId="14" r:id="rId13"/>
    <sheet name="ProductConfig" sheetId="9" r:id="rId14"/>
    <sheet name="OrderAdder" sheetId="11" r:id="rId15"/>
    <sheet name="OrderAdder_work" sheetId="13" r:id="rId16"/>
  </sheets>
  <externalReferences>
    <externalReference r:id="rId17"/>
  </externalReferences>
  <definedNames>
    <definedName name="_xlnm._FilterDatabase" localSheetId="11" hidden="1">EXT_RF_RX_v1!$A$1:$F$10</definedName>
    <definedName name="_xlnm._FilterDatabase" localSheetId="7" hidden="1">LampeSolaire_v4!$A$1:$F$40</definedName>
    <definedName name="_xlnm._FilterDatabase" localSheetId="6" hidden="1">LampeSolaire_v5!$A$1:$F$44</definedName>
    <definedName name="_xlnm._FilterDatabase" localSheetId="5" hidden="1">LampeSolaire_v6!$A$1:$F$34</definedName>
    <definedName name="_xlnm._FilterDatabase" localSheetId="4" hidden="1">LampeSolaire_v7!$A$1:$F$36</definedName>
    <definedName name="_xlnm._FilterDatabase" localSheetId="2" hidden="1">Order!$A$1:$L$20</definedName>
    <definedName name="_xlnm._FilterDatabase" localSheetId="12" hidden="1">ProductTemplate!$A$1:$F$2</definedName>
    <definedName name="_xlnm._FilterDatabase" localSheetId="8" hidden="1">TempoMetter_v1!$A$1:$F$15</definedName>
    <definedName name="_xlnm._FilterDatabase" localSheetId="10" hidden="1">USB_Tool_v1!$A$1:$F$26</definedName>
    <definedName name="_xlnm._FilterDatabase" localSheetId="9" hidden="1">USB_Tool_v4!$A$1:$F$30</definedName>
    <definedName name="RF_Transceiver" localSheetId="11">OrderAdder_work!#REF!</definedName>
    <definedName name="RF_Transceiver" localSheetId="6">OrderAdder_work!#REF!</definedName>
    <definedName name="RF_Transceiver" localSheetId="5">OrderAdder_work!#REF!</definedName>
    <definedName name="RF_Transceiver" localSheetId="4">OrderAdder_work!#REF!</definedName>
    <definedName name="RF_Transceiver" localSheetId="9">OrderAdder_work!#REF!</definedName>
    <definedName name="RF_Transceiver">OrderAdder_work!#REF!</definedName>
    <definedName name="RF_Transceiver2" localSheetId="11">OrderAdder_work!#REF!</definedName>
    <definedName name="RF_Transceiver2" localSheetId="5">OrderAdder_work!#REF!</definedName>
    <definedName name="RF_Transceiver2" localSheetId="4">OrderAdder_work!#REF!</definedName>
    <definedName name="RF_Transceiver2" localSheetId="9">OrderAdder_work!#REF!</definedName>
    <definedName name="RF_Transceiver2">OrderAdder_work!#REF!</definedName>
    <definedName name="zzzzzzzzzzz" localSheetId="11">OrderAdder_work!#REF!</definedName>
    <definedName name="zzzzzzzzzzz" localSheetId="6">OrderAdder_work!#REF!</definedName>
    <definedName name="zzzzzzzzzzz" localSheetId="5">OrderAdder_work!#REF!</definedName>
    <definedName name="zzzzzzzzzzz" localSheetId="4">OrderAdder_work!#REF!</definedName>
    <definedName name="zzzzzzzzzzz" localSheetId="12">OrderAdder_work!#REF!</definedName>
    <definedName name="zzzzzzzzzzz" localSheetId="10">OrderAdder_work!#REF!</definedName>
    <definedName name="zzzzzzzzzzz" localSheetId="9">OrderAdder_work!#REF!</definedName>
    <definedName name="zzzzzzzzzzz">OrderAdder_work!#REF!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364" i="19" l="1"/>
  <c r="J364" i="19"/>
  <c r="K364" i="19"/>
  <c r="Z364" i="19"/>
  <c r="AC364" i="19"/>
  <c r="I324" i="19" l="1"/>
  <c r="J324" i="19"/>
  <c r="Z324" i="19"/>
  <c r="K324" i="19" s="1"/>
  <c r="AC324" i="19"/>
  <c r="I322" i="19"/>
  <c r="J322" i="19"/>
  <c r="Z322" i="19"/>
  <c r="K322" i="19" s="1"/>
  <c r="AC322" i="19"/>
  <c r="I320" i="19"/>
  <c r="J320" i="19"/>
  <c r="Z320" i="19"/>
  <c r="K320" i="19" s="1"/>
  <c r="AC320" i="19"/>
  <c r="I327" i="19"/>
  <c r="J327" i="19"/>
  <c r="Z327" i="19"/>
  <c r="K327" i="19" s="1"/>
  <c r="AC327" i="19"/>
  <c r="I339" i="19" l="1"/>
  <c r="J339" i="19"/>
  <c r="Z339" i="19"/>
  <c r="K339" i="19" s="1"/>
  <c r="AC339" i="19"/>
  <c r="I338" i="19"/>
  <c r="J338" i="19"/>
  <c r="Z338" i="19"/>
  <c r="K338" i="19" s="1"/>
  <c r="AC338" i="19"/>
  <c r="T319" i="19" l="1"/>
  <c r="T318" i="19"/>
  <c r="T317" i="19"/>
  <c r="T316" i="19"/>
  <c r="T315" i="19"/>
  <c r="T314" i="19"/>
  <c r="T313" i="19"/>
  <c r="T312" i="19"/>
  <c r="T311" i="19"/>
  <c r="T310" i="19"/>
  <c r="T309" i="19"/>
  <c r="T308" i="19"/>
  <c r="T307" i="19"/>
  <c r="T306" i="19"/>
  <c r="T305" i="19"/>
  <c r="T304" i="19"/>
  <c r="T303" i="19"/>
  <c r="T302" i="19"/>
  <c r="T301" i="19"/>
  <c r="T300" i="19"/>
  <c r="T299" i="19"/>
  <c r="T298" i="19"/>
  <c r="T297" i="19"/>
  <c r="T296" i="19"/>
  <c r="T295" i="19"/>
  <c r="T294" i="19"/>
  <c r="T293" i="19"/>
  <c r="T292" i="19"/>
  <c r="T291" i="19"/>
  <c r="T290" i="19"/>
  <c r="T289" i="19"/>
  <c r="T288" i="19"/>
  <c r="T287" i="19"/>
  <c r="T286" i="19"/>
  <c r="T285" i="19"/>
  <c r="T284" i="19"/>
  <c r="T283" i="19"/>
  <c r="T282" i="19"/>
  <c r="T281" i="19"/>
  <c r="T280" i="19"/>
  <c r="T279" i="19"/>
  <c r="T278" i="19"/>
  <c r="T277" i="19"/>
  <c r="T276" i="19"/>
  <c r="T275" i="19"/>
  <c r="T274" i="19"/>
  <c r="T273" i="19"/>
  <c r="T272" i="19"/>
  <c r="T271" i="19"/>
  <c r="T270" i="19"/>
  <c r="T269" i="19"/>
  <c r="T268" i="19"/>
  <c r="T267" i="19"/>
  <c r="T266" i="19"/>
  <c r="T265" i="19"/>
  <c r="T264" i="19"/>
  <c r="T263" i="19"/>
  <c r="T262" i="19"/>
  <c r="T261" i="19"/>
  <c r="T260" i="19"/>
  <c r="T259" i="19"/>
  <c r="T258" i="19"/>
  <c r="T257" i="19"/>
  <c r="T256" i="19"/>
  <c r="T255" i="19"/>
  <c r="T254" i="19"/>
  <c r="T253" i="19"/>
  <c r="T252" i="19"/>
  <c r="T251" i="19"/>
  <c r="T250" i="19"/>
  <c r="T249" i="19"/>
  <c r="T248" i="19"/>
  <c r="T247" i="19"/>
  <c r="T246" i="19"/>
  <c r="T245" i="19"/>
  <c r="T244" i="19"/>
  <c r="T243" i="19"/>
  <c r="T242" i="19"/>
  <c r="T241" i="19"/>
  <c r="T240" i="19"/>
  <c r="T239" i="19"/>
  <c r="T238" i="19"/>
  <c r="T237" i="19"/>
  <c r="T236" i="19"/>
  <c r="T235" i="19"/>
  <c r="T234" i="19"/>
  <c r="T233" i="19"/>
  <c r="T232" i="19"/>
  <c r="T231" i="19"/>
  <c r="T230" i="19"/>
  <c r="T229" i="19"/>
  <c r="T228" i="19"/>
  <c r="T227" i="19"/>
  <c r="T226" i="19"/>
  <c r="T225" i="19"/>
  <c r="T224" i="19"/>
  <c r="T223" i="19"/>
  <c r="T222" i="19"/>
  <c r="T221" i="19"/>
  <c r="T220" i="19"/>
  <c r="T219" i="19"/>
  <c r="T218" i="19"/>
  <c r="T217" i="19"/>
  <c r="T216" i="19"/>
  <c r="T215" i="19"/>
  <c r="T214" i="19"/>
  <c r="T213" i="19"/>
  <c r="T212" i="19"/>
  <c r="T211" i="19"/>
  <c r="T210" i="19"/>
  <c r="T209" i="19"/>
  <c r="T208" i="19"/>
  <c r="T207" i="19"/>
  <c r="T206" i="19"/>
  <c r="T205" i="19"/>
  <c r="T204" i="19"/>
  <c r="T203" i="19"/>
  <c r="T202" i="19"/>
  <c r="T201" i="19"/>
  <c r="T200" i="19"/>
  <c r="T199" i="19"/>
  <c r="T198" i="19"/>
  <c r="T197" i="19"/>
  <c r="T196" i="19"/>
  <c r="T195" i="19"/>
  <c r="T194" i="19"/>
  <c r="T193" i="19"/>
  <c r="T192" i="19"/>
  <c r="T191" i="19"/>
  <c r="T190" i="19"/>
  <c r="T189" i="19"/>
  <c r="T188" i="19"/>
  <c r="T187" i="19"/>
  <c r="T186" i="19"/>
  <c r="T185" i="19"/>
  <c r="T184" i="19"/>
  <c r="T183" i="19"/>
  <c r="T182" i="19"/>
  <c r="T181" i="19"/>
  <c r="T180" i="19"/>
  <c r="T179" i="19"/>
  <c r="T178" i="19"/>
  <c r="T177" i="19"/>
  <c r="T176" i="19"/>
  <c r="T175" i="19"/>
  <c r="T174" i="19"/>
  <c r="T173" i="19"/>
  <c r="T172" i="19"/>
  <c r="T171" i="19"/>
  <c r="T170" i="19"/>
  <c r="T169" i="19"/>
  <c r="T168" i="19"/>
  <c r="T167" i="19"/>
  <c r="T166" i="19"/>
  <c r="T165" i="19"/>
  <c r="T164" i="19"/>
  <c r="T163" i="19"/>
  <c r="T162" i="19"/>
  <c r="T158" i="19"/>
  <c r="T160" i="19"/>
  <c r="T159" i="19"/>
  <c r="I313" i="19"/>
  <c r="J313" i="19"/>
  <c r="Z313" i="19"/>
  <c r="AC313" i="19"/>
  <c r="I232" i="19"/>
  <c r="J232" i="19"/>
  <c r="Z232" i="19"/>
  <c r="AC232" i="19"/>
  <c r="I233" i="19"/>
  <c r="J233" i="19"/>
  <c r="Z233" i="19"/>
  <c r="AC233" i="19"/>
  <c r="I211" i="19"/>
  <c r="J211" i="19"/>
  <c r="Z211" i="19"/>
  <c r="AC211" i="19"/>
  <c r="I243" i="19"/>
  <c r="J243" i="19"/>
  <c r="Z243" i="19"/>
  <c r="AC243" i="19"/>
  <c r="I223" i="19"/>
  <c r="J223" i="19"/>
  <c r="Z223" i="19"/>
  <c r="AC223" i="19"/>
  <c r="I219" i="19"/>
  <c r="J219" i="19"/>
  <c r="Z219" i="19"/>
  <c r="AC219" i="19"/>
  <c r="I207" i="19"/>
  <c r="J207" i="19"/>
  <c r="Z207" i="19"/>
  <c r="AC207" i="19"/>
  <c r="I221" i="19"/>
  <c r="J221" i="19"/>
  <c r="Z221" i="19"/>
  <c r="AC221" i="19"/>
  <c r="I229" i="19"/>
  <c r="J229" i="19"/>
  <c r="Z229" i="19"/>
  <c r="AC229" i="19"/>
  <c r="I265" i="19"/>
  <c r="J265" i="19"/>
  <c r="Z265" i="19"/>
  <c r="AC265" i="19"/>
  <c r="I196" i="19"/>
  <c r="J196" i="19"/>
  <c r="Z196" i="19"/>
  <c r="AC196" i="19"/>
  <c r="I309" i="19"/>
  <c r="J309" i="19"/>
  <c r="Z309" i="19"/>
  <c r="AC309" i="19"/>
  <c r="I190" i="19"/>
  <c r="J190" i="19"/>
  <c r="Z190" i="19"/>
  <c r="AC190" i="19"/>
  <c r="I212" i="19"/>
  <c r="J212" i="19"/>
  <c r="Z212" i="19"/>
  <c r="AC212" i="19"/>
  <c r="I259" i="19"/>
  <c r="J259" i="19"/>
  <c r="Z259" i="19"/>
  <c r="AC259" i="19"/>
  <c r="I237" i="19"/>
  <c r="J237" i="19"/>
  <c r="Z237" i="19"/>
  <c r="AC237" i="19"/>
  <c r="I271" i="19"/>
  <c r="J271" i="19"/>
  <c r="Z271" i="19"/>
  <c r="AC271" i="19"/>
  <c r="I262" i="19"/>
  <c r="J262" i="19"/>
  <c r="Z262" i="19"/>
  <c r="K262" i="19" s="1"/>
  <c r="AC262" i="19"/>
  <c r="I188" i="19"/>
  <c r="J188" i="19"/>
  <c r="Z188" i="19"/>
  <c r="AC188" i="19"/>
  <c r="I187" i="19"/>
  <c r="J187" i="19"/>
  <c r="Z187" i="19"/>
  <c r="AC187" i="19"/>
  <c r="I272" i="19"/>
  <c r="J272" i="19"/>
  <c r="Z272" i="19"/>
  <c r="AC272" i="19"/>
  <c r="I295" i="19"/>
  <c r="J295" i="19"/>
  <c r="Z295" i="19"/>
  <c r="AC295" i="19"/>
  <c r="I248" i="19"/>
  <c r="J248" i="19"/>
  <c r="Z248" i="19"/>
  <c r="AC248" i="19"/>
  <c r="I215" i="19"/>
  <c r="J215" i="19"/>
  <c r="Z215" i="19"/>
  <c r="AC215" i="19"/>
  <c r="I180" i="19"/>
  <c r="J180" i="19"/>
  <c r="Z180" i="19"/>
  <c r="AC180" i="19"/>
  <c r="I269" i="19"/>
  <c r="J269" i="19"/>
  <c r="Z269" i="19"/>
  <c r="AC269" i="19"/>
  <c r="I169" i="19"/>
  <c r="J169" i="19"/>
  <c r="Z169" i="19"/>
  <c r="AC169" i="19"/>
  <c r="I238" i="19"/>
  <c r="J238" i="19"/>
  <c r="Z238" i="19"/>
  <c r="K238" i="19" s="1"/>
  <c r="AC238" i="19"/>
  <c r="I206" i="19"/>
  <c r="J206" i="19"/>
  <c r="Z206" i="19"/>
  <c r="K206" i="19" s="1"/>
  <c r="AC206" i="19"/>
  <c r="I166" i="19"/>
  <c r="J166" i="19"/>
  <c r="Z166" i="19"/>
  <c r="K166" i="19" s="1"/>
  <c r="AC166" i="19"/>
  <c r="I303" i="19"/>
  <c r="J303" i="19"/>
  <c r="Z303" i="19"/>
  <c r="AC303" i="19"/>
  <c r="I174" i="19"/>
  <c r="J174" i="19"/>
  <c r="Z174" i="19"/>
  <c r="K174" i="19" s="1"/>
  <c r="AC174" i="19"/>
  <c r="I296" i="19"/>
  <c r="J296" i="19"/>
  <c r="Z296" i="19"/>
  <c r="AC296" i="19"/>
  <c r="I254" i="19"/>
  <c r="J254" i="19"/>
  <c r="Z254" i="19"/>
  <c r="K254" i="19" s="1"/>
  <c r="AC254" i="19"/>
  <c r="I305" i="19"/>
  <c r="J305" i="19"/>
  <c r="Z305" i="19"/>
  <c r="K305" i="19" s="1"/>
  <c r="AC305" i="19"/>
  <c r="I177" i="19"/>
  <c r="J177" i="19"/>
  <c r="Z177" i="19"/>
  <c r="AC177" i="19"/>
  <c r="I247" i="19"/>
  <c r="J247" i="19"/>
  <c r="Z247" i="19"/>
  <c r="AC247" i="19"/>
  <c r="I315" i="19"/>
  <c r="J315" i="19"/>
  <c r="Z315" i="19"/>
  <c r="AC315" i="19"/>
  <c r="I270" i="19"/>
  <c r="J270" i="19"/>
  <c r="Z270" i="19"/>
  <c r="K270" i="19" s="1"/>
  <c r="AC270" i="19"/>
  <c r="I282" i="19"/>
  <c r="J282" i="19"/>
  <c r="Z282" i="19"/>
  <c r="AC282" i="19"/>
  <c r="I198" i="19"/>
  <c r="J198" i="19"/>
  <c r="Z198" i="19"/>
  <c r="K198" i="19" s="1"/>
  <c r="AC198" i="19"/>
  <c r="I316" i="19"/>
  <c r="J316" i="19"/>
  <c r="Z316" i="19"/>
  <c r="AC316" i="19"/>
  <c r="I236" i="19"/>
  <c r="J236" i="19"/>
  <c r="Z236" i="19"/>
  <c r="AC236" i="19"/>
  <c r="I191" i="19"/>
  <c r="J191" i="19"/>
  <c r="Z191" i="19"/>
  <c r="AC191" i="19"/>
  <c r="I261" i="19"/>
  <c r="J261" i="19"/>
  <c r="Z261" i="19"/>
  <c r="AC261" i="19"/>
  <c r="I260" i="19"/>
  <c r="J260" i="19"/>
  <c r="Z260" i="19"/>
  <c r="AC260" i="19"/>
  <c r="I167" i="19"/>
  <c r="J167" i="19"/>
  <c r="Z167" i="19"/>
  <c r="AC167" i="19"/>
  <c r="I205" i="19"/>
  <c r="J205" i="19"/>
  <c r="Z205" i="19"/>
  <c r="AC205" i="19"/>
  <c r="I294" i="19"/>
  <c r="J294" i="19"/>
  <c r="Z294" i="19"/>
  <c r="K294" i="19" s="1"/>
  <c r="AC294" i="19"/>
  <c r="I289" i="19"/>
  <c r="J289" i="19"/>
  <c r="Z289" i="19"/>
  <c r="AC289" i="19"/>
  <c r="I317" i="19"/>
  <c r="J317" i="19"/>
  <c r="Z317" i="19"/>
  <c r="AC317" i="19"/>
  <c r="I284" i="19"/>
  <c r="J284" i="19"/>
  <c r="Z284" i="19"/>
  <c r="AC284" i="19"/>
  <c r="I246" i="19"/>
  <c r="J246" i="19"/>
  <c r="Z246" i="19"/>
  <c r="K246" i="19" s="1"/>
  <c r="AC246" i="19"/>
  <c r="I318" i="19"/>
  <c r="J318" i="19"/>
  <c r="Z318" i="19"/>
  <c r="K318" i="19" s="1"/>
  <c r="AC318" i="19"/>
  <c r="I311" i="19"/>
  <c r="J311" i="19"/>
  <c r="Z311" i="19"/>
  <c r="AC311" i="19"/>
  <c r="I310" i="19"/>
  <c r="J310" i="19"/>
  <c r="Z310" i="19"/>
  <c r="K310" i="19" s="1"/>
  <c r="AC310" i="19"/>
  <c r="I304" i="19"/>
  <c r="J304" i="19"/>
  <c r="Z304" i="19"/>
  <c r="K304" i="19" s="1"/>
  <c r="AC304" i="19"/>
  <c r="I302" i="19"/>
  <c r="J302" i="19"/>
  <c r="Z302" i="19"/>
  <c r="K302" i="19" s="1"/>
  <c r="AC302" i="19"/>
  <c r="I279" i="19"/>
  <c r="J279" i="19"/>
  <c r="Z279" i="19"/>
  <c r="AC279" i="19"/>
  <c r="I256" i="19"/>
  <c r="J256" i="19"/>
  <c r="Z256" i="19"/>
  <c r="AC256" i="19"/>
  <c r="I250" i="19"/>
  <c r="J250" i="19"/>
  <c r="Z250" i="19"/>
  <c r="K250" i="19" s="1"/>
  <c r="AC250" i="19"/>
  <c r="I249" i="19"/>
  <c r="J249" i="19"/>
  <c r="Z249" i="19"/>
  <c r="AC249" i="19"/>
  <c r="I239" i="19"/>
  <c r="J239" i="19"/>
  <c r="Z239" i="19"/>
  <c r="AC239" i="19"/>
  <c r="I201" i="19"/>
  <c r="J201" i="19"/>
  <c r="Z201" i="19"/>
  <c r="AC201" i="19"/>
  <c r="I199" i="19"/>
  <c r="J199" i="19"/>
  <c r="Z199" i="19"/>
  <c r="AC199" i="19"/>
  <c r="I182" i="19"/>
  <c r="J182" i="19"/>
  <c r="Z182" i="19"/>
  <c r="K182" i="19" s="1"/>
  <c r="AC182" i="19"/>
  <c r="I181" i="19"/>
  <c r="J181" i="19"/>
  <c r="Z181" i="19"/>
  <c r="AC181" i="19"/>
  <c r="I176" i="19"/>
  <c r="J176" i="19"/>
  <c r="Z176" i="19"/>
  <c r="AC176" i="19"/>
  <c r="I170" i="19"/>
  <c r="J170" i="19"/>
  <c r="Z170" i="19"/>
  <c r="AC170" i="19"/>
  <c r="I319" i="19"/>
  <c r="J319" i="19"/>
  <c r="Z319" i="19"/>
  <c r="K319" i="19" s="1"/>
  <c r="AC319" i="19"/>
  <c r="I308" i="19"/>
  <c r="J308" i="19"/>
  <c r="Z308" i="19"/>
  <c r="AC308" i="19"/>
  <c r="I298" i="19"/>
  <c r="J298" i="19"/>
  <c r="Z298" i="19"/>
  <c r="K298" i="19" s="1"/>
  <c r="AC298" i="19"/>
  <c r="I297" i="19"/>
  <c r="J297" i="19"/>
  <c r="Z297" i="19"/>
  <c r="K297" i="19" s="1"/>
  <c r="AC297" i="19"/>
  <c r="I290" i="19"/>
  <c r="J290" i="19"/>
  <c r="Z290" i="19"/>
  <c r="K290" i="19" s="1"/>
  <c r="AC290" i="19"/>
  <c r="I286" i="19"/>
  <c r="J286" i="19"/>
  <c r="Z286" i="19"/>
  <c r="K286" i="19" s="1"/>
  <c r="AC286" i="19"/>
  <c r="I283" i="19"/>
  <c r="J283" i="19"/>
  <c r="Z283" i="19"/>
  <c r="AC283" i="19"/>
  <c r="I278" i="19"/>
  <c r="J278" i="19"/>
  <c r="Z278" i="19"/>
  <c r="K278" i="19" s="1"/>
  <c r="AC278" i="19"/>
  <c r="I264" i="19"/>
  <c r="J264" i="19"/>
  <c r="Z264" i="19"/>
  <c r="AC264" i="19"/>
  <c r="I263" i="19"/>
  <c r="J263" i="19"/>
  <c r="Z263" i="19"/>
  <c r="AC263" i="19"/>
  <c r="I245" i="19"/>
  <c r="J245" i="19"/>
  <c r="Z245" i="19"/>
  <c r="AC245" i="19"/>
  <c r="I244" i="19"/>
  <c r="J244" i="19"/>
  <c r="Z244" i="19"/>
  <c r="K244" i="19" s="1"/>
  <c r="AC244" i="19"/>
  <c r="I224" i="19"/>
  <c r="J224" i="19"/>
  <c r="Z224" i="19"/>
  <c r="AC224" i="19"/>
  <c r="I222" i="19"/>
  <c r="J222" i="19"/>
  <c r="Z222" i="19"/>
  <c r="K222" i="19" s="1"/>
  <c r="AC222" i="19"/>
  <c r="I217" i="19"/>
  <c r="J217" i="19"/>
  <c r="Z217" i="19"/>
  <c r="K217" i="19" s="1"/>
  <c r="AC217" i="19"/>
  <c r="I204" i="19"/>
  <c r="J204" i="19"/>
  <c r="Z204" i="19"/>
  <c r="K204" i="19" s="1"/>
  <c r="AC204" i="19"/>
  <c r="I203" i="19"/>
  <c r="J203" i="19"/>
  <c r="Z203" i="19"/>
  <c r="AC203" i="19"/>
  <c r="I202" i="19"/>
  <c r="J202" i="19"/>
  <c r="Z202" i="19"/>
  <c r="K202" i="19" s="1"/>
  <c r="AC202" i="19"/>
  <c r="I193" i="19"/>
  <c r="J193" i="19"/>
  <c r="Z193" i="19"/>
  <c r="K193" i="19" s="1"/>
  <c r="AC193" i="19"/>
  <c r="I192" i="19"/>
  <c r="J192" i="19"/>
  <c r="Z192" i="19"/>
  <c r="K192" i="19" s="1"/>
  <c r="AC192" i="19"/>
  <c r="I179" i="19"/>
  <c r="J179" i="19"/>
  <c r="Z179" i="19"/>
  <c r="AC179" i="19"/>
  <c r="I168" i="19"/>
  <c r="J168" i="19"/>
  <c r="Z168" i="19"/>
  <c r="K168" i="19" s="1"/>
  <c r="AC168" i="19"/>
  <c r="I253" i="19"/>
  <c r="J253" i="19"/>
  <c r="Z253" i="19"/>
  <c r="AC253" i="19"/>
  <c r="I218" i="19"/>
  <c r="J218" i="19"/>
  <c r="Z218" i="19"/>
  <c r="K218" i="19" s="1"/>
  <c r="AC218" i="19"/>
  <c r="I314" i="19"/>
  <c r="J314" i="19"/>
  <c r="Z314" i="19"/>
  <c r="AC314" i="19"/>
  <c r="I312" i="19"/>
  <c r="J312" i="19"/>
  <c r="Z312" i="19"/>
  <c r="K312" i="19" s="1"/>
  <c r="AC312" i="19"/>
  <c r="I307" i="19"/>
  <c r="J307" i="19"/>
  <c r="Z307" i="19"/>
  <c r="AC307" i="19"/>
  <c r="I306" i="19"/>
  <c r="J306" i="19"/>
  <c r="Z306" i="19"/>
  <c r="K306" i="19" s="1"/>
  <c r="AC306" i="19"/>
  <c r="I301" i="19"/>
  <c r="J301" i="19"/>
  <c r="Z301" i="19"/>
  <c r="AC301" i="19"/>
  <c r="I299" i="19"/>
  <c r="J299" i="19"/>
  <c r="Z299" i="19"/>
  <c r="K299" i="19" s="1"/>
  <c r="AC299" i="19"/>
  <c r="I291" i="19"/>
  <c r="J291" i="19"/>
  <c r="Z291" i="19"/>
  <c r="AC291" i="19"/>
  <c r="I288" i="19"/>
  <c r="J288" i="19"/>
  <c r="Z288" i="19"/>
  <c r="K288" i="19" s="1"/>
  <c r="AC288" i="19"/>
  <c r="I277" i="19"/>
  <c r="J277" i="19"/>
  <c r="Z277" i="19"/>
  <c r="AC277" i="19"/>
  <c r="I227" i="19"/>
  <c r="J227" i="19"/>
  <c r="Z227" i="19"/>
  <c r="K227" i="19" s="1"/>
  <c r="AC227" i="19"/>
  <c r="I210" i="19"/>
  <c r="J210" i="19"/>
  <c r="Z210" i="19"/>
  <c r="K210" i="19" s="1"/>
  <c r="AC210" i="19"/>
  <c r="I189" i="19"/>
  <c r="J189" i="19"/>
  <c r="Z189" i="19"/>
  <c r="AC189" i="19"/>
  <c r="I175" i="19"/>
  <c r="J175" i="19"/>
  <c r="Z175" i="19"/>
  <c r="K175" i="19" s="1"/>
  <c r="AC175" i="19"/>
  <c r="I214" i="19"/>
  <c r="J214" i="19"/>
  <c r="Z214" i="19"/>
  <c r="K214" i="19" s="1"/>
  <c r="AC214" i="19"/>
  <c r="I186" i="19"/>
  <c r="J186" i="19"/>
  <c r="Z186" i="19"/>
  <c r="K186" i="19" s="1"/>
  <c r="AC186" i="19"/>
  <c r="I183" i="19"/>
  <c r="J183" i="19"/>
  <c r="Z183" i="19"/>
  <c r="AC183" i="19"/>
  <c r="I164" i="19"/>
  <c r="J164" i="19"/>
  <c r="Z164" i="19"/>
  <c r="K164" i="19" s="1"/>
  <c r="AC164" i="19"/>
  <c r="I276" i="19"/>
  <c r="J276" i="19"/>
  <c r="Z276" i="19"/>
  <c r="K276" i="19" s="1"/>
  <c r="AC276" i="19"/>
  <c r="I235" i="19"/>
  <c r="J235" i="19"/>
  <c r="Z235" i="19"/>
  <c r="AC235" i="19"/>
  <c r="I216" i="19"/>
  <c r="J216" i="19"/>
  <c r="Z216" i="19"/>
  <c r="K216" i="19" s="1"/>
  <c r="AC216" i="19"/>
  <c r="I162" i="19"/>
  <c r="J162" i="19"/>
  <c r="Z162" i="19"/>
  <c r="K162" i="19" s="1"/>
  <c r="AC162" i="19"/>
  <c r="I165" i="19"/>
  <c r="J165" i="19"/>
  <c r="Z165" i="19"/>
  <c r="K165" i="19" s="1"/>
  <c r="AC165" i="19"/>
  <c r="I257" i="19"/>
  <c r="J257" i="19"/>
  <c r="Z257" i="19"/>
  <c r="K257" i="19" s="1"/>
  <c r="AC257" i="19"/>
  <c r="I280" i="19"/>
  <c r="J280" i="19"/>
  <c r="Z280" i="19"/>
  <c r="K280" i="19" s="1"/>
  <c r="AC280" i="19"/>
  <c r="I275" i="19"/>
  <c r="J275" i="19"/>
  <c r="Z275" i="19"/>
  <c r="AC275" i="19"/>
  <c r="I230" i="19"/>
  <c r="J230" i="19"/>
  <c r="Z230" i="19"/>
  <c r="K230" i="19" s="1"/>
  <c r="AC230" i="19"/>
  <c r="I173" i="19"/>
  <c r="J173" i="19"/>
  <c r="Z173" i="19"/>
  <c r="AC173" i="19"/>
  <c r="I267" i="19"/>
  <c r="J267" i="19"/>
  <c r="Z267" i="19"/>
  <c r="K267" i="19" s="1"/>
  <c r="AC267" i="19"/>
  <c r="I197" i="19"/>
  <c r="J197" i="19"/>
  <c r="Z197" i="19"/>
  <c r="AC197" i="19"/>
  <c r="I171" i="19"/>
  <c r="J171" i="19"/>
  <c r="Z171" i="19"/>
  <c r="K171" i="19" s="1"/>
  <c r="AC171" i="19"/>
  <c r="I255" i="19"/>
  <c r="J255" i="19"/>
  <c r="Z255" i="19"/>
  <c r="K255" i="19" s="1"/>
  <c r="AC255" i="19"/>
  <c r="I293" i="19"/>
  <c r="J293" i="19"/>
  <c r="Z293" i="19"/>
  <c r="AC293" i="19"/>
  <c r="I234" i="19"/>
  <c r="J234" i="19"/>
  <c r="Z234" i="19"/>
  <c r="K234" i="19" s="1"/>
  <c r="AC234" i="19"/>
  <c r="I225" i="19"/>
  <c r="J225" i="19"/>
  <c r="Z225" i="19"/>
  <c r="K225" i="19" s="1"/>
  <c r="AC225" i="19"/>
  <c r="I300" i="19"/>
  <c r="J300" i="19"/>
  <c r="Z300" i="19"/>
  <c r="K300" i="19" s="1"/>
  <c r="AC300" i="19"/>
  <c r="I292" i="19"/>
  <c r="J292" i="19"/>
  <c r="Z292" i="19"/>
  <c r="K292" i="19" s="1"/>
  <c r="AC292" i="19"/>
  <c r="I209" i="19"/>
  <c r="J209" i="19"/>
  <c r="Z209" i="19"/>
  <c r="K209" i="19" s="1"/>
  <c r="AC209" i="19"/>
  <c r="I285" i="19"/>
  <c r="J285" i="19"/>
  <c r="Z285" i="19"/>
  <c r="AC285" i="19"/>
  <c r="I258" i="19"/>
  <c r="J258" i="19"/>
  <c r="Z258" i="19"/>
  <c r="K258" i="19" s="1"/>
  <c r="AC258" i="19"/>
  <c r="I252" i="19"/>
  <c r="J252" i="19"/>
  <c r="Z252" i="19"/>
  <c r="K252" i="19" s="1"/>
  <c r="AC252" i="19"/>
  <c r="I178" i="19"/>
  <c r="J178" i="19"/>
  <c r="Z178" i="19"/>
  <c r="K178" i="19" s="1"/>
  <c r="AC178" i="19"/>
  <c r="I251" i="19"/>
  <c r="J251" i="19"/>
  <c r="Z251" i="19"/>
  <c r="K251" i="19" s="1"/>
  <c r="AC251" i="19"/>
  <c r="I274" i="19"/>
  <c r="J274" i="19"/>
  <c r="Z274" i="19"/>
  <c r="K274" i="19" s="1"/>
  <c r="AC274" i="19"/>
  <c r="I194" i="19"/>
  <c r="J194" i="19"/>
  <c r="Z194" i="19"/>
  <c r="K194" i="19" s="1"/>
  <c r="AC194" i="19"/>
  <c r="I273" i="19"/>
  <c r="J273" i="19"/>
  <c r="Z273" i="19"/>
  <c r="K273" i="19" s="1"/>
  <c r="AC273" i="19"/>
  <c r="I200" i="19"/>
  <c r="J200" i="19"/>
  <c r="Z200" i="19"/>
  <c r="K200" i="19" s="1"/>
  <c r="AC200" i="19"/>
  <c r="I287" i="19"/>
  <c r="J287" i="19"/>
  <c r="Z287" i="19"/>
  <c r="K287" i="19" s="1"/>
  <c r="AC287" i="19"/>
  <c r="I242" i="19"/>
  <c r="J242" i="19"/>
  <c r="Z242" i="19"/>
  <c r="K242" i="19" s="1"/>
  <c r="AC242" i="19"/>
  <c r="I220" i="19"/>
  <c r="J220" i="19"/>
  <c r="Z220" i="19"/>
  <c r="K220" i="19" s="1"/>
  <c r="AC220" i="19"/>
  <c r="I231" i="19"/>
  <c r="J231" i="19"/>
  <c r="Z231" i="19"/>
  <c r="K231" i="19" s="1"/>
  <c r="AC231" i="19"/>
  <c r="I208" i="19"/>
  <c r="J208" i="19"/>
  <c r="Z208" i="19"/>
  <c r="AC208" i="19"/>
  <c r="I266" i="19"/>
  <c r="J266" i="19"/>
  <c r="Z266" i="19"/>
  <c r="K266" i="19" s="1"/>
  <c r="AC266" i="19"/>
  <c r="I213" i="19"/>
  <c r="J213" i="19"/>
  <c r="Z213" i="19"/>
  <c r="K213" i="19" s="1"/>
  <c r="AC213" i="19"/>
  <c r="I240" i="19"/>
  <c r="J240" i="19"/>
  <c r="Z240" i="19"/>
  <c r="K240" i="19" s="1"/>
  <c r="AC240" i="19"/>
  <c r="I158" i="19"/>
  <c r="J158" i="19"/>
  <c r="Z158" i="19"/>
  <c r="K158" i="19" s="1"/>
  <c r="AC158" i="19"/>
  <c r="I159" i="19"/>
  <c r="J159" i="19"/>
  <c r="Z159" i="19"/>
  <c r="K159" i="19" s="1"/>
  <c r="AC159" i="19"/>
  <c r="T155" i="19"/>
  <c r="T329" i="19"/>
  <c r="T323" i="19"/>
  <c r="T328" i="19"/>
  <c r="T326" i="19"/>
  <c r="T325" i="19"/>
  <c r="T161" i="19"/>
  <c r="T321" i="19"/>
  <c r="T330" i="19"/>
  <c r="T157" i="19"/>
  <c r="T156" i="19"/>
  <c r="K282" i="19" l="1"/>
  <c r="K170" i="19"/>
  <c r="K314" i="19"/>
  <c r="K259" i="19"/>
  <c r="K211" i="19"/>
  <c r="K235" i="19"/>
  <c r="K315" i="19"/>
  <c r="K187" i="19"/>
  <c r="K219" i="19"/>
  <c r="K243" i="19"/>
  <c r="K307" i="19"/>
  <c r="K179" i="19"/>
  <c r="K283" i="19"/>
  <c r="K291" i="19"/>
  <c r="K275" i="19"/>
  <c r="K203" i="19"/>
  <c r="K208" i="19"/>
  <c r="K224" i="19"/>
  <c r="K264" i="19"/>
  <c r="K176" i="19"/>
  <c r="K201" i="19"/>
  <c r="K249" i="19"/>
  <c r="K289" i="19"/>
  <c r="K177" i="19"/>
  <c r="K313" i="19"/>
  <c r="K239" i="19"/>
  <c r="K167" i="19"/>
  <c r="K247" i="19"/>
  <c r="K263" i="19"/>
  <c r="K199" i="19"/>
  <c r="K279" i="19"/>
  <c r="K183" i="19"/>
  <c r="K223" i="19"/>
  <c r="K311" i="19"/>
  <c r="K303" i="19"/>
  <c r="K271" i="19"/>
  <c r="K207" i="19"/>
  <c r="K295" i="19"/>
  <c r="K191" i="19"/>
  <c r="K215" i="19"/>
  <c r="K233" i="19"/>
  <c r="K190" i="19"/>
  <c r="K256" i="19"/>
  <c r="K260" i="19"/>
  <c r="K265" i="19"/>
  <c r="K284" i="19"/>
  <c r="K316" i="19"/>
  <c r="K308" i="19"/>
  <c r="K169" i="19"/>
  <c r="K180" i="19"/>
  <c r="K236" i="19"/>
  <c r="K296" i="19"/>
  <c r="K248" i="19"/>
  <c r="K272" i="19"/>
  <c r="K232" i="19"/>
  <c r="K212" i="19"/>
  <c r="K188" i="19"/>
  <c r="K196" i="19"/>
  <c r="K189" i="19"/>
  <c r="K293" i="19"/>
  <c r="K277" i="19"/>
  <c r="K301" i="19"/>
  <c r="K245" i="19"/>
  <c r="K269" i="19"/>
  <c r="K237" i="19"/>
  <c r="K309" i="19"/>
  <c r="K221" i="19"/>
  <c r="K197" i="19"/>
  <c r="K253" i="19"/>
  <c r="K205" i="19"/>
  <c r="K173" i="19"/>
  <c r="K285" i="19"/>
  <c r="K317" i="19"/>
  <c r="K261" i="19"/>
  <c r="K229" i="19"/>
  <c r="K181" i="19"/>
  <c r="I356" i="19"/>
  <c r="J356" i="19"/>
  <c r="Z356" i="19"/>
  <c r="K356" i="19" s="1"/>
  <c r="AC356" i="19"/>
  <c r="I96" i="19"/>
  <c r="J96" i="19"/>
  <c r="Z96" i="19"/>
  <c r="K96" i="19" s="1"/>
  <c r="AC96" i="19"/>
  <c r="I99" i="19"/>
  <c r="J99" i="19"/>
  <c r="Z99" i="19"/>
  <c r="K99" i="19" s="1"/>
  <c r="AC99" i="19"/>
  <c r="I97" i="19"/>
  <c r="J97" i="19"/>
  <c r="Z97" i="19"/>
  <c r="K97" i="19" s="1"/>
  <c r="AC97" i="19"/>
  <c r="I5" i="19"/>
  <c r="J5" i="19"/>
  <c r="Z5" i="19"/>
  <c r="K5" i="19" s="1"/>
  <c r="AC5" i="19"/>
  <c r="J20" i="15" l="1"/>
  <c r="K20" i="15" s="1"/>
  <c r="L20" i="15"/>
  <c r="K19" i="15"/>
  <c r="K18" i="15"/>
  <c r="K17" i="15"/>
  <c r="K16" i="15"/>
  <c r="K15" i="15"/>
  <c r="L14" i="15"/>
  <c r="J13" i="15"/>
  <c r="K13" i="15" s="1"/>
  <c r="J12" i="15"/>
  <c r="K12" i="15" s="1"/>
  <c r="J11" i="15"/>
  <c r="K11" i="15" s="1"/>
  <c r="J10" i="15"/>
  <c r="K10" i="15" s="1"/>
  <c r="J9" i="15"/>
  <c r="K9" i="15" s="1"/>
  <c r="J8" i="15"/>
  <c r="K8" i="15" s="1"/>
  <c r="K7" i="15"/>
  <c r="J6" i="15"/>
  <c r="K6" i="15" s="1"/>
  <c r="J5" i="15"/>
  <c r="K5" i="15" s="1"/>
  <c r="J4" i="15"/>
  <c r="K4" i="15" s="1"/>
  <c r="J3" i="15"/>
  <c r="K3" i="15" s="1"/>
  <c r="J2" i="15"/>
  <c r="K2" i="15" s="1"/>
  <c r="L19" i="15" l="1"/>
  <c r="L18" i="15"/>
  <c r="L17" i="15"/>
  <c r="L16" i="15"/>
  <c r="L15" i="15"/>
  <c r="L11" i="15"/>
  <c r="K14" i="15"/>
  <c r="L13" i="15"/>
  <c r="L9" i="15"/>
  <c r="L12" i="15"/>
  <c r="L10" i="15"/>
  <c r="L8" i="15"/>
  <c r="L7" i="15"/>
  <c r="L6" i="15"/>
  <c r="L5" i="15"/>
  <c r="L4" i="15"/>
  <c r="K143" i="19"/>
  <c r="Z2" i="19"/>
  <c r="Z3" i="19"/>
  <c r="Z4" i="19"/>
  <c r="Z6" i="19"/>
  <c r="Z7" i="19"/>
  <c r="Z8" i="19"/>
  <c r="Z9" i="19"/>
  <c r="Z10" i="19"/>
  <c r="Z11" i="19"/>
  <c r="Z12" i="19"/>
  <c r="Z14" i="19"/>
  <c r="Z15" i="19"/>
  <c r="Z16" i="19"/>
  <c r="Z17" i="19"/>
  <c r="Z18" i="19"/>
  <c r="Z19" i="19"/>
  <c r="Z20" i="19"/>
  <c r="Z21" i="19"/>
  <c r="Z22" i="19"/>
  <c r="Z23" i="19"/>
  <c r="Z24" i="19"/>
  <c r="Z25" i="19"/>
  <c r="Z26" i="19"/>
  <c r="Z27" i="19"/>
  <c r="Z28" i="19"/>
  <c r="Z29" i="19"/>
  <c r="Z30" i="19"/>
  <c r="Z31" i="19"/>
  <c r="Z32" i="19"/>
  <c r="Z33" i="19"/>
  <c r="Z34" i="19"/>
  <c r="Z35" i="19"/>
  <c r="Z36" i="19"/>
  <c r="Z37" i="19"/>
  <c r="Z38" i="19"/>
  <c r="Z39" i="19"/>
  <c r="Z40" i="19"/>
  <c r="Z13" i="19"/>
  <c r="Z41" i="19"/>
  <c r="Z42" i="19"/>
  <c r="Z43" i="19"/>
  <c r="Z44" i="19"/>
  <c r="Z45" i="19"/>
  <c r="Z46" i="19"/>
  <c r="Z47" i="19"/>
  <c r="Z48" i="19"/>
  <c r="Z49" i="19"/>
  <c r="Z50" i="19"/>
  <c r="Z51" i="19"/>
  <c r="Z52" i="19"/>
  <c r="Z53" i="19"/>
  <c r="Z54" i="19"/>
  <c r="Z55" i="19"/>
  <c r="Z56" i="19"/>
  <c r="Z57" i="19"/>
  <c r="Z58" i="19"/>
  <c r="Z59" i="19"/>
  <c r="Z60" i="19"/>
  <c r="Z61" i="19"/>
  <c r="Z62" i="19"/>
  <c r="Z63" i="19"/>
  <c r="Z64" i="19"/>
  <c r="Z65" i="19"/>
  <c r="Z66" i="19"/>
  <c r="Z67" i="19"/>
  <c r="Z68" i="19"/>
  <c r="Z69" i="19"/>
  <c r="Z72" i="19"/>
  <c r="Z73" i="19"/>
  <c r="Z74" i="19"/>
  <c r="Z75" i="19"/>
  <c r="Z76" i="19"/>
  <c r="Z77" i="19"/>
  <c r="Z78" i="19"/>
  <c r="Z79" i="19"/>
  <c r="Z80" i="19"/>
  <c r="Z81" i="19"/>
  <c r="Z82" i="19"/>
  <c r="Z83" i="19"/>
  <c r="Z84" i="19"/>
  <c r="Z85" i="19"/>
  <c r="Z86" i="19"/>
  <c r="Z87" i="19"/>
  <c r="Z88" i="19"/>
  <c r="Z89" i="19"/>
  <c r="Z91" i="19"/>
  <c r="Z92" i="19"/>
  <c r="Z93" i="19"/>
  <c r="Z94" i="19"/>
  <c r="Z95" i="19"/>
  <c r="Z98" i="19"/>
  <c r="Z100" i="19"/>
  <c r="Z101" i="19"/>
  <c r="Z102" i="19"/>
  <c r="Z103" i="19"/>
  <c r="Z104" i="19"/>
  <c r="Z105" i="19"/>
  <c r="Z106" i="19"/>
  <c r="Z107" i="19"/>
  <c r="Z108" i="19"/>
  <c r="Z109" i="19"/>
  <c r="Z110" i="19"/>
  <c r="Z111" i="19"/>
  <c r="Z112" i="19"/>
  <c r="Z113" i="19"/>
  <c r="Z114" i="19"/>
  <c r="Z115" i="19"/>
  <c r="Z116" i="19"/>
  <c r="Z117" i="19"/>
  <c r="Z118" i="19"/>
  <c r="Z119" i="19"/>
  <c r="Z120" i="19"/>
  <c r="Z121" i="19"/>
  <c r="Z122" i="19"/>
  <c r="Z123" i="19"/>
  <c r="Z124" i="19"/>
  <c r="Z137" i="19"/>
  <c r="Z138" i="19"/>
  <c r="Z139" i="19"/>
  <c r="Z140" i="19"/>
  <c r="Z141" i="19"/>
  <c r="Z142" i="19"/>
  <c r="Z144" i="19"/>
  <c r="Z145" i="19"/>
  <c r="Z146" i="19"/>
  <c r="Z147" i="19"/>
  <c r="Z148" i="19"/>
  <c r="Z149" i="19"/>
  <c r="Z150" i="19"/>
  <c r="Z151" i="19"/>
  <c r="Z152" i="19"/>
  <c r="Z153" i="19"/>
  <c r="Z154" i="19"/>
  <c r="Z155" i="19"/>
  <c r="Z156" i="19"/>
  <c r="Z157" i="19"/>
  <c r="Z160" i="19"/>
  <c r="Z161" i="19"/>
  <c r="Z163" i="19"/>
  <c r="Z172" i="19"/>
  <c r="Z184" i="19"/>
  <c r="Z185" i="19"/>
  <c r="Z195" i="19"/>
  <c r="Z226" i="19"/>
  <c r="Z228" i="19"/>
  <c r="Z241" i="19"/>
  <c r="Z268" i="19"/>
  <c r="Z281" i="19"/>
  <c r="Z321" i="19"/>
  <c r="Z323" i="19"/>
  <c r="Z325" i="19"/>
  <c r="Z326" i="19"/>
  <c r="Z328" i="19"/>
  <c r="Z329" i="19"/>
  <c r="Z330" i="19"/>
  <c r="Z331" i="19"/>
  <c r="Z332" i="19"/>
  <c r="Z333" i="19"/>
  <c r="Z334" i="19"/>
  <c r="Z335" i="19"/>
  <c r="Z336" i="19"/>
  <c r="Z337" i="19"/>
  <c r="Z340" i="19"/>
  <c r="Z341" i="19"/>
  <c r="Z342" i="19"/>
  <c r="Z343" i="19"/>
  <c r="Z344" i="19"/>
  <c r="Z345" i="19"/>
  <c r="Z346" i="19"/>
  <c r="Z347" i="19"/>
  <c r="Z348" i="19"/>
  <c r="Z349" i="19"/>
  <c r="Z350" i="19"/>
  <c r="Z351" i="19"/>
  <c r="Z352" i="19"/>
  <c r="Z353" i="19"/>
  <c r="Z354" i="19"/>
  <c r="Z355" i="19"/>
  <c r="Z357" i="19"/>
  <c r="Z358" i="19"/>
  <c r="Z359" i="19"/>
  <c r="Z360" i="19"/>
  <c r="Z361" i="19"/>
  <c r="Z362" i="19"/>
  <c r="Z363" i="19"/>
  <c r="Z90" i="19"/>
  <c r="K90" i="19" s="1"/>
  <c r="I143" i="19"/>
  <c r="J143" i="19"/>
  <c r="AC143" i="19"/>
  <c r="I90" i="19"/>
  <c r="J90" i="19"/>
  <c r="AC90" i="19"/>
  <c r="L3" i="15" l="1"/>
  <c r="E36" i="24"/>
  <c r="B33" i="24"/>
  <c r="C33" i="24"/>
  <c r="F33" i="24"/>
  <c r="G33" i="24" s="1"/>
  <c r="I33" i="24"/>
  <c r="I32" i="24"/>
  <c r="I16" i="24"/>
  <c r="I23" i="24"/>
  <c r="I20" i="24"/>
  <c r="I185" i="19"/>
  <c r="J185" i="19"/>
  <c r="K185" i="19"/>
  <c r="AC185" i="19"/>
  <c r="AA136" i="19"/>
  <c r="Z136" i="19" s="1"/>
  <c r="AA135" i="19"/>
  <c r="Z135" i="19" s="1"/>
  <c r="AA134" i="19"/>
  <c r="Z134" i="19" s="1"/>
  <c r="AA133" i="19"/>
  <c r="Z133" i="19" s="1"/>
  <c r="AA132" i="19"/>
  <c r="Z132" i="19" s="1"/>
  <c r="AA131" i="19"/>
  <c r="Z131" i="19" s="1"/>
  <c r="AA130" i="19"/>
  <c r="Z130" i="19" s="1"/>
  <c r="AA129" i="19"/>
  <c r="Z129" i="19" s="1"/>
  <c r="AA128" i="19"/>
  <c r="Z128" i="19" s="1"/>
  <c r="AA127" i="19"/>
  <c r="Z127" i="19" s="1"/>
  <c r="AA126" i="19"/>
  <c r="Z126" i="19" s="1"/>
  <c r="AA125" i="19"/>
  <c r="Z125" i="19" s="1"/>
  <c r="AA71" i="19"/>
  <c r="Z71" i="19" s="1"/>
  <c r="AA70" i="19"/>
  <c r="Z70" i="19" s="1"/>
  <c r="E9" i="23"/>
  <c r="I4" i="22"/>
  <c r="A37" i="19"/>
  <c r="A34" i="19"/>
  <c r="C30" i="3" s="1"/>
  <c r="A21" i="19"/>
  <c r="I2" i="16"/>
  <c r="C23" i="16"/>
  <c r="C2" i="3"/>
  <c r="C32" i="3"/>
  <c r="C34" i="3"/>
  <c r="C36" i="3"/>
  <c r="C37" i="3"/>
  <c r="C2" i="20"/>
  <c r="C43" i="20"/>
  <c r="F23" i="24" l="1"/>
  <c r="G23" i="24" s="1"/>
  <c r="F16" i="24"/>
  <c r="G16" i="24" s="1"/>
  <c r="F32" i="24"/>
  <c r="G32" i="24" s="1"/>
  <c r="C33" i="20"/>
  <c r="H23" i="24"/>
  <c r="H16" i="24"/>
  <c r="C23" i="24"/>
  <c r="C16" i="24"/>
  <c r="C32" i="24"/>
  <c r="B23" i="24"/>
  <c r="B16" i="24"/>
  <c r="B32" i="24"/>
  <c r="J33" i="24"/>
  <c r="B20" i="24"/>
  <c r="C37" i="20"/>
  <c r="C2" i="16"/>
  <c r="C11" i="16"/>
  <c r="C7" i="20"/>
  <c r="C34" i="20"/>
  <c r="C9" i="16"/>
  <c r="C21" i="3"/>
  <c r="C11" i="8"/>
  <c r="C8" i="16"/>
  <c r="C13" i="16"/>
  <c r="C6" i="20"/>
  <c r="C12" i="8"/>
  <c r="C30" i="20"/>
  <c r="C13" i="3"/>
  <c r="C10" i="8"/>
  <c r="C7" i="16"/>
  <c r="C29" i="3"/>
  <c r="C22" i="20"/>
  <c r="C8" i="3"/>
  <c r="C3" i="8"/>
  <c r="C6" i="16"/>
  <c r="C5" i="16"/>
  <c r="C7" i="3"/>
  <c r="C6" i="3"/>
  <c r="C20" i="16"/>
  <c r="C4" i="16"/>
  <c r="C21" i="20"/>
  <c r="C14" i="20"/>
  <c r="C38" i="20"/>
  <c r="C8" i="20"/>
  <c r="C31" i="3"/>
  <c r="C5" i="3"/>
  <c r="C12" i="16"/>
  <c r="C13" i="20"/>
  <c r="C5" i="20"/>
  <c r="C28" i="3"/>
  <c r="C20" i="3"/>
  <c r="C12" i="3"/>
  <c r="C4" i="3"/>
  <c r="C2" i="8"/>
  <c r="C19" i="16"/>
  <c r="C3" i="16"/>
  <c r="C44" i="20"/>
  <c r="C36" i="20"/>
  <c r="C28" i="20"/>
  <c r="C20" i="20"/>
  <c r="C12" i="20"/>
  <c r="C4" i="20"/>
  <c r="C35" i="3"/>
  <c r="C27" i="3"/>
  <c r="C19" i="3"/>
  <c r="C11" i="3"/>
  <c r="C3" i="3"/>
  <c r="C9" i="8"/>
  <c r="C26" i="16"/>
  <c r="C18" i="16"/>
  <c r="C10" i="16"/>
  <c r="F4" i="22"/>
  <c r="G4" i="22" s="1"/>
  <c r="H20" i="24"/>
  <c r="C19" i="20"/>
  <c r="C11" i="20"/>
  <c r="C3" i="20"/>
  <c r="C26" i="3"/>
  <c r="C18" i="3"/>
  <c r="C10" i="3"/>
  <c r="C8" i="8"/>
  <c r="C25" i="16"/>
  <c r="C17" i="16"/>
  <c r="F2" i="16"/>
  <c r="G2" i="16" s="1"/>
  <c r="C4" i="22"/>
  <c r="C29" i="20"/>
  <c r="C27" i="20"/>
  <c r="C26" i="20"/>
  <c r="C18" i="20"/>
  <c r="C10" i="20"/>
  <c r="C33" i="3"/>
  <c r="C25" i="3"/>
  <c r="C17" i="3"/>
  <c r="C9" i="3"/>
  <c r="C15" i="8"/>
  <c r="C7" i="8"/>
  <c r="C24" i="16"/>
  <c r="C16" i="16"/>
  <c r="B4" i="22"/>
  <c r="C42" i="20"/>
  <c r="C25" i="20"/>
  <c r="C17" i="20"/>
  <c r="C9" i="20"/>
  <c r="C40" i="3"/>
  <c r="C24" i="3"/>
  <c r="C16" i="3"/>
  <c r="C14" i="8"/>
  <c r="C6" i="8"/>
  <c r="C15" i="16"/>
  <c r="B2" i="16"/>
  <c r="F20" i="24"/>
  <c r="G20" i="24" s="1"/>
  <c r="C35" i="20"/>
  <c r="C41" i="20"/>
  <c r="C40" i="20"/>
  <c r="C24" i="20"/>
  <c r="C16" i="20"/>
  <c r="C39" i="3"/>
  <c r="C23" i="3"/>
  <c r="C15" i="3"/>
  <c r="C13" i="8"/>
  <c r="C5" i="8"/>
  <c r="C22" i="16"/>
  <c r="C14" i="16"/>
  <c r="C20" i="24"/>
  <c r="C32" i="20"/>
  <c r="C39" i="20"/>
  <c r="C31" i="20"/>
  <c r="C23" i="20"/>
  <c r="C15" i="20"/>
  <c r="C38" i="3"/>
  <c r="C22" i="3"/>
  <c r="C14" i="3"/>
  <c r="C4" i="8"/>
  <c r="C21" i="16"/>
  <c r="I131" i="19"/>
  <c r="J131" i="19"/>
  <c r="K131" i="19"/>
  <c r="AC131" i="19"/>
  <c r="I130" i="19"/>
  <c r="J130" i="19"/>
  <c r="K130" i="19"/>
  <c r="AC130" i="19"/>
  <c r="I136" i="19"/>
  <c r="J136" i="19"/>
  <c r="H4" i="22" s="1"/>
  <c r="K136" i="19"/>
  <c r="AC136" i="19"/>
  <c r="I115" i="19"/>
  <c r="J115" i="19"/>
  <c r="K115" i="19"/>
  <c r="AC115" i="19"/>
  <c r="I281" i="19"/>
  <c r="J281" i="19"/>
  <c r="K281" i="19"/>
  <c r="AC281" i="19"/>
  <c r="I241" i="19"/>
  <c r="J241" i="19"/>
  <c r="K241" i="19"/>
  <c r="AC241" i="19"/>
  <c r="I161" i="19"/>
  <c r="J161" i="19"/>
  <c r="K161" i="19"/>
  <c r="AC161" i="19"/>
  <c r="I172" i="19"/>
  <c r="J172" i="19"/>
  <c r="K172" i="19"/>
  <c r="AC172" i="19"/>
  <c r="I330" i="19"/>
  <c r="J330" i="19"/>
  <c r="K330" i="19"/>
  <c r="AC330" i="19"/>
  <c r="I325" i="19"/>
  <c r="J325" i="19"/>
  <c r="K325" i="19"/>
  <c r="AC325" i="19"/>
  <c r="J16" i="24" l="1"/>
  <c r="J23" i="24"/>
  <c r="J32" i="24"/>
  <c r="J4" i="22"/>
  <c r="J2" i="16"/>
  <c r="J20" i="24"/>
  <c r="I42" i="19"/>
  <c r="J42" i="19"/>
  <c r="K42" i="19"/>
  <c r="AC42" i="19"/>
  <c r="I43" i="19"/>
  <c r="J43" i="19"/>
  <c r="K43" i="19"/>
  <c r="AC43" i="19"/>
  <c r="I67" i="19" l="1"/>
  <c r="J67" i="19"/>
  <c r="K67" i="19"/>
  <c r="AC67" i="19"/>
  <c r="I19" i="19" l="1"/>
  <c r="J19" i="19"/>
  <c r="K19" i="19"/>
  <c r="AC19" i="19"/>
  <c r="I41" i="19" l="1"/>
  <c r="J41" i="19"/>
  <c r="K41" i="19"/>
  <c r="AC41" i="19"/>
  <c r="I71" i="19"/>
  <c r="J71" i="19"/>
  <c r="K71" i="19"/>
  <c r="AC71" i="19"/>
  <c r="I70" i="19"/>
  <c r="J70" i="19"/>
  <c r="K70" i="19"/>
  <c r="AC70" i="19"/>
  <c r="I129" i="19" l="1"/>
  <c r="J129" i="19"/>
  <c r="K129" i="19"/>
  <c r="AC129" i="19"/>
  <c r="F36" i="24"/>
  <c r="C36" i="24"/>
  <c r="B36" i="24"/>
  <c r="F34" i="24"/>
  <c r="E34" i="24"/>
  <c r="C34" i="24"/>
  <c r="B34" i="24"/>
  <c r="F35" i="24"/>
  <c r="E35" i="24"/>
  <c r="C35" i="24"/>
  <c r="B35" i="24"/>
  <c r="I31" i="24"/>
  <c r="F31" i="24"/>
  <c r="C31" i="24"/>
  <c r="B31" i="24"/>
  <c r="I30" i="24"/>
  <c r="F30" i="24"/>
  <c r="G30" i="24" s="1"/>
  <c r="C30" i="24"/>
  <c r="B30" i="24"/>
  <c r="I29" i="24"/>
  <c r="F29" i="24"/>
  <c r="G29" i="24" s="1"/>
  <c r="C29" i="24"/>
  <c r="B29" i="24"/>
  <c r="I28" i="24"/>
  <c r="F28" i="24"/>
  <c r="C28" i="24"/>
  <c r="B28" i="24"/>
  <c r="I27" i="24"/>
  <c r="F27" i="24"/>
  <c r="C27" i="24"/>
  <c r="B27" i="24"/>
  <c r="I26" i="24"/>
  <c r="F26" i="24"/>
  <c r="G26" i="24" s="1"/>
  <c r="C26" i="24"/>
  <c r="B26" i="24"/>
  <c r="I25" i="24"/>
  <c r="F25" i="24"/>
  <c r="C25" i="24"/>
  <c r="B25" i="24"/>
  <c r="I24" i="24"/>
  <c r="F24" i="24"/>
  <c r="G24" i="24" s="1"/>
  <c r="C24" i="24"/>
  <c r="B24" i="24"/>
  <c r="I22" i="24"/>
  <c r="F22" i="24"/>
  <c r="C22" i="24"/>
  <c r="B22" i="24"/>
  <c r="I21" i="24"/>
  <c r="F21" i="24"/>
  <c r="G21" i="24" s="1"/>
  <c r="C21" i="24"/>
  <c r="B21" i="24"/>
  <c r="I19" i="24"/>
  <c r="F19" i="24"/>
  <c r="C19" i="24"/>
  <c r="B19" i="24"/>
  <c r="I18" i="24"/>
  <c r="F18" i="24"/>
  <c r="G18" i="24" s="1"/>
  <c r="C18" i="24"/>
  <c r="B18" i="24"/>
  <c r="I17" i="24"/>
  <c r="F17" i="24"/>
  <c r="C17" i="24"/>
  <c r="B17" i="24"/>
  <c r="I15" i="24"/>
  <c r="F15" i="24"/>
  <c r="G15" i="24" s="1"/>
  <c r="C15" i="24"/>
  <c r="B15" i="24"/>
  <c r="I14" i="24"/>
  <c r="F14" i="24"/>
  <c r="C14" i="24"/>
  <c r="B14" i="24"/>
  <c r="I13" i="24"/>
  <c r="F13" i="24"/>
  <c r="G13" i="24" s="1"/>
  <c r="C13" i="24"/>
  <c r="B13" i="24"/>
  <c r="I12" i="24"/>
  <c r="F12" i="24"/>
  <c r="C12" i="24"/>
  <c r="B12" i="24"/>
  <c r="I11" i="24"/>
  <c r="F11" i="24"/>
  <c r="C11" i="24"/>
  <c r="B11" i="24"/>
  <c r="I10" i="24"/>
  <c r="F10" i="24"/>
  <c r="C10" i="24"/>
  <c r="B10" i="24"/>
  <c r="I9" i="24"/>
  <c r="F9" i="24"/>
  <c r="C9" i="24"/>
  <c r="B9" i="24"/>
  <c r="I8" i="24"/>
  <c r="F8" i="24"/>
  <c r="G8" i="24" s="1"/>
  <c r="C8" i="24"/>
  <c r="B8" i="24"/>
  <c r="I7" i="24"/>
  <c r="F7" i="24"/>
  <c r="C7" i="24"/>
  <c r="B7" i="24"/>
  <c r="I6" i="24"/>
  <c r="F6" i="24"/>
  <c r="G6" i="24" s="1"/>
  <c r="C6" i="24"/>
  <c r="B6" i="24"/>
  <c r="I5" i="24"/>
  <c r="F5" i="24"/>
  <c r="G5" i="24" s="1"/>
  <c r="C5" i="24"/>
  <c r="B5" i="24"/>
  <c r="I4" i="24"/>
  <c r="F4" i="24"/>
  <c r="C4" i="24"/>
  <c r="B4" i="24"/>
  <c r="I3" i="24"/>
  <c r="F3" i="24"/>
  <c r="C3" i="24"/>
  <c r="B3" i="24"/>
  <c r="I2" i="24"/>
  <c r="H2" i="24"/>
  <c r="F2" i="24"/>
  <c r="C2" i="24"/>
  <c r="B2" i="24"/>
  <c r="I12" i="19"/>
  <c r="J12" i="19"/>
  <c r="H33" i="24" s="1"/>
  <c r="K12" i="19"/>
  <c r="AC12" i="19"/>
  <c r="J2" i="24" l="1"/>
  <c r="J4" i="24"/>
  <c r="J7" i="24"/>
  <c r="J9" i="24"/>
  <c r="J3" i="24"/>
  <c r="J28" i="24"/>
  <c r="J10" i="24"/>
  <c r="J14" i="24"/>
  <c r="J17" i="24"/>
  <c r="J19" i="24"/>
  <c r="J22" i="24"/>
  <c r="J25" i="24"/>
  <c r="J27" i="24"/>
  <c r="J31" i="24"/>
  <c r="J11" i="24"/>
  <c r="J12" i="24"/>
  <c r="G34" i="24"/>
  <c r="G17" i="24"/>
  <c r="G12" i="24"/>
  <c r="J18" i="24"/>
  <c r="G36" i="24"/>
  <c r="G9" i="24"/>
  <c r="J24" i="24"/>
  <c r="J13" i="24"/>
  <c r="G35" i="24"/>
  <c r="J5" i="24"/>
  <c r="J21" i="24"/>
  <c r="G28" i="24"/>
  <c r="J29" i="24"/>
  <c r="G7" i="24"/>
  <c r="G27" i="24"/>
  <c r="J30" i="24"/>
  <c r="J6" i="24"/>
  <c r="G14" i="24"/>
  <c r="G25" i="24"/>
  <c r="G31" i="24"/>
  <c r="I35" i="24"/>
  <c r="J35" i="24" s="1"/>
  <c r="I34" i="24"/>
  <c r="J34" i="24" s="1"/>
  <c r="I36" i="24"/>
  <c r="J36" i="24" s="1"/>
  <c r="J8" i="24"/>
  <c r="J15" i="24"/>
  <c r="G22" i="24"/>
  <c r="J26" i="24"/>
  <c r="G11" i="24"/>
  <c r="G10" i="24"/>
  <c r="G19" i="24"/>
  <c r="G4" i="24"/>
  <c r="G3" i="24"/>
  <c r="G2" i="24"/>
  <c r="I50" i="19"/>
  <c r="J50" i="19"/>
  <c r="K50" i="19"/>
  <c r="AC50" i="19"/>
  <c r="I51" i="19"/>
  <c r="J51" i="19"/>
  <c r="K51" i="19"/>
  <c r="AC51" i="19"/>
  <c r="I49" i="19"/>
  <c r="J49" i="19"/>
  <c r="K49" i="19"/>
  <c r="AC49" i="19"/>
  <c r="I48" i="19"/>
  <c r="J48" i="19"/>
  <c r="K48" i="19"/>
  <c r="AC48" i="19"/>
  <c r="I47" i="19"/>
  <c r="J47" i="19"/>
  <c r="K47" i="19"/>
  <c r="AC47" i="19"/>
  <c r="I46" i="19"/>
  <c r="J46" i="19"/>
  <c r="K46" i="19"/>
  <c r="AC46" i="19"/>
  <c r="I45" i="19"/>
  <c r="J45" i="19"/>
  <c r="K45" i="19"/>
  <c r="AC45" i="19"/>
  <c r="I54" i="19"/>
  <c r="J54" i="19"/>
  <c r="K54" i="19"/>
  <c r="AC54" i="19"/>
  <c r="I53" i="19"/>
  <c r="J53" i="19"/>
  <c r="K53" i="19"/>
  <c r="AC53" i="19"/>
  <c r="I52" i="19"/>
  <c r="J52" i="19"/>
  <c r="K52" i="19"/>
  <c r="AC52" i="19"/>
  <c r="I63" i="19"/>
  <c r="J63" i="19"/>
  <c r="K63" i="19"/>
  <c r="AC63" i="19"/>
  <c r="I62" i="19"/>
  <c r="J62" i="19"/>
  <c r="K62" i="19"/>
  <c r="AC62" i="19"/>
  <c r="I61" i="19"/>
  <c r="J61" i="19"/>
  <c r="K61" i="19"/>
  <c r="AC61" i="19"/>
  <c r="I60" i="19"/>
  <c r="J60" i="19"/>
  <c r="K60" i="19"/>
  <c r="AC60" i="19"/>
  <c r="I59" i="19"/>
  <c r="J59" i="19"/>
  <c r="K59" i="19"/>
  <c r="AC59" i="19"/>
  <c r="I58" i="19"/>
  <c r="J58" i="19"/>
  <c r="K58" i="19"/>
  <c r="AC58" i="19"/>
  <c r="I57" i="19"/>
  <c r="J57" i="19"/>
  <c r="K57" i="19"/>
  <c r="AC57" i="19"/>
  <c r="I56" i="19"/>
  <c r="J56" i="19"/>
  <c r="K56" i="19"/>
  <c r="AC56" i="19"/>
  <c r="I55" i="19"/>
  <c r="J55" i="19"/>
  <c r="K55" i="19"/>
  <c r="AC55" i="19"/>
  <c r="I64" i="19"/>
  <c r="J64" i="19"/>
  <c r="K64" i="19"/>
  <c r="AC64" i="19"/>
  <c r="I44" i="19"/>
  <c r="J44" i="19"/>
  <c r="K44" i="19"/>
  <c r="AC44" i="19"/>
  <c r="I353" i="19"/>
  <c r="J353" i="19"/>
  <c r="K353" i="19"/>
  <c r="AC353" i="19"/>
  <c r="C2" i="14" l="1"/>
  <c r="C2" i="23"/>
  <c r="C3" i="23"/>
  <c r="C4" i="23"/>
  <c r="C5" i="23"/>
  <c r="C6" i="23"/>
  <c r="C7" i="23"/>
  <c r="C8" i="23"/>
  <c r="C9" i="23"/>
  <c r="C10" i="23"/>
  <c r="C2" i="21"/>
  <c r="C3" i="2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2" i="22"/>
  <c r="C3" i="22"/>
  <c r="C5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C19" i="22"/>
  <c r="C20" i="22"/>
  <c r="C21" i="22"/>
  <c r="C22" i="22"/>
  <c r="C23" i="22"/>
  <c r="C24" i="22"/>
  <c r="C25" i="22"/>
  <c r="C26" i="22"/>
  <c r="C27" i="22"/>
  <c r="C28" i="22"/>
  <c r="C29" i="22"/>
  <c r="C30" i="22"/>
  <c r="E33" i="21" l="1"/>
  <c r="I352" i="19" l="1"/>
  <c r="J352" i="19"/>
  <c r="K352" i="19"/>
  <c r="AC352" i="19"/>
  <c r="I73" i="19" l="1"/>
  <c r="J73" i="19"/>
  <c r="K73" i="19"/>
  <c r="AC73" i="19"/>
  <c r="E10" i="23" l="1"/>
  <c r="E30" i="22" l="1"/>
  <c r="I10" i="23"/>
  <c r="B10" i="23"/>
  <c r="F10" i="23"/>
  <c r="G10" i="23" s="1"/>
  <c r="J10" i="23" l="1"/>
  <c r="B22" i="22" l="1"/>
  <c r="F22" i="22"/>
  <c r="G22" i="22" s="1"/>
  <c r="I22" i="22"/>
  <c r="B24" i="22"/>
  <c r="F24" i="22"/>
  <c r="G24" i="22" s="1"/>
  <c r="I24" i="22"/>
  <c r="B23" i="22"/>
  <c r="F23" i="22"/>
  <c r="G23" i="22" s="1"/>
  <c r="I23" i="22"/>
  <c r="B21" i="22"/>
  <c r="F21" i="22"/>
  <c r="G21" i="22" s="1"/>
  <c r="I21" i="22"/>
  <c r="B20" i="22"/>
  <c r="F20" i="22"/>
  <c r="G20" i="22" s="1"/>
  <c r="I20" i="22"/>
  <c r="B14" i="22"/>
  <c r="F14" i="22"/>
  <c r="G14" i="22" s="1"/>
  <c r="I14" i="22"/>
  <c r="B12" i="21"/>
  <c r="F12" i="21"/>
  <c r="G12" i="21" s="1"/>
  <c r="I12" i="21"/>
  <c r="J22" i="22" l="1"/>
  <c r="J24" i="22"/>
  <c r="J23" i="22"/>
  <c r="J21" i="22"/>
  <c r="J20" i="22"/>
  <c r="J14" i="22"/>
  <c r="J12" i="21"/>
  <c r="I83" i="19"/>
  <c r="J83" i="19"/>
  <c r="K83" i="19"/>
  <c r="AC83" i="19"/>
  <c r="I108" i="19" l="1"/>
  <c r="J108" i="19"/>
  <c r="K108" i="19"/>
  <c r="AC108" i="19"/>
  <c r="I30" i="22" l="1"/>
  <c r="B30" i="22"/>
  <c r="F30" i="22"/>
  <c r="B15" i="22"/>
  <c r="F15" i="22"/>
  <c r="G15" i="22" s="1"/>
  <c r="I15" i="22"/>
  <c r="B19" i="22"/>
  <c r="F19" i="22"/>
  <c r="G19" i="22" s="1"/>
  <c r="I19" i="22"/>
  <c r="I100" i="19"/>
  <c r="J100" i="19"/>
  <c r="H15" i="22" s="1"/>
  <c r="K100" i="19"/>
  <c r="AC100" i="19"/>
  <c r="B7" i="23"/>
  <c r="F7" i="23"/>
  <c r="I7" i="23"/>
  <c r="G30" i="22" l="1"/>
  <c r="J30" i="22"/>
  <c r="J15" i="22"/>
  <c r="J19" i="22"/>
  <c r="J7" i="23"/>
  <c r="G7" i="23"/>
  <c r="I107" i="19"/>
  <c r="J107" i="19"/>
  <c r="H7" i="23" s="1"/>
  <c r="K107" i="19"/>
  <c r="AC107" i="19"/>
  <c r="B9" i="23"/>
  <c r="F9" i="23"/>
  <c r="G9" i="23" s="1"/>
  <c r="I9" i="23"/>
  <c r="B8" i="23"/>
  <c r="F8" i="23"/>
  <c r="G8" i="23" s="1"/>
  <c r="I8" i="23"/>
  <c r="B6" i="23"/>
  <c r="F6" i="23"/>
  <c r="G6" i="23" s="1"/>
  <c r="I6" i="23"/>
  <c r="B5" i="23"/>
  <c r="F5" i="23"/>
  <c r="G5" i="23" s="1"/>
  <c r="I5" i="23"/>
  <c r="B4" i="23"/>
  <c r="F4" i="23"/>
  <c r="G4" i="23" s="1"/>
  <c r="I4" i="23"/>
  <c r="B3" i="23"/>
  <c r="F3" i="23"/>
  <c r="G3" i="23" s="1"/>
  <c r="I3" i="23"/>
  <c r="B2" i="23"/>
  <c r="F2" i="23"/>
  <c r="G2" i="23" s="1"/>
  <c r="I2" i="23"/>
  <c r="B15" i="21"/>
  <c r="B14" i="21"/>
  <c r="F14" i="21"/>
  <c r="G14" i="21" s="1"/>
  <c r="I14" i="21"/>
  <c r="J9" i="23" l="1"/>
  <c r="J8" i="23"/>
  <c r="J6" i="23"/>
  <c r="J5" i="23"/>
  <c r="J4" i="23"/>
  <c r="J3" i="23"/>
  <c r="J2" i="23"/>
  <c r="J14" i="21"/>
  <c r="I65" i="19"/>
  <c r="J65" i="19"/>
  <c r="K65" i="19"/>
  <c r="AC65" i="19"/>
  <c r="I363" i="19"/>
  <c r="J363" i="19"/>
  <c r="K363" i="19"/>
  <c r="AC363" i="19"/>
  <c r="B5" i="21" l="1"/>
  <c r="F5" i="21"/>
  <c r="G5" i="21" s="1"/>
  <c r="I5" i="21"/>
  <c r="I337" i="19"/>
  <c r="J337" i="19"/>
  <c r="K337" i="19"/>
  <c r="AC337" i="19"/>
  <c r="H5" i="21" l="1"/>
  <c r="H5" i="24"/>
  <c r="J5" i="21"/>
  <c r="B3" i="22"/>
  <c r="F3" i="22"/>
  <c r="G3" i="22" s="1"/>
  <c r="I3" i="22"/>
  <c r="B2" i="22"/>
  <c r="F2" i="22"/>
  <c r="G2" i="22" s="1"/>
  <c r="I2" i="22"/>
  <c r="I29" i="22"/>
  <c r="F29" i="22"/>
  <c r="G29" i="22" s="1"/>
  <c r="B29" i="22"/>
  <c r="I28" i="22"/>
  <c r="F28" i="22"/>
  <c r="B28" i="22"/>
  <c r="I27" i="22"/>
  <c r="F27" i="22"/>
  <c r="G27" i="22" s="1"/>
  <c r="B27" i="22"/>
  <c r="I26" i="22"/>
  <c r="F26" i="22"/>
  <c r="G26" i="22" s="1"/>
  <c r="B26" i="22"/>
  <c r="I25" i="22"/>
  <c r="F25" i="22"/>
  <c r="G25" i="22" s="1"/>
  <c r="B25" i="22"/>
  <c r="I18" i="22"/>
  <c r="F18" i="22"/>
  <c r="B18" i="22"/>
  <c r="I17" i="22"/>
  <c r="F17" i="22"/>
  <c r="G17" i="22" s="1"/>
  <c r="B17" i="22"/>
  <c r="I16" i="22"/>
  <c r="F16" i="22"/>
  <c r="B16" i="22"/>
  <c r="I13" i="22"/>
  <c r="F13" i="22"/>
  <c r="G13" i="22" s="1"/>
  <c r="B13" i="22"/>
  <c r="I12" i="22"/>
  <c r="F12" i="22"/>
  <c r="G12" i="22" s="1"/>
  <c r="B12" i="22"/>
  <c r="I11" i="22"/>
  <c r="F11" i="22"/>
  <c r="B11" i="22"/>
  <c r="I10" i="22"/>
  <c r="F10" i="22"/>
  <c r="B10" i="22"/>
  <c r="I8" i="22"/>
  <c r="F8" i="22"/>
  <c r="G8" i="22" s="1"/>
  <c r="B8" i="22"/>
  <c r="I9" i="22"/>
  <c r="F9" i="22"/>
  <c r="B9" i="22"/>
  <c r="I7" i="22"/>
  <c r="F7" i="22"/>
  <c r="G7" i="22" s="1"/>
  <c r="B7" i="22"/>
  <c r="I6" i="22"/>
  <c r="F6" i="22"/>
  <c r="G6" i="22" s="1"/>
  <c r="B6" i="22"/>
  <c r="I5" i="22"/>
  <c r="F5" i="22"/>
  <c r="B5" i="22"/>
  <c r="J123" i="19"/>
  <c r="H3" i="22" s="1"/>
  <c r="I336" i="19"/>
  <c r="J336" i="19"/>
  <c r="K336" i="19"/>
  <c r="AC336" i="19"/>
  <c r="I123" i="19"/>
  <c r="K123" i="19"/>
  <c r="AC123" i="19"/>
  <c r="I346" i="19"/>
  <c r="J346" i="19"/>
  <c r="H2" i="22" s="1"/>
  <c r="K346" i="19"/>
  <c r="AC346" i="19"/>
  <c r="I340" i="19"/>
  <c r="J340" i="19"/>
  <c r="K340" i="19"/>
  <c r="AC340" i="19"/>
  <c r="I341" i="19"/>
  <c r="J341" i="19"/>
  <c r="K341" i="19"/>
  <c r="AC341" i="19"/>
  <c r="I342" i="19"/>
  <c r="J342" i="19"/>
  <c r="K342" i="19"/>
  <c r="AC342" i="19"/>
  <c r="I345" i="19"/>
  <c r="J345" i="19"/>
  <c r="K345" i="19"/>
  <c r="AC345" i="19"/>
  <c r="I343" i="19"/>
  <c r="J343" i="19"/>
  <c r="K343" i="19"/>
  <c r="AC343" i="19"/>
  <c r="I22" i="19"/>
  <c r="J22" i="19"/>
  <c r="K22" i="19"/>
  <c r="AC22" i="19"/>
  <c r="H6" i="22" l="1"/>
  <c r="H7" i="24"/>
  <c r="J9" i="22"/>
  <c r="J11" i="22"/>
  <c r="J28" i="22"/>
  <c r="J18" i="22"/>
  <c r="J7" i="22"/>
  <c r="J3" i="22"/>
  <c r="J2" i="22"/>
  <c r="G9" i="22"/>
  <c r="J8" i="22"/>
  <c r="J13" i="22"/>
  <c r="J5" i="22"/>
  <c r="J10" i="22"/>
  <c r="G10" i="22"/>
  <c r="J16" i="22"/>
  <c r="J12" i="22"/>
  <c r="J27" i="22"/>
  <c r="J6" i="22"/>
  <c r="J26" i="22"/>
  <c r="G16" i="22"/>
  <c r="G18" i="22"/>
  <c r="G28" i="22"/>
  <c r="J17" i="22"/>
  <c r="J25" i="22"/>
  <c r="J29" i="22"/>
  <c r="G5" i="22"/>
  <c r="G11" i="22"/>
  <c r="I133" i="19"/>
  <c r="J133" i="19"/>
  <c r="K133" i="19"/>
  <c r="AC133" i="19"/>
  <c r="E31" i="21"/>
  <c r="B30" i="21" l="1"/>
  <c r="F30" i="21"/>
  <c r="G30" i="21" s="1"/>
  <c r="I30" i="21"/>
  <c r="I128" i="19"/>
  <c r="J128" i="19"/>
  <c r="K128" i="19"/>
  <c r="AC128" i="19"/>
  <c r="I34" i="21"/>
  <c r="F34" i="21"/>
  <c r="G34" i="21" s="1"/>
  <c r="B34" i="21"/>
  <c r="F33" i="21"/>
  <c r="G33" i="21" s="1"/>
  <c r="I33" i="21"/>
  <c r="B33" i="21"/>
  <c r="F32" i="21"/>
  <c r="E32" i="21"/>
  <c r="B32" i="21"/>
  <c r="I31" i="21"/>
  <c r="F31" i="21"/>
  <c r="G31" i="21" s="1"/>
  <c r="B31" i="21"/>
  <c r="I29" i="21"/>
  <c r="F29" i="21"/>
  <c r="G29" i="21" s="1"/>
  <c r="B29" i="21"/>
  <c r="I28" i="21"/>
  <c r="F28" i="21"/>
  <c r="G28" i="21" s="1"/>
  <c r="B28" i="21"/>
  <c r="I27" i="21"/>
  <c r="F27" i="21"/>
  <c r="G27" i="21" s="1"/>
  <c r="B27" i="21"/>
  <c r="I26" i="21"/>
  <c r="F26" i="21"/>
  <c r="G26" i="21" s="1"/>
  <c r="B26" i="21"/>
  <c r="I25" i="21"/>
  <c r="F25" i="21"/>
  <c r="G25" i="21" s="1"/>
  <c r="B25" i="21"/>
  <c r="I24" i="21"/>
  <c r="F24" i="21"/>
  <c r="G24" i="21" s="1"/>
  <c r="B24" i="21"/>
  <c r="I23" i="21"/>
  <c r="F23" i="21"/>
  <c r="G23" i="21" s="1"/>
  <c r="B23" i="21"/>
  <c r="I22" i="21"/>
  <c r="F22" i="21"/>
  <c r="G22" i="21" s="1"/>
  <c r="B22" i="21"/>
  <c r="I21" i="21"/>
  <c r="F21" i="21"/>
  <c r="G21" i="21" s="1"/>
  <c r="B21" i="21"/>
  <c r="I19" i="21"/>
  <c r="F19" i="21"/>
  <c r="G19" i="21" s="1"/>
  <c r="B19" i="21"/>
  <c r="I20" i="21"/>
  <c r="F20" i="21"/>
  <c r="G20" i="21" s="1"/>
  <c r="B20" i="21"/>
  <c r="I18" i="21"/>
  <c r="F18" i="21"/>
  <c r="G18" i="21" s="1"/>
  <c r="B18" i="21"/>
  <c r="I17" i="21"/>
  <c r="F17" i="21"/>
  <c r="G17" i="21" s="1"/>
  <c r="B17" i="21"/>
  <c r="I16" i="21"/>
  <c r="F16" i="21"/>
  <c r="G16" i="21" s="1"/>
  <c r="B16" i="21"/>
  <c r="I15" i="21"/>
  <c r="F15" i="21"/>
  <c r="G15" i="21" s="1"/>
  <c r="I13" i="21"/>
  <c r="F13" i="21"/>
  <c r="G13" i="21" s="1"/>
  <c r="B13" i="21"/>
  <c r="I10" i="21"/>
  <c r="F10" i="21"/>
  <c r="G10" i="21" s="1"/>
  <c r="B10" i="21"/>
  <c r="I11" i="21"/>
  <c r="F11" i="21"/>
  <c r="G11" i="21" s="1"/>
  <c r="B11" i="21"/>
  <c r="I9" i="21"/>
  <c r="F9" i="21"/>
  <c r="G9" i="21" s="1"/>
  <c r="B9" i="21"/>
  <c r="I8" i="21"/>
  <c r="F8" i="21"/>
  <c r="G8" i="21" s="1"/>
  <c r="B8" i="21"/>
  <c r="I7" i="21"/>
  <c r="F7" i="21"/>
  <c r="G7" i="21" s="1"/>
  <c r="B7" i="21"/>
  <c r="I6" i="21"/>
  <c r="F6" i="21"/>
  <c r="G6" i="21" s="1"/>
  <c r="B6" i="21"/>
  <c r="I4" i="21"/>
  <c r="F4" i="21"/>
  <c r="G4" i="21" s="1"/>
  <c r="B4" i="21"/>
  <c r="I3" i="21"/>
  <c r="F3" i="21"/>
  <c r="G3" i="21" s="1"/>
  <c r="B3" i="21"/>
  <c r="I2" i="21"/>
  <c r="F2" i="21"/>
  <c r="G2" i="21" s="1"/>
  <c r="B2" i="21"/>
  <c r="G32" i="21" l="1"/>
  <c r="J30" i="21"/>
  <c r="J23" i="21"/>
  <c r="J26" i="21"/>
  <c r="J31" i="21"/>
  <c r="I32" i="21"/>
  <c r="J32" i="21" s="1"/>
  <c r="J25" i="21"/>
  <c r="J33" i="21"/>
  <c r="J17" i="21"/>
  <c r="J13" i="21"/>
  <c r="J21" i="21"/>
  <c r="J22" i="21"/>
  <c r="J28" i="21"/>
  <c r="J29" i="21"/>
  <c r="J8" i="21"/>
  <c r="J7" i="21"/>
  <c r="J3" i="21"/>
  <c r="J18" i="21"/>
  <c r="J10" i="21"/>
  <c r="J16" i="21"/>
  <c r="J19" i="21"/>
  <c r="J24" i="21"/>
  <c r="J27" i="21"/>
  <c r="J34" i="21"/>
  <c r="J6" i="21"/>
  <c r="J4" i="21"/>
  <c r="J9" i="21"/>
  <c r="J15" i="21"/>
  <c r="J20" i="21"/>
  <c r="J11" i="21"/>
  <c r="J2" i="21"/>
  <c r="I85" i="19"/>
  <c r="J85" i="19"/>
  <c r="K85" i="19"/>
  <c r="AC85" i="19"/>
  <c r="I92" i="19"/>
  <c r="J92" i="19"/>
  <c r="K92" i="19"/>
  <c r="AC92" i="19"/>
  <c r="I359" i="19"/>
  <c r="J359" i="19"/>
  <c r="K359" i="19"/>
  <c r="AC359" i="19"/>
  <c r="I122" i="19"/>
  <c r="J122" i="19"/>
  <c r="K122" i="19"/>
  <c r="AC122" i="19"/>
  <c r="H30" i="21" l="1"/>
  <c r="H31" i="24"/>
  <c r="H2" i="14"/>
  <c r="H3" i="14" s="1"/>
  <c r="I91" i="19" l="1"/>
  <c r="J91" i="19"/>
  <c r="H3" i="24" s="1"/>
  <c r="K91" i="19"/>
  <c r="AC91" i="19"/>
  <c r="E33" i="20"/>
  <c r="B2" i="20"/>
  <c r="I39" i="19"/>
  <c r="J39" i="19"/>
  <c r="H10" i="23" s="1"/>
  <c r="K39" i="19"/>
  <c r="AC39" i="19"/>
  <c r="B12" i="20"/>
  <c r="F12" i="20"/>
  <c r="G12" i="20" s="1"/>
  <c r="I12" i="20"/>
  <c r="B10" i="20"/>
  <c r="F10" i="20"/>
  <c r="G10" i="20" s="1"/>
  <c r="I10" i="20"/>
  <c r="L2" i="15" l="1"/>
  <c r="J12" i="20"/>
  <c r="J10" i="20"/>
  <c r="K357" i="19"/>
  <c r="K358" i="19"/>
  <c r="K68" i="19"/>
  <c r="K6" i="19"/>
  <c r="K7" i="19"/>
  <c r="K9" i="19"/>
  <c r="K106" i="19"/>
  <c r="K82" i="19"/>
  <c r="K84" i="19"/>
  <c r="K95" i="19"/>
  <c r="K105" i="19"/>
  <c r="K94" i="19"/>
  <c r="K113" i="19"/>
  <c r="K111" i="19"/>
  <c r="K112" i="19"/>
  <c r="K86" i="19"/>
  <c r="K144" i="19"/>
  <c r="K140" i="19"/>
  <c r="K98" i="19"/>
  <c r="K103" i="19"/>
  <c r="K31" i="19"/>
  <c r="K30" i="19"/>
  <c r="K334" i="19"/>
  <c r="K331" i="19"/>
  <c r="K154" i="19"/>
  <c r="K335" i="19"/>
  <c r="K332" i="19"/>
  <c r="K333" i="19"/>
  <c r="K149" i="19"/>
  <c r="K150" i="19"/>
  <c r="K151" i="19"/>
  <c r="K2" i="19"/>
  <c r="K3" i="19"/>
  <c r="K4" i="19"/>
  <c r="K8" i="19"/>
  <c r="K11" i="19"/>
  <c r="K14" i="19"/>
  <c r="K17" i="19"/>
  <c r="K18" i="19"/>
  <c r="K20" i="19"/>
  <c r="K21" i="19"/>
  <c r="K23" i="19"/>
  <c r="K24" i="19"/>
  <c r="K25" i="19"/>
  <c r="K26" i="19"/>
  <c r="K28" i="19"/>
  <c r="K29" i="19"/>
  <c r="K27" i="19"/>
  <c r="K40" i="19"/>
  <c r="K32" i="19"/>
  <c r="K33" i="19"/>
  <c r="K35" i="19"/>
  <c r="K36" i="19"/>
  <c r="K34" i="19"/>
  <c r="K38" i="19"/>
  <c r="K37" i="19"/>
  <c r="K13" i="19"/>
  <c r="K66" i="19"/>
  <c r="K69" i="19"/>
  <c r="K72" i="19"/>
  <c r="K74" i="19"/>
  <c r="K75" i="19"/>
  <c r="K76" i="19"/>
  <c r="K77" i="19"/>
  <c r="K79" i="19"/>
  <c r="K80" i="19"/>
  <c r="K78" i="19"/>
  <c r="K81" i="19"/>
  <c r="K87" i="19"/>
  <c r="K88" i="19"/>
  <c r="K89" i="19"/>
  <c r="K93" i="19"/>
  <c r="K101" i="19"/>
  <c r="K139" i="19"/>
  <c r="K102" i="19"/>
  <c r="K104" i="19"/>
  <c r="K109" i="19"/>
  <c r="K110" i="19"/>
  <c r="K114" i="19"/>
  <c r="K116" i="19"/>
  <c r="K117" i="19"/>
  <c r="K118" i="19"/>
  <c r="K120" i="19"/>
  <c r="K119" i="19"/>
  <c r="K121" i="19"/>
  <c r="K124" i="19"/>
  <c r="K125" i="19"/>
  <c r="K126" i="19"/>
  <c r="K127" i="19"/>
  <c r="K132" i="19"/>
  <c r="K134" i="19"/>
  <c r="K135" i="19"/>
  <c r="K137" i="19"/>
  <c r="K138" i="19"/>
  <c r="K141" i="19"/>
  <c r="K142" i="19"/>
  <c r="K147" i="19"/>
  <c r="K152" i="19"/>
  <c r="K153" i="19"/>
  <c r="K155" i="19"/>
  <c r="K156" i="19"/>
  <c r="K160" i="19"/>
  <c r="K163" i="19"/>
  <c r="K157" i="19"/>
  <c r="K184" i="19"/>
  <c r="K226" i="19"/>
  <c r="K228" i="19"/>
  <c r="K195" i="19"/>
  <c r="K321" i="19"/>
  <c r="K323" i="19"/>
  <c r="K326" i="19"/>
  <c r="K328" i="19"/>
  <c r="K329" i="19"/>
  <c r="K268" i="19"/>
  <c r="K347" i="19"/>
  <c r="K348" i="19"/>
  <c r="K349" i="19"/>
  <c r="K350" i="19"/>
  <c r="K351" i="19"/>
  <c r="K354" i="19"/>
  <c r="K355" i="19"/>
  <c r="K360" i="19"/>
  <c r="K361" i="19"/>
  <c r="K362" i="19"/>
  <c r="K15" i="19"/>
  <c r="K16" i="19"/>
  <c r="K148" i="19"/>
  <c r="K145" i="19"/>
  <c r="K146" i="19"/>
  <c r="I146" i="19" l="1"/>
  <c r="J146" i="19"/>
  <c r="H12" i="20" s="1"/>
  <c r="AC146" i="19"/>
  <c r="I145" i="19"/>
  <c r="J145" i="19"/>
  <c r="AC145" i="19"/>
  <c r="H10" i="20" l="1"/>
  <c r="I151" i="19"/>
  <c r="J151" i="19"/>
  <c r="AC151" i="19"/>
  <c r="I149" i="19"/>
  <c r="J149" i="19"/>
  <c r="AC149" i="19"/>
  <c r="I150" i="19"/>
  <c r="J150" i="19"/>
  <c r="AC150" i="19"/>
  <c r="H18" i="20" l="1"/>
  <c r="E37" i="20"/>
  <c r="I16" i="19"/>
  <c r="J16" i="19"/>
  <c r="AC16" i="19"/>
  <c r="I15" i="19"/>
  <c r="J15" i="19"/>
  <c r="AC15" i="19"/>
  <c r="B36" i="20" l="1"/>
  <c r="F36" i="20"/>
  <c r="G36" i="20" s="1"/>
  <c r="I36" i="20"/>
  <c r="B35" i="20"/>
  <c r="F35" i="20"/>
  <c r="G35" i="20" s="1"/>
  <c r="I35" i="20"/>
  <c r="I37" i="20"/>
  <c r="B37" i="20"/>
  <c r="F37" i="20"/>
  <c r="G37" i="20" s="1"/>
  <c r="B21" i="20"/>
  <c r="F21" i="20"/>
  <c r="G21" i="20" s="1"/>
  <c r="I21" i="20"/>
  <c r="B23" i="20"/>
  <c r="F23" i="20"/>
  <c r="G23" i="20" s="1"/>
  <c r="I23" i="20"/>
  <c r="B15" i="20"/>
  <c r="F15" i="20"/>
  <c r="G15" i="20" s="1"/>
  <c r="I15" i="20"/>
  <c r="B38" i="20"/>
  <c r="F38" i="20"/>
  <c r="G38" i="20" s="1"/>
  <c r="I38" i="20"/>
  <c r="B40" i="20"/>
  <c r="F40" i="20"/>
  <c r="G40" i="20" s="1"/>
  <c r="I40" i="20"/>
  <c r="B42" i="20"/>
  <c r="F42" i="20"/>
  <c r="G42" i="20" s="1"/>
  <c r="I42" i="20"/>
  <c r="B41" i="20"/>
  <c r="F41" i="20"/>
  <c r="G41" i="20" s="1"/>
  <c r="I41" i="20"/>
  <c r="B39" i="20"/>
  <c r="F39" i="20"/>
  <c r="G39" i="20" s="1"/>
  <c r="I39" i="20"/>
  <c r="J36" i="20" l="1"/>
  <c r="J35" i="20"/>
  <c r="J37" i="20"/>
  <c r="J21" i="20"/>
  <c r="J23" i="20"/>
  <c r="J15" i="20"/>
  <c r="J38" i="20"/>
  <c r="J40" i="20"/>
  <c r="J42" i="20"/>
  <c r="J41" i="20"/>
  <c r="J39" i="20"/>
  <c r="AC27" i="19"/>
  <c r="I27" i="19"/>
  <c r="J27" i="19"/>
  <c r="H8" i="24" s="1"/>
  <c r="AC135" i="19" l="1"/>
  <c r="I135" i="19"/>
  <c r="J135" i="19"/>
  <c r="H2" i="16" s="1"/>
  <c r="E12" i="16"/>
  <c r="I12" i="16" s="1"/>
  <c r="B12" i="16"/>
  <c r="F12" i="16"/>
  <c r="AC321" i="19"/>
  <c r="I321" i="19"/>
  <c r="J321" i="19"/>
  <c r="H19" i="24" s="1"/>
  <c r="H24" i="22"/>
  <c r="AC326" i="19"/>
  <c r="I326" i="19"/>
  <c r="J326" i="19"/>
  <c r="H21" i="24" s="1"/>
  <c r="AC328" i="19"/>
  <c r="I328" i="19"/>
  <c r="J328" i="19"/>
  <c r="H17" i="24" s="1"/>
  <c r="AC163" i="19"/>
  <c r="I163" i="19"/>
  <c r="J163" i="19"/>
  <c r="AC195" i="19"/>
  <c r="I195" i="19"/>
  <c r="J195" i="19"/>
  <c r="AC226" i="19"/>
  <c r="I226" i="19"/>
  <c r="J226" i="19"/>
  <c r="AC228" i="19"/>
  <c r="I228" i="19"/>
  <c r="J228" i="19"/>
  <c r="H4" i="23" s="1"/>
  <c r="H157" i="19"/>
  <c r="AC157" i="19" s="1"/>
  <c r="I157" i="19"/>
  <c r="J157" i="19"/>
  <c r="AC323" i="19"/>
  <c r="I323" i="19"/>
  <c r="J323" i="19"/>
  <c r="AC268" i="19"/>
  <c r="I268" i="19"/>
  <c r="J268" i="19"/>
  <c r="H22" i="22" s="1"/>
  <c r="AC184" i="19"/>
  <c r="I184" i="19"/>
  <c r="J184" i="19"/>
  <c r="H20" i="22" s="1"/>
  <c r="H23" i="22"/>
  <c r="H21" i="22"/>
  <c r="AC155" i="19"/>
  <c r="I155" i="19"/>
  <c r="J155" i="19"/>
  <c r="H156" i="19"/>
  <c r="AC156" i="19" s="1"/>
  <c r="I156" i="19"/>
  <c r="J156" i="19"/>
  <c r="AC160" i="19"/>
  <c r="I160" i="19"/>
  <c r="J160" i="19"/>
  <c r="H5" i="23" s="1"/>
  <c r="B19" i="16"/>
  <c r="F19" i="16"/>
  <c r="G19" i="16" s="1"/>
  <c r="I19" i="16"/>
  <c r="H22" i="24"/>
  <c r="AC329" i="19"/>
  <c r="I329" i="19"/>
  <c r="J329" i="19"/>
  <c r="B13" i="16"/>
  <c r="F13" i="16"/>
  <c r="G13" i="16" s="1"/>
  <c r="I13" i="16"/>
  <c r="B14" i="16"/>
  <c r="F14" i="16"/>
  <c r="G14" i="16" s="1"/>
  <c r="I14" i="16"/>
  <c r="B20" i="16"/>
  <c r="F20" i="16"/>
  <c r="G20" i="16" s="1"/>
  <c r="I20" i="16"/>
  <c r="I24" i="19"/>
  <c r="J24" i="19"/>
  <c r="I26" i="19"/>
  <c r="J26" i="19"/>
  <c r="AC25" i="19"/>
  <c r="I25" i="19"/>
  <c r="J25" i="19"/>
  <c r="I23" i="19"/>
  <c r="J23" i="19"/>
  <c r="H6" i="24" s="1"/>
  <c r="B25" i="16"/>
  <c r="F25" i="16"/>
  <c r="G25" i="16" s="1"/>
  <c r="I25" i="16"/>
  <c r="H14" i="21" l="1"/>
  <c r="H14" i="24"/>
  <c r="H19" i="22"/>
  <c r="H19" i="16"/>
  <c r="H18" i="22"/>
  <c r="H16" i="16"/>
  <c r="H17" i="22"/>
  <c r="H7" i="16"/>
  <c r="H6" i="16"/>
  <c r="H9" i="22"/>
  <c r="H18" i="16"/>
  <c r="H15" i="16"/>
  <c r="H16" i="22"/>
  <c r="H9" i="16"/>
  <c r="H8" i="22"/>
  <c r="H3" i="16"/>
  <c r="H5" i="22"/>
  <c r="H17" i="16"/>
  <c r="H22" i="20"/>
  <c r="H20" i="21"/>
  <c r="H17" i="20"/>
  <c r="H23" i="20"/>
  <c r="H19" i="21"/>
  <c r="H19" i="20"/>
  <c r="H16" i="21"/>
  <c r="H21" i="20"/>
  <c r="H18" i="21"/>
  <c r="H38" i="20"/>
  <c r="H36" i="20"/>
  <c r="H35" i="20"/>
  <c r="H40" i="20"/>
  <c r="H41" i="20"/>
  <c r="H39" i="20"/>
  <c r="H42" i="20"/>
  <c r="G12" i="16"/>
  <c r="AC26" i="19"/>
  <c r="J12" i="16"/>
  <c r="J19" i="16"/>
  <c r="AC24" i="19"/>
  <c r="AC23" i="19"/>
  <c r="J13" i="16"/>
  <c r="J14" i="16"/>
  <c r="J20" i="16"/>
  <c r="J25" i="16"/>
  <c r="AC32" i="19"/>
  <c r="AC34" i="19"/>
  <c r="AC118" i="19"/>
  <c r="AC119" i="19"/>
  <c r="AC37" i="19"/>
  <c r="AC38" i="19"/>
  <c r="AC17" i="19"/>
  <c r="AC7" i="19"/>
  <c r="AC8" i="19"/>
  <c r="AC86" i="19"/>
  <c r="AC361" i="19"/>
  <c r="I2" i="14" l="1"/>
  <c r="I3" i="16"/>
  <c r="I4" i="16"/>
  <c r="I5" i="16"/>
  <c r="I6" i="16"/>
  <c r="I7" i="16"/>
  <c r="I8" i="16"/>
  <c r="I9" i="16"/>
  <c r="I10" i="16"/>
  <c r="I11" i="16"/>
  <c r="I15" i="16"/>
  <c r="I16" i="16"/>
  <c r="I17" i="16"/>
  <c r="I18" i="16"/>
  <c r="I21" i="16"/>
  <c r="I22" i="16"/>
  <c r="I23" i="16"/>
  <c r="I24" i="16"/>
  <c r="I26" i="16"/>
  <c r="F2" i="14"/>
  <c r="G2" i="14" s="1"/>
  <c r="F3" i="16"/>
  <c r="F4" i="16"/>
  <c r="F5" i="16"/>
  <c r="F6" i="16"/>
  <c r="F7" i="16"/>
  <c r="F8" i="16"/>
  <c r="F9" i="16"/>
  <c r="F10" i="16"/>
  <c r="F11" i="16"/>
  <c r="F15" i="16"/>
  <c r="F16" i="16"/>
  <c r="F17" i="16"/>
  <c r="F18" i="16"/>
  <c r="F21" i="16"/>
  <c r="F22" i="16"/>
  <c r="F23" i="16"/>
  <c r="F24" i="16"/>
  <c r="F26" i="16"/>
  <c r="F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3" i="16"/>
  <c r="B4" i="16"/>
  <c r="B5" i="16"/>
  <c r="B6" i="16"/>
  <c r="B7" i="16"/>
  <c r="B8" i="16"/>
  <c r="B9" i="16"/>
  <c r="B10" i="16"/>
  <c r="B11" i="16"/>
  <c r="B15" i="16"/>
  <c r="B16" i="16"/>
  <c r="B17" i="16"/>
  <c r="B18" i="16"/>
  <c r="B21" i="16"/>
  <c r="B22" i="16"/>
  <c r="B23" i="16"/>
  <c r="B24" i="16"/>
  <c r="B26" i="16"/>
  <c r="J4" i="16" l="1"/>
  <c r="J16" i="16"/>
  <c r="J26" i="16"/>
  <c r="J15" i="16"/>
  <c r="J11" i="16"/>
  <c r="J23" i="16"/>
  <c r="J24" i="16"/>
  <c r="J22" i="16"/>
  <c r="J17" i="16"/>
  <c r="J6" i="16"/>
  <c r="J3" i="16"/>
  <c r="J5" i="16"/>
  <c r="J18" i="16"/>
  <c r="J7" i="16"/>
  <c r="J9" i="16"/>
  <c r="J21" i="16"/>
  <c r="J8" i="16"/>
  <c r="J10" i="16"/>
  <c r="G21" i="16"/>
  <c r="G8" i="16"/>
  <c r="G18" i="16"/>
  <c r="G7" i="16"/>
  <c r="G17" i="16"/>
  <c r="G6" i="16"/>
  <c r="G26" i="16"/>
  <c r="G16" i="16"/>
  <c r="G5" i="16"/>
  <c r="G15" i="16"/>
  <c r="G4" i="16"/>
  <c r="G24" i="16"/>
  <c r="G11" i="16"/>
  <c r="G3" i="16"/>
  <c r="G23" i="16"/>
  <c r="G10" i="16"/>
  <c r="J2" i="14"/>
  <c r="G22" i="16"/>
  <c r="G9" i="16"/>
  <c r="B32" i="3" l="1"/>
  <c r="B30" i="3"/>
  <c r="B2" i="3"/>
  <c r="B33" i="3"/>
  <c r="B3" i="3"/>
  <c r="B34" i="3"/>
  <c r="B35" i="3"/>
  <c r="B24" i="3"/>
  <c r="B27" i="3"/>
  <c r="B8" i="3"/>
  <c r="B7" i="3"/>
  <c r="B36" i="3"/>
  <c r="B37" i="3"/>
  <c r="B6" i="3"/>
  <c r="B4" i="3"/>
  <c r="B9" i="3"/>
  <c r="B28" i="3"/>
  <c r="B11" i="3"/>
  <c r="B21" i="3"/>
  <c r="B5" i="3"/>
  <c r="B38" i="3"/>
  <c r="B12" i="3"/>
  <c r="B29" i="3"/>
  <c r="B31" i="3"/>
  <c r="B39" i="3"/>
  <c r="B16" i="3"/>
  <c r="B17" i="3"/>
  <c r="B26" i="3"/>
  <c r="B10" i="3"/>
  <c r="B19" i="3"/>
  <c r="B20" i="3"/>
  <c r="B13" i="3"/>
  <c r="B18" i="3"/>
  <c r="B15" i="3"/>
  <c r="B14" i="3"/>
  <c r="B40" i="3"/>
  <c r="B25" i="3"/>
  <c r="B23" i="3"/>
  <c r="B22" i="3"/>
  <c r="I25" i="20"/>
  <c r="F25" i="20"/>
  <c r="B25" i="20"/>
  <c r="I26" i="20"/>
  <c r="F26" i="20"/>
  <c r="B26" i="20"/>
  <c r="I28" i="20"/>
  <c r="F28" i="20"/>
  <c r="G28" i="20" s="1"/>
  <c r="B28" i="20"/>
  <c r="I44" i="20"/>
  <c r="F44" i="20"/>
  <c r="B44" i="20"/>
  <c r="I17" i="20"/>
  <c r="F17" i="20"/>
  <c r="B17" i="20"/>
  <c r="I16" i="20"/>
  <c r="F16" i="20"/>
  <c r="G16" i="20" s="1"/>
  <c r="B16" i="20"/>
  <c r="I22" i="20"/>
  <c r="F22" i="20"/>
  <c r="B22" i="20"/>
  <c r="I20" i="20"/>
  <c r="F20" i="20"/>
  <c r="B20" i="20"/>
  <c r="I11" i="20"/>
  <c r="F11" i="20"/>
  <c r="B11" i="20"/>
  <c r="I29" i="20"/>
  <c r="F29" i="20"/>
  <c r="B29" i="20"/>
  <c r="I19" i="20"/>
  <c r="F19" i="20"/>
  <c r="G19" i="20" s="1"/>
  <c r="B19" i="20"/>
  <c r="I18" i="20"/>
  <c r="F18" i="20"/>
  <c r="B18" i="20"/>
  <c r="I34" i="20"/>
  <c r="F34" i="20"/>
  <c r="G34" i="20" s="1"/>
  <c r="B34" i="20"/>
  <c r="I32" i="20"/>
  <c r="F32" i="20"/>
  <c r="B32" i="20"/>
  <c r="I14" i="20"/>
  <c r="F14" i="20"/>
  <c r="B14" i="20"/>
  <c r="I5" i="20"/>
  <c r="F5" i="20"/>
  <c r="B5" i="20"/>
  <c r="I24" i="20"/>
  <c r="F24" i="20"/>
  <c r="G24" i="20" s="1"/>
  <c r="B24" i="20"/>
  <c r="I13" i="20"/>
  <c r="F13" i="20"/>
  <c r="B13" i="20"/>
  <c r="I31" i="20"/>
  <c r="F31" i="20"/>
  <c r="B31" i="20"/>
  <c r="I9" i="20"/>
  <c r="F9" i="20"/>
  <c r="G9" i="20" s="1"/>
  <c r="B9" i="20"/>
  <c r="I4" i="20"/>
  <c r="F4" i="20"/>
  <c r="B4" i="20"/>
  <c r="I6" i="20"/>
  <c r="F6" i="20"/>
  <c r="G6" i="20" s="1"/>
  <c r="B6" i="20"/>
  <c r="I7" i="20"/>
  <c r="F7" i="20"/>
  <c r="G7" i="20" s="1"/>
  <c r="B7" i="20"/>
  <c r="I8" i="20"/>
  <c r="F8" i="20"/>
  <c r="B8" i="20"/>
  <c r="I30" i="20"/>
  <c r="F30" i="20"/>
  <c r="B30" i="20"/>
  <c r="I27" i="20"/>
  <c r="F27" i="20"/>
  <c r="G27" i="20" s="1"/>
  <c r="B27" i="20"/>
  <c r="I3" i="20"/>
  <c r="F3" i="20"/>
  <c r="B3" i="20"/>
  <c r="I2" i="20"/>
  <c r="F2" i="20"/>
  <c r="G2" i="20" s="1"/>
  <c r="I33" i="20"/>
  <c r="F33" i="20"/>
  <c r="B33" i="20"/>
  <c r="I43" i="20"/>
  <c r="F43" i="20"/>
  <c r="B43" i="20"/>
  <c r="J2" i="19"/>
  <c r="H36" i="3" s="1"/>
  <c r="J3" i="19"/>
  <c r="H37" i="3" s="1"/>
  <c r="J4" i="19"/>
  <c r="J6" i="19"/>
  <c r="H34" i="3" s="1"/>
  <c r="J7" i="19"/>
  <c r="J8" i="19"/>
  <c r="J9" i="19"/>
  <c r="J11" i="19"/>
  <c r="J14" i="19"/>
  <c r="J17" i="19"/>
  <c r="J18" i="19"/>
  <c r="J20" i="19"/>
  <c r="J21" i="19"/>
  <c r="J28" i="19"/>
  <c r="J29" i="19"/>
  <c r="H7" i="21" s="1"/>
  <c r="J30" i="19"/>
  <c r="H6" i="21" s="1"/>
  <c r="J31" i="19"/>
  <c r="H2" i="23" s="1"/>
  <c r="J32" i="19"/>
  <c r="J40" i="19"/>
  <c r="J37" i="19"/>
  <c r="J33" i="19"/>
  <c r="J34" i="19"/>
  <c r="H36" i="24" s="1"/>
  <c r="J35" i="19"/>
  <c r="J36" i="19"/>
  <c r="J38" i="19"/>
  <c r="J13" i="19"/>
  <c r="H5" i="8" s="1"/>
  <c r="J66" i="19"/>
  <c r="J68" i="19"/>
  <c r="J69" i="19"/>
  <c r="J72" i="19"/>
  <c r="J75" i="19"/>
  <c r="J76" i="19"/>
  <c r="J77" i="19"/>
  <c r="J78" i="19"/>
  <c r="H33" i="3" s="1"/>
  <c r="J79" i="19"/>
  <c r="J80" i="19"/>
  <c r="J74" i="19"/>
  <c r="J81" i="19"/>
  <c r="J82" i="19"/>
  <c r="J84" i="19"/>
  <c r="J86" i="19"/>
  <c r="H3" i="8" s="1"/>
  <c r="J87" i="19"/>
  <c r="J88" i="19"/>
  <c r="J89" i="19"/>
  <c r="H3" i="21" s="1"/>
  <c r="J93" i="19"/>
  <c r="J94" i="19"/>
  <c r="H4" i="8" s="1"/>
  <c r="J95" i="19"/>
  <c r="H29" i="24" s="1"/>
  <c r="J98" i="19"/>
  <c r="H12" i="24" s="1"/>
  <c r="J101" i="19"/>
  <c r="J102" i="19"/>
  <c r="J139" i="19"/>
  <c r="J103" i="19"/>
  <c r="H10" i="24" s="1"/>
  <c r="J104" i="19"/>
  <c r="J105" i="19"/>
  <c r="J106" i="19"/>
  <c r="H29" i="21" s="1"/>
  <c r="J109" i="19"/>
  <c r="J110" i="19"/>
  <c r="H28" i="3" s="1"/>
  <c r="J111" i="19"/>
  <c r="H30" i="24" s="1"/>
  <c r="J112" i="19"/>
  <c r="H2" i="8" s="1"/>
  <c r="J113" i="19"/>
  <c r="J114" i="19"/>
  <c r="J116" i="19"/>
  <c r="J117" i="19"/>
  <c r="J118" i="19"/>
  <c r="J119" i="19"/>
  <c r="H32" i="24" s="1"/>
  <c r="J120" i="19"/>
  <c r="J121" i="19"/>
  <c r="J124" i="19"/>
  <c r="J125" i="19"/>
  <c r="J126" i="19"/>
  <c r="J127" i="19"/>
  <c r="H2" i="21" s="1"/>
  <c r="J132" i="19"/>
  <c r="J134" i="19"/>
  <c r="H15" i="8" s="1"/>
  <c r="J137" i="19"/>
  <c r="J138" i="19"/>
  <c r="J140" i="19"/>
  <c r="H35" i="3" s="1"/>
  <c r="J141" i="19"/>
  <c r="J142" i="19"/>
  <c r="J144" i="19"/>
  <c r="J147" i="19"/>
  <c r="H14" i="8" s="1"/>
  <c r="J148" i="19"/>
  <c r="J152" i="19"/>
  <c r="H20" i="3"/>
  <c r="J153" i="19"/>
  <c r="J154" i="19"/>
  <c r="H39" i="3" s="1"/>
  <c r="J331" i="19"/>
  <c r="H14" i="3" s="1"/>
  <c r="J332" i="19"/>
  <c r="H15" i="3" s="1"/>
  <c r="J333" i="19"/>
  <c r="J334" i="19"/>
  <c r="H18" i="3" s="1"/>
  <c r="J335" i="19"/>
  <c r="H38" i="3" s="1"/>
  <c r="J347" i="19"/>
  <c r="J348" i="19"/>
  <c r="J349" i="19"/>
  <c r="J350" i="19"/>
  <c r="H9" i="8" s="1"/>
  <c r="J351" i="19"/>
  <c r="H25" i="22" s="1"/>
  <c r="J354" i="19"/>
  <c r="J355" i="19"/>
  <c r="J357" i="19"/>
  <c r="J358" i="19"/>
  <c r="J360" i="19"/>
  <c r="H15" i="24" s="1"/>
  <c r="J361" i="19"/>
  <c r="H17" i="3" s="1"/>
  <c r="J362" i="19"/>
  <c r="I2" i="19"/>
  <c r="I3" i="19"/>
  <c r="I4" i="19"/>
  <c r="I6" i="19"/>
  <c r="I7" i="19"/>
  <c r="I8" i="19"/>
  <c r="I9" i="19"/>
  <c r="I11" i="19"/>
  <c r="I14" i="19"/>
  <c r="I17" i="19"/>
  <c r="I18" i="19"/>
  <c r="I20" i="19"/>
  <c r="I21" i="19"/>
  <c r="I28" i="19"/>
  <c r="I29" i="19"/>
  <c r="I30" i="19"/>
  <c r="I31" i="19"/>
  <c r="I32" i="19"/>
  <c r="I40" i="19"/>
  <c r="I37" i="19"/>
  <c r="I33" i="19"/>
  <c r="I34" i="19"/>
  <c r="I35" i="19"/>
  <c r="I36" i="19"/>
  <c r="I38" i="19"/>
  <c r="I13" i="19"/>
  <c r="I66" i="19"/>
  <c r="I68" i="19"/>
  <c r="I69" i="19"/>
  <c r="I72" i="19"/>
  <c r="I75" i="19"/>
  <c r="I76" i="19"/>
  <c r="I77" i="19"/>
  <c r="I78" i="19"/>
  <c r="I79" i="19"/>
  <c r="I80" i="19"/>
  <c r="I74" i="19"/>
  <c r="I81" i="19"/>
  <c r="I82" i="19"/>
  <c r="I84" i="19"/>
  <c r="I86" i="19"/>
  <c r="I87" i="19"/>
  <c r="I88" i="19"/>
  <c r="I89" i="19"/>
  <c r="I93" i="19"/>
  <c r="I94" i="19"/>
  <c r="I95" i="19"/>
  <c r="I98" i="19"/>
  <c r="I101" i="19"/>
  <c r="I102" i="19"/>
  <c r="I139" i="19"/>
  <c r="I103" i="19"/>
  <c r="I104" i="19"/>
  <c r="I105" i="19"/>
  <c r="I106" i="19"/>
  <c r="I109" i="19"/>
  <c r="I110" i="19"/>
  <c r="I111" i="19"/>
  <c r="I112" i="19"/>
  <c r="I113" i="19"/>
  <c r="I114" i="19"/>
  <c r="I116" i="19"/>
  <c r="I117" i="19"/>
  <c r="I118" i="19"/>
  <c r="I119" i="19"/>
  <c r="I120" i="19"/>
  <c r="I121" i="19"/>
  <c r="I124" i="19"/>
  <c r="I125" i="19"/>
  <c r="I126" i="19"/>
  <c r="I127" i="19"/>
  <c r="I132" i="19"/>
  <c r="I134" i="19"/>
  <c r="I137" i="19"/>
  <c r="I138" i="19"/>
  <c r="I140" i="19"/>
  <c r="I141" i="19"/>
  <c r="I142" i="19"/>
  <c r="I144" i="19"/>
  <c r="I147" i="19"/>
  <c r="I148" i="19"/>
  <c r="I152" i="19"/>
  <c r="I153" i="19"/>
  <c r="I154" i="19"/>
  <c r="I331" i="19"/>
  <c r="I332" i="19"/>
  <c r="I333" i="19"/>
  <c r="I334" i="19"/>
  <c r="I335" i="19"/>
  <c r="I347" i="19"/>
  <c r="I348" i="19"/>
  <c r="I349" i="19"/>
  <c r="I350" i="19"/>
  <c r="I351" i="19"/>
  <c r="I354" i="19"/>
  <c r="I355" i="19"/>
  <c r="I357" i="19"/>
  <c r="I358" i="19"/>
  <c r="I360" i="19"/>
  <c r="I361" i="19"/>
  <c r="I362" i="19"/>
  <c r="H25" i="21" l="1"/>
  <c r="H28" i="24"/>
  <c r="H22" i="21"/>
  <c r="H25" i="24"/>
  <c r="H13" i="21"/>
  <c r="H13" i="24"/>
  <c r="H9" i="21"/>
  <c r="H9" i="24"/>
  <c r="H23" i="21"/>
  <c r="H26" i="24"/>
  <c r="H21" i="21"/>
  <c r="H24" i="24"/>
  <c r="H31" i="21"/>
  <c r="H35" i="24"/>
  <c r="H34" i="21"/>
  <c r="H17" i="21"/>
  <c r="H18" i="24"/>
  <c r="H4" i="21"/>
  <c r="H4" i="24"/>
  <c r="H11" i="21"/>
  <c r="H11" i="24"/>
  <c r="H24" i="21"/>
  <c r="H27" i="24"/>
  <c r="H32" i="21"/>
  <c r="H34" i="24"/>
  <c r="H30" i="22"/>
  <c r="H9" i="23"/>
  <c r="H6" i="8"/>
  <c r="H12" i="21"/>
  <c r="H14" i="22"/>
  <c r="H27" i="3"/>
  <c r="H8" i="23"/>
  <c r="H16" i="3"/>
  <c r="H15" i="21"/>
  <c r="H13" i="8"/>
  <c r="H6" i="23"/>
  <c r="H3" i="23"/>
  <c r="H26" i="16"/>
  <c r="H10" i="21"/>
  <c r="H12" i="22"/>
  <c r="H25" i="16"/>
  <c r="H12" i="16"/>
  <c r="H26" i="21"/>
  <c r="H27" i="22"/>
  <c r="H24" i="16"/>
  <c r="H29" i="22"/>
  <c r="H10" i="16"/>
  <c r="H10" i="22"/>
  <c r="H27" i="21"/>
  <c r="H26" i="22"/>
  <c r="H11" i="16"/>
  <c r="H11" i="22"/>
  <c r="H23" i="16"/>
  <c r="H28" i="22"/>
  <c r="H8" i="21"/>
  <c r="H7" i="22"/>
  <c r="H14" i="16"/>
  <c r="H13" i="22"/>
  <c r="H37" i="20"/>
  <c r="H33" i="21"/>
  <c r="H31" i="20"/>
  <c r="H28" i="21"/>
  <c r="H11" i="20"/>
  <c r="H10" i="3"/>
  <c r="H5" i="20"/>
  <c r="H5" i="3"/>
  <c r="H44" i="20"/>
  <c r="H40" i="3"/>
  <c r="H32" i="20"/>
  <c r="H29" i="3"/>
  <c r="H29" i="20"/>
  <c r="H22" i="16"/>
  <c r="H26" i="3"/>
  <c r="H28" i="20"/>
  <c r="H25" i="3"/>
  <c r="H7" i="20"/>
  <c r="H4" i="16"/>
  <c r="H7" i="3"/>
  <c r="H10" i="8"/>
  <c r="H8" i="16"/>
  <c r="H25" i="20"/>
  <c r="H22" i="3"/>
  <c r="H16" i="20"/>
  <c r="H13" i="3"/>
  <c r="H15" i="20"/>
  <c r="H13" i="16"/>
  <c r="H7" i="8"/>
  <c r="H3" i="20"/>
  <c r="H3" i="3"/>
  <c r="H9" i="20"/>
  <c r="H9" i="3"/>
  <c r="H26" i="20"/>
  <c r="H23" i="3"/>
  <c r="H24" i="20"/>
  <c r="H21" i="3"/>
  <c r="H30" i="20"/>
  <c r="H21" i="16"/>
  <c r="H34" i="20"/>
  <c r="H31" i="3"/>
  <c r="H43" i="20"/>
  <c r="H32" i="3"/>
  <c r="H13" i="20"/>
  <c r="H11" i="3"/>
  <c r="H20" i="20"/>
  <c r="H11" i="8"/>
  <c r="H19" i="3"/>
  <c r="H4" i="20"/>
  <c r="H4" i="3"/>
  <c r="H8" i="20"/>
  <c r="H5" i="16"/>
  <c r="H12" i="8"/>
  <c r="H8" i="3"/>
  <c r="H2" i="20"/>
  <c r="H2" i="3"/>
  <c r="H8" i="8"/>
  <c r="H20" i="16"/>
  <c r="H14" i="20"/>
  <c r="H12" i="3"/>
  <c r="H27" i="20"/>
  <c r="H24" i="3"/>
  <c r="H6" i="20"/>
  <c r="H6" i="3"/>
  <c r="H33" i="20"/>
  <c r="H30" i="3"/>
  <c r="J5" i="20"/>
  <c r="J3" i="20"/>
  <c r="J11" i="20"/>
  <c r="J29" i="20"/>
  <c r="J14" i="20"/>
  <c r="J20" i="20"/>
  <c r="J44" i="20"/>
  <c r="J13" i="20"/>
  <c r="J18" i="20"/>
  <c r="J17" i="20"/>
  <c r="J26" i="20"/>
  <c r="J4" i="20"/>
  <c r="J32" i="20"/>
  <c r="J22" i="20"/>
  <c r="J25" i="20"/>
  <c r="J27" i="20"/>
  <c r="G44" i="20"/>
  <c r="J33" i="20"/>
  <c r="G14" i="20"/>
  <c r="G11" i="20"/>
  <c r="G26" i="20"/>
  <c r="G5" i="20"/>
  <c r="J34" i="20"/>
  <c r="J30" i="20"/>
  <c r="G29" i="20"/>
  <c r="J16" i="20"/>
  <c r="J9" i="20"/>
  <c r="G3" i="20"/>
  <c r="J8" i="20"/>
  <c r="G20" i="20"/>
  <c r="J43" i="20"/>
  <c r="J6" i="20"/>
  <c r="J31" i="20"/>
  <c r="J28" i="20"/>
  <c r="J2" i="20"/>
  <c r="J7" i="20"/>
  <c r="G33" i="20"/>
  <c r="G8" i="20"/>
  <c r="G18" i="20"/>
  <c r="G17" i="20"/>
  <c r="J24" i="20"/>
  <c r="G13" i="20"/>
  <c r="G4" i="20"/>
  <c r="G32" i="20"/>
  <c r="G22" i="20"/>
  <c r="G25" i="20"/>
  <c r="J19" i="20"/>
  <c r="G43" i="20"/>
  <c r="G30" i="20"/>
  <c r="G31" i="20"/>
  <c r="H37" i="24" l="1"/>
  <c r="H11" i="23"/>
  <c r="H31" i="22"/>
  <c r="H35" i="21"/>
  <c r="H16" i="8"/>
  <c r="H45" i="20"/>
  <c r="H41" i="3"/>
  <c r="H27" i="16"/>
  <c r="AC74" i="19"/>
  <c r="AC114" i="19"/>
  <c r="AC121" i="19"/>
  <c r="AC124" i="19"/>
  <c r="AC120" i="19" l="1"/>
  <c r="AC4" i="19"/>
  <c r="AC35" i="19"/>
  <c r="AC36" i="19"/>
  <c r="AC11" i="19"/>
  <c r="AC116" i="19"/>
  <c r="H40" i="19"/>
  <c r="AC40" i="19" s="1"/>
  <c r="AC138" i="19"/>
  <c r="AC117" i="19"/>
  <c r="AC76" i="19"/>
  <c r="AC354" i="19"/>
  <c r="AC144" i="19"/>
  <c r="AC101" i="19"/>
  <c r="AC18" i="19"/>
  <c r="AC137" i="19"/>
  <c r="AC109" i="19"/>
  <c r="AC110" i="19"/>
  <c r="H111" i="19"/>
  <c r="AC111" i="19" s="1"/>
  <c r="AC113" i="19"/>
  <c r="AC14" i="19"/>
  <c r="AC104" i="19"/>
  <c r="H75" i="19"/>
  <c r="AC75" i="19" s="1"/>
  <c r="AC141" i="19"/>
  <c r="AC142" i="19"/>
  <c r="AC148" i="19"/>
  <c r="AC93" i="19"/>
  <c r="AC139" i="19"/>
  <c r="H72" i="19"/>
  <c r="AC72" i="19" s="1"/>
  <c r="AC112" i="19"/>
  <c r="AC94" i="19"/>
  <c r="AC13" i="19"/>
  <c r="H98" i="19"/>
  <c r="AC103" i="19"/>
  <c r="AC351" i="19"/>
  <c r="AC350" i="19"/>
  <c r="AC28" i="19"/>
  <c r="AC153" i="19"/>
  <c r="AC147" i="19"/>
  <c r="AC152" i="19"/>
  <c r="AC88" i="19"/>
  <c r="AC87" i="19"/>
  <c r="AC21" i="19"/>
  <c r="AC362" i="19"/>
  <c r="AC79" i="19"/>
  <c r="AC80" i="19"/>
  <c r="AC81" i="19"/>
  <c r="AC355" i="19"/>
  <c r="AC20" i="19"/>
  <c r="H77" i="19"/>
  <c r="AC77" i="19" s="1"/>
  <c r="AC125" i="19"/>
  <c r="AC126" i="19"/>
  <c r="AC127" i="19"/>
  <c r="AC132" i="19"/>
  <c r="AC134" i="19"/>
  <c r="AC2" i="19"/>
  <c r="AC3" i="19"/>
  <c r="H347" i="19"/>
  <c r="AC347" i="19" s="1"/>
  <c r="H66" i="19"/>
  <c r="AC33" i="19"/>
  <c r="AC360" i="19"/>
  <c r="H348" i="19"/>
  <c r="AC348" i="19" s="1"/>
  <c r="AC102" i="19"/>
  <c r="AC154" i="19"/>
  <c r="H357" i="19"/>
  <c r="AC78" i="19"/>
  <c r="AC29" i="19"/>
  <c r="AC30" i="19"/>
  <c r="AC333" i="19"/>
  <c r="AC82" i="19"/>
  <c r="AC6" i="19"/>
  <c r="AC9" i="19"/>
  <c r="H84" i="19"/>
  <c r="AC84" i="19" s="1"/>
  <c r="AC334" i="19"/>
  <c r="AC335" i="19"/>
  <c r="H95" i="19"/>
  <c r="AC95" i="19" s="1"/>
  <c r="H358" i="19"/>
  <c r="AC358" i="19" s="1"/>
  <c r="AC105" i="19"/>
  <c r="AC106" i="19"/>
  <c r="H349" i="19"/>
  <c r="AC349" i="19" s="1"/>
  <c r="AC68" i="19"/>
  <c r="AC69" i="19"/>
  <c r="AC31" i="19"/>
  <c r="AC140" i="19"/>
  <c r="G98" i="19"/>
  <c r="G66" i="19"/>
  <c r="G357" i="19"/>
  <c r="AC89" i="19" l="1"/>
  <c r="AC332" i="19"/>
  <c r="AC331" i="19"/>
  <c r="AC66" i="19"/>
  <c r="AC357" i="19"/>
  <c r="AC98" i="19"/>
  <c r="F15" i="8"/>
  <c r="F14" i="8"/>
  <c r="F13" i="8"/>
  <c r="F12" i="8"/>
  <c r="F11" i="8"/>
  <c r="F10" i="8"/>
  <c r="F9" i="8"/>
  <c r="F8" i="8"/>
  <c r="F7" i="8"/>
  <c r="F6" i="8"/>
  <c r="F5" i="8"/>
  <c r="F4" i="8"/>
  <c r="F3" i="8"/>
  <c r="F32" i="3"/>
  <c r="F30" i="3"/>
  <c r="F2" i="3"/>
  <c r="F33" i="3"/>
  <c r="F3" i="3"/>
  <c r="F34" i="3"/>
  <c r="F35" i="3"/>
  <c r="F24" i="3"/>
  <c r="F27" i="3"/>
  <c r="F8" i="3"/>
  <c r="F7" i="3"/>
  <c r="F36" i="3"/>
  <c r="F37" i="3"/>
  <c r="F6" i="3"/>
  <c r="F4" i="3"/>
  <c r="F9" i="3"/>
  <c r="F28" i="3"/>
  <c r="F11" i="3"/>
  <c r="F21" i="3"/>
  <c r="F5" i="3"/>
  <c r="F38" i="3"/>
  <c r="F12" i="3"/>
  <c r="F29" i="3"/>
  <c r="F31" i="3"/>
  <c r="F39" i="3"/>
  <c r="F16" i="3"/>
  <c r="F17" i="3"/>
  <c r="F26" i="3"/>
  <c r="F10" i="3"/>
  <c r="F19" i="3"/>
  <c r="F20" i="3"/>
  <c r="F13" i="3"/>
  <c r="F18" i="3"/>
  <c r="F15" i="3"/>
  <c r="F14" i="3"/>
  <c r="F40" i="3"/>
  <c r="F25" i="3"/>
  <c r="F23" i="3"/>
  <c r="F22" i="3"/>
  <c r="K21" i="15" l="1"/>
  <c r="F2" i="11" l="1"/>
  <c r="G13" i="3" l="1"/>
  <c r="I13" i="3"/>
  <c r="G20" i="3"/>
  <c r="I20" i="3"/>
  <c r="J13" i="3" l="1"/>
  <c r="J20" i="3"/>
  <c r="G9" i="3"/>
  <c r="I9" i="3"/>
  <c r="J9" i="3" l="1"/>
  <c r="G15" i="8"/>
  <c r="I15" i="8"/>
  <c r="G5" i="3"/>
  <c r="I5" i="3"/>
  <c r="G12" i="3"/>
  <c r="I12" i="3"/>
  <c r="J15" i="8" l="1"/>
  <c r="J5" i="3"/>
  <c r="J12" i="3"/>
  <c r="I14" i="8" l="1"/>
  <c r="I13" i="8"/>
  <c r="I12" i="8"/>
  <c r="I11" i="8"/>
  <c r="I10" i="8"/>
  <c r="I9" i="8"/>
  <c r="I8" i="8"/>
  <c r="I7" i="8"/>
  <c r="I6" i="8"/>
  <c r="I5" i="8"/>
  <c r="I4" i="8"/>
  <c r="I3" i="8"/>
  <c r="I2" i="8"/>
  <c r="J7" i="8" l="1"/>
  <c r="J13" i="8"/>
  <c r="J14" i="8"/>
  <c r="J12" i="8"/>
  <c r="J11" i="8"/>
  <c r="J10" i="8"/>
  <c r="J9" i="8"/>
  <c r="J8" i="8"/>
  <c r="J6" i="8"/>
  <c r="J5" i="8"/>
  <c r="J4" i="8"/>
  <c r="J3" i="8"/>
  <c r="J2" i="8"/>
  <c r="G2" i="8"/>
  <c r="G4" i="8"/>
  <c r="G6" i="8"/>
  <c r="G8" i="8"/>
  <c r="G10" i="8"/>
  <c r="G12" i="8"/>
  <c r="G14" i="8"/>
  <c r="G3" i="8"/>
  <c r="G5" i="8"/>
  <c r="G7" i="8"/>
  <c r="G9" i="8"/>
  <c r="G11" i="8"/>
  <c r="G13" i="8"/>
  <c r="I29" i="3"/>
  <c r="I6" i="3"/>
  <c r="I7" i="3"/>
  <c r="I33" i="3"/>
  <c r="I34" i="3"/>
  <c r="I35" i="3"/>
  <c r="I24" i="3"/>
  <c r="I25" i="3"/>
  <c r="I26" i="3"/>
  <c r="I3" i="3"/>
  <c r="I36" i="3"/>
  <c r="I37" i="3"/>
  <c r="I11" i="3"/>
  <c r="I8" i="3"/>
  <c r="I16" i="3"/>
  <c r="I22" i="3"/>
  <c r="I23" i="3"/>
  <c r="I17" i="3"/>
  <c r="I38" i="3"/>
  <c r="I19" i="3"/>
  <c r="I15" i="3"/>
  <c r="I39" i="3"/>
  <c r="I14" i="3"/>
  <c r="I18" i="3"/>
  <c r="I10" i="3"/>
  <c r="I32" i="3"/>
  <c r="I28" i="3"/>
  <c r="I2" i="3"/>
  <c r="I21" i="3"/>
  <c r="I30" i="3"/>
  <c r="J30" i="3" s="1"/>
  <c r="I27" i="3"/>
  <c r="I40" i="3"/>
  <c r="I31" i="3"/>
  <c r="G4" i="3" l="1"/>
  <c r="J22" i="3" l="1"/>
  <c r="G22" i="3"/>
  <c r="J25" i="3"/>
  <c r="G25" i="3"/>
  <c r="J26" i="3"/>
  <c r="G26" i="3"/>
  <c r="J27" i="3"/>
  <c r="G27" i="3"/>
  <c r="J39" i="3"/>
  <c r="G39" i="3"/>
  <c r="J16" i="3"/>
  <c r="G16" i="3"/>
  <c r="J24" i="3"/>
  <c r="G24" i="3"/>
  <c r="J18" i="3"/>
  <c r="G18" i="3"/>
  <c r="J14" i="3"/>
  <c r="G14" i="3"/>
  <c r="G30" i="3"/>
  <c r="J21" i="3"/>
  <c r="G21" i="3"/>
  <c r="J15" i="3"/>
  <c r="G15" i="3"/>
  <c r="J8" i="3"/>
  <c r="G8" i="3"/>
  <c r="J35" i="3"/>
  <c r="G35" i="3"/>
  <c r="J40" i="3"/>
  <c r="G40" i="3"/>
  <c r="J2" i="3"/>
  <c r="G2" i="3"/>
  <c r="J19" i="3"/>
  <c r="G19" i="3"/>
  <c r="J11" i="3"/>
  <c r="G11" i="3"/>
  <c r="J34" i="3"/>
  <c r="G34" i="3"/>
  <c r="J28" i="3"/>
  <c r="G28" i="3"/>
  <c r="J38" i="3"/>
  <c r="G38" i="3"/>
  <c r="J37" i="3"/>
  <c r="G37" i="3"/>
  <c r="J33" i="3"/>
  <c r="G33" i="3"/>
  <c r="J29" i="3"/>
  <c r="G29" i="3"/>
  <c r="J32" i="3"/>
  <c r="G32" i="3"/>
  <c r="J17" i="3"/>
  <c r="G17" i="3"/>
  <c r="J36" i="3"/>
  <c r="G36" i="3"/>
  <c r="J7" i="3"/>
  <c r="G7" i="3"/>
  <c r="J31" i="3"/>
  <c r="G31" i="3"/>
  <c r="J10" i="3"/>
  <c r="G10" i="3"/>
  <c r="J23" i="3"/>
  <c r="G23" i="3"/>
  <c r="J3" i="3"/>
  <c r="G3" i="3"/>
  <c r="J6" i="3"/>
  <c r="G6" i="3"/>
  <c r="I4" i="3"/>
  <c r="J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Esseiva Nicolas</author>
  </authors>
  <commentList>
    <comment ref="D17" authorId="0" shapeId="0" xr:uid="{F7F0B8D7-801A-4ED5-9B7D-38EFE79436A1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0805 0.4W utilisé à la place</t>
        </r>
      </text>
    </comment>
    <comment ref="D22" authorId="0" shapeId="0" xr:uid="{50D9D676-E87E-494B-A730-BF95B59AC132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2 x 3k3 utilisées a la place (pour i2c)</t>
        </r>
      </text>
    </comment>
    <comment ref="D24" authorId="0" shapeId="0" xr:uid="{E7663DB7-E73B-445A-AD20-58A60FF7E153}">
      <text>
        <r>
          <rPr>
            <b/>
            <sz val="9"/>
            <color indexed="81"/>
            <rFont val="Tahoma"/>
            <family val="2"/>
          </rPr>
          <t>Esseiva Nicolas:</t>
        </r>
        <r>
          <rPr>
            <sz val="9"/>
            <color indexed="81"/>
            <rFont val="Tahoma"/>
            <family val="2"/>
          </rPr>
          <t xml:space="preserve">
1 perdue</t>
        </r>
      </text>
    </comment>
  </commentList>
</comments>
</file>

<file path=xl/sharedStrings.xml><?xml version="1.0" encoding="utf-8"?>
<sst xmlns="http://schemas.openxmlformats.org/spreadsheetml/2006/main" count="10820" uniqueCount="2207">
  <si>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</si>
  <si>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</si>
  <si>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</si>
  <si>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</si>
  <si>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</si>
  <si>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</si>
  <si>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</si>
  <si>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</si>
  <si>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</si>
  <si>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</si>
  <si>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</si>
  <si>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</si>
  <si>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</si>
  <si>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</si>
  <si>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</si>
  <si>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</si>
  <si>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</si>
  <si>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</si>
  <si>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</si>
  <si>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</si>
  <si>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</si>
  <si>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</si>
  <si>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</si>
  <si>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</si>
  <si>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</si>
  <si>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</si>
  <si>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</si>
  <si>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</si>
  <si>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</si>
  <si>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</si>
  <si>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</si>
  <si>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</si>
  <si>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</si>
  <si>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</si>
  <si>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</si>
  <si>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</si>
  <si>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</si>
  <si>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</si>
  <si>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</si>
  <si>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</si>
  <si>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</si>
  <si>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</si>
  <si>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</si>
  <si>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</si>
  <si>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</si>
  <si>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</si>
  <si>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 xml:space="preserve">MULTICOMP </t>
  </si>
  <si>
    <t>MCWR08X1503FTL</t>
  </si>
  <si>
    <t>Résistance à puce CMS, Céramique, 4.7 kohm</t>
  </si>
  <si>
    <t>MCMR08X4701FTL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</si>
  <si>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</si>
  <si>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</si>
  <si>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</si>
  <si>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</si>
  <si>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</si>
  <si>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</si>
  <si>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</si>
  <si>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</si>
  <si>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</si>
  <si>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</si>
  <si>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</si>
  <si>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</si>
  <si>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</si>
  <si>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</si>
  <si>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</si>
  <si>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</si>
  <si>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</si>
  <si>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</si>
  <si>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</si>
  <si>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</si>
  <si>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</si>
  <si>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</si>
  <si>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</si>
  <si>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</si>
  <si>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</si>
  <si>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</si>
  <si>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</si>
  <si>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</si>
  <si>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</si>
  <si>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</si>
  <si>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</si>
  <si>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</si>
  <si>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</si>
  <si>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</si>
  <si>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</si>
  <si>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</si>
  <si>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</si>
  <si>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</si>
  <si>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</si>
  <si>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</si>
  <si>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</si>
  <si>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</si>
  <si>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</si>
  <si>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</si>
  <si>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</si>
  <si>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</si>
  <si>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</si>
  <si>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</si>
  <si>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</si>
  <si>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</si>
  <si>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</si>
  <si>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</si>
  <si>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</si>
  <si>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</si>
  <si>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</si>
  <si>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</si>
  <si>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</si>
  <si>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</si>
  <si>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</si>
  <si>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</si>
  <si>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</si>
  <si>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</si>
  <si>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</si>
  <si>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</si>
  <si>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</si>
  <si>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</si>
  <si>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</si>
  <si>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</si>
  <si>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</si>
  <si>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</si>
  <si>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</si>
  <si>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</si>
  <si>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</si>
  <si>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</si>
  <si>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</si>
  <si>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</si>
  <si>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</si>
  <si>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</si>
  <si>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</si>
  <si>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</si>
  <si>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</si>
  <si>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</si>
  <si>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</si>
  <si>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</si>
  <si>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</si>
  <si>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</si>
  <si>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</si>
  <si>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</si>
  <si>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</si>
  <si>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</si>
  <si>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</si>
  <si>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</si>
  <si>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</si>
  <si>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</si>
  <si>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</si>
  <si>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</si>
  <si>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</si>
  <si>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</si>
  <si>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</si>
  <si>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</si>
  <si>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</si>
  <si>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</si>
  <si>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</si>
  <si>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</si>
  <si>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</si>
  <si>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</si>
  <si>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</si>
  <si>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</si>
  <si>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</si>
  <si>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</si>
  <si>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</si>
  <si>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</si>
  <si>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</si>
  <si>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</si>
  <si>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</si>
  <si>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</si>
  <si>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</si>
  <si>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</si>
  <si>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</si>
  <si>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</si>
  <si>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</si>
  <si>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</si>
  <si>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</si>
  <si>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</si>
  <si>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</si>
  <si>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</si>
  <si>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</si>
  <si>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</si>
  <si>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</si>
  <si>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</si>
  <si>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</si>
  <si>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</si>
  <si>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</si>
  <si>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</si>
  <si>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</si>
  <si>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</si>
  <si>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</si>
  <si>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</si>
  <si>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</si>
  <si>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</si>
  <si>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</si>
  <si>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</si>
  <si>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</si>
  <si>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</si>
  <si>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</si>
  <si>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</si>
  <si>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</si>
  <si>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</si>
  <si>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</si>
  <si>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</si>
  <si>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</si>
  <si>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</si>
  <si>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</si>
  <si>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</si>
  <si>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</si>
  <si>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</si>
  <si>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</si>
  <si>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</si>
  <si>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</si>
  <si>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</si>
  <si>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</si>
  <si>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</si>
  <si>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</si>
  <si>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</si>
  <si>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</si>
  <si>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</si>
  <si>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</si>
  <si>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</si>
  <si>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</si>
  <si>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</si>
  <si>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</si>
  <si>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</si>
  <si>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</si>
  <si>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P150CCT-ND</t>
  </si>
  <si>
    <t>ERJ-6ENF1500V</t>
  </si>
  <si>
    <t>Panasonic Electronic Components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</si>
  <si>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</si>
  <si>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</si>
  <si>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</si>
  <si>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</si>
  <si>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</si>
  <si>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</si>
  <si>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</si>
  <si>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</si>
  <si>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</si>
  <si>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</si>
  <si>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</si>
  <si>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</si>
  <si>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</si>
  <si>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</si>
  <si>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</si>
  <si>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</si>
  <si>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</si>
  <si>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</si>
  <si>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</si>
  <si>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</si>
  <si>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</si>
  <si>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</si>
  <si>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</si>
  <si>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</si>
  <si>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</si>
  <si>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</si>
  <si>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</si>
  <si>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</si>
  <si>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</si>
  <si>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</si>
  <si>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</si>
  <si>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</si>
  <si>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</si>
  <si>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</si>
  <si>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</si>
  <si>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</si>
  <si>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</si>
  <si>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</si>
  <si>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</si>
  <si>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</si>
  <si>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</si>
  <si>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</si>
  <si>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</si>
  <si>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</si>
  <si>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</si>
  <si>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</si>
  <si>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</si>
  <si>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</si>
  <si>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</si>
  <si>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</si>
  <si>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</si>
  <si>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</si>
  <si>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</si>
  <si>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</si>
  <si>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</si>
  <si>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</si>
  <si>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</si>
  <si>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</si>
  <si>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</si>
  <si>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</si>
  <si>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</si>
  <si>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</si>
  <si>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</si>
  <si>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</si>
  <si>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</si>
  <si>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</si>
  <si>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</si>
  <si>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</si>
  <si>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</si>
  <si>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</si>
  <si>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</si>
  <si>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</si>
  <si>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</si>
  <si>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</si>
  <si>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</si>
  <si>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</si>
  <si>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</si>
  <si>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</si>
  <si>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</si>
  <si>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</si>
  <si>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</si>
  <si>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</si>
  <si>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</si>
  <si>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</si>
  <si>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</si>
  <si>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</si>
  <si>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</si>
  <si>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</si>
  <si>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</si>
  <si>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</si>
  <si>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</si>
  <si>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</si>
  <si>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</si>
  <si>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</si>
  <si>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</si>
  <si>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</si>
  <si>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</si>
  <si>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</si>
  <si>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</si>
  <si>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</si>
  <si>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</si>
  <si>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</si>
  <si>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</si>
  <si>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</si>
  <si>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</si>
  <si>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</si>
  <si>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</si>
  <si>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</si>
  <si>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</si>
  <si>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</si>
  <si>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</si>
  <si>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</si>
  <si>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</si>
  <si>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</si>
  <si>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</si>
  <si>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</si>
  <si>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</si>
  <si>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</si>
  <si>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</si>
  <si>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</si>
  <si>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Valise transparente</t>
  </si>
  <si>
    <t>Malette ESD 144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</si>
  <si>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</si>
  <si>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</si>
  <si>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</si>
  <si>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</si>
  <si>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</si>
  <si>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</si>
  <si>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</si>
  <si>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</si>
  <si>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</si>
  <si>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</si>
  <si>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</si>
  <si>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</si>
  <si>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</si>
  <si>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</si>
  <si>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</si>
  <si>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</si>
  <si>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</si>
  <si>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</si>
  <si>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</si>
  <si>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</si>
  <si>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</si>
  <si>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</si>
  <si>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</si>
  <si>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</si>
  <si>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</si>
  <si>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</si>
  <si>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</si>
  <si>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</si>
  <si>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</si>
  <si>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</si>
  <si>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</si>
  <si>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</si>
  <si>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</si>
  <si>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</si>
  <si>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</si>
  <si>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</si>
  <si>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</si>
  <si>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</si>
  <si>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</si>
  <si>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</si>
  <si>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</si>
  <si>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</si>
  <si>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</si>
  <si>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</si>
  <si>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</si>
  <si>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</si>
  <si>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</si>
  <si>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2694097</t>
  </si>
  <si>
    <t>1576507</t>
  </si>
  <si>
    <t>2380458</t>
  </si>
  <si>
    <t>2447573</t>
  </si>
  <si>
    <t>2073701</t>
  </si>
  <si>
    <t>2073779</t>
  </si>
  <si>
    <t>Update place D001-XXXX to D001-RXXXX for resistors</t>
  </si>
  <si>
    <t>Update place D001-XXXX to D001-CXXXX for capacitors</t>
  </si>
  <si>
    <t>JLCPCB Command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</si>
  <si>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</si>
  <si>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</si>
  <si>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</si>
  <si>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</si>
  <si>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</si>
  <si>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</si>
  <si>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</si>
  <si>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</si>
  <si>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</si>
  <si>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</si>
  <si>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</si>
  <si>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</si>
  <si>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</si>
  <si>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</si>
  <si>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</si>
  <si>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</si>
  <si>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</si>
  <si>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</si>
  <si>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</si>
  <si>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</si>
  <si>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</si>
  <si>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</si>
  <si>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</si>
  <si>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</si>
  <si>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</si>
  <si>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</si>
  <si>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</si>
  <si>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</si>
  <si>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</si>
  <si>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</si>
  <si>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</si>
  <si>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</si>
  <si>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</si>
  <si>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</si>
  <si>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</si>
  <si>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</si>
  <si>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</si>
  <si>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</si>
  <si>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</si>
  <si>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</si>
  <si>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</si>
  <si>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</si>
  <si>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</si>
  <si>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</si>
  <si>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</si>
  <si>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</si>
  <si>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</si>
  <si>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</si>
  <si>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</si>
  <si>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</si>
  <si>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</si>
  <si>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</si>
  <si>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</si>
  <si>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</si>
  <si>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</si>
  <si>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</si>
  <si>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</si>
  <si>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</si>
  <si>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</si>
  <si>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</si>
  <si>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</si>
  <si>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</si>
  <si>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</si>
  <si>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</si>
  <si>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</si>
  <si>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</si>
  <si>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</si>
  <si>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</si>
  <si>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</si>
  <si>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</si>
  <si>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</si>
  <si>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</si>
  <si>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</si>
  <si>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</si>
  <si>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</si>
  <si>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</si>
  <si>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</si>
  <si>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</si>
  <si>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</si>
  <si>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</si>
  <si>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</si>
  <si>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</si>
  <si>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</si>
  <si>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</si>
  <si>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</si>
  <si>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</si>
  <si>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</si>
  <si>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</si>
  <si>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</si>
  <si>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</si>
  <si>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</si>
  <si>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</si>
  <si>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</si>
  <si>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</si>
  <si>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</si>
  <si>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</si>
  <si>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</si>
  <si>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</si>
  <si>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</si>
  <si>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</si>
  <si>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</si>
  <si>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</si>
  <si>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</si>
  <si>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</si>
  <si>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</si>
  <si>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</si>
  <si>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</si>
  <si>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</si>
  <si>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</si>
  <si>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</si>
  <si>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</si>
  <si>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</si>
  <si>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</si>
  <si>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</si>
  <si>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</si>
  <si>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</si>
  <si>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</si>
  <si>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</si>
  <si>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</si>
  <si>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</si>
  <si>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</si>
  <si>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</si>
  <si>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</si>
  <si>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</si>
  <si>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</si>
  <si>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</si>
  <si>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</si>
  <si>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</si>
  <si>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</si>
  <si>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</si>
  <si>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</si>
  <si>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</si>
  <si>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</si>
  <si>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</si>
  <si>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</si>
  <si>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</si>
  <si>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</si>
  <si>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</si>
  <si>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</si>
  <si>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</si>
  <si>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</si>
  <si>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</si>
  <si>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</si>
  <si>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</si>
  <si>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CRCW08051R00FKEAC</t>
  </si>
  <si>
    <t>CRCW08052R00FKEAC</t>
  </si>
  <si>
    <t>CRCW08053R30FKEAC</t>
  </si>
  <si>
    <t>CRCW08054R70FKEAC</t>
  </si>
  <si>
    <t>CRCW08054R99FKEAC</t>
  </si>
  <si>
    <t>CRCW080510R0FKEAC</t>
  </si>
  <si>
    <t>CRCW080520R0FKEAC</t>
  </si>
  <si>
    <t>CRCW080522R0FKEAC</t>
  </si>
  <si>
    <t>CRCW080530R0FKEAC</t>
  </si>
  <si>
    <t>CRCW080533R0FKEAC</t>
  </si>
  <si>
    <t>CRCW080549R9FKEAC</t>
  </si>
  <si>
    <t>CRCW0805200RFKEAC</t>
  </si>
  <si>
    <t>CRCW0805220RFKEAC</t>
  </si>
  <si>
    <t>CRCW0805330RFKEAC</t>
  </si>
  <si>
    <t>CRCW0805470RFKEAC</t>
  </si>
  <si>
    <t>CRCW0805820RFKEAC</t>
  </si>
  <si>
    <t>CRCW08051K00FKEAC</t>
  </si>
  <si>
    <t>CRCW08051K50FKEAC</t>
  </si>
  <si>
    <t>CRCW08052K00FKEAC</t>
  </si>
  <si>
    <t>CRCW08052K20FKEAC</t>
  </si>
  <si>
    <t>CRCW08053K30FKEAC</t>
  </si>
  <si>
    <t>CRCW08054K99FKEAC</t>
  </si>
  <si>
    <t>CRCW08055K11FKEAC</t>
  </si>
  <si>
    <t>CRCW08058K25FKEAC</t>
  </si>
  <si>
    <t>CRCW080515K0FKEAC</t>
  </si>
  <si>
    <t>CRCW080520K0FKEAC</t>
  </si>
  <si>
    <t>CRCW080522K0FKEAC</t>
  </si>
  <si>
    <t>CRCW080542K2FKECC</t>
  </si>
  <si>
    <t>CRCW080547K0FKEAC</t>
  </si>
  <si>
    <t>CRCW080549K9FKEAC</t>
  </si>
  <si>
    <t>CRCW0805100KFKEAC</t>
  </si>
  <si>
    <t>CRCW0805200KFKEAC</t>
  </si>
  <si>
    <t>CRCW0805249KFKECC</t>
  </si>
  <si>
    <t>CRCW08051M00FKEAC</t>
  </si>
  <si>
    <t>CRCW08052M00FKECC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</si>
  <si>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</si>
  <si>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</si>
  <si>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</si>
  <si>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</si>
  <si>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</si>
  <si>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</si>
  <si>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</si>
  <si>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</si>
  <si>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</si>
  <si>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</si>
  <si>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</si>
  <si>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</si>
  <si>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</si>
  <si>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</si>
  <si>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</si>
  <si>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RHM200KAHCT-ND</t>
  </si>
  <si>
    <t>RHM100KAHCT-ND</t>
  </si>
  <si>
    <t>RHM220KAHCT-ND</t>
  </si>
  <si>
    <t>RHM1.00MAHCT-ND</t>
  </si>
  <si>
    <t>RHM270KAHCT-ND</t>
  </si>
  <si>
    <t>RHM4.70AHCT-ND</t>
  </si>
  <si>
    <t>RHM5.10MAHCT-ND</t>
  </si>
  <si>
    <t>RHM2.00MAHCT-ND</t>
  </si>
  <si>
    <t>RHM390KAHCT-ND</t>
  </si>
  <si>
    <t>RHM2.20MAHCT-ND</t>
  </si>
  <si>
    <t>RHM3.00MAHCT-ND</t>
  </si>
  <si>
    <t>RHM4.70MAHCT-ND</t>
  </si>
  <si>
    <t>RHM22KAHCT-ND</t>
  </si>
  <si>
    <t>RHM3.30MAHCT-ND</t>
  </si>
  <si>
    <t>RHM47.0KAHCT-ND</t>
  </si>
  <si>
    <t>RHM10AHCT-ND</t>
  </si>
  <si>
    <t>RHM499AHCT-ND</t>
  </si>
  <si>
    <t>RHM680AHCT-ND</t>
  </si>
  <si>
    <t>RHM470KBCT-ND</t>
  </si>
  <si>
    <t>RHM549KAHCT-ND</t>
  </si>
  <si>
    <t>RHM510KAHCT-ND</t>
  </si>
  <si>
    <t>RHM160KAHCT-ND</t>
  </si>
  <si>
    <t>RHM120KAHCT-ND</t>
  </si>
  <si>
    <t>RHM150KAHCT-ND</t>
  </si>
  <si>
    <t>RHM4.42KAHCT-ND</t>
  </si>
  <si>
    <t>RHM560KAHCT-ND</t>
  </si>
  <si>
    <t>RHM820KAHCT-ND</t>
  </si>
  <si>
    <t>RHM1.2KAHCT-ND</t>
  </si>
  <si>
    <t>RHM1.3MAHCT-ND</t>
  </si>
  <si>
    <t>RHM33KAHCT-ND</t>
  </si>
  <si>
    <t>RHM39AHCT-ND</t>
  </si>
  <si>
    <t>RHM40.2KAHCT-ND</t>
  </si>
  <si>
    <t>RHM47AHCT-ND</t>
  </si>
  <si>
    <t>RHM51KAHCT-ND</t>
  </si>
  <si>
    <t>RHM5.6MAHCT-ND</t>
  </si>
  <si>
    <t>RHM62AHCT-ND</t>
  </si>
  <si>
    <t>RHM66.5KAHCT-ND</t>
  </si>
  <si>
    <t>RHM82AHCT-ND</t>
  </si>
  <si>
    <t>RHM1.50MAHCT-ND</t>
  </si>
  <si>
    <t>RHM255KAHCT-ND</t>
  </si>
  <si>
    <t>RHM332KAHCT-ND</t>
  </si>
  <si>
    <t>RHM6.20MAHCT-ND</t>
  </si>
  <si>
    <t>RHM910KAHCT-ND</t>
  </si>
  <si>
    <t>RHM11KAHCT-ND</t>
  </si>
  <si>
    <t>RHM124KAHCT-ND</t>
  </si>
  <si>
    <t>RHM12.7KAHCT-ND</t>
  </si>
  <si>
    <t>RHM1.3KAHCT-ND</t>
  </si>
  <si>
    <t>RHM14KAHCT-ND</t>
  </si>
  <si>
    <t>RHM1.8KAHCT-ND</t>
  </si>
  <si>
    <t>RHM237KAHCT-ND</t>
  </si>
  <si>
    <t>RHM2.4KAHCT-ND</t>
  </si>
  <si>
    <t>RHM249KAHCT-ND</t>
  </si>
  <si>
    <t>RHM270AHCT-ND</t>
  </si>
  <si>
    <t>RHM27KAHCT-ND</t>
  </si>
  <si>
    <t>RHM3.01KAHCT-ND</t>
  </si>
  <si>
    <t>RHM3.32KAHCT-ND</t>
  </si>
  <si>
    <t>RHM33AHCT-ND</t>
  </si>
  <si>
    <t>RHM3.9KAHCT-ND</t>
  </si>
  <si>
    <t>RHM3.9MAHCT-ND</t>
  </si>
  <si>
    <t>RHM402AHCT-ND</t>
  </si>
  <si>
    <t>RHM430KAHCT-ND</t>
  </si>
  <si>
    <t>RHM4.75KAHCT-ND</t>
  </si>
  <si>
    <t>RHM56KAHCT-ND</t>
  </si>
  <si>
    <t>RHM56AHCT-ND</t>
  </si>
  <si>
    <t>RHM6.2KAHCT-ND</t>
  </si>
  <si>
    <t>RHM68AHCT-ND</t>
  </si>
  <si>
    <t>RHM75KAHCT-ND</t>
  </si>
  <si>
    <t>RHM750KAHCT-ND</t>
  </si>
  <si>
    <t>RHM820AHCT-ND</t>
  </si>
  <si>
    <t>RHM464KAHCT-ND</t>
  </si>
  <si>
    <t>RHM2.43KAHCT-ND</t>
  </si>
  <si>
    <t>RHM619KAHCT-ND</t>
  </si>
  <si>
    <t>RHM36.0KAHCT-ND</t>
  </si>
  <si>
    <t>RHM4.30MAHCT-ND</t>
  </si>
  <si>
    <t>RHM680KAHCT-ND</t>
  </si>
  <si>
    <t>RHM10.7KAHCT-ND</t>
  </si>
  <si>
    <t>RHM121KAHCT-ND</t>
  </si>
  <si>
    <t>RHM1.37KAHCT-ND</t>
  </si>
  <si>
    <t>RHM14.3KAHCT-ND</t>
  </si>
  <si>
    <t>RHM1.54KAHCT-ND</t>
  </si>
  <si>
    <t>RHM1.58KAHCT-ND</t>
  </si>
  <si>
    <t>RHM1.6KAHCT-ND</t>
  </si>
  <si>
    <t>RHM1.69KAHCT-ND</t>
  </si>
  <si>
    <t>RHM180AHCT-ND</t>
  </si>
  <si>
    <t>RHM21.5KAHCT-ND</t>
  </si>
  <si>
    <t>RHM232KAHCT-ND</t>
  </si>
  <si>
    <t>RHM23.7AHCT-ND</t>
  </si>
  <si>
    <t>RHM24.3KAHCT-ND</t>
  </si>
  <si>
    <t>RHM26.7KAHCT-ND</t>
  </si>
  <si>
    <t>RHM2.8KAHCT-ND</t>
  </si>
  <si>
    <t>RHM28KAHCT-ND</t>
  </si>
  <si>
    <t>RHM309KAHCT-ND</t>
  </si>
  <si>
    <t>RHM32.4KAHCT-ND</t>
  </si>
  <si>
    <t>RHM33.2AHCT-ND</t>
  </si>
  <si>
    <t>RHM40.2AHCT-ND</t>
  </si>
  <si>
    <t>RHM442KAHCT-ND</t>
  </si>
  <si>
    <t>RHM46.4KAHCT-ND</t>
  </si>
  <si>
    <t>RHM475KAHCT-ND</t>
  </si>
  <si>
    <t>RHM5.11KAHCT-ND</t>
  </si>
  <si>
    <t>RHM511KAHCT-ND</t>
  </si>
  <si>
    <t>RHM536AHCT-ND</t>
  </si>
  <si>
    <t>RHM54.9KAHCT-ND</t>
  </si>
  <si>
    <t>RHM5.76KAHCT-ND</t>
  </si>
  <si>
    <t>RHM59KAHCT-ND</t>
  </si>
  <si>
    <t>RHM590KAHCT-ND</t>
  </si>
  <si>
    <t>RHM6.81KAHCT-ND</t>
  </si>
  <si>
    <t>RHM715KAHCT-ND</t>
  </si>
  <si>
    <t>RHM732KAHCT-ND</t>
  </si>
  <si>
    <t>RHM75AHCT-ND</t>
  </si>
  <si>
    <t>RHM7.87KAHCT-ND</t>
  </si>
  <si>
    <t>RHM80.6KAHCT-ND</t>
  </si>
  <si>
    <t>RHM806KAHCT-ND</t>
  </si>
  <si>
    <t>RHM84.5KAHCT-ND</t>
  </si>
  <si>
    <t>RHM1.0KBCT-ND</t>
  </si>
  <si>
    <t>KTR10EZPJ102</t>
  </si>
  <si>
    <t>RES SMD 1K OHM 5% 1/8W 0805</t>
  </si>
  <si>
    <t>RHM22KBCT-ND</t>
  </si>
  <si>
    <t>RHM330KBCT-ND</t>
  </si>
  <si>
    <t>RHM42.2KAHCT-ND</t>
  </si>
  <si>
    <t>RHM348KAHCT-ND</t>
  </si>
  <si>
    <t>RHM261AHCT-ND</t>
  </si>
  <si>
    <t>RHM35.7AHCT-ND</t>
  </si>
  <si>
    <t>RHM287AHCT-ND</t>
  </si>
  <si>
    <t>RHM1.69MAHCT-ND</t>
  </si>
  <si>
    <t>RHM44.2KAHCT-ND</t>
  </si>
  <si>
    <t>RHM17.4KAHCT-ND</t>
  </si>
  <si>
    <t>RHM432AHCT-ND</t>
  </si>
  <si>
    <t>RHM845KAHCT-ND</t>
  </si>
  <si>
    <t>RHM825KAHCT-ND</t>
  </si>
  <si>
    <t>RHM1.27KAHCT-ND</t>
  </si>
  <si>
    <t>RHM1.33MAHCT-ND</t>
  </si>
  <si>
    <t>RHM316AHCT-ND</t>
  </si>
  <si>
    <t>RHM60.4KAHCT-ND</t>
  </si>
  <si>
    <t>RHM1.54MAHCT-ND</t>
  </si>
  <si>
    <t>RHM205AHCT-ND</t>
  </si>
  <si>
    <t>RHM22.6KAHCT-ND</t>
  </si>
  <si>
    <t>RHM1.58MAHCT-ND</t>
  </si>
  <si>
    <t>RHM887KAHCT-ND</t>
  </si>
  <si>
    <t>RHM806AHCT-ND</t>
  </si>
  <si>
    <t>RHM2.55KAHCT-ND</t>
  </si>
  <si>
    <t>RHM71.5AHCT-ND</t>
  </si>
  <si>
    <t>RHM1.4KAHCT-ND</t>
  </si>
  <si>
    <t>RHM121AHCT-ND</t>
  </si>
  <si>
    <t>RHM51.1AHCT-ND</t>
  </si>
  <si>
    <t>RHM1.4MAHCT-ND</t>
  </si>
  <si>
    <t>RHM82.5KAHCT-ND</t>
  </si>
  <si>
    <t>RHM28AHCT-ND</t>
  </si>
  <si>
    <t>RHM3.92KAHCT-ND</t>
  </si>
  <si>
    <t>RHM17.8AHCT-ND</t>
  </si>
  <si>
    <t>RHM80.6AHCT-ND</t>
  </si>
  <si>
    <t>RHM15.8KAHCT-ND</t>
  </si>
  <si>
    <t>RHM324AHCT-ND</t>
  </si>
  <si>
    <t>RHM115KAHCT-ND</t>
  </si>
  <si>
    <t>RHM1.65KAHCT-ND</t>
  </si>
  <si>
    <t>RHM64.9AHCT-ND</t>
  </si>
  <si>
    <t>RHM93.1KAHCT-ND</t>
  </si>
  <si>
    <t>RHM8.87KAHCT-ND</t>
  </si>
  <si>
    <t>RHM9.76KAHCT-ND</t>
  </si>
  <si>
    <t>RHM34.8KAHCT-ND</t>
  </si>
  <si>
    <t>RHM11.5KAHCT-ND</t>
  </si>
  <si>
    <t>RHM205KAHCT-ND</t>
  </si>
  <si>
    <t>RHM576KAHCT-ND</t>
  </si>
  <si>
    <t>RHM1.33KAHCT-ND</t>
  </si>
  <si>
    <t>RHM1.47KAHCT-ND</t>
  </si>
  <si>
    <t>RHM39.2KAHCT-ND</t>
  </si>
  <si>
    <t>RHM604KAHCT-ND</t>
  </si>
  <si>
    <t>RHM1.07KAHCT-ND</t>
  </si>
  <si>
    <t>RHM6.49KAHCT-ND</t>
  </si>
  <si>
    <t>RHM187AHCT-ND</t>
  </si>
  <si>
    <t>RHM27.4KAHCT-ND</t>
  </si>
  <si>
    <t>RHM976AHCT-ND</t>
  </si>
  <si>
    <t>RHM53.6KAHCT-ND</t>
  </si>
  <si>
    <t>RHM12AHCT-ND</t>
  </si>
  <si>
    <t>RHM910AHCT-ND</t>
  </si>
  <si>
    <t>RHM6.65KAHCT-ND</t>
  </si>
  <si>
    <t>RHM665AHCT-ND</t>
  </si>
  <si>
    <t>RHM255AHCT-ND</t>
  </si>
  <si>
    <t>RHM13.3AHCT-ND</t>
  </si>
  <si>
    <t>RHM340AHCT-ND</t>
  </si>
  <si>
    <t>RHM4.32KAHCT-ND</t>
  </si>
  <si>
    <t>RHM26.1KAHCT-ND</t>
  </si>
  <si>
    <t>RHM19.1KAHCT-ND</t>
  </si>
  <si>
    <t>RHM274AHCT-ND</t>
  </si>
  <si>
    <t>RHM866AHCT-ND</t>
  </si>
  <si>
    <t>RHM360AHCT-ND</t>
  </si>
  <si>
    <t>RHM127KAHCT-ND</t>
  </si>
  <si>
    <t>RHM5.23KAHCT-ND</t>
  </si>
  <si>
    <t>RHM28.7AHCT-ND</t>
  </si>
  <si>
    <t>RHM8.25KAHCT-ND</t>
  </si>
  <si>
    <t>RHM169AHCT-ND</t>
  </si>
  <si>
    <t>RHM3.74KAHCT-ND</t>
  </si>
  <si>
    <t>RHM215AHCT-ND</t>
  </si>
  <si>
    <t>RHM90.9AHCT-ND</t>
  </si>
  <si>
    <t>RHM3.65KAHCT-ND</t>
  </si>
  <si>
    <t>RHM1.00KAHCT-ND</t>
  </si>
  <si>
    <t>RHM28.7KAHCT-ND</t>
  </si>
  <si>
    <t>RHM10.2KAHCT-ND</t>
  </si>
  <si>
    <t>RHM221AHCT-ND</t>
  </si>
  <si>
    <t>RHM1.74KAHCT-ND</t>
  </si>
  <si>
    <t>RHM3.4KAHCT-ND</t>
  </si>
  <si>
    <t>RHM174KAHCT-ND</t>
  </si>
  <si>
    <t>RHM18.2KAHCT-ND</t>
  </si>
  <si>
    <t>RHM787KAHCT-ND</t>
  </si>
  <si>
    <t>RHM1.10MAHCT-ND</t>
  </si>
  <si>
    <t>RHM1.1KAHCT-ND</t>
  </si>
  <si>
    <t>RHM453KAHCT-ND</t>
  </si>
  <si>
    <t>RHM2.26KAHCT-ND</t>
  </si>
  <si>
    <t>RHM681AHCT-ND</t>
  </si>
  <si>
    <t>RHM95.3KAHCT-ND</t>
  </si>
  <si>
    <t>RHM63.4KAHCT-ND</t>
  </si>
  <si>
    <t>RHM732AHCT-ND</t>
  </si>
  <si>
    <t>RHM9.10MAHCT-ND</t>
  </si>
  <si>
    <t>RHM18.7KAHCT-ND</t>
  </si>
  <si>
    <t>RHM909AHCT-ND</t>
  </si>
  <si>
    <t>RHM7.15KAHCT-ND</t>
  </si>
  <si>
    <t>RHM18KAHCT-ND</t>
  </si>
  <si>
    <t>RHM62KAHCT-ND</t>
  </si>
  <si>
    <t>RHM9.31KAHCT-ND</t>
  </si>
  <si>
    <t>RHM392AHCT-ND</t>
  </si>
  <si>
    <t>RHM221KAHCT-ND</t>
  </si>
  <si>
    <t>RHM392KAHCT-ND</t>
  </si>
  <si>
    <t>RHM47.5KAHCT-ND</t>
  </si>
  <si>
    <t>RHM110KAHCT-ND</t>
  </si>
  <si>
    <t>RHM390AHCT-ND</t>
  </si>
  <si>
    <t>RHM2KAHCT-ND</t>
  </si>
  <si>
    <t>RHM4.64KAHCT-ND</t>
  </si>
  <si>
    <t>RHM33.2KAHCT-ND</t>
  </si>
  <si>
    <t>RHM665KAHCT-ND</t>
  </si>
  <si>
    <t>RHM16.5KAHCT-ND</t>
  </si>
  <si>
    <t>RHM510AHCT-ND</t>
  </si>
  <si>
    <t>RHM470KAHCT-ND</t>
  </si>
  <si>
    <t>RHM909KAHCT-ND</t>
  </si>
  <si>
    <t>RHM1.20MAHCT-ND</t>
  </si>
  <si>
    <t>RHM24.9KAHCT-ND</t>
  </si>
  <si>
    <t>RHM1.80MAHCT-ND</t>
  </si>
  <si>
    <t>RHM523AHCT-ND</t>
  </si>
  <si>
    <t>RHM30KAHCT-ND</t>
  </si>
  <si>
    <t>RHM1.91KAHCT-ND</t>
  </si>
  <si>
    <t>RHM23.7KAHCT-ND</t>
  </si>
  <si>
    <t>RHM165AHCT-ND</t>
  </si>
  <si>
    <t>RHM604AHCT-ND</t>
  </si>
  <si>
    <t>RHM22AHCT-ND</t>
  </si>
  <si>
    <t>RHM51.0AHCT-ND</t>
  </si>
  <si>
    <t>RHM49.9KAHCT-ND</t>
  </si>
  <si>
    <t>RHM140KAHCT-ND</t>
  </si>
  <si>
    <t>RHM49.9AHCT-ND</t>
  </si>
  <si>
    <t>RHM4.02KAHCT-ND</t>
  </si>
  <si>
    <t>RHM3KAHCT-ND</t>
  </si>
  <si>
    <t>RHM91AHCT-ND</t>
  </si>
  <si>
    <t>RHM120AHCT-ND</t>
  </si>
  <si>
    <t>RHM4.22KAHCT-ND</t>
  </si>
  <si>
    <t>RHM1.5KAHCT-ND</t>
  </si>
  <si>
    <t>RHM22.1KAHCT-ND</t>
  </si>
  <si>
    <t>RHM499KAHCT-ND</t>
  </si>
  <si>
    <t>RHM6.8KAHCT-ND</t>
  </si>
  <si>
    <t>RHM150AHCT-ND</t>
  </si>
  <si>
    <t>RHM15KAHCT-ND</t>
  </si>
  <si>
    <t>RHM30.1KAHCT-ND</t>
  </si>
  <si>
    <t>RHM1MAHCT-ND</t>
  </si>
  <si>
    <t>RHM200AHCT-ND</t>
  </si>
  <si>
    <t>RHM130KAHCT-ND</t>
  </si>
  <si>
    <t>RHM4.70KAHCT-ND</t>
  </si>
  <si>
    <t>RHM4.99KAHCT-ND</t>
  </si>
  <si>
    <t>RHM39KAHCT-ND</t>
  </si>
  <si>
    <t>RHM20.0KAHCT-ND</t>
  </si>
  <si>
    <t>RHM470AHCT-ND</t>
  </si>
  <si>
    <t>RHM9.1KAHCT-ND</t>
  </si>
  <si>
    <t>RHM100AHCT-ND</t>
  </si>
  <si>
    <t>RHM5.10AHCT-ND</t>
  </si>
  <si>
    <t>RHM2.2KAHCT-ND</t>
  </si>
  <si>
    <t>RHM536KAHCT-ND</t>
  </si>
  <si>
    <t>RHM10KBCT-ND</t>
  </si>
  <si>
    <t>RHM1.0MBCT-ND</t>
  </si>
  <si>
    <t>RHM30MBCT-ND</t>
  </si>
  <si>
    <t>RHM2.2MBCT-ND</t>
  </si>
  <si>
    <t>RHM402KAHCT-ND</t>
  </si>
  <si>
    <t>RHM12.4KAHCT-ND</t>
  </si>
  <si>
    <t>RHM13.7KAHCT-ND</t>
  </si>
  <si>
    <t>RHM20AHCT-ND</t>
  </si>
  <si>
    <t>RHM240AHCT-ND</t>
  </si>
  <si>
    <t>RHM24KAHCT-ND</t>
  </si>
  <si>
    <t>RHM24.9AHCT-ND</t>
  </si>
  <si>
    <t>RHM31.6KAHCT-ND</t>
  </si>
  <si>
    <t>RHM442AHCT-ND</t>
  </si>
  <si>
    <t>RHM590AHCT-ND</t>
  </si>
  <si>
    <t>RHM60.4AHCT-ND</t>
  </si>
  <si>
    <t>RHM86.6KAHCT-ND</t>
  </si>
  <si>
    <t>RHM90.9KAHCT-ND</t>
  </si>
  <si>
    <t>RHM2.0MBCT-ND</t>
  </si>
  <si>
    <t>RHM102KAHCT-ND</t>
  </si>
  <si>
    <t>RHM118KAHCT-ND</t>
  </si>
  <si>
    <t>RHM11AHCT-ND</t>
  </si>
  <si>
    <t>RHM13.3KAHCT-ND</t>
  </si>
  <si>
    <t>RHM133KAHCT-ND</t>
  </si>
  <si>
    <t>RHM137KAHCT-ND</t>
  </si>
  <si>
    <t>RHM140AHCT-ND</t>
  </si>
  <si>
    <t>RHM14.7KAHCT-ND</t>
  </si>
  <si>
    <t>RHM15.4KAHCT-ND</t>
  </si>
  <si>
    <t>RHM154KAHCT-ND</t>
  </si>
  <si>
    <t>RHM1.62KAHCT-ND</t>
  </si>
  <si>
    <t>RHM187KAHCT-ND</t>
  </si>
  <si>
    <t>RHM20.5KAHCT-ND</t>
  </si>
  <si>
    <t>RHM210AHCT-ND</t>
  </si>
  <si>
    <t>RHM21KAHCT-ND</t>
  </si>
  <si>
    <t>RHM210KAHCT-ND</t>
  </si>
  <si>
    <t>RHM21AHCT-ND</t>
  </si>
  <si>
    <t>RHM243AHCT-ND</t>
  </si>
  <si>
    <t>RHM24AHCT-ND</t>
  </si>
  <si>
    <t>RHM2.67KAHCT-ND</t>
  </si>
  <si>
    <t>RHM294AHCT-ND</t>
  </si>
  <si>
    <t>RHM294KAHCT-ND</t>
  </si>
  <si>
    <t>RHM31.6AHCT-ND</t>
  </si>
  <si>
    <t>RHM340KAHCT-ND</t>
  </si>
  <si>
    <t>RHM357AHCT-ND</t>
  </si>
  <si>
    <t>RHM383KAHCT-ND</t>
  </si>
  <si>
    <t>RHM41.2KAHCT-ND</t>
  </si>
  <si>
    <t>RHM43.2KAHCT-ND</t>
  </si>
  <si>
    <t>RHM464AHCT-ND</t>
  </si>
  <si>
    <t>RHM56.2KAHCT-ND</t>
  </si>
  <si>
    <t>RHM6.04KAHCT-ND</t>
  </si>
  <si>
    <t>RHM649KAHCT-ND</t>
  </si>
  <si>
    <t>RHM69.8AHCT-ND</t>
  </si>
  <si>
    <t>RHM7.5KAHCT-ND</t>
  </si>
  <si>
    <t>RHM78.7KAHCT-ND</t>
  </si>
  <si>
    <t>RHM8.06KAHCT-ND</t>
  </si>
  <si>
    <t>RHM82KAHCT-ND</t>
  </si>
  <si>
    <t>RHM82.5AHCT-ND</t>
  </si>
  <si>
    <t>RHM8.45KAHCT-ND</t>
  </si>
  <si>
    <t>RHM8.66KAHCT-ND</t>
  </si>
  <si>
    <t>RHM9.09KAHCT-ND</t>
  </si>
  <si>
    <t>RHM9.53KAHCT-ND</t>
  </si>
  <si>
    <t>RHM10MBCT-ND</t>
  </si>
  <si>
    <t>KTR10EZPJ106</t>
  </si>
  <si>
    <t>RES SMD 10M OHM 5% 1/8W 0805</t>
  </si>
  <si>
    <t>RHM100KBCT-ND</t>
  </si>
  <si>
    <t>RHM47BCT-ND</t>
  </si>
  <si>
    <t>RHM300BCT-ND</t>
  </si>
  <si>
    <t>RHM280AHCT-ND</t>
  </si>
  <si>
    <t>RHM110AHCT-ND</t>
  </si>
  <si>
    <t>RHM698AHCT-ND</t>
  </si>
  <si>
    <t>RHM412KAHCT-ND</t>
  </si>
  <si>
    <t>RHM165KAHCT-ND</t>
  </si>
  <si>
    <t>RHM30.1AHCT-ND</t>
  </si>
  <si>
    <t>RHM249AHCT-ND</t>
  </si>
  <si>
    <t>RHM37.4KAHCT-ND</t>
  </si>
  <si>
    <t>RHM300AHCT-ND</t>
  </si>
  <si>
    <t>RHM300KAHCT-ND</t>
  </si>
  <si>
    <t>RHM19.6KAHCT-ND</t>
  </si>
  <si>
    <t>RHM620AHCT-ND</t>
  </si>
  <si>
    <t>RHM130AHCT-ND</t>
  </si>
  <si>
    <t>RHM301AHCT-ND</t>
  </si>
  <si>
    <t>RHM2.49KAHCT-ND</t>
  </si>
  <si>
    <t>RHM280KAHCT-ND</t>
  </si>
  <si>
    <t>RHM365KAHCT-ND</t>
  </si>
  <si>
    <t>RHM3.16KAHCT-ND</t>
  </si>
  <si>
    <t>RHM1.60MAHCT-ND</t>
  </si>
  <si>
    <t>RHM12KAHCT-ND</t>
  </si>
  <si>
    <t>RHM5.1KAHCT-ND</t>
  </si>
  <si>
    <t>RHM3.3KAHCT-ND</t>
  </si>
  <si>
    <t>RHM15AHCT-ND</t>
  </si>
  <si>
    <t>RHM7.5MAHCT-ND</t>
  </si>
  <si>
    <t>RHM180KAHCT-ND</t>
  </si>
  <si>
    <t>RHM430AHCT-ND</t>
  </si>
  <si>
    <t>RHM220AHCT-ND</t>
  </si>
  <si>
    <t>RHM330AHCT-ND</t>
  </si>
  <si>
    <t>RHM10.0MAHCT-ND</t>
  </si>
  <si>
    <t>RHM5.6KAHCT-ND</t>
  </si>
  <si>
    <t>RHM16.9KAHCT-ND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</si>
  <si>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</si>
  <si>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</si>
  <si>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</si>
  <si>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</si>
  <si>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</si>
  <si>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</si>
  <si>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</si>
  <si>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</si>
  <si>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</si>
  <si>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</si>
  <si>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</si>
  <si>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</si>
  <si>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</si>
  <si>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RHM10KDCT-ND</t>
  </si>
  <si>
    <t>ESR03EZPJ103</t>
  </si>
  <si>
    <t>RES SMD 10K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</si>
  <si>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</si>
  <si>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</si>
  <si>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</si>
  <si>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</si>
  <si>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</si>
  <si>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</si>
  <si>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</si>
  <si>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</si>
  <si>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</si>
  <si>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</si>
  <si>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</si>
  <si>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</si>
  <si>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</si>
  <si>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</si>
  <si>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</si>
  <si>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RHM100KADCT-ND</t>
  </si>
  <si>
    <t>ESR03EZPF1003</t>
  </si>
  <si>
    <t>RES SMD 100K OHM 1% 1/4W 0603</t>
  </si>
  <si>
    <t>RHM27KDCT-ND</t>
  </si>
  <si>
    <t>ESR03EZPJ273</t>
  </si>
  <si>
    <t>RES SMD 27K OHM 5% 1/4W 0603</t>
  </si>
  <si>
    <t>ESR10EZPJ102</t>
  </si>
  <si>
    <t>RES SMD 1K OHM 5% 0.4W 0805</t>
  </si>
  <si>
    <t>RHM270DCT-ND</t>
  </si>
  <si>
    <t>ESR03EZPJ271</t>
  </si>
  <si>
    <t>RES SMD 270 OHM 5% 1/4W 0603</t>
  </si>
  <si>
    <t>RHM180DCT-ND</t>
  </si>
  <si>
    <t>ESR03EZPJ181</t>
  </si>
  <si>
    <t>RES SMD 180 OHM 5% 1/4W 0603</t>
  </si>
  <si>
    <t>RHM1MDCT-ND</t>
  </si>
  <si>
    <t>ESR03EZPJ105</t>
  </si>
  <si>
    <t>RES SMD 1M OHM 5% 1/4W 0603</t>
  </si>
  <si>
    <t>RHM3.9KKCT-ND</t>
  </si>
  <si>
    <t>ESR10EZPJ392</t>
  </si>
  <si>
    <t>RES SMD 3.9K OHM 5% 0.4W 0805</t>
  </si>
  <si>
    <t>RHM330KCT-ND</t>
  </si>
  <si>
    <t>ESR10EZPJ331</t>
  </si>
  <si>
    <t>RES SMD 330 OHM 5% 0.4W 0805</t>
  </si>
  <si>
    <t>RHM560DCT-ND</t>
  </si>
  <si>
    <t>ESR03EZPJ561</t>
  </si>
  <si>
    <t>RES SMD 560 OHM 5% 1/4W 0603</t>
  </si>
  <si>
    <t>RHM100KKCT-ND</t>
  </si>
  <si>
    <t>ESR10EZPJ104</t>
  </si>
  <si>
    <t>RES SMD 100K OHM 5% 0.4W 0805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</si>
  <si>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</si>
  <si>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</si>
  <si>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</si>
  <si>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</si>
  <si>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</si>
  <si>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</si>
  <si>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BM02B-GHS-TBT(LF)(SN)(N)</t>
  </si>
  <si>
    <t>BM03B-GHS-TBT(LF)(SN)(N)</t>
  </si>
  <si>
    <t>BM04B-GHS-TBT(LF)(SN)(N)</t>
  </si>
  <si>
    <t>BM05B-GHS-TBT(LF)(SN)(N)</t>
  </si>
  <si>
    <t>BM06B-GHS-TBT(LF)(SN)(N)</t>
  </si>
  <si>
    <t>BM07B-GHS-TBT(LF)(SN)(N)</t>
  </si>
  <si>
    <t>BM08B-GHS-TBT(LF)(SN)(N)</t>
  </si>
  <si>
    <t>BM10B-GHS-TBT(LF)(SN)(N)</t>
  </si>
  <si>
    <t>GHR-02V-S</t>
  </si>
  <si>
    <t>GHR-05V-S</t>
  </si>
  <si>
    <t>GHR-03V-S</t>
  </si>
  <si>
    <t>GHR-04V-S</t>
  </si>
  <si>
    <t>GHR-06V-S</t>
  </si>
  <si>
    <t>GHR-08V-S</t>
  </si>
  <si>
    <t>GHR-10V-S</t>
  </si>
  <si>
    <t>GHR-07V-S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</si>
  <si>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</si>
  <si>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</si>
  <si>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</si>
  <si>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</si>
  <si>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</si>
  <si>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</si>
  <si>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</si>
  <si>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</si>
  <si>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</si>
  <si>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</si>
  <si>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</si>
  <si>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</si>
  <si>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</si>
  <si>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</si>
  <si>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</si>
  <si>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</si>
  <si>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</si>
  <si>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</si>
  <si>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</si>
  <si>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</si>
  <si>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</si>
  <si>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</si>
  <si>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</si>
  <si>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</si>
  <si>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</si>
  <si>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</si>
  <si>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</si>
  <si>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</si>
  <si>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541-1.0KUACT-ND</t>
  </si>
  <si>
    <t>CRCW12061K00JNEAHP</t>
  </si>
  <si>
    <t>RES SMD 1K OHM 5% 3/4W 1206</t>
  </si>
  <si>
    <t>541-1.00KUCT-ND</t>
  </si>
  <si>
    <t>CRCW12061K00FKEAHP</t>
  </si>
  <si>
    <t>RES SMD 1K OHM 1% 3/4W 1206</t>
  </si>
  <si>
    <t>541-5.1UACT-ND</t>
  </si>
  <si>
    <t>CRCW12065R10JNEAHP</t>
  </si>
  <si>
    <t>RES SMD 5.1 OHM 5%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</si>
  <si>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</si>
  <si>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</si>
  <si>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</si>
  <si>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</si>
  <si>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</si>
  <si>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</si>
  <si>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</si>
  <si>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</si>
  <si>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</si>
  <si>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</si>
  <si>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</si>
  <si>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</si>
  <si>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</si>
  <si>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</si>
  <si>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</si>
  <si>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</si>
  <si>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</si>
  <si>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</si>
  <si>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</si>
  <si>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</si>
  <si>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</si>
  <si>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</si>
  <si>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</si>
  <si>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</si>
  <si>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</si>
  <si>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</si>
  <si>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</si>
  <si>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</si>
  <si>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</si>
  <si>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</si>
  <si>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</si>
  <si>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</si>
  <si>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</si>
  <si>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</si>
  <si>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</si>
  <si>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</si>
  <si>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</si>
  <si>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</si>
  <si>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</si>
  <si>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</si>
  <si>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</si>
  <si>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</si>
  <si>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</si>
  <si>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</si>
  <si>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</si>
  <si>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</si>
  <si>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R11,R13</t>
  </si>
  <si>
    <t>T3</t>
  </si>
  <si>
    <t>U7</t>
  </si>
  <si>
    <t>Lampe solaire v6</t>
  </si>
  <si>
    <t>LampeSolaire_v6</t>
  </si>
  <si>
    <t>DC Power Jack Plugs Male / Female Socket Adapter Connectors 2.1mm x 5.5mm</t>
  </si>
  <si>
    <t>CRCW12061R00JNEAHP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</si>
  <si>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</si>
  <si>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</si>
  <si>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</si>
  <si>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</si>
  <si>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</si>
  <si>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</si>
  <si>
    <t>2</t>
  </si>
  <si>
    <t>Manual correction - Set</t>
  </si>
  <si>
    <t>3.8</t>
  </si>
  <si>
    <t>3</t>
  </si>
  <si>
    <t>cmd 59520622</t>
  </si>
  <si>
    <t>Article Duplicate Deleted</t>
  </si>
  <si>
    <t>Manual correction - Remove</t>
  </si>
  <si>
    <t>Green 570nm LED Indication - Discrete 2V 0603 (1608 Metric)</t>
  </si>
  <si>
    <t>885012107010</t>
  </si>
  <si>
    <t>10µF ±20% 10V Ceramic Capacitor X5R 0805 (2012 Metric)</t>
  </si>
  <si>
    <t>732-7620-1-ND</t>
  </si>
  <si>
    <t>T0054441099N</t>
  </si>
  <si>
    <t>Apex Tool Group</t>
  </si>
  <si>
    <t>TIP GULL WING FOR WSP80, Bevel</t>
  </si>
  <si>
    <t>Soldering Iron Tip</t>
  </si>
  <si>
    <t>T0054441099N-ND</t>
  </si>
  <si>
    <t>T0054444099N</t>
  </si>
  <si>
    <t>TIP REPLACEMENT 1.6MM FOR WS</t>
  </si>
  <si>
    <t>T0054444099N-ND</t>
  </si>
  <si>
    <t>T0054440999N</t>
  </si>
  <si>
    <t>TIP CHISEL 0.181 FOR WSP80</t>
  </si>
  <si>
    <t>T0054440999N-ND</t>
  </si>
  <si>
    <t>T0054440899N</t>
  </si>
  <si>
    <t>TIP SOLDERING LTF 1.2MM A</t>
  </si>
  <si>
    <t>T0054440899N-ND</t>
  </si>
  <si>
    <t>T0054440599N</t>
  </si>
  <si>
    <t>TIP CHISEL 2.4MM FOR WSP80</t>
  </si>
  <si>
    <t>T0054440599N-ND</t>
  </si>
  <si>
    <t>25521</t>
  </si>
  <si>
    <t>Keystone Electronics</t>
  </si>
  <si>
    <t>Hex Standoff Threaded M4 Nylon 0.394" (10.00mm) Natural</t>
  </si>
  <si>
    <t>Standoff</t>
  </si>
  <si>
    <t>36-25521-ND</t>
  </si>
  <si>
    <t>29351</t>
  </si>
  <si>
    <t>MACH SCREW PAN SLOTTED M4X0.7</t>
  </si>
  <si>
    <t>36-29351-ND</t>
  </si>
  <si>
    <t>M4x0.7 Hex Nut 0.275" (7.00mm) Nylon</t>
  </si>
  <si>
    <t>36-4689-ND</t>
  </si>
  <si>
    <t>4689</t>
  </si>
  <si>
    <t>USB Tool v4</t>
  </si>
  <si>
    <t>USB_Tool_v4</t>
  </si>
  <si>
    <t>50M040070D008</t>
  </si>
  <si>
    <t>Essentra Components</t>
  </si>
  <si>
    <t>CHEESE HEAD SLOTTED SCREW, NATUR</t>
  </si>
  <si>
    <t>RPC7016-ND</t>
  </si>
  <si>
    <t>Screw</t>
  </si>
  <si>
    <t>Nut</t>
  </si>
  <si>
    <t>USB_Tool_v1 non utilisé</t>
  </si>
  <si>
    <t>GST40A12-P1J</t>
  </si>
  <si>
    <t>MEAN WELL USA Inc.</t>
  </si>
  <si>
    <t>12V 40W AC/DC External Desktop (Class I) Adapter Cord (Sold Separately) Input</t>
  </si>
  <si>
    <t>Wall Adapter</t>
  </si>
  <si>
    <t>1866-2141-ND</t>
  </si>
  <si>
    <t>378005-01</t>
  </si>
  <si>
    <t>Qualtek</t>
  </si>
  <si>
    <t>5.91' (1.80m) Power Cord Black SEV 1011, 3 pos To IEC 320-C13 H05VV-F</t>
  </si>
  <si>
    <t>Cord</t>
  </si>
  <si>
    <t>Q412-ND</t>
  </si>
  <si>
    <t>R3,R8,R9,R12</t>
  </si>
  <si>
    <t>R4,R5</t>
  </si>
  <si>
    <t>R7</t>
  </si>
  <si>
    <t>R10</t>
  </si>
  <si>
    <t>W3..5,X2</t>
  </si>
  <si>
    <t>EXT_RF_RX_v1</t>
  </si>
  <si>
    <t>Extension RF RX v1</t>
  </si>
  <si>
    <t>RES SMD 150 OHM 1% 1/8W 0805 panasonic</t>
  </si>
  <si>
    <t>Bluetooth Bluetooth v4.2 Transceiver Module 2.402GHz - 2.48GHz Integrated, Chip Surface Mount</t>
  </si>
  <si>
    <t>X1,X2</t>
  </si>
  <si>
    <t>R2..6</t>
  </si>
  <si>
    <t>C1,C2</t>
  </si>
  <si>
    <t>PIC16F15323T-I/SL</t>
  </si>
  <si>
    <t>PIC PIC® XLP™ 16F Microcontroller IC 8-Bit 32MHz 3.5KB (2K x 14) FLASH 14-SOIC</t>
  </si>
  <si>
    <t>PIC16F15323T-I/SLCT-ND</t>
  </si>
  <si>
    <t>150080BS75000</t>
  </si>
  <si>
    <t>Blue 470nm LED Indication - Discrete 3.2V 0805 (2012 Metric)</t>
  </si>
  <si>
    <t>732-4982-1-ND</t>
  </si>
  <si>
    <t>PIC16F18325-I/SL</t>
  </si>
  <si>
    <t>PIC PIC® XLP™ 16F Microcontroller IC 8-Bit 32MHz 14KB (8K x 14) FLASH 14-SOIC</t>
  </si>
  <si>
    <t>PIC16F18325-I/SL-ND</t>
  </si>
  <si>
    <t>MCP2221AT-I/ST</t>
  </si>
  <si>
    <t>USB Bridge, USB to I²C/UART USB 2.0 I²C, UART Interface 14-TSSOP</t>
  </si>
  <si>
    <t>MCP2221AT-I/STCT-ND</t>
  </si>
  <si>
    <t>C3,C5,C8,C9</t>
  </si>
  <si>
    <t>C7</t>
  </si>
  <si>
    <t>P3,P4,P6,P7</t>
  </si>
  <si>
    <t>P5,P8</t>
  </si>
  <si>
    <t>R2,R3,R18</t>
  </si>
  <si>
    <t>R4</t>
  </si>
  <si>
    <t>R6,R7</t>
  </si>
  <si>
    <t>R15,R16</t>
  </si>
  <si>
    <t>R14,R17</t>
  </si>
  <si>
    <t>X9,X10,X12</t>
  </si>
  <si>
    <t>X3,X4</t>
  </si>
  <si>
    <t>R5,R9..10,R12..13,R19..23</t>
  </si>
  <si>
    <t>0679H0250-01</t>
  </si>
  <si>
    <t>250mA 350V AC 72V DC Fuse Board Mount (Cartridge Style Excluded) Surface Mount 2410 (6125 Metric)</t>
  </si>
  <si>
    <t>507-2021-1-ND</t>
  </si>
  <si>
    <t>SS-13D16-VG 4 PA</t>
  </si>
  <si>
    <t>C&amp;K</t>
  </si>
  <si>
    <t>SWITCH SLIDE SP3T 300MA 30V</t>
  </si>
  <si>
    <t>CKN10371-ND</t>
  </si>
  <si>
    <t>C1,C7,C9,C10</t>
  </si>
  <si>
    <t>C3..6,C8,C11,C12</t>
  </si>
  <si>
    <t>D001-050</t>
  </si>
  <si>
    <t>RES SMD 4.7K OHM 1% 1/8W 0805 vishay</t>
  </si>
  <si>
    <t>T0054443599N</t>
  </si>
  <si>
    <t>TIP REPLACEMENT 0.25MM FOR WS</t>
  </si>
  <si>
    <t>T0054443599N-ND</t>
  </si>
  <si>
    <t>PJ-005A</t>
  </si>
  <si>
    <t>CUI Inc.</t>
  </si>
  <si>
    <t>Power Barrel Connector Jack 2.10mm ID (0.083"), 5.50mm OD (0.217") Panel Mount, Through Hole</t>
  </si>
  <si>
    <t>Barrel Connector</t>
  </si>
  <si>
    <t>CP-5-ND</t>
  </si>
  <si>
    <t>PIC18LF46K40-I/PT-ND</t>
  </si>
  <si>
    <t/>
  </si>
  <si>
    <t>Molex</t>
  </si>
  <si>
    <t>WM4206-ND</t>
  </si>
  <si>
    <t>0022232081</t>
  </si>
  <si>
    <t>TOOL HAND CRIMPER 14-24AWG SIDE</t>
  </si>
  <si>
    <t>WM9999-ND</t>
  </si>
  <si>
    <t>0638111000</t>
  </si>
  <si>
    <t>0008500114</t>
  </si>
  <si>
    <t>CONN 22-30AWG CRIMP TIN</t>
  </si>
  <si>
    <t>WM1114-ND</t>
  </si>
  <si>
    <t>22-23-2021</t>
  </si>
  <si>
    <t>CONN HEADER VERT 2POS 2.54MM</t>
  </si>
  <si>
    <t>WM4200-ND</t>
  </si>
  <si>
    <t>0022232031</t>
  </si>
  <si>
    <t>CONN HEADER VERT 3POS 2.54MM</t>
  </si>
  <si>
    <t>WM4201-ND</t>
  </si>
  <si>
    <t>0022232041</t>
  </si>
  <si>
    <t>CONN HEADER VERT 4POS 2.54MM</t>
  </si>
  <si>
    <t>WM4202-ND</t>
  </si>
  <si>
    <t>0022232051</t>
  </si>
  <si>
    <t>CONN HEADER VERT 5POS 2.54MM</t>
  </si>
  <si>
    <t>WM4203-ND</t>
  </si>
  <si>
    <t>0022232061</t>
  </si>
  <si>
    <t>CONN HEADER VERT 6POS 2.54MM</t>
  </si>
  <si>
    <t>WM4204-ND</t>
  </si>
  <si>
    <t>0022232071</t>
  </si>
  <si>
    <t>CONN HEADER VERT 7POS 2.54MM</t>
  </si>
  <si>
    <t>WM4205-ND</t>
  </si>
  <si>
    <t>CONN HEADER VERT 8POS 2.54MM</t>
  </si>
  <si>
    <t>0022232091</t>
  </si>
  <si>
    <t>CONN HEADER VERT 9POS 2.54MM</t>
  </si>
  <si>
    <t>WM4207-ND</t>
  </si>
  <si>
    <t>0022232101</t>
  </si>
  <si>
    <t>CONN HEADER VERT 10POS 2.54MM</t>
  </si>
  <si>
    <t>WM4208-ND</t>
  </si>
  <si>
    <t>0022232121</t>
  </si>
  <si>
    <t>CONN HEADER VERT 12POS 2.54MM</t>
  </si>
  <si>
    <t>WM4210-ND</t>
  </si>
  <si>
    <t>0022013127</t>
  </si>
  <si>
    <t>CONN HOUS 12POS .100 W/RAMP/RIB</t>
  </si>
  <si>
    <t>WM2010-ND</t>
  </si>
  <si>
    <t>22-01-3027</t>
  </si>
  <si>
    <t>CONN HOUS 2POS .100 W/RAMP/RIB</t>
  </si>
  <si>
    <t>WM2000-ND</t>
  </si>
  <si>
    <t>22-01-3037</t>
  </si>
  <si>
    <t>CONN HOUS 3POS .100 W/RAMP/RIB</t>
  </si>
  <si>
    <t>WM2001-ND</t>
  </si>
  <si>
    <t>0022013047</t>
  </si>
  <si>
    <t>CONN HOUS 4POS .100 W/RAMP/RIB</t>
  </si>
  <si>
    <t>WM2002-ND</t>
  </si>
  <si>
    <t>0022013057</t>
  </si>
  <si>
    <t>CONN HOUS 5POS .100 W/RAMP/RIB</t>
  </si>
  <si>
    <t>WM2003-ND</t>
  </si>
  <si>
    <t>0022013067</t>
  </si>
  <si>
    <t>CONN HOUS 6POS .100 W/RAMP/RIB</t>
  </si>
  <si>
    <t>WM2004-ND</t>
  </si>
  <si>
    <t>0022013077</t>
  </si>
  <si>
    <t>CONN HOUS 7POS .100 W/RAMP/RIB</t>
  </si>
  <si>
    <t>WM2005-ND</t>
  </si>
  <si>
    <t>0022013087</t>
  </si>
  <si>
    <t>CONN HOUS 8POS .100 W/RAMP/RIB</t>
  </si>
  <si>
    <t>WM2006-ND</t>
  </si>
  <si>
    <t>0022013107</t>
  </si>
  <si>
    <t>CONN HOUS 10POS .100 W/RAMP/RIB</t>
  </si>
  <si>
    <t>WM2008-ND</t>
  </si>
  <si>
    <t>0022013097</t>
  </si>
  <si>
    <t>CONN HOUS 9POS .100 W/RAMP/RIB</t>
  </si>
  <si>
    <t>WM2007-ND</t>
  </si>
  <si>
    <t>54</t>
  </si>
  <si>
    <t>Battery Contact Clip 18650 1 Cell PC Pin</t>
  </si>
  <si>
    <t>Battery Holder</t>
  </si>
  <si>
    <t>36-54-ND</t>
  </si>
  <si>
    <t>Informations</t>
  </si>
  <si>
    <t>LED 001</t>
  </si>
  <si>
    <t>250mA, 2.8R</t>
  </si>
  <si>
    <t>LED 002</t>
  </si>
  <si>
    <t>250mA, 2.6R</t>
  </si>
  <si>
    <t>LED 010</t>
  </si>
  <si>
    <t>250mA, 2.4R</t>
  </si>
  <si>
    <t>LED 011</t>
  </si>
  <si>
    <t>250mA, 2.1R</t>
  </si>
  <si>
    <t>E-LED-001</t>
  </si>
  <si>
    <t>LED LampeSolaire 001</t>
  </si>
  <si>
    <t>Extension</t>
  </si>
  <si>
    <t>E-LED-002</t>
  </si>
  <si>
    <t>LED LampeSolaire 002</t>
  </si>
  <si>
    <t>GHR-XXV-S</t>
  </si>
  <si>
    <t>Article deleted</t>
  </si>
  <si>
    <t>BMXXB-GHS-TBT(LF)(SN)(N)</t>
  </si>
  <si>
    <t>M20-7890346</t>
  </si>
  <si>
    <t>Harwin Inc.</t>
  </si>
  <si>
    <t>3 Position Receptacle Connector 0.100" (2.54mm) Through Hole, Right Angle Tin</t>
  </si>
  <si>
    <t>952-1782-ND</t>
  </si>
  <si>
    <t>D200-XXXX</t>
  </si>
  <si>
    <t>D500-XXXX</t>
  </si>
  <si>
    <t>D501-XXXX</t>
  </si>
  <si>
    <t>D600-XXXX</t>
  </si>
  <si>
    <t>Malette 144</t>
  </si>
  <si>
    <t>D0XX-XXXX</t>
  </si>
  <si>
    <t>D1XX-XXXX</t>
  </si>
  <si>
    <t>LIYV 0,50 MM² BLACK</t>
  </si>
  <si>
    <t>Toron, PVC, 0.5mm², Cuivre étamé, Noir, 100m</t>
  </si>
  <si>
    <t>155-79-877</t>
  </si>
  <si>
    <t>PDZ3.9BGWJ</t>
  </si>
  <si>
    <t>Nexperia USA Inc.</t>
  </si>
  <si>
    <t>Zener Diode 3.9V 365mW ±2% Surface Mount SOD-123</t>
  </si>
  <si>
    <t>1727-7767-1-ND</t>
  </si>
  <si>
    <t>PPTC082LFBN-RC</t>
  </si>
  <si>
    <t>16 Position Header Connector 0.100" (2.54mm) Through Hole Tin</t>
  </si>
  <si>
    <t>S7076-ND</t>
  </si>
  <si>
    <t>PEC08DAAN</t>
  </si>
  <si>
    <t>Connector Header Through Hole 16 position 0.100" (2.54mm)</t>
  </si>
  <si>
    <t>S2012E-08-ND</t>
  </si>
  <si>
    <t>Résistance à puce CMS, Céramique, 22 ohm, 0805</t>
  </si>
  <si>
    <t>Résistance à puce CMS, 100 kohm, 0805</t>
  </si>
  <si>
    <t>Résistance à puce CMS, Couche épaisse, 150 kohm, 0805</t>
  </si>
  <si>
    <t>D101-000</t>
  </si>
  <si>
    <t>D101-001</t>
  </si>
  <si>
    <t>D101-002</t>
  </si>
  <si>
    <t>D101-003</t>
  </si>
  <si>
    <t>D101-004</t>
  </si>
  <si>
    <t>D101-005</t>
  </si>
  <si>
    <t>D101-006</t>
  </si>
  <si>
    <t>D101-007</t>
  </si>
  <si>
    <t>D101-148</t>
  </si>
  <si>
    <t>D100-148</t>
  </si>
  <si>
    <t>D100-149</t>
  </si>
  <si>
    <t>Manufacturer Part Number</t>
  </si>
  <si>
    <t>PIC18LF46K40-I/PT</t>
  </si>
  <si>
    <t>4</t>
  </si>
  <si>
    <t>Order 68787981</t>
  </si>
  <si>
    <t>20</t>
  </si>
  <si>
    <t>E-PCB-003-001</t>
  </si>
  <si>
    <t>E-PCB-000-005</t>
  </si>
  <si>
    <t>PCB Lampe Solaire v6.2</t>
  </si>
  <si>
    <t>E-PCB-000-006</t>
  </si>
  <si>
    <t>PCB Lampe Solaire v7</t>
  </si>
  <si>
    <t>Lampe solaire v7</t>
  </si>
  <si>
    <t>LampeSolaire_v7</t>
  </si>
  <si>
    <t>LampeSolaire_v6 THT led used</t>
  </si>
  <si>
    <t>LampeSolaire_v6 1 more used</t>
  </si>
  <si>
    <t>LampeSolaire_v6 7 more used</t>
  </si>
  <si>
    <t>Taken from old circuit</t>
  </si>
  <si>
    <t>PCB USB Tool v4</t>
  </si>
  <si>
    <t>D001-018</t>
  </si>
  <si>
    <t>D001-037</t>
  </si>
  <si>
    <t>D001-019</t>
  </si>
  <si>
    <t>D001-051</t>
  </si>
  <si>
    <t>D001-028</t>
  </si>
  <si>
    <t>D001-020</t>
  </si>
  <si>
    <t>D001-021</t>
  </si>
  <si>
    <t>D001-022</t>
  </si>
  <si>
    <t>D001-023</t>
  </si>
  <si>
    <t>D001-029</t>
  </si>
  <si>
    <t>D001-006</t>
  </si>
  <si>
    <t>D100-136</t>
  </si>
  <si>
    <t>D100-137</t>
  </si>
  <si>
    <t>D100-138</t>
  </si>
  <si>
    <t>D100-000</t>
  </si>
  <si>
    <t>D100-001</t>
  </si>
  <si>
    <t>7</t>
  </si>
  <si>
    <t>D100-002</t>
  </si>
  <si>
    <t>D100-004</t>
  </si>
  <si>
    <t>D100-005</t>
  </si>
  <si>
    <t>D100-003</t>
  </si>
  <si>
    <t>D100-006</t>
  </si>
  <si>
    <t>D100-007</t>
  </si>
  <si>
    <t>D100-008</t>
  </si>
  <si>
    <t>D100-009</t>
  </si>
  <si>
    <t>D100-010</t>
  </si>
  <si>
    <t>D100-124</t>
  </si>
  <si>
    <t>D101-008</t>
  </si>
  <si>
    <t>D101-009</t>
  </si>
  <si>
    <t>D101-010</t>
  </si>
  <si>
    <t>D101-011</t>
  </si>
  <si>
    <t>D101-012</t>
  </si>
  <si>
    <t>D101-013</t>
  </si>
  <si>
    <t>D101-014</t>
  </si>
  <si>
    <t>D101-149</t>
  </si>
  <si>
    <t>D101-150</t>
  </si>
  <si>
    <t>D101-151</t>
  </si>
  <si>
    <t>D101-152</t>
  </si>
  <si>
    <t>D101-153</t>
  </si>
  <si>
    <t>ESR10EZPJ332</t>
  </si>
  <si>
    <t>RES SMD 3.3K OHM 5% 0.4W 0805</t>
  </si>
  <si>
    <t>C3..6,C8</t>
  </si>
  <si>
    <t>P1,P4,P7</t>
  </si>
  <si>
    <t>P5,P6,P8</t>
  </si>
  <si>
    <t>R3,R12</t>
  </si>
  <si>
    <t>ESR03EZPJ152</t>
  </si>
  <si>
    <t>RES SMD 1.5K OHM 5% 1/4W 0603</t>
  </si>
  <si>
    <t>RHM1.5KDCT-ND</t>
  </si>
  <si>
    <t>R5</t>
  </si>
  <si>
    <t>R6,R9</t>
  </si>
  <si>
    <t>ESR10EZPJ151</t>
  </si>
  <si>
    <t>ESR10EZPJ271</t>
  </si>
  <si>
    <t>RES SMD 270 OHM 5% 0.4W 0805</t>
  </si>
  <si>
    <t>RES SMD 1.5K OHM 5% 0.4W 0805</t>
  </si>
  <si>
    <t>ESR10EZPJ152</t>
  </si>
  <si>
    <t>Digi-Key Part Number</t>
  </si>
  <si>
    <t>Unit Price (CHF)</t>
  </si>
  <si>
    <t>0.10000</t>
  </si>
  <si>
    <t>ESR10EZPJ103</t>
  </si>
  <si>
    <t>RES SMD 10K OHM 5% 0.4W 0805</t>
  </si>
  <si>
    <t>Dgikey Table 2</t>
  </si>
  <si>
    <t>Datasheets</t>
  </si>
  <si>
    <t>Image</t>
  </si>
  <si>
    <t>Quantity Available</t>
  </si>
  <si>
    <t>Factory Stock</t>
  </si>
  <si>
    <t>@ qty</t>
  </si>
  <si>
    <t>Minimum Quantity</t>
  </si>
  <si>
    <t>Packaging</t>
  </si>
  <si>
    <t>Series</t>
  </si>
  <si>
    <t>Part Status</t>
  </si>
  <si>
    <t>Resistance</t>
  </si>
  <si>
    <t>Tolerance</t>
  </si>
  <si>
    <t>Power (Watts)</t>
  </si>
  <si>
    <t>Composition</t>
  </si>
  <si>
    <t>Features</t>
  </si>
  <si>
    <t>Temperature Coefficient</t>
  </si>
  <si>
    <t>Operating Temperature</t>
  </si>
  <si>
    <t>Package / Case</t>
  </si>
  <si>
    <t>Supplier Device Package</t>
  </si>
  <si>
    <t>Size / Dimension</t>
  </si>
  <si>
    <t>Height - Seated (Max)</t>
  </si>
  <si>
    <t>Number of Terminations</t>
  </si>
  <si>
    <t>Failure Rate</t>
  </si>
  <si>
    <t>https://www.rohm.com/datasheet/ESR01MZPF/esr-e</t>
  </si>
  <si>
    <t>//media.digikey.com/Renders/Rohm%20Renders/ESR01.jpg</t>
  </si>
  <si>
    <t>Cut Tape (CT)</t>
  </si>
  <si>
    <t>ESR</t>
  </si>
  <si>
    <t>Active</t>
  </si>
  <si>
    <t>1,8 kOhms</t>
  </si>
  <si>
    <t>±5%</t>
  </si>
  <si>
    <t>Thick Film</t>
  </si>
  <si>
    <t>Automotive AEC-Q200, Pulse Withstanding</t>
  </si>
  <si>
    <t>±200ppm/°C</t>
  </si>
  <si>
    <t>-55°C ~ 155°C</t>
  </si>
  <si>
    <t>220 Ohms</t>
  </si>
  <si>
    <t>10 kOhms</t>
  </si>
  <si>
    <t>2,2 kOhms</t>
  </si>
  <si>
    <t>10 Ohms</t>
  </si>
  <si>
    <t>51 Ohms</t>
  </si>
  <si>
    <t>4,7 Ohms</t>
  </si>
  <si>
    <t>1 kOhms</t>
  </si>
  <si>
    <t>100 Ohms</t>
  </si>
  <si>
    <t>12 Ohms</t>
  </si>
  <si>
    <t>270 Ohms</t>
  </si>
  <si>
    <t>2,2 Ohms</t>
  </si>
  <si>
    <t>120 Ohms</t>
  </si>
  <si>
    <t>510 Ohms</t>
  </si>
  <si>
    <t>5,1 Ohms</t>
  </si>
  <si>
    <t>150 Ohms</t>
  </si>
  <si>
    <t>1,5 Ohms</t>
  </si>
  <si>
    <t>27 Ohms</t>
  </si>
  <si>
    <t>33 Ohms</t>
  </si>
  <si>
    <t>430 Ohms</t>
  </si>
  <si>
    <t>22 Ohms</t>
  </si>
  <si>
    <t>2,4 kOhms</t>
  </si>
  <si>
    <t>4,7 kOhms</t>
  </si>
  <si>
    <t>1,2 kOhms</t>
  </si>
  <si>
    <t>1 Ohms</t>
  </si>
  <si>
    <t>200 Ohms</t>
  </si>
  <si>
    <t>2,7 kOhms</t>
  </si>
  <si>
    <t>47 kOhms</t>
  </si>
  <si>
    <t>5,1 kOhms</t>
  </si>
  <si>
    <t>24 kOhms</t>
  </si>
  <si>
    <t>1,8 Ohms</t>
  </si>
  <si>
    <t>12 kOhms</t>
  </si>
  <si>
    <t>27 kOhms</t>
  </si>
  <si>
    <t>7,5 kOhms</t>
  </si>
  <si>
    <t>360 Ohms</t>
  </si>
  <si>
    <t>2,7 Ohms</t>
  </si>
  <si>
    <t>680 Ohms</t>
  </si>
  <si>
    <t>20 kOhms</t>
  </si>
  <si>
    <t>82 Ohms</t>
  </si>
  <si>
    <t>3,6 kOhms</t>
  </si>
  <si>
    <t>20 Ohms</t>
  </si>
  <si>
    <t>13 kOhms</t>
  </si>
  <si>
    <t>750 Ohms</t>
  </si>
  <si>
    <t>470 Ohms</t>
  </si>
  <si>
    <t>2 kOhms</t>
  </si>
  <si>
    <t>56 Ohms</t>
  </si>
  <si>
    <t>560 Ohms</t>
  </si>
  <si>
    <t>24 Ohms</t>
  </si>
  <si>
    <t>100 kOhms</t>
  </si>
  <si>
    <t>1,5 kOhms</t>
  </si>
  <si>
    <t>240 Ohms</t>
  </si>
  <si>
    <t>3 kOhms</t>
  </si>
  <si>
    <t>3,9 kOhms</t>
  </si>
  <si>
    <t>3,3 Ohms</t>
  </si>
  <si>
    <t>47 Ohms</t>
  </si>
  <si>
    <t>68 Ohms</t>
  </si>
  <si>
    <t>1 MOhms</t>
  </si>
  <si>
    <t>10 MOhms</t>
  </si>
  <si>
    <t>11 Ohms</t>
  </si>
  <si>
    <t>130 Ohms</t>
  </si>
  <si>
    <t>1,5 MOhms</t>
  </si>
  <si>
    <t>16 Ohms</t>
  </si>
  <si>
    <t>1,6 kOhms</t>
  </si>
  <si>
    <t>220 kOhms</t>
  </si>
  <si>
    <t>300 Ohms</t>
  </si>
  <si>
    <t>33 kOhms</t>
  </si>
  <si>
    <t>39 Ohms</t>
  </si>
  <si>
    <t>39 kOhms</t>
  </si>
  <si>
    <t>4,3 kOhms</t>
  </si>
  <si>
    <t>5,6 kOhms</t>
  </si>
  <si>
    <t>62 Ohms</t>
  </si>
  <si>
    <t>6,2 Ohms</t>
  </si>
  <si>
    <t>6,8 Ohms</t>
  </si>
  <si>
    <t>75 Ohms</t>
  </si>
  <si>
    <t>9,1 kOhms</t>
  </si>
  <si>
    <t>91 kOhms</t>
  </si>
  <si>
    <t>4,3 Ohms</t>
  </si>
  <si>
    <t>620 Ohms</t>
  </si>
  <si>
    <t>680 kOhms</t>
  </si>
  <si>
    <t>1,1 kOhms</t>
  </si>
  <si>
    <t>2,4 Ohms</t>
  </si>
  <si>
    <t>43 Ohms</t>
  </si>
  <si>
    <t>560 kOhms</t>
  </si>
  <si>
    <t>180 kOhms</t>
  </si>
  <si>
    <t>1,8 MOhms</t>
  </si>
  <si>
    <t>2,2 MOhms</t>
  </si>
  <si>
    <t>3 MOhms</t>
  </si>
  <si>
    <t>5,1 MOhms</t>
  </si>
  <si>
    <t>7,5 MOhms</t>
  </si>
  <si>
    <t>8,2 MOhms</t>
  </si>
  <si>
    <t>1,1 MOhms</t>
  </si>
  <si>
    <t>2 MOhms</t>
  </si>
  <si>
    <t>82 kOhms</t>
  </si>
  <si>
    <t>110 Ohms</t>
  </si>
  <si>
    <t>200 kOhms</t>
  </si>
  <si>
    <t>3,6 Ohms</t>
  </si>
  <si>
    <t>3,3 kOhms</t>
  </si>
  <si>
    <t>8,2 kOhms</t>
  </si>
  <si>
    <t>3 Ohms</t>
  </si>
  <si>
    <t>820 Ohms</t>
  </si>
  <si>
    <t>18 kOhms</t>
  </si>
  <si>
    <t>18 Ohms</t>
  </si>
  <si>
    <t>36 Ohms</t>
  </si>
  <si>
    <t>36 kOhms</t>
  </si>
  <si>
    <t>6,8 MOhms</t>
  </si>
  <si>
    <t>1,2 Ohms</t>
  </si>
  <si>
    <t>8,2 Ohms</t>
  </si>
  <si>
    <t>15 Ohms</t>
  </si>
  <si>
    <t>3,9 Ohms</t>
  </si>
  <si>
    <t>2 Ohms</t>
  </si>
  <si>
    <t>68 kOhms</t>
  </si>
  <si>
    <t>15 kOhms</t>
  </si>
  <si>
    <t>30 kOhms</t>
  </si>
  <si>
    <t>7,5 Ohms</t>
  </si>
  <si>
    <t>30 Ohms</t>
  </si>
  <si>
    <t>150 kOhms</t>
  </si>
  <si>
    <t>4,7 MOhms</t>
  </si>
  <si>
    <t>56 kOhms</t>
  </si>
  <si>
    <t>6,2 kOhms</t>
  </si>
  <si>
    <t>22 kOhms</t>
  </si>
  <si>
    <t>430 kOhms</t>
  </si>
  <si>
    <t>910 Ohms</t>
  </si>
  <si>
    <t>300 kOhms</t>
  </si>
  <si>
    <t>180 Ohms</t>
  </si>
  <si>
    <t>120 kOhms</t>
  </si>
  <si>
    <t>3,3 MOhms</t>
  </si>
  <si>
    <t>470 kOhms</t>
  </si>
  <si>
    <t>330 kOhms</t>
  </si>
  <si>
    <t>91 Ohms</t>
  </si>
  <si>
    <t>9,1 Ohms</t>
  </si>
  <si>
    <t>5,6 Ohms</t>
  </si>
  <si>
    <t>1,1 Ohms</t>
  </si>
  <si>
    <t>390 Ohms</t>
  </si>
  <si>
    <t>510 kOhms</t>
  </si>
  <si>
    <t>330 Ohms</t>
  </si>
  <si>
    <t>16 kOhms</t>
  </si>
  <si>
    <t>160 Ohms</t>
  </si>
  <si>
    <t>13 Ohms</t>
  </si>
  <si>
    <t>75 kOhms</t>
  </si>
  <si>
    <t>R8,R16</t>
  </si>
  <si>
    <t>R17,R18</t>
  </si>
  <si>
    <t>U8</t>
  </si>
  <si>
    <t>V2</t>
  </si>
  <si>
    <t>W3..5,X1,X2,X4,X6</t>
  </si>
  <si>
    <t>D200-000</t>
  </si>
  <si>
    <t>D200-005</t>
  </si>
  <si>
    <t>D200-001</t>
  </si>
  <si>
    <t>TE Connectivity AMP Connectors</t>
  </si>
  <si>
    <t>2 (1 x 2) Position Shunt Connector Green Open Top 0.100" (2.54mm) Gold</t>
  </si>
  <si>
    <t>A106373-ND</t>
  </si>
  <si>
    <t>D200-006</t>
  </si>
  <si>
    <t>47</t>
  </si>
  <si>
    <t>D200-007</t>
  </si>
  <si>
    <t>D200-025</t>
  </si>
  <si>
    <t>D200-020</t>
  </si>
  <si>
    <t>D200-026</t>
  </si>
  <si>
    <t>D200-010</t>
  </si>
  <si>
    <t>D200-011</t>
  </si>
  <si>
    <t>D200-021</t>
  </si>
  <si>
    <t>D200-015</t>
  </si>
  <si>
    <t>D200-016</t>
  </si>
  <si>
    <t>D200-017</t>
  </si>
  <si>
    <t>D200-018</t>
  </si>
  <si>
    <t>1.305</t>
  </si>
  <si>
    <t>D200-008</t>
  </si>
  <si>
    <t>D200-009</t>
  </si>
  <si>
    <t>Power plug</t>
  </si>
  <si>
    <t>Bauhaus</t>
  </si>
  <si>
    <t>Fiche mâle F12</t>
  </si>
  <si>
    <t>14 9600</t>
  </si>
  <si>
    <t>D200-014</t>
  </si>
  <si>
    <t>D200-024</t>
  </si>
  <si>
    <t>D200-004</t>
  </si>
  <si>
    <t>534-54</t>
  </si>
  <si>
    <t>755-ESR10EZPJ332</t>
  </si>
  <si>
    <t>710-885012207078</t>
  </si>
  <si>
    <t>649-93992-436HLF</t>
  </si>
  <si>
    <t>863-NCP114ASN330T1G</t>
  </si>
  <si>
    <t>710-150060VS75000</t>
  </si>
  <si>
    <t>78-TLMS1000</t>
  </si>
  <si>
    <t>755-ESR03EZPF1002</t>
  </si>
  <si>
    <t>755-ESR03EZPF1003</t>
  </si>
  <si>
    <t>755-ESR03EZPJ151</t>
  </si>
  <si>
    <t>755-ESR03EZPJ181</t>
  </si>
  <si>
    <t>755-ESR10EZPJ102</t>
  </si>
  <si>
    <t>755-ESR10EZPJ103</t>
  </si>
  <si>
    <t>755-ESR10EZPJ152</t>
  </si>
  <si>
    <t>710-885012107018</t>
  </si>
  <si>
    <t>755-ESR10EZPJ271</t>
  </si>
  <si>
    <t>569-FP300</t>
  </si>
  <si>
    <t>579-RN4871IRM130</t>
  </si>
  <si>
    <t>WS102N</t>
  </si>
  <si>
    <t>ASSY BARREL NUT FOR WSP80</t>
  </si>
  <si>
    <t>WS102N-ND</t>
  </si>
  <si>
    <t>150060RS75000</t>
  </si>
  <si>
    <t>Red 625nm LED Indication - Discrete 2V 0603 (1608 Metric)</t>
  </si>
  <si>
    <t>732-4978-1-ND</t>
  </si>
  <si>
    <t>150060YS75000</t>
  </si>
  <si>
    <t>Yellow 590nm LED Indication - Discrete 2V 0603 (1608 Metric)</t>
  </si>
  <si>
    <t>732-4981-1-ND</t>
  </si>
  <si>
    <t>150060BS75000</t>
  </si>
  <si>
    <t>Blue 470nm LED Indication - Discrete 3.2V 0603 (1608 Metric)</t>
  </si>
  <si>
    <t>732-4966-1-ND</t>
  </si>
  <si>
    <t>4.7µF ±10% 25V Ceramic Capacitor X7R 1206 (3216 Metric)</t>
  </si>
  <si>
    <t>710-150060RS75000</t>
  </si>
  <si>
    <t>710-150060YS75000</t>
  </si>
  <si>
    <t>710-150060BS75000</t>
  </si>
  <si>
    <t>710-150141M173100</t>
  </si>
  <si>
    <t>594-MFU1206FF00630P1</t>
  </si>
  <si>
    <t>530-0679H0250-01</t>
  </si>
  <si>
    <t>578-WS102</t>
  </si>
  <si>
    <t>578-XHT412</t>
  </si>
  <si>
    <t>Pliers &amp; Tweezers Xcelite 4.5" Tweezer Cross Lck Self Close</t>
  </si>
  <si>
    <t>XHT412N</t>
  </si>
  <si>
    <t>0.25W, 1/4W</t>
  </si>
  <si>
    <t>0603 (1608 Metric)</t>
  </si>
  <si>
    <t>0.063" L x 0.031" W (1.60mm x 0.80mm)</t>
  </si>
  <si>
    <t>0.022" (0.55mm)</t>
  </si>
  <si>
    <t>RHM100DCT-ND</t>
  </si>
  <si>
    <t>ESR03EZPJ101</t>
  </si>
  <si>
    <t>RES SMD 100 OHM 5% 1/4W 0603</t>
  </si>
  <si>
    <t>RHM10DCT-ND</t>
  </si>
  <si>
    <t>ESR03EZPJ100</t>
  </si>
  <si>
    <t>RES SMD 10 OHM 5% 1/4W 0603</t>
  </si>
  <si>
    <t>RHM33DCT-ND</t>
  </si>
  <si>
    <t>ESR03EZPJ330</t>
  </si>
  <si>
    <t>RES SMD 33 OHM 5% 1/4W 0603</t>
  </si>
  <si>
    <t>RHM22DCT-ND</t>
  </si>
  <si>
    <t>ESR03EZPJ220</t>
  </si>
  <si>
    <t>RES SMD 22 OHM 5% 1/4W 0603</t>
  </si>
  <si>
    <t>RHM47DCT-ND</t>
  </si>
  <si>
    <t>ESR03EZPJ470</t>
  </si>
  <si>
    <t>RES SMD 47 OHM 5% 1/4W 0603</t>
  </si>
  <si>
    <t>RHM200DCT-ND</t>
  </si>
  <si>
    <t>ESR03EZPJ201</t>
  </si>
  <si>
    <t>RES SMD 200 OHM 5% 1/4W 0603</t>
  </si>
  <si>
    <t>RHM2.2DCT-ND</t>
  </si>
  <si>
    <t>ESR03EZPJ2R2</t>
  </si>
  <si>
    <t>RES SMD 2.2 OHM 5% 1/4W 0603</t>
  </si>
  <si>
    <t>RHM240DCT-ND</t>
  </si>
  <si>
    <t>ESR03EZPJ241</t>
  </si>
  <si>
    <t>RES SMD 240 OHM 5% 1/4W 0603</t>
  </si>
  <si>
    <t>RHM3.3KDCT-ND</t>
  </si>
  <si>
    <t>ESR03EZPJ332</t>
  </si>
  <si>
    <t>RES SMD 3.3K OHM 5% 1/4W 0603</t>
  </si>
  <si>
    <t>RHM62DCT-ND</t>
  </si>
  <si>
    <t>ESR03EZPJ620</t>
  </si>
  <si>
    <t>RES SMD 62 OHM 5% 1/4W 0603</t>
  </si>
  <si>
    <t>RHM1DCT-ND</t>
  </si>
  <si>
    <t>ESR03EZPJ1R0</t>
  </si>
  <si>
    <t>RES SMD 1 OHM 5% 1/4W 0603</t>
  </si>
  <si>
    <t>RHM4.7DCT-ND</t>
  </si>
  <si>
    <t>ESR03EZPJ4R7</t>
  </si>
  <si>
    <t>RES SMD 4.7 OHM 5% 1/4W 0603</t>
  </si>
  <si>
    <t>RHM18DCT-ND</t>
  </si>
  <si>
    <t>ESR03EZPJ180</t>
  </si>
  <si>
    <t>RES SMD 18 OHM 5% 1/4W 0603</t>
  </si>
  <si>
    <t>RHM51DCT-ND</t>
  </si>
  <si>
    <t>ESR03EZPJ510</t>
  </si>
  <si>
    <t>RES SMD 51 OHM 5% 1/4W 0603</t>
  </si>
  <si>
    <t>RHM39DCT-ND</t>
  </si>
  <si>
    <t>ESR03EZPJ390</t>
  </si>
  <si>
    <t>RES SMD 39 OHM 5% 1/4W 0603</t>
  </si>
  <si>
    <t>RHM130DCT-ND</t>
  </si>
  <si>
    <t>ESR03EZPJ131</t>
  </si>
  <si>
    <t>RES SMD 130 OHM 5% 1/4W 0603</t>
  </si>
  <si>
    <t>RHM390DCT-ND</t>
  </si>
  <si>
    <t>ESR03EZPJ391</t>
  </si>
  <si>
    <t>RES SMD 390 OHM 5% 1/4W 0603</t>
  </si>
  <si>
    <t>RHM303DCT-ND</t>
  </si>
  <si>
    <t>ESR03EZPJ3R3</t>
  </si>
  <si>
    <t>RES SMD 3.3 OHM 5% 1/4W 0603</t>
  </si>
  <si>
    <t>RHM5.1DCT-ND</t>
  </si>
  <si>
    <t>ESR03EZPJ5R1</t>
  </si>
  <si>
    <t>RES SMD 5.1 OHM 5% 1/4W 0603</t>
  </si>
  <si>
    <t>RHM2.0KDCT-ND</t>
  </si>
  <si>
    <t>ESR03EZPJ202</t>
  </si>
  <si>
    <t>RES SMD 2K OHM 5% 1/4W 0603</t>
  </si>
  <si>
    <t>RHM680DCT-ND</t>
  </si>
  <si>
    <t>ESR03EZPJ681</t>
  </si>
  <si>
    <t>RES SMD 680 OHM 5% 1/4W 0603</t>
  </si>
  <si>
    <t>RHM750DCT-ND</t>
  </si>
  <si>
    <t>ESR03EZPJ751</t>
  </si>
  <si>
    <t>RES SMD 750 OHM 5% 1/4W 0603</t>
  </si>
  <si>
    <t>RHM27DCT-ND</t>
  </si>
  <si>
    <t>ESR03EZPJ270</t>
  </si>
  <si>
    <t>RES SMD 27 OHM 5% 1/4W 0603</t>
  </si>
  <si>
    <t>RHM30DCT-ND</t>
  </si>
  <si>
    <t>ESR03EZPJ300</t>
  </si>
  <si>
    <t>RES SMD 30 OHM 5% 1/4W 0603</t>
  </si>
  <si>
    <t>RHM6.8KDCT-ND</t>
  </si>
  <si>
    <t>ESR03EZPJ682</t>
  </si>
  <si>
    <t>RES SMD 6.8K OHM 5% 1/4W 0603</t>
  </si>
  <si>
    <t>6,8 kOhms</t>
  </si>
  <si>
    <t>RHM390KDCT-ND</t>
  </si>
  <si>
    <t>ESR03EZPJ394</t>
  </si>
  <si>
    <t>RES SMD 390K OHM 5% 1/4W 0603</t>
  </si>
  <si>
    <t>390 kOhms</t>
  </si>
  <si>
    <t>RHM12DCT-ND</t>
  </si>
  <si>
    <t>ESR03EZPJ120</t>
  </si>
  <si>
    <t>RES SMD 12 OHM 5% 1/4W 0603</t>
  </si>
  <si>
    <t>RHM18KDCT-ND</t>
  </si>
  <si>
    <t>ESR03EZPJ183</t>
  </si>
  <si>
    <t>RES SMD 18K OHM 5% 1/4W 0603</t>
  </si>
  <si>
    <t>RHM470DCT-ND</t>
  </si>
  <si>
    <t>ESR03EZPJ471</t>
  </si>
  <si>
    <t>RES SMD 470 OHM 5% 1/4W 0603</t>
  </si>
  <si>
    <t>RHM1.2KDCT-ND</t>
  </si>
  <si>
    <t>ESR03EZPJ122</t>
  </si>
  <si>
    <t>RES SMD 1.2K OHM 5% 1/4W 0603</t>
  </si>
  <si>
    <t>RHM2DCT-ND</t>
  </si>
  <si>
    <t>ESR03EZPJ2R0</t>
  </si>
  <si>
    <t>RES SMD 2 OHM 5% 1/4W 0603</t>
  </si>
  <si>
    <t>RHM510DCT-ND</t>
  </si>
  <si>
    <t>ESR03EZPJ511</t>
  </si>
  <si>
    <t>RES SMD 510 OHM 5% 1/4W 0603</t>
  </si>
  <si>
    <t>RHM56DCT-ND</t>
  </si>
  <si>
    <t>ESR03EZPJ560</t>
  </si>
  <si>
    <t>RES SMD 56 OHM 5% 1/4W 0603</t>
  </si>
  <si>
    <t>RHM3DCT-ND</t>
  </si>
  <si>
    <t>ESR03EZPJ3R0</t>
  </si>
  <si>
    <t>RES SMD 3 OHM 5% 1/4W 0603</t>
  </si>
  <si>
    <t>RHM11DCT-ND</t>
  </si>
  <si>
    <t>ESR03EZPJ110</t>
  </si>
  <si>
    <t>RES SMD 11 OHM 5% 1/4W 0603</t>
  </si>
  <si>
    <t>RHM100KDCT-ND</t>
  </si>
  <si>
    <t>ESR03EZPJ104</t>
  </si>
  <si>
    <t>RES SMD 100K OHM 5% 1/4W 0603</t>
  </si>
  <si>
    <t>RHM22KDCT-ND</t>
  </si>
  <si>
    <t>ESR03EZPJ223</t>
  </si>
  <si>
    <t>RES SMD 22K OHM 5% 1/4W 0603</t>
  </si>
  <si>
    <t>RHM300DCT-ND</t>
  </si>
  <si>
    <t>ESR03EZPJ301</t>
  </si>
  <si>
    <t>RES SMD 300 OHM 5% 1/4W 0603</t>
  </si>
  <si>
    <t>RHM5.1KDCT-ND</t>
  </si>
  <si>
    <t>ESR03EZPJ512</t>
  </si>
  <si>
    <t>RES SMD 5.1K OHM 5% 1/4W 0603</t>
  </si>
  <si>
    <t>RHM10MDCT-ND</t>
  </si>
  <si>
    <t>ESR03EZPJ106</t>
  </si>
  <si>
    <t>RES SMD 10M OHM 5% 1/4W 0603</t>
  </si>
  <si>
    <t>RHM15DCT-ND</t>
  </si>
  <si>
    <t>ESR03EZPJ150</t>
  </si>
  <si>
    <t>RES SMD 15 OHM 5% 1/4W 0603</t>
  </si>
  <si>
    <t>RHM15KDCT-ND</t>
  </si>
  <si>
    <t>ESR03EZPJ153</t>
  </si>
  <si>
    <t>RES SMD 15K OHM 5% 1/4W 0603</t>
  </si>
  <si>
    <t>RHM220DCT-ND</t>
  </si>
  <si>
    <t>ESR03EZPJ221</t>
  </si>
  <si>
    <t>RES SMD 220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</si>
  <si>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</si>
  <si>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</si>
  <si>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</si>
  <si>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</si>
  <si>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</si>
  <si>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</si>
  <si>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RHM20KDCT-ND</t>
  </si>
  <si>
    <t>ESR03EZPJ203</t>
  </si>
  <si>
    <t>RES SMD 20K OHM 5% 1/4W 0603</t>
  </si>
  <si>
    <t>RHM2.7KDCT-ND</t>
  </si>
  <si>
    <t>ESR03EZPJ272</t>
  </si>
  <si>
    <t>RES SMD 2.7K OHM 5% 1/4W 0603</t>
  </si>
  <si>
    <t>RHM51KDCT-ND</t>
  </si>
  <si>
    <t>ESR03EZPJ513</t>
  </si>
  <si>
    <t>RES SMD 51K OHM 5% 1/4W 0603</t>
  </si>
  <si>
    <t>51 kOhms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</si>
  <si>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</si>
  <si>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</si>
  <si>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</si>
  <si>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</si>
  <si>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</si>
  <si>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</si>
  <si>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</si>
  <si>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</si>
  <si>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</si>
  <si>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RHM7.5KDCT-ND</t>
  </si>
  <si>
    <t>ESR03EZPJ752</t>
  </si>
  <si>
    <t>RES SMD 7.5K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</si>
  <si>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</si>
  <si>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</si>
  <si>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</si>
  <si>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</si>
  <si>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</si>
  <si>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</si>
  <si>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RHM8.2DCT-ND</t>
  </si>
  <si>
    <t>ESR03EZPJ8R2</t>
  </si>
  <si>
    <t>RES SMD 8.2 OHM 5% 1/4W 0603</t>
  </si>
  <si>
    <t>RHM910DCT-ND</t>
  </si>
  <si>
    <t>ESR03EZPJ911</t>
  </si>
  <si>
    <t>RES SMD 910 OHM 5% 1/4W 0603</t>
  </si>
  <si>
    <t>RHM2.2MDCT-ND</t>
  </si>
  <si>
    <t>ESR03EZPJ225</t>
  </si>
  <si>
    <t>RES SMD 2.2M OHM 5% 1/4W 0603</t>
  </si>
  <si>
    <t>RHM3.9KDCT-ND</t>
  </si>
  <si>
    <t>ESR03EZPJ392</t>
  </si>
  <si>
    <t>RES SMD 3.9K OHM 5% 1/4W 0603</t>
  </si>
  <si>
    <t>RHM11KDCT-ND</t>
  </si>
  <si>
    <t>ESR03EZPJ113</t>
  </si>
  <si>
    <t>RES SMD 11K OHM 5% 1/4W 0603</t>
  </si>
  <si>
    <t>11 kOhms</t>
  </si>
  <si>
    <t>RHM1.3KDCT-ND</t>
  </si>
  <si>
    <t>ESR03EZPJ132</t>
  </si>
  <si>
    <t>RES SMD 1.3K OHM 5% 1/4W 0603</t>
  </si>
  <si>
    <t>1,3 kOhms</t>
  </si>
  <si>
    <t>RHM16KDCT-ND</t>
  </si>
  <si>
    <t>ESR03EZPJ163</t>
  </si>
  <si>
    <t>RES SMD 16K OHM 5% 1/4W 0603</t>
  </si>
  <si>
    <t>RHM1.6MDCT-ND</t>
  </si>
  <si>
    <t>ESR03EZPJ165</t>
  </si>
  <si>
    <t>RES SMD 1.6M OHM 5% 1/4W 0603</t>
  </si>
  <si>
    <t>1,6 MOhms</t>
  </si>
  <si>
    <t>RHM1.2DCT-ND</t>
  </si>
  <si>
    <t>ESR03EZPJ1R2</t>
  </si>
  <si>
    <t>RES SMD 1.2 OHM 5% 1/4W 0603</t>
  </si>
  <si>
    <t>RHM1.3DCT-ND</t>
  </si>
  <si>
    <t>ESR03EZPJ1R3</t>
  </si>
  <si>
    <t>RES SMD 1.3 OHM 5% 1/4W 0603</t>
  </si>
  <si>
    <t>1,3 Ohms</t>
  </si>
  <si>
    <t>RHM1.5DCT-ND</t>
  </si>
  <si>
    <t>ESR03EZPJ1R5</t>
  </si>
  <si>
    <t>RES SMD 1.5 OHM 5% 1/4W 0603</t>
  </si>
  <si>
    <t>RHM220KDCT-ND</t>
  </si>
  <si>
    <t>ESR03EZPJ224</t>
  </si>
  <si>
    <t>RES SMD 220K OHM 5% 1/4W 0603</t>
  </si>
  <si>
    <t>RHM24KDCT-ND</t>
  </si>
  <si>
    <t>ESR03EZPJ243</t>
  </si>
  <si>
    <t>RES SMD 24K OHM 5% 1/4W 0603</t>
  </si>
  <si>
    <t>RHM2.4MDCT-ND</t>
  </si>
  <si>
    <t>ESR03EZPJ245</t>
  </si>
  <si>
    <t>RES SMD 2.4M OHM 5% 1/4W 0603</t>
  </si>
  <si>
    <t>2,4 MOhms</t>
  </si>
  <si>
    <t>RHM330KDCT-ND</t>
  </si>
  <si>
    <t>ESR03EZPJ334</t>
  </si>
  <si>
    <t>RES SMD 330K OHM 5% 1/4W 0603</t>
  </si>
  <si>
    <t>RHM3.3MDCT-ND</t>
  </si>
  <si>
    <t>ESR03EZPJ335</t>
  </si>
  <si>
    <t>RES SMD 3.3M OHM 5% 1/4W 0603</t>
  </si>
  <si>
    <t>RHM4.3KDCT-ND</t>
  </si>
  <si>
    <t>ESR03EZPJ432</t>
  </si>
  <si>
    <t>RES SMD 4.3K OHM 5% 1/4W 0603</t>
  </si>
  <si>
    <t>RHM43KDCT-ND</t>
  </si>
  <si>
    <t>ESR03EZPJ433</t>
  </si>
  <si>
    <t>RES SMD 43K OHM 5% 1/4W 0603</t>
  </si>
  <si>
    <t>43 kOhms</t>
  </si>
  <si>
    <t>RHM510KDCT-ND</t>
  </si>
  <si>
    <t>ESR03EZPJ514</t>
  </si>
  <si>
    <t>RES SMD 510K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</si>
  <si>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</si>
  <si>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</si>
  <si>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</si>
  <si>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</si>
  <si>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</si>
  <si>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</si>
  <si>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</si>
  <si>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</si>
  <si>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</si>
  <si>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62 kOhms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</si>
  <si>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</si>
  <si>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</si>
  <si>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</si>
  <si>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</si>
  <si>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</si>
  <si>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</si>
  <si>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RHM8.2KDCT-ND</t>
  </si>
  <si>
    <t>ESR03EZPJ822</t>
  </si>
  <si>
    <t>RES SMD 8.2K OHM 5% 1/4W 0603</t>
  </si>
  <si>
    <t>RHM9.1DCT-ND</t>
  </si>
  <si>
    <t>ESR03EZPJ9R1</t>
  </si>
  <si>
    <t>RES SMD 9.1 OHM 5% 1/4W 0603</t>
  </si>
  <si>
    <t>RHM1.1MDCT-ND</t>
  </si>
  <si>
    <t>ESR03EZPJ115</t>
  </si>
  <si>
    <t>RES SMD 1.1M OHM 5% 1/4W 0603</t>
  </si>
  <si>
    <t>RHM1.2MDCT-ND</t>
  </si>
  <si>
    <t>ESR03EZPJ125</t>
  </si>
  <si>
    <t>RES SMD 1.2M OHM 5% 1/4W 0603</t>
  </si>
  <si>
    <t>1,2 MOhms</t>
  </si>
  <si>
    <t>RHM130KDCT-ND</t>
  </si>
  <si>
    <t>ESR03EZPJ134</t>
  </si>
  <si>
    <t>RES SMD 130K OHM 5% 1/4W 0603</t>
  </si>
  <si>
    <t>130 kOhms</t>
  </si>
  <si>
    <t>RHM1.3MDCT-ND</t>
  </si>
  <si>
    <t>ESR03EZPJ135</t>
  </si>
  <si>
    <t>RES SMD 1.3M OHM 5% 1/4W 0603</t>
  </si>
  <si>
    <t>1,3 MOhms</t>
  </si>
  <si>
    <t>RHM1.8MDCT-ND</t>
  </si>
  <si>
    <t>ESR03EZPJ185</t>
  </si>
  <si>
    <t>RES SMD 1.8M OHM 5% 1/4W 0603</t>
  </si>
  <si>
    <t>RHM1.1DCT-ND</t>
  </si>
  <si>
    <t>ESR03EZPJ1R1</t>
  </si>
  <si>
    <t>RES SMD 1.1 OHM 5% 1/4W 0603</t>
  </si>
  <si>
    <t>RHM3MDCT-ND</t>
  </si>
  <si>
    <t>ESR03EZPJ305</t>
  </si>
  <si>
    <t>RES SMD 3M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</si>
  <si>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</si>
  <si>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</si>
  <si>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</si>
  <si>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</si>
  <si>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</si>
  <si>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</si>
  <si>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3,6 MOhms</t>
  </si>
  <si>
    <t>RHM3.9MDCT-ND</t>
  </si>
  <si>
    <t>ESR03EZPJ395</t>
  </si>
  <si>
    <t>RES SMD 3.9M OHM 5% 1/4W 0603</t>
  </si>
  <si>
    <t>3,9 MOhms</t>
  </si>
  <si>
    <t>RHM5.1MDCT-ND</t>
  </si>
  <si>
    <t>ESR03EZPJ515</t>
  </si>
  <si>
    <t>RES SMD 5.1M OHM 5% 1/4W 0603</t>
  </si>
  <si>
    <t>RHM75KDCT-ND</t>
  </si>
  <si>
    <t>ESR03EZPJ753</t>
  </si>
  <si>
    <t>RES SMD 75K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</si>
  <si>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</si>
  <si>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</si>
  <si>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</si>
  <si>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</si>
  <si>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</si>
  <si>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</si>
  <si>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820 kOhms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</si>
  <si>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</si>
  <si>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</si>
  <si>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</si>
  <si>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</si>
  <si>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</si>
  <si>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</si>
  <si>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9,1 MOhms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</si>
  <si>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</si>
  <si>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</si>
  <si>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</si>
  <si>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</si>
  <si>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</si>
  <si>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</si>
  <si>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</si>
  <si>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</si>
  <si>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</si>
  <si>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910 kOhms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</si>
  <si>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</si>
  <si>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</si>
  <si>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</si>
  <si>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</si>
  <si>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</si>
  <si>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</si>
  <si>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RHM1.6DCT-ND</t>
  </si>
  <si>
    <t>ESR03EZPJ1R6</t>
  </si>
  <si>
    <t>RES SMD 1.6 OHM 5% 1/4W 0603</t>
  </si>
  <si>
    <t>1,6 Ohms</t>
  </si>
  <si>
    <t>RHM1.1KDCT-ND</t>
  </si>
  <si>
    <t>ESR03EZPJ112</t>
  </si>
  <si>
    <t>RES SMD 1.1K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</si>
  <si>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</si>
  <si>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</si>
  <si>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</si>
  <si>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</si>
  <si>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</si>
  <si>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</si>
  <si>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RHM1.6KDCT-ND</t>
  </si>
  <si>
    <t>ESR03EZPJ162</t>
  </si>
  <si>
    <t>RES SMD 1.6K OHM 5% 1/4W 0603</t>
  </si>
  <si>
    <t>RHM3KDCT-ND</t>
  </si>
  <si>
    <t>ESR03EZPJ302</t>
  </si>
  <si>
    <t>RES SMD 3K OHM 5% 1/4W 0603</t>
  </si>
  <si>
    <t>RHM91KDCT-ND</t>
  </si>
  <si>
    <t>ESR03EZPJ913</t>
  </si>
  <si>
    <t>RES SMD 91K OHM 5% 1/4W 0603</t>
  </si>
  <si>
    <t>RHM180KDCT-ND</t>
  </si>
  <si>
    <t>ESR03EZPJ184</t>
  </si>
  <si>
    <t>RES SMD 180K OHM 5% 1/4W 0603</t>
  </si>
  <si>
    <t>RHM5.6KDCT-ND</t>
  </si>
  <si>
    <t>ESR03EZPJ562</t>
  </si>
  <si>
    <t>RES SMD 5.6K OHM 5% 1/4W 0603</t>
  </si>
  <si>
    <t>RHM470KDCT-ND</t>
  </si>
  <si>
    <t>ESR03EZPJ474</t>
  </si>
  <si>
    <t>RES SMD 470K OHM 5% 1/4W 0603</t>
  </si>
  <si>
    <t>RHM9.1KDCT-ND</t>
  </si>
  <si>
    <t>ESR03EZPJ912</t>
  </si>
  <si>
    <t>RES SMD 9.1K OHM 5% 1/4W 0603</t>
  </si>
  <si>
    <t>RHM360DCT-ND</t>
  </si>
  <si>
    <t>ESR03EZPJ361</t>
  </si>
  <si>
    <t>RES SMD 360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</si>
  <si>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</si>
  <si>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</si>
  <si>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</si>
  <si>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</si>
  <si>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</si>
  <si>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</si>
  <si>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RHM39KDCT-ND</t>
  </si>
  <si>
    <t>ESR03EZPJ393</t>
  </si>
  <si>
    <t>RES SMD 39K OHM 5% 1/4W 0603</t>
  </si>
  <si>
    <t>RHM6.8MDCT-ND</t>
  </si>
  <si>
    <t>ESR03EZPJ685</t>
  </si>
  <si>
    <t>RES SMD 6.8M OHM 5% 1/4W 0603</t>
  </si>
  <si>
    <t>RHM12KDCT-ND</t>
  </si>
  <si>
    <t>ESR03EZPJ123</t>
  </si>
  <si>
    <t>RES SMD 12K OHM 5% 1/4W 0603</t>
  </si>
  <si>
    <t>RHM750KDCT-ND</t>
  </si>
  <si>
    <t>ESR03EZPJ754</t>
  </si>
  <si>
    <t>RES SMD 750K OHM 5% 1/4W 0603</t>
  </si>
  <si>
    <t>750 kOhms</t>
  </si>
  <si>
    <t>RHM110DCT-ND</t>
  </si>
  <si>
    <t>ESR03EZPJ111</t>
  </si>
  <si>
    <t>RES SMD 110 OHM 5% 1/4W 0603</t>
  </si>
  <si>
    <t>RHM1.8DCT-ND</t>
  </si>
  <si>
    <t>ESR03EZPJ1R8</t>
  </si>
  <si>
    <t>RES SMD 1.8 OHM 5% 1/4W 0603</t>
  </si>
  <si>
    <t>RHM300KDCT-ND</t>
  </si>
  <si>
    <t>ESR03EZPJ304</t>
  </si>
  <si>
    <t>RES SMD 300K OHM 5% 1/4W 0603</t>
  </si>
  <si>
    <t>RHM110KDCT-ND</t>
  </si>
  <si>
    <t>ESR03EZPJ114</t>
  </si>
  <si>
    <t>RES SMD 110K OHM 5% 1/4W 0603</t>
  </si>
  <si>
    <t>110 kOhms</t>
  </si>
  <si>
    <t>RHM47KDCT-ND</t>
  </si>
  <si>
    <t>ESR03EZPJ473</t>
  </si>
  <si>
    <t>RES SMD 47K OHM 5% 1/4W 0603</t>
  </si>
  <si>
    <t>RHM13KDCT-ND</t>
  </si>
  <si>
    <t>ESR03EZPJ133</t>
  </si>
  <si>
    <t>RES SMD 13K OHM 5% 1/4W 0603</t>
  </si>
  <si>
    <t>RHM2.2KDCT-ND</t>
  </si>
  <si>
    <t>ESR03EZPJ222</t>
  </si>
  <si>
    <t>RES SMD 2.2K OHM 5% 1/4W 0603</t>
  </si>
  <si>
    <t>RHM3.6KDCT-ND</t>
  </si>
  <si>
    <t>ESR03EZPJ362</t>
  </si>
  <si>
    <t>RES SMD 3.6K OHM 5% 1/4W 0603</t>
  </si>
  <si>
    <t>RHM680KDCT-ND</t>
  </si>
  <si>
    <t>ESR03EZPJ684</t>
  </si>
  <si>
    <t>RES SMD 680K OHM 5% 1/4W 0603</t>
  </si>
  <si>
    <t>RHM4.3DCT-ND</t>
  </si>
  <si>
    <t>ESR03EZPJ4R3</t>
  </si>
  <si>
    <t>RES SMD 4.3 OHM 5% 1/4W 0603</t>
  </si>
  <si>
    <t>RHM150KDCT-ND</t>
  </si>
  <si>
    <t>ESR03EZPJ154</t>
  </si>
  <si>
    <t>RES SMD 150K OHM 5% 1/4W 0603</t>
  </si>
  <si>
    <t>RHM1.5MDCT-ND</t>
  </si>
  <si>
    <t>ESR03EZPJ155</t>
  </si>
  <si>
    <t>RES SMD 1.5M OHM 5% 1/4W 0603</t>
  </si>
  <si>
    <t>RHM430DCT-ND</t>
  </si>
  <si>
    <t>ESR03EZPJ431</t>
  </si>
  <si>
    <t>RES SMD 430 OHM 5% 1/4W 0603</t>
  </si>
  <si>
    <t>RHM4.7MDCT-ND</t>
  </si>
  <si>
    <t>ESR03EZPJ475</t>
  </si>
  <si>
    <t>RES SMD 4.7M OHM 5% 1/4W 0603</t>
  </si>
  <si>
    <t>RHM30KDCT-ND</t>
  </si>
  <si>
    <t>ESR03EZPJ303</t>
  </si>
  <si>
    <t>RES SMD 30K OHM 5% 1/4W 0603</t>
  </si>
  <si>
    <t>RHM3.6DCT-ND</t>
  </si>
  <si>
    <t>ESR03EZPJ3R6</t>
  </si>
  <si>
    <t>RES SMD 3.6 OHM 5% 1/4W 0603</t>
  </si>
  <si>
    <t>RHM2MDCT-ND</t>
  </si>
  <si>
    <t>ESR03EZPJ205</t>
  </si>
  <si>
    <t>RES SMD 2M OHM 5% 1/4W 0603</t>
  </si>
  <si>
    <t>RHM160DCT-ND</t>
  </si>
  <si>
    <t>ESR03EZPJ161</t>
  </si>
  <si>
    <t>RES SMD 160 OHM 5% 1/4W 0603</t>
  </si>
  <si>
    <t>RHM82KDCT-ND</t>
  </si>
  <si>
    <t>ESR03EZPJ823</t>
  </si>
  <si>
    <t>RES SMD 82K OHM 5% 1/4W 0603</t>
  </si>
  <si>
    <t>RHM1.8KDCT-ND</t>
  </si>
  <si>
    <t>ESR03EZPJ182</t>
  </si>
  <si>
    <t>RES SMD 1.8K OHM 5% 1/4W 0603</t>
  </si>
  <si>
    <t>RHM430KDCT-ND</t>
  </si>
  <si>
    <t>ESR03EZPJ434</t>
  </si>
  <si>
    <t>RES SMD 430K OHM 5% 1/4W 0603</t>
  </si>
  <si>
    <t>RHM270KDCT-ND</t>
  </si>
  <si>
    <t>ESR03EZPJ274</t>
  </si>
  <si>
    <t>RES SMD 270K OHM 5% 1/4W 0603</t>
  </si>
  <si>
    <t>270 kOhms</t>
  </si>
  <si>
    <t>RHM2.4KDCT-ND</t>
  </si>
  <si>
    <t>ESR03EZPJ242</t>
  </si>
  <si>
    <t>RES SMD 2.4K OHM 5% 1/4W 0603</t>
  </si>
  <si>
    <t>RHM20DCT-ND</t>
  </si>
  <si>
    <t>ESR03EZPJ200</t>
  </si>
  <si>
    <t>RES SMD 20 OHM 5% 1/4W 0603</t>
  </si>
  <si>
    <t>RHM24DCT-ND</t>
  </si>
  <si>
    <t>ESR03EZPJ240</t>
  </si>
  <si>
    <t>RES SMD 24 OHM 5% 1/4W 0603</t>
  </si>
  <si>
    <t>RHM240KDCT-ND</t>
  </si>
  <si>
    <t>ESR03EZPJ244</t>
  </si>
  <si>
    <t>RES SMD 240K OHM 5% 1/4W 0603</t>
  </si>
  <si>
    <t>240 kOhms</t>
  </si>
  <si>
    <t>RHM33KDCT-ND</t>
  </si>
  <si>
    <t>ESR03EZPJ333</t>
  </si>
  <si>
    <t>RES SMD 33K OHM 5% 1/4W 0603</t>
  </si>
  <si>
    <t>RHM200KDCT-ND</t>
  </si>
  <si>
    <t>ESR03EZPJ204</t>
  </si>
  <si>
    <t>RES SMD 200K OHM 5% 1/4W 0603</t>
  </si>
  <si>
    <t>RHM2.7DCT-ND</t>
  </si>
  <si>
    <t>ESR03EZPJ2R7</t>
  </si>
  <si>
    <t>RES SMD 2.7 OHM 5% 1/4W 0603</t>
  </si>
  <si>
    <t>RHM2.4DCT-ND</t>
  </si>
  <si>
    <t>ESR03EZPJ2R4</t>
  </si>
  <si>
    <t>RES SMD 2.4 OHM 5% 1/4W 0603</t>
  </si>
  <si>
    <t>RHM91DCT-ND</t>
  </si>
  <si>
    <t>ESR03EZPJ910</t>
  </si>
  <si>
    <t>RES SMD 91 OHM 5% 1/4W 0603</t>
  </si>
  <si>
    <t>Added resistors</t>
  </si>
  <si>
    <t>TS391SNL</t>
  </si>
  <si>
    <t>Chip Quik Inc.</t>
  </si>
  <si>
    <t>Lead Free No-Clean Solder Paste Sn96.5Ag3Cu0.5 (96.5/3/0.5)  Syringe, 0.53 oz (15g), 5cc</t>
  </si>
  <si>
    <t>Solder</t>
  </si>
  <si>
    <t>TS391SNL-ND</t>
  </si>
  <si>
    <t>TS391SNL50</t>
  </si>
  <si>
    <t>Lead Free No-Clean Solder Paste Sn96.5Ag3Cu0.5 (96.5/3/0.5)  Jar, 1.76 oz (50g)</t>
  </si>
  <si>
    <t>TS391SNL50-ND</t>
  </si>
  <si>
    <t>3.3 kOhms ±5% 0.4W, 2/5W Chip Resistor 0805 (2012 Metric) Automotive AEC-Q200, Pulse Withstanding Thick Film</t>
  </si>
  <si>
    <t>RHM3.3KKCT-ND</t>
  </si>
  <si>
    <t>10 kOhms ±5% 0.4W, 2/5W Chip Resistor 0805 (2012 Metric) Automotive AEC-Q200, Pulse Withstanding Thick Film</t>
  </si>
  <si>
    <t>RHM10KKCT-ND</t>
  </si>
  <si>
    <t>1.5 kOhms ±5% 0.4W, 2/5W Chip Resistor 0805 (2012 Metric) Automotive AEC-Q200, Pulse Withstanding Thick Film</t>
  </si>
  <si>
    <t>RHM1.5KKCT-ND</t>
  </si>
  <si>
    <t>270 Ohms ±5% 0.4W, 2/5W Chip Resistor 0805 (2012 Metric) Automotive AEC-Q200, Pulse Withstanding Thick Film</t>
  </si>
  <si>
    <t>RHM270KCT-ND</t>
  </si>
  <si>
    <t>Command received</t>
  </si>
  <si>
    <t>1 kOhms ±5% 0.4W, 2/5W Chip Resistor 0805 (2012 Metric) Automotive AEC-Q200, Pulse Withstanding Thick Film</t>
  </si>
  <si>
    <t>RHM1.0KKCT-ND</t>
  </si>
  <si>
    <t>Commande 247610998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</si>
</sst>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8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77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4" xfId="0" applyNumberFormat="1" applyFon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4" xfId="0" applyNumberFormat="1" applyBorder="1" applyAlignment="1">
      <alignment horizontal="left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2" fontId="0" fillId="0" borderId="4" xfId="0" applyNumberFormat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49" fontId="0" fillId="0" borderId="4" xfId="0" applyNumberFormat="1" applyFill="1" applyBorder="1" applyAlignment="1">
      <alignment horizontal="left"/>
    </xf>
    <xf numFmtId="49" fontId="0" fillId="0" borderId="0" xfId="0" applyNumberFormat="1" applyFont="1" applyFill="1" applyBorder="1" applyAlignment="1">
      <alignment horizontal="left"/>
    </xf>
    <xf numFmtId="49" fontId="0" fillId="0" borderId="0" xfId="0" applyNumberFormat="1" applyFill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350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349"/>
      <tableStyleElement type="headerRow" dxfId="348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40961" name="BUTTON0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4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</xdr:row>
          <xdr:rowOff>180975</xdr:rowOff>
        </xdr:from>
        <xdr:to>
          <xdr:col>13</xdr:col>
          <xdr:colOff>590550</xdr:colOff>
          <xdr:row>3</xdr:row>
          <xdr:rowOff>180975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5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4</xdr:row>
          <xdr:rowOff>180975</xdr:rowOff>
        </xdr:from>
        <xdr:to>
          <xdr:col>13</xdr:col>
          <xdr:colOff>590550</xdr:colOff>
          <xdr:row>6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5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0</xdr:rowOff>
        </xdr:from>
        <xdr:to>
          <xdr:col>13</xdr:col>
          <xdr:colOff>600075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4</xdr:row>
          <xdr:rowOff>171450</xdr:rowOff>
        </xdr:from>
        <xdr:to>
          <xdr:col>13</xdr:col>
          <xdr:colOff>600075</xdr:colOff>
          <xdr:row>6</xdr:row>
          <xdr:rowOff>171450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9525</xdr:rowOff>
        </xdr:from>
        <xdr:to>
          <xdr:col>13</xdr:col>
          <xdr:colOff>600075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4</xdr:row>
          <xdr:rowOff>180975</xdr:rowOff>
        </xdr:from>
        <xdr:to>
          <xdr:col>14</xdr:col>
          <xdr:colOff>9525</xdr:colOff>
          <xdr:row>6</xdr:row>
          <xdr:rowOff>180975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7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171450</xdr:rowOff>
        </xdr:from>
        <xdr:to>
          <xdr:col>14</xdr:col>
          <xdr:colOff>0</xdr:colOff>
          <xdr:row>3</xdr:row>
          <xdr:rowOff>171450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161925</xdr:rowOff>
        </xdr:from>
        <xdr:to>
          <xdr:col>14</xdr:col>
          <xdr:colOff>0</xdr:colOff>
          <xdr:row>6</xdr:row>
          <xdr:rowOff>161925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9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9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180975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1</xdr:row>
          <xdr:rowOff>180975</xdr:rowOff>
        </xdr:from>
        <xdr:to>
          <xdr:col>14</xdr:col>
          <xdr:colOff>9525</xdr:colOff>
          <xdr:row>3</xdr:row>
          <xdr:rowOff>180975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B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5</xdr:row>
          <xdr:rowOff>0</xdr:rowOff>
        </xdr:from>
        <xdr:to>
          <xdr:col>13</xdr:col>
          <xdr:colOff>600075</xdr:colOff>
          <xdr:row>7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B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2</xdr:row>
          <xdr:rowOff>0</xdr:rowOff>
        </xdr:from>
        <xdr:to>
          <xdr:col>14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C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5</xdr:row>
          <xdr:rowOff>0</xdr:rowOff>
        </xdr:from>
        <xdr:to>
          <xdr:col>14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C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E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217" totalsRowShown="0" headerRowDxfId="347">
  <autoFilter ref="A1:F1217" xr:uid="{BDAE12D6-129D-4B55-B01B-D1493E590308}"/>
  <tableColumns count="6">
    <tableColumn id="1" xr3:uid="{F20AB9A4-F1CA-4493-AFCA-1ECFD6C72926}" name="Date" dataDxfId="346"/>
    <tableColumn id="2" xr3:uid="{9E5C5770-C960-45BB-8115-75DB62A3B16C}" name="Article Number" dataDxfId="345"/>
    <tableColumn id="5" xr3:uid="{16BFD56B-B56A-4848-9201-68C2F28CFA64}" name="Modification" dataDxfId="344"/>
    <tableColumn id="3" xr3:uid="{10BA92E7-A8AC-46B9-9939-48EDBF630513}" name="Stock Before" dataDxfId="343"/>
    <tableColumn id="4" xr3:uid="{89A58CF5-EDCB-4EF1-963E-E9EB1A0CCFEF}" name="Stock After" dataDxfId="342"/>
    <tableColumn id="6" xr3:uid="{FF179CF1-10A5-4445-94E5-D3770F8EB2DA}" name="INFO" dataDxfId="34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21" totalsRowCount="1" headerRowDxfId="340" dataDxfId="338" headerRowBorderDxfId="339" tableBorderDxfId="337">
  <autoFilter ref="A1:L20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2">
    <sortCondition descending="1" ref="K1:K2"/>
  </sortState>
  <tableColumns count="12">
    <tableColumn id="2" xr3:uid="{09884C69-0E00-49B1-878D-118ACDF0CE5A}" name="Art. Number" totalsRowLabel="Total" dataDxfId="336" totalsRowDxfId="335"/>
    <tableColumn id="1" xr3:uid="{B10D53AF-03D1-4287-B98C-B2EBD99019D4}" name="Ret. Art. Number" dataDxfId="334" totalsRowDxfId="333"/>
    <tableColumn id="3" xr3:uid="{4C487402-2AAB-4AF3-BE67-7394C36C842C}" name="Manufacturer" dataDxfId="332" totalsRowDxfId="331"/>
    <tableColumn id="4" xr3:uid="{8EC0DC8E-76AD-4B9F-83B7-1A0DD14BB27F}" name="Retailer" dataDxfId="330" totalsRowDxfId="329"/>
    <tableColumn id="5" xr3:uid="{F034F88F-58E3-461F-AA98-A329A317450C}" name="Place" dataDxfId="328" totalsRowDxfId="327"/>
    <tableColumn id="6" xr3:uid="{270626A5-5AC9-4B4B-BFA1-CB61FB278FF7}" name="Description" dataDxfId="326" totalsRowDxfId="325"/>
    <tableColumn id="7" xr3:uid="{6AED47F2-55E6-446F-831B-A118A7B0B1ED}" name="In stock" dataDxfId="324" totalsRowDxfId="323"/>
    <tableColumn id="8" xr3:uid="{AC92F839-E54E-493C-ABE5-5E0757E61859}" name="Min Stock" dataDxfId="322" totalsRowDxfId="321"/>
    <tableColumn id="11" xr3:uid="{FA19872E-A366-497E-9D69-828A97ECF042}" name="Unit price" dataDxfId="320" totalsRowDxfId="319"/>
    <tableColumn id="13" xr3:uid="{EA825846-8448-46C3-B6A4-847B2F364E4E}" name="Quantity" dataDxfId="318" totalsRowDxfId="317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316" totalsRowDxfId="315">
      <calculatedColumnFormula>Table8[[#This Row],[Quantity]]*Table8[[#This Row],[Unit price]]</calculatedColumnFormula>
    </tableColumn>
    <tableColumn id="9" xr3:uid="{CF148814-A309-4554-8503-283AD3C9BC12}" name="Bulk Add" dataDxfId="314" totalsRowDxfId="313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364" totalsRowShown="0" headerRowDxfId="312" dataDxfId="311" tableBorderDxfId="310">
  <autoFilter ref="A1:AC364" xr:uid="{D4CB05D4-73DA-43F1-913F-071595400883}"/>
  <tableColumns count="29">
    <tableColumn id="1" xr3:uid="{435165AF-465B-418C-8DDE-9CFA2D278BBE}" name="Art. Number" dataDxfId="309" totalsRowDxfId="308"/>
    <tableColumn id="2" xr3:uid="{FBC6B9C9-57F8-45DA-AF22-C249E2B185F4}" name="Manufacturer" dataDxfId="307" totalsRowDxfId="306"/>
    <tableColumn id="3" xr3:uid="{288AF9C9-A6A1-4913-A84A-1B41F0951CD7}" name="Place" dataDxfId="305" totalsRowDxfId="304"/>
    <tableColumn id="4" xr3:uid="{991CB349-C1A2-4024-AD86-41FE070F01AA}" name="Description" dataDxfId="303" totalsRowDxfId="302"/>
    <tableColumn id="28" xr3:uid="{2D19DEDD-0807-4720-910B-711676B70DD0}" name="Category" dataDxfId="301"/>
    <tableColumn id="5" xr3:uid="{AF531B20-C2C7-43E4-88F6-C002EAFA6EF0}" name="In stock" dataDxfId="300" totalsRowDxfId="299"/>
    <tableColumn id="6" xr3:uid="{4AE22FEC-1D74-4166-880B-DE3C3B0F48C3}" name="Min in stock" dataDxfId="298" totalsRowDxfId="297"/>
    <tableColumn id="7" xr3:uid="{DDF25EC9-10A6-4A51-A3FF-5F173DC0429C}" name="Auto Order" dataDxfId="296" totalsRowDxfId="295"/>
    <tableColumn id="8" xr3:uid="{8FB77B6F-1796-445F-A628-6683E80A406B}" name="Default Art. Number" dataDxfId="294" totalsRowDxfId="293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292" totalsRowDxfId="291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290" totalsRowDxfId="289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288" totalsRowDxfId="287"/>
    <tableColumn id="11" xr3:uid="{904ACEAE-3EBB-4B5A-B40F-F27BEC67197D}" name="Unit price - Digikey" dataDxfId="286" totalsRowDxfId="285"/>
    <tableColumn id="12" xr3:uid="{1C8E6FC8-F976-4331-BE85-AE9F5CCE5385}" name="Farnell" dataDxfId="284" totalsRowDxfId="283"/>
    <tableColumn id="13" xr3:uid="{9CEB0B0D-E776-4EE1-BA17-F20F36573DF1}" name="Unit price - Farnell" dataDxfId="282" totalsRowDxfId="281"/>
    <tableColumn id="14" xr3:uid="{4835AE8C-6AA4-4E3D-AA3C-47D081785B10}" name="Distrelec" dataDxfId="280" totalsRowDxfId="279"/>
    <tableColumn id="15" xr3:uid="{CFC19F72-EB6A-4DA4-8140-6E03AC8C87E2}" name="Unit price - Distrelec" dataDxfId="278" totalsRowDxfId="277"/>
    <tableColumn id="16" xr3:uid="{440F2FEC-A527-4DB9-8F02-E02C455DD168}" name="Conrad" dataDxfId="276" totalsRowDxfId="275"/>
    <tableColumn id="17" xr3:uid="{C15F9ED7-FCDD-4ED8-8193-766AD4AACE12}" name="Unit price - Conrad" dataDxfId="274" totalsRowDxfId="273"/>
    <tableColumn id="18" xr3:uid="{E8BE4F49-80E3-4D58-8712-2588048DD5B2}" name="Mouser" dataDxfId="272" totalsRowDxfId="271"/>
    <tableColumn id="19" xr3:uid="{71B82CF1-AA7C-485A-B22F-DFCA002E3E0B}" name="Unit price - Mouser" dataDxfId="270" totalsRowDxfId="269"/>
    <tableColumn id="20" xr3:uid="{B372D927-D0BD-4305-A32A-0C014ACEEBAB}" name="Aliexpress" dataDxfId="268" totalsRowDxfId="267"/>
    <tableColumn id="21" xr3:uid="{56A9B167-940C-4D6B-8B5D-F91623F90BD6}" name="Unit price - Aliexpress" dataDxfId="266" totalsRowDxfId="265"/>
    <tableColumn id="22" xr3:uid="{2E67C835-F42C-4886-A3E6-A86A66CF03DE}" name="Banggood" dataDxfId="264" totalsRowDxfId="263"/>
    <tableColumn id="23" xr3:uid="{96EE1B48-7059-4798-A1ED-B830DB9D7D70}" name="Unit price - Banggood" dataDxfId="262" totalsRowDxfId="261"/>
    <tableColumn id="29" xr3:uid="{D6F9B11D-16CF-4797-AFD2-F208CE8FD675}" name="Other - Name" dataDxfId="260" totalsRowDxfId="259">
      <calculatedColumnFormula>IF(Table1[[#This Row],[Other]]&lt;&gt;"","Other","")</calculatedColumnFormula>
    </tableColumn>
    <tableColumn id="24" xr3:uid="{DFC2A0A6-4951-479C-8775-526D9FDB26B4}" name="Other" dataDxfId="258"/>
    <tableColumn id="25" xr3:uid="{09619815-DA2C-43CD-A998-2BAAC30ACE14}" name="Unit price - Other" dataDxfId="257" totalsRowDxfId="256"/>
    <tableColumn id="26" xr3:uid="{CBAAFE5B-29D9-4E86-8241-3FA6E46052BB}" name="In next order" dataDxfId="255" totalsRowDxfId="254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B9E8EC2-B874-4690-9B0B-779E2773B9A6}" name="Table1411314" displayName="Table1411314" ref="A1:J37" totalsRowCount="1" headerRowDxfId="253" dataDxfId="251" headerRowBorderDxfId="252">
  <autoFilter ref="A1:J36" xr:uid="{06E2CB8E-61AB-472E-BCF2-E6E1E6F7BC5B}"/>
  <sortState ref="A2:J36">
    <sortCondition ref="D1:D36"/>
  </sortState>
  <tableColumns count="10">
    <tableColumn id="2" xr3:uid="{00AAE068-D4A8-4498-8E51-B0E2025E6E23}" name="Man. Number" totalsRowLabel="Total" dataDxfId="250" totalsRowDxfId="249"/>
    <tableColumn id="5" xr3:uid="{4E1A69D7-B842-45A1-BFE4-95F84DEF4755}" name="Description" dataDxfId="248" totalsRowDxfId="247">
      <calculatedColumnFormula>VLOOKUP(Table1411314[[#This Row],[Man. Number]],Articles!A:F,COLUMN(Articles!$D$1)-COLUMN(Articles!$A$1)+1,FALSE)</calculatedColumnFormula>
    </tableColumn>
    <tableColumn id="10" xr3:uid="{F42993C5-DF00-40C6-AFFC-A510B2CB22FC}" name="Place" dataDxfId="246" totalsRowDxfId="245">
      <calculatedColumnFormula>VLOOKUP(Table1411314[[#This Row],[Man. Number]],Articles!A:F,COLUMN(Articles!$C$1)-COLUMN(Articles!$A$1)+1,FALSE)</calculatedColumnFormula>
    </tableColumn>
    <tableColumn id="7" xr3:uid="{50A7AD0A-8226-4F34-BA76-964A8A79C494}" name="Reference" dataDxfId="244" totalsRowDxfId="243"/>
    <tableColumn id="8" xr3:uid="{A1798CB4-3555-4139-9F90-6F7C37DD16CE}" name="Quantity" dataDxfId="242" totalsRowDxfId="241"/>
    <tableColumn id="6" xr3:uid="{2F8D53B9-D62E-4784-9B86-A31E1773D411}" name="In stock" dataDxfId="240" totalsRowDxfId="239">
      <calculatedColumnFormula>VLOOKUP(Table1411314[[#This Row],[Man. Number]],Articles!A:F,COLUMN(Articles!$F$1)-COLUMN(Articles!$A$1)+1,FALSE)</calculatedColumnFormula>
    </tableColumn>
    <tableColumn id="1" xr3:uid="{D0D3B9CB-4A93-4D05-9A68-A7C012CDF51B}" name="Available" dataDxfId="238" totalsRowDxfId="237">
      <calculatedColumnFormula>IF(Table1411314[[#This Row],[In stock]] &gt;= Table1411314[[#This Row],[Quantity]],"YES","NO")</calculatedColumnFormula>
    </tableColumn>
    <tableColumn id="9" xr3:uid="{A8E53AE4-6992-429C-AFAE-231895621022}" name="Unit Price" totalsRowFunction="sum" dataDxfId="236" totalsRowDxfId="235">
      <calculatedColumnFormula>VLOOKUP(Table1411314[[#This Row],[Man. Number]],Articles!A:J,COLUMN(Articles!$J$1)-COLUMN(Articles!$A$1)+1,FALSE)*Table1411314[[#This Row],[Quantity]]</calculatedColumnFormula>
    </tableColumn>
    <tableColumn id="3" xr3:uid="{343E0221-85E4-4CC4-9F95-73BD1D257598}" name="Total quantity" dataDxfId="234" totalsRowDxfId="233">
      <calculatedColumnFormula>Table1411314[[#This Row],[Quantity]]*$M$1</calculatedColumnFormula>
    </tableColumn>
    <tableColumn id="4" xr3:uid="{893BABD3-9B59-48D3-A31C-D2909166C22E}" name="Total available" dataDxfId="232" totalsRowDxfId="231">
      <calculatedColumnFormula>IF(Table1411314[[#This Row],[In stock]] &gt;= Table1411314[[#This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J35" totalsRowCount="1" headerRowDxfId="230" dataDxfId="228" headerRowBorderDxfId="229">
  <autoFilter ref="A1:J34" xr:uid="{06E2CB8E-61AB-472E-BCF2-E6E1E6F7BC5B}"/>
  <sortState ref="A2:J34">
    <sortCondition ref="D1:D34"/>
  </sortState>
  <tableColumns count="10">
    <tableColumn id="2" xr3:uid="{6A5C3A86-C379-42A1-8BAF-BF929C9C4EDA}" name="Man. Number" totalsRowLabel="Total" dataDxfId="227" totalsRowDxfId="226"/>
    <tableColumn id="5" xr3:uid="{E0A4C7BE-9780-40B2-9139-D4958FD92F57}" name="Description" dataDxfId="225" totalsRowDxfId="224">
      <calculatedColumnFormula>VLOOKUP(Table14113[[#This Row],[Man. Number]],Articles!A:F,COLUMN(Articles!$D$1)-COLUMN(Articles!$A$1)+1,FALSE)</calculatedColumnFormula>
    </tableColumn>
    <tableColumn id="10" xr3:uid="{8D5D9511-7C97-4925-B30D-5922F0A8ABBE}" name="Place" dataDxfId="223" totalsRowDxfId="222">
      <calculatedColumnFormula>VLOOKUP(Table14113[[#This Row],[Man. Number]],Articles!A:F,COLUMN(Articles!$C$1)-COLUMN(Articles!$A$1)+1,FALSE)</calculatedColumnFormula>
    </tableColumn>
    <tableColumn id="7" xr3:uid="{00C0510F-ADF6-4186-8D9A-059DEDD1C513}" name="Reference" dataDxfId="221" totalsRowDxfId="220"/>
    <tableColumn id="8" xr3:uid="{DE9DE279-0ECD-46C6-B40F-146EE0CF2811}" name="Quantity" dataDxfId="219" totalsRowDxfId="218"/>
    <tableColumn id="6" xr3:uid="{9281657B-B3CE-4A4B-90BB-A2508C24B80E}" name="In stock" dataDxfId="217" totalsRowDxfId="216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215" totalsRowDxfId="214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213" totalsRowDxfId="212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211" totalsRowDxfId="210">
      <calculatedColumnFormula>Table14113[[#This Row],[Quantity]]*$M$1</calculatedColumnFormula>
    </tableColumn>
    <tableColumn id="4" xr3:uid="{21625822-F558-4C24-A1DF-CA1415AF72CC}" name="Total available" dataDxfId="209" totalsRowDxfId="208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J45" totalsRowCount="1" headerRowDxfId="207" dataDxfId="205" headerRowBorderDxfId="206">
  <autoFilter ref="A1:J44" xr:uid="{06E2CB8E-61AB-472E-BCF2-E6E1E6F7BC5B}"/>
  <sortState ref="A2:J44">
    <sortCondition ref="D1:D44"/>
  </sortState>
  <tableColumns count="10">
    <tableColumn id="2" xr3:uid="{C9C96812-D2B2-407C-9941-30F685AAD7E3}" name="Man. Number" totalsRowLabel="Total" dataDxfId="204" totalsRowDxfId="203"/>
    <tableColumn id="5" xr3:uid="{0807D2E3-C08E-4A05-95EC-685278834536}" name="Description" dataDxfId="202" totalsRowDxfId="201">
      <calculatedColumnFormula>VLOOKUP(Table1411[[#This Row],[Man. Number]],Articles!A:F,COLUMN(Articles!$D$1)-COLUMN(Articles!$A$1)+1,FALSE)</calculatedColumnFormula>
    </tableColumn>
    <tableColumn id="10" xr3:uid="{541395F7-720A-4CEB-843D-3A67690234F6}" name="Place" dataDxfId="200" totalsRowDxfId="199">
      <calculatedColumnFormula>VLOOKUP(Table1411[[#This Row],[Man. Number]],Articles!A:F,COLUMN(Articles!$C$1)-COLUMN(Articles!$A$1)+1,FALSE)</calculatedColumnFormula>
    </tableColumn>
    <tableColumn id="7" xr3:uid="{41E6F3AF-F595-4F28-918D-986592993BB0}" name="Reference" dataDxfId="198" totalsRowDxfId="197"/>
    <tableColumn id="8" xr3:uid="{27D63D9B-1923-4857-A374-5FF3D8D6B64C}" name="Quantity" dataDxfId="196" totalsRowDxfId="195"/>
    <tableColumn id="6" xr3:uid="{39724770-BCF0-4F8C-A311-212B97612672}" name="In stock" dataDxfId="194" totalsRowDxfId="193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92" totalsRowDxfId="191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90" totalsRowDxfId="189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88" totalsRowDxfId="187">
      <calculatedColumnFormula>Table1411[[#This Row],[Quantity]]*$M$1</calculatedColumnFormula>
    </tableColumn>
    <tableColumn id="4" xr3:uid="{CEA2F06F-2F21-492E-B2A3-DF977A078F50}" name="Total available" dataDxfId="186" totalsRowDxfId="185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J41" totalsRowCount="1" headerRowDxfId="184" dataDxfId="182" headerRowBorderDxfId="183">
  <autoFilter ref="A1:J40" xr:uid="{06E2CB8E-61AB-472E-BCF2-E6E1E6F7BC5B}"/>
  <sortState ref="A2:J40">
    <sortCondition ref="D1:D40"/>
  </sortState>
  <tableColumns count="10">
    <tableColumn id="2" xr3:uid="{A92087CE-B74E-49AD-99FE-90DBB817C1AC}" name="Man. Number" totalsRowLabel="Total" dataDxfId="181" totalsRowDxfId="180"/>
    <tableColumn id="5" xr3:uid="{B1418FC9-8422-4A82-9D50-1C20CEF4A1DB}" name="Description" dataDxfId="179" totalsRowDxfId="178">
      <calculatedColumnFormula>VLOOKUP(Table14[[#This Row],[Man. Number]],Articles!A:F,COLUMN(Articles!$D$1)-COLUMN(Articles!$A$1)+1,FALSE)</calculatedColumnFormula>
    </tableColumn>
    <tableColumn id="10" xr3:uid="{FC3F2956-ED37-4A5E-B228-9D7C1175A19B}" name="Place" dataDxfId="177" totalsRowDxfId="176">
      <calculatedColumnFormula>VLOOKUP(Table14[[#This Row],[Man. Number]],Articles!A:F,COLUMN(Articles!$C$1)-COLUMN(Articles!$A$1)+1,FALSE)</calculatedColumnFormula>
    </tableColumn>
    <tableColumn id="7" xr3:uid="{B4F56298-AB90-4AEC-8A42-97A994164D1F}" name="Reference" dataDxfId="175" totalsRowDxfId="174"/>
    <tableColumn id="8" xr3:uid="{D163A9E2-18FC-4EE8-99AB-60D6C92BBDB6}" name="Quantity" dataDxfId="173" totalsRowDxfId="172"/>
    <tableColumn id="6" xr3:uid="{1583B055-BD93-4929-B8EC-DA75D23B688F}" name="In stock" dataDxfId="171" totalsRowDxfId="170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69" totalsRowDxfId="168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167" totalsRowDxfId="166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165" totalsRowDxfId="164">
      <calculatedColumnFormula>Table14[[#This Row],[Quantity]]*$M$1</calculatedColumnFormula>
    </tableColumn>
    <tableColumn id="4" xr3:uid="{3C7D2E86-E417-47F0-B642-14D96896F255}" name="Total available" dataDxfId="163" totalsRowDxfId="162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J16" totalsRowCount="1" headerRowDxfId="161" dataDxfId="159" headerRowBorderDxfId="160">
  <autoFilter ref="A1:J15" xr:uid="{06E2CB8E-61AB-472E-BCF2-E6E1E6F7BC5B}"/>
  <tableColumns count="10">
    <tableColumn id="2" xr3:uid="{9E0E6405-0958-4064-8395-03A32BA24ED3}" name="Man. Number" dataDxfId="158" totalsRowDxfId="157"/>
    <tableColumn id="5" xr3:uid="{BA21CA97-DCD9-408A-9894-96A639A19D11}" name="Description" dataDxfId="156" totalsRowDxfId="155">
      <calculatedColumnFormula>VLOOKUP(Table146[[#This Row],[Man. Number]],Articles!A:F,COLUMN(Articles!$D$1)-COLUMN(Articles!$A$1)+1,FALSE)</calculatedColumnFormula>
    </tableColumn>
    <tableColumn id="10" xr3:uid="{C7C2C4DA-ABA8-4D59-90BA-EE001FCBAFFC}" name="Place" dataDxfId="154" totalsRowDxfId="153">
      <calculatedColumnFormula>VLOOKUP(Table146[[#This Row],[Man. Number]],Articles!A:F,COLUMN(Articles!$C$1)-COLUMN(Articles!$A$1)+1,FALSE)</calculatedColumnFormula>
    </tableColumn>
    <tableColumn id="7" xr3:uid="{77B761F7-AF17-4A17-88C8-A5C9D5D27CDC}" name="Reference" dataDxfId="152" totalsRowDxfId="151"/>
    <tableColumn id="8" xr3:uid="{79E97D26-BF86-43B2-AEF5-CE725327DF74}" name="Quantity" dataDxfId="150" totalsRowDxfId="149"/>
    <tableColumn id="6" xr3:uid="{55CA5BD7-34A5-4A62-9044-29A0D9B81880}" name="In stock" dataDxfId="148" totalsRowDxfId="147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146" totalsRowDxfId="145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144" totalsRowDxfId="143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142" totalsRowDxfId="141">
      <calculatedColumnFormula>Table146[[#This Row],[Quantity]]*$M$1</calculatedColumnFormula>
    </tableColumn>
    <tableColumn id="4" xr3:uid="{04D63216-7DC3-4D59-A043-09BBD0852B90}" name="Total available" dataDxfId="140" totalsRowDxfId="139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5D6E141-9998-4BAB-922C-F23AC85765C5}" name="Table14681012" displayName="Table14681012" ref="A1:J31" totalsRowCount="1" headerRowDxfId="138" dataDxfId="136" headerRowBorderDxfId="137">
  <autoFilter ref="A1:J30" xr:uid="{06E2CB8E-61AB-472E-BCF2-E6E1E6F7BC5B}"/>
  <sortState ref="A2:J30">
    <sortCondition ref="D1:D30"/>
  </sortState>
  <tableColumns count="10">
    <tableColumn id="2" xr3:uid="{3629DA92-593D-4F40-A0B8-3F24998F56AA}" name="Man. Number" totalsRowLabel="Total" dataDxfId="135" totalsRowDxfId="134"/>
    <tableColumn id="5" xr3:uid="{8149F83F-B4D5-4C51-A87E-B863B43D92B1}" name="Description" dataDxfId="133" totalsRowDxfId="132">
      <calculatedColumnFormula>VLOOKUP(Table14681012[[#This Row],[Man. Number]],Articles!A:F,COLUMN(Articles!$D$1)-COLUMN(Articles!$A$1)+1,FALSE)</calculatedColumnFormula>
    </tableColumn>
    <tableColumn id="10" xr3:uid="{52B28D5E-B247-4795-A79F-696E88E876A0}" name="Place" dataDxfId="131" totalsRowDxfId="130">
      <calculatedColumnFormula>VLOOKUP(Table14681012[[#This Row],[Man. Number]],Articles!A:F,COLUMN(Articles!$C$1)-COLUMN(Articles!$A$1)+1,FALSE)</calculatedColumnFormula>
    </tableColumn>
    <tableColumn id="7" xr3:uid="{AA8B9CFD-678B-49D8-AB03-0D4C14F65D56}" name="Reference" dataDxfId="129" totalsRowDxfId="128"/>
    <tableColumn id="8" xr3:uid="{4A2F7A9A-01D2-44CD-B775-ECE675E39975}" name="Quantity" dataDxfId="127" totalsRowDxfId="126"/>
    <tableColumn id="6" xr3:uid="{E35C4648-7918-49E6-8585-13FE1A3EB382}" name="In stock" dataDxfId="125" totalsRowDxfId="124">
      <calculatedColumnFormula>VLOOKUP(Table14681012[[#This Row],[Man. Number]],Articles!A:F,COLUMN(Articles!$F$1)-COLUMN(Articles!$A$1)+1,FALSE)</calculatedColumnFormula>
    </tableColumn>
    <tableColumn id="1" xr3:uid="{0D86DA97-6B7C-4ABB-9D27-317FD8EE981F}" name="Available" dataDxfId="123" totalsRowDxfId="122">
      <calculatedColumnFormula>IF(Table14681012[[#This Row],[In stock]] &gt;= Table14681012[[#This Row],[Quantity]],"YES","NO")</calculatedColumnFormula>
    </tableColumn>
    <tableColumn id="9" xr3:uid="{AF1C6B21-6706-444F-B7B1-59061E20CA6E}" name="Unit Price" totalsRowFunction="sum" dataDxfId="121" totalsRowDxfId="120">
      <calculatedColumnFormula>VLOOKUP(Table14681012[[#This Row],[Man. Number]],Articles!A:J,COLUMN(Articles!$J$1)-COLUMN(Articles!$A$1)+1,FALSE)*Table14681012[[#This Row],[Quantity]]</calculatedColumnFormula>
    </tableColumn>
    <tableColumn id="3" xr3:uid="{FCF3940F-D030-43E1-A618-C94535108FA9}" name="Total quantity" dataDxfId="119" totalsRowDxfId="118">
      <calculatedColumnFormula>Table14681012[[#This Row],[Quantity]]*$M$1</calculatedColumnFormula>
    </tableColumn>
    <tableColumn id="4" xr3:uid="{B277331F-9B8C-48C1-AF3B-39B0DF714F6F}" name="Total available" dataDxfId="117" totalsRowDxfId="116">
      <calculatedColumnFormula>IF(Table14681012[[#This Row],[In stock]] &gt;= Table14681012[[#This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J27" totalsRowCount="1" headerRowDxfId="115" dataDxfId="113" headerRowBorderDxfId="114">
  <autoFilter ref="A1:J26" xr:uid="{06E2CB8E-61AB-472E-BCF2-E6E1E6F7BC5B}"/>
  <sortState ref="A2:J26">
    <sortCondition ref="D1:D26"/>
  </sortState>
  <tableColumns count="10">
    <tableColumn id="2" xr3:uid="{E1B3591E-7FDF-432B-8B47-D1874E0B26F5}" name="Man. Number" totalsRowLabel="Total" dataDxfId="112" totalsRowDxfId="111"/>
    <tableColumn id="5" xr3:uid="{EE74CBB7-B4AE-4E4F-A276-4111D2262064}" name="Description" dataDxfId="110" totalsRowDxfId="109">
      <calculatedColumnFormula>VLOOKUP(Table146810[[#This Row],[Man. Number]],Articles!A:F,COLUMN(Articles!$D$1)-COLUMN(Articles!$A$1)+1,FALSE)</calculatedColumnFormula>
    </tableColumn>
    <tableColumn id="10" xr3:uid="{BDACB058-C47F-414E-96D6-AD692AF59770}" name="Place" dataDxfId="108" totalsRowDxfId="107">
      <calculatedColumnFormula>VLOOKUP(Table146810[[#This Row],[Man. Number]],Articles!A:F,COLUMN(Articles!$C$1)-COLUMN(Articles!$A$1)+1,FALSE)</calculatedColumnFormula>
    </tableColumn>
    <tableColumn id="7" xr3:uid="{7774CA8B-8FBD-4AE8-8A5E-EED54B7EF35B}" name="Reference" dataDxfId="106" totalsRowDxfId="105"/>
    <tableColumn id="8" xr3:uid="{C50EC552-0304-4799-AAF5-38B8D35A381E}" name="Quantity" dataDxfId="104" totalsRowDxfId="103"/>
    <tableColumn id="6" xr3:uid="{F740468C-0E09-4D56-BD5D-693ECC8337EF}" name="In stock" dataDxfId="102" totalsRowDxfId="101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100" totalsRowDxfId="99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98" totalsRowDxfId="97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96" totalsRowDxfId="95">
      <calculatedColumnFormula>Table146810[[#This Row],[Quantity]]*$M$1</calculatedColumnFormula>
    </tableColumn>
    <tableColumn id="4" xr3:uid="{562176AD-2473-43BF-B998-A5B71A21527C}" name="Total available" dataDxfId="94" totalsRowDxfId="93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5526E3-5D3D-41D9-A0B1-067B8B1F2102}" name="Table146813" displayName="Table146813" ref="A1:J11" totalsRowCount="1" headerRowDxfId="92" dataDxfId="90" headerRowBorderDxfId="91">
  <autoFilter ref="A1:J10" xr:uid="{06E2CB8E-61AB-472E-BCF2-E6E1E6F7BC5B}"/>
  <sortState ref="A2:J9">
    <sortCondition ref="D1:D9"/>
  </sortState>
  <tableColumns count="10">
    <tableColumn id="2" xr3:uid="{487597E2-752B-4FE6-8255-25AF8C70E847}" name="Man. Number" totalsRowLabel="Total" dataDxfId="89" totalsRowDxfId="88"/>
    <tableColumn id="5" xr3:uid="{CF0B01EC-618C-443A-ADA2-893AECA5731E}" name="Description" dataDxfId="87" totalsRowDxfId="86">
      <calculatedColumnFormula>VLOOKUP(Table146813[[#This Row],[Man. Number]],Articles!A:F,COLUMN(Articles!$D$1)-COLUMN(Articles!$A$1)+1,FALSE)</calculatedColumnFormula>
    </tableColumn>
    <tableColumn id="10" xr3:uid="{D9F3047D-6B23-46DF-B416-343F723B9222}" name="Place" dataDxfId="85" totalsRowDxfId="84">
      <calculatedColumnFormula>VLOOKUP(Table146813[[#This Row],[Man. Number]],Articles!A:F,COLUMN(Articles!$C$1)-COLUMN(Articles!$A$1)+1,FALSE)</calculatedColumnFormula>
    </tableColumn>
    <tableColumn id="7" xr3:uid="{57521AC9-B3B9-42C8-B54D-A1F87E9D9945}" name="Reference" dataDxfId="83" totalsRowDxfId="82"/>
    <tableColumn id="8" xr3:uid="{A3056CA7-0C80-4B5D-9B6F-73CB8A25354E}" name="Quantity" dataDxfId="81" totalsRowDxfId="80"/>
    <tableColumn id="6" xr3:uid="{BA70C052-8998-43C4-8E48-C451C5F8F0BC}" name="In stock" dataDxfId="79" totalsRowDxfId="78">
      <calculatedColumnFormula>VLOOKUP(Table146813[[#This Row],[Man. Number]],Articles!A:F,COLUMN(Articles!$F$1)-COLUMN(Articles!$A$1)+1,FALSE)</calculatedColumnFormula>
    </tableColumn>
    <tableColumn id="1" xr3:uid="{1415A3BA-256E-41E9-A3E6-A24F2E359D2C}" name="Available" dataDxfId="77" totalsRowDxfId="76">
      <calculatedColumnFormula>IF(Table146813[[#This Row],[In stock]] &gt;= Table146813[[#This Row],[Quantity]],"YES","NO")</calculatedColumnFormula>
    </tableColumn>
    <tableColumn id="9" xr3:uid="{8CFE36C6-FA12-402E-87C7-54CE466630E8}" name="Unit Price" totalsRowFunction="sum" dataDxfId="75" totalsRowDxfId="74">
      <calculatedColumnFormula>VLOOKUP(Table146813[[#This Row],[Man. Number]],Articles!A:J,COLUMN(Articles!$J$1)-COLUMN(Articles!$A$1)+1,FALSE)*Table146813[[#This Row],[Quantity]]</calculatedColumnFormula>
    </tableColumn>
    <tableColumn id="3" xr3:uid="{83D159CD-7B20-4503-BF4A-1F5106E4FFFF}" name="Total quantity" dataDxfId="73" totalsRowDxfId="72">
      <calculatedColumnFormula>Table146813[[#This Row],[Quantity]]*$M$1</calculatedColumnFormula>
    </tableColumn>
    <tableColumn id="4" xr3:uid="{E6CEFFBA-DFD9-451F-8F56-7A7D38A06BC8}" name="Total available" dataDxfId="71" totalsRowDxfId="70">
      <calculatedColumnFormula>IF(Table146813[[#This Row],[In stock]] &gt;= Table146813[[#This Row],[Total quantity]],"YES","NO")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J3" totalsRowCount="1" headerRowDxfId="69" dataDxfId="67" headerRowBorderDxfId="68">
  <autoFilter ref="A1:J2" xr:uid="{06E2CB8E-61AB-472E-BCF2-E6E1E6F7BC5B}"/>
  <tableColumns count="10">
    <tableColumn id="2" xr3:uid="{82F37E31-D1D4-4FFD-A09E-64F3B03018B7}" name="Man. Number" totalsRowLabel="Total" dataDxfId="66" totalsRowDxfId="65"/>
    <tableColumn id="5" xr3:uid="{524F6B01-486E-4166-AE6A-BDBA58BD1A60}" name="Description" dataDxfId="64" totalsRowDxfId="63">
      <calculatedColumnFormula>VLOOKUP(Table1468[[#This Row],[Man. Number]],Articles!A:F,COLUMN(Articles!$D$1)-COLUMN(Articles!$A$1)+1,FALSE)</calculatedColumnFormula>
    </tableColumn>
    <tableColumn id="10" xr3:uid="{80E211C8-1318-4995-94F8-C3AC2288540F}" name="Place" dataDxfId="62" totalsRowDxfId="61">
      <calculatedColumnFormula>VLOOKUP(Table1468[[#This Row],[Man. Number]],Articles!A:F,COLUMN(Articles!$C$1)-COLUMN(Articles!$A$1)+1,FALSE)</calculatedColumnFormula>
    </tableColumn>
    <tableColumn id="7" xr3:uid="{0EDA27D7-E2B2-4D98-8FFC-602AD8A774D7}" name="Reference" dataDxfId="60" totalsRowDxfId="59"/>
    <tableColumn id="8" xr3:uid="{A834D686-252C-4BF4-9FDE-28A4A6AFDD1F}" name="Quantity" dataDxfId="58" totalsRowDxfId="57"/>
    <tableColumn id="6" xr3:uid="{66DB620F-4FDE-44EB-BF35-96CAEBE4C1C6}" name="In stock" dataDxfId="56" totalsRowDxfId="55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54" totalsRowDxfId="53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52" totalsRowDxfId="51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50" totalsRowDxfId="49">
      <calculatedColumnFormula>Table1468[[#This Row],[Quantity]]*$M$1</calculatedColumnFormula>
    </tableColumn>
    <tableColumn id="4" xr3:uid="{56337732-A0D6-4CED-A2E1-0A9BD957CBCA}" name="Total available" dataDxfId="48" totalsRowDxfId="47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4" totalsRowShown="0">
  <autoFilter ref="A6:C14" xr:uid="{872FC7A3-44C5-4B5B-B3BD-3A0E54A1C252}"/>
  <sortState ref="A7:C14">
    <sortCondition ref="A6:A11"/>
  </sortState>
  <tableColumns count="3">
    <tableColumn id="1" xr3:uid="{79A80DDF-8238-4698-90CE-9D2101A7FB4D}" name="Index" dataDxfId="46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10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2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2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217"/>
  <sheetViews>
    <sheetView workbookViewId="0">
      <pane ySplit="1" topLeftCell="A1188" activePane="bottomLeft" state="frozen"/>
      <selection pane="bottomLeft" activeCell="G1191" sqref="G1191"/>
    </sheetView>
  </sheetViews>
  <sheetFormatPr defaultRowHeight="15" x14ac:dyDescent="0.25"/>
  <cols>
    <col min="1" max="1" width="18" style="36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5" t="s">
        <v>155</v>
      </c>
      <c r="B1" s="3" t="s">
        <v>436</v>
      </c>
      <c r="C1" s="5" t="s">
        <v>161</v>
      </c>
      <c r="D1" s="5" t="s">
        <v>158</v>
      </c>
      <c r="E1" s="5" t="s">
        <v>159</v>
      </c>
      <c r="F1" s="3" t="s">
        <v>157</v>
      </c>
    </row>
    <row r="2" spans="1:6" x14ac:dyDescent="0.25">
      <c r="A2" s="36">
        <v>43331.621458333335</v>
      </c>
      <c r="B2" s="11"/>
      <c r="C2" s="9"/>
      <c r="D2" s="9"/>
      <c r="E2" s="9"/>
      <c r="F2" s="3" t="s">
        <v>156</v>
      </c>
    </row>
    <row r="3" spans="1:6" x14ac:dyDescent="0.25">
      <c r="A3" s="36">
        <v>43334.714467592596</v>
      </c>
      <c r="B3" s="3" t="s">
        <v>144</v>
      </c>
      <c r="C3" s="12">
        <v>-1</v>
      </c>
      <c r="D3" s="12">
        <v>0</v>
      </c>
      <c r="E3" s="12">
        <v>1</v>
      </c>
      <c r="F3" s="3" t="s">
        <v>180</v>
      </c>
    </row>
    <row r="4" spans="1:6" x14ac:dyDescent="0.25">
      <c r="A4" s="36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180</v>
      </c>
    </row>
    <row r="5" spans="1:6" x14ac:dyDescent="0.25">
      <c r="A5" s="36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180</v>
      </c>
    </row>
    <row r="6" spans="1:6" x14ac:dyDescent="0.25">
      <c r="A6" s="36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189</v>
      </c>
    </row>
    <row r="7" spans="1:6" x14ac:dyDescent="0.25">
      <c r="A7" s="36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189</v>
      </c>
    </row>
    <row r="8" spans="1:6" x14ac:dyDescent="0.25">
      <c r="A8" s="36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189</v>
      </c>
    </row>
    <row r="9" spans="1:6" x14ac:dyDescent="0.25">
      <c r="A9" s="36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189</v>
      </c>
    </row>
    <row r="10" spans="1:6" x14ac:dyDescent="0.25">
      <c r="A10" s="36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189</v>
      </c>
    </row>
    <row r="11" spans="1:6" x14ac:dyDescent="0.25">
      <c r="A11" s="36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189</v>
      </c>
    </row>
    <row r="12" spans="1:6" x14ac:dyDescent="0.25">
      <c r="A12" s="36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189</v>
      </c>
    </row>
    <row r="13" spans="1:6" x14ac:dyDescent="0.25">
      <c r="A13" s="36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189</v>
      </c>
    </row>
    <row r="14" spans="1:6" x14ac:dyDescent="0.25">
      <c r="A14" s="36">
        <v>43334.718541666669</v>
      </c>
      <c r="B14" s="3" t="s">
        <v>104</v>
      </c>
      <c r="C14" s="12">
        <v>19</v>
      </c>
      <c r="D14" s="12">
        <v>100</v>
      </c>
      <c r="E14" s="12">
        <v>81</v>
      </c>
      <c r="F14" s="3" t="s">
        <v>189</v>
      </c>
    </row>
    <row r="15" spans="1:6" x14ac:dyDescent="0.25">
      <c r="A15" s="36">
        <v>43334.718541666669</v>
      </c>
      <c r="B15" s="3" t="s">
        <v>103</v>
      </c>
      <c r="C15" s="12">
        <v>1</v>
      </c>
      <c r="D15" s="12">
        <v>4</v>
      </c>
      <c r="E15" s="12">
        <v>3</v>
      </c>
      <c r="F15" s="3" t="s">
        <v>189</v>
      </c>
    </row>
    <row r="16" spans="1:6" x14ac:dyDescent="0.25">
      <c r="A16" s="36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189</v>
      </c>
    </row>
    <row r="17" spans="1:6" x14ac:dyDescent="0.25">
      <c r="A17" s="36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189</v>
      </c>
    </row>
    <row r="18" spans="1:6" x14ac:dyDescent="0.25">
      <c r="A18" s="36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189</v>
      </c>
    </row>
    <row r="19" spans="1:6" x14ac:dyDescent="0.25">
      <c r="A19" s="36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189</v>
      </c>
    </row>
    <row r="20" spans="1:6" x14ac:dyDescent="0.25">
      <c r="A20" s="36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189</v>
      </c>
    </row>
    <row r="21" spans="1:6" x14ac:dyDescent="0.25">
      <c r="A21" s="36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189</v>
      </c>
    </row>
    <row r="22" spans="1:6" x14ac:dyDescent="0.25">
      <c r="A22" s="36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189</v>
      </c>
    </row>
    <row r="23" spans="1:6" x14ac:dyDescent="0.25">
      <c r="A23" s="36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189</v>
      </c>
    </row>
    <row r="24" spans="1:6" x14ac:dyDescent="0.25">
      <c r="A24" s="36">
        <v>43334.718541666669</v>
      </c>
      <c r="B24" s="3" t="s">
        <v>47</v>
      </c>
      <c r="C24" s="12">
        <v>1</v>
      </c>
      <c r="D24" s="12">
        <v>9</v>
      </c>
      <c r="E24" s="12">
        <v>8</v>
      </c>
      <c r="F24" s="3" t="s">
        <v>189</v>
      </c>
    </row>
    <row r="25" spans="1:6" x14ac:dyDescent="0.25">
      <c r="A25" s="36">
        <v>43334.718541666669</v>
      </c>
      <c r="B25" s="3" t="s">
        <v>171</v>
      </c>
      <c r="C25" s="12">
        <v>6</v>
      </c>
      <c r="D25" s="12">
        <v>100</v>
      </c>
      <c r="E25" s="12">
        <v>94</v>
      </c>
      <c r="F25" s="3" t="s">
        <v>189</v>
      </c>
    </row>
    <row r="26" spans="1:6" x14ac:dyDescent="0.25">
      <c r="A26" s="36">
        <v>43334.718541666669</v>
      </c>
      <c r="B26" s="3" t="s">
        <v>50</v>
      </c>
      <c r="C26" s="12">
        <v>1</v>
      </c>
      <c r="D26" s="12">
        <v>9</v>
      </c>
      <c r="E26" s="12">
        <v>8</v>
      </c>
      <c r="F26" s="3" t="s">
        <v>189</v>
      </c>
    </row>
    <row r="27" spans="1:6" x14ac:dyDescent="0.25">
      <c r="A27" s="36">
        <v>43334.718541666669</v>
      </c>
      <c r="B27" s="3" t="s">
        <v>53</v>
      </c>
      <c r="C27" s="12">
        <v>1</v>
      </c>
      <c r="D27" s="12">
        <v>19</v>
      </c>
      <c r="E27" s="12">
        <v>18</v>
      </c>
      <c r="F27" s="3" t="s">
        <v>189</v>
      </c>
    </row>
    <row r="28" spans="1:6" x14ac:dyDescent="0.25">
      <c r="A28" s="36">
        <v>43334.718541666669</v>
      </c>
      <c r="B28" s="3" t="s">
        <v>55</v>
      </c>
      <c r="C28" s="12">
        <v>1</v>
      </c>
      <c r="D28" s="12">
        <v>9</v>
      </c>
      <c r="E28" s="12">
        <v>8</v>
      </c>
      <c r="F28" s="3" t="s">
        <v>189</v>
      </c>
    </row>
    <row r="29" spans="1:6" x14ac:dyDescent="0.25">
      <c r="A29" s="36">
        <v>43334.718541666669</v>
      </c>
      <c r="B29" s="3" t="s">
        <v>56</v>
      </c>
      <c r="C29" s="12">
        <v>3</v>
      </c>
      <c r="D29" s="12">
        <v>7</v>
      </c>
      <c r="E29" s="12">
        <v>4</v>
      </c>
      <c r="F29" s="3" t="s">
        <v>189</v>
      </c>
    </row>
    <row r="30" spans="1:6" x14ac:dyDescent="0.25">
      <c r="A30" s="36">
        <v>43334.718541666669</v>
      </c>
      <c r="B30" s="3" t="s">
        <v>125</v>
      </c>
      <c r="C30" s="12">
        <v>1</v>
      </c>
      <c r="D30" s="12">
        <v>1</v>
      </c>
      <c r="E30" s="12">
        <v>0</v>
      </c>
      <c r="F30" s="3" t="s">
        <v>189</v>
      </c>
    </row>
    <row r="31" spans="1:6" x14ac:dyDescent="0.25">
      <c r="A31" s="36">
        <v>43334.718541666669</v>
      </c>
      <c r="B31" s="3" t="s">
        <v>70</v>
      </c>
      <c r="C31" s="12">
        <v>1</v>
      </c>
      <c r="D31" s="12">
        <v>1</v>
      </c>
      <c r="E31" s="12">
        <v>0</v>
      </c>
      <c r="F31" s="3" t="s">
        <v>189</v>
      </c>
    </row>
    <row r="32" spans="1:6" x14ac:dyDescent="0.25">
      <c r="A32" s="36">
        <v>43334.718541666669</v>
      </c>
      <c r="B32" s="3" t="s">
        <v>74</v>
      </c>
      <c r="C32" s="12">
        <v>1</v>
      </c>
      <c r="D32" s="12">
        <v>2</v>
      </c>
      <c r="E32" s="12">
        <v>1</v>
      </c>
      <c r="F32" s="3" t="s">
        <v>189</v>
      </c>
    </row>
    <row r="33" spans="1:6" x14ac:dyDescent="0.25">
      <c r="A33" s="36">
        <v>43334.718541666669</v>
      </c>
      <c r="B33" s="3" t="s">
        <v>144</v>
      </c>
      <c r="C33" s="12">
        <v>1</v>
      </c>
      <c r="D33" s="12">
        <v>1</v>
      </c>
      <c r="E33" s="12">
        <v>0</v>
      </c>
      <c r="F33" s="3" t="s">
        <v>189</v>
      </c>
    </row>
    <row r="34" spans="1:6" x14ac:dyDescent="0.25">
      <c r="A34" s="36">
        <v>43334.718541666669</v>
      </c>
      <c r="B34" s="3" t="s">
        <v>181</v>
      </c>
      <c r="C34" s="12">
        <v>1</v>
      </c>
      <c r="D34" s="12">
        <v>2</v>
      </c>
      <c r="E34" s="12">
        <v>1</v>
      </c>
      <c r="F34" s="3" t="s">
        <v>189</v>
      </c>
    </row>
    <row r="35" spans="1:6" x14ac:dyDescent="0.25">
      <c r="A35" s="36">
        <v>43334.718541666669</v>
      </c>
      <c r="B35" s="3" t="s">
        <v>182</v>
      </c>
      <c r="C35" s="12">
        <v>1</v>
      </c>
      <c r="D35" s="12">
        <v>1</v>
      </c>
      <c r="E35" s="12">
        <v>0</v>
      </c>
      <c r="F35" s="3" t="s">
        <v>189</v>
      </c>
    </row>
    <row r="36" spans="1:6" x14ac:dyDescent="0.25">
      <c r="A36" s="36">
        <v>43334.718541666669</v>
      </c>
      <c r="B36" s="3" t="s">
        <v>183</v>
      </c>
      <c r="C36" s="12">
        <v>1</v>
      </c>
      <c r="D36" s="12">
        <v>1</v>
      </c>
      <c r="E36" s="12">
        <v>0</v>
      </c>
      <c r="F36" s="3" t="s">
        <v>189</v>
      </c>
    </row>
    <row r="37" spans="1:6" x14ac:dyDescent="0.25">
      <c r="A37" s="36">
        <v>43334.718541666669</v>
      </c>
      <c r="B37" s="3" t="s">
        <v>184</v>
      </c>
      <c r="C37" s="12">
        <v>1</v>
      </c>
      <c r="D37" s="12">
        <v>9</v>
      </c>
      <c r="E37" s="12">
        <v>8</v>
      </c>
      <c r="F37" s="3" t="s">
        <v>189</v>
      </c>
    </row>
    <row r="38" spans="1:6" x14ac:dyDescent="0.25">
      <c r="A38" s="36">
        <v>43334.718541666669</v>
      </c>
      <c r="B38" s="3" t="s">
        <v>185</v>
      </c>
      <c r="C38" s="12">
        <v>1</v>
      </c>
      <c r="D38" s="12">
        <v>2</v>
      </c>
      <c r="E38" s="12">
        <v>1</v>
      </c>
      <c r="F38" s="3" t="s">
        <v>189</v>
      </c>
    </row>
    <row r="39" spans="1:6" x14ac:dyDescent="0.25">
      <c r="A39" s="36">
        <v>43334.7190162037</v>
      </c>
      <c r="B39" s="3" t="s">
        <v>49</v>
      </c>
      <c r="C39" s="12">
        <v>4</v>
      </c>
      <c r="D39" s="12">
        <v>4</v>
      </c>
      <c r="E39" s="12">
        <v>0</v>
      </c>
      <c r="F39" s="3" t="s">
        <v>186</v>
      </c>
    </row>
    <row r="40" spans="1:6" x14ac:dyDescent="0.25">
      <c r="A40" s="36">
        <v>43334.719236111108</v>
      </c>
      <c r="B40" s="3" t="s">
        <v>171</v>
      </c>
      <c r="C40" s="12">
        <v>-4</v>
      </c>
      <c r="D40" s="12">
        <v>94</v>
      </c>
      <c r="E40" s="12">
        <v>98</v>
      </c>
      <c r="F40" s="3" t="s">
        <v>186</v>
      </c>
    </row>
    <row r="41" spans="1:6" x14ac:dyDescent="0.25">
      <c r="A41" s="36">
        <v>43334.719768518517</v>
      </c>
      <c r="B41" s="3" t="s">
        <v>164</v>
      </c>
      <c r="C41" s="12">
        <v>1</v>
      </c>
      <c r="D41" s="12">
        <v>2</v>
      </c>
      <c r="E41" s="12">
        <v>1</v>
      </c>
      <c r="F41" s="3" t="s">
        <v>187</v>
      </c>
    </row>
    <row r="42" spans="1:6" x14ac:dyDescent="0.25">
      <c r="A42" s="36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188</v>
      </c>
    </row>
    <row r="43" spans="1:6" x14ac:dyDescent="0.25">
      <c r="A43" s="36">
        <v>43334.721782407411</v>
      </c>
      <c r="B43" s="3" t="s">
        <v>101</v>
      </c>
      <c r="C43" s="12">
        <v>6</v>
      </c>
      <c r="D43" s="12">
        <v>3.8</v>
      </c>
      <c r="E43" s="12">
        <v>-2.2000000000000002</v>
      </c>
      <c r="F43" s="3" t="s">
        <v>188</v>
      </c>
    </row>
    <row r="44" spans="1:6" x14ac:dyDescent="0.25">
      <c r="A44" s="36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188</v>
      </c>
    </row>
    <row r="45" spans="1:6" x14ac:dyDescent="0.25">
      <c r="A45" s="36">
        <v>43334.721898148149</v>
      </c>
      <c r="B45" s="3" t="s">
        <v>171</v>
      </c>
      <c r="C45" s="12">
        <v>1</v>
      </c>
      <c r="D45" s="12">
        <v>98</v>
      </c>
      <c r="E45" s="12">
        <v>97</v>
      </c>
      <c r="F45" s="3" t="s">
        <v>188</v>
      </c>
    </row>
    <row r="46" spans="1:6" x14ac:dyDescent="0.25">
      <c r="A46" s="36">
        <v>43463.663310185184</v>
      </c>
      <c r="B46" s="3" t="s">
        <v>300</v>
      </c>
      <c r="C46" s="12">
        <v>10</v>
      </c>
      <c r="D46" s="12">
        <v>0</v>
      </c>
      <c r="E46" s="12">
        <v>10</v>
      </c>
      <c r="F46" s="3" t="s">
        <v>234</v>
      </c>
    </row>
    <row r="47" spans="1:6" x14ac:dyDescent="0.25">
      <c r="A47" s="36">
        <v>43464.637476851851</v>
      </c>
      <c r="B47" s="3" t="s">
        <v>164</v>
      </c>
      <c r="C47" s="12">
        <v>3</v>
      </c>
      <c r="D47" s="12">
        <v>1</v>
      </c>
      <c r="E47" s="12">
        <v>4</v>
      </c>
      <c r="F47" s="3" t="s">
        <v>252</v>
      </c>
    </row>
    <row r="48" spans="1:6" x14ac:dyDescent="0.25">
      <c r="A48" s="36">
        <v>43464.637476851851</v>
      </c>
      <c r="B48" s="3" t="s">
        <v>196</v>
      </c>
      <c r="C48" s="12">
        <v>5</v>
      </c>
      <c r="D48" s="12">
        <v>0</v>
      </c>
      <c r="E48" s="12">
        <v>5</v>
      </c>
      <c r="F48" s="3" t="s">
        <v>253</v>
      </c>
    </row>
    <row r="49" spans="1:6" x14ac:dyDescent="0.25">
      <c r="A49" s="36">
        <v>43464.637476851851</v>
      </c>
      <c r="B49" s="3" t="s">
        <v>197</v>
      </c>
      <c r="C49" s="12">
        <v>5</v>
      </c>
      <c r="D49" s="12">
        <v>0</v>
      </c>
      <c r="E49" s="12">
        <v>5</v>
      </c>
      <c r="F49" s="3" t="s">
        <v>254</v>
      </c>
    </row>
    <row r="50" spans="1:6" x14ac:dyDescent="0.25">
      <c r="A50" s="36">
        <v>43464.637476851851</v>
      </c>
      <c r="B50" s="3" t="s">
        <v>202</v>
      </c>
      <c r="C50" s="12">
        <v>25</v>
      </c>
      <c r="D50" s="12">
        <v>0</v>
      </c>
      <c r="E50" s="12">
        <v>25</v>
      </c>
      <c r="F50" s="3" t="s">
        <v>255</v>
      </c>
    </row>
    <row r="51" spans="1:6" x14ac:dyDescent="0.25">
      <c r="A51" s="36">
        <v>43464.637476851851</v>
      </c>
      <c r="B51" s="3" t="s">
        <v>206</v>
      </c>
      <c r="C51" s="12">
        <v>5</v>
      </c>
      <c r="D51" s="12">
        <v>0</v>
      </c>
      <c r="E51" s="12">
        <v>5</v>
      </c>
      <c r="F51" s="3" t="s">
        <v>256</v>
      </c>
    </row>
    <row r="52" spans="1:6" x14ac:dyDescent="0.25">
      <c r="A52" s="36">
        <v>43464.637476851851</v>
      </c>
      <c r="B52" s="3" t="s">
        <v>210</v>
      </c>
      <c r="C52" s="12">
        <v>10</v>
      </c>
      <c r="D52" s="12">
        <v>0</v>
      </c>
      <c r="E52" s="12">
        <v>10</v>
      </c>
      <c r="F52" s="3" t="s">
        <v>257</v>
      </c>
    </row>
    <row r="53" spans="1:6" x14ac:dyDescent="0.25">
      <c r="A53" s="36">
        <v>43464.637476851851</v>
      </c>
      <c r="B53" s="3" t="s">
        <v>211</v>
      </c>
      <c r="C53" s="12">
        <v>10</v>
      </c>
      <c r="D53" s="12">
        <v>0</v>
      </c>
      <c r="E53" s="12">
        <v>10</v>
      </c>
      <c r="F53" s="3" t="s">
        <v>258</v>
      </c>
    </row>
    <row r="54" spans="1:6" x14ac:dyDescent="0.25">
      <c r="A54" s="36">
        <v>43464.637476851851</v>
      </c>
      <c r="B54" s="3" t="s">
        <v>213</v>
      </c>
      <c r="C54" s="12">
        <v>5</v>
      </c>
      <c r="D54" s="12">
        <v>0</v>
      </c>
      <c r="E54" s="12">
        <v>5</v>
      </c>
      <c r="F54" s="3" t="s">
        <v>259</v>
      </c>
    </row>
    <row r="55" spans="1:6" x14ac:dyDescent="0.25">
      <c r="A55" s="36">
        <v>43464.637476851851</v>
      </c>
      <c r="B55" s="3" t="s">
        <v>217</v>
      </c>
      <c r="C55" s="12">
        <v>5</v>
      </c>
      <c r="D55" s="12">
        <v>0</v>
      </c>
      <c r="E55" s="12">
        <v>5</v>
      </c>
      <c r="F55" s="3" t="s">
        <v>260</v>
      </c>
    </row>
    <row r="56" spans="1:6" x14ac:dyDescent="0.25">
      <c r="A56" s="36">
        <v>43464.637476851851</v>
      </c>
      <c r="B56" s="3" t="s">
        <v>221</v>
      </c>
      <c r="C56" s="12">
        <v>20</v>
      </c>
      <c r="D56" s="12">
        <v>0</v>
      </c>
      <c r="E56" s="12">
        <v>20</v>
      </c>
      <c r="F56" s="3" t="s">
        <v>261</v>
      </c>
    </row>
    <row r="57" spans="1:6" x14ac:dyDescent="0.25">
      <c r="A57" s="36">
        <v>43464.637476851851</v>
      </c>
      <c r="B57" s="3" t="s">
        <v>227</v>
      </c>
      <c r="C57" s="12">
        <v>100</v>
      </c>
      <c r="D57" s="12">
        <v>0</v>
      </c>
      <c r="E57" s="12">
        <v>100</v>
      </c>
      <c r="F57" s="3" t="s">
        <v>262</v>
      </c>
    </row>
    <row r="58" spans="1:6" x14ac:dyDescent="0.25">
      <c r="A58" s="36">
        <v>43464.637476851851</v>
      </c>
      <c r="B58" s="3" t="s">
        <v>224</v>
      </c>
      <c r="C58" s="12">
        <v>100</v>
      </c>
      <c r="D58" s="12">
        <v>0</v>
      </c>
      <c r="E58" s="12">
        <v>100</v>
      </c>
      <c r="F58" s="3" t="s">
        <v>263</v>
      </c>
    </row>
    <row r="59" spans="1:6" x14ac:dyDescent="0.25">
      <c r="A59" s="36">
        <v>43470.960046296299</v>
      </c>
      <c r="B59" s="3" t="s">
        <v>196</v>
      </c>
      <c r="C59" s="12">
        <v>1</v>
      </c>
      <c r="D59" s="12">
        <v>5</v>
      </c>
      <c r="E59" s="12">
        <v>4</v>
      </c>
      <c r="F59" s="3" t="s">
        <v>194</v>
      </c>
    </row>
    <row r="60" spans="1:6" x14ac:dyDescent="0.25">
      <c r="A60" s="36">
        <v>43470.960046296299</v>
      </c>
      <c r="B60" s="3" t="s">
        <v>197</v>
      </c>
      <c r="C60" s="12">
        <v>1</v>
      </c>
      <c r="D60" s="12">
        <v>5</v>
      </c>
      <c r="E60" s="12">
        <v>4</v>
      </c>
      <c r="F60" s="3" t="s">
        <v>194</v>
      </c>
    </row>
    <row r="61" spans="1:6" x14ac:dyDescent="0.25">
      <c r="A61" s="36">
        <v>43470.960046296299</v>
      </c>
      <c r="B61" s="3" t="s">
        <v>202</v>
      </c>
      <c r="C61" s="12">
        <v>1</v>
      </c>
      <c r="D61" s="12">
        <v>25</v>
      </c>
      <c r="E61" s="12">
        <v>24</v>
      </c>
      <c r="F61" s="3" t="s">
        <v>194</v>
      </c>
    </row>
    <row r="62" spans="1:6" x14ac:dyDescent="0.25">
      <c r="A62" s="36">
        <v>43470.960046296299</v>
      </c>
      <c r="B62" s="3" t="s">
        <v>206</v>
      </c>
      <c r="C62" s="12">
        <v>1</v>
      </c>
      <c r="D62" s="12">
        <v>5</v>
      </c>
      <c r="E62" s="12">
        <v>4</v>
      </c>
      <c r="F62" s="3" t="s">
        <v>194</v>
      </c>
    </row>
    <row r="63" spans="1:6" x14ac:dyDescent="0.25">
      <c r="A63" s="36">
        <v>43470.960046296299</v>
      </c>
      <c r="B63" s="3" t="s">
        <v>210</v>
      </c>
      <c r="C63" s="12">
        <v>1</v>
      </c>
      <c r="D63" s="12">
        <v>10</v>
      </c>
      <c r="E63" s="12">
        <v>9</v>
      </c>
      <c r="F63" s="3" t="s">
        <v>194</v>
      </c>
    </row>
    <row r="64" spans="1:6" x14ac:dyDescent="0.25">
      <c r="A64" s="36">
        <v>43470.960046296299</v>
      </c>
      <c r="B64" s="3" t="s">
        <v>211</v>
      </c>
      <c r="C64" s="12">
        <v>1</v>
      </c>
      <c r="D64" s="12">
        <v>10</v>
      </c>
      <c r="E64" s="12">
        <v>9</v>
      </c>
      <c r="F64" s="3" t="s">
        <v>194</v>
      </c>
    </row>
    <row r="65" spans="1:6" x14ac:dyDescent="0.25">
      <c r="A65" s="36">
        <v>43470.960046296299</v>
      </c>
      <c r="B65" s="3" t="s">
        <v>213</v>
      </c>
      <c r="C65" s="12">
        <v>1</v>
      </c>
      <c r="D65" s="12">
        <v>5</v>
      </c>
      <c r="E65" s="12">
        <v>4</v>
      </c>
      <c r="F65" s="3" t="s">
        <v>194</v>
      </c>
    </row>
    <row r="66" spans="1:6" x14ac:dyDescent="0.25">
      <c r="A66" s="36">
        <v>43470.960046296299</v>
      </c>
      <c r="B66" s="3" t="s">
        <v>217</v>
      </c>
      <c r="C66" s="12">
        <v>1</v>
      </c>
      <c r="D66" s="12">
        <v>5</v>
      </c>
      <c r="E66" s="12">
        <v>4</v>
      </c>
      <c r="F66" s="3" t="s">
        <v>194</v>
      </c>
    </row>
    <row r="67" spans="1:6" x14ac:dyDescent="0.25">
      <c r="A67" s="36">
        <v>43470.960046296299</v>
      </c>
      <c r="B67" s="3" t="s">
        <v>221</v>
      </c>
      <c r="C67" s="12">
        <v>3</v>
      </c>
      <c r="D67" s="12">
        <v>20</v>
      </c>
      <c r="E67" s="12">
        <v>17</v>
      </c>
      <c r="F67" s="3" t="s">
        <v>194</v>
      </c>
    </row>
    <row r="68" spans="1:6" x14ac:dyDescent="0.25">
      <c r="A68" s="36">
        <v>43470.960046296299</v>
      </c>
      <c r="B68" s="3" t="s">
        <v>171</v>
      </c>
      <c r="C68" s="12">
        <v>4</v>
      </c>
      <c r="D68" s="12">
        <v>97</v>
      </c>
      <c r="E68" s="12">
        <v>93</v>
      </c>
      <c r="F68" s="3" t="s">
        <v>194</v>
      </c>
    </row>
    <row r="69" spans="1:6" x14ac:dyDescent="0.25">
      <c r="A69" s="36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194</v>
      </c>
    </row>
    <row r="70" spans="1:6" x14ac:dyDescent="0.25">
      <c r="A70" s="36">
        <v>43470.960046296299</v>
      </c>
      <c r="B70" s="3" t="s">
        <v>224</v>
      </c>
      <c r="C70" s="12">
        <v>1</v>
      </c>
      <c r="D70" s="12">
        <v>100</v>
      </c>
      <c r="E70" s="12">
        <v>99</v>
      </c>
      <c r="F70" s="3" t="s">
        <v>194</v>
      </c>
    </row>
    <row r="71" spans="1:6" x14ac:dyDescent="0.25">
      <c r="A71" s="36">
        <v>43470.960046296299</v>
      </c>
      <c r="B71" s="3" t="s">
        <v>227</v>
      </c>
      <c r="C71" s="12">
        <v>1</v>
      </c>
      <c r="D71" s="12">
        <v>100</v>
      </c>
      <c r="E71" s="12">
        <v>99</v>
      </c>
      <c r="F71" s="3" t="s">
        <v>194</v>
      </c>
    </row>
    <row r="72" spans="1:6" x14ac:dyDescent="0.25">
      <c r="A72" s="36">
        <v>43470.960046296299</v>
      </c>
      <c r="B72" s="3" t="s">
        <v>300</v>
      </c>
      <c r="C72" s="12">
        <v>1</v>
      </c>
      <c r="D72" s="12">
        <v>10</v>
      </c>
      <c r="E72" s="12">
        <v>9</v>
      </c>
      <c r="F72" s="3" t="s">
        <v>194</v>
      </c>
    </row>
    <row r="73" spans="1:6" x14ac:dyDescent="0.25">
      <c r="A73" s="36">
        <v>43497.628275462965</v>
      </c>
      <c r="B73" s="3" t="s">
        <v>304</v>
      </c>
      <c r="C73" s="12" t="s">
        <v>307</v>
      </c>
      <c r="D73" s="12">
        <v>0</v>
      </c>
      <c r="E73" s="12" t="s">
        <v>307</v>
      </c>
      <c r="F73" s="3" t="s">
        <v>308</v>
      </c>
    </row>
    <row r="74" spans="1:6" x14ac:dyDescent="0.25">
      <c r="A74" s="36">
        <v>43497.784837962965</v>
      </c>
      <c r="B74" s="3" t="s">
        <v>310</v>
      </c>
      <c r="C74" s="12" t="s">
        <v>307</v>
      </c>
      <c r="D74" s="12">
        <v>0</v>
      </c>
      <c r="E74" s="12" t="s">
        <v>307</v>
      </c>
      <c r="F74" s="3" t="s">
        <v>308</v>
      </c>
    </row>
    <row r="75" spans="1:6" x14ac:dyDescent="0.25">
      <c r="A75" s="36">
        <v>43500.455185185187</v>
      </c>
      <c r="B75" s="3" t="s">
        <v>314</v>
      </c>
      <c r="C75" s="12" t="s">
        <v>307</v>
      </c>
      <c r="D75" s="12">
        <v>0</v>
      </c>
      <c r="E75" s="12" t="s">
        <v>307</v>
      </c>
      <c r="F75" s="3" t="s">
        <v>308</v>
      </c>
    </row>
    <row r="76" spans="1:6" x14ac:dyDescent="0.25">
      <c r="A76" s="36">
        <v>43500.457152777781</v>
      </c>
      <c r="B76" s="3" t="s">
        <v>318</v>
      </c>
      <c r="C76" s="12" t="s">
        <v>307</v>
      </c>
      <c r="D76" s="12">
        <v>0</v>
      </c>
      <c r="E76" s="12" t="s">
        <v>307</v>
      </c>
      <c r="F76" s="3" t="s">
        <v>308</v>
      </c>
    </row>
    <row r="77" spans="1:6" x14ac:dyDescent="0.25">
      <c r="A77" s="36">
        <v>43500.458449074074</v>
      </c>
      <c r="B77" s="3" t="s">
        <v>322</v>
      </c>
      <c r="C77" s="12" t="s">
        <v>307</v>
      </c>
      <c r="D77" s="12">
        <v>0</v>
      </c>
      <c r="E77" s="12" t="s">
        <v>307</v>
      </c>
      <c r="F77" s="3" t="s">
        <v>308</v>
      </c>
    </row>
    <row r="78" spans="1:6" x14ac:dyDescent="0.25">
      <c r="A78" s="36">
        <v>43502.505069444444</v>
      </c>
      <c r="B78" s="3" t="s">
        <v>335</v>
      </c>
      <c r="C78" s="12" t="s">
        <v>338</v>
      </c>
      <c r="D78" s="12">
        <v>0</v>
      </c>
      <c r="E78" s="12" t="s">
        <v>338</v>
      </c>
      <c r="F78" s="3" t="s">
        <v>308</v>
      </c>
    </row>
    <row r="79" spans="1:6" x14ac:dyDescent="0.25">
      <c r="A79" s="36">
        <v>43502.508912037039</v>
      </c>
      <c r="B79" s="3" t="s">
        <v>339</v>
      </c>
      <c r="C79" s="12" t="s">
        <v>338</v>
      </c>
      <c r="D79" s="12">
        <v>0</v>
      </c>
      <c r="E79" s="12" t="s">
        <v>338</v>
      </c>
      <c r="F79" s="3" t="s">
        <v>308</v>
      </c>
    </row>
    <row r="80" spans="1:6" x14ac:dyDescent="0.25">
      <c r="A80" s="36">
        <v>43502.509687500002</v>
      </c>
      <c r="B80" s="3" t="s">
        <v>342</v>
      </c>
      <c r="C80" s="12" t="s">
        <v>338</v>
      </c>
      <c r="D80" s="12">
        <v>0</v>
      </c>
      <c r="E80" s="12" t="s">
        <v>338</v>
      </c>
      <c r="F80" s="3" t="s">
        <v>308</v>
      </c>
    </row>
    <row r="81" spans="1:6" x14ac:dyDescent="0.25">
      <c r="A81" s="36">
        <v>43502.509965277779</v>
      </c>
      <c r="B81" s="3" t="s">
        <v>344</v>
      </c>
      <c r="C81" s="12" t="s">
        <v>338</v>
      </c>
      <c r="D81" s="12">
        <v>0</v>
      </c>
      <c r="E81" s="12" t="s">
        <v>338</v>
      </c>
      <c r="F81" s="3" t="s">
        <v>308</v>
      </c>
    </row>
    <row r="82" spans="1:6" x14ac:dyDescent="0.25">
      <c r="A82" s="36">
        <v>43506.582777777781</v>
      </c>
      <c r="B82" s="3" t="s">
        <v>182</v>
      </c>
      <c r="C82" s="12" t="s">
        <v>58</v>
      </c>
      <c r="D82" s="12" t="s">
        <v>58</v>
      </c>
      <c r="E82" s="12" t="s">
        <v>58</v>
      </c>
      <c r="F82" s="3" t="s">
        <v>363</v>
      </c>
    </row>
    <row r="83" spans="1:6" x14ac:dyDescent="0.25">
      <c r="A83" s="36">
        <v>43506.584803240738</v>
      </c>
      <c r="B83" s="3" t="s">
        <v>18</v>
      </c>
      <c r="C83" s="12" t="s">
        <v>58</v>
      </c>
      <c r="D83" s="12" t="s">
        <v>58</v>
      </c>
      <c r="E83" s="12" t="s">
        <v>58</v>
      </c>
      <c r="F83" s="3" t="s">
        <v>363</v>
      </c>
    </row>
    <row r="84" spans="1:6" x14ac:dyDescent="0.25">
      <c r="A84" s="36">
        <v>43506.584965277776</v>
      </c>
      <c r="B84" s="3" t="s">
        <v>91</v>
      </c>
      <c r="C84" s="12" t="s">
        <v>58</v>
      </c>
      <c r="D84" s="12" t="s">
        <v>58</v>
      </c>
      <c r="E84" s="12" t="s">
        <v>58</v>
      </c>
      <c r="F84" s="3" t="s">
        <v>363</v>
      </c>
    </row>
    <row r="85" spans="1:6" x14ac:dyDescent="0.25">
      <c r="A85" s="36">
        <v>43506.585150462961</v>
      </c>
      <c r="B85" s="3" t="s">
        <v>90</v>
      </c>
      <c r="C85" s="12" t="s">
        <v>58</v>
      </c>
      <c r="D85" s="12" t="s">
        <v>58</v>
      </c>
      <c r="E85" s="12" t="s">
        <v>58</v>
      </c>
      <c r="F85" s="3" t="s">
        <v>363</v>
      </c>
    </row>
    <row r="86" spans="1:6" x14ac:dyDescent="0.25">
      <c r="A86" s="36">
        <v>43506.59097222222</v>
      </c>
      <c r="B86" s="3" t="s">
        <v>322</v>
      </c>
      <c r="C86" s="12">
        <v>1</v>
      </c>
      <c r="D86" s="12">
        <v>0</v>
      </c>
      <c r="E86" s="12" t="s">
        <v>338</v>
      </c>
      <c r="F86" s="3" t="s">
        <v>370</v>
      </c>
    </row>
    <row r="87" spans="1:6" x14ac:dyDescent="0.25">
      <c r="A87" s="36">
        <v>43506.591550925928</v>
      </c>
      <c r="B87" s="3" t="s">
        <v>9</v>
      </c>
      <c r="C87" s="12" t="s">
        <v>58</v>
      </c>
      <c r="D87" s="12" t="s">
        <v>58</v>
      </c>
      <c r="E87" s="12" t="s">
        <v>58</v>
      </c>
      <c r="F87" s="3" t="s">
        <v>363</v>
      </c>
    </row>
    <row r="88" spans="1:6" x14ac:dyDescent="0.25">
      <c r="A88" s="36">
        <v>43506.592916666668</v>
      </c>
      <c r="B88" s="3" t="s">
        <v>22</v>
      </c>
      <c r="C88" s="12" t="s">
        <v>58</v>
      </c>
      <c r="D88" s="12" t="s">
        <v>58</v>
      </c>
      <c r="E88" s="12" t="s">
        <v>58</v>
      </c>
      <c r="F88" s="3" t="s">
        <v>363</v>
      </c>
    </row>
    <row r="89" spans="1:6" x14ac:dyDescent="0.25">
      <c r="A89" s="36">
        <v>43506.593032407407</v>
      </c>
      <c r="B89" s="3" t="s">
        <v>20</v>
      </c>
      <c r="C89" s="12" t="s">
        <v>58</v>
      </c>
      <c r="D89" s="12" t="s">
        <v>58</v>
      </c>
      <c r="E89" s="12" t="s">
        <v>58</v>
      </c>
      <c r="F89" s="3" t="s">
        <v>363</v>
      </c>
    </row>
    <row r="90" spans="1:6" x14ac:dyDescent="0.25">
      <c r="A90" s="36">
        <v>43506.593159722222</v>
      </c>
      <c r="B90" s="3" t="s">
        <v>24</v>
      </c>
      <c r="C90" s="12" t="s">
        <v>58</v>
      </c>
      <c r="D90" s="12" t="s">
        <v>58</v>
      </c>
      <c r="E90" s="12" t="s">
        <v>58</v>
      </c>
      <c r="F90" s="3" t="s">
        <v>363</v>
      </c>
    </row>
    <row r="91" spans="1:6" x14ac:dyDescent="0.25">
      <c r="A91" s="36">
        <v>43506.593275462961</v>
      </c>
      <c r="B91" s="3" t="s">
        <v>122</v>
      </c>
      <c r="C91" s="12" t="s">
        <v>58</v>
      </c>
      <c r="D91" s="12" t="s">
        <v>58</v>
      </c>
      <c r="E91" s="12" t="s">
        <v>58</v>
      </c>
      <c r="F91" s="3" t="s">
        <v>363</v>
      </c>
    </row>
    <row r="92" spans="1:6" x14ac:dyDescent="0.25">
      <c r="A92" s="36">
        <v>43506.593391203707</v>
      </c>
      <c r="B92" s="3" t="s">
        <v>202</v>
      </c>
      <c r="C92" s="12" t="s">
        <v>58</v>
      </c>
      <c r="D92" s="12" t="s">
        <v>58</v>
      </c>
      <c r="E92" s="12" t="s">
        <v>58</v>
      </c>
      <c r="F92" s="3" t="s">
        <v>363</v>
      </c>
    </row>
    <row r="93" spans="1:6" x14ac:dyDescent="0.25">
      <c r="A93" s="36">
        <v>43506.5937037037</v>
      </c>
      <c r="B93" s="3" t="s">
        <v>136</v>
      </c>
      <c r="C93" s="12" t="s">
        <v>58</v>
      </c>
      <c r="D93" s="12" t="s">
        <v>58</v>
      </c>
      <c r="E93" s="12" t="s">
        <v>58</v>
      </c>
      <c r="F93" s="3" t="s">
        <v>363</v>
      </c>
    </row>
    <row r="94" spans="1:6" x14ac:dyDescent="0.25">
      <c r="A94" s="36">
        <v>43506.593958333331</v>
      </c>
      <c r="B94" s="3" t="s">
        <v>133</v>
      </c>
      <c r="C94" s="12" t="s">
        <v>58</v>
      </c>
      <c r="D94" s="12" t="s">
        <v>58</v>
      </c>
      <c r="E94" s="12" t="s">
        <v>58</v>
      </c>
      <c r="F94" s="3" t="s">
        <v>363</v>
      </c>
    </row>
    <row r="95" spans="1:6" x14ac:dyDescent="0.25">
      <c r="A95" s="36">
        <v>43506.594108796293</v>
      </c>
      <c r="B95" s="3" t="s">
        <v>196</v>
      </c>
      <c r="C95" s="12" t="s">
        <v>58</v>
      </c>
      <c r="D95" s="12" t="s">
        <v>58</v>
      </c>
      <c r="E95" s="12" t="s">
        <v>58</v>
      </c>
      <c r="F95" s="3" t="s">
        <v>363</v>
      </c>
    </row>
    <row r="96" spans="1:6" x14ac:dyDescent="0.25">
      <c r="A96" s="36">
        <v>43506.594305555554</v>
      </c>
      <c r="B96" s="3" t="s">
        <v>197</v>
      </c>
      <c r="C96" s="12" t="s">
        <v>58</v>
      </c>
      <c r="D96" s="12" t="s">
        <v>58</v>
      </c>
      <c r="E96" s="12" t="s">
        <v>58</v>
      </c>
      <c r="F96" s="3" t="s">
        <v>363</v>
      </c>
    </row>
    <row r="97" spans="1:6" x14ac:dyDescent="0.25">
      <c r="A97" s="36">
        <v>43506.594652777778</v>
      </c>
      <c r="B97" s="3" t="s">
        <v>125</v>
      </c>
      <c r="C97" s="12" t="s">
        <v>58</v>
      </c>
      <c r="D97" s="12" t="s">
        <v>58</v>
      </c>
      <c r="E97" s="12" t="s">
        <v>58</v>
      </c>
      <c r="F97" s="3" t="s">
        <v>363</v>
      </c>
    </row>
    <row r="98" spans="1:6" x14ac:dyDescent="0.25">
      <c r="A98" s="36">
        <v>43506.596284722225</v>
      </c>
      <c r="B98" s="3" t="s">
        <v>19</v>
      </c>
      <c r="C98" s="12" t="s">
        <v>58</v>
      </c>
      <c r="D98" s="12" t="s">
        <v>58</v>
      </c>
      <c r="E98" s="12" t="s">
        <v>58</v>
      </c>
      <c r="F98" s="3" t="s">
        <v>363</v>
      </c>
    </row>
    <row r="99" spans="1:6" x14ac:dyDescent="0.25">
      <c r="A99" s="36">
        <v>43506.596585648149</v>
      </c>
      <c r="B99" s="3" t="s">
        <v>211</v>
      </c>
      <c r="C99" s="12" t="s">
        <v>58</v>
      </c>
      <c r="D99" s="12" t="s">
        <v>58</v>
      </c>
      <c r="E99" s="12" t="s">
        <v>58</v>
      </c>
      <c r="F99" s="3" t="s">
        <v>363</v>
      </c>
    </row>
    <row r="100" spans="1:6" x14ac:dyDescent="0.25">
      <c r="A100" s="36">
        <v>43506.596724537034</v>
      </c>
      <c r="B100" s="3" t="s">
        <v>210</v>
      </c>
      <c r="C100" s="12" t="s">
        <v>58</v>
      </c>
      <c r="D100" s="12" t="s">
        <v>58</v>
      </c>
      <c r="E100" s="12" t="s">
        <v>58</v>
      </c>
      <c r="F100" s="3" t="s">
        <v>363</v>
      </c>
    </row>
    <row r="101" spans="1:6" x14ac:dyDescent="0.25">
      <c r="A101" s="36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387</v>
      </c>
    </row>
    <row r="102" spans="1:6" x14ac:dyDescent="0.25">
      <c r="A102" s="36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387</v>
      </c>
    </row>
    <row r="103" spans="1:6" x14ac:dyDescent="0.25">
      <c r="A103" s="36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387</v>
      </c>
    </row>
    <row r="104" spans="1:6" x14ac:dyDescent="0.25">
      <c r="A104" s="36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387</v>
      </c>
    </row>
    <row r="105" spans="1:6" x14ac:dyDescent="0.25">
      <c r="A105" s="36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387</v>
      </c>
    </row>
    <row r="106" spans="1:6" x14ac:dyDescent="0.25">
      <c r="A106" s="36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387</v>
      </c>
    </row>
    <row r="107" spans="1:6" x14ac:dyDescent="0.25">
      <c r="A107" s="36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387</v>
      </c>
    </row>
    <row r="108" spans="1:6" x14ac:dyDescent="0.25">
      <c r="A108" s="36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387</v>
      </c>
    </row>
    <row r="109" spans="1:6" x14ac:dyDescent="0.25">
      <c r="A109" s="36">
        <v>43506.62771990741</v>
      </c>
      <c r="B109" s="3" t="s">
        <v>104</v>
      </c>
      <c r="C109" s="12">
        <v>19</v>
      </c>
      <c r="D109" s="12">
        <v>81</v>
      </c>
      <c r="E109" s="12">
        <v>100</v>
      </c>
      <c r="F109" s="3" t="s">
        <v>387</v>
      </c>
    </row>
    <row r="110" spans="1:6" x14ac:dyDescent="0.25">
      <c r="A110" s="36">
        <v>43506.62771990741</v>
      </c>
      <c r="B110" s="3" t="s">
        <v>103</v>
      </c>
      <c r="C110" s="12">
        <v>1</v>
      </c>
      <c r="D110" s="12">
        <v>3</v>
      </c>
      <c r="E110" s="12">
        <v>4</v>
      </c>
      <c r="F110" s="3" t="s">
        <v>387</v>
      </c>
    </row>
    <row r="111" spans="1:6" x14ac:dyDescent="0.25">
      <c r="A111" s="36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387</v>
      </c>
    </row>
    <row r="112" spans="1:6" x14ac:dyDescent="0.25">
      <c r="A112" s="36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387</v>
      </c>
    </row>
    <row r="113" spans="1:6" x14ac:dyDescent="0.25">
      <c r="A113" s="36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387</v>
      </c>
    </row>
    <row r="114" spans="1:6" x14ac:dyDescent="0.25">
      <c r="A114" s="36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387</v>
      </c>
    </row>
    <row r="115" spans="1:6" x14ac:dyDescent="0.25">
      <c r="A115" s="36">
        <v>43506.62771990741</v>
      </c>
      <c r="B115" s="3" t="s">
        <v>36</v>
      </c>
      <c r="C115" s="12" t="s">
        <v>388</v>
      </c>
      <c r="D115" s="12">
        <v>-0.63900000000000001</v>
      </c>
      <c r="E115" s="12">
        <v>0</v>
      </c>
      <c r="F115" s="3" t="s">
        <v>387</v>
      </c>
    </row>
    <row r="116" spans="1:6" x14ac:dyDescent="0.25">
      <c r="A116" s="36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387</v>
      </c>
    </row>
    <row r="117" spans="1:6" x14ac:dyDescent="0.25">
      <c r="A117" s="36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387</v>
      </c>
    </row>
    <row r="118" spans="1:6" x14ac:dyDescent="0.25">
      <c r="A118" s="36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387</v>
      </c>
    </row>
    <row r="119" spans="1:6" x14ac:dyDescent="0.25">
      <c r="A119" s="36">
        <v>43506.62771990741</v>
      </c>
      <c r="B119" s="3" t="s">
        <v>47</v>
      </c>
      <c r="C119" s="12">
        <v>1</v>
      </c>
      <c r="D119" s="12">
        <v>8</v>
      </c>
      <c r="E119" s="12">
        <v>9</v>
      </c>
      <c r="F119" s="3" t="s">
        <v>387</v>
      </c>
    </row>
    <row r="120" spans="1:6" x14ac:dyDescent="0.25">
      <c r="A120" s="36">
        <v>43506.62771990741</v>
      </c>
      <c r="B120" s="3" t="s">
        <v>171</v>
      </c>
      <c r="C120" s="12">
        <v>6</v>
      </c>
      <c r="D120" s="12">
        <v>93</v>
      </c>
      <c r="E120" s="12">
        <v>99</v>
      </c>
      <c r="F120" s="3" t="s">
        <v>387</v>
      </c>
    </row>
    <row r="121" spans="1:6" x14ac:dyDescent="0.25">
      <c r="A121" s="36">
        <v>43506.62771990741</v>
      </c>
      <c r="B121" s="3" t="s">
        <v>50</v>
      </c>
      <c r="C121" s="12">
        <v>1</v>
      </c>
      <c r="D121" s="12">
        <v>8</v>
      </c>
      <c r="E121" s="12">
        <v>9</v>
      </c>
      <c r="F121" s="3" t="s">
        <v>387</v>
      </c>
    </row>
    <row r="122" spans="1:6" x14ac:dyDescent="0.25">
      <c r="A122" s="36">
        <v>43506.62771990741</v>
      </c>
      <c r="B122" s="3" t="s">
        <v>53</v>
      </c>
      <c r="C122" s="12">
        <v>1</v>
      </c>
      <c r="D122" s="12">
        <v>18</v>
      </c>
      <c r="E122" s="12">
        <v>19</v>
      </c>
      <c r="F122" s="3" t="s">
        <v>387</v>
      </c>
    </row>
    <row r="123" spans="1:6" x14ac:dyDescent="0.25">
      <c r="A123" s="36">
        <v>43506.62771990741</v>
      </c>
      <c r="B123" s="3" t="s">
        <v>55</v>
      </c>
      <c r="C123" s="12">
        <v>1</v>
      </c>
      <c r="D123" s="12">
        <v>8</v>
      </c>
      <c r="E123" s="12">
        <v>9</v>
      </c>
      <c r="F123" s="3" t="s">
        <v>387</v>
      </c>
    </row>
    <row r="124" spans="1:6" x14ac:dyDescent="0.25">
      <c r="A124" s="36">
        <v>43506.62771990741</v>
      </c>
      <c r="B124" s="3" t="s">
        <v>56</v>
      </c>
      <c r="C124" s="12">
        <v>3</v>
      </c>
      <c r="D124" s="12">
        <v>4</v>
      </c>
      <c r="E124" s="12">
        <v>7</v>
      </c>
      <c r="F124" s="3" t="s">
        <v>387</v>
      </c>
    </row>
    <row r="125" spans="1:6" x14ac:dyDescent="0.25">
      <c r="A125" s="36">
        <v>43506.62771990741</v>
      </c>
      <c r="B125" s="3" t="s">
        <v>125</v>
      </c>
      <c r="C125" s="12">
        <v>1</v>
      </c>
      <c r="D125" s="12">
        <v>0</v>
      </c>
      <c r="E125" s="12">
        <v>1</v>
      </c>
      <c r="F125" s="3" t="s">
        <v>387</v>
      </c>
    </row>
    <row r="126" spans="1:6" x14ac:dyDescent="0.25">
      <c r="A126" s="36">
        <v>43506.62771990741</v>
      </c>
      <c r="B126" s="3" t="s">
        <v>70</v>
      </c>
      <c r="C126" s="12">
        <v>1</v>
      </c>
      <c r="D126" s="12">
        <v>0</v>
      </c>
      <c r="E126" s="12">
        <v>1</v>
      </c>
      <c r="F126" s="3" t="s">
        <v>387</v>
      </c>
    </row>
    <row r="127" spans="1:6" x14ac:dyDescent="0.25">
      <c r="A127" s="36">
        <v>43506.62771990741</v>
      </c>
      <c r="B127" s="3" t="s">
        <v>74</v>
      </c>
      <c r="C127" s="12">
        <v>1</v>
      </c>
      <c r="D127" s="12">
        <v>1</v>
      </c>
      <c r="E127" s="12">
        <v>2</v>
      </c>
      <c r="F127" s="3" t="s">
        <v>387</v>
      </c>
    </row>
    <row r="128" spans="1:6" x14ac:dyDescent="0.25">
      <c r="A128" s="36">
        <v>43506.62771990741</v>
      </c>
      <c r="B128" s="3" t="s">
        <v>144</v>
      </c>
      <c r="C128" s="12">
        <v>1</v>
      </c>
      <c r="D128" s="12">
        <v>0</v>
      </c>
      <c r="E128" s="12">
        <v>1</v>
      </c>
      <c r="F128" s="3" t="s">
        <v>387</v>
      </c>
    </row>
    <row r="129" spans="1:6" x14ac:dyDescent="0.25">
      <c r="A129" s="36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387</v>
      </c>
    </row>
    <row r="130" spans="1:6" x14ac:dyDescent="0.25">
      <c r="A130" s="36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387</v>
      </c>
    </row>
    <row r="131" spans="1:6" x14ac:dyDescent="0.25">
      <c r="A131" s="36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387</v>
      </c>
    </row>
    <row r="132" spans="1:6" x14ac:dyDescent="0.25">
      <c r="A132" s="36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387</v>
      </c>
    </row>
    <row r="133" spans="1:6" x14ac:dyDescent="0.25">
      <c r="A133" s="36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387</v>
      </c>
    </row>
    <row r="134" spans="1:6" x14ac:dyDescent="0.25">
      <c r="A134" s="36">
        <v>43512.96502314815</v>
      </c>
      <c r="B134" s="3" t="s">
        <v>389</v>
      </c>
      <c r="C134" s="12"/>
      <c r="D134" s="12">
        <v>0</v>
      </c>
      <c r="E134" s="12"/>
      <c r="F134" s="3" t="s">
        <v>308</v>
      </c>
    </row>
    <row r="135" spans="1:6" x14ac:dyDescent="0.25">
      <c r="A135" s="36">
        <v>43512.966874999998</v>
      </c>
      <c r="B135" s="3" t="s">
        <v>389</v>
      </c>
      <c r="C135" s="12" t="s">
        <v>392</v>
      </c>
      <c r="D135" s="12">
        <v>0</v>
      </c>
      <c r="E135" s="12" t="s">
        <v>392</v>
      </c>
      <c r="F135" s="3" t="s">
        <v>308</v>
      </c>
    </row>
    <row r="136" spans="1:6" x14ac:dyDescent="0.25">
      <c r="A136" s="36">
        <v>43519.51699074074</v>
      </c>
      <c r="B136" s="3" t="s">
        <v>301</v>
      </c>
      <c r="C136" s="12" t="s">
        <v>393</v>
      </c>
      <c r="D136" s="12">
        <v>0</v>
      </c>
      <c r="E136" s="12">
        <v>10</v>
      </c>
      <c r="F136" s="3" t="s">
        <v>403</v>
      </c>
    </row>
    <row r="137" spans="1:6" x14ac:dyDescent="0.25">
      <c r="A137" s="36">
        <v>43519.517534722225</v>
      </c>
      <c r="B137" s="3" t="s">
        <v>33</v>
      </c>
      <c r="C137" s="12" t="s">
        <v>58</v>
      </c>
      <c r="D137" s="12" t="s">
        <v>58</v>
      </c>
      <c r="E137" s="12" t="s">
        <v>58</v>
      </c>
      <c r="F137" s="3" t="s">
        <v>402</v>
      </c>
    </row>
    <row r="138" spans="1:6" x14ac:dyDescent="0.25">
      <c r="A138" s="36">
        <v>43519.51771990741</v>
      </c>
      <c r="B138" s="3" t="s">
        <v>12</v>
      </c>
      <c r="C138" s="12" t="s">
        <v>58</v>
      </c>
      <c r="D138" s="12" t="s">
        <v>58</v>
      </c>
      <c r="E138" s="12" t="s">
        <v>58</v>
      </c>
      <c r="F138" s="3" t="s">
        <v>402</v>
      </c>
    </row>
    <row r="139" spans="1:6" x14ac:dyDescent="0.25">
      <c r="A139" s="36">
        <v>43519.518425925926</v>
      </c>
      <c r="B139" s="3" t="s">
        <v>33</v>
      </c>
      <c r="C139" s="12" t="s">
        <v>58</v>
      </c>
      <c r="D139" s="12" t="s">
        <v>58</v>
      </c>
      <c r="E139" s="12" t="s">
        <v>58</v>
      </c>
      <c r="F139" s="3" t="s">
        <v>401</v>
      </c>
    </row>
    <row r="140" spans="1:6" x14ac:dyDescent="0.25">
      <c r="A140" s="36">
        <v>43519.518472222226</v>
      </c>
      <c r="B140" s="3" t="s">
        <v>12</v>
      </c>
      <c r="C140" s="12" t="s">
        <v>58</v>
      </c>
      <c r="D140" s="12" t="s">
        <v>58</v>
      </c>
      <c r="E140" s="12" t="s">
        <v>58</v>
      </c>
      <c r="F140" s="3" t="s">
        <v>401</v>
      </c>
    </row>
    <row r="141" spans="1:6" x14ac:dyDescent="0.25">
      <c r="A141" s="36">
        <v>43519.518576388888</v>
      </c>
      <c r="B141" s="3" t="s">
        <v>296</v>
      </c>
      <c r="C141" s="12" t="s">
        <v>58</v>
      </c>
      <c r="D141" s="12" t="s">
        <v>58</v>
      </c>
      <c r="E141" s="12" t="s">
        <v>58</v>
      </c>
      <c r="F141" s="3" t="s">
        <v>401</v>
      </c>
    </row>
    <row r="142" spans="1:6" x14ac:dyDescent="0.25">
      <c r="A142" s="36">
        <v>43519.518599537034</v>
      </c>
      <c r="B142" s="3" t="s">
        <v>56</v>
      </c>
      <c r="C142" s="12" t="s">
        <v>58</v>
      </c>
      <c r="D142" s="12" t="s">
        <v>58</v>
      </c>
      <c r="E142" s="12" t="s">
        <v>58</v>
      </c>
      <c r="F142" s="3" t="s">
        <v>401</v>
      </c>
    </row>
    <row r="143" spans="1:6" x14ac:dyDescent="0.25">
      <c r="A143" s="36">
        <v>43519.518622685187</v>
      </c>
      <c r="B143" s="3" t="s">
        <v>55</v>
      </c>
      <c r="C143" s="12" t="s">
        <v>58</v>
      </c>
      <c r="D143" s="12" t="s">
        <v>58</v>
      </c>
      <c r="E143" s="12" t="s">
        <v>58</v>
      </c>
      <c r="F143" s="3" t="s">
        <v>401</v>
      </c>
    </row>
    <row r="144" spans="1:6" x14ac:dyDescent="0.25">
      <c r="A144" s="36">
        <v>43519.518657407411</v>
      </c>
      <c r="B144" s="3" t="s">
        <v>53</v>
      </c>
      <c r="C144" s="12" t="s">
        <v>58</v>
      </c>
      <c r="D144" s="12" t="s">
        <v>58</v>
      </c>
      <c r="E144" s="12" t="s">
        <v>58</v>
      </c>
      <c r="F144" s="3" t="s">
        <v>401</v>
      </c>
    </row>
    <row r="145" spans="1:6" x14ac:dyDescent="0.25">
      <c r="A145" s="36">
        <v>43519.518703703703</v>
      </c>
      <c r="B145" s="3" t="s">
        <v>47</v>
      </c>
      <c r="C145" s="12" t="s">
        <v>58</v>
      </c>
      <c r="D145" s="12" t="s">
        <v>58</v>
      </c>
      <c r="E145" s="12" t="s">
        <v>58</v>
      </c>
      <c r="F145" s="3" t="s">
        <v>401</v>
      </c>
    </row>
    <row r="146" spans="1:6" x14ac:dyDescent="0.25">
      <c r="A146" s="36">
        <v>43519.518750000003</v>
      </c>
      <c r="B146" s="3" t="s">
        <v>50</v>
      </c>
      <c r="C146" s="12" t="s">
        <v>58</v>
      </c>
      <c r="D146" s="12" t="s">
        <v>58</v>
      </c>
      <c r="E146" s="12" t="s">
        <v>58</v>
      </c>
      <c r="F146" s="3" t="s">
        <v>401</v>
      </c>
    </row>
    <row r="147" spans="1:6" x14ac:dyDescent="0.25">
      <c r="A147" s="36">
        <v>43519.518773148149</v>
      </c>
      <c r="B147" s="3" t="s">
        <v>295</v>
      </c>
      <c r="C147" s="12" t="s">
        <v>58</v>
      </c>
      <c r="D147" s="12" t="s">
        <v>58</v>
      </c>
      <c r="E147" s="12" t="s">
        <v>58</v>
      </c>
      <c r="F147" s="3" t="s">
        <v>401</v>
      </c>
    </row>
    <row r="148" spans="1:6" x14ac:dyDescent="0.25">
      <c r="A148" s="36">
        <v>43519.518935185188</v>
      </c>
      <c r="B148" s="3" t="s">
        <v>49</v>
      </c>
      <c r="C148" s="12" t="s">
        <v>58</v>
      </c>
      <c r="D148" s="12" t="s">
        <v>58</v>
      </c>
      <c r="E148" s="12" t="s">
        <v>58</v>
      </c>
      <c r="F148" s="3" t="s">
        <v>401</v>
      </c>
    </row>
    <row r="149" spans="1:6" x14ac:dyDescent="0.25">
      <c r="A149" s="36">
        <v>43519.51903935185</v>
      </c>
      <c r="B149" s="3" t="s">
        <v>49</v>
      </c>
      <c r="C149" s="12" t="s">
        <v>58</v>
      </c>
      <c r="D149" s="12" t="s">
        <v>58</v>
      </c>
      <c r="E149" s="12" t="s">
        <v>58</v>
      </c>
      <c r="F149" s="3" t="s">
        <v>401</v>
      </c>
    </row>
    <row r="150" spans="1:6" x14ac:dyDescent="0.25">
      <c r="A150" s="36">
        <v>43540.741203703707</v>
      </c>
      <c r="B150" s="3" t="s">
        <v>322</v>
      </c>
      <c r="C150" s="12">
        <v>-1</v>
      </c>
      <c r="D150" s="12">
        <v>1</v>
      </c>
      <c r="E150" s="12">
        <v>0</v>
      </c>
      <c r="F150" s="3" t="s">
        <v>405</v>
      </c>
    </row>
    <row r="151" spans="1:6" x14ac:dyDescent="0.25">
      <c r="A151" s="36">
        <v>43569.402199074073</v>
      </c>
      <c r="B151" s="3" t="s">
        <v>322</v>
      </c>
      <c r="C151" s="12" t="s">
        <v>338</v>
      </c>
      <c r="D151" s="12">
        <v>0</v>
      </c>
      <c r="E151" s="12">
        <v>1</v>
      </c>
      <c r="F151" s="3" t="s">
        <v>406</v>
      </c>
    </row>
    <row r="152" spans="1:6" x14ac:dyDescent="0.25">
      <c r="A152" s="36">
        <v>43572.368414351855</v>
      </c>
      <c r="B152" s="3" t="s">
        <v>267</v>
      </c>
      <c r="C152" s="12" t="s">
        <v>58</v>
      </c>
      <c r="D152" s="12" t="s">
        <v>58</v>
      </c>
      <c r="E152" s="12" t="s">
        <v>58</v>
      </c>
      <c r="F152" s="3" t="s">
        <v>363</v>
      </c>
    </row>
    <row r="153" spans="1:6" x14ac:dyDescent="0.25">
      <c r="A153" s="36">
        <v>43574.645150462966</v>
      </c>
      <c r="B153" s="3" t="s">
        <v>249</v>
      </c>
      <c r="C153" s="12" t="s">
        <v>307</v>
      </c>
      <c r="D153" s="12">
        <v>0</v>
      </c>
      <c r="E153" s="12" t="s">
        <v>307</v>
      </c>
      <c r="F153" s="3" t="s">
        <v>444</v>
      </c>
    </row>
    <row r="154" spans="1:6" x14ac:dyDescent="0.25">
      <c r="A154" s="36">
        <v>43574.645150462966</v>
      </c>
      <c r="B154" s="3">
        <v>61304011021</v>
      </c>
      <c r="C154" s="12" t="s">
        <v>307</v>
      </c>
      <c r="D154" s="12">
        <v>0</v>
      </c>
      <c r="E154" s="12" t="s">
        <v>307</v>
      </c>
      <c r="F154" s="3" t="s">
        <v>444</v>
      </c>
    </row>
    <row r="155" spans="1:6" x14ac:dyDescent="0.25">
      <c r="A155" s="36">
        <v>43574.645150462966</v>
      </c>
      <c r="B155" s="3" t="s">
        <v>103</v>
      </c>
      <c r="C155" s="12" t="s">
        <v>307</v>
      </c>
      <c r="D155" s="12">
        <v>0</v>
      </c>
      <c r="E155" s="12" t="s">
        <v>307</v>
      </c>
      <c r="F155" s="3" t="s">
        <v>444</v>
      </c>
    </row>
    <row r="156" spans="1:6" x14ac:dyDescent="0.25">
      <c r="A156" s="36">
        <v>43574.645150462966</v>
      </c>
      <c r="B156" s="3" t="s">
        <v>28</v>
      </c>
      <c r="C156" s="12" t="s">
        <v>307</v>
      </c>
      <c r="D156" s="12">
        <v>0</v>
      </c>
      <c r="E156" s="12" t="s">
        <v>307</v>
      </c>
      <c r="F156" s="3" t="s">
        <v>444</v>
      </c>
    </row>
    <row r="157" spans="1:6" x14ac:dyDescent="0.25">
      <c r="A157" s="36">
        <v>43574.645150462966</v>
      </c>
      <c r="B157" s="3" t="s">
        <v>109</v>
      </c>
      <c r="C157" s="12" t="s">
        <v>307</v>
      </c>
      <c r="D157" s="12">
        <v>0</v>
      </c>
      <c r="E157" s="12" t="s">
        <v>307</v>
      </c>
      <c r="F157" s="3" t="s">
        <v>444</v>
      </c>
    </row>
    <row r="158" spans="1:6" x14ac:dyDescent="0.25">
      <c r="A158" s="36">
        <v>43574.645150462966</v>
      </c>
      <c r="B158" s="3" t="s">
        <v>104</v>
      </c>
      <c r="C158" s="12" t="s">
        <v>307</v>
      </c>
      <c r="D158" s="12">
        <v>0</v>
      </c>
      <c r="E158" s="12" t="s">
        <v>307</v>
      </c>
      <c r="F158" s="3" t="s">
        <v>444</v>
      </c>
    </row>
    <row r="159" spans="1:6" x14ac:dyDescent="0.25">
      <c r="A159" s="36">
        <v>43574.645150462966</v>
      </c>
      <c r="B159" s="3" t="s">
        <v>425</v>
      </c>
      <c r="C159" s="12" t="s">
        <v>307</v>
      </c>
      <c r="D159" s="12">
        <v>0</v>
      </c>
      <c r="E159" s="12" t="s">
        <v>307</v>
      </c>
      <c r="F159" s="3" t="s">
        <v>444</v>
      </c>
    </row>
    <row r="160" spans="1:6" x14ac:dyDescent="0.25">
      <c r="A160" s="36">
        <v>43574.645162037035</v>
      </c>
      <c r="B160" s="3" t="s">
        <v>426</v>
      </c>
      <c r="C160" s="12" t="s">
        <v>307</v>
      </c>
      <c r="D160" s="12">
        <v>0</v>
      </c>
      <c r="E160" s="12" t="s">
        <v>307</v>
      </c>
      <c r="F160" s="3" t="s">
        <v>444</v>
      </c>
    </row>
    <row r="161" spans="1:6" x14ac:dyDescent="0.25">
      <c r="A161" s="36">
        <v>43574.645162037035</v>
      </c>
      <c r="B161" s="3" t="s">
        <v>35</v>
      </c>
      <c r="C161" s="12" t="s">
        <v>307</v>
      </c>
      <c r="D161" s="12">
        <v>0</v>
      </c>
      <c r="E161" s="12" t="s">
        <v>307</v>
      </c>
      <c r="F161" s="3" t="s">
        <v>444</v>
      </c>
    </row>
    <row r="162" spans="1:6" x14ac:dyDescent="0.25">
      <c r="A162" s="36">
        <v>43574.645162037035</v>
      </c>
      <c r="B162" s="3" t="s">
        <v>119</v>
      </c>
      <c r="C162" s="12" t="s">
        <v>307</v>
      </c>
      <c r="D162" s="12">
        <v>0</v>
      </c>
      <c r="E162" s="12" t="s">
        <v>307</v>
      </c>
      <c r="F162" s="3" t="s">
        <v>444</v>
      </c>
    </row>
    <row r="163" spans="1:6" x14ac:dyDescent="0.25">
      <c r="A163" s="36">
        <v>43574.645162037035</v>
      </c>
      <c r="B163" s="3" t="s">
        <v>81</v>
      </c>
      <c r="C163" s="12" t="s">
        <v>307</v>
      </c>
      <c r="D163" s="12">
        <v>0</v>
      </c>
      <c r="E163" s="12" t="s">
        <v>307</v>
      </c>
      <c r="F163" s="3" t="s">
        <v>444</v>
      </c>
    </row>
    <row r="164" spans="1:6" x14ac:dyDescent="0.25">
      <c r="A164" s="36">
        <v>43574.645162037035</v>
      </c>
      <c r="B164" s="3" t="s">
        <v>428</v>
      </c>
      <c r="C164" s="12" t="s">
        <v>307</v>
      </c>
      <c r="D164" s="12">
        <v>0</v>
      </c>
      <c r="E164" s="12" t="s">
        <v>307</v>
      </c>
      <c r="F164" s="3" t="s">
        <v>444</v>
      </c>
    </row>
    <row r="165" spans="1:6" x14ac:dyDescent="0.25">
      <c r="A165" s="36">
        <v>43574.645162037035</v>
      </c>
      <c r="B165" s="3" t="s">
        <v>42</v>
      </c>
      <c r="C165" s="12" t="s">
        <v>307</v>
      </c>
      <c r="D165" s="12">
        <v>0</v>
      </c>
      <c r="E165" s="12" t="s">
        <v>307</v>
      </c>
      <c r="F165" s="3" t="s">
        <v>444</v>
      </c>
    </row>
    <row r="166" spans="1:6" x14ac:dyDescent="0.25">
      <c r="A166" s="36">
        <v>43574.645162037035</v>
      </c>
      <c r="B166" s="3" t="s">
        <v>22</v>
      </c>
      <c r="C166" s="12" t="s">
        <v>307</v>
      </c>
      <c r="D166" s="12">
        <v>0</v>
      </c>
      <c r="E166" s="12" t="s">
        <v>307</v>
      </c>
      <c r="F166" s="3" t="s">
        <v>444</v>
      </c>
    </row>
    <row r="167" spans="1:6" x14ac:dyDescent="0.25">
      <c r="A167" s="36">
        <v>43574.645162037035</v>
      </c>
      <c r="B167" s="3" t="s">
        <v>24</v>
      </c>
      <c r="C167" s="12" t="s">
        <v>307</v>
      </c>
      <c r="D167" s="12">
        <v>0</v>
      </c>
      <c r="E167" s="12" t="s">
        <v>307</v>
      </c>
      <c r="F167" s="3" t="s">
        <v>444</v>
      </c>
    </row>
    <row r="168" spans="1:6" x14ac:dyDescent="0.25">
      <c r="A168" s="36">
        <v>43574.645173611112</v>
      </c>
      <c r="B168" s="3" t="s">
        <v>39</v>
      </c>
      <c r="C168" s="12" t="s">
        <v>307</v>
      </c>
      <c r="D168" s="12">
        <v>0</v>
      </c>
      <c r="E168" s="12" t="s">
        <v>307</v>
      </c>
      <c r="F168" s="3" t="s">
        <v>444</v>
      </c>
    </row>
    <row r="169" spans="1:6" x14ac:dyDescent="0.25">
      <c r="A169" s="36">
        <v>43574.645173611112</v>
      </c>
      <c r="B169" s="3" t="s">
        <v>45</v>
      </c>
      <c r="C169" s="12" t="s">
        <v>307</v>
      </c>
      <c r="D169" s="12">
        <v>0</v>
      </c>
      <c r="E169" s="12" t="s">
        <v>307</v>
      </c>
      <c r="F169" s="3" t="s">
        <v>444</v>
      </c>
    </row>
    <row r="170" spans="1:6" x14ac:dyDescent="0.25">
      <c r="A170" s="36">
        <v>43574.645173611112</v>
      </c>
      <c r="B170" s="3" t="s">
        <v>33</v>
      </c>
      <c r="C170" s="12" t="s">
        <v>307</v>
      </c>
      <c r="D170" s="12">
        <v>0</v>
      </c>
      <c r="E170" s="12" t="s">
        <v>307</v>
      </c>
      <c r="F170" s="3" t="s">
        <v>444</v>
      </c>
    </row>
    <row r="171" spans="1:6" x14ac:dyDescent="0.25">
      <c r="A171" s="36">
        <v>43574.754791666666</v>
      </c>
      <c r="B171" s="3" t="s">
        <v>249</v>
      </c>
      <c r="C171" s="12">
        <v>1</v>
      </c>
      <c r="D171" s="12">
        <v>4</v>
      </c>
      <c r="E171" s="12" t="s">
        <v>392</v>
      </c>
      <c r="F171" s="3" t="s">
        <v>454</v>
      </c>
    </row>
    <row r="172" spans="1:6" x14ac:dyDescent="0.25">
      <c r="A172" s="36">
        <v>43574.755428240744</v>
      </c>
      <c r="B172" s="3">
        <v>61304011021</v>
      </c>
      <c r="C172" s="12" t="s">
        <v>338</v>
      </c>
      <c r="D172" s="12">
        <v>8.85</v>
      </c>
      <c r="E172" s="12">
        <v>9.85</v>
      </c>
      <c r="F172" s="3" t="s">
        <v>454</v>
      </c>
    </row>
    <row r="173" spans="1:6" x14ac:dyDescent="0.25">
      <c r="A173" s="36">
        <v>43574.755497685182</v>
      </c>
      <c r="B173" s="3" t="s">
        <v>103</v>
      </c>
      <c r="C173" s="12" t="s">
        <v>338</v>
      </c>
      <c r="D173" s="12">
        <v>3</v>
      </c>
      <c r="E173" s="12">
        <v>4</v>
      </c>
      <c r="F173" s="3" t="s">
        <v>454</v>
      </c>
    </row>
    <row r="174" spans="1:6" x14ac:dyDescent="0.25">
      <c r="A174" s="36">
        <v>43574.755694444444</v>
      </c>
      <c r="B174" s="3" t="s">
        <v>28</v>
      </c>
      <c r="C174" s="12" t="s">
        <v>338</v>
      </c>
      <c r="D174" s="12">
        <v>3</v>
      </c>
      <c r="E174" s="12">
        <v>4</v>
      </c>
      <c r="F174" s="3" t="s">
        <v>454</v>
      </c>
    </row>
    <row r="175" spans="1:6" x14ac:dyDescent="0.25">
      <c r="A175" s="36">
        <v>43574.755856481483</v>
      </c>
      <c r="B175" s="3" t="s">
        <v>109</v>
      </c>
      <c r="C175" s="12" t="s">
        <v>338</v>
      </c>
      <c r="D175" s="12">
        <v>18</v>
      </c>
      <c r="E175" s="12">
        <v>19</v>
      </c>
      <c r="F175" s="3" t="s">
        <v>454</v>
      </c>
    </row>
    <row r="176" spans="1:6" x14ac:dyDescent="0.25">
      <c r="A176" s="36">
        <v>43574.755891203706</v>
      </c>
      <c r="B176" s="3" t="s">
        <v>104</v>
      </c>
      <c r="C176" s="12" t="s">
        <v>338</v>
      </c>
      <c r="D176" s="12">
        <v>99</v>
      </c>
      <c r="E176" s="12">
        <v>100</v>
      </c>
      <c r="F176" s="3" t="s">
        <v>454</v>
      </c>
    </row>
    <row r="177" spans="1:6" x14ac:dyDescent="0.25">
      <c r="A177" s="36">
        <v>43574.756099537037</v>
      </c>
      <c r="B177" s="3" t="s">
        <v>35</v>
      </c>
      <c r="C177" s="12" t="s">
        <v>338</v>
      </c>
      <c r="D177" s="12">
        <v>1</v>
      </c>
      <c r="E177" s="12">
        <v>2</v>
      </c>
      <c r="F177" s="3" t="s">
        <v>454</v>
      </c>
    </row>
    <row r="178" spans="1:6" x14ac:dyDescent="0.25">
      <c r="A178" s="36">
        <v>43574.756180555552</v>
      </c>
      <c r="B178" s="3" t="s">
        <v>119</v>
      </c>
      <c r="C178" s="12" t="s">
        <v>338</v>
      </c>
      <c r="D178" s="12">
        <v>9</v>
      </c>
      <c r="E178" s="12">
        <v>10</v>
      </c>
      <c r="F178" s="3" t="s">
        <v>454</v>
      </c>
    </row>
    <row r="179" spans="1:6" x14ac:dyDescent="0.25">
      <c r="A179" s="36">
        <v>43574.756296296298</v>
      </c>
      <c r="B179" s="3" t="s">
        <v>81</v>
      </c>
      <c r="C179" s="12" t="s">
        <v>338</v>
      </c>
      <c r="D179" s="12">
        <v>-1</v>
      </c>
      <c r="E179" s="12">
        <v>0</v>
      </c>
      <c r="F179" s="3" t="s">
        <v>454</v>
      </c>
    </row>
    <row r="180" spans="1:6" x14ac:dyDescent="0.25">
      <c r="A180" s="36">
        <v>43574.75640046296</v>
      </c>
      <c r="B180" s="3" t="s">
        <v>42</v>
      </c>
      <c r="C180" s="12" t="s">
        <v>338</v>
      </c>
      <c r="D180" s="12">
        <v>15</v>
      </c>
      <c r="E180" s="12">
        <v>16</v>
      </c>
      <c r="F180" s="3" t="s">
        <v>454</v>
      </c>
    </row>
    <row r="181" spans="1:6" x14ac:dyDescent="0.25">
      <c r="A181" s="36">
        <v>43574.756585648145</v>
      </c>
      <c r="B181" s="3" t="s">
        <v>22</v>
      </c>
      <c r="C181" s="12" t="s">
        <v>338</v>
      </c>
      <c r="D181" s="12">
        <v>3</v>
      </c>
      <c r="E181" s="12">
        <v>4</v>
      </c>
      <c r="F181" s="3" t="s">
        <v>454</v>
      </c>
    </row>
    <row r="182" spans="1:6" x14ac:dyDescent="0.25">
      <c r="A182" s="36">
        <v>43574.756793981483</v>
      </c>
      <c r="B182" s="3" t="s">
        <v>24</v>
      </c>
      <c r="C182" s="12" t="s">
        <v>338</v>
      </c>
      <c r="D182" s="12">
        <v>8</v>
      </c>
      <c r="E182" s="12">
        <v>9</v>
      </c>
      <c r="F182" s="3" t="s">
        <v>454</v>
      </c>
    </row>
    <row r="183" spans="1:6" x14ac:dyDescent="0.25">
      <c r="A183" s="36">
        <v>43574.756944444445</v>
      </c>
      <c r="B183" s="3" t="s">
        <v>39</v>
      </c>
      <c r="C183" s="12" t="s">
        <v>338</v>
      </c>
      <c r="D183" s="12">
        <v>23</v>
      </c>
      <c r="E183" s="12">
        <v>24</v>
      </c>
      <c r="F183" s="3" t="s">
        <v>454</v>
      </c>
    </row>
    <row r="184" spans="1:6" x14ac:dyDescent="0.25">
      <c r="A184" s="36">
        <v>43574.757152777776</v>
      </c>
      <c r="B184" s="3" t="s">
        <v>45</v>
      </c>
      <c r="C184" s="12" t="s">
        <v>338</v>
      </c>
      <c r="D184" s="12">
        <v>0</v>
      </c>
      <c r="E184" s="12">
        <v>1</v>
      </c>
      <c r="F184" s="3" t="s">
        <v>454</v>
      </c>
    </row>
    <row r="185" spans="1:6" x14ac:dyDescent="0.25">
      <c r="A185" s="36">
        <v>43574.757256944446</v>
      </c>
      <c r="B185" s="3" t="s">
        <v>33</v>
      </c>
      <c r="C185" s="12" t="s">
        <v>338</v>
      </c>
      <c r="D185" s="12">
        <v>90</v>
      </c>
      <c r="E185" s="12">
        <v>91</v>
      </c>
      <c r="F185" s="3" t="s">
        <v>454</v>
      </c>
    </row>
    <row r="186" spans="1:6" x14ac:dyDescent="0.25">
      <c r="A186" s="36">
        <v>43576.402766203704</v>
      </c>
      <c r="B186" s="3" t="s">
        <v>460</v>
      </c>
      <c r="C186" s="12" t="s">
        <v>307</v>
      </c>
      <c r="D186" s="12">
        <v>0</v>
      </c>
      <c r="E186" s="12" t="s">
        <v>307</v>
      </c>
      <c r="F186" s="3" t="s">
        <v>475</v>
      </c>
    </row>
    <row r="187" spans="1:6" x14ac:dyDescent="0.25">
      <c r="A187" s="36">
        <v>43576.402766203704</v>
      </c>
      <c r="B187" s="3" t="s">
        <v>142</v>
      </c>
      <c r="C187" s="12" t="s">
        <v>307</v>
      </c>
      <c r="D187" s="12">
        <v>10</v>
      </c>
      <c r="E187" s="12">
        <v>10</v>
      </c>
      <c r="F187" s="3" t="s">
        <v>476</v>
      </c>
    </row>
    <row r="188" spans="1:6" x14ac:dyDescent="0.25">
      <c r="A188" s="36">
        <v>43576.402766203704</v>
      </c>
      <c r="B188" s="3" t="s">
        <v>463</v>
      </c>
      <c r="C188" s="12" t="s">
        <v>307</v>
      </c>
      <c r="D188" s="12">
        <v>0</v>
      </c>
      <c r="E188" s="12" t="s">
        <v>307</v>
      </c>
      <c r="F188" s="3" t="s">
        <v>475</v>
      </c>
    </row>
    <row r="189" spans="1:6" x14ac:dyDescent="0.25">
      <c r="A189" s="36">
        <v>43576.402766203704</v>
      </c>
      <c r="B189" s="3" t="s">
        <v>210</v>
      </c>
      <c r="C189" s="12" t="s">
        <v>307</v>
      </c>
      <c r="D189" s="12">
        <v>9</v>
      </c>
      <c r="E189" s="12">
        <v>9</v>
      </c>
      <c r="F189" s="3" t="s">
        <v>476</v>
      </c>
    </row>
    <row r="190" spans="1:6" x14ac:dyDescent="0.25">
      <c r="A190" s="36">
        <v>43576.402766203704</v>
      </c>
      <c r="B190" s="3" t="s">
        <v>466</v>
      </c>
      <c r="C190" s="12" t="s">
        <v>307</v>
      </c>
      <c r="D190" s="12">
        <v>0</v>
      </c>
      <c r="E190" s="12" t="s">
        <v>307</v>
      </c>
      <c r="F190" s="3" t="s">
        <v>475</v>
      </c>
    </row>
    <row r="191" spans="1:6" x14ac:dyDescent="0.25">
      <c r="A191" s="36">
        <v>43576.402766203704</v>
      </c>
      <c r="B191" s="3" t="s">
        <v>468</v>
      </c>
      <c r="C191" s="12" t="s">
        <v>307</v>
      </c>
      <c r="D191" s="12">
        <v>0</v>
      </c>
      <c r="E191" s="12" t="s">
        <v>307</v>
      </c>
      <c r="F191" s="3" t="s">
        <v>475</v>
      </c>
    </row>
    <row r="192" spans="1:6" x14ac:dyDescent="0.25">
      <c r="A192" s="36">
        <v>43576.402766203704</v>
      </c>
      <c r="B192" s="3" t="s">
        <v>471</v>
      </c>
      <c r="C192" s="12" t="s">
        <v>307</v>
      </c>
      <c r="D192" s="12">
        <v>0</v>
      </c>
      <c r="E192" s="12" t="s">
        <v>307</v>
      </c>
      <c r="F192" s="3" t="s">
        <v>475</v>
      </c>
    </row>
    <row r="193" spans="1:6" x14ac:dyDescent="0.25">
      <c r="A193" s="36">
        <v>43577.507824074077</v>
      </c>
      <c r="B193" s="3" t="s">
        <v>426</v>
      </c>
      <c r="C193" s="12"/>
      <c r="D193" s="12">
        <v>0</v>
      </c>
      <c r="E193" s="12"/>
      <c r="F193" s="3" t="s">
        <v>475</v>
      </c>
    </row>
    <row r="194" spans="1:6" x14ac:dyDescent="0.25">
      <c r="A194" s="36">
        <v>43578.430162037039</v>
      </c>
      <c r="B194" s="3" t="s">
        <v>36</v>
      </c>
      <c r="C194" s="12" t="s">
        <v>58</v>
      </c>
      <c r="D194" s="12" t="s">
        <v>58</v>
      </c>
      <c r="E194" s="12" t="s">
        <v>58</v>
      </c>
      <c r="F194" s="3" t="s">
        <v>363</v>
      </c>
    </row>
    <row r="195" spans="1:6" x14ac:dyDescent="0.25">
      <c r="A195" s="36">
        <v>43578.430439814816</v>
      </c>
      <c r="B195" s="3" t="s">
        <v>542</v>
      </c>
      <c r="C195" s="12" t="s">
        <v>58</v>
      </c>
      <c r="D195" s="12" t="s">
        <v>58</v>
      </c>
      <c r="E195" s="12" t="s">
        <v>58</v>
      </c>
      <c r="F195" s="3" t="s">
        <v>363</v>
      </c>
    </row>
    <row r="196" spans="1:6" x14ac:dyDescent="0.25">
      <c r="A196" s="36">
        <v>43578.430578703701</v>
      </c>
      <c r="B196" s="3" t="s">
        <v>543</v>
      </c>
      <c r="C196" s="12" t="s">
        <v>58</v>
      </c>
      <c r="D196" s="12" t="s">
        <v>58</v>
      </c>
      <c r="E196" s="12" t="s">
        <v>58</v>
      </c>
      <c r="F196" s="3" t="s">
        <v>363</v>
      </c>
    </row>
    <row r="197" spans="1:6" x14ac:dyDescent="0.25">
      <c r="A197" s="36">
        <v>43579.052037037036</v>
      </c>
      <c r="B197" s="3" t="s">
        <v>142</v>
      </c>
      <c r="C197" s="12" t="s">
        <v>58</v>
      </c>
      <c r="D197" s="12" t="s">
        <v>58</v>
      </c>
      <c r="E197" s="12" t="s">
        <v>58</v>
      </c>
      <c r="F197" s="3" t="s">
        <v>363</v>
      </c>
    </row>
    <row r="198" spans="1:6" x14ac:dyDescent="0.25">
      <c r="A198" s="36">
        <v>43579.466527777775</v>
      </c>
      <c r="B198" s="3" t="s">
        <v>171</v>
      </c>
      <c r="C198" s="12" t="s">
        <v>307</v>
      </c>
      <c r="D198" s="12">
        <v>99</v>
      </c>
      <c r="E198" s="12">
        <v>99</v>
      </c>
      <c r="F198" s="3" t="s">
        <v>476</v>
      </c>
    </row>
    <row r="199" spans="1:6" x14ac:dyDescent="0.25">
      <c r="A199" s="36">
        <v>43579.466527777775</v>
      </c>
      <c r="B199" s="3" t="s">
        <v>547</v>
      </c>
      <c r="C199" s="12" t="s">
        <v>307</v>
      </c>
      <c r="D199" s="12">
        <v>0</v>
      </c>
      <c r="E199" s="12" t="s">
        <v>307</v>
      </c>
      <c r="F199" s="3" t="s">
        <v>475</v>
      </c>
    </row>
    <row r="200" spans="1:6" x14ac:dyDescent="0.25">
      <c r="A200" s="36">
        <v>43579.466539351852</v>
      </c>
      <c r="B200" s="3" t="s">
        <v>548</v>
      </c>
      <c r="C200" s="12" t="s">
        <v>307</v>
      </c>
      <c r="D200" s="12">
        <v>0</v>
      </c>
      <c r="E200" s="12" t="s">
        <v>307</v>
      </c>
      <c r="F200" s="3" t="s">
        <v>475</v>
      </c>
    </row>
    <row r="201" spans="1:6" x14ac:dyDescent="0.25">
      <c r="A201" s="36">
        <v>43579.466539351852</v>
      </c>
      <c r="B201" s="3" t="s">
        <v>549</v>
      </c>
      <c r="C201" s="12" t="s">
        <v>307</v>
      </c>
      <c r="D201" s="12">
        <v>0</v>
      </c>
      <c r="E201" s="12" t="s">
        <v>307</v>
      </c>
      <c r="F201" s="3" t="s">
        <v>475</v>
      </c>
    </row>
    <row r="202" spans="1:6" x14ac:dyDescent="0.25">
      <c r="A202" s="36">
        <v>43579.466539351852</v>
      </c>
      <c r="B202" s="3" t="s">
        <v>550</v>
      </c>
      <c r="C202" s="12" t="s">
        <v>307</v>
      </c>
      <c r="D202" s="12">
        <v>0</v>
      </c>
      <c r="E202" s="12" t="s">
        <v>307</v>
      </c>
      <c r="F202" s="3" t="s">
        <v>475</v>
      </c>
    </row>
    <row r="203" spans="1:6" x14ac:dyDescent="0.25">
      <c r="A203" s="36">
        <v>43579.466539351852</v>
      </c>
      <c r="B203" s="3" t="s">
        <v>551</v>
      </c>
      <c r="C203" s="12" t="s">
        <v>307</v>
      </c>
      <c r="D203" s="12">
        <v>0</v>
      </c>
      <c r="E203" s="12" t="s">
        <v>307</v>
      </c>
      <c r="F203" s="3" t="s">
        <v>475</v>
      </c>
    </row>
    <row r="204" spans="1:6" x14ac:dyDescent="0.25">
      <c r="A204" s="36">
        <v>43579.466539351852</v>
      </c>
      <c r="B204" s="3" t="s">
        <v>552</v>
      </c>
      <c r="C204" s="12" t="s">
        <v>307</v>
      </c>
      <c r="D204" s="12">
        <v>0</v>
      </c>
      <c r="E204" s="12" t="s">
        <v>307</v>
      </c>
      <c r="F204" s="3" t="s">
        <v>475</v>
      </c>
    </row>
    <row r="205" spans="1:6" x14ac:dyDescent="0.25">
      <c r="A205" s="36">
        <v>43579.466539351852</v>
      </c>
      <c r="B205" s="3" t="s">
        <v>553</v>
      </c>
      <c r="C205" s="12" t="s">
        <v>307</v>
      </c>
      <c r="D205" s="12">
        <v>0</v>
      </c>
      <c r="E205" s="12" t="s">
        <v>307</v>
      </c>
      <c r="F205" s="3" t="s">
        <v>475</v>
      </c>
    </row>
    <row r="206" spans="1:6" x14ac:dyDescent="0.25">
      <c r="A206" s="36">
        <v>43579.466550925928</v>
      </c>
      <c r="B206" s="3" t="s">
        <v>554</v>
      </c>
      <c r="C206" s="12" t="s">
        <v>307</v>
      </c>
      <c r="D206" s="12">
        <v>0</v>
      </c>
      <c r="E206" s="12" t="s">
        <v>307</v>
      </c>
      <c r="F206" s="3" t="s">
        <v>475</v>
      </c>
    </row>
    <row r="207" spans="1:6" x14ac:dyDescent="0.25">
      <c r="A207" s="36">
        <v>43579.466550925928</v>
      </c>
      <c r="B207" s="3" t="s">
        <v>555</v>
      </c>
      <c r="C207" s="12" t="s">
        <v>307</v>
      </c>
      <c r="D207" s="12">
        <v>0</v>
      </c>
      <c r="E207" s="12" t="s">
        <v>307</v>
      </c>
      <c r="F207" s="3" t="s">
        <v>475</v>
      </c>
    </row>
    <row r="208" spans="1:6" x14ac:dyDescent="0.25">
      <c r="A208" s="36">
        <v>43579.466550925928</v>
      </c>
      <c r="B208" s="3" t="s">
        <v>556</v>
      </c>
      <c r="C208" s="12" t="s">
        <v>307</v>
      </c>
      <c r="D208" s="12">
        <v>0</v>
      </c>
      <c r="E208" s="12" t="s">
        <v>307</v>
      </c>
      <c r="F208" s="3" t="s">
        <v>475</v>
      </c>
    </row>
    <row r="209" spans="1:6" x14ac:dyDescent="0.25">
      <c r="A209" s="36">
        <v>43579.466550925928</v>
      </c>
      <c r="B209" s="3" t="s">
        <v>557</v>
      </c>
      <c r="C209" s="12" t="s">
        <v>307</v>
      </c>
      <c r="D209" s="12">
        <v>0</v>
      </c>
      <c r="E209" s="12" t="s">
        <v>307</v>
      </c>
      <c r="F209" s="3" t="s">
        <v>475</v>
      </c>
    </row>
    <row r="210" spans="1:6" x14ac:dyDescent="0.25">
      <c r="A210" s="36">
        <v>43579.466550925928</v>
      </c>
      <c r="B210" s="3" t="s">
        <v>558</v>
      </c>
      <c r="C210" s="12" t="s">
        <v>307</v>
      </c>
      <c r="D210" s="12">
        <v>0</v>
      </c>
      <c r="E210" s="12" t="s">
        <v>307</v>
      </c>
      <c r="F210" s="3" t="s">
        <v>475</v>
      </c>
    </row>
    <row r="211" spans="1:6" x14ac:dyDescent="0.25">
      <c r="A211" s="36">
        <v>43579.466550925928</v>
      </c>
      <c r="B211" s="3" t="s">
        <v>227</v>
      </c>
      <c r="C211" s="12" t="s">
        <v>307</v>
      </c>
      <c r="D211" s="12">
        <v>99</v>
      </c>
      <c r="E211" s="12">
        <v>99</v>
      </c>
      <c r="F211" s="3" t="s">
        <v>476</v>
      </c>
    </row>
    <row r="212" spans="1:6" x14ac:dyDescent="0.25">
      <c r="A212" s="36">
        <v>43579.466562499998</v>
      </c>
      <c r="B212" s="3" t="s">
        <v>559</v>
      </c>
      <c r="C212" s="12" t="s">
        <v>307</v>
      </c>
      <c r="D212" s="12">
        <v>0</v>
      </c>
      <c r="E212" s="12" t="s">
        <v>307</v>
      </c>
      <c r="F212" s="3" t="s">
        <v>475</v>
      </c>
    </row>
    <row r="213" spans="1:6" x14ac:dyDescent="0.25">
      <c r="A213" s="36">
        <v>43579.466562499998</v>
      </c>
      <c r="B213" s="3" t="s">
        <v>560</v>
      </c>
      <c r="C213" s="12" t="s">
        <v>307</v>
      </c>
      <c r="D213" s="12">
        <v>0</v>
      </c>
      <c r="E213" s="12" t="s">
        <v>307</v>
      </c>
      <c r="F213" s="3" t="s">
        <v>475</v>
      </c>
    </row>
    <row r="214" spans="1:6" x14ac:dyDescent="0.25">
      <c r="A214" s="36">
        <v>43579.466562499998</v>
      </c>
      <c r="B214" s="3" t="s">
        <v>561</v>
      </c>
      <c r="C214" s="12" t="s">
        <v>307</v>
      </c>
      <c r="D214" s="12">
        <v>0</v>
      </c>
      <c r="E214" s="12" t="s">
        <v>307</v>
      </c>
      <c r="F214" s="3" t="s">
        <v>475</v>
      </c>
    </row>
    <row r="215" spans="1:6" x14ac:dyDescent="0.25">
      <c r="A215" s="36">
        <v>43579.466562499998</v>
      </c>
      <c r="B215" s="3" t="s">
        <v>562</v>
      </c>
      <c r="C215" s="12" t="s">
        <v>307</v>
      </c>
      <c r="D215" s="12">
        <v>0</v>
      </c>
      <c r="E215" s="12" t="s">
        <v>307</v>
      </c>
      <c r="F215" s="3" t="s">
        <v>475</v>
      </c>
    </row>
    <row r="216" spans="1:6" x14ac:dyDescent="0.25">
      <c r="A216" s="36">
        <v>43579.466562499998</v>
      </c>
      <c r="B216" s="3" t="s">
        <v>563</v>
      </c>
      <c r="C216" s="12" t="s">
        <v>307</v>
      </c>
      <c r="D216" s="12">
        <v>0</v>
      </c>
      <c r="E216" s="12" t="s">
        <v>307</v>
      </c>
      <c r="F216" s="3" t="s">
        <v>475</v>
      </c>
    </row>
    <row r="217" spans="1:6" x14ac:dyDescent="0.25">
      <c r="A217" s="36">
        <v>43579.466574074075</v>
      </c>
      <c r="B217" s="3" t="s">
        <v>564</v>
      </c>
      <c r="C217" s="12" t="s">
        <v>307</v>
      </c>
      <c r="D217" s="12">
        <v>0</v>
      </c>
      <c r="E217" s="12" t="s">
        <v>307</v>
      </c>
      <c r="F217" s="3" t="s">
        <v>475</v>
      </c>
    </row>
    <row r="218" spans="1:6" x14ac:dyDescent="0.25">
      <c r="A218" s="36">
        <v>43579.466574074075</v>
      </c>
      <c r="B218" s="3" t="s">
        <v>565</v>
      </c>
      <c r="C218" s="12" t="s">
        <v>307</v>
      </c>
      <c r="D218" s="12">
        <v>0</v>
      </c>
      <c r="E218" s="12" t="s">
        <v>307</v>
      </c>
      <c r="F218" s="3" t="s">
        <v>475</v>
      </c>
    </row>
    <row r="219" spans="1:6" x14ac:dyDescent="0.25">
      <c r="A219" s="36">
        <v>43579.466574074075</v>
      </c>
      <c r="B219" s="3" t="s">
        <v>566</v>
      </c>
      <c r="C219" s="12" t="s">
        <v>307</v>
      </c>
      <c r="D219" s="12">
        <v>0</v>
      </c>
      <c r="E219" s="12" t="s">
        <v>307</v>
      </c>
      <c r="F219" s="3" t="s">
        <v>475</v>
      </c>
    </row>
    <row r="220" spans="1:6" x14ac:dyDescent="0.25">
      <c r="A220" s="36">
        <v>43579.466574074075</v>
      </c>
      <c r="B220" s="3" t="s">
        <v>567</v>
      </c>
      <c r="C220" s="12" t="s">
        <v>307</v>
      </c>
      <c r="D220" s="12">
        <v>0</v>
      </c>
      <c r="E220" s="12" t="s">
        <v>307</v>
      </c>
      <c r="F220" s="3" t="s">
        <v>475</v>
      </c>
    </row>
    <row r="221" spans="1:6" x14ac:dyDescent="0.25">
      <c r="A221" s="36">
        <v>43579.466574074075</v>
      </c>
      <c r="B221" s="3" t="s">
        <v>568</v>
      </c>
      <c r="C221" s="12" t="s">
        <v>307</v>
      </c>
      <c r="D221" s="12">
        <v>0</v>
      </c>
      <c r="E221" s="12" t="s">
        <v>307</v>
      </c>
      <c r="F221" s="3" t="s">
        <v>475</v>
      </c>
    </row>
    <row r="222" spans="1:6" x14ac:dyDescent="0.25">
      <c r="A222" s="36">
        <v>43579.466574074075</v>
      </c>
      <c r="B222" s="3" t="s">
        <v>171</v>
      </c>
      <c r="C222" s="12" t="s">
        <v>307</v>
      </c>
      <c r="D222" s="12">
        <v>99</v>
      </c>
      <c r="E222" s="12">
        <v>99</v>
      </c>
      <c r="F222" s="3" t="s">
        <v>476</v>
      </c>
    </row>
    <row r="223" spans="1:6" x14ac:dyDescent="0.25">
      <c r="A223" s="36">
        <v>43579.466574074075</v>
      </c>
      <c r="B223" s="3" t="s">
        <v>569</v>
      </c>
      <c r="C223" s="12" t="s">
        <v>307</v>
      </c>
      <c r="D223" s="12">
        <v>0</v>
      </c>
      <c r="E223" s="12" t="s">
        <v>307</v>
      </c>
      <c r="F223" s="3" t="s">
        <v>475</v>
      </c>
    </row>
    <row r="224" spans="1:6" x14ac:dyDescent="0.25">
      <c r="A224" s="36">
        <v>43579.466585648152</v>
      </c>
      <c r="B224" s="3" t="s">
        <v>570</v>
      </c>
      <c r="C224" s="12" t="s">
        <v>307</v>
      </c>
      <c r="D224" s="12">
        <v>0</v>
      </c>
      <c r="E224" s="12" t="s">
        <v>307</v>
      </c>
      <c r="F224" s="3" t="s">
        <v>475</v>
      </c>
    </row>
    <row r="225" spans="1:6" x14ac:dyDescent="0.25">
      <c r="A225" s="36">
        <v>43579.466585648152</v>
      </c>
      <c r="B225" s="3" t="s">
        <v>571</v>
      </c>
      <c r="C225" s="12" t="s">
        <v>307</v>
      </c>
      <c r="D225" s="12">
        <v>0</v>
      </c>
      <c r="E225" s="12" t="s">
        <v>307</v>
      </c>
      <c r="F225" s="3" t="s">
        <v>475</v>
      </c>
    </row>
    <row r="226" spans="1:6" x14ac:dyDescent="0.25">
      <c r="A226" s="36">
        <v>43579.466585648152</v>
      </c>
      <c r="B226" s="3" t="s">
        <v>572</v>
      </c>
      <c r="C226" s="12" t="s">
        <v>307</v>
      </c>
      <c r="D226" s="12">
        <v>0</v>
      </c>
      <c r="E226" s="12" t="s">
        <v>307</v>
      </c>
      <c r="F226" s="3" t="s">
        <v>475</v>
      </c>
    </row>
    <row r="227" spans="1:6" x14ac:dyDescent="0.25">
      <c r="A227" s="36">
        <v>43579.466585648152</v>
      </c>
      <c r="B227" s="3" t="s">
        <v>573</v>
      </c>
      <c r="C227" s="12" t="s">
        <v>307</v>
      </c>
      <c r="D227" s="12">
        <v>0</v>
      </c>
      <c r="E227" s="12" t="s">
        <v>307</v>
      </c>
      <c r="F227" s="3" t="s">
        <v>475</v>
      </c>
    </row>
    <row r="228" spans="1:6" x14ac:dyDescent="0.25">
      <c r="A228" s="36">
        <v>43579.466585648152</v>
      </c>
      <c r="B228" s="3" t="s">
        <v>574</v>
      </c>
      <c r="C228" s="12" t="s">
        <v>307</v>
      </c>
      <c r="D228" s="12">
        <v>0</v>
      </c>
      <c r="E228" s="12" t="s">
        <v>307</v>
      </c>
      <c r="F228" s="3" t="s">
        <v>475</v>
      </c>
    </row>
    <row r="229" spans="1:6" x14ac:dyDescent="0.25">
      <c r="A229" s="36">
        <v>43579.466585648152</v>
      </c>
      <c r="B229" s="3" t="s">
        <v>575</v>
      </c>
      <c r="C229" s="12" t="s">
        <v>307</v>
      </c>
      <c r="D229" s="12">
        <v>0</v>
      </c>
      <c r="E229" s="12" t="s">
        <v>307</v>
      </c>
      <c r="F229" s="3" t="s">
        <v>475</v>
      </c>
    </row>
    <row r="230" spans="1:6" x14ac:dyDescent="0.25">
      <c r="A230" s="36">
        <v>43579.466597222221</v>
      </c>
      <c r="B230" s="3" t="s">
        <v>576</v>
      </c>
      <c r="C230" s="12" t="s">
        <v>307</v>
      </c>
      <c r="D230" s="12">
        <v>0</v>
      </c>
      <c r="E230" s="12" t="s">
        <v>307</v>
      </c>
      <c r="F230" s="3" t="s">
        <v>475</v>
      </c>
    </row>
    <row r="231" spans="1:6" x14ac:dyDescent="0.25">
      <c r="A231" s="36">
        <v>43579.466597222221</v>
      </c>
      <c r="B231" s="3" t="s">
        <v>577</v>
      </c>
      <c r="C231" s="12" t="s">
        <v>307</v>
      </c>
      <c r="D231" s="12">
        <v>0</v>
      </c>
      <c r="E231" s="12" t="s">
        <v>307</v>
      </c>
      <c r="F231" s="3" t="s">
        <v>475</v>
      </c>
    </row>
    <row r="232" spans="1:6" x14ac:dyDescent="0.25">
      <c r="A232" s="36">
        <v>43579.466597222221</v>
      </c>
      <c r="B232" s="3" t="s">
        <v>578</v>
      </c>
      <c r="C232" s="12" t="s">
        <v>307</v>
      </c>
      <c r="D232" s="12">
        <v>0</v>
      </c>
      <c r="E232" s="12" t="s">
        <v>307</v>
      </c>
      <c r="F232" s="3" t="s">
        <v>475</v>
      </c>
    </row>
    <row r="233" spans="1:6" x14ac:dyDescent="0.25">
      <c r="A233" s="36">
        <v>43579.466597222221</v>
      </c>
      <c r="B233" s="3" t="s">
        <v>579</v>
      </c>
      <c r="C233" s="12" t="s">
        <v>307</v>
      </c>
      <c r="D233" s="12">
        <v>0</v>
      </c>
      <c r="E233" s="12" t="s">
        <v>307</v>
      </c>
      <c r="F233" s="3" t="s">
        <v>475</v>
      </c>
    </row>
    <row r="234" spans="1:6" x14ac:dyDescent="0.25">
      <c r="A234" s="36">
        <v>43579.466597222221</v>
      </c>
      <c r="B234" s="3" t="s">
        <v>580</v>
      </c>
      <c r="C234" s="12" t="s">
        <v>307</v>
      </c>
      <c r="D234" s="12">
        <v>0</v>
      </c>
      <c r="E234" s="12" t="s">
        <v>307</v>
      </c>
      <c r="F234" s="3" t="s">
        <v>475</v>
      </c>
    </row>
    <row r="235" spans="1:6" x14ac:dyDescent="0.25">
      <c r="A235" s="36">
        <v>43579.466597222221</v>
      </c>
      <c r="B235" s="3" t="s">
        <v>581</v>
      </c>
      <c r="C235" s="12" t="s">
        <v>307</v>
      </c>
      <c r="D235" s="12">
        <v>0</v>
      </c>
      <c r="E235" s="12" t="s">
        <v>307</v>
      </c>
      <c r="F235" s="3" t="s">
        <v>475</v>
      </c>
    </row>
    <row r="236" spans="1:6" x14ac:dyDescent="0.25">
      <c r="A236" s="36">
        <v>43579.466597222221</v>
      </c>
      <c r="B236" s="3" t="s">
        <v>582</v>
      </c>
      <c r="C236" s="12" t="s">
        <v>307</v>
      </c>
      <c r="D236" s="12">
        <v>0</v>
      </c>
      <c r="E236" s="12" t="s">
        <v>307</v>
      </c>
      <c r="F236" s="3" t="s">
        <v>475</v>
      </c>
    </row>
    <row r="237" spans="1:6" x14ac:dyDescent="0.25">
      <c r="A237" s="36">
        <v>43579.588634259257</v>
      </c>
      <c r="B237" s="3" t="s">
        <v>460</v>
      </c>
      <c r="C237" s="12" t="s">
        <v>58</v>
      </c>
      <c r="D237" s="12" t="s">
        <v>58</v>
      </c>
      <c r="E237" s="12" t="s">
        <v>58</v>
      </c>
      <c r="F237" s="3" t="s">
        <v>363</v>
      </c>
    </row>
    <row r="238" spans="1:6" x14ac:dyDescent="0.25">
      <c r="A238" s="36">
        <v>43580.400092592594</v>
      </c>
      <c r="B238" s="3" t="s">
        <v>535</v>
      </c>
      <c r="C238" s="12" t="s">
        <v>307</v>
      </c>
      <c r="D238" s="12">
        <v>0</v>
      </c>
      <c r="E238" s="12" t="s">
        <v>307</v>
      </c>
      <c r="F238" s="3" t="s">
        <v>475</v>
      </c>
    </row>
    <row r="239" spans="1:6" x14ac:dyDescent="0.25">
      <c r="A239" s="36">
        <v>43580.400925925926</v>
      </c>
      <c r="B239" s="3" t="s">
        <v>534</v>
      </c>
      <c r="C239" s="12" t="s">
        <v>307</v>
      </c>
      <c r="D239" s="12">
        <v>0</v>
      </c>
      <c r="E239" s="12" t="s">
        <v>307</v>
      </c>
      <c r="F239" s="3" t="s">
        <v>475</v>
      </c>
    </row>
    <row r="240" spans="1:6" x14ac:dyDescent="0.25">
      <c r="A240" s="36">
        <v>43580.401284722226</v>
      </c>
      <c r="B240" s="3" t="s">
        <v>536</v>
      </c>
      <c r="C240" s="12" t="s">
        <v>307</v>
      </c>
      <c r="D240" s="12">
        <v>0</v>
      </c>
      <c r="E240" s="12" t="s">
        <v>307</v>
      </c>
      <c r="F240" s="3" t="s">
        <v>475</v>
      </c>
    </row>
    <row r="241" spans="1:6" x14ac:dyDescent="0.25">
      <c r="A241" s="36">
        <v>43580.401620370372</v>
      </c>
      <c r="B241" s="3" t="s">
        <v>537</v>
      </c>
      <c r="C241" s="12" t="s">
        <v>307</v>
      </c>
      <c r="D241" s="12">
        <v>0</v>
      </c>
      <c r="E241" s="12" t="s">
        <v>307</v>
      </c>
      <c r="F241" s="3" t="s">
        <v>475</v>
      </c>
    </row>
    <row r="242" spans="1:6" x14ac:dyDescent="0.25">
      <c r="A242" s="36">
        <v>43580.414942129632</v>
      </c>
      <c r="B242" s="3" t="s">
        <v>539</v>
      </c>
      <c r="C242" s="12" t="s">
        <v>307</v>
      </c>
      <c r="D242" s="12">
        <v>0</v>
      </c>
      <c r="E242" s="12" t="s">
        <v>307</v>
      </c>
      <c r="F242" s="3" t="s">
        <v>475</v>
      </c>
    </row>
    <row r="243" spans="1:6" x14ac:dyDescent="0.25">
      <c r="A243" s="36">
        <v>43580.415138888886</v>
      </c>
      <c r="B243" s="3" t="s">
        <v>538</v>
      </c>
      <c r="C243" s="12" t="s">
        <v>307</v>
      </c>
      <c r="D243" s="12">
        <v>0</v>
      </c>
      <c r="E243" s="12" t="s">
        <v>307</v>
      </c>
      <c r="F243" s="3" t="s">
        <v>475</v>
      </c>
    </row>
    <row r="244" spans="1:6" x14ac:dyDescent="0.25">
      <c r="A244" s="36">
        <v>43580.423252314817</v>
      </c>
      <c r="B244" s="3" t="s">
        <v>597</v>
      </c>
      <c r="C244" s="12" t="s">
        <v>307</v>
      </c>
      <c r="D244" s="12">
        <v>0</v>
      </c>
      <c r="E244" s="12" t="s">
        <v>307</v>
      </c>
      <c r="F244" s="3" t="s">
        <v>475</v>
      </c>
    </row>
    <row r="245" spans="1:6" x14ac:dyDescent="0.25">
      <c r="A245" s="36">
        <v>43580.423252314817</v>
      </c>
      <c r="B245" s="3" t="s">
        <v>598</v>
      </c>
      <c r="C245" s="12" t="s">
        <v>307</v>
      </c>
      <c r="D245" s="12">
        <v>0</v>
      </c>
      <c r="E245" s="12" t="s">
        <v>307</v>
      </c>
      <c r="F245" s="3" t="s">
        <v>475</v>
      </c>
    </row>
    <row r="246" spans="1:6" x14ac:dyDescent="0.25">
      <c r="A246" s="36">
        <v>43580.423252314817</v>
      </c>
      <c r="B246" s="3" t="s">
        <v>599</v>
      </c>
      <c r="C246" s="12" t="s">
        <v>307</v>
      </c>
      <c r="D246" s="12">
        <v>0</v>
      </c>
      <c r="E246" s="12" t="s">
        <v>307</v>
      </c>
      <c r="F246" s="3" t="s">
        <v>475</v>
      </c>
    </row>
    <row r="247" spans="1:6" x14ac:dyDescent="0.25">
      <c r="A247" s="36">
        <v>43580.423252314817</v>
      </c>
      <c r="B247" s="3" t="s">
        <v>600</v>
      </c>
      <c r="C247" s="12" t="s">
        <v>307</v>
      </c>
      <c r="D247" s="12">
        <v>0</v>
      </c>
      <c r="E247" s="12" t="s">
        <v>307</v>
      </c>
      <c r="F247" s="3" t="s">
        <v>475</v>
      </c>
    </row>
    <row r="248" spans="1:6" x14ac:dyDescent="0.25">
      <c r="A248" s="36">
        <v>43580.423263888886</v>
      </c>
      <c r="B248" s="3" t="s">
        <v>601</v>
      </c>
      <c r="C248" s="12" t="s">
        <v>307</v>
      </c>
      <c r="D248" s="12">
        <v>0</v>
      </c>
      <c r="E248" s="12" t="s">
        <v>307</v>
      </c>
      <c r="F248" s="3" t="s">
        <v>475</v>
      </c>
    </row>
    <row r="249" spans="1:6" x14ac:dyDescent="0.25">
      <c r="A249" s="36">
        <v>43580.423263888886</v>
      </c>
      <c r="B249" s="3" t="s">
        <v>602</v>
      </c>
      <c r="C249" s="12" t="s">
        <v>307</v>
      </c>
      <c r="D249" s="12">
        <v>0</v>
      </c>
      <c r="E249" s="12" t="s">
        <v>307</v>
      </c>
      <c r="F249" s="3" t="s">
        <v>475</v>
      </c>
    </row>
    <row r="250" spans="1:6" x14ac:dyDescent="0.25">
      <c r="A250" s="36">
        <v>43580.423263888886</v>
      </c>
      <c r="B250" s="3" t="s">
        <v>603</v>
      </c>
      <c r="C250" s="12" t="s">
        <v>307</v>
      </c>
      <c r="D250" s="12">
        <v>0</v>
      </c>
      <c r="E250" s="12" t="s">
        <v>307</v>
      </c>
      <c r="F250" s="3" t="s">
        <v>475</v>
      </c>
    </row>
    <row r="251" spans="1:6" x14ac:dyDescent="0.25">
      <c r="A251" s="36">
        <v>43580.423263888886</v>
      </c>
      <c r="B251" s="3" t="s">
        <v>604</v>
      </c>
      <c r="C251" s="12" t="s">
        <v>307</v>
      </c>
      <c r="D251" s="12">
        <v>0</v>
      </c>
      <c r="E251" s="12" t="s">
        <v>307</v>
      </c>
      <c r="F251" s="3" t="s">
        <v>475</v>
      </c>
    </row>
    <row r="252" spans="1:6" x14ac:dyDescent="0.25">
      <c r="A252" s="36">
        <v>43580.423263888886</v>
      </c>
      <c r="B252" s="3" t="s">
        <v>605</v>
      </c>
      <c r="C252" s="12" t="s">
        <v>307</v>
      </c>
      <c r="D252" s="12">
        <v>0</v>
      </c>
      <c r="E252" s="12" t="s">
        <v>307</v>
      </c>
      <c r="F252" s="3" t="s">
        <v>475</v>
      </c>
    </row>
    <row r="253" spans="1:6" x14ac:dyDescent="0.25">
      <c r="A253" s="36">
        <v>43580.423263888886</v>
      </c>
      <c r="B253" s="3" t="s">
        <v>606</v>
      </c>
      <c r="C253" s="12" t="s">
        <v>307</v>
      </c>
      <c r="D253" s="12">
        <v>0</v>
      </c>
      <c r="E253" s="12" t="s">
        <v>307</v>
      </c>
      <c r="F253" s="3" t="s">
        <v>475</v>
      </c>
    </row>
    <row r="254" spans="1:6" x14ac:dyDescent="0.25">
      <c r="A254" s="36">
        <v>43580.423263888886</v>
      </c>
      <c r="B254" s="3" t="s">
        <v>607</v>
      </c>
      <c r="C254" s="12" t="s">
        <v>307</v>
      </c>
      <c r="D254" s="12">
        <v>0</v>
      </c>
      <c r="E254" s="12" t="s">
        <v>307</v>
      </c>
      <c r="F254" s="3" t="s">
        <v>475</v>
      </c>
    </row>
    <row r="255" spans="1:6" x14ac:dyDescent="0.25">
      <c r="A255" s="36">
        <v>43580.423263888886</v>
      </c>
      <c r="B255" s="3" t="s">
        <v>608</v>
      </c>
      <c r="C255" s="12" t="s">
        <v>307</v>
      </c>
      <c r="D255" s="12">
        <v>0</v>
      </c>
      <c r="E255" s="12" t="s">
        <v>307</v>
      </c>
      <c r="F255" s="3" t="s">
        <v>475</v>
      </c>
    </row>
    <row r="256" spans="1:6" x14ac:dyDescent="0.25">
      <c r="A256" s="36">
        <v>43580.423263888886</v>
      </c>
      <c r="B256" s="3" t="s">
        <v>609</v>
      </c>
      <c r="C256" s="12" t="s">
        <v>307</v>
      </c>
      <c r="D256" s="12">
        <v>0</v>
      </c>
      <c r="E256" s="12" t="s">
        <v>307</v>
      </c>
      <c r="F256" s="3" t="s">
        <v>475</v>
      </c>
    </row>
    <row r="257" spans="1:6" x14ac:dyDescent="0.25">
      <c r="A257" s="36">
        <v>43580.423263888886</v>
      </c>
      <c r="B257" s="3" t="s">
        <v>610</v>
      </c>
      <c r="C257" s="12" t="s">
        <v>307</v>
      </c>
      <c r="D257" s="12">
        <v>0</v>
      </c>
      <c r="E257" s="12" t="s">
        <v>307</v>
      </c>
      <c r="F257" s="3" t="s">
        <v>475</v>
      </c>
    </row>
    <row r="258" spans="1:6" x14ac:dyDescent="0.25">
      <c r="A258" s="36">
        <v>43580.423263888886</v>
      </c>
      <c r="B258" s="3" t="s">
        <v>611</v>
      </c>
      <c r="C258" s="12" t="s">
        <v>307</v>
      </c>
      <c r="D258" s="12">
        <v>0</v>
      </c>
      <c r="E258" s="12" t="s">
        <v>307</v>
      </c>
      <c r="F258" s="3" t="s">
        <v>475</v>
      </c>
    </row>
    <row r="259" spans="1:6" x14ac:dyDescent="0.25">
      <c r="A259" s="36">
        <v>43580.423275462963</v>
      </c>
      <c r="B259" s="3" t="s">
        <v>612</v>
      </c>
      <c r="C259" s="12" t="s">
        <v>307</v>
      </c>
      <c r="D259" s="12">
        <v>0</v>
      </c>
      <c r="E259" s="12" t="s">
        <v>307</v>
      </c>
      <c r="F259" s="3" t="s">
        <v>475</v>
      </c>
    </row>
    <row r="260" spans="1:6" x14ac:dyDescent="0.25">
      <c r="A260" s="36">
        <v>43580.423275462963</v>
      </c>
      <c r="B260" s="3" t="s">
        <v>613</v>
      </c>
      <c r="C260" s="12" t="s">
        <v>307</v>
      </c>
      <c r="D260" s="12">
        <v>0</v>
      </c>
      <c r="E260" s="12" t="s">
        <v>307</v>
      </c>
      <c r="F260" s="3" t="s">
        <v>475</v>
      </c>
    </row>
    <row r="261" spans="1:6" x14ac:dyDescent="0.25">
      <c r="A261" s="36">
        <v>43580.423275462963</v>
      </c>
      <c r="B261" s="3" t="s">
        <v>614</v>
      </c>
      <c r="C261" s="12" t="s">
        <v>307</v>
      </c>
      <c r="D261" s="12">
        <v>0</v>
      </c>
      <c r="E261" s="12" t="s">
        <v>307</v>
      </c>
      <c r="F261" s="3" t="s">
        <v>475</v>
      </c>
    </row>
    <row r="262" spans="1:6" x14ac:dyDescent="0.25">
      <c r="A262" s="36">
        <v>43580.423275462963</v>
      </c>
      <c r="B262" s="3" t="s">
        <v>615</v>
      </c>
      <c r="C262" s="12" t="s">
        <v>307</v>
      </c>
      <c r="D262" s="12">
        <v>0</v>
      </c>
      <c r="E262" s="12" t="s">
        <v>307</v>
      </c>
      <c r="F262" s="3" t="s">
        <v>475</v>
      </c>
    </row>
    <row r="263" spans="1:6" x14ac:dyDescent="0.25">
      <c r="A263" s="36">
        <v>43580.423275462963</v>
      </c>
      <c r="B263" s="3" t="s">
        <v>616</v>
      </c>
      <c r="C263" s="12" t="s">
        <v>307</v>
      </c>
      <c r="D263" s="12">
        <v>0</v>
      </c>
      <c r="E263" s="12" t="s">
        <v>307</v>
      </c>
      <c r="F263" s="3" t="s">
        <v>475</v>
      </c>
    </row>
    <row r="264" spans="1:6" x14ac:dyDescent="0.25">
      <c r="A264" s="36">
        <v>43580.423275462963</v>
      </c>
      <c r="B264" s="3" t="s">
        <v>617</v>
      </c>
      <c r="C264" s="12" t="s">
        <v>307</v>
      </c>
      <c r="D264" s="12">
        <v>0</v>
      </c>
      <c r="E264" s="12" t="s">
        <v>307</v>
      </c>
      <c r="F264" s="3" t="s">
        <v>475</v>
      </c>
    </row>
    <row r="265" spans="1:6" x14ac:dyDescent="0.25">
      <c r="A265" s="36">
        <v>43580.423275462963</v>
      </c>
      <c r="B265" s="3" t="s">
        <v>618</v>
      </c>
      <c r="C265" s="12" t="s">
        <v>307</v>
      </c>
      <c r="D265" s="12">
        <v>0</v>
      </c>
      <c r="E265" s="12" t="s">
        <v>307</v>
      </c>
      <c r="F265" s="3" t="s">
        <v>475</v>
      </c>
    </row>
    <row r="266" spans="1:6" x14ac:dyDescent="0.25">
      <c r="A266" s="36">
        <v>43580.423275462963</v>
      </c>
      <c r="B266" s="3" t="s">
        <v>619</v>
      </c>
      <c r="C266" s="12" t="s">
        <v>307</v>
      </c>
      <c r="D266" s="12">
        <v>0</v>
      </c>
      <c r="E266" s="12" t="s">
        <v>307</v>
      </c>
      <c r="F266" s="3" t="s">
        <v>475</v>
      </c>
    </row>
    <row r="267" spans="1:6" x14ac:dyDescent="0.25">
      <c r="A267" s="36">
        <v>43580.423275462963</v>
      </c>
      <c r="B267" s="3" t="s">
        <v>620</v>
      </c>
      <c r="C267" s="12" t="s">
        <v>307</v>
      </c>
      <c r="D267" s="12">
        <v>0</v>
      </c>
      <c r="E267" s="12" t="s">
        <v>307</v>
      </c>
      <c r="F267" s="3" t="s">
        <v>475</v>
      </c>
    </row>
    <row r="268" spans="1:6" x14ac:dyDescent="0.25">
      <c r="A268" s="36">
        <v>43580.423275462963</v>
      </c>
      <c r="B268" s="3" t="s">
        <v>621</v>
      </c>
      <c r="C268" s="12" t="s">
        <v>307</v>
      </c>
      <c r="D268" s="12">
        <v>0</v>
      </c>
      <c r="E268" s="12" t="s">
        <v>307</v>
      </c>
      <c r="F268" s="3" t="s">
        <v>475</v>
      </c>
    </row>
    <row r="269" spans="1:6" x14ac:dyDescent="0.25">
      <c r="A269" s="36">
        <v>43580.423275462963</v>
      </c>
      <c r="B269" s="3" t="s">
        <v>622</v>
      </c>
      <c r="C269" s="12" t="s">
        <v>307</v>
      </c>
      <c r="D269" s="12">
        <v>0</v>
      </c>
      <c r="E269" s="12" t="s">
        <v>307</v>
      </c>
      <c r="F269" s="3" t="s">
        <v>475</v>
      </c>
    </row>
    <row r="270" spans="1:6" x14ac:dyDescent="0.25">
      <c r="A270" s="36">
        <v>43580.42328703704</v>
      </c>
      <c r="B270" s="3" t="s">
        <v>623</v>
      </c>
      <c r="C270" s="12" t="s">
        <v>307</v>
      </c>
      <c r="D270" s="12">
        <v>0</v>
      </c>
      <c r="E270" s="12" t="s">
        <v>307</v>
      </c>
      <c r="F270" s="3" t="s">
        <v>475</v>
      </c>
    </row>
    <row r="271" spans="1:6" x14ac:dyDescent="0.25">
      <c r="A271" s="36">
        <v>43580.42328703704</v>
      </c>
      <c r="B271" s="3" t="s">
        <v>624</v>
      </c>
      <c r="C271" s="12" t="s">
        <v>307</v>
      </c>
      <c r="D271" s="12">
        <v>0</v>
      </c>
      <c r="E271" s="12" t="s">
        <v>307</v>
      </c>
      <c r="F271" s="3" t="s">
        <v>475</v>
      </c>
    </row>
    <row r="272" spans="1:6" x14ac:dyDescent="0.25">
      <c r="A272" s="36">
        <v>43580.42328703704</v>
      </c>
      <c r="B272" s="3" t="s">
        <v>625</v>
      </c>
      <c r="C272" s="12" t="s">
        <v>307</v>
      </c>
      <c r="D272" s="12">
        <v>0</v>
      </c>
      <c r="E272" s="12" t="s">
        <v>307</v>
      </c>
      <c r="F272" s="3" t="s">
        <v>475</v>
      </c>
    </row>
    <row r="273" spans="1:6" x14ac:dyDescent="0.25">
      <c r="A273" s="36">
        <v>43580.42328703704</v>
      </c>
      <c r="B273" s="3" t="s">
        <v>626</v>
      </c>
      <c r="C273" s="12" t="s">
        <v>307</v>
      </c>
      <c r="D273" s="12">
        <v>0</v>
      </c>
      <c r="E273" s="12" t="s">
        <v>307</v>
      </c>
      <c r="F273" s="3" t="s">
        <v>475</v>
      </c>
    </row>
    <row r="274" spans="1:6" x14ac:dyDescent="0.25">
      <c r="A274" s="36">
        <v>43580.42328703704</v>
      </c>
      <c r="B274" s="3" t="s">
        <v>627</v>
      </c>
      <c r="C274" s="12" t="s">
        <v>307</v>
      </c>
      <c r="D274" s="12">
        <v>0</v>
      </c>
      <c r="E274" s="12" t="s">
        <v>307</v>
      </c>
      <c r="F274" s="3" t="s">
        <v>475</v>
      </c>
    </row>
    <row r="275" spans="1:6" x14ac:dyDescent="0.25">
      <c r="A275" s="36">
        <v>43580.42328703704</v>
      </c>
      <c r="B275" s="3" t="s">
        <v>628</v>
      </c>
      <c r="C275" s="12" t="s">
        <v>307</v>
      </c>
      <c r="D275" s="12">
        <v>0</v>
      </c>
      <c r="E275" s="12" t="s">
        <v>307</v>
      </c>
      <c r="F275" s="3" t="s">
        <v>475</v>
      </c>
    </row>
    <row r="276" spans="1:6" x14ac:dyDescent="0.25">
      <c r="A276" s="36">
        <v>43580.42328703704</v>
      </c>
      <c r="B276" s="3" t="s">
        <v>629</v>
      </c>
      <c r="C276" s="12" t="s">
        <v>307</v>
      </c>
      <c r="D276" s="12">
        <v>0</v>
      </c>
      <c r="E276" s="12" t="s">
        <v>307</v>
      </c>
      <c r="F276" s="3" t="s">
        <v>475</v>
      </c>
    </row>
    <row r="277" spans="1:6" x14ac:dyDescent="0.25">
      <c r="A277" s="36">
        <v>43580.42328703704</v>
      </c>
      <c r="B277" s="3" t="s">
        <v>630</v>
      </c>
      <c r="C277" s="12" t="s">
        <v>307</v>
      </c>
      <c r="D277" s="12">
        <v>0</v>
      </c>
      <c r="E277" s="12" t="s">
        <v>307</v>
      </c>
      <c r="F277" s="3" t="s">
        <v>475</v>
      </c>
    </row>
    <row r="278" spans="1:6" x14ac:dyDescent="0.25">
      <c r="A278" s="36">
        <v>43580.42328703704</v>
      </c>
      <c r="B278" s="3" t="s">
        <v>631</v>
      </c>
      <c r="C278" s="12" t="s">
        <v>307</v>
      </c>
      <c r="D278" s="12">
        <v>0</v>
      </c>
      <c r="E278" s="12" t="s">
        <v>307</v>
      </c>
      <c r="F278" s="3" t="s">
        <v>475</v>
      </c>
    </row>
    <row r="279" spans="1:6" x14ac:dyDescent="0.25">
      <c r="A279" s="36">
        <v>43580.42328703704</v>
      </c>
      <c r="B279" s="3" t="s">
        <v>632</v>
      </c>
      <c r="C279" s="12" t="s">
        <v>307</v>
      </c>
      <c r="D279" s="12">
        <v>0</v>
      </c>
      <c r="E279" s="12" t="s">
        <v>307</v>
      </c>
      <c r="F279" s="3" t="s">
        <v>475</v>
      </c>
    </row>
    <row r="280" spans="1:6" x14ac:dyDescent="0.25">
      <c r="A280" s="36">
        <v>43580.423298611109</v>
      </c>
      <c r="B280" s="3" t="s">
        <v>633</v>
      </c>
      <c r="C280" s="12" t="s">
        <v>307</v>
      </c>
      <c r="D280" s="12">
        <v>0</v>
      </c>
      <c r="E280" s="12" t="s">
        <v>307</v>
      </c>
      <c r="F280" s="3" t="s">
        <v>475</v>
      </c>
    </row>
    <row r="281" spans="1:6" x14ac:dyDescent="0.25">
      <c r="A281" s="36">
        <v>43580.423298611109</v>
      </c>
      <c r="B281" s="3" t="s">
        <v>634</v>
      </c>
      <c r="C281" s="12" t="s">
        <v>307</v>
      </c>
      <c r="D281" s="12">
        <v>0</v>
      </c>
      <c r="E281" s="12" t="s">
        <v>307</v>
      </c>
      <c r="F281" s="3" t="s">
        <v>475</v>
      </c>
    </row>
    <row r="282" spans="1:6" x14ac:dyDescent="0.25">
      <c r="A282" s="36">
        <v>43580.423298611109</v>
      </c>
      <c r="B282" s="3" t="s">
        <v>635</v>
      </c>
      <c r="C282" s="12" t="s">
        <v>307</v>
      </c>
      <c r="D282" s="12">
        <v>0</v>
      </c>
      <c r="E282" s="12" t="s">
        <v>307</v>
      </c>
      <c r="F282" s="3" t="s">
        <v>475</v>
      </c>
    </row>
    <row r="283" spans="1:6" x14ac:dyDescent="0.25">
      <c r="A283" s="36">
        <v>43580.423298611109</v>
      </c>
      <c r="B283" s="3" t="s">
        <v>636</v>
      </c>
      <c r="C283" s="12" t="s">
        <v>307</v>
      </c>
      <c r="D283" s="12">
        <v>0</v>
      </c>
      <c r="E283" s="12" t="s">
        <v>307</v>
      </c>
      <c r="F283" s="3" t="s">
        <v>475</v>
      </c>
    </row>
    <row r="284" spans="1:6" x14ac:dyDescent="0.25">
      <c r="A284" s="36">
        <v>43580.423298611109</v>
      </c>
      <c r="B284" s="3" t="s">
        <v>637</v>
      </c>
      <c r="C284" s="12" t="s">
        <v>307</v>
      </c>
      <c r="D284" s="12">
        <v>0</v>
      </c>
      <c r="E284" s="12" t="s">
        <v>307</v>
      </c>
      <c r="F284" s="3" t="s">
        <v>475</v>
      </c>
    </row>
    <row r="285" spans="1:6" x14ac:dyDescent="0.25">
      <c r="A285" s="36">
        <v>43580.423298611109</v>
      </c>
      <c r="B285" s="3" t="s">
        <v>638</v>
      </c>
      <c r="C285" s="12" t="s">
        <v>307</v>
      </c>
      <c r="D285" s="12">
        <v>0</v>
      </c>
      <c r="E285" s="12" t="s">
        <v>307</v>
      </c>
      <c r="F285" s="3" t="s">
        <v>475</v>
      </c>
    </row>
    <row r="286" spans="1:6" x14ac:dyDescent="0.25">
      <c r="A286" s="36">
        <v>43580.423298611109</v>
      </c>
      <c r="B286" s="3" t="s">
        <v>639</v>
      </c>
      <c r="C286" s="12" t="s">
        <v>307</v>
      </c>
      <c r="D286" s="12">
        <v>0</v>
      </c>
      <c r="E286" s="12" t="s">
        <v>307</v>
      </c>
      <c r="F286" s="3" t="s">
        <v>475</v>
      </c>
    </row>
    <row r="287" spans="1:6" x14ac:dyDescent="0.25">
      <c r="A287" s="36">
        <v>43580.423298611109</v>
      </c>
      <c r="B287" s="3" t="s">
        <v>640</v>
      </c>
      <c r="C287" s="12" t="s">
        <v>307</v>
      </c>
      <c r="D287" s="12">
        <v>0</v>
      </c>
      <c r="E287" s="12" t="s">
        <v>307</v>
      </c>
      <c r="F287" s="3" t="s">
        <v>475</v>
      </c>
    </row>
    <row r="288" spans="1:6" x14ac:dyDescent="0.25">
      <c r="A288" s="36">
        <v>43580.423298611109</v>
      </c>
      <c r="B288" s="3" t="s">
        <v>641</v>
      </c>
      <c r="C288" s="12" t="s">
        <v>307</v>
      </c>
      <c r="D288" s="12">
        <v>0</v>
      </c>
      <c r="E288" s="12" t="s">
        <v>307</v>
      </c>
      <c r="F288" s="3" t="s">
        <v>475</v>
      </c>
    </row>
    <row r="289" spans="1:6" x14ac:dyDescent="0.25">
      <c r="A289" s="36">
        <v>43580.423298611109</v>
      </c>
      <c r="B289" s="3" t="s">
        <v>642</v>
      </c>
      <c r="C289" s="12" t="s">
        <v>307</v>
      </c>
      <c r="D289" s="12">
        <v>0</v>
      </c>
      <c r="E289" s="12" t="s">
        <v>307</v>
      </c>
      <c r="F289" s="3" t="s">
        <v>475</v>
      </c>
    </row>
    <row r="290" spans="1:6" x14ac:dyDescent="0.25">
      <c r="A290" s="36">
        <v>43580.423310185186</v>
      </c>
      <c r="B290" s="3" t="s">
        <v>643</v>
      </c>
      <c r="C290" s="12" t="s">
        <v>307</v>
      </c>
      <c r="D290" s="12">
        <v>0</v>
      </c>
      <c r="E290" s="12" t="s">
        <v>307</v>
      </c>
      <c r="F290" s="3" t="s">
        <v>475</v>
      </c>
    </row>
    <row r="291" spans="1:6" x14ac:dyDescent="0.25">
      <c r="A291" s="36">
        <v>43580.423310185186</v>
      </c>
      <c r="B291" s="3" t="s">
        <v>644</v>
      </c>
      <c r="C291" s="12" t="s">
        <v>307</v>
      </c>
      <c r="D291" s="12">
        <v>0</v>
      </c>
      <c r="E291" s="12" t="s">
        <v>307</v>
      </c>
      <c r="F291" s="3" t="s">
        <v>475</v>
      </c>
    </row>
    <row r="292" spans="1:6" x14ac:dyDescent="0.25">
      <c r="A292" s="36">
        <v>43580.423310185186</v>
      </c>
      <c r="B292" s="3" t="s">
        <v>645</v>
      </c>
      <c r="C292" s="12" t="s">
        <v>307</v>
      </c>
      <c r="D292" s="12">
        <v>0</v>
      </c>
      <c r="E292" s="12" t="s">
        <v>307</v>
      </c>
      <c r="F292" s="3" t="s">
        <v>475</v>
      </c>
    </row>
    <row r="293" spans="1:6" x14ac:dyDescent="0.25">
      <c r="A293" s="36">
        <v>43580.423310185186</v>
      </c>
      <c r="B293" s="3" t="s">
        <v>646</v>
      </c>
      <c r="C293" s="12" t="s">
        <v>307</v>
      </c>
      <c r="D293" s="12">
        <v>0</v>
      </c>
      <c r="E293" s="12" t="s">
        <v>307</v>
      </c>
      <c r="F293" s="3" t="s">
        <v>475</v>
      </c>
    </row>
    <row r="294" spans="1:6" x14ac:dyDescent="0.25">
      <c r="A294" s="36">
        <v>43580.423310185186</v>
      </c>
      <c r="B294" s="3" t="s">
        <v>647</v>
      </c>
      <c r="C294" s="12" t="s">
        <v>307</v>
      </c>
      <c r="D294" s="12">
        <v>0</v>
      </c>
      <c r="E294" s="12" t="s">
        <v>307</v>
      </c>
      <c r="F294" s="3" t="s">
        <v>475</v>
      </c>
    </row>
    <row r="295" spans="1:6" x14ac:dyDescent="0.25">
      <c r="A295" s="36">
        <v>43580.423310185186</v>
      </c>
      <c r="B295" s="3" t="s">
        <v>648</v>
      </c>
      <c r="C295" s="12" t="s">
        <v>307</v>
      </c>
      <c r="D295" s="12">
        <v>0</v>
      </c>
      <c r="E295" s="12" t="s">
        <v>307</v>
      </c>
      <c r="F295" s="3" t="s">
        <v>475</v>
      </c>
    </row>
    <row r="296" spans="1:6" x14ac:dyDescent="0.25">
      <c r="A296" s="36">
        <v>43580.423310185186</v>
      </c>
      <c r="B296" s="3" t="s">
        <v>649</v>
      </c>
      <c r="C296" s="12" t="s">
        <v>307</v>
      </c>
      <c r="D296" s="12">
        <v>0</v>
      </c>
      <c r="E296" s="12" t="s">
        <v>307</v>
      </c>
      <c r="F296" s="3" t="s">
        <v>475</v>
      </c>
    </row>
    <row r="297" spans="1:6" x14ac:dyDescent="0.25">
      <c r="A297" s="36">
        <v>43580.423310185186</v>
      </c>
      <c r="B297" s="3" t="s">
        <v>650</v>
      </c>
      <c r="C297" s="12" t="s">
        <v>307</v>
      </c>
      <c r="D297" s="12">
        <v>0</v>
      </c>
      <c r="E297" s="12" t="s">
        <v>307</v>
      </c>
      <c r="F297" s="3" t="s">
        <v>475</v>
      </c>
    </row>
    <row r="298" spans="1:6" x14ac:dyDescent="0.25">
      <c r="A298" s="36">
        <v>43580.423310185186</v>
      </c>
      <c r="B298" s="3" t="s">
        <v>651</v>
      </c>
      <c r="C298" s="12" t="s">
        <v>307</v>
      </c>
      <c r="D298" s="12">
        <v>0</v>
      </c>
      <c r="E298" s="12" t="s">
        <v>307</v>
      </c>
      <c r="F298" s="3" t="s">
        <v>475</v>
      </c>
    </row>
    <row r="299" spans="1:6" x14ac:dyDescent="0.25">
      <c r="A299" s="36">
        <v>43580.423310185186</v>
      </c>
      <c r="B299" s="3" t="s">
        <v>652</v>
      </c>
      <c r="C299" s="12" t="s">
        <v>307</v>
      </c>
      <c r="D299" s="12">
        <v>0</v>
      </c>
      <c r="E299" s="12" t="s">
        <v>307</v>
      </c>
      <c r="F299" s="3" t="s">
        <v>475</v>
      </c>
    </row>
    <row r="300" spans="1:6" x14ac:dyDescent="0.25">
      <c r="A300" s="36">
        <v>43580.423321759263</v>
      </c>
      <c r="B300" s="3" t="s">
        <v>653</v>
      </c>
      <c r="C300" s="12" t="s">
        <v>307</v>
      </c>
      <c r="D300" s="12">
        <v>0</v>
      </c>
      <c r="E300" s="12" t="s">
        <v>307</v>
      </c>
      <c r="F300" s="3" t="s">
        <v>475</v>
      </c>
    </row>
    <row r="301" spans="1:6" x14ac:dyDescent="0.25">
      <c r="A301" s="36">
        <v>43580.423321759263</v>
      </c>
      <c r="B301" s="3" t="s">
        <v>654</v>
      </c>
      <c r="C301" s="12" t="s">
        <v>307</v>
      </c>
      <c r="D301" s="12">
        <v>0</v>
      </c>
      <c r="E301" s="12" t="s">
        <v>307</v>
      </c>
      <c r="F301" s="3" t="s">
        <v>475</v>
      </c>
    </row>
    <row r="302" spans="1:6" x14ac:dyDescent="0.25">
      <c r="A302" s="36">
        <v>43580.423321759263</v>
      </c>
      <c r="B302" s="3" t="s">
        <v>655</v>
      </c>
      <c r="C302" s="12" t="s">
        <v>307</v>
      </c>
      <c r="D302" s="12">
        <v>0</v>
      </c>
      <c r="E302" s="12" t="s">
        <v>307</v>
      </c>
      <c r="F302" s="3" t="s">
        <v>475</v>
      </c>
    </row>
    <row r="303" spans="1:6" x14ac:dyDescent="0.25">
      <c r="A303" s="36">
        <v>43580.423321759263</v>
      </c>
      <c r="B303" s="3" t="s">
        <v>656</v>
      </c>
      <c r="C303" s="12" t="s">
        <v>307</v>
      </c>
      <c r="D303" s="12">
        <v>0</v>
      </c>
      <c r="E303" s="12" t="s">
        <v>307</v>
      </c>
      <c r="F303" s="3" t="s">
        <v>475</v>
      </c>
    </row>
    <row r="304" spans="1:6" x14ac:dyDescent="0.25">
      <c r="A304" s="36">
        <v>43580.423321759263</v>
      </c>
      <c r="B304" s="3" t="s">
        <v>657</v>
      </c>
      <c r="C304" s="12" t="s">
        <v>307</v>
      </c>
      <c r="D304" s="12">
        <v>0</v>
      </c>
      <c r="E304" s="12" t="s">
        <v>307</v>
      </c>
      <c r="F304" s="3" t="s">
        <v>475</v>
      </c>
    </row>
    <row r="305" spans="1:6" x14ac:dyDescent="0.25">
      <c r="A305" s="36">
        <v>43580.423321759263</v>
      </c>
      <c r="B305" s="3" t="s">
        <v>658</v>
      </c>
      <c r="C305" s="12" t="s">
        <v>307</v>
      </c>
      <c r="D305" s="12">
        <v>0</v>
      </c>
      <c r="E305" s="12" t="s">
        <v>307</v>
      </c>
      <c r="F305" s="3" t="s">
        <v>475</v>
      </c>
    </row>
    <row r="306" spans="1:6" x14ac:dyDescent="0.25">
      <c r="A306" s="36">
        <v>43580.423321759263</v>
      </c>
      <c r="B306" s="3" t="s">
        <v>659</v>
      </c>
      <c r="C306" s="12" t="s">
        <v>307</v>
      </c>
      <c r="D306" s="12">
        <v>0</v>
      </c>
      <c r="E306" s="12" t="s">
        <v>307</v>
      </c>
      <c r="F306" s="3" t="s">
        <v>475</v>
      </c>
    </row>
    <row r="307" spans="1:6" x14ac:dyDescent="0.25">
      <c r="A307" s="36">
        <v>43580.423321759263</v>
      </c>
      <c r="B307" s="3" t="s">
        <v>660</v>
      </c>
      <c r="C307" s="12" t="s">
        <v>307</v>
      </c>
      <c r="D307" s="12">
        <v>0</v>
      </c>
      <c r="E307" s="12" t="s">
        <v>307</v>
      </c>
      <c r="F307" s="3" t="s">
        <v>475</v>
      </c>
    </row>
    <row r="308" spans="1:6" x14ac:dyDescent="0.25">
      <c r="A308" s="36">
        <v>43580.423321759263</v>
      </c>
      <c r="B308" s="3" t="s">
        <v>661</v>
      </c>
      <c r="C308" s="12" t="s">
        <v>307</v>
      </c>
      <c r="D308" s="12">
        <v>0</v>
      </c>
      <c r="E308" s="12" t="s">
        <v>307</v>
      </c>
      <c r="F308" s="3" t="s">
        <v>475</v>
      </c>
    </row>
    <row r="309" spans="1:6" x14ac:dyDescent="0.25">
      <c r="A309" s="36">
        <v>43580.423333333332</v>
      </c>
      <c r="B309" s="3" t="s">
        <v>662</v>
      </c>
      <c r="C309" s="12" t="s">
        <v>307</v>
      </c>
      <c r="D309" s="12">
        <v>0</v>
      </c>
      <c r="E309" s="12" t="s">
        <v>307</v>
      </c>
      <c r="F309" s="3" t="s">
        <v>475</v>
      </c>
    </row>
    <row r="310" spans="1:6" x14ac:dyDescent="0.25">
      <c r="A310" s="36">
        <v>43580.423333333332</v>
      </c>
      <c r="B310" s="3" t="s">
        <v>663</v>
      </c>
      <c r="C310" s="12" t="s">
        <v>307</v>
      </c>
      <c r="D310" s="12">
        <v>0</v>
      </c>
      <c r="E310" s="12" t="s">
        <v>307</v>
      </c>
      <c r="F310" s="3" t="s">
        <v>475</v>
      </c>
    </row>
    <row r="311" spans="1:6" x14ac:dyDescent="0.25">
      <c r="A311" s="36">
        <v>43580.423333333332</v>
      </c>
      <c r="B311" s="3" t="s">
        <v>664</v>
      </c>
      <c r="C311" s="12" t="s">
        <v>307</v>
      </c>
      <c r="D311" s="12">
        <v>0</v>
      </c>
      <c r="E311" s="12" t="s">
        <v>307</v>
      </c>
      <c r="F311" s="3" t="s">
        <v>475</v>
      </c>
    </row>
    <row r="312" spans="1:6" x14ac:dyDescent="0.25">
      <c r="A312" s="36">
        <v>43580.423333333332</v>
      </c>
      <c r="B312" s="3" t="s">
        <v>665</v>
      </c>
      <c r="C312" s="12" t="s">
        <v>307</v>
      </c>
      <c r="D312" s="12">
        <v>0</v>
      </c>
      <c r="E312" s="12" t="s">
        <v>307</v>
      </c>
      <c r="F312" s="3" t="s">
        <v>475</v>
      </c>
    </row>
    <row r="313" spans="1:6" x14ac:dyDescent="0.25">
      <c r="A313" s="36">
        <v>43580.423333333332</v>
      </c>
      <c r="B313" s="3" t="s">
        <v>666</v>
      </c>
      <c r="C313" s="12" t="s">
        <v>307</v>
      </c>
      <c r="D313" s="12">
        <v>0</v>
      </c>
      <c r="E313" s="12" t="s">
        <v>307</v>
      </c>
      <c r="F313" s="3" t="s">
        <v>475</v>
      </c>
    </row>
    <row r="314" spans="1:6" x14ac:dyDescent="0.25">
      <c r="A314" s="36">
        <v>43580.423333333332</v>
      </c>
      <c r="B314" s="3" t="s">
        <v>667</v>
      </c>
      <c r="C314" s="12" t="s">
        <v>307</v>
      </c>
      <c r="D314" s="12">
        <v>0</v>
      </c>
      <c r="E314" s="12" t="s">
        <v>307</v>
      </c>
      <c r="F314" s="3" t="s">
        <v>475</v>
      </c>
    </row>
    <row r="315" spans="1:6" x14ac:dyDescent="0.25">
      <c r="A315" s="36">
        <v>43580.423333333332</v>
      </c>
      <c r="B315" s="3" t="s">
        <v>668</v>
      </c>
      <c r="C315" s="12" t="s">
        <v>307</v>
      </c>
      <c r="D315" s="12">
        <v>0</v>
      </c>
      <c r="E315" s="12" t="s">
        <v>307</v>
      </c>
      <c r="F315" s="3" t="s">
        <v>475</v>
      </c>
    </row>
    <row r="316" spans="1:6" x14ac:dyDescent="0.25">
      <c r="A316" s="36">
        <v>43580.423333333332</v>
      </c>
      <c r="B316" s="3" t="s">
        <v>669</v>
      </c>
      <c r="C316" s="12" t="s">
        <v>307</v>
      </c>
      <c r="D316" s="12">
        <v>0</v>
      </c>
      <c r="E316" s="12" t="s">
        <v>307</v>
      </c>
      <c r="F316" s="3" t="s">
        <v>475</v>
      </c>
    </row>
    <row r="317" spans="1:6" x14ac:dyDescent="0.25">
      <c r="A317" s="36">
        <v>43580.423333333332</v>
      </c>
      <c r="B317" s="3" t="s">
        <v>670</v>
      </c>
      <c r="C317" s="12" t="s">
        <v>307</v>
      </c>
      <c r="D317" s="12">
        <v>0</v>
      </c>
      <c r="E317" s="12" t="s">
        <v>307</v>
      </c>
      <c r="F317" s="3" t="s">
        <v>475</v>
      </c>
    </row>
    <row r="318" spans="1:6" x14ac:dyDescent="0.25">
      <c r="A318" s="36">
        <v>43580.423333333332</v>
      </c>
      <c r="B318" s="3" t="s">
        <v>671</v>
      </c>
      <c r="C318" s="12" t="s">
        <v>307</v>
      </c>
      <c r="D318" s="12">
        <v>0</v>
      </c>
      <c r="E318" s="12" t="s">
        <v>307</v>
      </c>
      <c r="F318" s="3" t="s">
        <v>475</v>
      </c>
    </row>
    <row r="319" spans="1:6" x14ac:dyDescent="0.25">
      <c r="A319" s="36">
        <v>43580.423344907409</v>
      </c>
      <c r="B319" s="3" t="s">
        <v>672</v>
      </c>
      <c r="C319" s="12" t="s">
        <v>307</v>
      </c>
      <c r="D319" s="12">
        <v>0</v>
      </c>
      <c r="E319" s="12" t="s">
        <v>307</v>
      </c>
      <c r="F319" s="3" t="s">
        <v>475</v>
      </c>
    </row>
    <row r="320" spans="1:6" x14ac:dyDescent="0.25">
      <c r="A320" s="36">
        <v>43580.423344907409</v>
      </c>
      <c r="B320" s="3" t="s">
        <v>673</v>
      </c>
      <c r="C320" s="12" t="s">
        <v>307</v>
      </c>
      <c r="D320" s="12">
        <v>0</v>
      </c>
      <c r="E320" s="12" t="s">
        <v>307</v>
      </c>
      <c r="F320" s="3" t="s">
        <v>475</v>
      </c>
    </row>
    <row r="321" spans="1:6" x14ac:dyDescent="0.25">
      <c r="A321" s="36">
        <v>43580.423344907409</v>
      </c>
      <c r="B321" s="3" t="s">
        <v>674</v>
      </c>
      <c r="C321" s="12" t="s">
        <v>307</v>
      </c>
      <c r="D321" s="12">
        <v>0</v>
      </c>
      <c r="E321" s="12" t="s">
        <v>307</v>
      </c>
      <c r="F321" s="3" t="s">
        <v>475</v>
      </c>
    </row>
    <row r="322" spans="1:6" x14ac:dyDescent="0.25">
      <c r="A322" s="36">
        <v>43580.423344907409</v>
      </c>
      <c r="B322" s="3" t="s">
        <v>675</v>
      </c>
      <c r="C322" s="12" t="s">
        <v>307</v>
      </c>
      <c r="D322" s="12">
        <v>0</v>
      </c>
      <c r="E322" s="12" t="s">
        <v>307</v>
      </c>
      <c r="F322" s="3" t="s">
        <v>475</v>
      </c>
    </row>
    <row r="323" spans="1:6" x14ac:dyDescent="0.25">
      <c r="A323" s="36">
        <v>43580.423344907409</v>
      </c>
      <c r="B323" s="3" t="s">
        <v>676</v>
      </c>
      <c r="C323" s="12" t="s">
        <v>307</v>
      </c>
      <c r="D323" s="12">
        <v>0</v>
      </c>
      <c r="E323" s="12" t="s">
        <v>307</v>
      </c>
      <c r="F323" s="3" t="s">
        <v>475</v>
      </c>
    </row>
    <row r="324" spans="1:6" x14ac:dyDescent="0.25">
      <c r="A324" s="36">
        <v>43580.423344907409</v>
      </c>
      <c r="B324" s="3" t="s">
        <v>677</v>
      </c>
      <c r="C324" s="12" t="s">
        <v>307</v>
      </c>
      <c r="D324" s="12">
        <v>0</v>
      </c>
      <c r="E324" s="12" t="s">
        <v>307</v>
      </c>
      <c r="F324" s="3" t="s">
        <v>475</v>
      </c>
    </row>
    <row r="325" spans="1:6" x14ac:dyDescent="0.25">
      <c r="A325" s="36">
        <v>43580.423344907409</v>
      </c>
      <c r="B325" s="3" t="s">
        <v>678</v>
      </c>
      <c r="C325" s="12" t="s">
        <v>307</v>
      </c>
      <c r="D325" s="12">
        <v>0</v>
      </c>
      <c r="E325" s="12" t="s">
        <v>307</v>
      </c>
      <c r="F325" s="3" t="s">
        <v>475</v>
      </c>
    </row>
    <row r="326" spans="1:6" x14ac:dyDescent="0.25">
      <c r="A326" s="36">
        <v>43580.423344907409</v>
      </c>
      <c r="B326" s="3" t="s">
        <v>679</v>
      </c>
      <c r="C326" s="12" t="s">
        <v>307</v>
      </c>
      <c r="D326" s="12">
        <v>0</v>
      </c>
      <c r="E326" s="12" t="s">
        <v>307</v>
      </c>
      <c r="F326" s="3" t="s">
        <v>475</v>
      </c>
    </row>
    <row r="327" spans="1:6" x14ac:dyDescent="0.25">
      <c r="A327" s="36">
        <v>43580.423344907409</v>
      </c>
      <c r="B327" s="3" t="s">
        <v>680</v>
      </c>
      <c r="C327" s="12" t="s">
        <v>307</v>
      </c>
      <c r="D327" s="12">
        <v>0</v>
      </c>
      <c r="E327" s="12" t="s">
        <v>307</v>
      </c>
      <c r="F327" s="3" t="s">
        <v>475</v>
      </c>
    </row>
    <row r="328" spans="1:6" x14ac:dyDescent="0.25">
      <c r="A328" s="36">
        <v>43580.423344907409</v>
      </c>
      <c r="B328" s="3" t="s">
        <v>681</v>
      </c>
      <c r="C328" s="12" t="s">
        <v>307</v>
      </c>
      <c r="D328" s="12">
        <v>0</v>
      </c>
      <c r="E328" s="12" t="s">
        <v>307</v>
      </c>
      <c r="F328" s="3" t="s">
        <v>475</v>
      </c>
    </row>
    <row r="329" spans="1:6" x14ac:dyDescent="0.25">
      <c r="A329" s="36">
        <v>43580.423356481479</v>
      </c>
      <c r="B329" s="3" t="s">
        <v>682</v>
      </c>
      <c r="C329" s="12" t="s">
        <v>307</v>
      </c>
      <c r="D329" s="12">
        <v>0</v>
      </c>
      <c r="E329" s="12" t="s">
        <v>307</v>
      </c>
      <c r="F329" s="3" t="s">
        <v>475</v>
      </c>
    </row>
    <row r="330" spans="1:6" x14ac:dyDescent="0.25">
      <c r="A330" s="36">
        <v>43580.423356481479</v>
      </c>
      <c r="B330" s="3" t="s">
        <v>683</v>
      </c>
      <c r="C330" s="12" t="s">
        <v>307</v>
      </c>
      <c r="D330" s="12">
        <v>0</v>
      </c>
      <c r="E330" s="12" t="s">
        <v>307</v>
      </c>
      <c r="F330" s="3" t="s">
        <v>475</v>
      </c>
    </row>
    <row r="331" spans="1:6" x14ac:dyDescent="0.25">
      <c r="A331" s="36">
        <v>43580.423356481479</v>
      </c>
      <c r="B331" s="3" t="s">
        <v>684</v>
      </c>
      <c r="C331" s="12" t="s">
        <v>307</v>
      </c>
      <c r="D331" s="12">
        <v>0</v>
      </c>
      <c r="E331" s="12" t="s">
        <v>307</v>
      </c>
      <c r="F331" s="3" t="s">
        <v>475</v>
      </c>
    </row>
    <row r="332" spans="1:6" x14ac:dyDescent="0.25">
      <c r="A332" s="36">
        <v>43580.423356481479</v>
      </c>
      <c r="B332" s="3" t="s">
        <v>685</v>
      </c>
      <c r="C332" s="12" t="s">
        <v>307</v>
      </c>
      <c r="D332" s="12">
        <v>0</v>
      </c>
      <c r="E332" s="12" t="s">
        <v>307</v>
      </c>
      <c r="F332" s="3" t="s">
        <v>475</v>
      </c>
    </row>
    <row r="333" spans="1:6" x14ac:dyDescent="0.25">
      <c r="A333" s="36">
        <v>43580.423356481479</v>
      </c>
      <c r="B333" s="3" t="s">
        <v>686</v>
      </c>
      <c r="C333" s="12" t="s">
        <v>307</v>
      </c>
      <c r="D333" s="12">
        <v>0</v>
      </c>
      <c r="E333" s="12" t="s">
        <v>307</v>
      </c>
      <c r="F333" s="3" t="s">
        <v>475</v>
      </c>
    </row>
    <row r="334" spans="1:6" x14ac:dyDescent="0.25">
      <c r="A334" s="36">
        <v>43580.423356481479</v>
      </c>
      <c r="B334" s="3" t="s">
        <v>687</v>
      </c>
      <c r="C334" s="12" t="s">
        <v>307</v>
      </c>
      <c r="D334" s="12">
        <v>0</v>
      </c>
      <c r="E334" s="12" t="s">
        <v>307</v>
      </c>
      <c r="F334" s="3" t="s">
        <v>475</v>
      </c>
    </row>
    <row r="335" spans="1:6" x14ac:dyDescent="0.25">
      <c r="A335" s="36">
        <v>43580.423356481479</v>
      </c>
      <c r="B335" s="3" t="s">
        <v>688</v>
      </c>
      <c r="C335" s="12" t="s">
        <v>307</v>
      </c>
      <c r="D335" s="12">
        <v>0</v>
      </c>
      <c r="E335" s="12" t="s">
        <v>307</v>
      </c>
      <c r="F335" s="3" t="s">
        <v>475</v>
      </c>
    </row>
    <row r="336" spans="1:6" x14ac:dyDescent="0.25">
      <c r="A336" s="36">
        <v>43580.423356481479</v>
      </c>
      <c r="B336" s="3" t="s">
        <v>689</v>
      </c>
      <c r="C336" s="12" t="s">
        <v>307</v>
      </c>
      <c r="D336" s="12">
        <v>0</v>
      </c>
      <c r="E336" s="12" t="s">
        <v>307</v>
      </c>
      <c r="F336" s="3" t="s">
        <v>475</v>
      </c>
    </row>
    <row r="337" spans="1:6" x14ac:dyDescent="0.25">
      <c r="A337" s="36">
        <v>43580.423356481479</v>
      </c>
      <c r="B337" s="3" t="s">
        <v>690</v>
      </c>
      <c r="C337" s="12" t="s">
        <v>307</v>
      </c>
      <c r="D337" s="12">
        <v>0</v>
      </c>
      <c r="E337" s="12" t="s">
        <v>307</v>
      </c>
      <c r="F337" s="3" t="s">
        <v>475</v>
      </c>
    </row>
    <row r="338" spans="1:6" x14ac:dyDescent="0.25">
      <c r="A338" s="36">
        <v>43580.423356481479</v>
      </c>
      <c r="B338" s="3" t="s">
        <v>691</v>
      </c>
      <c r="C338" s="12" t="s">
        <v>307</v>
      </c>
      <c r="D338" s="12">
        <v>0</v>
      </c>
      <c r="E338" s="12" t="s">
        <v>307</v>
      </c>
      <c r="F338" s="3" t="s">
        <v>475</v>
      </c>
    </row>
    <row r="339" spans="1:6" x14ac:dyDescent="0.25">
      <c r="A339" s="36">
        <v>43580.423368055555</v>
      </c>
      <c r="B339" s="3" t="s">
        <v>692</v>
      </c>
      <c r="C339" s="12" t="s">
        <v>307</v>
      </c>
      <c r="D339" s="12">
        <v>0</v>
      </c>
      <c r="E339" s="12" t="s">
        <v>307</v>
      </c>
      <c r="F339" s="3" t="s">
        <v>475</v>
      </c>
    </row>
    <row r="340" spans="1:6" x14ac:dyDescent="0.25">
      <c r="A340" s="36">
        <v>43580.423368055555</v>
      </c>
      <c r="B340" s="3" t="s">
        <v>693</v>
      </c>
      <c r="C340" s="12" t="s">
        <v>307</v>
      </c>
      <c r="D340" s="12">
        <v>0</v>
      </c>
      <c r="E340" s="12" t="s">
        <v>307</v>
      </c>
      <c r="F340" s="3" t="s">
        <v>475</v>
      </c>
    </row>
    <row r="341" spans="1:6" x14ac:dyDescent="0.25">
      <c r="A341" s="36">
        <v>43580.423368055555</v>
      </c>
      <c r="B341" s="3" t="s">
        <v>694</v>
      </c>
      <c r="C341" s="12" t="s">
        <v>307</v>
      </c>
      <c r="D341" s="12">
        <v>0</v>
      </c>
      <c r="E341" s="12" t="s">
        <v>307</v>
      </c>
      <c r="F341" s="3" t="s">
        <v>475</v>
      </c>
    </row>
    <row r="342" spans="1:6" x14ac:dyDescent="0.25">
      <c r="A342" s="36">
        <v>43580.423368055555</v>
      </c>
      <c r="B342" s="3" t="s">
        <v>695</v>
      </c>
      <c r="C342" s="12" t="s">
        <v>307</v>
      </c>
      <c r="D342" s="12">
        <v>0</v>
      </c>
      <c r="E342" s="12" t="s">
        <v>307</v>
      </c>
      <c r="F342" s="3" t="s">
        <v>475</v>
      </c>
    </row>
    <row r="343" spans="1:6" x14ac:dyDescent="0.25">
      <c r="A343" s="36">
        <v>43580.423368055555</v>
      </c>
      <c r="B343" s="3" t="s">
        <v>696</v>
      </c>
      <c r="C343" s="12" t="s">
        <v>307</v>
      </c>
      <c r="D343" s="12">
        <v>0</v>
      </c>
      <c r="E343" s="12" t="s">
        <v>307</v>
      </c>
      <c r="F343" s="3" t="s">
        <v>475</v>
      </c>
    </row>
    <row r="344" spans="1:6" x14ac:dyDescent="0.25">
      <c r="A344" s="36">
        <v>43580.423368055555</v>
      </c>
      <c r="B344" s="3" t="s">
        <v>697</v>
      </c>
      <c r="C344" s="12" t="s">
        <v>307</v>
      </c>
      <c r="D344" s="12">
        <v>0</v>
      </c>
      <c r="E344" s="12" t="s">
        <v>307</v>
      </c>
      <c r="F344" s="3" t="s">
        <v>475</v>
      </c>
    </row>
    <row r="345" spans="1:6" x14ac:dyDescent="0.25">
      <c r="A345" s="36">
        <v>43580.423368055555</v>
      </c>
      <c r="B345" s="3" t="s">
        <v>698</v>
      </c>
      <c r="C345" s="12" t="s">
        <v>307</v>
      </c>
      <c r="D345" s="12">
        <v>0</v>
      </c>
      <c r="E345" s="12" t="s">
        <v>307</v>
      </c>
      <c r="F345" s="3" t="s">
        <v>475</v>
      </c>
    </row>
    <row r="346" spans="1:6" x14ac:dyDescent="0.25">
      <c r="A346" s="36">
        <v>43580.423368055555</v>
      </c>
      <c r="B346" s="3" t="s">
        <v>699</v>
      </c>
      <c r="C346" s="12" t="s">
        <v>307</v>
      </c>
      <c r="D346" s="12">
        <v>0</v>
      </c>
      <c r="E346" s="12" t="s">
        <v>307</v>
      </c>
      <c r="F346" s="3" t="s">
        <v>475</v>
      </c>
    </row>
    <row r="347" spans="1:6" x14ac:dyDescent="0.25">
      <c r="A347" s="36">
        <v>43580.423368055555</v>
      </c>
      <c r="B347" s="3" t="s">
        <v>700</v>
      </c>
      <c r="C347" s="12" t="s">
        <v>307</v>
      </c>
      <c r="D347" s="12">
        <v>0</v>
      </c>
      <c r="E347" s="12" t="s">
        <v>307</v>
      </c>
      <c r="F347" s="3" t="s">
        <v>475</v>
      </c>
    </row>
    <row r="348" spans="1:6" x14ac:dyDescent="0.25">
      <c r="A348" s="36">
        <v>43580.423379629632</v>
      </c>
      <c r="B348" s="3" t="s">
        <v>701</v>
      </c>
      <c r="C348" s="12" t="s">
        <v>307</v>
      </c>
      <c r="D348" s="12">
        <v>0</v>
      </c>
      <c r="E348" s="12" t="s">
        <v>307</v>
      </c>
      <c r="F348" s="3" t="s">
        <v>475</v>
      </c>
    </row>
    <row r="349" spans="1:6" x14ac:dyDescent="0.25">
      <c r="A349" s="36">
        <v>43580.423379629632</v>
      </c>
      <c r="B349" s="3" t="s">
        <v>702</v>
      </c>
      <c r="C349" s="12" t="s">
        <v>307</v>
      </c>
      <c r="D349" s="12">
        <v>0</v>
      </c>
      <c r="E349" s="12" t="s">
        <v>307</v>
      </c>
      <c r="F349" s="3" t="s">
        <v>475</v>
      </c>
    </row>
    <row r="350" spans="1:6" x14ac:dyDescent="0.25">
      <c r="A350" s="36">
        <v>43580.423379629632</v>
      </c>
      <c r="B350" s="3" t="s">
        <v>703</v>
      </c>
      <c r="C350" s="12" t="s">
        <v>307</v>
      </c>
      <c r="D350" s="12">
        <v>0</v>
      </c>
      <c r="E350" s="12" t="s">
        <v>307</v>
      </c>
      <c r="F350" s="3" t="s">
        <v>475</v>
      </c>
    </row>
    <row r="351" spans="1:6" x14ac:dyDescent="0.25">
      <c r="A351" s="36">
        <v>43580.423379629632</v>
      </c>
      <c r="B351" s="3" t="s">
        <v>704</v>
      </c>
      <c r="C351" s="12" t="s">
        <v>307</v>
      </c>
      <c r="D351" s="12">
        <v>0</v>
      </c>
      <c r="E351" s="12" t="s">
        <v>307</v>
      </c>
      <c r="F351" s="3" t="s">
        <v>475</v>
      </c>
    </row>
    <row r="352" spans="1:6" x14ac:dyDescent="0.25">
      <c r="A352" s="36">
        <v>43580.423379629632</v>
      </c>
      <c r="B352" s="3" t="s">
        <v>705</v>
      </c>
      <c r="C352" s="12" t="s">
        <v>307</v>
      </c>
      <c r="D352" s="12">
        <v>0</v>
      </c>
      <c r="E352" s="12" t="s">
        <v>307</v>
      </c>
      <c r="F352" s="3" t="s">
        <v>475</v>
      </c>
    </row>
    <row r="353" spans="1:6" x14ac:dyDescent="0.25">
      <c r="A353" s="36">
        <v>43580.423379629632</v>
      </c>
      <c r="B353" s="3" t="s">
        <v>706</v>
      </c>
      <c r="C353" s="12" t="s">
        <v>307</v>
      </c>
      <c r="D353" s="12">
        <v>0</v>
      </c>
      <c r="E353" s="12" t="s">
        <v>307</v>
      </c>
      <c r="F353" s="3" t="s">
        <v>475</v>
      </c>
    </row>
    <row r="354" spans="1:6" x14ac:dyDescent="0.25">
      <c r="A354" s="36">
        <v>43580.423379629632</v>
      </c>
      <c r="B354" s="3" t="s">
        <v>707</v>
      </c>
      <c r="C354" s="12" t="s">
        <v>307</v>
      </c>
      <c r="D354" s="12">
        <v>0</v>
      </c>
      <c r="E354" s="12" t="s">
        <v>307</v>
      </c>
      <c r="F354" s="3" t="s">
        <v>475</v>
      </c>
    </row>
    <row r="355" spans="1:6" x14ac:dyDescent="0.25">
      <c r="A355" s="36">
        <v>43580.423379629632</v>
      </c>
      <c r="B355" s="3" t="s">
        <v>708</v>
      </c>
      <c r="C355" s="12" t="s">
        <v>307</v>
      </c>
      <c r="D355" s="12">
        <v>0</v>
      </c>
      <c r="E355" s="12" t="s">
        <v>307</v>
      </c>
      <c r="F355" s="3" t="s">
        <v>475</v>
      </c>
    </row>
    <row r="356" spans="1:6" x14ac:dyDescent="0.25">
      <c r="A356" s="36">
        <v>43580.423379629632</v>
      </c>
      <c r="B356" s="3" t="s">
        <v>709</v>
      </c>
      <c r="C356" s="12" t="s">
        <v>307</v>
      </c>
      <c r="D356" s="12">
        <v>0</v>
      </c>
      <c r="E356" s="12" t="s">
        <v>307</v>
      </c>
      <c r="F356" s="3" t="s">
        <v>475</v>
      </c>
    </row>
    <row r="357" spans="1:6" x14ac:dyDescent="0.25">
      <c r="A357" s="36">
        <v>43580.423391203702</v>
      </c>
      <c r="B357" s="3" t="s">
        <v>710</v>
      </c>
      <c r="C357" s="12" t="s">
        <v>307</v>
      </c>
      <c r="D357" s="12">
        <v>0</v>
      </c>
      <c r="E357" s="12" t="s">
        <v>307</v>
      </c>
      <c r="F357" s="3" t="s">
        <v>475</v>
      </c>
    </row>
    <row r="358" spans="1:6" x14ac:dyDescent="0.25">
      <c r="A358" s="36">
        <v>43580.423391203702</v>
      </c>
      <c r="B358" s="3" t="s">
        <v>711</v>
      </c>
      <c r="C358" s="12" t="s">
        <v>307</v>
      </c>
      <c r="D358" s="12">
        <v>0</v>
      </c>
      <c r="E358" s="12" t="s">
        <v>307</v>
      </c>
      <c r="F358" s="3" t="s">
        <v>475</v>
      </c>
    </row>
    <row r="359" spans="1:6" x14ac:dyDescent="0.25">
      <c r="A359" s="36">
        <v>43580.423391203702</v>
      </c>
      <c r="B359" s="3" t="s">
        <v>714</v>
      </c>
      <c r="C359" s="12" t="s">
        <v>307</v>
      </c>
      <c r="D359" s="12">
        <v>0</v>
      </c>
      <c r="E359" s="12" t="s">
        <v>307</v>
      </c>
      <c r="F359" s="3" t="s">
        <v>475</v>
      </c>
    </row>
    <row r="360" spans="1:6" x14ac:dyDescent="0.25">
      <c r="A360" s="36">
        <v>43580.423391203702</v>
      </c>
      <c r="B360" s="3" t="s">
        <v>715</v>
      </c>
      <c r="C360" s="12" t="s">
        <v>307</v>
      </c>
      <c r="D360" s="12">
        <v>0</v>
      </c>
      <c r="E360" s="12" t="s">
        <v>307</v>
      </c>
      <c r="F360" s="3" t="s">
        <v>475</v>
      </c>
    </row>
    <row r="361" spans="1:6" x14ac:dyDescent="0.25">
      <c r="A361" s="36">
        <v>43580.423391203702</v>
      </c>
      <c r="B361" s="3" t="s">
        <v>716</v>
      </c>
      <c r="C361" s="12" t="s">
        <v>307</v>
      </c>
      <c r="D361" s="12">
        <v>0</v>
      </c>
      <c r="E361" s="12" t="s">
        <v>307</v>
      </c>
      <c r="F361" s="3" t="s">
        <v>475</v>
      </c>
    </row>
    <row r="362" spans="1:6" x14ac:dyDescent="0.25">
      <c r="A362" s="36">
        <v>43580.423391203702</v>
      </c>
      <c r="B362" s="3" t="s">
        <v>717</v>
      </c>
      <c r="C362" s="12" t="s">
        <v>307</v>
      </c>
      <c r="D362" s="12">
        <v>0</v>
      </c>
      <c r="E362" s="12" t="s">
        <v>307</v>
      </c>
      <c r="F362" s="3" t="s">
        <v>475</v>
      </c>
    </row>
    <row r="363" spans="1:6" x14ac:dyDescent="0.25">
      <c r="A363" s="36">
        <v>43580.423391203702</v>
      </c>
      <c r="B363" s="3" t="s">
        <v>718</v>
      </c>
      <c r="C363" s="12" t="s">
        <v>307</v>
      </c>
      <c r="D363" s="12">
        <v>0</v>
      </c>
      <c r="E363" s="12" t="s">
        <v>307</v>
      </c>
      <c r="F363" s="3" t="s">
        <v>475</v>
      </c>
    </row>
    <row r="364" spans="1:6" x14ac:dyDescent="0.25">
      <c r="A364" s="36">
        <v>43580.423391203702</v>
      </c>
      <c r="B364" s="3" t="s">
        <v>719</v>
      </c>
      <c r="C364" s="12" t="s">
        <v>307</v>
      </c>
      <c r="D364" s="12">
        <v>0</v>
      </c>
      <c r="E364" s="12" t="s">
        <v>307</v>
      </c>
      <c r="F364" s="3" t="s">
        <v>475</v>
      </c>
    </row>
    <row r="365" spans="1:6" x14ac:dyDescent="0.25">
      <c r="A365" s="36">
        <v>43580.423391203702</v>
      </c>
      <c r="B365" s="3" t="s">
        <v>720</v>
      </c>
      <c r="C365" s="12" t="s">
        <v>307</v>
      </c>
      <c r="D365" s="12">
        <v>0</v>
      </c>
      <c r="E365" s="12" t="s">
        <v>307</v>
      </c>
      <c r="F365" s="3" t="s">
        <v>475</v>
      </c>
    </row>
    <row r="366" spans="1:6" x14ac:dyDescent="0.25">
      <c r="A366" s="36">
        <v>43580.423391203702</v>
      </c>
      <c r="B366" s="3" t="s">
        <v>721</v>
      </c>
      <c r="C366" s="12" t="s">
        <v>307</v>
      </c>
      <c r="D366" s="12">
        <v>0</v>
      </c>
      <c r="E366" s="12" t="s">
        <v>307</v>
      </c>
      <c r="F366" s="3" t="s">
        <v>475</v>
      </c>
    </row>
    <row r="367" spans="1:6" x14ac:dyDescent="0.25">
      <c r="A367" s="36">
        <v>43580.423402777778</v>
      </c>
      <c r="B367" s="3" t="s">
        <v>722</v>
      </c>
      <c r="C367" s="12" t="s">
        <v>307</v>
      </c>
      <c r="D367" s="12">
        <v>0</v>
      </c>
      <c r="E367" s="12" t="s">
        <v>307</v>
      </c>
      <c r="F367" s="3" t="s">
        <v>475</v>
      </c>
    </row>
    <row r="368" spans="1:6" x14ac:dyDescent="0.25">
      <c r="A368" s="36">
        <v>43580.423402777778</v>
      </c>
      <c r="B368" s="3" t="s">
        <v>723</v>
      </c>
      <c r="C368" s="12" t="s">
        <v>307</v>
      </c>
      <c r="D368" s="12">
        <v>0</v>
      </c>
      <c r="E368" s="12" t="s">
        <v>307</v>
      </c>
      <c r="F368" s="3" t="s">
        <v>475</v>
      </c>
    </row>
    <row r="369" spans="1:6" x14ac:dyDescent="0.25">
      <c r="A369" s="36">
        <v>43580.423402777778</v>
      </c>
      <c r="B369" s="3" t="s">
        <v>724</v>
      </c>
      <c r="C369" s="12" t="s">
        <v>307</v>
      </c>
      <c r="D369" s="12">
        <v>0</v>
      </c>
      <c r="E369" s="12" t="s">
        <v>307</v>
      </c>
      <c r="F369" s="3" t="s">
        <v>475</v>
      </c>
    </row>
    <row r="370" spans="1:6" x14ac:dyDescent="0.25">
      <c r="A370" s="36">
        <v>43580.423402777778</v>
      </c>
      <c r="B370" s="3" t="s">
        <v>725</v>
      </c>
      <c r="C370" s="12" t="s">
        <v>307</v>
      </c>
      <c r="D370" s="12">
        <v>0</v>
      </c>
      <c r="E370" s="12" t="s">
        <v>307</v>
      </c>
      <c r="F370" s="3" t="s">
        <v>475</v>
      </c>
    </row>
    <row r="371" spans="1:6" x14ac:dyDescent="0.25">
      <c r="A371" s="36">
        <v>43580.423402777778</v>
      </c>
      <c r="B371" s="3" t="s">
        <v>726</v>
      </c>
      <c r="C371" s="12" t="s">
        <v>307</v>
      </c>
      <c r="D371" s="12">
        <v>0</v>
      </c>
      <c r="E371" s="12" t="s">
        <v>307</v>
      </c>
      <c r="F371" s="3" t="s">
        <v>475</v>
      </c>
    </row>
    <row r="372" spans="1:6" x14ac:dyDescent="0.25">
      <c r="A372" s="36">
        <v>43580.423402777778</v>
      </c>
      <c r="B372" s="3" t="s">
        <v>727</v>
      </c>
      <c r="C372" s="12" t="s">
        <v>307</v>
      </c>
      <c r="D372" s="12">
        <v>0</v>
      </c>
      <c r="E372" s="12" t="s">
        <v>307</v>
      </c>
      <c r="F372" s="3" t="s">
        <v>475</v>
      </c>
    </row>
    <row r="373" spans="1:6" x14ac:dyDescent="0.25">
      <c r="A373" s="36">
        <v>43580.423402777778</v>
      </c>
      <c r="B373" s="3" t="s">
        <v>728</v>
      </c>
      <c r="C373" s="12" t="s">
        <v>307</v>
      </c>
      <c r="D373" s="12">
        <v>0</v>
      </c>
      <c r="E373" s="12" t="s">
        <v>307</v>
      </c>
      <c r="F373" s="3" t="s">
        <v>475</v>
      </c>
    </row>
    <row r="374" spans="1:6" x14ac:dyDescent="0.25">
      <c r="A374" s="36">
        <v>43580.423402777778</v>
      </c>
      <c r="B374" s="3" t="s">
        <v>729</v>
      </c>
      <c r="C374" s="12" t="s">
        <v>307</v>
      </c>
      <c r="D374" s="12">
        <v>0</v>
      </c>
      <c r="E374" s="12" t="s">
        <v>307</v>
      </c>
      <c r="F374" s="3" t="s">
        <v>475</v>
      </c>
    </row>
    <row r="375" spans="1:6" x14ac:dyDescent="0.25">
      <c r="A375" s="36">
        <v>43580.423402777778</v>
      </c>
      <c r="B375" s="3" t="s">
        <v>730</v>
      </c>
      <c r="C375" s="12" t="s">
        <v>307</v>
      </c>
      <c r="D375" s="12">
        <v>0</v>
      </c>
      <c r="E375" s="12" t="s">
        <v>307</v>
      </c>
      <c r="F375" s="3" t="s">
        <v>475</v>
      </c>
    </row>
    <row r="376" spans="1:6" x14ac:dyDescent="0.25">
      <c r="A376" s="36">
        <v>43580.423414351855</v>
      </c>
      <c r="B376" s="3" t="s">
        <v>731</v>
      </c>
      <c r="C376" s="12" t="s">
        <v>307</v>
      </c>
      <c r="D376" s="12">
        <v>0</v>
      </c>
      <c r="E376" s="12" t="s">
        <v>307</v>
      </c>
      <c r="F376" s="3" t="s">
        <v>475</v>
      </c>
    </row>
    <row r="377" spans="1:6" x14ac:dyDescent="0.25">
      <c r="A377" s="36">
        <v>43580.423414351855</v>
      </c>
      <c r="B377" s="3" t="s">
        <v>732</v>
      </c>
      <c r="C377" s="12" t="s">
        <v>307</v>
      </c>
      <c r="D377" s="12">
        <v>0</v>
      </c>
      <c r="E377" s="12" t="s">
        <v>307</v>
      </c>
      <c r="F377" s="3" t="s">
        <v>475</v>
      </c>
    </row>
    <row r="378" spans="1:6" x14ac:dyDescent="0.25">
      <c r="A378" s="36">
        <v>43580.423414351855</v>
      </c>
      <c r="B378" s="3" t="s">
        <v>733</v>
      </c>
      <c r="C378" s="12" t="s">
        <v>307</v>
      </c>
      <c r="D378" s="12">
        <v>0</v>
      </c>
      <c r="E378" s="12" t="s">
        <v>307</v>
      </c>
      <c r="F378" s="3" t="s">
        <v>475</v>
      </c>
    </row>
    <row r="379" spans="1:6" x14ac:dyDescent="0.25">
      <c r="A379" s="36">
        <v>43580.423414351855</v>
      </c>
      <c r="B379" s="3" t="s">
        <v>734</v>
      </c>
      <c r="C379" s="12" t="s">
        <v>307</v>
      </c>
      <c r="D379" s="12">
        <v>0</v>
      </c>
      <c r="E379" s="12" t="s">
        <v>307</v>
      </c>
      <c r="F379" s="3" t="s">
        <v>475</v>
      </c>
    </row>
    <row r="380" spans="1:6" x14ac:dyDescent="0.25">
      <c r="A380" s="36">
        <v>43580.423414351855</v>
      </c>
      <c r="B380" s="3" t="s">
        <v>735</v>
      </c>
      <c r="C380" s="12" t="s">
        <v>307</v>
      </c>
      <c r="D380" s="12">
        <v>0</v>
      </c>
      <c r="E380" s="12" t="s">
        <v>307</v>
      </c>
      <c r="F380" s="3" t="s">
        <v>475</v>
      </c>
    </row>
    <row r="381" spans="1:6" x14ac:dyDescent="0.25">
      <c r="A381" s="36">
        <v>43580.423414351855</v>
      </c>
      <c r="B381" s="3" t="s">
        <v>736</v>
      </c>
      <c r="C381" s="12" t="s">
        <v>307</v>
      </c>
      <c r="D381" s="12">
        <v>0</v>
      </c>
      <c r="E381" s="12" t="s">
        <v>307</v>
      </c>
      <c r="F381" s="3" t="s">
        <v>475</v>
      </c>
    </row>
    <row r="382" spans="1:6" x14ac:dyDescent="0.25">
      <c r="A382" s="36">
        <v>43580.423414351855</v>
      </c>
      <c r="B382" s="3" t="s">
        <v>737</v>
      </c>
      <c r="C382" s="12" t="s">
        <v>307</v>
      </c>
      <c r="D382" s="12">
        <v>0</v>
      </c>
      <c r="E382" s="12" t="s">
        <v>307</v>
      </c>
      <c r="F382" s="3" t="s">
        <v>475</v>
      </c>
    </row>
    <row r="383" spans="1:6" x14ac:dyDescent="0.25">
      <c r="A383" s="36">
        <v>43580.423414351855</v>
      </c>
      <c r="B383" s="3" t="s">
        <v>738</v>
      </c>
      <c r="C383" s="12" t="s">
        <v>307</v>
      </c>
      <c r="D383" s="12">
        <v>0</v>
      </c>
      <c r="E383" s="12" t="s">
        <v>307</v>
      </c>
      <c r="F383" s="3" t="s">
        <v>475</v>
      </c>
    </row>
    <row r="384" spans="1:6" x14ac:dyDescent="0.25">
      <c r="A384" s="36">
        <v>43580.423425925925</v>
      </c>
      <c r="B384" s="3" t="s">
        <v>739</v>
      </c>
      <c r="C384" s="12" t="s">
        <v>307</v>
      </c>
      <c r="D384" s="12">
        <v>0</v>
      </c>
      <c r="E384" s="12" t="s">
        <v>307</v>
      </c>
      <c r="F384" s="3" t="s">
        <v>475</v>
      </c>
    </row>
    <row r="385" spans="1:6" x14ac:dyDescent="0.25">
      <c r="A385" s="36">
        <v>43580.423425925925</v>
      </c>
      <c r="B385" s="3" t="s">
        <v>740</v>
      </c>
      <c r="C385" s="12" t="s">
        <v>307</v>
      </c>
      <c r="D385" s="12">
        <v>0</v>
      </c>
      <c r="E385" s="12" t="s">
        <v>307</v>
      </c>
      <c r="F385" s="3" t="s">
        <v>475</v>
      </c>
    </row>
    <row r="386" spans="1:6" x14ac:dyDescent="0.25">
      <c r="A386" s="36">
        <v>43580.423425925925</v>
      </c>
      <c r="B386" s="3" t="s">
        <v>741</v>
      </c>
      <c r="C386" s="12" t="s">
        <v>307</v>
      </c>
      <c r="D386" s="12">
        <v>0</v>
      </c>
      <c r="E386" s="12" t="s">
        <v>307</v>
      </c>
      <c r="F386" s="3" t="s">
        <v>475</v>
      </c>
    </row>
    <row r="387" spans="1:6" x14ac:dyDescent="0.25">
      <c r="A387" s="36">
        <v>43580.423425925925</v>
      </c>
      <c r="B387" s="3" t="s">
        <v>742</v>
      </c>
      <c r="C387" s="12" t="s">
        <v>307</v>
      </c>
      <c r="D387" s="12">
        <v>0</v>
      </c>
      <c r="E387" s="12" t="s">
        <v>307</v>
      </c>
      <c r="F387" s="3" t="s">
        <v>475</v>
      </c>
    </row>
    <row r="388" spans="1:6" x14ac:dyDescent="0.25">
      <c r="A388" s="36">
        <v>43580.423425925925</v>
      </c>
      <c r="B388" s="3" t="s">
        <v>743</v>
      </c>
      <c r="C388" s="12" t="s">
        <v>307</v>
      </c>
      <c r="D388" s="12">
        <v>0</v>
      </c>
      <c r="E388" s="12" t="s">
        <v>307</v>
      </c>
      <c r="F388" s="3" t="s">
        <v>475</v>
      </c>
    </row>
    <row r="389" spans="1:6" x14ac:dyDescent="0.25">
      <c r="A389" s="36">
        <v>43580.423425925925</v>
      </c>
      <c r="B389" s="3" t="s">
        <v>744</v>
      </c>
      <c r="C389" s="12" t="s">
        <v>307</v>
      </c>
      <c r="D389" s="12">
        <v>0</v>
      </c>
      <c r="E389" s="12" t="s">
        <v>307</v>
      </c>
      <c r="F389" s="3" t="s">
        <v>475</v>
      </c>
    </row>
    <row r="390" spans="1:6" x14ac:dyDescent="0.25">
      <c r="A390" s="36">
        <v>43580.423425925925</v>
      </c>
      <c r="B390" s="3" t="s">
        <v>745</v>
      </c>
      <c r="C390" s="12" t="s">
        <v>307</v>
      </c>
      <c r="D390" s="12">
        <v>0</v>
      </c>
      <c r="E390" s="12" t="s">
        <v>307</v>
      </c>
      <c r="F390" s="3" t="s">
        <v>475</v>
      </c>
    </row>
    <row r="391" spans="1:6" x14ac:dyDescent="0.25">
      <c r="A391" s="36">
        <v>43580.423425925925</v>
      </c>
      <c r="B391" s="3" t="s">
        <v>746</v>
      </c>
      <c r="C391" s="12" t="s">
        <v>307</v>
      </c>
      <c r="D391" s="12">
        <v>0</v>
      </c>
      <c r="E391" s="12" t="s">
        <v>307</v>
      </c>
      <c r="F391" s="3" t="s">
        <v>475</v>
      </c>
    </row>
    <row r="392" spans="1:6" x14ac:dyDescent="0.25">
      <c r="A392" s="36">
        <v>43580.423425925925</v>
      </c>
      <c r="B392" s="3" t="s">
        <v>747</v>
      </c>
      <c r="C392" s="12" t="s">
        <v>307</v>
      </c>
      <c r="D392" s="12">
        <v>0</v>
      </c>
      <c r="E392" s="12" t="s">
        <v>307</v>
      </c>
      <c r="F392" s="3" t="s">
        <v>475</v>
      </c>
    </row>
    <row r="393" spans="1:6" x14ac:dyDescent="0.25">
      <c r="A393" s="36">
        <v>43580.423437500001</v>
      </c>
      <c r="B393" s="3" t="s">
        <v>748</v>
      </c>
      <c r="C393" s="12" t="s">
        <v>307</v>
      </c>
      <c r="D393" s="12">
        <v>0</v>
      </c>
      <c r="E393" s="12" t="s">
        <v>307</v>
      </c>
      <c r="F393" s="3" t="s">
        <v>475</v>
      </c>
    </row>
    <row r="394" spans="1:6" x14ac:dyDescent="0.25">
      <c r="A394" s="36">
        <v>43580.423437500001</v>
      </c>
      <c r="B394" s="3" t="s">
        <v>749</v>
      </c>
      <c r="C394" s="12" t="s">
        <v>307</v>
      </c>
      <c r="D394" s="12">
        <v>0</v>
      </c>
      <c r="E394" s="12" t="s">
        <v>307</v>
      </c>
      <c r="F394" s="3" t="s">
        <v>475</v>
      </c>
    </row>
    <row r="395" spans="1:6" x14ac:dyDescent="0.25">
      <c r="A395" s="36">
        <v>43580.423437500001</v>
      </c>
      <c r="B395" s="3" t="s">
        <v>750</v>
      </c>
      <c r="C395" s="12" t="s">
        <v>307</v>
      </c>
      <c r="D395" s="12">
        <v>0</v>
      </c>
      <c r="E395" s="12" t="s">
        <v>307</v>
      </c>
      <c r="F395" s="3" t="s">
        <v>475</v>
      </c>
    </row>
    <row r="396" spans="1:6" x14ac:dyDescent="0.25">
      <c r="A396" s="36">
        <v>43580.423437500001</v>
      </c>
      <c r="B396" s="3" t="s">
        <v>751</v>
      </c>
      <c r="C396" s="12" t="s">
        <v>307</v>
      </c>
      <c r="D396" s="12">
        <v>0</v>
      </c>
      <c r="E396" s="12" t="s">
        <v>307</v>
      </c>
      <c r="F396" s="3" t="s">
        <v>475</v>
      </c>
    </row>
    <row r="397" spans="1:6" x14ac:dyDescent="0.25">
      <c r="A397" s="36">
        <v>43580.423437500001</v>
      </c>
      <c r="B397" s="3" t="s">
        <v>752</v>
      </c>
      <c r="C397" s="12" t="s">
        <v>307</v>
      </c>
      <c r="D397" s="12">
        <v>0</v>
      </c>
      <c r="E397" s="12" t="s">
        <v>307</v>
      </c>
      <c r="F397" s="3" t="s">
        <v>475</v>
      </c>
    </row>
    <row r="398" spans="1:6" x14ac:dyDescent="0.25">
      <c r="A398" s="36">
        <v>43580.423437500001</v>
      </c>
      <c r="B398" s="3" t="s">
        <v>753</v>
      </c>
      <c r="C398" s="12" t="s">
        <v>307</v>
      </c>
      <c r="D398" s="12">
        <v>0</v>
      </c>
      <c r="E398" s="12" t="s">
        <v>307</v>
      </c>
      <c r="F398" s="3" t="s">
        <v>475</v>
      </c>
    </row>
    <row r="399" spans="1:6" x14ac:dyDescent="0.25">
      <c r="A399" s="36">
        <v>43580.423437500001</v>
      </c>
      <c r="B399" s="3" t="s">
        <v>754</v>
      </c>
      <c r="C399" s="12" t="s">
        <v>307</v>
      </c>
      <c r="D399" s="12">
        <v>0</v>
      </c>
      <c r="E399" s="12" t="s">
        <v>307</v>
      </c>
      <c r="F399" s="3" t="s">
        <v>475</v>
      </c>
    </row>
    <row r="400" spans="1:6" x14ac:dyDescent="0.25">
      <c r="A400" s="36">
        <v>43580.423437500001</v>
      </c>
      <c r="B400" s="3" t="s">
        <v>755</v>
      </c>
      <c r="C400" s="12" t="s">
        <v>307</v>
      </c>
      <c r="D400" s="12">
        <v>0</v>
      </c>
      <c r="E400" s="12" t="s">
        <v>307</v>
      </c>
      <c r="F400" s="3" t="s">
        <v>475</v>
      </c>
    </row>
    <row r="401" spans="1:6" x14ac:dyDescent="0.25">
      <c r="A401" s="36">
        <v>43580.423437500001</v>
      </c>
      <c r="B401" s="3" t="s">
        <v>756</v>
      </c>
      <c r="C401" s="12" t="s">
        <v>307</v>
      </c>
      <c r="D401" s="12">
        <v>0</v>
      </c>
      <c r="E401" s="12" t="s">
        <v>307</v>
      </c>
      <c r="F401" s="3" t="s">
        <v>475</v>
      </c>
    </row>
    <row r="402" spans="1:6" x14ac:dyDescent="0.25">
      <c r="A402" s="36">
        <v>43580.423449074071</v>
      </c>
      <c r="B402" s="3" t="s">
        <v>757</v>
      </c>
      <c r="C402" s="12" t="s">
        <v>307</v>
      </c>
      <c r="D402" s="12">
        <v>0</v>
      </c>
      <c r="E402" s="12" t="s">
        <v>307</v>
      </c>
      <c r="F402" s="3" t="s">
        <v>475</v>
      </c>
    </row>
    <row r="403" spans="1:6" x14ac:dyDescent="0.25">
      <c r="A403" s="36">
        <v>43580.423449074071</v>
      </c>
      <c r="B403" s="3" t="s">
        <v>758</v>
      </c>
      <c r="C403" s="12" t="s">
        <v>307</v>
      </c>
      <c r="D403" s="12">
        <v>0</v>
      </c>
      <c r="E403" s="12" t="s">
        <v>307</v>
      </c>
      <c r="F403" s="3" t="s">
        <v>475</v>
      </c>
    </row>
    <row r="404" spans="1:6" x14ac:dyDescent="0.25">
      <c r="A404" s="36">
        <v>43580.423449074071</v>
      </c>
      <c r="B404" s="3" t="s">
        <v>759</v>
      </c>
      <c r="C404" s="12" t="s">
        <v>307</v>
      </c>
      <c r="D404" s="12">
        <v>0</v>
      </c>
      <c r="E404" s="12" t="s">
        <v>307</v>
      </c>
      <c r="F404" s="3" t="s">
        <v>475</v>
      </c>
    </row>
    <row r="405" spans="1:6" x14ac:dyDescent="0.25">
      <c r="A405" s="36">
        <v>43580.423449074071</v>
      </c>
      <c r="B405" s="3" t="s">
        <v>760</v>
      </c>
      <c r="C405" s="12" t="s">
        <v>307</v>
      </c>
      <c r="D405" s="12">
        <v>0</v>
      </c>
      <c r="E405" s="12" t="s">
        <v>307</v>
      </c>
      <c r="F405" s="3" t="s">
        <v>475</v>
      </c>
    </row>
    <row r="406" spans="1:6" x14ac:dyDescent="0.25">
      <c r="A406" s="36">
        <v>43580.423449074071</v>
      </c>
      <c r="B406" s="3" t="s">
        <v>761</v>
      </c>
      <c r="C406" s="12" t="s">
        <v>307</v>
      </c>
      <c r="D406" s="12">
        <v>0</v>
      </c>
      <c r="E406" s="12" t="s">
        <v>307</v>
      </c>
      <c r="F406" s="3" t="s">
        <v>475</v>
      </c>
    </row>
    <row r="407" spans="1:6" x14ac:dyDescent="0.25">
      <c r="A407" s="36">
        <v>43580.423449074071</v>
      </c>
      <c r="B407" s="3" t="s">
        <v>762</v>
      </c>
      <c r="C407" s="12" t="s">
        <v>307</v>
      </c>
      <c r="D407" s="12">
        <v>0</v>
      </c>
      <c r="E407" s="12" t="s">
        <v>307</v>
      </c>
      <c r="F407" s="3" t="s">
        <v>475</v>
      </c>
    </row>
    <row r="408" spans="1:6" x14ac:dyDescent="0.25">
      <c r="A408" s="36">
        <v>43580.423449074071</v>
      </c>
      <c r="B408" s="3" t="s">
        <v>763</v>
      </c>
      <c r="C408" s="12" t="s">
        <v>307</v>
      </c>
      <c r="D408" s="12">
        <v>0</v>
      </c>
      <c r="E408" s="12" t="s">
        <v>307</v>
      </c>
      <c r="F408" s="3" t="s">
        <v>475</v>
      </c>
    </row>
    <row r="409" spans="1:6" x14ac:dyDescent="0.25">
      <c r="A409" s="36">
        <v>43580.423449074071</v>
      </c>
      <c r="B409" s="3" t="s">
        <v>764</v>
      </c>
      <c r="C409" s="12" t="s">
        <v>307</v>
      </c>
      <c r="D409" s="12">
        <v>0</v>
      </c>
      <c r="E409" s="12" t="s">
        <v>307</v>
      </c>
      <c r="F409" s="3" t="s">
        <v>475</v>
      </c>
    </row>
    <row r="410" spans="1:6" x14ac:dyDescent="0.25">
      <c r="A410" s="36">
        <v>43580.423449074071</v>
      </c>
      <c r="B410" s="3" t="s">
        <v>765</v>
      </c>
      <c r="C410" s="12" t="s">
        <v>307</v>
      </c>
      <c r="D410" s="12">
        <v>0</v>
      </c>
      <c r="E410" s="12" t="s">
        <v>307</v>
      </c>
      <c r="F410" s="3" t="s">
        <v>475</v>
      </c>
    </row>
    <row r="411" spans="1:6" x14ac:dyDescent="0.25">
      <c r="A411" s="36">
        <v>43580.423460648148</v>
      </c>
      <c r="B411" s="3" t="s">
        <v>766</v>
      </c>
      <c r="C411" s="12" t="s">
        <v>307</v>
      </c>
      <c r="D411" s="12">
        <v>0</v>
      </c>
      <c r="E411" s="12" t="s">
        <v>307</v>
      </c>
      <c r="F411" s="3" t="s">
        <v>475</v>
      </c>
    </row>
    <row r="412" spans="1:6" x14ac:dyDescent="0.25">
      <c r="A412" s="36">
        <v>43580.423460648148</v>
      </c>
      <c r="B412" s="3" t="s">
        <v>767</v>
      </c>
      <c r="C412" s="12" t="s">
        <v>307</v>
      </c>
      <c r="D412" s="12">
        <v>0</v>
      </c>
      <c r="E412" s="12" t="s">
        <v>307</v>
      </c>
      <c r="F412" s="3" t="s">
        <v>475</v>
      </c>
    </row>
    <row r="413" spans="1:6" x14ac:dyDescent="0.25">
      <c r="A413" s="36">
        <v>43580.423460648148</v>
      </c>
      <c r="B413" s="3" t="s">
        <v>768</v>
      </c>
      <c r="C413" s="12" t="s">
        <v>307</v>
      </c>
      <c r="D413" s="12">
        <v>0</v>
      </c>
      <c r="E413" s="12" t="s">
        <v>307</v>
      </c>
      <c r="F413" s="3" t="s">
        <v>475</v>
      </c>
    </row>
    <row r="414" spans="1:6" x14ac:dyDescent="0.25">
      <c r="A414" s="36">
        <v>43580.423460648148</v>
      </c>
      <c r="B414" s="3" t="s">
        <v>769</v>
      </c>
      <c r="C414" s="12" t="s">
        <v>307</v>
      </c>
      <c r="D414" s="12">
        <v>0</v>
      </c>
      <c r="E414" s="12" t="s">
        <v>307</v>
      </c>
      <c r="F414" s="3" t="s">
        <v>475</v>
      </c>
    </row>
    <row r="415" spans="1:6" x14ac:dyDescent="0.25">
      <c r="A415" s="36">
        <v>43580.423460648148</v>
      </c>
      <c r="B415" s="3" t="s">
        <v>770</v>
      </c>
      <c r="C415" s="12" t="s">
        <v>307</v>
      </c>
      <c r="D415" s="12">
        <v>0</v>
      </c>
      <c r="E415" s="12" t="s">
        <v>307</v>
      </c>
      <c r="F415" s="3" t="s">
        <v>475</v>
      </c>
    </row>
    <row r="416" spans="1:6" x14ac:dyDescent="0.25">
      <c r="A416" s="36">
        <v>43580.423460648148</v>
      </c>
      <c r="B416" s="3" t="s">
        <v>771</v>
      </c>
      <c r="C416" s="12" t="s">
        <v>307</v>
      </c>
      <c r="D416" s="12">
        <v>0</v>
      </c>
      <c r="E416" s="12" t="s">
        <v>307</v>
      </c>
      <c r="F416" s="3" t="s">
        <v>475</v>
      </c>
    </row>
    <row r="417" spans="1:6" x14ac:dyDescent="0.25">
      <c r="A417" s="36">
        <v>43580.423460648148</v>
      </c>
      <c r="B417" s="3" t="s">
        <v>772</v>
      </c>
      <c r="C417" s="12" t="s">
        <v>307</v>
      </c>
      <c r="D417" s="12">
        <v>0</v>
      </c>
      <c r="E417" s="12" t="s">
        <v>307</v>
      </c>
      <c r="F417" s="3" t="s">
        <v>475</v>
      </c>
    </row>
    <row r="418" spans="1:6" x14ac:dyDescent="0.25">
      <c r="A418" s="36">
        <v>43580.423460648148</v>
      </c>
      <c r="B418" s="3" t="s">
        <v>773</v>
      </c>
      <c r="C418" s="12" t="s">
        <v>307</v>
      </c>
      <c r="D418" s="12">
        <v>0</v>
      </c>
      <c r="E418" s="12" t="s">
        <v>307</v>
      </c>
      <c r="F418" s="3" t="s">
        <v>475</v>
      </c>
    </row>
    <row r="419" spans="1:6" x14ac:dyDescent="0.25">
      <c r="A419" s="36">
        <v>43580.423472222225</v>
      </c>
      <c r="B419" s="3" t="s">
        <v>774</v>
      </c>
      <c r="C419" s="12" t="s">
        <v>307</v>
      </c>
      <c r="D419" s="12">
        <v>0</v>
      </c>
      <c r="E419" s="12" t="s">
        <v>307</v>
      </c>
      <c r="F419" s="3" t="s">
        <v>475</v>
      </c>
    </row>
    <row r="420" spans="1:6" x14ac:dyDescent="0.25">
      <c r="A420" s="36">
        <v>43580.423472222225</v>
      </c>
      <c r="B420" s="3" t="s">
        <v>775</v>
      </c>
      <c r="C420" s="12" t="s">
        <v>307</v>
      </c>
      <c r="D420" s="12">
        <v>0</v>
      </c>
      <c r="E420" s="12" t="s">
        <v>307</v>
      </c>
      <c r="F420" s="3" t="s">
        <v>475</v>
      </c>
    </row>
    <row r="421" spans="1:6" x14ac:dyDescent="0.25">
      <c r="A421" s="36">
        <v>43580.423472222225</v>
      </c>
      <c r="B421" s="3" t="s">
        <v>776</v>
      </c>
      <c r="C421" s="12" t="s">
        <v>307</v>
      </c>
      <c r="D421" s="12">
        <v>0</v>
      </c>
      <c r="E421" s="12" t="s">
        <v>307</v>
      </c>
      <c r="F421" s="3" t="s">
        <v>475</v>
      </c>
    </row>
    <row r="422" spans="1:6" x14ac:dyDescent="0.25">
      <c r="A422" s="36">
        <v>43580.423472222225</v>
      </c>
      <c r="B422" s="3" t="s">
        <v>777</v>
      </c>
      <c r="C422" s="12" t="s">
        <v>307</v>
      </c>
      <c r="D422" s="12">
        <v>0</v>
      </c>
      <c r="E422" s="12" t="s">
        <v>307</v>
      </c>
      <c r="F422" s="3" t="s">
        <v>475</v>
      </c>
    </row>
    <row r="423" spans="1:6" x14ac:dyDescent="0.25">
      <c r="A423" s="36">
        <v>43580.423472222225</v>
      </c>
      <c r="B423" s="3" t="s">
        <v>778</v>
      </c>
      <c r="C423" s="12" t="s">
        <v>307</v>
      </c>
      <c r="D423" s="12">
        <v>0</v>
      </c>
      <c r="E423" s="12" t="s">
        <v>307</v>
      </c>
      <c r="F423" s="3" t="s">
        <v>475</v>
      </c>
    </row>
    <row r="424" spans="1:6" x14ac:dyDescent="0.25">
      <c r="A424" s="36">
        <v>43580.423472222225</v>
      </c>
      <c r="B424" s="3" t="s">
        <v>779</v>
      </c>
      <c r="C424" s="12" t="s">
        <v>307</v>
      </c>
      <c r="D424" s="12">
        <v>0</v>
      </c>
      <c r="E424" s="12" t="s">
        <v>307</v>
      </c>
      <c r="F424" s="3" t="s">
        <v>475</v>
      </c>
    </row>
    <row r="425" spans="1:6" x14ac:dyDescent="0.25">
      <c r="A425" s="36">
        <v>43580.423472222225</v>
      </c>
      <c r="B425" s="3" t="s">
        <v>780</v>
      </c>
      <c r="C425" s="12" t="s">
        <v>307</v>
      </c>
      <c r="D425" s="12">
        <v>0</v>
      </c>
      <c r="E425" s="12" t="s">
        <v>307</v>
      </c>
      <c r="F425" s="3" t="s">
        <v>475</v>
      </c>
    </row>
    <row r="426" spans="1:6" x14ac:dyDescent="0.25">
      <c r="A426" s="36">
        <v>43580.423472222225</v>
      </c>
      <c r="B426" s="3" t="s">
        <v>781</v>
      </c>
      <c r="C426" s="12" t="s">
        <v>307</v>
      </c>
      <c r="D426" s="12">
        <v>0</v>
      </c>
      <c r="E426" s="12" t="s">
        <v>307</v>
      </c>
      <c r="F426" s="3" t="s">
        <v>475</v>
      </c>
    </row>
    <row r="427" spans="1:6" x14ac:dyDescent="0.25">
      <c r="A427" s="36">
        <v>43580.423472222225</v>
      </c>
      <c r="B427" s="3" t="s">
        <v>782</v>
      </c>
      <c r="C427" s="12" t="s">
        <v>307</v>
      </c>
      <c r="D427" s="12">
        <v>0</v>
      </c>
      <c r="E427" s="12" t="s">
        <v>307</v>
      </c>
      <c r="F427" s="3" t="s">
        <v>475</v>
      </c>
    </row>
    <row r="428" spans="1:6" x14ac:dyDescent="0.25">
      <c r="A428" s="36">
        <v>43580.423483796294</v>
      </c>
      <c r="B428" s="3" t="s">
        <v>783</v>
      </c>
      <c r="C428" s="12" t="s">
        <v>307</v>
      </c>
      <c r="D428" s="12">
        <v>0</v>
      </c>
      <c r="E428" s="12" t="s">
        <v>307</v>
      </c>
      <c r="F428" s="3" t="s">
        <v>475</v>
      </c>
    </row>
    <row r="429" spans="1:6" x14ac:dyDescent="0.25">
      <c r="A429" s="36">
        <v>43580.423483796294</v>
      </c>
      <c r="B429" s="3" t="s">
        <v>784</v>
      </c>
      <c r="C429" s="12" t="s">
        <v>307</v>
      </c>
      <c r="D429" s="12">
        <v>0</v>
      </c>
      <c r="E429" s="12" t="s">
        <v>307</v>
      </c>
      <c r="F429" s="3" t="s">
        <v>475</v>
      </c>
    </row>
    <row r="430" spans="1:6" x14ac:dyDescent="0.25">
      <c r="A430" s="36">
        <v>43580.423483796294</v>
      </c>
      <c r="B430" s="3" t="s">
        <v>785</v>
      </c>
      <c r="C430" s="12" t="s">
        <v>307</v>
      </c>
      <c r="D430" s="12">
        <v>0</v>
      </c>
      <c r="E430" s="12" t="s">
        <v>307</v>
      </c>
      <c r="F430" s="3" t="s">
        <v>475</v>
      </c>
    </row>
    <row r="431" spans="1:6" x14ac:dyDescent="0.25">
      <c r="A431" s="36">
        <v>43580.423483796294</v>
      </c>
      <c r="B431" s="3" t="s">
        <v>786</v>
      </c>
      <c r="C431" s="12" t="s">
        <v>307</v>
      </c>
      <c r="D431" s="12">
        <v>0</v>
      </c>
      <c r="E431" s="12" t="s">
        <v>307</v>
      </c>
      <c r="F431" s="3" t="s">
        <v>475</v>
      </c>
    </row>
    <row r="432" spans="1:6" x14ac:dyDescent="0.25">
      <c r="A432" s="36">
        <v>43580.423483796294</v>
      </c>
      <c r="B432" s="3" t="s">
        <v>787</v>
      </c>
      <c r="C432" s="12" t="s">
        <v>307</v>
      </c>
      <c r="D432" s="12">
        <v>0</v>
      </c>
      <c r="E432" s="12" t="s">
        <v>307</v>
      </c>
      <c r="F432" s="3" t="s">
        <v>475</v>
      </c>
    </row>
    <row r="433" spans="1:6" x14ac:dyDescent="0.25">
      <c r="A433" s="36">
        <v>43580.423483796294</v>
      </c>
      <c r="B433" s="3" t="s">
        <v>788</v>
      </c>
      <c r="C433" s="12" t="s">
        <v>307</v>
      </c>
      <c r="D433" s="12">
        <v>0</v>
      </c>
      <c r="E433" s="12" t="s">
        <v>307</v>
      </c>
      <c r="F433" s="3" t="s">
        <v>475</v>
      </c>
    </row>
    <row r="434" spans="1:6" x14ac:dyDescent="0.25">
      <c r="A434" s="36">
        <v>43580.423483796294</v>
      </c>
      <c r="B434" s="3" t="s">
        <v>789</v>
      </c>
      <c r="C434" s="12" t="s">
        <v>307</v>
      </c>
      <c r="D434" s="12">
        <v>0</v>
      </c>
      <c r="E434" s="12" t="s">
        <v>307</v>
      </c>
      <c r="F434" s="3" t="s">
        <v>475</v>
      </c>
    </row>
    <row r="435" spans="1:6" x14ac:dyDescent="0.25">
      <c r="A435" s="36">
        <v>43580.423483796294</v>
      </c>
      <c r="B435" s="3" t="s">
        <v>790</v>
      </c>
      <c r="C435" s="12" t="s">
        <v>307</v>
      </c>
      <c r="D435" s="12">
        <v>0</v>
      </c>
      <c r="E435" s="12" t="s">
        <v>307</v>
      </c>
      <c r="F435" s="3" t="s">
        <v>475</v>
      </c>
    </row>
    <row r="436" spans="1:6" x14ac:dyDescent="0.25">
      <c r="A436" s="36">
        <v>43580.423495370371</v>
      </c>
      <c r="B436" s="3" t="s">
        <v>791</v>
      </c>
      <c r="C436" s="12" t="s">
        <v>307</v>
      </c>
      <c r="D436" s="12">
        <v>0</v>
      </c>
      <c r="E436" s="12" t="s">
        <v>307</v>
      </c>
      <c r="F436" s="3" t="s">
        <v>475</v>
      </c>
    </row>
    <row r="437" spans="1:6" x14ac:dyDescent="0.25">
      <c r="A437" s="36">
        <v>43580.423495370371</v>
      </c>
      <c r="B437" s="3" t="s">
        <v>792</v>
      </c>
      <c r="C437" s="12" t="s">
        <v>307</v>
      </c>
      <c r="D437" s="12">
        <v>0</v>
      </c>
      <c r="E437" s="12" t="s">
        <v>307</v>
      </c>
      <c r="F437" s="3" t="s">
        <v>475</v>
      </c>
    </row>
    <row r="438" spans="1:6" x14ac:dyDescent="0.25">
      <c r="A438" s="36">
        <v>43580.423495370371</v>
      </c>
      <c r="B438" s="3" t="s">
        <v>793</v>
      </c>
      <c r="C438" s="12" t="s">
        <v>307</v>
      </c>
      <c r="D438" s="12">
        <v>0</v>
      </c>
      <c r="E438" s="12" t="s">
        <v>307</v>
      </c>
      <c r="F438" s="3" t="s">
        <v>475</v>
      </c>
    </row>
    <row r="439" spans="1:6" x14ac:dyDescent="0.25">
      <c r="A439" s="36">
        <v>43580.423495370371</v>
      </c>
      <c r="B439" s="3" t="s">
        <v>794</v>
      </c>
      <c r="C439" s="12" t="s">
        <v>307</v>
      </c>
      <c r="D439" s="12">
        <v>0</v>
      </c>
      <c r="E439" s="12" t="s">
        <v>307</v>
      </c>
      <c r="F439" s="3" t="s">
        <v>475</v>
      </c>
    </row>
    <row r="440" spans="1:6" x14ac:dyDescent="0.25">
      <c r="A440" s="36">
        <v>43580.423495370371</v>
      </c>
      <c r="B440" s="3" t="s">
        <v>795</v>
      </c>
      <c r="C440" s="12" t="s">
        <v>307</v>
      </c>
      <c r="D440" s="12">
        <v>0</v>
      </c>
      <c r="E440" s="12" t="s">
        <v>307</v>
      </c>
      <c r="F440" s="3" t="s">
        <v>475</v>
      </c>
    </row>
    <row r="441" spans="1:6" x14ac:dyDescent="0.25">
      <c r="A441" s="36">
        <v>43580.423495370371</v>
      </c>
      <c r="B441" s="3" t="s">
        <v>796</v>
      </c>
      <c r="C441" s="12" t="s">
        <v>307</v>
      </c>
      <c r="D441" s="12">
        <v>0</v>
      </c>
      <c r="E441" s="12" t="s">
        <v>307</v>
      </c>
      <c r="F441" s="3" t="s">
        <v>475</v>
      </c>
    </row>
    <row r="442" spans="1:6" x14ac:dyDescent="0.25">
      <c r="A442" s="36">
        <v>43580.423495370371</v>
      </c>
      <c r="B442" s="3" t="s">
        <v>797</v>
      </c>
      <c r="C442" s="12" t="s">
        <v>307</v>
      </c>
      <c r="D442" s="12">
        <v>0</v>
      </c>
      <c r="E442" s="12" t="s">
        <v>307</v>
      </c>
      <c r="F442" s="3" t="s">
        <v>475</v>
      </c>
    </row>
    <row r="443" spans="1:6" x14ac:dyDescent="0.25">
      <c r="A443" s="36">
        <v>43580.423495370371</v>
      </c>
      <c r="B443" s="3" t="s">
        <v>798</v>
      </c>
      <c r="C443" s="12" t="s">
        <v>307</v>
      </c>
      <c r="D443" s="12">
        <v>0</v>
      </c>
      <c r="E443" s="12" t="s">
        <v>307</v>
      </c>
      <c r="F443" s="3" t="s">
        <v>475</v>
      </c>
    </row>
    <row r="444" spans="1:6" x14ac:dyDescent="0.25">
      <c r="A444" s="36">
        <v>43580.423495370371</v>
      </c>
      <c r="B444" s="3" t="s">
        <v>799</v>
      </c>
      <c r="C444" s="12" t="s">
        <v>307</v>
      </c>
      <c r="D444" s="12">
        <v>0</v>
      </c>
      <c r="E444" s="12" t="s">
        <v>307</v>
      </c>
      <c r="F444" s="3" t="s">
        <v>475</v>
      </c>
    </row>
    <row r="445" spans="1:6" x14ac:dyDescent="0.25">
      <c r="A445" s="36">
        <v>43580.423506944448</v>
      </c>
      <c r="B445" s="3" t="s">
        <v>800</v>
      </c>
      <c r="C445" s="12" t="s">
        <v>307</v>
      </c>
      <c r="D445" s="12">
        <v>0</v>
      </c>
      <c r="E445" s="12" t="s">
        <v>307</v>
      </c>
      <c r="F445" s="3" t="s">
        <v>475</v>
      </c>
    </row>
    <row r="446" spans="1:6" x14ac:dyDescent="0.25">
      <c r="A446" s="36">
        <v>43580.423506944448</v>
      </c>
      <c r="B446" s="3" t="s">
        <v>801</v>
      </c>
      <c r="C446" s="12" t="s">
        <v>307</v>
      </c>
      <c r="D446" s="12">
        <v>0</v>
      </c>
      <c r="E446" s="12" t="s">
        <v>307</v>
      </c>
      <c r="F446" s="3" t="s">
        <v>475</v>
      </c>
    </row>
    <row r="447" spans="1:6" x14ac:dyDescent="0.25">
      <c r="A447" s="36">
        <v>43580.423506944448</v>
      </c>
      <c r="B447" s="3" t="s">
        <v>802</v>
      </c>
      <c r="C447" s="12" t="s">
        <v>307</v>
      </c>
      <c r="D447" s="12">
        <v>0</v>
      </c>
      <c r="E447" s="12" t="s">
        <v>307</v>
      </c>
      <c r="F447" s="3" t="s">
        <v>475</v>
      </c>
    </row>
    <row r="448" spans="1:6" x14ac:dyDescent="0.25">
      <c r="A448" s="36">
        <v>43580.423506944448</v>
      </c>
      <c r="B448" s="3" t="s">
        <v>803</v>
      </c>
      <c r="C448" s="12" t="s">
        <v>307</v>
      </c>
      <c r="D448" s="12">
        <v>0</v>
      </c>
      <c r="E448" s="12" t="s">
        <v>307</v>
      </c>
      <c r="F448" s="3" t="s">
        <v>475</v>
      </c>
    </row>
    <row r="449" spans="1:6" x14ac:dyDescent="0.25">
      <c r="A449" s="36">
        <v>43580.423506944448</v>
      </c>
      <c r="B449" s="3" t="s">
        <v>804</v>
      </c>
      <c r="C449" s="12" t="s">
        <v>307</v>
      </c>
      <c r="D449" s="12">
        <v>0</v>
      </c>
      <c r="E449" s="12" t="s">
        <v>307</v>
      </c>
      <c r="F449" s="3" t="s">
        <v>475</v>
      </c>
    </row>
    <row r="450" spans="1:6" x14ac:dyDescent="0.25">
      <c r="A450" s="36">
        <v>43580.423506944448</v>
      </c>
      <c r="B450" s="3" t="s">
        <v>805</v>
      </c>
      <c r="C450" s="12" t="s">
        <v>307</v>
      </c>
      <c r="D450" s="12">
        <v>0</v>
      </c>
      <c r="E450" s="12" t="s">
        <v>307</v>
      </c>
      <c r="F450" s="3" t="s">
        <v>475</v>
      </c>
    </row>
    <row r="451" spans="1:6" x14ac:dyDescent="0.25">
      <c r="A451" s="36">
        <v>43580.423506944448</v>
      </c>
      <c r="B451" s="3" t="s">
        <v>806</v>
      </c>
      <c r="C451" s="12" t="s">
        <v>307</v>
      </c>
      <c r="D451" s="12">
        <v>0</v>
      </c>
      <c r="E451" s="12" t="s">
        <v>307</v>
      </c>
      <c r="F451" s="3" t="s">
        <v>475</v>
      </c>
    </row>
    <row r="452" spans="1:6" x14ac:dyDescent="0.25">
      <c r="A452" s="36">
        <v>43580.423506944448</v>
      </c>
      <c r="B452" s="3" t="s">
        <v>807</v>
      </c>
      <c r="C452" s="12" t="s">
        <v>307</v>
      </c>
      <c r="D452" s="12">
        <v>0</v>
      </c>
      <c r="E452" s="12" t="s">
        <v>307</v>
      </c>
      <c r="F452" s="3" t="s">
        <v>475</v>
      </c>
    </row>
    <row r="453" spans="1:6" x14ac:dyDescent="0.25">
      <c r="A453" s="36">
        <v>43580.423518518517</v>
      </c>
      <c r="B453" s="3" t="s">
        <v>808</v>
      </c>
      <c r="C453" s="12" t="s">
        <v>307</v>
      </c>
      <c r="D453" s="12">
        <v>0</v>
      </c>
      <c r="E453" s="12" t="s">
        <v>307</v>
      </c>
      <c r="F453" s="3" t="s">
        <v>475</v>
      </c>
    </row>
    <row r="454" spans="1:6" x14ac:dyDescent="0.25">
      <c r="A454" s="36">
        <v>43580.423518518517</v>
      </c>
      <c r="B454" s="3" t="s">
        <v>809</v>
      </c>
      <c r="C454" s="12" t="s">
        <v>307</v>
      </c>
      <c r="D454" s="12">
        <v>0</v>
      </c>
      <c r="E454" s="12" t="s">
        <v>307</v>
      </c>
      <c r="F454" s="3" t="s">
        <v>475</v>
      </c>
    </row>
    <row r="455" spans="1:6" x14ac:dyDescent="0.25">
      <c r="A455" s="36">
        <v>43580.423518518517</v>
      </c>
      <c r="B455" s="3" t="s">
        <v>810</v>
      </c>
      <c r="C455" s="12" t="s">
        <v>307</v>
      </c>
      <c r="D455" s="12">
        <v>0</v>
      </c>
      <c r="E455" s="12" t="s">
        <v>307</v>
      </c>
      <c r="F455" s="3" t="s">
        <v>475</v>
      </c>
    </row>
    <row r="456" spans="1:6" x14ac:dyDescent="0.25">
      <c r="A456" s="36">
        <v>43580.423518518517</v>
      </c>
      <c r="B456" s="3" t="s">
        <v>811</v>
      </c>
      <c r="C456" s="12" t="s">
        <v>307</v>
      </c>
      <c r="D456" s="12">
        <v>0</v>
      </c>
      <c r="E456" s="12" t="s">
        <v>307</v>
      </c>
      <c r="F456" s="3" t="s">
        <v>475</v>
      </c>
    </row>
    <row r="457" spans="1:6" x14ac:dyDescent="0.25">
      <c r="A457" s="36">
        <v>43580.423518518517</v>
      </c>
      <c r="B457" s="3" t="s">
        <v>812</v>
      </c>
      <c r="C457" s="12" t="s">
        <v>307</v>
      </c>
      <c r="D457" s="12">
        <v>0</v>
      </c>
      <c r="E457" s="12" t="s">
        <v>307</v>
      </c>
      <c r="F457" s="3" t="s">
        <v>475</v>
      </c>
    </row>
    <row r="458" spans="1:6" x14ac:dyDescent="0.25">
      <c r="A458" s="36">
        <v>43580.423518518517</v>
      </c>
      <c r="B458" s="3" t="s">
        <v>813</v>
      </c>
      <c r="C458" s="12" t="s">
        <v>307</v>
      </c>
      <c r="D458" s="12">
        <v>0</v>
      </c>
      <c r="E458" s="12" t="s">
        <v>307</v>
      </c>
      <c r="F458" s="3" t="s">
        <v>475</v>
      </c>
    </row>
    <row r="459" spans="1:6" x14ac:dyDescent="0.25">
      <c r="A459" s="36">
        <v>43580.423518518517</v>
      </c>
      <c r="B459" s="3" t="s">
        <v>814</v>
      </c>
      <c r="C459" s="12" t="s">
        <v>307</v>
      </c>
      <c r="D459" s="12">
        <v>0</v>
      </c>
      <c r="E459" s="12" t="s">
        <v>307</v>
      </c>
      <c r="F459" s="3" t="s">
        <v>475</v>
      </c>
    </row>
    <row r="460" spans="1:6" x14ac:dyDescent="0.25">
      <c r="A460" s="36">
        <v>43580.423518518517</v>
      </c>
      <c r="B460" s="3" t="s">
        <v>815</v>
      </c>
      <c r="C460" s="12" t="s">
        <v>307</v>
      </c>
      <c r="D460" s="12">
        <v>0</v>
      </c>
      <c r="E460" s="12" t="s">
        <v>307</v>
      </c>
      <c r="F460" s="3" t="s">
        <v>475</v>
      </c>
    </row>
    <row r="461" spans="1:6" x14ac:dyDescent="0.25">
      <c r="A461" s="36">
        <v>43580.423518518517</v>
      </c>
      <c r="B461" s="3" t="s">
        <v>816</v>
      </c>
      <c r="C461" s="12" t="s">
        <v>307</v>
      </c>
      <c r="D461" s="12">
        <v>0</v>
      </c>
      <c r="E461" s="12" t="s">
        <v>307</v>
      </c>
      <c r="F461" s="3" t="s">
        <v>475</v>
      </c>
    </row>
    <row r="462" spans="1:6" x14ac:dyDescent="0.25">
      <c r="A462" s="36">
        <v>43580.423530092594</v>
      </c>
      <c r="B462" s="3" t="s">
        <v>817</v>
      </c>
      <c r="C462" s="12" t="s">
        <v>307</v>
      </c>
      <c r="D462" s="12">
        <v>0</v>
      </c>
      <c r="E462" s="12" t="s">
        <v>307</v>
      </c>
      <c r="F462" s="3" t="s">
        <v>475</v>
      </c>
    </row>
    <row r="463" spans="1:6" x14ac:dyDescent="0.25">
      <c r="A463" s="36">
        <v>43580.423530092594</v>
      </c>
      <c r="B463" s="3" t="s">
        <v>818</v>
      </c>
      <c r="C463" s="12" t="s">
        <v>307</v>
      </c>
      <c r="D463" s="12">
        <v>0</v>
      </c>
      <c r="E463" s="12" t="s">
        <v>307</v>
      </c>
      <c r="F463" s="3" t="s">
        <v>475</v>
      </c>
    </row>
    <row r="464" spans="1:6" x14ac:dyDescent="0.25">
      <c r="A464" s="36">
        <v>43580.423530092594</v>
      </c>
      <c r="B464" s="3" t="s">
        <v>819</v>
      </c>
      <c r="C464" s="12" t="s">
        <v>307</v>
      </c>
      <c r="D464" s="12">
        <v>0</v>
      </c>
      <c r="E464" s="12" t="s">
        <v>307</v>
      </c>
      <c r="F464" s="3" t="s">
        <v>475</v>
      </c>
    </row>
    <row r="465" spans="1:6" x14ac:dyDescent="0.25">
      <c r="A465" s="36">
        <v>43580.423530092594</v>
      </c>
      <c r="B465" s="3" t="s">
        <v>820</v>
      </c>
      <c r="C465" s="12" t="s">
        <v>307</v>
      </c>
      <c r="D465" s="12">
        <v>0</v>
      </c>
      <c r="E465" s="12" t="s">
        <v>307</v>
      </c>
      <c r="F465" s="3" t="s">
        <v>475</v>
      </c>
    </row>
    <row r="466" spans="1:6" x14ac:dyDescent="0.25">
      <c r="A466" s="36">
        <v>43580.423530092594</v>
      </c>
      <c r="B466" s="3" t="s">
        <v>821</v>
      </c>
      <c r="C466" s="12" t="s">
        <v>307</v>
      </c>
      <c r="D466" s="12">
        <v>0</v>
      </c>
      <c r="E466" s="12" t="s">
        <v>307</v>
      </c>
      <c r="F466" s="3" t="s">
        <v>475</v>
      </c>
    </row>
    <row r="467" spans="1:6" x14ac:dyDescent="0.25">
      <c r="A467" s="36">
        <v>43580.423530092594</v>
      </c>
      <c r="B467" s="3" t="s">
        <v>822</v>
      </c>
      <c r="C467" s="12" t="s">
        <v>307</v>
      </c>
      <c r="D467" s="12">
        <v>0</v>
      </c>
      <c r="E467" s="12" t="s">
        <v>307</v>
      </c>
      <c r="F467" s="3" t="s">
        <v>475</v>
      </c>
    </row>
    <row r="468" spans="1:6" x14ac:dyDescent="0.25">
      <c r="A468" s="36">
        <v>43580.423530092594</v>
      </c>
      <c r="B468" s="3" t="s">
        <v>823</v>
      </c>
      <c r="C468" s="12" t="s">
        <v>307</v>
      </c>
      <c r="D468" s="12">
        <v>0</v>
      </c>
      <c r="E468" s="12" t="s">
        <v>307</v>
      </c>
      <c r="F468" s="3" t="s">
        <v>475</v>
      </c>
    </row>
    <row r="469" spans="1:6" x14ac:dyDescent="0.25">
      <c r="A469" s="36">
        <v>43580.423530092594</v>
      </c>
      <c r="B469" s="3" t="s">
        <v>824</v>
      </c>
      <c r="C469" s="12" t="s">
        <v>307</v>
      </c>
      <c r="D469" s="12">
        <v>0</v>
      </c>
      <c r="E469" s="12" t="s">
        <v>307</v>
      </c>
      <c r="F469" s="3" t="s">
        <v>475</v>
      </c>
    </row>
    <row r="470" spans="1:6" x14ac:dyDescent="0.25">
      <c r="A470" s="36">
        <v>43580.423541666663</v>
      </c>
      <c r="B470" s="3" t="s">
        <v>825</v>
      </c>
      <c r="C470" s="12" t="s">
        <v>307</v>
      </c>
      <c r="D470" s="12">
        <v>0</v>
      </c>
      <c r="E470" s="12" t="s">
        <v>307</v>
      </c>
      <c r="F470" s="3" t="s">
        <v>475</v>
      </c>
    </row>
    <row r="471" spans="1:6" x14ac:dyDescent="0.25">
      <c r="A471" s="36">
        <v>43580.423541666663</v>
      </c>
      <c r="B471" s="3" t="s">
        <v>826</v>
      </c>
      <c r="C471" s="12" t="s">
        <v>307</v>
      </c>
      <c r="D471" s="12">
        <v>0</v>
      </c>
      <c r="E471" s="12" t="s">
        <v>307</v>
      </c>
      <c r="F471" s="3" t="s">
        <v>475</v>
      </c>
    </row>
    <row r="472" spans="1:6" x14ac:dyDescent="0.25">
      <c r="A472" s="36">
        <v>43580.423541666663</v>
      </c>
      <c r="B472" s="3" t="s">
        <v>827</v>
      </c>
      <c r="C472" s="12" t="s">
        <v>307</v>
      </c>
      <c r="D472" s="12">
        <v>0</v>
      </c>
      <c r="E472" s="12" t="s">
        <v>307</v>
      </c>
      <c r="F472" s="3" t="s">
        <v>475</v>
      </c>
    </row>
    <row r="473" spans="1:6" x14ac:dyDescent="0.25">
      <c r="A473" s="36">
        <v>43580.423541666663</v>
      </c>
      <c r="B473" s="3" t="s">
        <v>828</v>
      </c>
      <c r="C473" s="12" t="s">
        <v>307</v>
      </c>
      <c r="D473" s="12">
        <v>0</v>
      </c>
      <c r="E473" s="12" t="s">
        <v>307</v>
      </c>
      <c r="F473" s="3" t="s">
        <v>475</v>
      </c>
    </row>
    <row r="474" spans="1:6" x14ac:dyDescent="0.25">
      <c r="A474" s="36">
        <v>43580.423541666663</v>
      </c>
      <c r="B474" s="3" t="s">
        <v>829</v>
      </c>
      <c r="C474" s="12" t="s">
        <v>307</v>
      </c>
      <c r="D474" s="12">
        <v>0</v>
      </c>
      <c r="E474" s="12" t="s">
        <v>307</v>
      </c>
      <c r="F474" s="3" t="s">
        <v>475</v>
      </c>
    </row>
    <row r="475" spans="1:6" x14ac:dyDescent="0.25">
      <c r="A475" s="36">
        <v>43580.423541666663</v>
      </c>
      <c r="B475" s="3" t="s">
        <v>830</v>
      </c>
      <c r="C475" s="12" t="s">
        <v>307</v>
      </c>
      <c r="D475" s="12">
        <v>0</v>
      </c>
      <c r="E475" s="12" t="s">
        <v>307</v>
      </c>
      <c r="F475" s="3" t="s">
        <v>475</v>
      </c>
    </row>
    <row r="476" spans="1:6" x14ac:dyDescent="0.25">
      <c r="A476" s="36">
        <v>43580.423541666663</v>
      </c>
      <c r="B476" s="3" t="s">
        <v>831</v>
      </c>
      <c r="C476" s="12" t="s">
        <v>307</v>
      </c>
      <c r="D476" s="12">
        <v>0</v>
      </c>
      <c r="E476" s="12" t="s">
        <v>307</v>
      </c>
      <c r="F476" s="3" t="s">
        <v>475</v>
      </c>
    </row>
    <row r="477" spans="1:6" x14ac:dyDescent="0.25">
      <c r="A477" s="36">
        <v>43580.423541666663</v>
      </c>
      <c r="B477" s="3" t="s">
        <v>832</v>
      </c>
      <c r="C477" s="12" t="s">
        <v>307</v>
      </c>
      <c r="D477" s="12">
        <v>0</v>
      </c>
      <c r="E477" s="12" t="s">
        <v>307</v>
      </c>
      <c r="F477" s="3" t="s">
        <v>475</v>
      </c>
    </row>
    <row r="478" spans="1:6" x14ac:dyDescent="0.25">
      <c r="A478" s="36">
        <v>43580.423541666663</v>
      </c>
      <c r="B478" s="3" t="s">
        <v>833</v>
      </c>
      <c r="C478" s="12" t="s">
        <v>307</v>
      </c>
      <c r="D478" s="12">
        <v>0</v>
      </c>
      <c r="E478" s="12" t="s">
        <v>307</v>
      </c>
      <c r="F478" s="3" t="s">
        <v>475</v>
      </c>
    </row>
    <row r="479" spans="1:6" x14ac:dyDescent="0.25">
      <c r="A479" s="36">
        <v>43580.42355324074</v>
      </c>
      <c r="B479" s="3" t="s">
        <v>834</v>
      </c>
      <c r="C479" s="12" t="s">
        <v>307</v>
      </c>
      <c r="D479" s="12">
        <v>0</v>
      </c>
      <c r="E479" s="12" t="s">
        <v>307</v>
      </c>
      <c r="F479" s="3" t="s">
        <v>475</v>
      </c>
    </row>
    <row r="480" spans="1:6" x14ac:dyDescent="0.25">
      <c r="A480" s="36">
        <v>43580.42355324074</v>
      </c>
      <c r="B480" s="3" t="s">
        <v>835</v>
      </c>
      <c r="C480" s="12" t="s">
        <v>307</v>
      </c>
      <c r="D480" s="12">
        <v>0</v>
      </c>
      <c r="E480" s="12" t="s">
        <v>307</v>
      </c>
      <c r="F480" s="3" t="s">
        <v>475</v>
      </c>
    </row>
    <row r="481" spans="1:6" x14ac:dyDescent="0.25">
      <c r="A481" s="36">
        <v>43580.42355324074</v>
      </c>
      <c r="B481" s="3" t="s">
        <v>836</v>
      </c>
      <c r="C481" s="12" t="s">
        <v>307</v>
      </c>
      <c r="D481" s="12">
        <v>0</v>
      </c>
      <c r="E481" s="12" t="s">
        <v>307</v>
      </c>
      <c r="F481" s="3" t="s">
        <v>475</v>
      </c>
    </row>
    <row r="482" spans="1:6" x14ac:dyDescent="0.25">
      <c r="A482" s="36">
        <v>43580.42355324074</v>
      </c>
      <c r="B482" s="3" t="s">
        <v>837</v>
      </c>
      <c r="C482" s="12" t="s">
        <v>307</v>
      </c>
      <c r="D482" s="12">
        <v>0</v>
      </c>
      <c r="E482" s="12" t="s">
        <v>307</v>
      </c>
      <c r="F482" s="3" t="s">
        <v>475</v>
      </c>
    </row>
    <row r="483" spans="1:6" x14ac:dyDescent="0.25">
      <c r="A483" s="36">
        <v>43580.42355324074</v>
      </c>
      <c r="B483" s="3" t="s">
        <v>838</v>
      </c>
      <c r="C483" s="12" t="s">
        <v>307</v>
      </c>
      <c r="D483" s="12">
        <v>0</v>
      </c>
      <c r="E483" s="12" t="s">
        <v>307</v>
      </c>
      <c r="F483" s="3" t="s">
        <v>475</v>
      </c>
    </row>
    <row r="484" spans="1:6" x14ac:dyDescent="0.25">
      <c r="A484" s="36">
        <v>43580.42355324074</v>
      </c>
      <c r="B484" s="3" t="s">
        <v>839</v>
      </c>
      <c r="C484" s="12" t="s">
        <v>307</v>
      </c>
      <c r="D484" s="12">
        <v>0</v>
      </c>
      <c r="E484" s="12" t="s">
        <v>307</v>
      </c>
      <c r="F484" s="3" t="s">
        <v>475</v>
      </c>
    </row>
    <row r="485" spans="1:6" x14ac:dyDescent="0.25">
      <c r="A485" s="36">
        <v>43580.42355324074</v>
      </c>
      <c r="B485" s="3" t="s">
        <v>840</v>
      </c>
      <c r="C485" s="12" t="s">
        <v>307</v>
      </c>
      <c r="D485" s="12">
        <v>0</v>
      </c>
      <c r="E485" s="12" t="s">
        <v>307</v>
      </c>
      <c r="F485" s="3" t="s">
        <v>475</v>
      </c>
    </row>
    <row r="486" spans="1:6" x14ac:dyDescent="0.25">
      <c r="A486" s="36">
        <v>43580.42355324074</v>
      </c>
      <c r="B486" s="3" t="s">
        <v>841</v>
      </c>
      <c r="C486" s="12" t="s">
        <v>307</v>
      </c>
      <c r="D486" s="12">
        <v>0</v>
      </c>
      <c r="E486" s="12" t="s">
        <v>307</v>
      </c>
      <c r="F486" s="3" t="s">
        <v>475</v>
      </c>
    </row>
    <row r="487" spans="1:6" x14ac:dyDescent="0.25">
      <c r="A487" s="36">
        <v>43580.423564814817</v>
      </c>
      <c r="B487" s="3" t="s">
        <v>842</v>
      </c>
      <c r="C487" s="12" t="s">
        <v>307</v>
      </c>
      <c r="D487" s="12">
        <v>0</v>
      </c>
      <c r="E487" s="12" t="s">
        <v>307</v>
      </c>
      <c r="F487" s="3" t="s">
        <v>475</v>
      </c>
    </row>
    <row r="488" spans="1:6" x14ac:dyDescent="0.25">
      <c r="A488" s="36">
        <v>43580.423564814817</v>
      </c>
      <c r="B488" s="3" t="s">
        <v>843</v>
      </c>
      <c r="C488" s="12" t="s">
        <v>307</v>
      </c>
      <c r="D488" s="12">
        <v>0</v>
      </c>
      <c r="E488" s="12" t="s">
        <v>307</v>
      </c>
      <c r="F488" s="3" t="s">
        <v>475</v>
      </c>
    </row>
    <row r="489" spans="1:6" x14ac:dyDescent="0.25">
      <c r="A489" s="36">
        <v>43580.423564814817</v>
      </c>
      <c r="B489" s="3" t="s">
        <v>844</v>
      </c>
      <c r="C489" s="12" t="s">
        <v>307</v>
      </c>
      <c r="D489" s="12">
        <v>0</v>
      </c>
      <c r="E489" s="12" t="s">
        <v>307</v>
      </c>
      <c r="F489" s="3" t="s">
        <v>475</v>
      </c>
    </row>
    <row r="490" spans="1:6" x14ac:dyDescent="0.25">
      <c r="A490" s="36">
        <v>43580.423564814817</v>
      </c>
      <c r="B490" s="3" t="s">
        <v>845</v>
      </c>
      <c r="C490" s="12" t="s">
        <v>307</v>
      </c>
      <c r="D490" s="12">
        <v>0</v>
      </c>
      <c r="E490" s="12" t="s">
        <v>307</v>
      </c>
      <c r="F490" s="3" t="s">
        <v>475</v>
      </c>
    </row>
    <row r="491" spans="1:6" x14ac:dyDescent="0.25">
      <c r="A491" s="36">
        <v>43580.423564814817</v>
      </c>
      <c r="B491" s="3" t="s">
        <v>846</v>
      </c>
      <c r="C491" s="12" t="s">
        <v>307</v>
      </c>
      <c r="D491" s="12">
        <v>0</v>
      </c>
      <c r="E491" s="12" t="s">
        <v>307</v>
      </c>
      <c r="F491" s="3" t="s">
        <v>475</v>
      </c>
    </row>
    <row r="492" spans="1:6" x14ac:dyDescent="0.25">
      <c r="A492" s="36">
        <v>43580.423564814817</v>
      </c>
      <c r="B492" s="3" t="s">
        <v>847</v>
      </c>
      <c r="C492" s="12" t="s">
        <v>307</v>
      </c>
      <c r="D492" s="12">
        <v>0</v>
      </c>
      <c r="E492" s="12" t="s">
        <v>307</v>
      </c>
      <c r="F492" s="3" t="s">
        <v>475</v>
      </c>
    </row>
    <row r="493" spans="1:6" x14ac:dyDescent="0.25">
      <c r="A493" s="36">
        <v>43580.423564814817</v>
      </c>
      <c r="B493" s="3" t="s">
        <v>848</v>
      </c>
      <c r="C493" s="12" t="s">
        <v>307</v>
      </c>
      <c r="D493" s="12">
        <v>0</v>
      </c>
      <c r="E493" s="12" t="s">
        <v>307</v>
      </c>
      <c r="F493" s="3" t="s">
        <v>475</v>
      </c>
    </row>
    <row r="494" spans="1:6" x14ac:dyDescent="0.25">
      <c r="A494" s="36">
        <v>43580.423564814817</v>
      </c>
      <c r="B494" s="3" t="s">
        <v>849</v>
      </c>
      <c r="C494" s="12" t="s">
        <v>307</v>
      </c>
      <c r="D494" s="12">
        <v>0</v>
      </c>
      <c r="E494" s="12" t="s">
        <v>307</v>
      </c>
      <c r="F494" s="3" t="s">
        <v>475</v>
      </c>
    </row>
    <row r="495" spans="1:6" x14ac:dyDescent="0.25">
      <c r="A495" s="36">
        <v>43580.423576388886</v>
      </c>
      <c r="B495" s="3" t="s">
        <v>850</v>
      </c>
      <c r="C495" s="12" t="s">
        <v>307</v>
      </c>
      <c r="D495" s="12">
        <v>0</v>
      </c>
      <c r="E495" s="12" t="s">
        <v>307</v>
      </c>
      <c r="F495" s="3" t="s">
        <v>475</v>
      </c>
    </row>
    <row r="496" spans="1:6" x14ac:dyDescent="0.25">
      <c r="A496" s="36">
        <v>43580.423576388886</v>
      </c>
      <c r="B496" s="3" t="s">
        <v>851</v>
      </c>
      <c r="C496" s="12" t="s">
        <v>307</v>
      </c>
      <c r="D496" s="12">
        <v>0</v>
      </c>
      <c r="E496" s="12" t="s">
        <v>307</v>
      </c>
      <c r="F496" s="3" t="s">
        <v>475</v>
      </c>
    </row>
    <row r="497" spans="1:6" x14ac:dyDescent="0.25">
      <c r="A497" s="36">
        <v>43580.423576388886</v>
      </c>
      <c r="B497" s="3" t="s">
        <v>852</v>
      </c>
      <c r="C497" s="12" t="s">
        <v>307</v>
      </c>
      <c r="D497" s="12">
        <v>0</v>
      </c>
      <c r="E497" s="12" t="s">
        <v>307</v>
      </c>
      <c r="F497" s="3" t="s">
        <v>475</v>
      </c>
    </row>
    <row r="498" spans="1:6" x14ac:dyDescent="0.25">
      <c r="A498" s="36">
        <v>43580.423576388886</v>
      </c>
      <c r="B498" s="3" t="s">
        <v>853</v>
      </c>
      <c r="C498" s="12" t="s">
        <v>307</v>
      </c>
      <c r="D498" s="12">
        <v>0</v>
      </c>
      <c r="E498" s="12" t="s">
        <v>307</v>
      </c>
      <c r="F498" s="3" t="s">
        <v>475</v>
      </c>
    </row>
    <row r="499" spans="1:6" x14ac:dyDescent="0.25">
      <c r="A499" s="36">
        <v>43580.423576388886</v>
      </c>
      <c r="B499" s="3" t="s">
        <v>854</v>
      </c>
      <c r="C499" s="12" t="s">
        <v>307</v>
      </c>
      <c r="D499" s="12">
        <v>0</v>
      </c>
      <c r="E499" s="12" t="s">
        <v>307</v>
      </c>
      <c r="F499" s="3" t="s">
        <v>475</v>
      </c>
    </row>
    <row r="500" spans="1:6" x14ac:dyDescent="0.25">
      <c r="A500" s="36">
        <v>43580.423576388886</v>
      </c>
      <c r="B500" s="3" t="s">
        <v>855</v>
      </c>
      <c r="C500" s="12" t="s">
        <v>307</v>
      </c>
      <c r="D500" s="12">
        <v>0</v>
      </c>
      <c r="E500" s="12" t="s">
        <v>307</v>
      </c>
      <c r="F500" s="3" t="s">
        <v>475</v>
      </c>
    </row>
    <row r="501" spans="1:6" x14ac:dyDescent="0.25">
      <c r="A501" s="36">
        <v>43580.423576388886</v>
      </c>
      <c r="B501" s="3" t="s">
        <v>856</v>
      </c>
      <c r="C501" s="12" t="s">
        <v>307</v>
      </c>
      <c r="D501" s="12">
        <v>0</v>
      </c>
      <c r="E501" s="12" t="s">
        <v>307</v>
      </c>
      <c r="F501" s="3" t="s">
        <v>475</v>
      </c>
    </row>
    <row r="502" spans="1:6" x14ac:dyDescent="0.25">
      <c r="A502" s="36">
        <v>43580.423576388886</v>
      </c>
      <c r="B502" s="3" t="s">
        <v>857</v>
      </c>
      <c r="C502" s="12" t="s">
        <v>307</v>
      </c>
      <c r="D502" s="12">
        <v>0</v>
      </c>
      <c r="E502" s="12" t="s">
        <v>307</v>
      </c>
      <c r="F502" s="3" t="s">
        <v>475</v>
      </c>
    </row>
    <row r="503" spans="1:6" x14ac:dyDescent="0.25">
      <c r="A503" s="36">
        <v>43580.423587962963</v>
      </c>
      <c r="B503" s="3" t="s">
        <v>858</v>
      </c>
      <c r="C503" s="12" t="s">
        <v>307</v>
      </c>
      <c r="D503" s="12">
        <v>0</v>
      </c>
      <c r="E503" s="12" t="s">
        <v>307</v>
      </c>
      <c r="F503" s="3" t="s">
        <v>475</v>
      </c>
    </row>
    <row r="504" spans="1:6" x14ac:dyDescent="0.25">
      <c r="A504" s="36">
        <v>43580.423587962963</v>
      </c>
      <c r="B504" s="3" t="s">
        <v>859</v>
      </c>
      <c r="C504" s="12" t="s">
        <v>307</v>
      </c>
      <c r="D504" s="12">
        <v>0</v>
      </c>
      <c r="E504" s="12" t="s">
        <v>307</v>
      </c>
      <c r="F504" s="3" t="s">
        <v>475</v>
      </c>
    </row>
    <row r="505" spans="1:6" x14ac:dyDescent="0.25">
      <c r="A505" s="36">
        <v>43580.423587962963</v>
      </c>
      <c r="B505" s="3" t="s">
        <v>860</v>
      </c>
      <c r="C505" s="12" t="s">
        <v>307</v>
      </c>
      <c r="D505" s="12">
        <v>0</v>
      </c>
      <c r="E505" s="12" t="s">
        <v>307</v>
      </c>
      <c r="F505" s="3" t="s">
        <v>475</v>
      </c>
    </row>
    <row r="506" spans="1:6" x14ac:dyDescent="0.25">
      <c r="A506" s="36">
        <v>43580.423587962963</v>
      </c>
      <c r="B506" s="3" t="s">
        <v>861</v>
      </c>
      <c r="C506" s="12" t="s">
        <v>307</v>
      </c>
      <c r="D506" s="12">
        <v>0</v>
      </c>
      <c r="E506" s="12" t="s">
        <v>307</v>
      </c>
      <c r="F506" s="3" t="s">
        <v>475</v>
      </c>
    </row>
    <row r="507" spans="1:6" x14ac:dyDescent="0.25">
      <c r="A507" s="36">
        <v>43580.423587962963</v>
      </c>
      <c r="B507" s="3" t="s">
        <v>862</v>
      </c>
      <c r="C507" s="12" t="s">
        <v>307</v>
      </c>
      <c r="D507" s="12">
        <v>0</v>
      </c>
      <c r="E507" s="12" t="s">
        <v>307</v>
      </c>
      <c r="F507" s="3" t="s">
        <v>475</v>
      </c>
    </row>
    <row r="508" spans="1:6" x14ac:dyDescent="0.25">
      <c r="A508" s="36">
        <v>43580.423587962963</v>
      </c>
      <c r="B508" s="3" t="s">
        <v>863</v>
      </c>
      <c r="C508" s="12" t="s">
        <v>307</v>
      </c>
      <c r="D508" s="12">
        <v>0</v>
      </c>
      <c r="E508" s="12" t="s">
        <v>307</v>
      </c>
      <c r="F508" s="3" t="s">
        <v>475</v>
      </c>
    </row>
    <row r="509" spans="1:6" x14ac:dyDescent="0.25">
      <c r="A509" s="36">
        <v>43580.423587962963</v>
      </c>
      <c r="B509" s="3" t="s">
        <v>864</v>
      </c>
      <c r="C509" s="12" t="s">
        <v>307</v>
      </c>
      <c r="D509" s="12">
        <v>0</v>
      </c>
      <c r="E509" s="12" t="s">
        <v>307</v>
      </c>
      <c r="F509" s="3" t="s">
        <v>475</v>
      </c>
    </row>
    <row r="510" spans="1:6" x14ac:dyDescent="0.25">
      <c r="A510" s="36">
        <v>43580.42359953704</v>
      </c>
      <c r="B510" s="3" t="s">
        <v>865</v>
      </c>
      <c r="C510" s="12" t="s">
        <v>307</v>
      </c>
      <c r="D510" s="12">
        <v>0</v>
      </c>
      <c r="E510" s="12" t="s">
        <v>307</v>
      </c>
      <c r="F510" s="3" t="s">
        <v>475</v>
      </c>
    </row>
    <row r="511" spans="1:6" x14ac:dyDescent="0.25">
      <c r="A511" s="36">
        <v>43580.42359953704</v>
      </c>
      <c r="B511" s="3" t="s">
        <v>866</v>
      </c>
      <c r="C511" s="12" t="s">
        <v>307</v>
      </c>
      <c r="D511" s="12">
        <v>0</v>
      </c>
      <c r="E511" s="12" t="s">
        <v>307</v>
      </c>
      <c r="F511" s="3" t="s">
        <v>475</v>
      </c>
    </row>
    <row r="512" spans="1:6" x14ac:dyDescent="0.25">
      <c r="A512" s="36">
        <v>43580.42359953704</v>
      </c>
      <c r="B512" s="3" t="s">
        <v>867</v>
      </c>
      <c r="C512" s="12" t="s">
        <v>307</v>
      </c>
      <c r="D512" s="12">
        <v>0</v>
      </c>
      <c r="E512" s="12" t="s">
        <v>307</v>
      </c>
      <c r="F512" s="3" t="s">
        <v>475</v>
      </c>
    </row>
    <row r="513" spans="1:6" x14ac:dyDescent="0.25">
      <c r="A513" s="36">
        <v>43580.42359953704</v>
      </c>
      <c r="B513" s="3" t="s">
        <v>868</v>
      </c>
      <c r="C513" s="12" t="s">
        <v>307</v>
      </c>
      <c r="D513" s="12">
        <v>0</v>
      </c>
      <c r="E513" s="12" t="s">
        <v>307</v>
      </c>
      <c r="F513" s="3" t="s">
        <v>475</v>
      </c>
    </row>
    <row r="514" spans="1:6" x14ac:dyDescent="0.25">
      <c r="A514" s="36">
        <v>43580.42359953704</v>
      </c>
      <c r="B514" s="3" t="s">
        <v>869</v>
      </c>
      <c r="C514" s="12" t="s">
        <v>307</v>
      </c>
      <c r="D514" s="12">
        <v>0</v>
      </c>
      <c r="E514" s="12" t="s">
        <v>307</v>
      </c>
      <c r="F514" s="3" t="s">
        <v>475</v>
      </c>
    </row>
    <row r="515" spans="1:6" x14ac:dyDescent="0.25">
      <c r="A515" s="36">
        <v>43580.42359953704</v>
      </c>
      <c r="B515" s="3" t="s">
        <v>870</v>
      </c>
      <c r="C515" s="12" t="s">
        <v>307</v>
      </c>
      <c r="D515" s="12">
        <v>0</v>
      </c>
      <c r="E515" s="12" t="s">
        <v>307</v>
      </c>
      <c r="F515" s="3" t="s">
        <v>475</v>
      </c>
    </row>
    <row r="516" spans="1:6" x14ac:dyDescent="0.25">
      <c r="A516" s="36">
        <v>43580.42359953704</v>
      </c>
      <c r="B516" s="3" t="s">
        <v>871</v>
      </c>
      <c r="C516" s="12" t="s">
        <v>307</v>
      </c>
      <c r="D516" s="12">
        <v>0</v>
      </c>
      <c r="E516" s="12" t="s">
        <v>307</v>
      </c>
      <c r="F516" s="3" t="s">
        <v>475</v>
      </c>
    </row>
    <row r="517" spans="1:6" x14ac:dyDescent="0.25">
      <c r="A517" s="36">
        <v>43580.423611111109</v>
      </c>
      <c r="B517" s="3" t="s">
        <v>872</v>
      </c>
      <c r="C517" s="12" t="s">
        <v>307</v>
      </c>
      <c r="D517" s="12">
        <v>0</v>
      </c>
      <c r="E517" s="12" t="s">
        <v>307</v>
      </c>
      <c r="F517" s="3" t="s">
        <v>475</v>
      </c>
    </row>
    <row r="518" spans="1:6" x14ac:dyDescent="0.25">
      <c r="A518" s="36">
        <v>43580.423611111109</v>
      </c>
      <c r="B518" s="3" t="s">
        <v>873</v>
      </c>
      <c r="C518" s="12" t="s">
        <v>307</v>
      </c>
      <c r="D518" s="12">
        <v>0</v>
      </c>
      <c r="E518" s="12" t="s">
        <v>307</v>
      </c>
      <c r="F518" s="3" t="s">
        <v>475</v>
      </c>
    </row>
    <row r="519" spans="1:6" x14ac:dyDescent="0.25">
      <c r="A519" s="36">
        <v>43580.423611111109</v>
      </c>
      <c r="B519" s="3" t="s">
        <v>874</v>
      </c>
      <c r="C519" s="12" t="s">
        <v>307</v>
      </c>
      <c r="D519" s="12">
        <v>0</v>
      </c>
      <c r="E519" s="12" t="s">
        <v>307</v>
      </c>
      <c r="F519" s="3" t="s">
        <v>475</v>
      </c>
    </row>
    <row r="520" spans="1:6" x14ac:dyDescent="0.25">
      <c r="A520" s="36">
        <v>43580.423611111109</v>
      </c>
      <c r="B520" s="3" t="s">
        <v>875</v>
      </c>
      <c r="C520" s="12" t="s">
        <v>307</v>
      </c>
      <c r="D520" s="12">
        <v>0</v>
      </c>
      <c r="E520" s="12" t="s">
        <v>307</v>
      </c>
      <c r="F520" s="3" t="s">
        <v>475</v>
      </c>
    </row>
    <row r="521" spans="1:6" x14ac:dyDescent="0.25">
      <c r="A521" s="36">
        <v>43580.423611111109</v>
      </c>
      <c r="B521" s="3" t="s">
        <v>876</v>
      </c>
      <c r="C521" s="12" t="s">
        <v>307</v>
      </c>
      <c r="D521" s="12">
        <v>0</v>
      </c>
      <c r="E521" s="12" t="s">
        <v>307</v>
      </c>
      <c r="F521" s="3" t="s">
        <v>475</v>
      </c>
    </row>
    <row r="522" spans="1:6" x14ac:dyDescent="0.25">
      <c r="A522" s="36">
        <v>43580.423611111109</v>
      </c>
      <c r="B522" s="3" t="s">
        <v>877</v>
      </c>
      <c r="C522" s="12" t="s">
        <v>307</v>
      </c>
      <c r="D522" s="12">
        <v>0</v>
      </c>
      <c r="E522" s="12" t="s">
        <v>307</v>
      </c>
      <c r="F522" s="3" t="s">
        <v>475</v>
      </c>
    </row>
    <row r="523" spans="1:6" x14ac:dyDescent="0.25">
      <c r="A523" s="36">
        <v>43580.423611111109</v>
      </c>
      <c r="B523" s="3" t="s">
        <v>878</v>
      </c>
      <c r="C523" s="12" t="s">
        <v>307</v>
      </c>
      <c r="D523" s="12">
        <v>0</v>
      </c>
      <c r="E523" s="12" t="s">
        <v>307</v>
      </c>
      <c r="F523" s="3" t="s">
        <v>475</v>
      </c>
    </row>
    <row r="524" spans="1:6" x14ac:dyDescent="0.25">
      <c r="A524" s="36">
        <v>43580.423611111109</v>
      </c>
      <c r="B524" s="3" t="s">
        <v>879</v>
      </c>
      <c r="C524" s="12" t="s">
        <v>307</v>
      </c>
      <c r="D524" s="12">
        <v>0</v>
      </c>
      <c r="E524" s="12" t="s">
        <v>307</v>
      </c>
      <c r="F524" s="3" t="s">
        <v>475</v>
      </c>
    </row>
    <row r="525" spans="1:6" x14ac:dyDescent="0.25">
      <c r="A525" s="36">
        <v>43580.423622685186</v>
      </c>
      <c r="B525" s="3" t="s">
        <v>880</v>
      </c>
      <c r="C525" s="12" t="s">
        <v>307</v>
      </c>
      <c r="D525" s="12">
        <v>0</v>
      </c>
      <c r="E525" s="12" t="s">
        <v>307</v>
      </c>
      <c r="F525" s="3" t="s">
        <v>475</v>
      </c>
    </row>
    <row r="526" spans="1:6" x14ac:dyDescent="0.25">
      <c r="A526" s="36">
        <v>43580.423622685186</v>
      </c>
      <c r="B526" s="3" t="s">
        <v>881</v>
      </c>
      <c r="C526" s="12" t="s">
        <v>307</v>
      </c>
      <c r="D526" s="12">
        <v>0</v>
      </c>
      <c r="E526" s="12" t="s">
        <v>307</v>
      </c>
      <c r="F526" s="3" t="s">
        <v>475</v>
      </c>
    </row>
    <row r="527" spans="1:6" x14ac:dyDescent="0.25">
      <c r="A527" s="36">
        <v>43580.423622685186</v>
      </c>
      <c r="B527" s="3" t="s">
        <v>882</v>
      </c>
      <c r="C527" s="12" t="s">
        <v>307</v>
      </c>
      <c r="D527" s="12">
        <v>0</v>
      </c>
      <c r="E527" s="12" t="s">
        <v>307</v>
      </c>
      <c r="F527" s="3" t="s">
        <v>475</v>
      </c>
    </row>
    <row r="528" spans="1:6" x14ac:dyDescent="0.25">
      <c r="A528" s="36">
        <v>43580.423622685186</v>
      </c>
      <c r="B528" s="3" t="s">
        <v>883</v>
      </c>
      <c r="C528" s="12" t="s">
        <v>307</v>
      </c>
      <c r="D528" s="12">
        <v>0</v>
      </c>
      <c r="E528" s="12" t="s">
        <v>307</v>
      </c>
      <c r="F528" s="3" t="s">
        <v>475</v>
      </c>
    </row>
    <row r="529" spans="1:6" x14ac:dyDescent="0.25">
      <c r="A529" s="36">
        <v>43580.423622685186</v>
      </c>
      <c r="B529" s="3" t="s">
        <v>884</v>
      </c>
      <c r="C529" s="12" t="s">
        <v>307</v>
      </c>
      <c r="D529" s="12">
        <v>0</v>
      </c>
      <c r="E529" s="12" t="s">
        <v>307</v>
      </c>
      <c r="F529" s="3" t="s">
        <v>475</v>
      </c>
    </row>
    <row r="530" spans="1:6" x14ac:dyDescent="0.25">
      <c r="A530" s="36">
        <v>43580.423622685186</v>
      </c>
      <c r="B530" s="3" t="s">
        <v>885</v>
      </c>
      <c r="C530" s="12" t="s">
        <v>307</v>
      </c>
      <c r="D530" s="12">
        <v>0</v>
      </c>
      <c r="E530" s="12" t="s">
        <v>307</v>
      </c>
      <c r="F530" s="3" t="s">
        <v>475</v>
      </c>
    </row>
    <row r="531" spans="1:6" x14ac:dyDescent="0.25">
      <c r="A531" s="36">
        <v>43580.423622685186</v>
      </c>
      <c r="B531" s="3" t="s">
        <v>886</v>
      </c>
      <c r="C531" s="12" t="s">
        <v>307</v>
      </c>
      <c r="D531" s="12">
        <v>0</v>
      </c>
      <c r="E531" s="12" t="s">
        <v>307</v>
      </c>
      <c r="F531" s="3" t="s">
        <v>475</v>
      </c>
    </row>
    <row r="532" spans="1:6" x14ac:dyDescent="0.25">
      <c r="A532" s="36">
        <v>43580.423622685186</v>
      </c>
      <c r="B532" s="3" t="s">
        <v>887</v>
      </c>
      <c r="C532" s="12" t="s">
        <v>307</v>
      </c>
      <c r="D532" s="12">
        <v>0</v>
      </c>
      <c r="E532" s="12" t="s">
        <v>307</v>
      </c>
      <c r="F532" s="3" t="s">
        <v>475</v>
      </c>
    </row>
    <row r="533" spans="1:6" x14ac:dyDescent="0.25">
      <c r="A533" s="36">
        <v>43580.423634259256</v>
      </c>
      <c r="B533" s="3" t="s">
        <v>888</v>
      </c>
      <c r="C533" s="12" t="s">
        <v>307</v>
      </c>
      <c r="D533" s="12">
        <v>0</v>
      </c>
      <c r="E533" s="12" t="s">
        <v>307</v>
      </c>
      <c r="F533" s="3" t="s">
        <v>475</v>
      </c>
    </row>
    <row r="534" spans="1:6" x14ac:dyDescent="0.25">
      <c r="A534" s="36">
        <v>43580.423634259256</v>
      </c>
      <c r="B534" s="3" t="s">
        <v>889</v>
      </c>
      <c r="C534" s="12" t="s">
        <v>307</v>
      </c>
      <c r="D534" s="12">
        <v>0</v>
      </c>
      <c r="E534" s="12" t="s">
        <v>307</v>
      </c>
      <c r="F534" s="3" t="s">
        <v>475</v>
      </c>
    </row>
    <row r="535" spans="1:6" x14ac:dyDescent="0.25">
      <c r="A535" s="36">
        <v>43580.423634259256</v>
      </c>
      <c r="B535" s="3" t="s">
        <v>890</v>
      </c>
      <c r="C535" s="12" t="s">
        <v>307</v>
      </c>
      <c r="D535" s="12">
        <v>0</v>
      </c>
      <c r="E535" s="12" t="s">
        <v>307</v>
      </c>
      <c r="F535" s="3" t="s">
        <v>475</v>
      </c>
    </row>
    <row r="536" spans="1:6" x14ac:dyDescent="0.25">
      <c r="A536" s="36">
        <v>43580.423634259256</v>
      </c>
      <c r="B536" s="3" t="s">
        <v>891</v>
      </c>
      <c r="C536" s="12" t="s">
        <v>307</v>
      </c>
      <c r="D536" s="12">
        <v>0</v>
      </c>
      <c r="E536" s="12" t="s">
        <v>307</v>
      </c>
      <c r="F536" s="3" t="s">
        <v>475</v>
      </c>
    </row>
    <row r="537" spans="1:6" x14ac:dyDescent="0.25">
      <c r="A537" s="36">
        <v>43580.423634259256</v>
      </c>
      <c r="B537" s="3" t="s">
        <v>892</v>
      </c>
      <c r="C537" s="12" t="s">
        <v>307</v>
      </c>
      <c r="D537" s="12">
        <v>0</v>
      </c>
      <c r="E537" s="12" t="s">
        <v>307</v>
      </c>
      <c r="F537" s="3" t="s">
        <v>475</v>
      </c>
    </row>
    <row r="538" spans="1:6" x14ac:dyDescent="0.25">
      <c r="A538" s="36">
        <v>43580.423634259256</v>
      </c>
      <c r="B538" s="3" t="s">
        <v>893</v>
      </c>
      <c r="C538" s="12" t="s">
        <v>307</v>
      </c>
      <c r="D538" s="12">
        <v>0</v>
      </c>
      <c r="E538" s="12" t="s">
        <v>307</v>
      </c>
      <c r="F538" s="3" t="s">
        <v>475</v>
      </c>
    </row>
    <row r="539" spans="1:6" x14ac:dyDescent="0.25">
      <c r="A539" s="36">
        <v>43580.423634259256</v>
      </c>
      <c r="B539" s="3" t="s">
        <v>894</v>
      </c>
      <c r="C539" s="12" t="s">
        <v>307</v>
      </c>
      <c r="D539" s="12">
        <v>0</v>
      </c>
      <c r="E539" s="12" t="s">
        <v>307</v>
      </c>
      <c r="F539" s="3" t="s">
        <v>475</v>
      </c>
    </row>
    <row r="540" spans="1:6" x14ac:dyDescent="0.25">
      <c r="A540" s="36">
        <v>43580.423645833333</v>
      </c>
      <c r="B540" s="3" t="s">
        <v>895</v>
      </c>
      <c r="C540" s="12" t="s">
        <v>307</v>
      </c>
      <c r="D540" s="12">
        <v>0</v>
      </c>
      <c r="E540" s="12" t="s">
        <v>307</v>
      </c>
      <c r="F540" s="3" t="s">
        <v>475</v>
      </c>
    </row>
    <row r="541" spans="1:6" x14ac:dyDescent="0.25">
      <c r="A541" s="36">
        <v>43580.423645833333</v>
      </c>
      <c r="B541" s="3" t="s">
        <v>896</v>
      </c>
      <c r="C541" s="12" t="s">
        <v>307</v>
      </c>
      <c r="D541" s="12">
        <v>0</v>
      </c>
      <c r="E541" s="12" t="s">
        <v>307</v>
      </c>
      <c r="F541" s="3" t="s">
        <v>475</v>
      </c>
    </row>
    <row r="542" spans="1:6" x14ac:dyDescent="0.25">
      <c r="A542" s="36">
        <v>43580.423645833333</v>
      </c>
      <c r="B542" s="3" t="s">
        <v>897</v>
      </c>
      <c r="C542" s="12" t="s">
        <v>307</v>
      </c>
      <c r="D542" s="12">
        <v>0</v>
      </c>
      <c r="E542" s="12" t="s">
        <v>307</v>
      </c>
      <c r="F542" s="3" t="s">
        <v>475</v>
      </c>
    </row>
    <row r="543" spans="1:6" x14ac:dyDescent="0.25">
      <c r="A543" s="36">
        <v>43580.423645833333</v>
      </c>
      <c r="B543" s="3" t="s">
        <v>898</v>
      </c>
      <c r="C543" s="12" t="s">
        <v>307</v>
      </c>
      <c r="D543" s="12">
        <v>0</v>
      </c>
      <c r="E543" s="12" t="s">
        <v>307</v>
      </c>
      <c r="F543" s="3" t="s">
        <v>475</v>
      </c>
    </row>
    <row r="544" spans="1:6" x14ac:dyDescent="0.25">
      <c r="A544" s="36">
        <v>43580.423645833333</v>
      </c>
      <c r="B544" s="3" t="s">
        <v>899</v>
      </c>
      <c r="C544" s="12" t="s">
        <v>307</v>
      </c>
      <c r="D544" s="12">
        <v>0</v>
      </c>
      <c r="E544" s="12" t="s">
        <v>307</v>
      </c>
      <c r="F544" s="3" t="s">
        <v>475</v>
      </c>
    </row>
    <row r="545" spans="1:6" x14ac:dyDescent="0.25">
      <c r="A545" s="36">
        <v>43580.423645833333</v>
      </c>
      <c r="B545" s="3" t="s">
        <v>900</v>
      </c>
      <c r="C545" s="12" t="s">
        <v>307</v>
      </c>
      <c r="D545" s="12">
        <v>0</v>
      </c>
      <c r="E545" s="12" t="s">
        <v>307</v>
      </c>
      <c r="F545" s="3" t="s">
        <v>475</v>
      </c>
    </row>
    <row r="546" spans="1:6" x14ac:dyDescent="0.25">
      <c r="A546" s="36">
        <v>43580.423645833333</v>
      </c>
      <c r="B546" s="3" t="s">
        <v>901</v>
      </c>
      <c r="C546" s="12" t="s">
        <v>307</v>
      </c>
      <c r="D546" s="12">
        <v>0</v>
      </c>
      <c r="E546" s="12" t="s">
        <v>307</v>
      </c>
      <c r="F546" s="3" t="s">
        <v>475</v>
      </c>
    </row>
    <row r="547" spans="1:6" x14ac:dyDescent="0.25">
      <c r="A547" s="36">
        <v>43580.423645833333</v>
      </c>
      <c r="B547" s="3" t="s">
        <v>902</v>
      </c>
      <c r="C547" s="12" t="s">
        <v>307</v>
      </c>
      <c r="D547" s="12">
        <v>0</v>
      </c>
      <c r="E547" s="12" t="s">
        <v>307</v>
      </c>
      <c r="F547" s="3" t="s">
        <v>475</v>
      </c>
    </row>
    <row r="548" spans="1:6" x14ac:dyDescent="0.25">
      <c r="A548" s="36">
        <v>43580.423657407409</v>
      </c>
      <c r="B548" s="3" t="s">
        <v>903</v>
      </c>
      <c r="C548" s="12" t="s">
        <v>307</v>
      </c>
      <c r="D548" s="12">
        <v>0</v>
      </c>
      <c r="E548" s="12" t="s">
        <v>307</v>
      </c>
      <c r="F548" s="3" t="s">
        <v>475</v>
      </c>
    </row>
    <row r="549" spans="1:6" x14ac:dyDescent="0.25">
      <c r="A549" s="36">
        <v>43580.423657407409</v>
      </c>
      <c r="B549" s="3" t="s">
        <v>904</v>
      </c>
      <c r="C549" s="12" t="s">
        <v>307</v>
      </c>
      <c r="D549" s="12">
        <v>0</v>
      </c>
      <c r="E549" s="12" t="s">
        <v>307</v>
      </c>
      <c r="F549" s="3" t="s">
        <v>475</v>
      </c>
    </row>
    <row r="550" spans="1:6" x14ac:dyDescent="0.25">
      <c r="A550" s="36">
        <v>43580.423657407409</v>
      </c>
      <c r="B550" s="3" t="s">
        <v>905</v>
      </c>
      <c r="C550" s="12" t="s">
        <v>307</v>
      </c>
      <c r="D550" s="12">
        <v>0</v>
      </c>
      <c r="E550" s="12" t="s">
        <v>307</v>
      </c>
      <c r="F550" s="3" t="s">
        <v>475</v>
      </c>
    </row>
    <row r="551" spans="1:6" x14ac:dyDescent="0.25">
      <c r="A551" s="36">
        <v>43580.423657407409</v>
      </c>
      <c r="B551" s="3" t="s">
        <v>906</v>
      </c>
      <c r="C551" s="12" t="s">
        <v>307</v>
      </c>
      <c r="D551" s="12">
        <v>0</v>
      </c>
      <c r="E551" s="12" t="s">
        <v>307</v>
      </c>
      <c r="F551" s="3" t="s">
        <v>475</v>
      </c>
    </row>
    <row r="552" spans="1:6" x14ac:dyDescent="0.25">
      <c r="A552" s="36">
        <v>43580.423657407409</v>
      </c>
      <c r="B552" s="3" t="s">
        <v>907</v>
      </c>
      <c r="C552" s="12" t="s">
        <v>307</v>
      </c>
      <c r="D552" s="12">
        <v>0</v>
      </c>
      <c r="E552" s="12" t="s">
        <v>307</v>
      </c>
      <c r="F552" s="3" t="s">
        <v>475</v>
      </c>
    </row>
    <row r="553" spans="1:6" x14ac:dyDescent="0.25">
      <c r="A553" s="36">
        <v>43580.423657407409</v>
      </c>
      <c r="B553" s="3" t="s">
        <v>908</v>
      </c>
      <c r="C553" s="12" t="s">
        <v>307</v>
      </c>
      <c r="D553" s="12">
        <v>0</v>
      </c>
      <c r="E553" s="12" t="s">
        <v>307</v>
      </c>
      <c r="F553" s="3" t="s">
        <v>475</v>
      </c>
    </row>
    <row r="554" spans="1:6" x14ac:dyDescent="0.25">
      <c r="A554" s="36">
        <v>43580.423657407409</v>
      </c>
      <c r="B554" s="3" t="s">
        <v>909</v>
      </c>
      <c r="C554" s="12" t="s">
        <v>307</v>
      </c>
      <c r="D554" s="12">
        <v>0</v>
      </c>
      <c r="E554" s="12" t="s">
        <v>307</v>
      </c>
      <c r="F554" s="3" t="s">
        <v>475</v>
      </c>
    </row>
    <row r="555" spans="1:6" x14ac:dyDescent="0.25">
      <c r="A555" s="36">
        <v>43580.423668981479</v>
      </c>
      <c r="B555" s="3" t="s">
        <v>910</v>
      </c>
      <c r="C555" s="12" t="s">
        <v>307</v>
      </c>
      <c r="D555" s="12">
        <v>0</v>
      </c>
      <c r="E555" s="12" t="s">
        <v>307</v>
      </c>
      <c r="F555" s="3" t="s">
        <v>475</v>
      </c>
    </row>
    <row r="556" spans="1:6" x14ac:dyDescent="0.25">
      <c r="A556" s="36">
        <v>43580.423668981479</v>
      </c>
      <c r="B556" s="3" t="s">
        <v>911</v>
      </c>
      <c r="C556" s="12" t="s">
        <v>307</v>
      </c>
      <c r="D556" s="12">
        <v>0</v>
      </c>
      <c r="E556" s="12" t="s">
        <v>307</v>
      </c>
      <c r="F556" s="3" t="s">
        <v>475</v>
      </c>
    </row>
    <row r="557" spans="1:6" x14ac:dyDescent="0.25">
      <c r="A557" s="36">
        <v>43580.423668981479</v>
      </c>
      <c r="B557" s="3" t="s">
        <v>912</v>
      </c>
      <c r="C557" s="12" t="s">
        <v>307</v>
      </c>
      <c r="D557" s="12">
        <v>0</v>
      </c>
      <c r="E557" s="12" t="s">
        <v>307</v>
      </c>
      <c r="F557" s="3" t="s">
        <v>475</v>
      </c>
    </row>
    <row r="558" spans="1:6" x14ac:dyDescent="0.25">
      <c r="A558" s="36">
        <v>43580.423668981479</v>
      </c>
      <c r="B558" s="3" t="s">
        <v>913</v>
      </c>
      <c r="C558" s="12" t="s">
        <v>307</v>
      </c>
      <c r="D558" s="12">
        <v>0</v>
      </c>
      <c r="E558" s="12" t="s">
        <v>307</v>
      </c>
      <c r="F558" s="3" t="s">
        <v>475</v>
      </c>
    </row>
    <row r="559" spans="1:6" x14ac:dyDescent="0.25">
      <c r="A559" s="36">
        <v>43580.423668981479</v>
      </c>
      <c r="B559" s="3" t="s">
        <v>914</v>
      </c>
      <c r="C559" s="12" t="s">
        <v>307</v>
      </c>
      <c r="D559" s="12">
        <v>0</v>
      </c>
      <c r="E559" s="12" t="s">
        <v>307</v>
      </c>
      <c r="F559" s="3" t="s">
        <v>475</v>
      </c>
    </row>
    <row r="560" spans="1:6" x14ac:dyDescent="0.25">
      <c r="A560" s="36">
        <v>43580.423668981479</v>
      </c>
      <c r="B560" s="3" t="s">
        <v>915</v>
      </c>
      <c r="C560" s="12" t="s">
        <v>307</v>
      </c>
      <c r="D560" s="12">
        <v>0</v>
      </c>
      <c r="E560" s="12" t="s">
        <v>307</v>
      </c>
      <c r="F560" s="3" t="s">
        <v>475</v>
      </c>
    </row>
    <row r="561" spans="1:6" x14ac:dyDescent="0.25">
      <c r="A561" s="36">
        <v>43580.423668981479</v>
      </c>
      <c r="B561" s="3" t="s">
        <v>916</v>
      </c>
      <c r="C561" s="12" t="s">
        <v>307</v>
      </c>
      <c r="D561" s="12">
        <v>0</v>
      </c>
      <c r="E561" s="12" t="s">
        <v>307</v>
      </c>
      <c r="F561" s="3" t="s">
        <v>475</v>
      </c>
    </row>
    <row r="562" spans="1:6" x14ac:dyDescent="0.25">
      <c r="A562" s="36">
        <v>43580.423680555556</v>
      </c>
      <c r="B562" s="3" t="s">
        <v>917</v>
      </c>
      <c r="C562" s="12" t="s">
        <v>307</v>
      </c>
      <c r="D562" s="12">
        <v>0</v>
      </c>
      <c r="E562" s="12" t="s">
        <v>307</v>
      </c>
      <c r="F562" s="3" t="s">
        <v>475</v>
      </c>
    </row>
    <row r="563" spans="1:6" x14ac:dyDescent="0.25">
      <c r="A563" s="36">
        <v>43580.423680555556</v>
      </c>
      <c r="B563" s="3" t="s">
        <v>918</v>
      </c>
      <c r="C563" s="12" t="s">
        <v>307</v>
      </c>
      <c r="D563" s="12">
        <v>0</v>
      </c>
      <c r="E563" s="12" t="s">
        <v>307</v>
      </c>
      <c r="F563" s="3" t="s">
        <v>475</v>
      </c>
    </row>
    <row r="564" spans="1:6" x14ac:dyDescent="0.25">
      <c r="A564" s="36">
        <v>43580.423680555556</v>
      </c>
      <c r="B564" s="3" t="s">
        <v>919</v>
      </c>
      <c r="C564" s="12" t="s">
        <v>307</v>
      </c>
      <c r="D564" s="12">
        <v>0</v>
      </c>
      <c r="E564" s="12" t="s">
        <v>307</v>
      </c>
      <c r="F564" s="3" t="s">
        <v>475</v>
      </c>
    </row>
    <row r="565" spans="1:6" x14ac:dyDescent="0.25">
      <c r="A565" s="36">
        <v>43580.423680555556</v>
      </c>
      <c r="B565" s="3" t="s">
        <v>920</v>
      </c>
      <c r="C565" s="12" t="s">
        <v>307</v>
      </c>
      <c r="D565" s="12">
        <v>0</v>
      </c>
      <c r="E565" s="12" t="s">
        <v>307</v>
      </c>
      <c r="F565" s="3" t="s">
        <v>475</v>
      </c>
    </row>
    <row r="566" spans="1:6" x14ac:dyDescent="0.25">
      <c r="A566" s="36">
        <v>43580.423680555556</v>
      </c>
      <c r="B566" s="3" t="s">
        <v>921</v>
      </c>
      <c r="C566" s="12" t="s">
        <v>307</v>
      </c>
      <c r="D566" s="12">
        <v>0</v>
      </c>
      <c r="E566" s="12" t="s">
        <v>307</v>
      </c>
      <c r="F566" s="3" t="s">
        <v>475</v>
      </c>
    </row>
    <row r="567" spans="1:6" x14ac:dyDescent="0.25">
      <c r="A567" s="36">
        <v>43580.423680555556</v>
      </c>
      <c r="B567" s="3" t="s">
        <v>922</v>
      </c>
      <c r="C567" s="12" t="s">
        <v>307</v>
      </c>
      <c r="D567" s="12">
        <v>0</v>
      </c>
      <c r="E567" s="12" t="s">
        <v>307</v>
      </c>
      <c r="F567" s="3" t="s">
        <v>475</v>
      </c>
    </row>
    <row r="568" spans="1:6" x14ac:dyDescent="0.25">
      <c r="A568" s="36">
        <v>43580.423680555556</v>
      </c>
      <c r="B568" s="3" t="s">
        <v>923</v>
      </c>
      <c r="C568" s="12" t="s">
        <v>307</v>
      </c>
      <c r="D568" s="12">
        <v>0</v>
      </c>
      <c r="E568" s="12" t="s">
        <v>307</v>
      </c>
      <c r="F568" s="3" t="s">
        <v>475</v>
      </c>
    </row>
    <row r="569" spans="1:6" x14ac:dyDescent="0.25">
      <c r="A569" s="36">
        <v>43580.423680555556</v>
      </c>
      <c r="B569" s="3" t="s">
        <v>924</v>
      </c>
      <c r="C569" s="12" t="s">
        <v>307</v>
      </c>
      <c r="D569" s="12">
        <v>0</v>
      </c>
      <c r="E569" s="12" t="s">
        <v>307</v>
      </c>
      <c r="F569" s="3" t="s">
        <v>475</v>
      </c>
    </row>
    <row r="570" spans="1:6" x14ac:dyDescent="0.25">
      <c r="A570" s="36">
        <v>43580.423692129632</v>
      </c>
      <c r="B570" s="3" t="s">
        <v>925</v>
      </c>
      <c r="C570" s="12" t="s">
        <v>307</v>
      </c>
      <c r="D570" s="12">
        <v>0</v>
      </c>
      <c r="E570" s="12" t="s">
        <v>307</v>
      </c>
      <c r="F570" s="3" t="s">
        <v>475</v>
      </c>
    </row>
    <row r="571" spans="1:6" x14ac:dyDescent="0.25">
      <c r="A571" s="36">
        <v>43580.423692129632</v>
      </c>
      <c r="B571" s="3" t="s">
        <v>926</v>
      </c>
      <c r="C571" s="12" t="s">
        <v>307</v>
      </c>
      <c r="D571" s="12">
        <v>0</v>
      </c>
      <c r="E571" s="12" t="s">
        <v>307</v>
      </c>
      <c r="F571" s="3" t="s">
        <v>475</v>
      </c>
    </row>
    <row r="572" spans="1:6" x14ac:dyDescent="0.25">
      <c r="A572" s="36">
        <v>43580.423692129632</v>
      </c>
      <c r="B572" s="3" t="s">
        <v>927</v>
      </c>
      <c r="C572" s="12" t="s">
        <v>307</v>
      </c>
      <c r="D572" s="12">
        <v>0</v>
      </c>
      <c r="E572" s="12" t="s">
        <v>307</v>
      </c>
      <c r="F572" s="3" t="s">
        <v>475</v>
      </c>
    </row>
    <row r="573" spans="1:6" x14ac:dyDescent="0.25">
      <c r="A573" s="36">
        <v>43580.423692129632</v>
      </c>
      <c r="B573" s="3" t="s">
        <v>928</v>
      </c>
      <c r="C573" s="12" t="s">
        <v>307</v>
      </c>
      <c r="D573" s="12">
        <v>0</v>
      </c>
      <c r="E573" s="12" t="s">
        <v>307</v>
      </c>
      <c r="F573" s="3" t="s">
        <v>475</v>
      </c>
    </row>
    <row r="574" spans="1:6" x14ac:dyDescent="0.25">
      <c r="A574" s="36">
        <v>43580.423692129632</v>
      </c>
      <c r="B574" s="3" t="s">
        <v>929</v>
      </c>
      <c r="C574" s="12" t="s">
        <v>307</v>
      </c>
      <c r="D574" s="12">
        <v>0</v>
      </c>
      <c r="E574" s="12" t="s">
        <v>307</v>
      </c>
      <c r="F574" s="3" t="s">
        <v>475</v>
      </c>
    </row>
    <row r="575" spans="1:6" x14ac:dyDescent="0.25">
      <c r="A575" s="36">
        <v>43580.423692129632</v>
      </c>
      <c r="B575" s="3" t="s">
        <v>932</v>
      </c>
      <c r="C575" s="12" t="s">
        <v>307</v>
      </c>
      <c r="D575" s="12">
        <v>0</v>
      </c>
      <c r="E575" s="12" t="s">
        <v>307</v>
      </c>
      <c r="F575" s="3" t="s">
        <v>475</v>
      </c>
    </row>
    <row r="576" spans="1:6" x14ac:dyDescent="0.25">
      <c r="A576" s="36">
        <v>43580.423692129632</v>
      </c>
      <c r="B576" s="3" t="s">
        <v>933</v>
      </c>
      <c r="C576" s="12" t="s">
        <v>307</v>
      </c>
      <c r="D576" s="12">
        <v>0</v>
      </c>
      <c r="E576" s="12" t="s">
        <v>307</v>
      </c>
      <c r="F576" s="3" t="s">
        <v>475</v>
      </c>
    </row>
    <row r="577" spans="1:6" x14ac:dyDescent="0.25">
      <c r="A577" s="36">
        <v>43580.423703703702</v>
      </c>
      <c r="B577" s="3" t="s">
        <v>934</v>
      </c>
      <c r="C577" s="12" t="s">
        <v>307</v>
      </c>
      <c r="D577" s="12">
        <v>0</v>
      </c>
      <c r="E577" s="12" t="s">
        <v>307</v>
      </c>
      <c r="F577" s="3" t="s">
        <v>475</v>
      </c>
    </row>
    <row r="578" spans="1:6" x14ac:dyDescent="0.25">
      <c r="A578" s="36">
        <v>43580.423703703702</v>
      </c>
      <c r="B578" s="3" t="s">
        <v>935</v>
      </c>
      <c r="C578" s="12" t="s">
        <v>307</v>
      </c>
      <c r="D578" s="12">
        <v>0</v>
      </c>
      <c r="E578" s="12" t="s">
        <v>307</v>
      </c>
      <c r="F578" s="3" t="s">
        <v>475</v>
      </c>
    </row>
    <row r="579" spans="1:6" x14ac:dyDescent="0.25">
      <c r="A579" s="36">
        <v>43580.423703703702</v>
      </c>
      <c r="B579" s="3" t="s">
        <v>936</v>
      </c>
      <c r="C579" s="12" t="s">
        <v>307</v>
      </c>
      <c r="D579" s="12">
        <v>0</v>
      </c>
      <c r="E579" s="12" t="s">
        <v>307</v>
      </c>
      <c r="F579" s="3" t="s">
        <v>475</v>
      </c>
    </row>
    <row r="580" spans="1:6" x14ac:dyDescent="0.25">
      <c r="A580" s="36">
        <v>43580.423703703702</v>
      </c>
      <c r="B580" s="3" t="s">
        <v>937</v>
      </c>
      <c r="C580" s="12" t="s">
        <v>307</v>
      </c>
      <c r="D580" s="12">
        <v>0</v>
      </c>
      <c r="E580" s="12" t="s">
        <v>307</v>
      </c>
      <c r="F580" s="3" t="s">
        <v>475</v>
      </c>
    </row>
    <row r="581" spans="1:6" x14ac:dyDescent="0.25">
      <c r="A581" s="36">
        <v>43580.423703703702</v>
      </c>
      <c r="B581" s="3" t="s">
        <v>938</v>
      </c>
      <c r="C581" s="12" t="s">
        <v>307</v>
      </c>
      <c r="D581" s="12">
        <v>0</v>
      </c>
      <c r="E581" s="12" t="s">
        <v>307</v>
      </c>
      <c r="F581" s="3" t="s">
        <v>475</v>
      </c>
    </row>
    <row r="582" spans="1:6" x14ac:dyDescent="0.25">
      <c r="A582" s="36">
        <v>43580.423703703702</v>
      </c>
      <c r="B582" s="3" t="s">
        <v>939</v>
      </c>
      <c r="C582" s="12" t="s">
        <v>307</v>
      </c>
      <c r="D582" s="12">
        <v>0</v>
      </c>
      <c r="E582" s="12" t="s">
        <v>307</v>
      </c>
      <c r="F582" s="3" t="s">
        <v>475</v>
      </c>
    </row>
    <row r="583" spans="1:6" x14ac:dyDescent="0.25">
      <c r="A583" s="36">
        <v>43580.423703703702</v>
      </c>
      <c r="B583" s="3" t="s">
        <v>940</v>
      </c>
      <c r="C583" s="12" t="s">
        <v>307</v>
      </c>
      <c r="D583" s="12">
        <v>0</v>
      </c>
      <c r="E583" s="12" t="s">
        <v>307</v>
      </c>
      <c r="F583" s="3" t="s">
        <v>475</v>
      </c>
    </row>
    <row r="584" spans="1:6" x14ac:dyDescent="0.25">
      <c r="A584" s="36">
        <v>43580.423715277779</v>
      </c>
      <c r="B584" s="3" t="s">
        <v>941</v>
      </c>
      <c r="C584" s="12" t="s">
        <v>307</v>
      </c>
      <c r="D584" s="12">
        <v>0</v>
      </c>
      <c r="E584" s="12" t="s">
        <v>307</v>
      </c>
      <c r="F584" s="3" t="s">
        <v>475</v>
      </c>
    </row>
    <row r="585" spans="1:6" x14ac:dyDescent="0.25">
      <c r="A585" s="36">
        <v>43580.423715277779</v>
      </c>
      <c r="B585" s="3" t="s">
        <v>942</v>
      </c>
      <c r="C585" s="12" t="s">
        <v>307</v>
      </c>
      <c r="D585" s="12">
        <v>0</v>
      </c>
      <c r="E585" s="12" t="s">
        <v>307</v>
      </c>
      <c r="F585" s="3" t="s">
        <v>475</v>
      </c>
    </row>
    <row r="586" spans="1:6" x14ac:dyDescent="0.25">
      <c r="A586" s="36">
        <v>43580.423715277779</v>
      </c>
      <c r="B586" s="3" t="s">
        <v>943</v>
      </c>
      <c r="C586" s="12" t="s">
        <v>307</v>
      </c>
      <c r="D586" s="12">
        <v>0</v>
      </c>
      <c r="E586" s="12" t="s">
        <v>307</v>
      </c>
      <c r="F586" s="3" t="s">
        <v>475</v>
      </c>
    </row>
    <row r="587" spans="1:6" x14ac:dyDescent="0.25">
      <c r="A587" s="36">
        <v>43580.423715277779</v>
      </c>
      <c r="B587" s="3" t="s">
        <v>944</v>
      </c>
      <c r="C587" s="12" t="s">
        <v>307</v>
      </c>
      <c r="D587" s="12">
        <v>0</v>
      </c>
      <c r="E587" s="12" t="s">
        <v>307</v>
      </c>
      <c r="F587" s="3" t="s">
        <v>475</v>
      </c>
    </row>
    <row r="588" spans="1:6" x14ac:dyDescent="0.25">
      <c r="A588" s="36">
        <v>43580.423715277779</v>
      </c>
      <c r="B588" s="3" t="s">
        <v>945</v>
      </c>
      <c r="C588" s="12" t="s">
        <v>307</v>
      </c>
      <c r="D588" s="12">
        <v>0</v>
      </c>
      <c r="E588" s="12" t="s">
        <v>307</v>
      </c>
      <c r="F588" s="3" t="s">
        <v>475</v>
      </c>
    </row>
    <row r="589" spans="1:6" x14ac:dyDescent="0.25">
      <c r="A589" s="36">
        <v>43580.423715277779</v>
      </c>
      <c r="B589" s="3" t="s">
        <v>946</v>
      </c>
      <c r="C589" s="12" t="s">
        <v>307</v>
      </c>
      <c r="D589" s="12">
        <v>0</v>
      </c>
      <c r="E589" s="12" t="s">
        <v>307</v>
      </c>
      <c r="F589" s="3" t="s">
        <v>475</v>
      </c>
    </row>
    <row r="590" spans="1:6" x14ac:dyDescent="0.25">
      <c r="A590" s="36">
        <v>43580.423715277779</v>
      </c>
      <c r="B590" s="3" t="s">
        <v>947</v>
      </c>
      <c r="C590" s="12" t="s">
        <v>307</v>
      </c>
      <c r="D590" s="12">
        <v>0</v>
      </c>
      <c r="E590" s="12" t="s">
        <v>307</v>
      </c>
      <c r="F590" s="3" t="s">
        <v>475</v>
      </c>
    </row>
    <row r="591" spans="1:6" x14ac:dyDescent="0.25">
      <c r="A591" s="36">
        <v>43580.423726851855</v>
      </c>
      <c r="B591" s="3" t="s">
        <v>948</v>
      </c>
      <c r="C591" s="12" t="s">
        <v>307</v>
      </c>
      <c r="D591" s="12">
        <v>0</v>
      </c>
      <c r="E591" s="12" t="s">
        <v>307</v>
      </c>
      <c r="F591" s="3" t="s">
        <v>475</v>
      </c>
    </row>
    <row r="592" spans="1:6" x14ac:dyDescent="0.25">
      <c r="A592" s="36">
        <v>43580.423726851855</v>
      </c>
      <c r="B592" s="3" t="s">
        <v>949</v>
      </c>
      <c r="C592" s="12" t="s">
        <v>307</v>
      </c>
      <c r="D592" s="12">
        <v>0</v>
      </c>
      <c r="E592" s="12" t="s">
        <v>307</v>
      </c>
      <c r="F592" s="3" t="s">
        <v>475</v>
      </c>
    </row>
    <row r="593" spans="1:6" x14ac:dyDescent="0.25">
      <c r="A593" s="36">
        <v>43580.423726851855</v>
      </c>
      <c r="B593" s="3" t="s">
        <v>950</v>
      </c>
      <c r="C593" s="12" t="s">
        <v>307</v>
      </c>
      <c r="D593" s="12">
        <v>0</v>
      </c>
      <c r="E593" s="12" t="s">
        <v>307</v>
      </c>
      <c r="F593" s="3" t="s">
        <v>475</v>
      </c>
    </row>
    <row r="594" spans="1:6" x14ac:dyDescent="0.25">
      <c r="A594" s="36">
        <v>43580.423726851855</v>
      </c>
      <c r="B594" s="3" t="s">
        <v>951</v>
      </c>
      <c r="C594" s="12" t="s">
        <v>307</v>
      </c>
      <c r="D594" s="12">
        <v>0</v>
      </c>
      <c r="E594" s="12" t="s">
        <v>307</v>
      </c>
      <c r="F594" s="3" t="s">
        <v>475</v>
      </c>
    </row>
    <row r="595" spans="1:6" x14ac:dyDescent="0.25">
      <c r="A595" s="36">
        <v>43580.423726851855</v>
      </c>
      <c r="B595" s="3" t="s">
        <v>952</v>
      </c>
      <c r="C595" s="12" t="s">
        <v>307</v>
      </c>
      <c r="D595" s="12">
        <v>0</v>
      </c>
      <c r="E595" s="12" t="s">
        <v>307</v>
      </c>
      <c r="F595" s="3" t="s">
        <v>475</v>
      </c>
    </row>
    <row r="596" spans="1:6" x14ac:dyDescent="0.25">
      <c r="A596" s="36">
        <v>43580.423726851855</v>
      </c>
      <c r="B596" s="3" t="s">
        <v>953</v>
      </c>
      <c r="C596" s="12" t="s">
        <v>307</v>
      </c>
      <c r="D596" s="12">
        <v>0</v>
      </c>
      <c r="E596" s="12" t="s">
        <v>307</v>
      </c>
      <c r="F596" s="3" t="s">
        <v>475</v>
      </c>
    </row>
    <row r="597" spans="1:6" x14ac:dyDescent="0.25">
      <c r="A597" s="36">
        <v>43580.423726851855</v>
      </c>
      <c r="B597" s="3" t="s">
        <v>954</v>
      </c>
      <c r="C597" s="12" t="s">
        <v>307</v>
      </c>
      <c r="D597" s="12">
        <v>0</v>
      </c>
      <c r="E597" s="12" t="s">
        <v>307</v>
      </c>
      <c r="F597" s="3" t="s">
        <v>475</v>
      </c>
    </row>
    <row r="598" spans="1:6" x14ac:dyDescent="0.25">
      <c r="A598" s="36">
        <v>43580.423738425925</v>
      </c>
      <c r="B598" s="3" t="s">
        <v>955</v>
      </c>
      <c r="C598" s="12" t="s">
        <v>307</v>
      </c>
      <c r="D598" s="12">
        <v>0</v>
      </c>
      <c r="E598" s="12" t="s">
        <v>307</v>
      </c>
      <c r="F598" s="3" t="s">
        <v>475</v>
      </c>
    </row>
    <row r="599" spans="1:6" x14ac:dyDescent="0.25">
      <c r="A599" s="36">
        <v>43580.423738425925</v>
      </c>
      <c r="B599" s="3" t="s">
        <v>956</v>
      </c>
      <c r="C599" s="12" t="s">
        <v>307</v>
      </c>
      <c r="D599" s="12">
        <v>0</v>
      </c>
      <c r="E599" s="12" t="s">
        <v>307</v>
      </c>
      <c r="F599" s="3" t="s">
        <v>475</v>
      </c>
    </row>
    <row r="600" spans="1:6" x14ac:dyDescent="0.25">
      <c r="A600" s="36">
        <v>43580.423738425925</v>
      </c>
      <c r="B600" s="3" t="s">
        <v>957</v>
      </c>
      <c r="C600" s="12" t="s">
        <v>307</v>
      </c>
      <c r="D600" s="12">
        <v>0</v>
      </c>
      <c r="E600" s="12" t="s">
        <v>307</v>
      </c>
      <c r="F600" s="3" t="s">
        <v>475</v>
      </c>
    </row>
    <row r="601" spans="1:6" x14ac:dyDescent="0.25">
      <c r="A601" s="36">
        <v>43580.423738425925</v>
      </c>
      <c r="B601" s="3" t="s">
        <v>958</v>
      </c>
      <c r="C601" s="12" t="s">
        <v>307</v>
      </c>
      <c r="D601" s="12">
        <v>0</v>
      </c>
      <c r="E601" s="12" t="s">
        <v>307</v>
      </c>
      <c r="F601" s="3" t="s">
        <v>475</v>
      </c>
    </row>
    <row r="602" spans="1:6" x14ac:dyDescent="0.25">
      <c r="A602" s="36">
        <v>43580.423738425925</v>
      </c>
      <c r="B602" s="3" t="s">
        <v>959</v>
      </c>
      <c r="C602" s="12" t="s">
        <v>307</v>
      </c>
      <c r="D602" s="12">
        <v>0</v>
      </c>
      <c r="E602" s="12" t="s">
        <v>307</v>
      </c>
      <c r="F602" s="3" t="s">
        <v>475</v>
      </c>
    </row>
    <row r="603" spans="1:6" x14ac:dyDescent="0.25">
      <c r="A603" s="36">
        <v>43580.423738425925</v>
      </c>
      <c r="B603" s="3" t="s">
        <v>960</v>
      </c>
      <c r="C603" s="12" t="s">
        <v>307</v>
      </c>
      <c r="D603" s="12">
        <v>0</v>
      </c>
      <c r="E603" s="12" t="s">
        <v>307</v>
      </c>
      <c r="F603" s="3" t="s">
        <v>475</v>
      </c>
    </row>
    <row r="604" spans="1:6" x14ac:dyDescent="0.25">
      <c r="A604" s="36">
        <v>43580.423738425925</v>
      </c>
      <c r="B604" s="3" t="s">
        <v>961</v>
      </c>
      <c r="C604" s="12" t="s">
        <v>307</v>
      </c>
      <c r="D604" s="12">
        <v>0</v>
      </c>
      <c r="E604" s="12" t="s">
        <v>307</v>
      </c>
      <c r="F604" s="3" t="s">
        <v>475</v>
      </c>
    </row>
    <row r="605" spans="1:6" x14ac:dyDescent="0.25">
      <c r="A605" s="36">
        <v>43580.423750000002</v>
      </c>
      <c r="B605" s="3" t="s">
        <v>962</v>
      </c>
      <c r="C605" s="12" t="s">
        <v>307</v>
      </c>
      <c r="D605" s="12">
        <v>0</v>
      </c>
      <c r="E605" s="12" t="s">
        <v>307</v>
      </c>
      <c r="F605" s="3" t="s">
        <v>475</v>
      </c>
    </row>
    <row r="606" spans="1:6" x14ac:dyDescent="0.25">
      <c r="A606" s="36">
        <v>43580.423750000002</v>
      </c>
      <c r="B606" s="3" t="s">
        <v>963</v>
      </c>
      <c r="C606" s="12" t="s">
        <v>307</v>
      </c>
      <c r="D606" s="12">
        <v>0</v>
      </c>
      <c r="E606" s="12" t="s">
        <v>307</v>
      </c>
      <c r="F606" s="3" t="s">
        <v>475</v>
      </c>
    </row>
    <row r="607" spans="1:6" x14ac:dyDescent="0.25">
      <c r="A607" s="36">
        <v>43580.423750000002</v>
      </c>
      <c r="B607" s="3" t="s">
        <v>964</v>
      </c>
      <c r="C607" s="12" t="s">
        <v>307</v>
      </c>
      <c r="D607" s="12">
        <v>0</v>
      </c>
      <c r="E607" s="12" t="s">
        <v>307</v>
      </c>
      <c r="F607" s="3" t="s">
        <v>475</v>
      </c>
    </row>
    <row r="608" spans="1:6" x14ac:dyDescent="0.25">
      <c r="A608" s="36">
        <v>43580.423750000002</v>
      </c>
      <c r="B608" s="3" t="s">
        <v>965</v>
      </c>
      <c r="C608" s="12" t="s">
        <v>307</v>
      </c>
      <c r="D608" s="12">
        <v>0</v>
      </c>
      <c r="E608" s="12" t="s">
        <v>307</v>
      </c>
      <c r="F608" s="3" t="s">
        <v>475</v>
      </c>
    </row>
    <row r="609" spans="1:6" x14ac:dyDescent="0.25">
      <c r="A609" s="36">
        <v>43580.475428240738</v>
      </c>
      <c r="B609" s="3" t="s">
        <v>466</v>
      </c>
      <c r="C609" s="12" t="s">
        <v>58</v>
      </c>
      <c r="D609" s="12" t="s">
        <v>58</v>
      </c>
      <c r="E609" s="12" t="s">
        <v>58</v>
      </c>
      <c r="F609" s="3" t="s">
        <v>363</v>
      </c>
    </row>
    <row r="610" spans="1:6" x14ac:dyDescent="0.25">
      <c r="A610" s="36">
        <v>43580.520208333335</v>
      </c>
      <c r="B610" s="3" t="s">
        <v>1031</v>
      </c>
      <c r="C610" s="12" t="s">
        <v>58</v>
      </c>
      <c r="D610" s="12" t="s">
        <v>58</v>
      </c>
      <c r="E610" s="12" t="s">
        <v>58</v>
      </c>
      <c r="F610" s="3" t="s">
        <v>363</v>
      </c>
    </row>
    <row r="611" spans="1:6" x14ac:dyDescent="0.25">
      <c r="A611" s="36">
        <v>43580.520370370374</v>
      </c>
      <c r="B611" s="3" t="s">
        <v>1038</v>
      </c>
      <c r="C611" s="12" t="s">
        <v>58</v>
      </c>
      <c r="D611" s="12" t="s">
        <v>58</v>
      </c>
      <c r="E611" s="12" t="s">
        <v>58</v>
      </c>
      <c r="F611" s="3" t="s">
        <v>363</v>
      </c>
    </row>
    <row r="612" spans="1:6" x14ac:dyDescent="0.25">
      <c r="A612" s="36">
        <v>43580.520405092589</v>
      </c>
      <c r="B612" s="3" t="s">
        <v>1036</v>
      </c>
      <c r="C612" s="12" t="s">
        <v>58</v>
      </c>
      <c r="D612" s="12" t="s">
        <v>58</v>
      </c>
      <c r="E612" s="12" t="s">
        <v>58</v>
      </c>
      <c r="F612" s="3" t="s">
        <v>363</v>
      </c>
    </row>
    <row r="613" spans="1:6" x14ac:dyDescent="0.25">
      <c r="A613" s="36">
        <v>43580.520439814813</v>
      </c>
      <c r="B613" s="3" t="s">
        <v>1034</v>
      </c>
      <c r="C613" s="12" t="s">
        <v>58</v>
      </c>
      <c r="D613" s="12" t="s">
        <v>58</v>
      </c>
      <c r="E613" s="12" t="s">
        <v>58</v>
      </c>
      <c r="F613" s="3" t="s">
        <v>363</v>
      </c>
    </row>
    <row r="614" spans="1:6" x14ac:dyDescent="0.25">
      <c r="A614" s="36">
        <v>43580.520497685182</v>
      </c>
      <c r="B614" s="3" t="s">
        <v>1039</v>
      </c>
      <c r="C614" s="12" t="s">
        <v>58</v>
      </c>
      <c r="D614" s="12" t="s">
        <v>58</v>
      </c>
      <c r="E614" s="12" t="s">
        <v>58</v>
      </c>
      <c r="F614" s="3" t="s">
        <v>363</v>
      </c>
    </row>
    <row r="615" spans="1:6" x14ac:dyDescent="0.25">
      <c r="A615" s="36">
        <v>43580.520520833335</v>
      </c>
      <c r="B615" s="3" t="s">
        <v>1039</v>
      </c>
      <c r="C615" s="12" t="s">
        <v>58</v>
      </c>
      <c r="D615" s="12" t="s">
        <v>58</v>
      </c>
      <c r="E615" s="12" t="s">
        <v>58</v>
      </c>
      <c r="F615" s="3" t="s">
        <v>363</v>
      </c>
    </row>
    <row r="616" spans="1:6" x14ac:dyDescent="0.25">
      <c r="A616" s="36">
        <v>43580.520613425928</v>
      </c>
      <c r="B616" s="3" t="s">
        <v>1046</v>
      </c>
      <c r="C616" s="12" t="s">
        <v>58</v>
      </c>
      <c r="D616" s="12" t="s">
        <v>58</v>
      </c>
      <c r="E616" s="12" t="s">
        <v>58</v>
      </c>
      <c r="F616" s="3" t="s">
        <v>363</v>
      </c>
    </row>
    <row r="617" spans="1:6" x14ac:dyDescent="0.25">
      <c r="A617" s="36">
        <v>43580.520671296297</v>
      </c>
      <c r="B617" s="3" t="s">
        <v>1045</v>
      </c>
      <c r="C617" s="12" t="s">
        <v>58</v>
      </c>
      <c r="D617" s="12" t="s">
        <v>58</v>
      </c>
      <c r="E617" s="12" t="s">
        <v>58</v>
      </c>
      <c r="F617" s="3" t="s">
        <v>363</v>
      </c>
    </row>
    <row r="618" spans="1:6" x14ac:dyDescent="0.25">
      <c r="A618" s="36">
        <v>43580.52071759259</v>
      </c>
      <c r="B618" s="3" t="s">
        <v>1044</v>
      </c>
      <c r="C618" s="12" t="s">
        <v>58</v>
      </c>
      <c r="D618" s="12" t="s">
        <v>58</v>
      </c>
      <c r="E618" s="12" t="s">
        <v>58</v>
      </c>
      <c r="F618" s="3" t="s">
        <v>363</v>
      </c>
    </row>
    <row r="619" spans="1:6" x14ac:dyDescent="0.25">
      <c r="A619" s="36">
        <v>43580.52076388889</v>
      </c>
      <c r="B619" s="3" t="s">
        <v>1043</v>
      </c>
      <c r="C619" s="12" t="s">
        <v>58</v>
      </c>
      <c r="D619" s="12" t="s">
        <v>58</v>
      </c>
      <c r="E619" s="12" t="s">
        <v>58</v>
      </c>
      <c r="F619" s="3" t="s">
        <v>363</v>
      </c>
    </row>
    <row r="620" spans="1:6" x14ac:dyDescent="0.25">
      <c r="A620" s="36">
        <v>43580.574675925927</v>
      </c>
      <c r="B620" s="3" t="s">
        <v>971</v>
      </c>
      <c r="C620" s="12" t="s">
        <v>58</v>
      </c>
      <c r="D620" s="12" t="s">
        <v>58</v>
      </c>
      <c r="E620" s="12" t="s">
        <v>58</v>
      </c>
      <c r="F620" s="3" t="s">
        <v>363</v>
      </c>
    </row>
    <row r="621" spans="1:6" x14ac:dyDescent="0.25">
      <c r="A621" s="36">
        <v>43580.575127314813</v>
      </c>
      <c r="B621" s="3" t="s">
        <v>977</v>
      </c>
      <c r="C621" s="12" t="s">
        <v>58</v>
      </c>
      <c r="D621" s="12" t="s">
        <v>58</v>
      </c>
      <c r="E621" s="12" t="s">
        <v>58</v>
      </c>
      <c r="F621" s="3" t="s">
        <v>363</v>
      </c>
    </row>
    <row r="622" spans="1:6" x14ac:dyDescent="0.25">
      <c r="A622" s="36">
        <v>43580.575740740744</v>
      </c>
      <c r="B622" s="3" t="s">
        <v>564</v>
      </c>
      <c r="C622" s="12" t="s">
        <v>58</v>
      </c>
      <c r="D622" s="12" t="s">
        <v>58</v>
      </c>
      <c r="E622" s="12" t="s">
        <v>58</v>
      </c>
      <c r="F622" s="3" t="s">
        <v>363</v>
      </c>
    </row>
    <row r="623" spans="1:6" x14ac:dyDescent="0.25">
      <c r="A623" s="36">
        <v>43580.576412037037</v>
      </c>
      <c r="B623" s="3" t="s">
        <v>564</v>
      </c>
      <c r="C623" s="12" t="s">
        <v>58</v>
      </c>
      <c r="D623" s="12" t="s">
        <v>58</v>
      </c>
      <c r="E623" s="12" t="s">
        <v>58</v>
      </c>
      <c r="F623" s="3" t="s">
        <v>363</v>
      </c>
    </row>
    <row r="624" spans="1:6" x14ac:dyDescent="0.25">
      <c r="A624" s="36">
        <v>43580.576504629629</v>
      </c>
      <c r="B624" s="3" t="s">
        <v>564</v>
      </c>
      <c r="C624" s="12" t="s">
        <v>58</v>
      </c>
      <c r="D624" s="12" t="s">
        <v>58</v>
      </c>
      <c r="E624" s="12" t="s">
        <v>58</v>
      </c>
      <c r="F624" s="3" t="s">
        <v>363</v>
      </c>
    </row>
    <row r="625" spans="1:6" x14ac:dyDescent="0.25">
      <c r="A625" s="36">
        <v>43580.576574074075</v>
      </c>
      <c r="B625" s="3" t="s">
        <v>564</v>
      </c>
      <c r="C625" s="12" t="s">
        <v>58</v>
      </c>
      <c r="D625" s="12" t="s">
        <v>58</v>
      </c>
      <c r="E625" s="12" t="s">
        <v>58</v>
      </c>
      <c r="F625" s="3" t="s">
        <v>363</v>
      </c>
    </row>
    <row r="626" spans="1:6" x14ac:dyDescent="0.25">
      <c r="A626" s="36">
        <v>43580.577094907407</v>
      </c>
      <c r="B626" s="3" t="s">
        <v>977</v>
      </c>
      <c r="C626" s="12" t="s">
        <v>58</v>
      </c>
      <c r="D626" s="12" t="s">
        <v>58</v>
      </c>
      <c r="E626" s="12" t="s">
        <v>58</v>
      </c>
      <c r="F626" s="3" t="s">
        <v>363</v>
      </c>
    </row>
    <row r="627" spans="1:6" x14ac:dyDescent="0.25">
      <c r="A627" s="36">
        <v>43580.577870370369</v>
      </c>
      <c r="B627" s="3" t="s">
        <v>1003</v>
      </c>
      <c r="C627" s="12" t="s">
        <v>58</v>
      </c>
      <c r="D627" s="12" t="s">
        <v>58</v>
      </c>
      <c r="E627" s="12" t="s">
        <v>58</v>
      </c>
      <c r="F627" s="3" t="s">
        <v>363</v>
      </c>
    </row>
    <row r="628" spans="1:6" x14ac:dyDescent="0.25">
      <c r="A628" s="36">
        <v>43580.578564814816</v>
      </c>
      <c r="B628" s="3" t="s">
        <v>564</v>
      </c>
      <c r="C628" s="12" t="s">
        <v>58</v>
      </c>
      <c r="D628" s="12" t="s">
        <v>58</v>
      </c>
      <c r="E628" s="12" t="s">
        <v>58</v>
      </c>
      <c r="F628" s="3" t="s">
        <v>363</v>
      </c>
    </row>
    <row r="629" spans="1:6" x14ac:dyDescent="0.25">
      <c r="A629" s="36">
        <v>43580.578634259262</v>
      </c>
      <c r="B629" s="3" t="s">
        <v>564</v>
      </c>
      <c r="C629" s="12" t="s">
        <v>58</v>
      </c>
      <c r="D629" s="12" t="s">
        <v>58</v>
      </c>
      <c r="E629" s="12" t="s">
        <v>58</v>
      </c>
      <c r="F629" s="3" t="s">
        <v>363</v>
      </c>
    </row>
    <row r="630" spans="1:6" x14ac:dyDescent="0.25">
      <c r="A630" s="36">
        <v>43580.719386574077</v>
      </c>
      <c r="B630" s="3" t="s">
        <v>555</v>
      </c>
      <c r="C630" s="12" t="s">
        <v>58</v>
      </c>
      <c r="D630" s="12" t="s">
        <v>58</v>
      </c>
      <c r="E630" s="12" t="s">
        <v>58</v>
      </c>
      <c r="F630" s="3" t="s">
        <v>363</v>
      </c>
    </row>
    <row r="631" spans="1:6" x14ac:dyDescent="0.25">
      <c r="A631" s="36">
        <v>43588.917164351849</v>
      </c>
      <c r="B631" s="3" t="s">
        <v>101</v>
      </c>
      <c r="C631" s="12" t="s">
        <v>58</v>
      </c>
      <c r="D631" s="12" t="s">
        <v>58</v>
      </c>
      <c r="E631" s="12" t="s">
        <v>58</v>
      </c>
      <c r="F631" s="3" t="s">
        <v>363</v>
      </c>
    </row>
    <row r="632" spans="1:6" x14ac:dyDescent="0.25">
      <c r="A632" s="36">
        <v>43588.918333333335</v>
      </c>
      <c r="B632" s="3" t="s">
        <v>1098</v>
      </c>
      <c r="C632" s="12" t="s">
        <v>307</v>
      </c>
      <c r="D632" s="12">
        <v>0</v>
      </c>
      <c r="E632" s="12" t="s">
        <v>307</v>
      </c>
      <c r="F632" s="3" t="s">
        <v>475</v>
      </c>
    </row>
    <row r="633" spans="1:6" x14ac:dyDescent="0.25">
      <c r="A633" s="36">
        <v>43588.921134259261</v>
      </c>
      <c r="B633" s="3" t="s">
        <v>1098</v>
      </c>
      <c r="C633" s="12" t="s">
        <v>307</v>
      </c>
      <c r="D633" s="12">
        <v>0</v>
      </c>
      <c r="E633" s="12" t="s">
        <v>307</v>
      </c>
      <c r="F633" s="3" t="s">
        <v>475</v>
      </c>
    </row>
    <row r="634" spans="1:6" x14ac:dyDescent="0.25">
      <c r="A634" s="36">
        <v>43588.931967592594</v>
      </c>
      <c r="B634" s="3" t="s">
        <v>1103</v>
      </c>
      <c r="C634" s="12" t="s">
        <v>307</v>
      </c>
      <c r="D634" s="12">
        <v>0</v>
      </c>
      <c r="E634" s="12" t="s">
        <v>307</v>
      </c>
      <c r="F634" s="3" t="s">
        <v>475</v>
      </c>
    </row>
    <row r="635" spans="1:6" x14ac:dyDescent="0.25">
      <c r="A635" s="36">
        <v>43618.422905092593</v>
      </c>
      <c r="B635" s="3" t="s">
        <v>211</v>
      </c>
      <c r="C635" s="12" t="s">
        <v>58</v>
      </c>
      <c r="D635" s="12" t="s">
        <v>58</v>
      </c>
      <c r="E635" s="12" t="s">
        <v>58</v>
      </c>
      <c r="F635" s="3" t="s">
        <v>363</v>
      </c>
    </row>
    <row r="636" spans="1:6" x14ac:dyDescent="0.25">
      <c r="A636" s="36">
        <v>43631.370150462964</v>
      </c>
      <c r="B636" s="3" t="s">
        <v>1109</v>
      </c>
      <c r="C636" s="12" t="s">
        <v>307</v>
      </c>
      <c r="D636" s="12">
        <v>0</v>
      </c>
      <c r="E636" s="12" t="s">
        <v>307</v>
      </c>
      <c r="F636" s="3" t="s">
        <v>475</v>
      </c>
    </row>
    <row r="637" spans="1:6" x14ac:dyDescent="0.25">
      <c r="A637" s="36">
        <v>43631.384664351855</v>
      </c>
      <c r="B637" s="3" t="s">
        <v>1111</v>
      </c>
      <c r="C637" s="12"/>
      <c r="D637" s="12">
        <v>0</v>
      </c>
      <c r="E637" s="12"/>
      <c r="F637" s="3" t="s">
        <v>475</v>
      </c>
    </row>
    <row r="638" spans="1:6" x14ac:dyDescent="0.25">
      <c r="A638" s="36">
        <v>43631.395243055558</v>
      </c>
      <c r="B638" s="3" t="s">
        <v>1112</v>
      </c>
      <c r="C638" s="12" t="s">
        <v>307</v>
      </c>
      <c r="D638" s="12">
        <v>0</v>
      </c>
      <c r="E638" s="12" t="s">
        <v>307</v>
      </c>
      <c r="F638" s="3" t="s">
        <v>475</v>
      </c>
    </row>
    <row r="639" spans="1:6" x14ac:dyDescent="0.25">
      <c r="A639" s="36">
        <v>43631.400393518517</v>
      </c>
      <c r="B639" s="3" t="s">
        <v>176</v>
      </c>
      <c r="C639" s="12" t="s">
        <v>58</v>
      </c>
      <c r="D639" s="12" t="s">
        <v>58</v>
      </c>
      <c r="E639" s="12" t="s">
        <v>58</v>
      </c>
      <c r="F639" s="3" t="s">
        <v>363</v>
      </c>
    </row>
    <row r="640" spans="1:6" x14ac:dyDescent="0.25">
      <c r="A640" s="36">
        <v>43631.445011574076</v>
      </c>
      <c r="B640" s="3" t="s">
        <v>1116</v>
      </c>
      <c r="C640" s="12" t="s">
        <v>307</v>
      </c>
      <c r="D640" s="12">
        <v>0</v>
      </c>
      <c r="E640" s="12" t="s">
        <v>307</v>
      </c>
      <c r="F640" s="3" t="s">
        <v>475</v>
      </c>
    </row>
    <row r="641" spans="1:6" x14ac:dyDescent="0.25">
      <c r="A641" s="36">
        <v>43631.454293981478</v>
      </c>
      <c r="B641" s="3" t="s">
        <v>176</v>
      </c>
      <c r="C641" s="12" t="s">
        <v>58</v>
      </c>
      <c r="D641" s="12" t="s">
        <v>58</v>
      </c>
      <c r="E641" s="12" t="s">
        <v>58</v>
      </c>
      <c r="F641" s="3" t="s">
        <v>363</v>
      </c>
    </row>
    <row r="642" spans="1:6" x14ac:dyDescent="0.25">
      <c r="A642" s="36">
        <v>43631.454502314817</v>
      </c>
      <c r="B642" s="3" t="s">
        <v>167</v>
      </c>
      <c r="C642" s="12" t="s">
        <v>58</v>
      </c>
      <c r="D642" s="12" t="s">
        <v>58</v>
      </c>
      <c r="E642" s="12" t="s">
        <v>58</v>
      </c>
      <c r="F642" s="3" t="s">
        <v>363</v>
      </c>
    </row>
    <row r="643" spans="1:6" x14ac:dyDescent="0.25">
      <c r="A643" s="36">
        <v>43631.454687500001</v>
      </c>
      <c r="B643" s="3" t="s">
        <v>169</v>
      </c>
      <c r="C643" s="12" t="s">
        <v>58</v>
      </c>
      <c r="D643" s="12" t="s">
        <v>58</v>
      </c>
      <c r="E643" s="12" t="s">
        <v>58</v>
      </c>
      <c r="F643" s="3" t="s">
        <v>363</v>
      </c>
    </row>
    <row r="644" spans="1:6" x14ac:dyDescent="0.25">
      <c r="A644" s="36">
        <v>43631.454895833333</v>
      </c>
      <c r="B644" s="3" t="s">
        <v>19</v>
      </c>
      <c r="C644" s="12" t="s">
        <v>58</v>
      </c>
      <c r="D644" s="12" t="s">
        <v>58</v>
      </c>
      <c r="E644" s="12" t="s">
        <v>58</v>
      </c>
      <c r="F644" s="3" t="s">
        <v>363</v>
      </c>
    </row>
    <row r="645" spans="1:6" x14ac:dyDescent="0.25">
      <c r="A645" s="36">
        <v>43631.465162037035</v>
      </c>
      <c r="B645" s="3" t="s">
        <v>1124</v>
      </c>
      <c r="C645" s="12" t="s">
        <v>307</v>
      </c>
      <c r="D645" s="12">
        <v>0</v>
      </c>
      <c r="E645" s="12" t="s">
        <v>307</v>
      </c>
      <c r="F645" s="3" t="s">
        <v>475</v>
      </c>
    </row>
    <row r="646" spans="1:6" x14ac:dyDescent="0.25">
      <c r="A646" s="36">
        <v>43632.932939814818</v>
      </c>
      <c r="B646" s="3" t="s">
        <v>1127</v>
      </c>
      <c r="C646" s="12"/>
      <c r="D646" s="12">
        <v>0</v>
      </c>
      <c r="E646" s="12"/>
      <c r="F646" s="3" t="s">
        <v>475</v>
      </c>
    </row>
    <row r="647" spans="1:6" x14ac:dyDescent="0.25">
      <c r="A647" s="36">
        <v>43632.933495370373</v>
      </c>
      <c r="B647" s="3" t="s">
        <v>1129</v>
      </c>
      <c r="C647" s="12"/>
      <c r="D647" s="12">
        <v>0</v>
      </c>
      <c r="E647" s="12"/>
      <c r="F647" s="3" t="s">
        <v>475</v>
      </c>
    </row>
    <row r="648" spans="1:6" x14ac:dyDescent="0.25">
      <c r="A648" s="36">
        <v>43633.616215277776</v>
      </c>
      <c r="B648" s="3" t="s">
        <v>1137</v>
      </c>
      <c r="C648" s="12" t="s">
        <v>307</v>
      </c>
      <c r="D648" s="12">
        <v>0</v>
      </c>
      <c r="E648" s="12" t="s">
        <v>307</v>
      </c>
      <c r="F648" s="3" t="s">
        <v>475</v>
      </c>
    </row>
    <row r="649" spans="1:6" x14ac:dyDescent="0.25">
      <c r="A649" s="36">
        <v>43633.616585648146</v>
      </c>
      <c r="B649" s="3" t="s">
        <v>1137</v>
      </c>
      <c r="C649" s="12"/>
      <c r="D649" s="12">
        <v>0</v>
      </c>
      <c r="E649" s="12"/>
      <c r="F649" s="3" t="s">
        <v>475</v>
      </c>
    </row>
    <row r="650" spans="1:6" x14ac:dyDescent="0.25">
      <c r="A650" s="36">
        <v>43633.622581018521</v>
      </c>
      <c r="B650" s="3" t="s">
        <v>1127</v>
      </c>
      <c r="C650" s="12" t="s">
        <v>392</v>
      </c>
      <c r="D650" s="12">
        <v>0</v>
      </c>
      <c r="E650" s="12">
        <v>5</v>
      </c>
      <c r="F650" s="3" t="s">
        <v>1140</v>
      </c>
    </row>
    <row r="651" spans="1:6" x14ac:dyDescent="0.25">
      <c r="A651" s="36">
        <v>43633.622673611113</v>
      </c>
      <c r="B651" s="3" t="s">
        <v>1048</v>
      </c>
      <c r="C651" s="12" t="s">
        <v>392</v>
      </c>
      <c r="D651" s="12">
        <v>0</v>
      </c>
      <c r="E651" s="12">
        <v>5</v>
      </c>
      <c r="F651" s="3" t="s">
        <v>1140</v>
      </c>
    </row>
    <row r="652" spans="1:6" x14ac:dyDescent="0.25">
      <c r="A652" s="36">
        <v>43633.62908564815</v>
      </c>
      <c r="B652" s="3" t="s">
        <v>249</v>
      </c>
      <c r="C652" s="12">
        <v>-3</v>
      </c>
      <c r="D652" s="12">
        <v>5</v>
      </c>
      <c r="E652" s="12" t="s">
        <v>1144</v>
      </c>
      <c r="F652" s="3" t="s">
        <v>1145</v>
      </c>
    </row>
    <row r="653" spans="1:6" x14ac:dyDescent="0.25">
      <c r="A653" s="36">
        <v>43633.639398148145</v>
      </c>
      <c r="B653" s="3" t="s">
        <v>12</v>
      </c>
      <c r="C653" s="12" t="s">
        <v>58</v>
      </c>
      <c r="D653" s="12" t="s">
        <v>58</v>
      </c>
      <c r="E653" s="12" t="s">
        <v>58</v>
      </c>
      <c r="F653" s="3" t="s">
        <v>363</v>
      </c>
    </row>
    <row r="654" spans="1:6" x14ac:dyDescent="0.25">
      <c r="A654" s="36">
        <v>43633.642557870371</v>
      </c>
      <c r="B654" s="3" t="s">
        <v>101</v>
      </c>
      <c r="C654" s="12">
        <v>6</v>
      </c>
      <c r="D654" s="12">
        <v>-2.2000000000000002</v>
      </c>
      <c r="E654" s="12" t="s">
        <v>1146</v>
      </c>
      <c r="F654" s="3" t="s">
        <v>1145</v>
      </c>
    </row>
    <row r="655" spans="1:6" x14ac:dyDescent="0.25">
      <c r="A655" s="36">
        <v>43633.644629629627</v>
      </c>
      <c r="B655" s="3" t="s">
        <v>164</v>
      </c>
      <c r="C655" s="12">
        <v>-1</v>
      </c>
      <c r="D655" s="12">
        <v>4</v>
      </c>
      <c r="E655" s="12" t="s">
        <v>1147</v>
      </c>
      <c r="F655" s="3" t="s">
        <v>1145</v>
      </c>
    </row>
    <row r="656" spans="1:6" x14ac:dyDescent="0.25">
      <c r="A656" s="36">
        <v>43633.664201388892</v>
      </c>
      <c r="B656" s="3" t="s">
        <v>466</v>
      </c>
      <c r="C656" s="12">
        <v>2</v>
      </c>
      <c r="D656" s="12">
        <v>0</v>
      </c>
      <c r="E656" s="12">
        <v>2</v>
      </c>
      <c r="F656" s="3" t="s">
        <v>1148</v>
      </c>
    </row>
    <row r="657" spans="1:6" x14ac:dyDescent="0.25">
      <c r="A657" s="36">
        <v>43633.665277777778</v>
      </c>
      <c r="B657" s="3" t="s">
        <v>428</v>
      </c>
      <c r="C657" s="12">
        <v>2</v>
      </c>
      <c r="D657" s="12">
        <v>0</v>
      </c>
      <c r="E657" s="12">
        <v>2</v>
      </c>
      <c r="F657" s="3" t="s">
        <v>1148</v>
      </c>
    </row>
    <row r="658" spans="1:6" x14ac:dyDescent="0.25">
      <c r="A658" s="36">
        <v>43633.665277777778</v>
      </c>
      <c r="B658" s="3" t="s">
        <v>1032</v>
      </c>
      <c r="C658" s="12">
        <v>10</v>
      </c>
      <c r="D658" s="12">
        <v>0</v>
      </c>
      <c r="E658" s="12">
        <v>10</v>
      </c>
      <c r="F658" s="3" t="s">
        <v>1148</v>
      </c>
    </row>
    <row r="659" spans="1:6" x14ac:dyDescent="0.25">
      <c r="A659" s="36">
        <v>43633.665277777778</v>
      </c>
      <c r="B659" s="3" t="s">
        <v>460</v>
      </c>
      <c r="C659" s="12">
        <v>2</v>
      </c>
      <c r="D659" s="12">
        <v>0</v>
      </c>
      <c r="E659" s="12">
        <v>2</v>
      </c>
      <c r="F659" s="3" t="s">
        <v>1148</v>
      </c>
    </row>
    <row r="660" spans="1:6" x14ac:dyDescent="0.25">
      <c r="A660" s="36">
        <v>43633.665277777778</v>
      </c>
      <c r="B660" s="3" t="s">
        <v>1085</v>
      </c>
      <c r="C660" s="12">
        <v>1</v>
      </c>
      <c r="D660" s="12">
        <v>0</v>
      </c>
      <c r="E660" s="12">
        <v>1</v>
      </c>
      <c r="F660" s="3" t="s">
        <v>1148</v>
      </c>
    </row>
    <row r="661" spans="1:6" x14ac:dyDescent="0.25">
      <c r="A661" s="36">
        <v>43633.665277777778</v>
      </c>
      <c r="B661" s="3" t="s">
        <v>468</v>
      </c>
      <c r="C661" s="12">
        <v>2</v>
      </c>
      <c r="D661" s="12">
        <v>0</v>
      </c>
      <c r="E661" s="12">
        <v>2</v>
      </c>
      <c r="F661" s="3" t="s">
        <v>1148</v>
      </c>
    </row>
    <row r="662" spans="1:6" x14ac:dyDescent="0.25">
      <c r="A662" s="36">
        <v>43633.665277777778</v>
      </c>
      <c r="B662" s="3" t="s">
        <v>1038</v>
      </c>
      <c r="C662" s="12">
        <v>6</v>
      </c>
      <c r="D662" s="12">
        <v>0</v>
      </c>
      <c r="E662" s="12">
        <v>6</v>
      </c>
      <c r="F662" s="3" t="s">
        <v>1148</v>
      </c>
    </row>
    <row r="663" spans="1:6" x14ac:dyDescent="0.25">
      <c r="A663" s="36">
        <v>43633.665277777778</v>
      </c>
      <c r="B663" s="3" t="s">
        <v>1035</v>
      </c>
      <c r="C663" s="12">
        <v>6</v>
      </c>
      <c r="D663" s="12">
        <v>0</v>
      </c>
      <c r="E663" s="12">
        <v>6</v>
      </c>
      <c r="F663" s="3" t="s">
        <v>1148</v>
      </c>
    </row>
    <row r="664" spans="1:6" x14ac:dyDescent="0.25">
      <c r="A664" s="36">
        <v>43633.665277777778</v>
      </c>
      <c r="B664" s="3" t="s">
        <v>1031</v>
      </c>
      <c r="C664" s="12">
        <v>100</v>
      </c>
      <c r="D664" s="12">
        <v>0</v>
      </c>
      <c r="E664" s="12">
        <v>100</v>
      </c>
      <c r="F664" s="3" t="s">
        <v>1148</v>
      </c>
    </row>
    <row r="665" spans="1:6" x14ac:dyDescent="0.25">
      <c r="A665" s="36">
        <v>43633.665277777778</v>
      </c>
      <c r="B665" s="3" t="s">
        <v>267</v>
      </c>
      <c r="C665" s="12">
        <v>4</v>
      </c>
      <c r="D665" s="12">
        <v>0</v>
      </c>
      <c r="E665" s="12">
        <v>4</v>
      </c>
      <c r="F665" s="3" t="s">
        <v>1148</v>
      </c>
    </row>
    <row r="666" spans="1:6" x14ac:dyDescent="0.25">
      <c r="A666" s="36">
        <v>43633.665277777778</v>
      </c>
      <c r="B666" s="3" t="s">
        <v>463</v>
      </c>
      <c r="C666" s="12">
        <v>4</v>
      </c>
      <c r="D666" s="12">
        <v>0</v>
      </c>
      <c r="E666" s="12">
        <v>4</v>
      </c>
      <c r="F666" s="3" t="s">
        <v>1148</v>
      </c>
    </row>
    <row r="667" spans="1:6" x14ac:dyDescent="0.25">
      <c r="A667" s="36">
        <v>43633.665277777778</v>
      </c>
      <c r="B667" s="3" t="s">
        <v>1083</v>
      </c>
      <c r="C667" s="12">
        <v>10</v>
      </c>
      <c r="D667" s="12">
        <v>0</v>
      </c>
      <c r="E667" s="12">
        <v>10</v>
      </c>
      <c r="F667" s="3" t="s">
        <v>1148</v>
      </c>
    </row>
    <row r="668" spans="1:6" x14ac:dyDescent="0.25">
      <c r="A668" s="36">
        <v>43633.665277777778</v>
      </c>
      <c r="B668" s="3" t="s">
        <v>1040</v>
      </c>
      <c r="C668" s="12">
        <v>10</v>
      </c>
      <c r="D668" s="12">
        <v>0</v>
      </c>
      <c r="E668" s="12">
        <v>10</v>
      </c>
      <c r="F668" s="3" t="s">
        <v>1148</v>
      </c>
    </row>
    <row r="669" spans="1:6" x14ac:dyDescent="0.25">
      <c r="A669" s="36">
        <v>43633.665277777778</v>
      </c>
      <c r="B669" s="3" t="s">
        <v>1037</v>
      </c>
      <c r="C669" s="12">
        <v>2</v>
      </c>
      <c r="D669" s="12">
        <v>0</v>
      </c>
      <c r="E669" s="12">
        <v>2</v>
      </c>
      <c r="F669" s="3" t="s">
        <v>1148</v>
      </c>
    </row>
    <row r="670" spans="1:6" x14ac:dyDescent="0.25">
      <c r="A670" s="36">
        <v>43633.665289351855</v>
      </c>
      <c r="B670" s="3" t="s">
        <v>1036</v>
      </c>
      <c r="C670" s="12">
        <v>2</v>
      </c>
      <c r="D670" s="12">
        <v>0</v>
      </c>
      <c r="E670" s="12">
        <v>2</v>
      </c>
      <c r="F670" s="3" t="s">
        <v>1148</v>
      </c>
    </row>
    <row r="671" spans="1:6" x14ac:dyDescent="0.25">
      <c r="A671" s="36">
        <v>43633.665289351855</v>
      </c>
      <c r="B671" s="3" t="s">
        <v>1045</v>
      </c>
      <c r="C671" s="12">
        <v>10</v>
      </c>
      <c r="D671" s="12">
        <v>0</v>
      </c>
      <c r="E671" s="12">
        <v>10</v>
      </c>
      <c r="F671" s="3" t="s">
        <v>1148</v>
      </c>
    </row>
    <row r="672" spans="1:6" x14ac:dyDescent="0.25">
      <c r="A672" s="36">
        <v>43633.665289351855</v>
      </c>
      <c r="B672" s="3" t="s">
        <v>1041</v>
      </c>
      <c r="C672" s="12">
        <v>10</v>
      </c>
      <c r="D672" s="12">
        <v>0</v>
      </c>
      <c r="E672" s="12">
        <v>10</v>
      </c>
      <c r="F672" s="3" t="s">
        <v>1148</v>
      </c>
    </row>
    <row r="673" spans="1:6" x14ac:dyDescent="0.25">
      <c r="A673" s="36">
        <v>43633.665289351855</v>
      </c>
      <c r="B673" s="3" t="s">
        <v>971</v>
      </c>
      <c r="C673" s="12">
        <v>100</v>
      </c>
      <c r="D673" s="12">
        <v>0</v>
      </c>
      <c r="E673" s="12">
        <v>100</v>
      </c>
      <c r="F673" s="3" t="s">
        <v>1148</v>
      </c>
    </row>
    <row r="674" spans="1:6" x14ac:dyDescent="0.25">
      <c r="A674" s="36">
        <v>43633.665289351855</v>
      </c>
      <c r="B674" s="3" t="s">
        <v>1033</v>
      </c>
      <c r="C674" s="12">
        <v>2</v>
      </c>
      <c r="D674" s="12">
        <v>0</v>
      </c>
      <c r="E674" s="12">
        <v>2</v>
      </c>
      <c r="F674" s="3" t="s">
        <v>1148</v>
      </c>
    </row>
    <row r="675" spans="1:6" x14ac:dyDescent="0.25">
      <c r="A675" s="36">
        <v>43633.665289351855</v>
      </c>
      <c r="B675" s="3" t="s">
        <v>712</v>
      </c>
      <c r="C675" s="12">
        <v>10</v>
      </c>
      <c r="D675" s="12">
        <v>0</v>
      </c>
      <c r="E675" s="12">
        <v>10</v>
      </c>
      <c r="F675" s="3" t="s">
        <v>1148</v>
      </c>
    </row>
    <row r="676" spans="1:6" x14ac:dyDescent="0.25">
      <c r="A676" s="36">
        <v>43633.665289351855</v>
      </c>
      <c r="B676" s="3" t="s">
        <v>471</v>
      </c>
      <c r="C676" s="12">
        <v>10</v>
      </c>
      <c r="D676" s="12">
        <v>0</v>
      </c>
      <c r="E676" s="12">
        <v>10</v>
      </c>
      <c r="F676" s="3" t="s">
        <v>1148</v>
      </c>
    </row>
    <row r="677" spans="1:6" x14ac:dyDescent="0.25">
      <c r="A677" s="36">
        <v>43633.665289351855</v>
      </c>
      <c r="B677" s="3" t="s">
        <v>1009</v>
      </c>
      <c r="C677" s="12">
        <v>10</v>
      </c>
      <c r="D677" s="12">
        <v>0</v>
      </c>
      <c r="E677" s="12">
        <v>10</v>
      </c>
      <c r="F677" s="3" t="s">
        <v>1148</v>
      </c>
    </row>
    <row r="678" spans="1:6" x14ac:dyDescent="0.25">
      <c r="A678" s="36">
        <v>43633.665289351855</v>
      </c>
      <c r="B678" s="3" t="s">
        <v>1024</v>
      </c>
      <c r="C678" s="12">
        <v>10</v>
      </c>
      <c r="D678" s="12">
        <v>0</v>
      </c>
      <c r="E678" s="12">
        <v>10</v>
      </c>
      <c r="F678" s="3" t="s">
        <v>1148</v>
      </c>
    </row>
    <row r="679" spans="1:6" x14ac:dyDescent="0.25">
      <c r="A679" s="36">
        <v>43633.665289351855</v>
      </c>
      <c r="B679" s="3" t="s">
        <v>1047</v>
      </c>
      <c r="C679" s="12">
        <v>3</v>
      </c>
      <c r="D679" s="12">
        <v>0</v>
      </c>
      <c r="E679" s="12">
        <v>3</v>
      </c>
      <c r="F679" s="3" t="s">
        <v>1148</v>
      </c>
    </row>
    <row r="680" spans="1:6" x14ac:dyDescent="0.25">
      <c r="A680" s="36">
        <v>43633.665289351855</v>
      </c>
      <c r="B680" s="3" t="s">
        <v>1044</v>
      </c>
      <c r="C680" s="12">
        <v>3</v>
      </c>
      <c r="D680" s="12">
        <v>0</v>
      </c>
      <c r="E680" s="12">
        <v>3</v>
      </c>
      <c r="F680" s="3" t="s">
        <v>1148</v>
      </c>
    </row>
    <row r="681" spans="1:6" x14ac:dyDescent="0.25">
      <c r="A681" s="36">
        <v>43633.665289351855</v>
      </c>
      <c r="B681" s="3" t="s">
        <v>536</v>
      </c>
      <c r="C681" s="12">
        <v>20</v>
      </c>
      <c r="D681" s="12">
        <v>0</v>
      </c>
      <c r="E681" s="12">
        <v>20</v>
      </c>
      <c r="F681" s="3" t="s">
        <v>1148</v>
      </c>
    </row>
    <row r="682" spans="1:6" x14ac:dyDescent="0.25">
      <c r="A682" s="36">
        <v>43633.665289351855</v>
      </c>
      <c r="B682" s="3" t="s">
        <v>1042</v>
      </c>
      <c r="C682" s="12">
        <v>10</v>
      </c>
      <c r="D682" s="12">
        <v>0</v>
      </c>
      <c r="E682" s="12">
        <v>10</v>
      </c>
      <c r="F682" s="3" t="s">
        <v>1148</v>
      </c>
    </row>
    <row r="683" spans="1:6" x14ac:dyDescent="0.25">
      <c r="A683" s="36">
        <v>43633.665289351855</v>
      </c>
      <c r="B683" s="3" t="s">
        <v>534</v>
      </c>
      <c r="C683" s="12">
        <v>10</v>
      </c>
      <c r="D683" s="12">
        <v>0</v>
      </c>
      <c r="E683" s="12">
        <v>10</v>
      </c>
      <c r="F683" s="3" t="s">
        <v>1148</v>
      </c>
    </row>
    <row r="684" spans="1:6" x14ac:dyDescent="0.25">
      <c r="A684" s="36">
        <v>43633.665289351855</v>
      </c>
      <c r="B684" s="3" t="s">
        <v>995</v>
      </c>
      <c r="C684" s="12">
        <v>10</v>
      </c>
      <c r="D684" s="12">
        <v>0</v>
      </c>
      <c r="E684" s="12">
        <v>10</v>
      </c>
      <c r="F684" s="3" t="s">
        <v>1148</v>
      </c>
    </row>
    <row r="685" spans="1:6" x14ac:dyDescent="0.25">
      <c r="A685" s="36">
        <v>43633.665289351855</v>
      </c>
      <c r="B685" s="3" t="s">
        <v>1015</v>
      </c>
      <c r="C685" s="12">
        <v>10</v>
      </c>
      <c r="D685" s="12">
        <v>0</v>
      </c>
      <c r="E685" s="12">
        <v>10</v>
      </c>
      <c r="F685" s="3" t="s">
        <v>1148</v>
      </c>
    </row>
    <row r="686" spans="1:6" x14ac:dyDescent="0.25">
      <c r="A686" s="36">
        <v>43633.665289351855</v>
      </c>
      <c r="B686" s="3" t="s">
        <v>1018</v>
      </c>
      <c r="C686" s="12">
        <v>10</v>
      </c>
      <c r="D686" s="12">
        <v>0</v>
      </c>
      <c r="E686" s="12">
        <v>10</v>
      </c>
      <c r="F686" s="3" t="s">
        <v>1148</v>
      </c>
    </row>
    <row r="687" spans="1:6" x14ac:dyDescent="0.25">
      <c r="A687" s="36">
        <v>43633.665289351855</v>
      </c>
      <c r="B687" s="3" t="s">
        <v>1012</v>
      </c>
      <c r="C687" s="12">
        <v>10</v>
      </c>
      <c r="D687" s="12">
        <v>0</v>
      </c>
      <c r="E687" s="12">
        <v>10</v>
      </c>
      <c r="F687" s="3" t="s">
        <v>1148</v>
      </c>
    </row>
    <row r="688" spans="1:6" x14ac:dyDescent="0.25">
      <c r="A688" s="36">
        <v>43633.665289351855</v>
      </c>
      <c r="B688" s="3" t="s">
        <v>1001</v>
      </c>
      <c r="C688" s="12">
        <v>10</v>
      </c>
      <c r="D688" s="12">
        <v>0</v>
      </c>
      <c r="E688" s="12">
        <v>10</v>
      </c>
      <c r="F688" s="3" t="s">
        <v>1148</v>
      </c>
    </row>
    <row r="689" spans="1:6" x14ac:dyDescent="0.25">
      <c r="A689" s="36">
        <v>43633.665300925924</v>
      </c>
      <c r="B689" s="3" t="s">
        <v>1006</v>
      </c>
      <c r="C689" s="12">
        <v>10</v>
      </c>
      <c r="D689" s="12">
        <v>0</v>
      </c>
      <c r="E689" s="12">
        <v>10</v>
      </c>
      <c r="F689" s="3" t="s">
        <v>1148</v>
      </c>
    </row>
    <row r="690" spans="1:6" x14ac:dyDescent="0.25">
      <c r="A690" s="36">
        <v>43633.665300925924</v>
      </c>
      <c r="B690" s="3" t="s">
        <v>537</v>
      </c>
      <c r="C690" s="12">
        <v>10</v>
      </c>
      <c r="D690" s="12">
        <v>0</v>
      </c>
      <c r="E690" s="12">
        <v>10</v>
      </c>
      <c r="F690" s="3" t="s">
        <v>1148</v>
      </c>
    </row>
    <row r="691" spans="1:6" x14ac:dyDescent="0.25">
      <c r="A691" s="36">
        <v>43633.665300925924</v>
      </c>
      <c r="B691" s="3" t="s">
        <v>1088</v>
      </c>
      <c r="C691" s="12">
        <v>1</v>
      </c>
      <c r="D691" s="12">
        <v>0</v>
      </c>
      <c r="E691" s="12">
        <v>1</v>
      </c>
      <c r="F691" s="3" t="s">
        <v>1148</v>
      </c>
    </row>
    <row r="692" spans="1:6" x14ac:dyDescent="0.25">
      <c r="A692" s="36">
        <v>43633.665300925924</v>
      </c>
      <c r="B692" s="3" t="s">
        <v>1054</v>
      </c>
      <c r="C692" s="12">
        <v>100</v>
      </c>
      <c r="D692" s="12">
        <v>0</v>
      </c>
      <c r="E692" s="12">
        <v>100</v>
      </c>
      <c r="F692" s="3" t="s">
        <v>1148</v>
      </c>
    </row>
    <row r="693" spans="1:6" x14ac:dyDescent="0.25">
      <c r="A693" s="36">
        <v>43633.665300925924</v>
      </c>
      <c r="B693" s="3" t="s">
        <v>1098</v>
      </c>
      <c r="C693" s="12">
        <v>2</v>
      </c>
      <c r="D693" s="12">
        <v>0</v>
      </c>
      <c r="E693" s="12">
        <v>2</v>
      </c>
      <c r="F693" s="3" t="s">
        <v>1148</v>
      </c>
    </row>
    <row r="694" spans="1:6" x14ac:dyDescent="0.25">
      <c r="A694" s="36">
        <v>43633.665300925924</v>
      </c>
      <c r="B694" s="3" t="s">
        <v>1103</v>
      </c>
      <c r="C694" s="12">
        <v>50</v>
      </c>
      <c r="D694" s="12">
        <v>0</v>
      </c>
      <c r="E694" s="12">
        <v>50</v>
      </c>
      <c r="F694" s="3" t="s">
        <v>1148</v>
      </c>
    </row>
    <row r="695" spans="1:6" x14ac:dyDescent="0.25">
      <c r="A695" s="36">
        <v>43633.666655092595</v>
      </c>
      <c r="B695" s="3" t="s">
        <v>428</v>
      </c>
      <c r="C695" s="12" t="s">
        <v>58</v>
      </c>
      <c r="D695" s="12" t="s">
        <v>58</v>
      </c>
      <c r="E695" s="12" t="s">
        <v>58</v>
      </c>
      <c r="F695" s="3" t="s">
        <v>363</v>
      </c>
    </row>
    <row r="696" spans="1:6" x14ac:dyDescent="0.25">
      <c r="A696" s="36">
        <v>43633.666747685187</v>
      </c>
      <c r="B696" s="3" t="s">
        <v>428</v>
      </c>
      <c r="C696" s="12" t="s">
        <v>58</v>
      </c>
      <c r="D696" s="12" t="s">
        <v>58</v>
      </c>
      <c r="E696" s="12" t="s">
        <v>58</v>
      </c>
      <c r="F696" s="3" t="s">
        <v>1138</v>
      </c>
    </row>
    <row r="697" spans="1:6" x14ac:dyDescent="0.25">
      <c r="A697" s="36">
        <v>43633.666805555556</v>
      </c>
      <c r="B697" s="3" t="s">
        <v>428</v>
      </c>
      <c r="C697" s="12" t="s">
        <v>58</v>
      </c>
      <c r="D697" s="12" t="s">
        <v>58</v>
      </c>
      <c r="E697" s="12" t="s">
        <v>58</v>
      </c>
      <c r="F697" s="3" t="s">
        <v>1149</v>
      </c>
    </row>
    <row r="698" spans="1:6" x14ac:dyDescent="0.25">
      <c r="A698" s="36">
        <v>43633.667916666665</v>
      </c>
      <c r="B698" s="3" t="s">
        <v>537</v>
      </c>
      <c r="C698" s="12">
        <v>1</v>
      </c>
      <c r="D698" s="12">
        <v>10</v>
      </c>
      <c r="E698" s="12">
        <v>9</v>
      </c>
      <c r="F698" s="3" t="s">
        <v>418</v>
      </c>
    </row>
    <row r="699" spans="1:6" x14ac:dyDescent="0.25">
      <c r="A699" s="36">
        <v>43633.667916666665</v>
      </c>
      <c r="B699" s="3" t="s">
        <v>14</v>
      </c>
      <c r="C699" s="12">
        <v>1</v>
      </c>
      <c r="D699" s="12">
        <v>49</v>
      </c>
      <c r="E699" s="12">
        <v>48</v>
      </c>
      <c r="F699" s="3" t="s">
        <v>418</v>
      </c>
    </row>
    <row r="700" spans="1:6" x14ac:dyDescent="0.25">
      <c r="A700" s="36">
        <v>43633.667928240742</v>
      </c>
      <c r="B700" s="3" t="s">
        <v>33</v>
      </c>
      <c r="C700" s="12">
        <v>3</v>
      </c>
      <c r="D700" s="12">
        <v>92</v>
      </c>
      <c r="E700" s="12">
        <v>89</v>
      </c>
      <c r="F700" s="3" t="s">
        <v>418</v>
      </c>
    </row>
    <row r="701" spans="1:6" x14ac:dyDescent="0.25">
      <c r="A701" s="36">
        <v>43633.667928240742</v>
      </c>
      <c r="B701" s="3" t="s">
        <v>536</v>
      </c>
      <c r="C701" s="12">
        <v>2</v>
      </c>
      <c r="D701" s="12">
        <v>20</v>
      </c>
      <c r="E701" s="12">
        <v>18</v>
      </c>
      <c r="F701" s="3" t="s">
        <v>418</v>
      </c>
    </row>
    <row r="702" spans="1:6" x14ac:dyDescent="0.25">
      <c r="A702" s="36">
        <v>43633.667928240742</v>
      </c>
      <c r="B702" s="3" t="s">
        <v>534</v>
      </c>
      <c r="C702" s="12">
        <v>1</v>
      </c>
      <c r="D702" s="12">
        <v>10</v>
      </c>
      <c r="E702" s="12">
        <v>9</v>
      </c>
      <c r="F702" s="3" t="s">
        <v>418</v>
      </c>
    </row>
    <row r="703" spans="1:6" x14ac:dyDescent="0.25">
      <c r="A703" s="36">
        <v>43633.667928240742</v>
      </c>
      <c r="B703" s="3" t="s">
        <v>221</v>
      </c>
      <c r="C703" s="12">
        <v>1</v>
      </c>
      <c r="D703" s="12">
        <v>17</v>
      </c>
      <c r="E703" s="12">
        <v>16</v>
      </c>
      <c r="F703" s="3" t="s">
        <v>418</v>
      </c>
    </row>
    <row r="704" spans="1:6" x14ac:dyDescent="0.25">
      <c r="A704" s="36">
        <v>43633.667928240742</v>
      </c>
      <c r="B704" s="3" t="s">
        <v>535</v>
      </c>
      <c r="C704" s="12">
        <v>0</v>
      </c>
      <c r="D704" s="12">
        <v>0</v>
      </c>
      <c r="E704" s="12">
        <v>0</v>
      </c>
      <c r="F704" s="3" t="s">
        <v>418</v>
      </c>
    </row>
    <row r="705" spans="1:6" x14ac:dyDescent="0.25">
      <c r="A705" s="36">
        <v>43633.667928240742</v>
      </c>
      <c r="B705" s="3" t="s">
        <v>471</v>
      </c>
      <c r="C705" s="12">
        <v>1</v>
      </c>
      <c r="D705" s="12">
        <v>10</v>
      </c>
      <c r="E705" s="12">
        <v>9</v>
      </c>
      <c r="F705" s="3" t="s">
        <v>418</v>
      </c>
    </row>
    <row r="706" spans="1:6" x14ac:dyDescent="0.25">
      <c r="A706" s="36">
        <v>43633.667928240742</v>
      </c>
      <c r="B706" s="3" t="s">
        <v>142</v>
      </c>
      <c r="C706" s="12">
        <v>1</v>
      </c>
      <c r="D706" s="12">
        <v>10</v>
      </c>
      <c r="E706" s="12">
        <v>9</v>
      </c>
      <c r="F706" s="3" t="s">
        <v>418</v>
      </c>
    </row>
    <row r="707" spans="1:6" x14ac:dyDescent="0.25">
      <c r="A707" s="36">
        <v>43633.667928240742</v>
      </c>
      <c r="B707" s="3" t="s">
        <v>543</v>
      </c>
      <c r="C707" s="12">
        <v>0.2</v>
      </c>
      <c r="D707" s="12">
        <v>9.85</v>
      </c>
      <c r="E707" s="12">
        <v>9.65</v>
      </c>
      <c r="F707" s="3" t="s">
        <v>418</v>
      </c>
    </row>
    <row r="708" spans="1:6" x14ac:dyDescent="0.25">
      <c r="A708" s="36">
        <v>43633.667928240742</v>
      </c>
      <c r="B708" s="3" t="s">
        <v>1035</v>
      </c>
      <c r="C708" s="12">
        <v>3</v>
      </c>
      <c r="D708" s="12">
        <v>6</v>
      </c>
      <c r="E708" s="12">
        <v>3</v>
      </c>
      <c r="F708" s="3" t="s">
        <v>418</v>
      </c>
    </row>
    <row r="709" spans="1:6" x14ac:dyDescent="0.25">
      <c r="A709" s="36">
        <v>43633.667928240742</v>
      </c>
      <c r="B709" s="3" t="s">
        <v>1041</v>
      </c>
      <c r="C709" s="12">
        <v>3</v>
      </c>
      <c r="D709" s="12">
        <v>10</v>
      </c>
      <c r="E709" s="12">
        <v>7</v>
      </c>
      <c r="F709" s="3" t="s">
        <v>418</v>
      </c>
    </row>
    <row r="710" spans="1:6" x14ac:dyDescent="0.25">
      <c r="A710" s="36">
        <v>43633.667939814812</v>
      </c>
      <c r="B710" s="3" t="s">
        <v>211</v>
      </c>
      <c r="C710" s="12">
        <v>1</v>
      </c>
      <c r="D710" s="12">
        <v>9</v>
      </c>
      <c r="E710" s="12">
        <v>8</v>
      </c>
      <c r="F710" s="3" t="s">
        <v>418</v>
      </c>
    </row>
    <row r="711" spans="1:6" x14ac:dyDescent="0.25">
      <c r="A711" s="36">
        <v>43633.667939814812</v>
      </c>
      <c r="B711" s="3" t="s">
        <v>127</v>
      </c>
      <c r="C711" s="12">
        <v>1</v>
      </c>
      <c r="D711" s="12">
        <v>5</v>
      </c>
      <c r="E711" s="12">
        <v>4</v>
      </c>
      <c r="F711" s="3" t="s">
        <v>418</v>
      </c>
    </row>
    <row r="712" spans="1:6" x14ac:dyDescent="0.25">
      <c r="A712" s="36">
        <v>43633.667939814812</v>
      </c>
      <c r="B712" s="3" t="s">
        <v>1012</v>
      </c>
      <c r="C712" s="12">
        <v>1</v>
      </c>
      <c r="D712" s="12">
        <v>10</v>
      </c>
      <c r="E712" s="12">
        <v>9</v>
      </c>
      <c r="F712" s="3" t="s">
        <v>418</v>
      </c>
    </row>
    <row r="713" spans="1:6" x14ac:dyDescent="0.25">
      <c r="A713" s="36">
        <v>43633.667939814812</v>
      </c>
      <c r="B713" s="3" t="s">
        <v>1001</v>
      </c>
      <c r="C713" s="12">
        <v>1</v>
      </c>
      <c r="D713" s="12">
        <v>10</v>
      </c>
      <c r="E713" s="12">
        <v>9</v>
      </c>
      <c r="F713" s="3" t="s">
        <v>418</v>
      </c>
    </row>
    <row r="714" spans="1:6" x14ac:dyDescent="0.25">
      <c r="A714" s="36">
        <v>43633.667939814812</v>
      </c>
      <c r="B714" s="3" t="s">
        <v>1009</v>
      </c>
      <c r="C714" s="12">
        <v>3</v>
      </c>
      <c r="D714" s="12">
        <v>10</v>
      </c>
      <c r="E714" s="12">
        <v>7</v>
      </c>
      <c r="F714" s="3" t="s">
        <v>418</v>
      </c>
    </row>
    <row r="715" spans="1:6" x14ac:dyDescent="0.25">
      <c r="A715" s="36">
        <v>43633.667939814812</v>
      </c>
      <c r="B715" s="3" t="s">
        <v>971</v>
      </c>
      <c r="C715" s="12">
        <v>5</v>
      </c>
      <c r="D715" s="12">
        <v>100</v>
      </c>
      <c r="E715" s="12">
        <v>95</v>
      </c>
      <c r="F715" s="3" t="s">
        <v>418</v>
      </c>
    </row>
    <row r="716" spans="1:6" x14ac:dyDescent="0.25">
      <c r="A716" s="36">
        <v>43633.667939814812</v>
      </c>
      <c r="B716" s="3" t="s">
        <v>1006</v>
      </c>
      <c r="C716" s="12">
        <v>1</v>
      </c>
      <c r="D716" s="12">
        <v>10</v>
      </c>
      <c r="E716" s="12">
        <v>9</v>
      </c>
      <c r="F716" s="3" t="s">
        <v>418</v>
      </c>
    </row>
    <row r="717" spans="1:6" x14ac:dyDescent="0.25">
      <c r="A717" s="36">
        <v>43633.667939814812</v>
      </c>
      <c r="B717" s="3" t="s">
        <v>213</v>
      </c>
      <c r="C717" s="12">
        <v>1</v>
      </c>
      <c r="D717" s="12">
        <v>4</v>
      </c>
      <c r="E717" s="12">
        <v>3</v>
      </c>
      <c r="F717" s="3" t="s">
        <v>418</v>
      </c>
    </row>
    <row r="718" spans="1:6" x14ac:dyDescent="0.25">
      <c r="A718" s="36">
        <v>43633.667951388888</v>
      </c>
      <c r="B718" s="3" t="s">
        <v>466</v>
      </c>
      <c r="C718" s="12">
        <v>1</v>
      </c>
      <c r="D718" s="12">
        <v>2</v>
      </c>
      <c r="E718" s="12">
        <v>1</v>
      </c>
      <c r="F718" s="3" t="s">
        <v>418</v>
      </c>
    </row>
    <row r="719" spans="1:6" x14ac:dyDescent="0.25">
      <c r="A719" s="36">
        <v>43633.667951388888</v>
      </c>
      <c r="B719" s="3" t="s">
        <v>24</v>
      </c>
      <c r="C719" s="12">
        <v>1</v>
      </c>
      <c r="D719" s="12">
        <v>9</v>
      </c>
      <c r="E719" s="12">
        <v>8</v>
      </c>
      <c r="F719" s="3" t="s">
        <v>418</v>
      </c>
    </row>
    <row r="720" spans="1:6" x14ac:dyDescent="0.25">
      <c r="A720" s="36">
        <v>43633.667951388888</v>
      </c>
      <c r="B720" s="3" t="s">
        <v>460</v>
      </c>
      <c r="C720" s="12">
        <v>1</v>
      </c>
      <c r="D720" s="12">
        <v>2</v>
      </c>
      <c r="E720" s="12">
        <v>1</v>
      </c>
      <c r="F720" s="3" t="s">
        <v>418</v>
      </c>
    </row>
    <row r="721" spans="1:6" x14ac:dyDescent="0.25">
      <c r="A721" s="36">
        <v>43633.667951388888</v>
      </c>
      <c r="B721" s="3" t="s">
        <v>468</v>
      </c>
      <c r="C721" s="12">
        <v>1</v>
      </c>
      <c r="D721" s="12">
        <v>2</v>
      </c>
      <c r="E721" s="12">
        <v>1</v>
      </c>
      <c r="F721" s="3" t="s">
        <v>418</v>
      </c>
    </row>
    <row r="722" spans="1:6" x14ac:dyDescent="0.25">
      <c r="A722" s="36">
        <v>43633.667951388888</v>
      </c>
      <c r="B722" s="3" t="s">
        <v>115</v>
      </c>
      <c r="C722" s="12">
        <v>1</v>
      </c>
      <c r="D722" s="12">
        <v>10</v>
      </c>
      <c r="E722" s="12">
        <v>9</v>
      </c>
      <c r="F722" s="3" t="s">
        <v>418</v>
      </c>
    </row>
    <row r="723" spans="1:6" x14ac:dyDescent="0.25">
      <c r="A723" s="36">
        <v>43633.667951388888</v>
      </c>
      <c r="B723" s="3" t="s">
        <v>1037</v>
      </c>
      <c r="C723" s="12">
        <v>1</v>
      </c>
      <c r="D723" s="12">
        <v>2</v>
      </c>
      <c r="E723" s="12">
        <v>1</v>
      </c>
      <c r="F723" s="3" t="s">
        <v>418</v>
      </c>
    </row>
    <row r="724" spans="1:6" x14ac:dyDescent="0.25">
      <c r="A724" s="36">
        <v>43633.667951388888</v>
      </c>
      <c r="B724" s="3" t="s">
        <v>1047</v>
      </c>
      <c r="C724" s="12">
        <v>1</v>
      </c>
      <c r="D724" s="12">
        <v>3</v>
      </c>
      <c r="E724" s="12">
        <v>2</v>
      </c>
      <c r="F724" s="3" t="s">
        <v>418</v>
      </c>
    </row>
    <row r="725" spans="1:6" x14ac:dyDescent="0.25">
      <c r="A725" s="36">
        <v>43633.667951388888</v>
      </c>
      <c r="B725" s="3" t="s">
        <v>1038</v>
      </c>
      <c r="C725" s="12">
        <v>2</v>
      </c>
      <c r="D725" s="12">
        <v>6</v>
      </c>
      <c r="E725" s="12">
        <v>4</v>
      </c>
      <c r="F725" s="3" t="s">
        <v>418</v>
      </c>
    </row>
    <row r="726" spans="1:6" x14ac:dyDescent="0.25">
      <c r="A726" s="36">
        <v>43633.667951388888</v>
      </c>
      <c r="B726" s="3" t="s">
        <v>1045</v>
      </c>
      <c r="C726" s="12">
        <v>2</v>
      </c>
      <c r="D726" s="12">
        <v>10</v>
      </c>
      <c r="E726" s="12">
        <v>8</v>
      </c>
      <c r="F726" s="3" t="s">
        <v>418</v>
      </c>
    </row>
    <row r="727" spans="1:6" x14ac:dyDescent="0.25">
      <c r="A727" s="36">
        <v>43633.667951388888</v>
      </c>
      <c r="B727" s="3" t="s">
        <v>1036</v>
      </c>
      <c r="C727" s="12">
        <v>1</v>
      </c>
      <c r="D727" s="12">
        <v>2</v>
      </c>
      <c r="E727" s="12">
        <v>1</v>
      </c>
      <c r="F727" s="3" t="s">
        <v>418</v>
      </c>
    </row>
    <row r="728" spans="1:6" x14ac:dyDescent="0.25">
      <c r="A728" s="36">
        <v>43633.667962962965</v>
      </c>
      <c r="B728" s="3" t="s">
        <v>1044</v>
      </c>
      <c r="C728" s="12">
        <v>1</v>
      </c>
      <c r="D728" s="12">
        <v>3</v>
      </c>
      <c r="E728" s="12">
        <v>2</v>
      </c>
      <c r="F728" s="3" t="s">
        <v>418</v>
      </c>
    </row>
    <row r="729" spans="1:6" x14ac:dyDescent="0.25">
      <c r="A729" s="36">
        <v>43633.667962962965</v>
      </c>
      <c r="B729" s="3" t="s">
        <v>1032</v>
      </c>
      <c r="C729" s="12">
        <v>1</v>
      </c>
      <c r="D729" s="12">
        <v>10</v>
      </c>
      <c r="E729" s="12">
        <v>9</v>
      </c>
      <c r="F729" s="3" t="s">
        <v>418</v>
      </c>
    </row>
    <row r="730" spans="1:6" x14ac:dyDescent="0.25">
      <c r="A730" s="36">
        <v>43633.667962962965</v>
      </c>
      <c r="B730" s="3" t="s">
        <v>1040</v>
      </c>
      <c r="C730" s="12">
        <v>1</v>
      </c>
      <c r="D730" s="12">
        <v>10</v>
      </c>
      <c r="E730" s="12">
        <v>9</v>
      </c>
      <c r="F730" s="3" t="s">
        <v>418</v>
      </c>
    </row>
    <row r="731" spans="1:6" x14ac:dyDescent="0.25">
      <c r="A731" s="36">
        <v>43633.667962962965</v>
      </c>
      <c r="B731" s="3" t="s">
        <v>463</v>
      </c>
      <c r="C731" s="12">
        <v>1</v>
      </c>
      <c r="D731" s="12">
        <v>4</v>
      </c>
      <c r="E731" s="12">
        <v>3</v>
      </c>
      <c r="F731" s="3" t="s">
        <v>418</v>
      </c>
    </row>
    <row r="732" spans="1:6" x14ac:dyDescent="0.25">
      <c r="A732" s="36">
        <v>43633.690555555557</v>
      </c>
      <c r="B732" s="3" t="s">
        <v>1001</v>
      </c>
      <c r="C732" s="12">
        <v>-1</v>
      </c>
      <c r="D732" s="12">
        <v>9</v>
      </c>
      <c r="E732" s="12">
        <v>8</v>
      </c>
      <c r="F732" s="3" t="s">
        <v>1150</v>
      </c>
    </row>
    <row r="733" spans="1:6" x14ac:dyDescent="0.25">
      <c r="A733" s="36">
        <v>43633.700138888889</v>
      </c>
      <c r="B733" s="3" t="s">
        <v>221</v>
      </c>
      <c r="C733" s="12" t="s">
        <v>58</v>
      </c>
      <c r="D733" s="12" t="s">
        <v>58</v>
      </c>
      <c r="E733" s="12" t="s">
        <v>58</v>
      </c>
      <c r="F733" s="3" t="s">
        <v>363</v>
      </c>
    </row>
    <row r="734" spans="1:6" x14ac:dyDescent="0.25">
      <c r="A734" s="36">
        <v>43633.891898148147</v>
      </c>
      <c r="B734" s="3" t="s">
        <v>1152</v>
      </c>
      <c r="C734" s="12" t="s">
        <v>307</v>
      </c>
      <c r="D734" s="12">
        <v>0</v>
      </c>
      <c r="E734" s="12" t="s">
        <v>307</v>
      </c>
      <c r="F734" s="3" t="s">
        <v>475</v>
      </c>
    </row>
    <row r="735" spans="1:6" x14ac:dyDescent="0.25">
      <c r="A735" s="36">
        <v>43633.895196759258</v>
      </c>
      <c r="B735" s="3" t="s">
        <v>1155</v>
      </c>
      <c r="C735" s="12" t="s">
        <v>307</v>
      </c>
      <c r="D735" s="12">
        <v>0</v>
      </c>
      <c r="E735" s="12" t="s">
        <v>307</v>
      </c>
      <c r="F735" s="3" t="s">
        <v>475</v>
      </c>
    </row>
    <row r="736" spans="1:6" x14ac:dyDescent="0.25">
      <c r="A736" s="36">
        <v>43633.89539351852</v>
      </c>
      <c r="B736" s="3" t="s">
        <v>1160</v>
      </c>
      <c r="C736" s="12" t="s">
        <v>307</v>
      </c>
      <c r="D736" s="12">
        <v>0</v>
      </c>
      <c r="E736" s="12" t="s">
        <v>307</v>
      </c>
      <c r="F736" s="3" t="s">
        <v>475</v>
      </c>
    </row>
    <row r="737" spans="1:6" x14ac:dyDescent="0.25">
      <c r="A737" s="36">
        <v>43633.897592592592</v>
      </c>
      <c r="B737" s="3" t="s">
        <v>1163</v>
      </c>
      <c r="C737" s="12" t="s">
        <v>307</v>
      </c>
      <c r="D737" s="12">
        <v>0</v>
      </c>
      <c r="E737" s="12" t="s">
        <v>307</v>
      </c>
      <c r="F737" s="3" t="s">
        <v>475</v>
      </c>
    </row>
    <row r="738" spans="1:6" x14ac:dyDescent="0.25">
      <c r="A738" s="36">
        <v>43633.897847222222</v>
      </c>
      <c r="B738" s="3" t="s">
        <v>1166</v>
      </c>
      <c r="C738" s="12" t="s">
        <v>307</v>
      </c>
      <c r="D738" s="12">
        <v>0</v>
      </c>
      <c r="E738" s="12" t="s">
        <v>307</v>
      </c>
      <c r="F738" s="3" t="s">
        <v>475</v>
      </c>
    </row>
    <row r="739" spans="1:6" x14ac:dyDescent="0.25">
      <c r="A739" s="36">
        <v>43633.897962962961</v>
      </c>
      <c r="B739" s="3" t="s">
        <v>1169</v>
      </c>
      <c r="C739" s="12" t="s">
        <v>307</v>
      </c>
      <c r="D739" s="12">
        <v>0</v>
      </c>
      <c r="E739" s="12" t="s">
        <v>307</v>
      </c>
      <c r="F739" s="3" t="s">
        <v>475</v>
      </c>
    </row>
    <row r="740" spans="1:6" x14ac:dyDescent="0.25">
      <c r="A740" s="36">
        <v>43633.903298611112</v>
      </c>
      <c r="B740" s="3" t="s">
        <v>1172</v>
      </c>
      <c r="C740" s="12" t="s">
        <v>307</v>
      </c>
      <c r="D740" s="12">
        <v>0</v>
      </c>
      <c r="E740" s="12" t="s">
        <v>307</v>
      </c>
      <c r="F740" s="3" t="s">
        <v>475</v>
      </c>
    </row>
    <row r="741" spans="1:6" x14ac:dyDescent="0.25">
      <c r="A741" s="36">
        <v>43633.903993055559</v>
      </c>
      <c r="B741" s="3" t="s">
        <v>1182</v>
      </c>
      <c r="C741" s="12" t="s">
        <v>307</v>
      </c>
      <c r="D741" s="12">
        <v>0</v>
      </c>
      <c r="E741" s="12" t="s">
        <v>307</v>
      </c>
      <c r="F741" s="3" t="s">
        <v>475</v>
      </c>
    </row>
    <row r="742" spans="1:6" x14ac:dyDescent="0.25">
      <c r="A742" s="36">
        <v>43633.904236111113</v>
      </c>
      <c r="B742" s="3" t="s">
        <v>1177</v>
      </c>
      <c r="C742" s="12" t="s">
        <v>307</v>
      </c>
      <c r="D742" s="12">
        <v>0</v>
      </c>
      <c r="E742" s="12" t="s">
        <v>307</v>
      </c>
      <c r="F742" s="3" t="s">
        <v>475</v>
      </c>
    </row>
    <row r="743" spans="1:6" x14ac:dyDescent="0.25">
      <c r="A743" s="36">
        <v>43634.023993055554</v>
      </c>
      <c r="B743" s="3" t="s">
        <v>1185</v>
      </c>
      <c r="C743" s="12" t="s">
        <v>307</v>
      </c>
      <c r="D743" s="12">
        <v>0</v>
      </c>
      <c r="E743" s="12" t="s">
        <v>307</v>
      </c>
      <c r="F743" s="3" t="s">
        <v>475</v>
      </c>
    </row>
    <row r="744" spans="1:6" x14ac:dyDescent="0.25">
      <c r="A744" s="36">
        <v>43634.029189814813</v>
      </c>
      <c r="B744" s="3" t="s">
        <v>466</v>
      </c>
      <c r="C744" s="12" t="s">
        <v>338</v>
      </c>
      <c r="D744" s="12">
        <v>1</v>
      </c>
      <c r="E744" s="12">
        <v>2</v>
      </c>
      <c r="F744" s="3" t="s">
        <v>1191</v>
      </c>
    </row>
    <row r="745" spans="1:6" x14ac:dyDescent="0.25">
      <c r="A745" s="36">
        <v>43634.029363425929</v>
      </c>
      <c r="B745" s="3" t="s">
        <v>115</v>
      </c>
      <c r="C745" s="12" t="s">
        <v>338</v>
      </c>
      <c r="D745" s="12">
        <v>9</v>
      </c>
      <c r="E745" s="12">
        <v>10</v>
      </c>
      <c r="F745" s="3" t="s">
        <v>1191</v>
      </c>
    </row>
    <row r="746" spans="1:6" x14ac:dyDescent="0.25">
      <c r="A746" s="36">
        <v>43634.794664351852</v>
      </c>
      <c r="B746" s="3" t="s">
        <v>1192</v>
      </c>
      <c r="C746" s="12" t="s">
        <v>307</v>
      </c>
      <c r="D746" s="12">
        <v>0</v>
      </c>
      <c r="E746" s="12" t="s">
        <v>307</v>
      </c>
      <c r="F746" s="3" t="s">
        <v>475</v>
      </c>
    </row>
    <row r="747" spans="1:6" x14ac:dyDescent="0.25">
      <c r="A747" s="36">
        <v>43634.796168981484</v>
      </c>
      <c r="B747" s="3" t="s">
        <v>1197</v>
      </c>
      <c r="C747" s="12" t="s">
        <v>307</v>
      </c>
      <c r="D747" s="12">
        <v>0</v>
      </c>
      <c r="E747" s="12" t="s">
        <v>307</v>
      </c>
      <c r="F747" s="3" t="s">
        <v>475</v>
      </c>
    </row>
    <row r="748" spans="1:6" x14ac:dyDescent="0.25">
      <c r="A748" s="36">
        <v>43634.96980324074</v>
      </c>
      <c r="B748" s="3" t="s">
        <v>224</v>
      </c>
      <c r="C748" s="12" t="s">
        <v>58</v>
      </c>
      <c r="D748" s="12" t="s">
        <v>58</v>
      </c>
      <c r="E748" s="12" t="s">
        <v>58</v>
      </c>
      <c r="F748" s="3" t="s">
        <v>363</v>
      </c>
    </row>
    <row r="749" spans="1:6" x14ac:dyDescent="0.25">
      <c r="A749" s="36">
        <v>43634.983715277776</v>
      </c>
      <c r="B749" s="3" t="s">
        <v>1214</v>
      </c>
      <c r="C749" s="12" t="s">
        <v>307</v>
      </c>
      <c r="D749" s="12">
        <v>0</v>
      </c>
      <c r="E749" s="12" t="s">
        <v>307</v>
      </c>
      <c r="F749" s="3" t="s">
        <v>475</v>
      </c>
    </row>
    <row r="750" spans="1:6" x14ac:dyDescent="0.25">
      <c r="A750" s="36">
        <v>43635.00503472222</v>
      </c>
      <c r="B750" s="3" t="s">
        <v>1217</v>
      </c>
      <c r="C750" s="12" t="s">
        <v>307</v>
      </c>
      <c r="D750" s="12">
        <v>0</v>
      </c>
      <c r="E750" s="12" t="s">
        <v>307</v>
      </c>
      <c r="F750" s="3" t="s">
        <v>475</v>
      </c>
    </row>
    <row r="751" spans="1:6" x14ac:dyDescent="0.25">
      <c r="A751" s="36">
        <v>43637.457407407404</v>
      </c>
      <c r="B751" s="3" t="s">
        <v>1220</v>
      </c>
      <c r="C751" s="12" t="s">
        <v>307</v>
      </c>
      <c r="D751" s="12">
        <v>0</v>
      </c>
      <c r="E751" s="12" t="s">
        <v>307</v>
      </c>
      <c r="F751" s="3" t="s">
        <v>475</v>
      </c>
    </row>
    <row r="752" spans="1:6" x14ac:dyDescent="0.25">
      <c r="A752" s="36">
        <v>43637.491770833331</v>
      </c>
      <c r="B752" s="3" t="s">
        <v>1223</v>
      </c>
      <c r="C752" s="12" t="s">
        <v>307</v>
      </c>
      <c r="D752" s="12">
        <v>0</v>
      </c>
      <c r="E752" s="12" t="s">
        <v>307</v>
      </c>
      <c r="F752" s="3" t="s">
        <v>475</v>
      </c>
    </row>
    <row r="753" spans="1:6" x14ac:dyDescent="0.25">
      <c r="A753" s="36">
        <v>43637.491782407407</v>
      </c>
      <c r="B753" s="3" t="s">
        <v>1223</v>
      </c>
      <c r="C753" s="12" t="s">
        <v>307</v>
      </c>
      <c r="D753" s="12">
        <v>0</v>
      </c>
      <c r="E753" s="12" t="s">
        <v>307</v>
      </c>
      <c r="F753" s="3" t="s">
        <v>475</v>
      </c>
    </row>
    <row r="754" spans="1:6" x14ac:dyDescent="0.25">
      <c r="A754" s="36">
        <v>43639.97519675926</v>
      </c>
      <c r="B754" s="3" t="s">
        <v>1238</v>
      </c>
      <c r="C754" s="12" t="s">
        <v>307</v>
      </c>
      <c r="D754" s="12">
        <v>0</v>
      </c>
      <c r="E754" s="12" t="s">
        <v>307</v>
      </c>
      <c r="F754" s="3" t="s">
        <v>475</v>
      </c>
    </row>
    <row r="755" spans="1:6" x14ac:dyDescent="0.25">
      <c r="A755" s="36">
        <v>43640.463703703703</v>
      </c>
      <c r="B755" s="3" t="s">
        <v>1241</v>
      </c>
      <c r="C755" s="12" t="s">
        <v>307</v>
      </c>
      <c r="D755" s="12">
        <v>0</v>
      </c>
      <c r="E755" s="12" t="s">
        <v>307</v>
      </c>
      <c r="F755" s="3" t="s">
        <v>475</v>
      </c>
    </row>
    <row r="756" spans="1:6" x14ac:dyDescent="0.25">
      <c r="A756" s="36">
        <v>43647.728217592594</v>
      </c>
      <c r="B756" s="3" t="s">
        <v>1054</v>
      </c>
      <c r="C756" s="12" t="s">
        <v>58</v>
      </c>
      <c r="D756" s="12" t="s">
        <v>58</v>
      </c>
      <c r="E756" s="12" t="s">
        <v>58</v>
      </c>
      <c r="F756" s="3" t="s">
        <v>363</v>
      </c>
    </row>
    <row r="757" spans="1:6" x14ac:dyDescent="0.25">
      <c r="A757" s="36">
        <v>43647.754583333335</v>
      </c>
      <c r="B757" s="3" t="s">
        <v>171</v>
      </c>
      <c r="C757" s="12" t="s">
        <v>58</v>
      </c>
      <c r="D757" s="12" t="s">
        <v>58</v>
      </c>
      <c r="E757" s="12" t="s">
        <v>58</v>
      </c>
      <c r="F757" s="3" t="s">
        <v>363</v>
      </c>
    </row>
    <row r="758" spans="1:6" x14ac:dyDescent="0.25">
      <c r="A758" s="36">
        <v>43647.755648148152</v>
      </c>
      <c r="B758" s="3" t="s">
        <v>171</v>
      </c>
      <c r="C758" s="12" t="s">
        <v>58</v>
      </c>
      <c r="D758" s="12" t="s">
        <v>58</v>
      </c>
      <c r="E758" s="12" t="s">
        <v>58</v>
      </c>
      <c r="F758" s="3" t="s">
        <v>363</v>
      </c>
    </row>
    <row r="759" spans="1:6" x14ac:dyDescent="0.25">
      <c r="A759" s="36">
        <v>43647.755810185183</v>
      </c>
      <c r="B759" s="3" t="s">
        <v>171</v>
      </c>
      <c r="C759" s="12" t="s">
        <v>58</v>
      </c>
      <c r="D759" s="12" t="s">
        <v>58</v>
      </c>
      <c r="E759" s="12" t="s">
        <v>58</v>
      </c>
      <c r="F759" s="3" t="s">
        <v>363</v>
      </c>
    </row>
    <row r="760" spans="1:6" x14ac:dyDescent="0.25">
      <c r="A760" s="36">
        <v>43647.756469907406</v>
      </c>
      <c r="B760" s="3" t="s">
        <v>171</v>
      </c>
      <c r="C760" s="12" t="s">
        <v>58</v>
      </c>
      <c r="D760" s="12" t="s">
        <v>58</v>
      </c>
      <c r="E760" s="12" t="s">
        <v>58</v>
      </c>
      <c r="F760" s="3" t="s">
        <v>363</v>
      </c>
    </row>
    <row r="761" spans="1:6" x14ac:dyDescent="0.25">
      <c r="A761" s="36">
        <v>43648.771967592591</v>
      </c>
      <c r="B761" s="3" t="s">
        <v>1261</v>
      </c>
      <c r="C761" s="12" t="s">
        <v>307</v>
      </c>
      <c r="D761" s="12">
        <v>0</v>
      </c>
      <c r="E761" s="12" t="s">
        <v>307</v>
      </c>
      <c r="F761" s="3" t="s">
        <v>475</v>
      </c>
    </row>
    <row r="762" spans="1:6" x14ac:dyDescent="0.25">
      <c r="A762" s="36">
        <v>43658.438807870371</v>
      </c>
      <c r="B762" s="3" t="s">
        <v>1264</v>
      </c>
      <c r="C762" s="12" t="s">
        <v>307</v>
      </c>
      <c r="D762" s="12">
        <v>0</v>
      </c>
      <c r="E762" s="12" t="s">
        <v>307</v>
      </c>
      <c r="F762" s="3" t="s">
        <v>475</v>
      </c>
    </row>
    <row r="763" spans="1:6" x14ac:dyDescent="0.25">
      <c r="A763" s="36">
        <v>43658.464224537034</v>
      </c>
      <c r="B763" s="3" t="s">
        <v>1265</v>
      </c>
      <c r="C763" s="12" t="s">
        <v>307</v>
      </c>
      <c r="D763" s="12">
        <v>0</v>
      </c>
      <c r="E763" s="12" t="s">
        <v>307</v>
      </c>
      <c r="F763" s="3" t="s">
        <v>475</v>
      </c>
    </row>
    <row r="764" spans="1:6" x14ac:dyDescent="0.25">
      <c r="A764" s="36">
        <v>43658.466874999998</v>
      </c>
      <c r="B764" s="3" t="s">
        <v>1268</v>
      </c>
      <c r="C764" s="12" t="s">
        <v>307</v>
      </c>
      <c r="D764" s="12">
        <v>0</v>
      </c>
      <c r="E764" s="12" t="s">
        <v>307</v>
      </c>
      <c r="F764" s="3" t="s">
        <v>475</v>
      </c>
    </row>
    <row r="765" spans="1:6" x14ac:dyDescent="0.25">
      <c r="A765" s="36">
        <v>43658.467222222222</v>
      </c>
      <c r="B765" s="3" t="s">
        <v>1271</v>
      </c>
      <c r="C765" s="12" t="s">
        <v>307</v>
      </c>
      <c r="D765" s="12">
        <v>0</v>
      </c>
      <c r="E765" s="12" t="s">
        <v>307</v>
      </c>
      <c r="F765" s="3" t="s">
        <v>475</v>
      </c>
    </row>
    <row r="766" spans="1:6" x14ac:dyDescent="0.25">
      <c r="A766" s="36">
        <v>43658.467685185184</v>
      </c>
      <c r="B766" s="3" t="s">
        <v>1274</v>
      </c>
      <c r="C766" s="12" t="s">
        <v>307</v>
      </c>
      <c r="D766" s="12">
        <v>0</v>
      </c>
      <c r="E766" s="12" t="s">
        <v>307</v>
      </c>
      <c r="F766" s="3" t="s">
        <v>475</v>
      </c>
    </row>
    <row r="767" spans="1:6" x14ac:dyDescent="0.25">
      <c r="A767" s="36">
        <v>43658.467835648145</v>
      </c>
      <c r="B767" s="3" t="s">
        <v>1277</v>
      </c>
      <c r="C767" s="12" t="s">
        <v>307</v>
      </c>
      <c r="D767" s="12">
        <v>0</v>
      </c>
      <c r="E767" s="12" t="s">
        <v>307</v>
      </c>
      <c r="F767" s="3" t="s">
        <v>475</v>
      </c>
    </row>
    <row r="768" spans="1:6" x14ac:dyDescent="0.25">
      <c r="A768" s="36">
        <v>43658.467997685184</v>
      </c>
      <c r="B768" s="3" t="s">
        <v>1280</v>
      </c>
      <c r="C768" s="12" t="s">
        <v>307</v>
      </c>
      <c r="D768" s="12">
        <v>0</v>
      </c>
      <c r="E768" s="12" t="s">
        <v>307</v>
      </c>
      <c r="F768" s="3" t="s">
        <v>475</v>
      </c>
    </row>
    <row r="769" spans="1:6" x14ac:dyDescent="0.25">
      <c r="A769" s="36">
        <v>43658.468136574076</v>
      </c>
      <c r="B769" s="3" t="s">
        <v>1283</v>
      </c>
      <c r="C769" s="12" t="s">
        <v>307</v>
      </c>
      <c r="D769" s="12">
        <v>0</v>
      </c>
      <c r="E769" s="12" t="s">
        <v>307</v>
      </c>
      <c r="F769" s="3" t="s">
        <v>475</v>
      </c>
    </row>
    <row r="770" spans="1:6" x14ac:dyDescent="0.25">
      <c r="A770" s="36">
        <v>43658.468275462961</v>
      </c>
      <c r="B770" s="3" t="s">
        <v>1261</v>
      </c>
      <c r="C770" s="12" t="s">
        <v>307</v>
      </c>
      <c r="D770" s="12">
        <v>0</v>
      </c>
      <c r="E770" s="12" t="s">
        <v>307</v>
      </c>
      <c r="F770" s="3" t="s">
        <v>475</v>
      </c>
    </row>
    <row r="771" spans="1:6" x14ac:dyDescent="0.25">
      <c r="A771" s="36">
        <v>43658.468414351853</v>
      </c>
      <c r="B771" s="3" t="s">
        <v>1287</v>
      </c>
      <c r="C771" s="12" t="s">
        <v>307</v>
      </c>
      <c r="D771" s="12">
        <v>0</v>
      </c>
      <c r="E771" s="12" t="s">
        <v>307</v>
      </c>
      <c r="F771" s="3" t="s">
        <v>475</v>
      </c>
    </row>
    <row r="772" spans="1:6" x14ac:dyDescent="0.25">
      <c r="A772" s="36">
        <v>43658.468634259261</v>
      </c>
      <c r="B772" s="3" t="s">
        <v>1290</v>
      </c>
      <c r="C772" s="12" t="s">
        <v>307</v>
      </c>
      <c r="D772" s="12">
        <v>0</v>
      </c>
      <c r="E772" s="12" t="s">
        <v>307</v>
      </c>
      <c r="F772" s="3" t="s">
        <v>475</v>
      </c>
    </row>
    <row r="773" spans="1:6" x14ac:dyDescent="0.25">
      <c r="A773" s="36">
        <v>43658.469247685185</v>
      </c>
      <c r="B773" s="3" t="s">
        <v>1293</v>
      </c>
      <c r="C773" s="12" t="s">
        <v>307</v>
      </c>
      <c r="D773" s="12">
        <v>0</v>
      </c>
      <c r="E773" s="12" t="s">
        <v>307</v>
      </c>
      <c r="F773" s="3" t="s">
        <v>475</v>
      </c>
    </row>
    <row r="774" spans="1:6" x14ac:dyDescent="0.25">
      <c r="A774" s="36">
        <v>43658.470046296294</v>
      </c>
      <c r="B774" s="3" t="s">
        <v>1296</v>
      </c>
      <c r="C774" s="12" t="s">
        <v>307</v>
      </c>
      <c r="D774" s="12">
        <v>0</v>
      </c>
      <c r="E774" s="12" t="s">
        <v>307</v>
      </c>
      <c r="F774" s="3" t="s">
        <v>475</v>
      </c>
    </row>
    <row r="775" spans="1:6" x14ac:dyDescent="0.25">
      <c r="A775" s="36">
        <v>43658.471250000002</v>
      </c>
      <c r="B775" s="3" t="s">
        <v>1299</v>
      </c>
      <c r="C775" s="12" t="s">
        <v>307</v>
      </c>
      <c r="D775" s="12">
        <v>0</v>
      </c>
      <c r="E775" s="12" t="s">
        <v>307</v>
      </c>
      <c r="F775" s="3" t="s">
        <v>475</v>
      </c>
    </row>
    <row r="776" spans="1:6" x14ac:dyDescent="0.25">
      <c r="A776" s="36">
        <v>43658.471400462964</v>
      </c>
      <c r="B776" s="3" t="s">
        <v>1302</v>
      </c>
      <c r="C776" s="12" t="s">
        <v>307</v>
      </c>
      <c r="D776" s="12">
        <v>0</v>
      </c>
      <c r="E776" s="12" t="s">
        <v>307</v>
      </c>
      <c r="F776" s="3" t="s">
        <v>475</v>
      </c>
    </row>
    <row r="777" spans="1:6" x14ac:dyDescent="0.25">
      <c r="A777" s="36">
        <v>43658.471516203703</v>
      </c>
      <c r="B777" s="3" t="s">
        <v>1305</v>
      </c>
      <c r="C777" s="12" t="s">
        <v>307</v>
      </c>
      <c r="D777" s="12">
        <v>0</v>
      </c>
      <c r="E777" s="12" t="s">
        <v>307</v>
      </c>
      <c r="F777" s="3" t="s">
        <v>475</v>
      </c>
    </row>
    <row r="778" spans="1:6" x14ac:dyDescent="0.25">
      <c r="A778" s="36">
        <v>43658.471620370372</v>
      </c>
      <c r="B778" s="3" t="s">
        <v>1308</v>
      </c>
      <c r="C778" s="12" t="s">
        <v>307</v>
      </c>
      <c r="D778" s="12">
        <v>0</v>
      </c>
      <c r="E778" s="12" t="s">
        <v>307</v>
      </c>
      <c r="F778" s="3" t="s">
        <v>475</v>
      </c>
    </row>
    <row r="779" spans="1:6" x14ac:dyDescent="0.25">
      <c r="A779" s="36">
        <v>43658.471724537034</v>
      </c>
      <c r="B779" s="3" t="s">
        <v>1311</v>
      </c>
      <c r="C779" s="12" t="s">
        <v>307</v>
      </c>
      <c r="D779" s="12">
        <v>0</v>
      </c>
      <c r="E779" s="12" t="s">
        <v>307</v>
      </c>
      <c r="F779" s="3" t="s">
        <v>475</v>
      </c>
    </row>
    <row r="780" spans="1:6" x14ac:dyDescent="0.25">
      <c r="A780" s="36">
        <v>43658.471863425926</v>
      </c>
      <c r="B780" s="3" t="s">
        <v>1314</v>
      </c>
      <c r="C780" s="12" t="s">
        <v>307</v>
      </c>
      <c r="D780" s="12">
        <v>0</v>
      </c>
      <c r="E780" s="12" t="s">
        <v>307</v>
      </c>
      <c r="F780" s="3" t="s">
        <v>475</v>
      </c>
    </row>
    <row r="781" spans="1:6" x14ac:dyDescent="0.25">
      <c r="A781" s="36">
        <v>43658.471990740742</v>
      </c>
      <c r="B781" s="3" t="s">
        <v>1317</v>
      </c>
      <c r="C781" s="12" t="s">
        <v>307</v>
      </c>
      <c r="D781" s="12">
        <v>0</v>
      </c>
      <c r="E781" s="12" t="s">
        <v>307</v>
      </c>
      <c r="F781" s="3" t="s">
        <v>475</v>
      </c>
    </row>
    <row r="782" spans="1:6" x14ac:dyDescent="0.25">
      <c r="A782" s="36">
        <v>43658.472141203703</v>
      </c>
      <c r="B782" s="3" t="s">
        <v>1320</v>
      </c>
      <c r="C782" s="12" t="s">
        <v>307</v>
      </c>
      <c r="D782" s="12">
        <v>0</v>
      </c>
      <c r="E782" s="12" t="s">
        <v>307</v>
      </c>
      <c r="F782" s="3" t="s">
        <v>475</v>
      </c>
    </row>
    <row r="783" spans="1:6" x14ac:dyDescent="0.25">
      <c r="A783" s="36">
        <v>43658.472256944442</v>
      </c>
      <c r="B783" s="3" t="s">
        <v>1323</v>
      </c>
      <c r="C783" s="12" t="s">
        <v>307</v>
      </c>
      <c r="D783" s="12">
        <v>0</v>
      </c>
      <c r="E783" s="12" t="s">
        <v>307</v>
      </c>
      <c r="F783" s="3" t="s">
        <v>475</v>
      </c>
    </row>
    <row r="784" spans="1:6" x14ac:dyDescent="0.25">
      <c r="A784" s="36">
        <v>43676.585543981484</v>
      </c>
      <c r="B784" s="3" t="s">
        <v>1326</v>
      </c>
      <c r="C784" s="12" t="s">
        <v>307</v>
      </c>
      <c r="D784" s="12">
        <v>0</v>
      </c>
      <c r="E784" s="12" t="s">
        <v>307</v>
      </c>
      <c r="F784" s="3" t="s">
        <v>475</v>
      </c>
    </row>
    <row r="785" spans="1:6" x14ac:dyDescent="0.25">
      <c r="A785" s="36">
        <v>43685.603541666664</v>
      </c>
      <c r="B785" s="3" t="s">
        <v>169</v>
      </c>
      <c r="C785" s="12">
        <v>-2</v>
      </c>
      <c r="D785" s="12">
        <v>2</v>
      </c>
      <c r="E785" s="12">
        <v>0</v>
      </c>
      <c r="F785" s="3" t="s">
        <v>1150</v>
      </c>
    </row>
    <row r="786" spans="1:6" x14ac:dyDescent="0.25">
      <c r="A786" s="36">
        <v>43685.603750000002</v>
      </c>
      <c r="B786" s="3" t="s">
        <v>176</v>
      </c>
      <c r="C786" s="12">
        <v>-2</v>
      </c>
      <c r="D786" s="12">
        <v>2</v>
      </c>
      <c r="E786" s="12">
        <v>0</v>
      </c>
      <c r="F786" s="3" t="s">
        <v>1150</v>
      </c>
    </row>
    <row r="787" spans="1:6" x14ac:dyDescent="0.25">
      <c r="A787" s="36">
        <v>43685.720405092594</v>
      </c>
      <c r="B787" s="3" t="s">
        <v>1339</v>
      </c>
      <c r="C787" s="12" t="s">
        <v>1144</v>
      </c>
      <c r="D787" s="12">
        <v>0</v>
      </c>
      <c r="E787" s="12" t="s">
        <v>1144</v>
      </c>
      <c r="F787" s="3" t="s">
        <v>475</v>
      </c>
    </row>
    <row r="788" spans="1:6" x14ac:dyDescent="0.25">
      <c r="A788" s="36">
        <v>43685.720486111109</v>
      </c>
      <c r="B788" s="3" t="s">
        <v>1342</v>
      </c>
      <c r="C788" s="12" t="s">
        <v>1144</v>
      </c>
      <c r="D788" s="12">
        <v>0</v>
      </c>
      <c r="E788" s="12" t="s">
        <v>1144</v>
      </c>
      <c r="F788" s="3" t="s">
        <v>475</v>
      </c>
    </row>
    <row r="789" spans="1:6" x14ac:dyDescent="0.25">
      <c r="A789" s="36">
        <v>43685.72148148148</v>
      </c>
      <c r="B789" s="3" t="s">
        <v>1031</v>
      </c>
      <c r="C789" s="12" t="s">
        <v>58</v>
      </c>
      <c r="D789" s="12" t="s">
        <v>58</v>
      </c>
      <c r="E789" s="12" t="s">
        <v>58</v>
      </c>
      <c r="F789" s="3" t="s">
        <v>1345</v>
      </c>
    </row>
    <row r="790" spans="1:6" x14ac:dyDescent="0.25">
      <c r="A790" s="36">
        <v>43685.721666666665</v>
      </c>
      <c r="B790" s="3" t="s">
        <v>1344</v>
      </c>
      <c r="C790" s="12" t="s">
        <v>58</v>
      </c>
      <c r="D790" s="12" t="s">
        <v>58</v>
      </c>
      <c r="E790" s="12" t="s">
        <v>58</v>
      </c>
      <c r="F790" s="3" t="s">
        <v>1345</v>
      </c>
    </row>
    <row r="791" spans="1:6" x14ac:dyDescent="0.25">
      <c r="A791" s="36">
        <v>43685.721701388888</v>
      </c>
      <c r="B791" s="3" t="s">
        <v>1346</v>
      </c>
      <c r="C791" s="12" t="s">
        <v>58</v>
      </c>
      <c r="D791" s="12" t="s">
        <v>58</v>
      </c>
      <c r="E791" s="12" t="s">
        <v>58</v>
      </c>
      <c r="F791" s="3" t="s">
        <v>1345</v>
      </c>
    </row>
    <row r="792" spans="1:6" x14ac:dyDescent="0.25">
      <c r="A792" s="36">
        <v>43685.817743055559</v>
      </c>
      <c r="B792" s="3" t="s">
        <v>1347</v>
      </c>
      <c r="C792" s="12" t="s">
        <v>307</v>
      </c>
      <c r="D792" s="12">
        <v>0</v>
      </c>
      <c r="E792" s="12" t="s">
        <v>307</v>
      </c>
      <c r="F792" s="3" t="s">
        <v>475</v>
      </c>
    </row>
    <row r="793" spans="1:6" x14ac:dyDescent="0.25">
      <c r="A793" s="36">
        <v>43687.514305555553</v>
      </c>
      <c r="B793" s="3" t="s">
        <v>1358</v>
      </c>
      <c r="C793" s="12" t="s">
        <v>307</v>
      </c>
      <c r="D793" s="12">
        <v>0</v>
      </c>
      <c r="E793" s="12" t="s">
        <v>307</v>
      </c>
      <c r="F793" s="3" t="s">
        <v>475</v>
      </c>
    </row>
    <row r="794" spans="1:6" x14ac:dyDescent="0.25">
      <c r="A794" s="36">
        <v>43688.444745370369</v>
      </c>
      <c r="B794" s="3" t="s">
        <v>1361</v>
      </c>
      <c r="C794" s="12" t="s">
        <v>307</v>
      </c>
      <c r="D794" s="12">
        <v>0</v>
      </c>
      <c r="E794" s="12" t="s">
        <v>307</v>
      </c>
      <c r="F794" s="3" t="s">
        <v>475</v>
      </c>
    </row>
    <row r="795" spans="1:6" x14ac:dyDescent="0.25">
      <c r="A795" s="36">
        <v>43689.025277777779</v>
      </c>
      <c r="B795" s="3" t="s">
        <v>1365</v>
      </c>
      <c r="C795" s="12" t="s">
        <v>307</v>
      </c>
      <c r="D795" s="12">
        <v>0</v>
      </c>
      <c r="E795" s="12" t="s">
        <v>307</v>
      </c>
      <c r="F795" s="3" t="s">
        <v>475</v>
      </c>
    </row>
    <row r="796" spans="1:6" x14ac:dyDescent="0.25">
      <c r="A796" s="36">
        <v>43689.028182870374</v>
      </c>
      <c r="B796" s="3" t="s">
        <v>1368</v>
      </c>
      <c r="C796" s="12" t="s">
        <v>307</v>
      </c>
      <c r="D796" s="12">
        <v>0</v>
      </c>
      <c r="E796" s="12" t="s">
        <v>307</v>
      </c>
      <c r="F796" s="3" t="s">
        <v>475</v>
      </c>
    </row>
    <row r="797" spans="1:6" x14ac:dyDescent="0.25">
      <c r="A797" s="36">
        <v>43692.518287037034</v>
      </c>
      <c r="B797" s="3" t="s">
        <v>171</v>
      </c>
      <c r="C797" s="12" t="s">
        <v>58</v>
      </c>
      <c r="D797" s="12" t="s">
        <v>58</v>
      </c>
      <c r="E797" s="12" t="s">
        <v>58</v>
      </c>
      <c r="F797" s="3" t="s">
        <v>363</v>
      </c>
    </row>
    <row r="798" spans="1:6" x14ac:dyDescent="0.25">
      <c r="A798" s="36">
        <v>43692.548009259262</v>
      </c>
      <c r="B798" s="3" t="s">
        <v>227</v>
      </c>
      <c r="C798" s="12" t="s">
        <v>58</v>
      </c>
      <c r="D798" s="12" t="s">
        <v>58</v>
      </c>
      <c r="E798" s="12" t="s">
        <v>58</v>
      </c>
      <c r="F798" s="3" t="s">
        <v>363</v>
      </c>
    </row>
    <row r="799" spans="1:6" x14ac:dyDescent="0.25">
      <c r="A799" s="36">
        <v>43692.582824074074</v>
      </c>
      <c r="B799" s="3" t="s">
        <v>1185</v>
      </c>
      <c r="C799" s="12" t="s">
        <v>1387</v>
      </c>
      <c r="D799" s="12">
        <v>0</v>
      </c>
      <c r="E799" s="12">
        <v>4</v>
      </c>
      <c r="F799" s="3" t="s">
        <v>1388</v>
      </c>
    </row>
    <row r="800" spans="1:6" x14ac:dyDescent="0.25">
      <c r="A800" s="36">
        <v>43692.582824074074</v>
      </c>
      <c r="B800" s="3" t="s">
        <v>535</v>
      </c>
      <c r="C800" s="12" t="s">
        <v>393</v>
      </c>
      <c r="D800" s="12" t="s">
        <v>307</v>
      </c>
      <c r="E800" s="12" t="s">
        <v>393</v>
      </c>
      <c r="F800" s="3" t="s">
        <v>1388</v>
      </c>
    </row>
    <row r="801" spans="1:6" x14ac:dyDescent="0.25">
      <c r="A801" s="36">
        <v>43692.582824074074</v>
      </c>
      <c r="B801" s="3" t="s">
        <v>1152</v>
      </c>
      <c r="C801" s="12" t="s">
        <v>393</v>
      </c>
      <c r="D801" s="12" t="s">
        <v>307</v>
      </c>
      <c r="E801" s="12" t="s">
        <v>393</v>
      </c>
      <c r="F801" s="3" t="s">
        <v>1388</v>
      </c>
    </row>
    <row r="802" spans="1:6" x14ac:dyDescent="0.25">
      <c r="A802" s="36">
        <v>43692.582835648151</v>
      </c>
      <c r="B802" s="3" t="s">
        <v>539</v>
      </c>
      <c r="C802" s="12" t="s">
        <v>393</v>
      </c>
      <c r="D802" s="12">
        <v>0</v>
      </c>
      <c r="E802" s="12" t="s">
        <v>393</v>
      </c>
      <c r="F802" s="3" t="s">
        <v>1388</v>
      </c>
    </row>
    <row r="803" spans="1:6" x14ac:dyDescent="0.25">
      <c r="A803" s="36">
        <v>43692.582835648151</v>
      </c>
      <c r="B803" s="3" t="s">
        <v>930</v>
      </c>
      <c r="C803" s="12" t="s">
        <v>1147</v>
      </c>
      <c r="D803" s="12">
        <v>0</v>
      </c>
      <c r="E803" s="12" t="s">
        <v>1147</v>
      </c>
      <c r="F803" s="3" t="s">
        <v>1388</v>
      </c>
    </row>
    <row r="804" spans="1:6" x14ac:dyDescent="0.25">
      <c r="A804" s="36">
        <v>43692.582835648151</v>
      </c>
      <c r="B804" s="3" t="s">
        <v>1124</v>
      </c>
      <c r="C804" s="12" t="s">
        <v>1147</v>
      </c>
      <c r="D804" s="12">
        <v>0</v>
      </c>
      <c r="E804" s="12">
        <v>3</v>
      </c>
      <c r="F804" s="3" t="s">
        <v>1388</v>
      </c>
    </row>
    <row r="805" spans="1:6" x14ac:dyDescent="0.25">
      <c r="A805" s="36">
        <v>43692.582835648151</v>
      </c>
      <c r="B805" s="3" t="s">
        <v>1116</v>
      </c>
      <c r="C805" s="12" t="s">
        <v>1147</v>
      </c>
      <c r="D805" s="12">
        <v>0</v>
      </c>
      <c r="E805" s="12">
        <v>3</v>
      </c>
      <c r="F805" s="3" t="s">
        <v>1388</v>
      </c>
    </row>
    <row r="806" spans="1:6" x14ac:dyDescent="0.25">
      <c r="A806" s="36">
        <v>43692.582835648151</v>
      </c>
      <c r="B806" s="3" t="s">
        <v>1172</v>
      </c>
      <c r="C806" s="12" t="s">
        <v>393</v>
      </c>
      <c r="D806" s="12">
        <v>0</v>
      </c>
      <c r="E806" s="12">
        <v>10</v>
      </c>
      <c r="F806" s="3" t="s">
        <v>1388</v>
      </c>
    </row>
    <row r="807" spans="1:6" x14ac:dyDescent="0.25">
      <c r="A807" s="36">
        <v>43692.582835648151</v>
      </c>
      <c r="B807" s="3">
        <v>4689</v>
      </c>
      <c r="C807" s="12" t="s">
        <v>393</v>
      </c>
      <c r="D807" s="12">
        <v>0</v>
      </c>
      <c r="E807" s="12">
        <v>10</v>
      </c>
      <c r="F807" s="3" t="s">
        <v>1388</v>
      </c>
    </row>
    <row r="808" spans="1:6" x14ac:dyDescent="0.25">
      <c r="A808" s="36">
        <v>43692.582835648151</v>
      </c>
      <c r="B808" s="3" t="s">
        <v>1238</v>
      </c>
      <c r="C808" s="12" t="s">
        <v>392</v>
      </c>
      <c r="D808" s="12">
        <v>0</v>
      </c>
      <c r="E808" s="12">
        <v>5</v>
      </c>
      <c r="F808" s="3" t="s">
        <v>1388</v>
      </c>
    </row>
    <row r="809" spans="1:6" x14ac:dyDescent="0.25">
      <c r="A809" s="36">
        <v>43692.582835648151</v>
      </c>
      <c r="B809" s="3" t="s">
        <v>1217</v>
      </c>
      <c r="C809" s="12" t="s">
        <v>393</v>
      </c>
      <c r="D809" s="12">
        <v>0</v>
      </c>
      <c r="E809" s="12">
        <v>10</v>
      </c>
      <c r="F809" s="3" t="s">
        <v>1388</v>
      </c>
    </row>
    <row r="810" spans="1:6" x14ac:dyDescent="0.25">
      <c r="A810" s="36">
        <v>43692.58284722222</v>
      </c>
      <c r="B810" s="3" t="s">
        <v>986</v>
      </c>
      <c r="C810" s="12" t="s">
        <v>393</v>
      </c>
      <c r="D810" s="12">
        <v>0</v>
      </c>
      <c r="E810" s="12" t="s">
        <v>393</v>
      </c>
      <c r="F810" s="3" t="s">
        <v>1388</v>
      </c>
    </row>
    <row r="811" spans="1:6" x14ac:dyDescent="0.25">
      <c r="A811" s="36">
        <v>43692.58284722222</v>
      </c>
      <c r="B811" s="3" t="s">
        <v>989</v>
      </c>
      <c r="C811" s="12" t="s">
        <v>393</v>
      </c>
      <c r="D811" s="12">
        <v>0</v>
      </c>
      <c r="E811" s="12">
        <v>10</v>
      </c>
      <c r="F811" s="3" t="s">
        <v>1388</v>
      </c>
    </row>
    <row r="812" spans="1:6" x14ac:dyDescent="0.25">
      <c r="A812" s="36">
        <v>43692.58284722222</v>
      </c>
      <c r="B812" s="3" t="s">
        <v>980</v>
      </c>
      <c r="C812" s="12" t="s">
        <v>393</v>
      </c>
      <c r="D812" s="12">
        <v>0</v>
      </c>
      <c r="E812" s="12" t="s">
        <v>393</v>
      </c>
      <c r="F812" s="3" t="s">
        <v>1388</v>
      </c>
    </row>
    <row r="813" spans="1:6" x14ac:dyDescent="0.25">
      <c r="A813" s="36">
        <v>43692.58284722222</v>
      </c>
      <c r="B813" s="3" t="s">
        <v>992</v>
      </c>
      <c r="C813" s="12" t="s">
        <v>1389</v>
      </c>
      <c r="D813" s="12">
        <v>0</v>
      </c>
      <c r="E813" s="12">
        <v>20</v>
      </c>
      <c r="F813" s="3" t="s">
        <v>1388</v>
      </c>
    </row>
    <row r="814" spans="1:6" x14ac:dyDescent="0.25">
      <c r="A814" s="36">
        <v>43692.58284722222</v>
      </c>
      <c r="B814" s="3" t="s">
        <v>983</v>
      </c>
      <c r="C814" s="12" t="s">
        <v>393</v>
      </c>
      <c r="D814" s="12">
        <v>0</v>
      </c>
      <c r="E814" s="12" t="s">
        <v>393</v>
      </c>
      <c r="F814" s="3" t="s">
        <v>1388</v>
      </c>
    </row>
    <row r="815" spans="1:6" x14ac:dyDescent="0.25">
      <c r="A815" s="36">
        <v>43692.582858796297</v>
      </c>
      <c r="B815" s="3" t="s">
        <v>1021</v>
      </c>
      <c r="C815" s="12" t="s">
        <v>393</v>
      </c>
      <c r="D815" s="12">
        <v>0</v>
      </c>
      <c r="E815" s="12" t="s">
        <v>393</v>
      </c>
      <c r="F815" s="3" t="s">
        <v>1388</v>
      </c>
    </row>
    <row r="816" spans="1:6" x14ac:dyDescent="0.25">
      <c r="A816" s="36">
        <v>43692.582858796297</v>
      </c>
      <c r="B816" s="3" t="s">
        <v>1223</v>
      </c>
      <c r="C816" s="12" t="s">
        <v>1147</v>
      </c>
      <c r="D816" s="12">
        <v>0</v>
      </c>
      <c r="E816" s="12">
        <v>3</v>
      </c>
      <c r="F816" s="3" t="s">
        <v>1388</v>
      </c>
    </row>
    <row r="817" spans="1:6" x14ac:dyDescent="0.25">
      <c r="A817" s="36">
        <v>43692.582858796297</v>
      </c>
      <c r="B817" s="3" t="s">
        <v>1214</v>
      </c>
      <c r="C817" s="12" t="s">
        <v>1144</v>
      </c>
      <c r="D817" s="12">
        <v>0</v>
      </c>
      <c r="E817" s="12">
        <v>2</v>
      </c>
      <c r="F817" s="3" t="s">
        <v>1388</v>
      </c>
    </row>
    <row r="818" spans="1:6" x14ac:dyDescent="0.25">
      <c r="A818" s="36">
        <v>43692.582870370374</v>
      </c>
      <c r="B818" s="3" t="s">
        <v>1386</v>
      </c>
      <c r="C818" s="12" t="s">
        <v>338</v>
      </c>
      <c r="D818" s="12">
        <v>0</v>
      </c>
      <c r="E818" s="12" t="s">
        <v>338</v>
      </c>
      <c r="F818" s="3" t="s">
        <v>1388</v>
      </c>
    </row>
    <row r="819" spans="1:6" x14ac:dyDescent="0.25">
      <c r="A819" s="36">
        <v>43692.582870370374</v>
      </c>
      <c r="B819" s="3" t="s">
        <v>1192</v>
      </c>
      <c r="C819" s="12" t="s">
        <v>338</v>
      </c>
      <c r="D819" s="12" t="s">
        <v>307</v>
      </c>
      <c r="E819" s="12" t="s">
        <v>338</v>
      </c>
      <c r="F819" s="3" t="s">
        <v>1388</v>
      </c>
    </row>
    <row r="820" spans="1:6" x14ac:dyDescent="0.25">
      <c r="A820" s="36">
        <v>43692.582870370374</v>
      </c>
      <c r="B820" s="3" t="s">
        <v>1197</v>
      </c>
      <c r="C820" s="12" t="s">
        <v>338</v>
      </c>
      <c r="D820" s="12" t="s">
        <v>307</v>
      </c>
      <c r="E820" s="12" t="s">
        <v>338</v>
      </c>
      <c r="F820" s="3" t="s">
        <v>1388</v>
      </c>
    </row>
    <row r="821" spans="1:6" x14ac:dyDescent="0.25">
      <c r="A821" s="36">
        <v>43692.582870370374</v>
      </c>
      <c r="B821" s="3" t="s">
        <v>1155</v>
      </c>
      <c r="C821" s="12" t="s">
        <v>338</v>
      </c>
      <c r="D821" s="12">
        <v>0</v>
      </c>
      <c r="E821" s="12">
        <v>1</v>
      </c>
      <c r="F821" s="3" t="s">
        <v>1388</v>
      </c>
    </row>
    <row r="822" spans="1:6" x14ac:dyDescent="0.25">
      <c r="A822" s="36">
        <v>43692.582870370374</v>
      </c>
      <c r="B822" s="3" t="s">
        <v>1249</v>
      </c>
      <c r="C822" s="12" t="s">
        <v>338</v>
      </c>
      <c r="D822" s="12">
        <v>0</v>
      </c>
      <c r="E822" s="12">
        <v>1</v>
      </c>
      <c r="F822" s="3" t="s">
        <v>1388</v>
      </c>
    </row>
    <row r="823" spans="1:6" x14ac:dyDescent="0.25">
      <c r="A823" s="36">
        <v>43692.582870370374</v>
      </c>
      <c r="B823" s="3" t="s">
        <v>1163</v>
      </c>
      <c r="C823" s="12" t="s">
        <v>338</v>
      </c>
      <c r="D823" s="12">
        <v>0</v>
      </c>
      <c r="E823" s="12">
        <v>1</v>
      </c>
      <c r="F823" s="3" t="s">
        <v>1388</v>
      </c>
    </row>
    <row r="824" spans="1:6" x14ac:dyDescent="0.25">
      <c r="A824" s="36">
        <v>43692.582870370374</v>
      </c>
      <c r="B824" s="3" t="s">
        <v>1160</v>
      </c>
      <c r="C824" s="12" t="s">
        <v>338</v>
      </c>
      <c r="D824" s="12">
        <v>0</v>
      </c>
      <c r="E824" s="12">
        <v>1</v>
      </c>
      <c r="F824" s="3" t="s">
        <v>1388</v>
      </c>
    </row>
    <row r="825" spans="1:6" x14ac:dyDescent="0.25">
      <c r="A825" s="36">
        <v>43692.582870370374</v>
      </c>
      <c r="B825" s="3" t="s">
        <v>1252</v>
      </c>
      <c r="C825" s="12" t="s">
        <v>338</v>
      </c>
      <c r="D825" s="12">
        <v>0</v>
      </c>
      <c r="E825" s="12">
        <v>1</v>
      </c>
      <c r="F825" s="3" t="s">
        <v>1388</v>
      </c>
    </row>
    <row r="826" spans="1:6" x14ac:dyDescent="0.25">
      <c r="A826" s="36">
        <v>43692.585138888891</v>
      </c>
      <c r="B826" s="3" t="s">
        <v>1129</v>
      </c>
      <c r="C826" s="12" t="s">
        <v>392</v>
      </c>
      <c r="D826" s="12">
        <v>0</v>
      </c>
      <c r="E826" s="12">
        <v>5</v>
      </c>
      <c r="F826" s="3" t="s">
        <v>1140</v>
      </c>
    </row>
    <row r="827" spans="1:6" x14ac:dyDescent="0.25">
      <c r="A827" s="36">
        <v>43692.585243055553</v>
      </c>
      <c r="B827" s="3" t="s">
        <v>1139</v>
      </c>
      <c r="C827" s="12" t="s">
        <v>392</v>
      </c>
      <c r="D827" s="12">
        <v>0</v>
      </c>
      <c r="E827" s="12">
        <v>5</v>
      </c>
      <c r="F827" s="3" t="s">
        <v>1140</v>
      </c>
    </row>
    <row r="828" spans="1:6" x14ac:dyDescent="0.25">
      <c r="A828" s="36">
        <v>43692.585590277777</v>
      </c>
      <c r="B828" s="3" t="s">
        <v>1390</v>
      </c>
      <c r="C828" s="12" t="s">
        <v>307</v>
      </c>
      <c r="D828" s="12">
        <v>0</v>
      </c>
      <c r="E828" s="12" t="s">
        <v>307</v>
      </c>
      <c r="F828" s="3" t="s">
        <v>475</v>
      </c>
    </row>
    <row r="829" spans="1:6" x14ac:dyDescent="0.25">
      <c r="A829" s="36">
        <v>43692.585763888892</v>
      </c>
      <c r="B829" s="3" t="s">
        <v>1390</v>
      </c>
      <c r="C829" s="12" t="s">
        <v>392</v>
      </c>
      <c r="D829" s="12">
        <v>0</v>
      </c>
      <c r="E829" s="12">
        <v>5</v>
      </c>
      <c r="F829" s="3" t="s">
        <v>1140</v>
      </c>
    </row>
    <row r="830" spans="1:6" x14ac:dyDescent="0.25">
      <c r="A830" s="36">
        <v>43692.586226851854</v>
      </c>
      <c r="B830" s="3" t="s">
        <v>1391</v>
      </c>
      <c r="C830" s="12" t="s">
        <v>392</v>
      </c>
      <c r="D830" s="12">
        <v>0</v>
      </c>
      <c r="E830" s="12" t="s">
        <v>392</v>
      </c>
      <c r="F830" s="3" t="s">
        <v>475</v>
      </c>
    </row>
    <row r="831" spans="1:6" x14ac:dyDescent="0.25">
      <c r="A831" s="36">
        <v>43692.586284722223</v>
      </c>
      <c r="B831" s="3" t="s">
        <v>1393</v>
      </c>
      <c r="C831" s="12" t="s">
        <v>307</v>
      </c>
      <c r="D831" s="12">
        <v>0</v>
      </c>
      <c r="E831" s="12" t="s">
        <v>307</v>
      </c>
      <c r="F831" s="3" t="s">
        <v>475</v>
      </c>
    </row>
    <row r="832" spans="1:6" x14ac:dyDescent="0.25">
      <c r="A832" s="36">
        <v>43692.594039351854</v>
      </c>
      <c r="B832" s="3" t="s">
        <v>1391</v>
      </c>
      <c r="C832" s="12">
        <v>1</v>
      </c>
      <c r="D832" s="12">
        <v>5</v>
      </c>
      <c r="E832" s="12">
        <v>4</v>
      </c>
      <c r="F832" s="3" t="s">
        <v>1135</v>
      </c>
    </row>
    <row r="833" spans="1:6" x14ac:dyDescent="0.25">
      <c r="A833" s="36">
        <v>43692.594039351854</v>
      </c>
      <c r="B833" s="3" t="s">
        <v>1103</v>
      </c>
      <c r="C833" s="12">
        <v>19</v>
      </c>
      <c r="D833" s="12">
        <v>50</v>
      </c>
      <c r="E833" s="12">
        <v>31</v>
      </c>
      <c r="F833" s="3" t="s">
        <v>1135</v>
      </c>
    </row>
    <row r="834" spans="1:6" x14ac:dyDescent="0.25">
      <c r="A834" s="36">
        <v>43692.594039351854</v>
      </c>
      <c r="B834" s="3" t="s">
        <v>144</v>
      </c>
      <c r="C834" s="12">
        <v>1</v>
      </c>
      <c r="D834" s="12">
        <v>1</v>
      </c>
      <c r="E834" s="12">
        <v>0</v>
      </c>
      <c r="F834" s="3" t="s">
        <v>1135</v>
      </c>
    </row>
    <row r="835" spans="1:6" x14ac:dyDescent="0.25">
      <c r="A835" s="36">
        <v>43692.594039351854</v>
      </c>
      <c r="B835" s="3" t="s">
        <v>1185</v>
      </c>
      <c r="C835" s="12">
        <v>2</v>
      </c>
      <c r="D835" s="12">
        <v>4</v>
      </c>
      <c r="E835" s="12">
        <v>2</v>
      </c>
      <c r="F835" s="3" t="s">
        <v>1135</v>
      </c>
    </row>
    <row r="836" spans="1:6" x14ac:dyDescent="0.25">
      <c r="A836" s="36">
        <v>43692.594039351854</v>
      </c>
      <c r="B836" s="3" t="s">
        <v>535</v>
      </c>
      <c r="C836" s="12">
        <v>4</v>
      </c>
      <c r="D836" s="12">
        <v>10</v>
      </c>
      <c r="E836" s="12">
        <v>6</v>
      </c>
      <c r="F836" s="3" t="s">
        <v>1135</v>
      </c>
    </row>
    <row r="837" spans="1:6" x14ac:dyDescent="0.25">
      <c r="A837" s="36">
        <v>43692.594039351854</v>
      </c>
      <c r="B837" s="3" t="s">
        <v>1152</v>
      </c>
      <c r="C837" s="12">
        <v>1</v>
      </c>
      <c r="D837" s="12">
        <v>10</v>
      </c>
      <c r="E837" s="12">
        <v>9</v>
      </c>
      <c r="F837" s="3" t="s">
        <v>1135</v>
      </c>
    </row>
    <row r="838" spans="1:6" x14ac:dyDescent="0.25">
      <c r="A838" s="36">
        <v>43692.594039351854</v>
      </c>
      <c r="B838" s="3" t="s">
        <v>1054</v>
      </c>
      <c r="C838" s="12">
        <v>7</v>
      </c>
      <c r="D838" s="12">
        <v>100</v>
      </c>
      <c r="E838" s="12">
        <v>93</v>
      </c>
      <c r="F838" s="3" t="s">
        <v>1135</v>
      </c>
    </row>
    <row r="839" spans="1:6" x14ac:dyDescent="0.25">
      <c r="A839" s="36">
        <v>43692.594039351854</v>
      </c>
      <c r="B839" s="3" t="s">
        <v>267</v>
      </c>
      <c r="C839" s="12">
        <v>1</v>
      </c>
      <c r="D839" s="12">
        <v>4</v>
      </c>
      <c r="E839" s="12">
        <v>3</v>
      </c>
      <c r="F839" s="3" t="s">
        <v>1135</v>
      </c>
    </row>
    <row r="840" spans="1:6" x14ac:dyDescent="0.25">
      <c r="A840" s="36">
        <v>43692.594039351854</v>
      </c>
      <c r="B840" s="3" t="s">
        <v>211</v>
      </c>
      <c r="C840" s="12">
        <v>1</v>
      </c>
      <c r="D840" s="12">
        <v>8</v>
      </c>
      <c r="E840" s="12">
        <v>7</v>
      </c>
      <c r="F840" s="3" t="s">
        <v>1135</v>
      </c>
    </row>
    <row r="841" spans="1:6" x14ac:dyDescent="0.25">
      <c r="A841" s="36">
        <v>43692.594039351854</v>
      </c>
      <c r="B841" s="3" t="s">
        <v>299</v>
      </c>
      <c r="C841" s="12">
        <v>1</v>
      </c>
      <c r="D841" s="12">
        <v>9</v>
      </c>
      <c r="E841" s="12">
        <v>8</v>
      </c>
      <c r="F841" s="3" t="s">
        <v>1135</v>
      </c>
    </row>
    <row r="842" spans="1:6" x14ac:dyDescent="0.25">
      <c r="A842" s="36">
        <v>43692.594039351854</v>
      </c>
      <c r="B842" s="3" t="s">
        <v>210</v>
      </c>
      <c r="C842" s="12">
        <v>1</v>
      </c>
      <c r="D842" s="12">
        <v>9</v>
      </c>
      <c r="E842" s="12">
        <v>8</v>
      </c>
      <c r="F842" s="3" t="s">
        <v>1135</v>
      </c>
    </row>
    <row r="843" spans="1:6" x14ac:dyDescent="0.25">
      <c r="A843" s="36">
        <v>43692.594039351854</v>
      </c>
      <c r="B843" s="3" t="s">
        <v>539</v>
      </c>
      <c r="C843" s="12">
        <v>1</v>
      </c>
      <c r="D843" s="12">
        <v>10</v>
      </c>
      <c r="E843" s="12">
        <v>9</v>
      </c>
      <c r="F843" s="3" t="s">
        <v>1135</v>
      </c>
    </row>
    <row r="844" spans="1:6" x14ac:dyDescent="0.25">
      <c r="A844" s="36">
        <v>43692.594039351854</v>
      </c>
      <c r="B844" s="3" t="s">
        <v>35</v>
      </c>
      <c r="C844" s="12">
        <v>2</v>
      </c>
      <c r="D844" s="12">
        <v>2</v>
      </c>
      <c r="E844" s="12">
        <v>0</v>
      </c>
      <c r="F844" s="3" t="s">
        <v>1135</v>
      </c>
    </row>
    <row r="845" spans="1:6" x14ac:dyDescent="0.25">
      <c r="A845" s="36">
        <v>43692.594039351854</v>
      </c>
      <c r="B845" s="3" t="s">
        <v>1015</v>
      </c>
      <c r="C845" s="12">
        <v>1</v>
      </c>
      <c r="D845" s="12">
        <v>10</v>
      </c>
      <c r="E845" s="12">
        <v>9</v>
      </c>
      <c r="F845" s="3" t="s">
        <v>1135</v>
      </c>
    </row>
    <row r="846" spans="1:6" x14ac:dyDescent="0.25">
      <c r="A846" s="36">
        <v>43692.594039351854</v>
      </c>
      <c r="B846" s="3" t="s">
        <v>171</v>
      </c>
      <c r="C846" s="12">
        <v>4</v>
      </c>
      <c r="D846" s="12">
        <v>99</v>
      </c>
      <c r="E846" s="12">
        <v>95</v>
      </c>
      <c r="F846" s="3" t="s">
        <v>1135</v>
      </c>
    </row>
    <row r="847" spans="1:6" x14ac:dyDescent="0.25">
      <c r="A847" s="36">
        <v>43692.594050925924</v>
      </c>
      <c r="B847" s="3" t="s">
        <v>1024</v>
      </c>
      <c r="C847" s="12">
        <v>2</v>
      </c>
      <c r="D847" s="12">
        <v>10</v>
      </c>
      <c r="E847" s="12">
        <v>8</v>
      </c>
      <c r="F847" s="3" t="s">
        <v>1135</v>
      </c>
    </row>
    <row r="848" spans="1:6" x14ac:dyDescent="0.25">
      <c r="A848" s="36">
        <v>43692.594050925924</v>
      </c>
      <c r="B848" s="3" t="s">
        <v>1018</v>
      </c>
      <c r="C848" s="12">
        <v>1</v>
      </c>
      <c r="D848" s="12">
        <v>10</v>
      </c>
      <c r="E848" s="12">
        <v>9</v>
      </c>
      <c r="F848" s="3" t="s">
        <v>1135</v>
      </c>
    </row>
    <row r="849" spans="1:6" x14ac:dyDescent="0.25">
      <c r="A849" s="36">
        <v>43692.594050925924</v>
      </c>
      <c r="B849" s="3" t="s">
        <v>930</v>
      </c>
      <c r="C849" s="12">
        <v>1</v>
      </c>
      <c r="D849" s="12">
        <v>3</v>
      </c>
      <c r="E849" s="12">
        <v>2</v>
      </c>
      <c r="F849" s="3" t="s">
        <v>1135</v>
      </c>
    </row>
    <row r="850" spans="1:6" x14ac:dyDescent="0.25">
      <c r="A850" s="36">
        <v>43692.594050925924</v>
      </c>
      <c r="B850" s="3">
        <v>1004068</v>
      </c>
      <c r="C850" s="12">
        <v>1</v>
      </c>
      <c r="D850" s="12">
        <v>2</v>
      </c>
      <c r="E850" s="12">
        <v>1</v>
      </c>
      <c r="F850" s="3" t="s">
        <v>1135</v>
      </c>
    </row>
    <row r="851" spans="1:6" x14ac:dyDescent="0.25">
      <c r="A851" s="36">
        <v>43692.594050925924</v>
      </c>
      <c r="B851" s="3" t="s">
        <v>39</v>
      </c>
      <c r="C851" s="12">
        <v>2</v>
      </c>
      <c r="D851" s="12">
        <v>24</v>
      </c>
      <c r="E851" s="12">
        <v>22</v>
      </c>
      <c r="F851" s="3" t="s">
        <v>1135</v>
      </c>
    </row>
    <row r="852" spans="1:6" x14ac:dyDescent="0.25">
      <c r="A852" s="36">
        <v>43692.594050925924</v>
      </c>
      <c r="B852" s="3" t="s">
        <v>42</v>
      </c>
      <c r="C852" s="12">
        <v>1</v>
      </c>
      <c r="D852" s="12">
        <v>16</v>
      </c>
      <c r="E852" s="12">
        <v>15</v>
      </c>
      <c r="F852" s="3" t="s">
        <v>1135</v>
      </c>
    </row>
    <row r="853" spans="1:6" x14ac:dyDescent="0.25">
      <c r="A853" s="36">
        <v>43692.594050925924</v>
      </c>
      <c r="B853" s="3" t="s">
        <v>20</v>
      </c>
      <c r="C853" s="12">
        <v>1</v>
      </c>
      <c r="D853" s="12">
        <v>9</v>
      </c>
      <c r="E853" s="12">
        <v>8</v>
      </c>
      <c r="F853" s="3" t="s">
        <v>1135</v>
      </c>
    </row>
    <row r="854" spans="1:6" x14ac:dyDescent="0.25">
      <c r="A854" s="36">
        <v>43692.594050925924</v>
      </c>
      <c r="B854" s="3" t="s">
        <v>22</v>
      </c>
      <c r="C854" s="12">
        <v>1</v>
      </c>
      <c r="D854" s="12">
        <v>4</v>
      </c>
      <c r="E854" s="12">
        <v>3</v>
      </c>
      <c r="F854" s="3" t="s">
        <v>1135</v>
      </c>
    </row>
    <row r="855" spans="1:6" x14ac:dyDescent="0.25">
      <c r="A855" s="36">
        <v>43692.594050925924</v>
      </c>
      <c r="B855" s="3" t="s">
        <v>24</v>
      </c>
      <c r="C855" s="12">
        <v>1</v>
      </c>
      <c r="D855" s="12">
        <v>8</v>
      </c>
      <c r="E855" s="12">
        <v>7</v>
      </c>
      <c r="F855" s="3" t="s">
        <v>1135</v>
      </c>
    </row>
    <row r="856" spans="1:6" x14ac:dyDescent="0.25">
      <c r="A856" s="36">
        <v>43692.594050925924</v>
      </c>
      <c r="B856" s="3" t="s">
        <v>466</v>
      </c>
      <c r="C856" s="12">
        <v>1</v>
      </c>
      <c r="D856" s="12">
        <v>2</v>
      </c>
      <c r="E856" s="12">
        <v>1</v>
      </c>
      <c r="F856" s="3" t="s">
        <v>1135</v>
      </c>
    </row>
    <row r="857" spans="1:6" x14ac:dyDescent="0.25">
      <c r="A857" s="36">
        <v>43692.594050925924</v>
      </c>
      <c r="B857" s="3" t="s">
        <v>133</v>
      </c>
      <c r="C857" s="12">
        <v>1</v>
      </c>
      <c r="D857" s="12">
        <v>3</v>
      </c>
      <c r="E857" s="12">
        <v>2</v>
      </c>
      <c r="F857" s="3" t="s">
        <v>1135</v>
      </c>
    </row>
    <row r="858" spans="1:6" x14ac:dyDescent="0.25">
      <c r="A858" s="36">
        <v>43692.594050925924</v>
      </c>
      <c r="B858" s="3" t="s">
        <v>1124</v>
      </c>
      <c r="C858" s="12">
        <v>1</v>
      </c>
      <c r="D858" s="12">
        <v>3</v>
      </c>
      <c r="E858" s="12">
        <v>2</v>
      </c>
      <c r="F858" s="3" t="s">
        <v>1135</v>
      </c>
    </row>
    <row r="859" spans="1:6" x14ac:dyDescent="0.25">
      <c r="A859" s="36">
        <v>43692.594050925924</v>
      </c>
      <c r="B859" s="3" t="s">
        <v>1116</v>
      </c>
      <c r="C859" s="12">
        <v>1</v>
      </c>
      <c r="D859" s="12">
        <v>3</v>
      </c>
      <c r="E859" s="12">
        <v>2</v>
      </c>
      <c r="F859" s="3" t="s">
        <v>1135</v>
      </c>
    </row>
    <row r="860" spans="1:6" x14ac:dyDescent="0.25">
      <c r="A860" s="36">
        <v>43692.594050925924</v>
      </c>
      <c r="B860" s="3">
        <v>965083</v>
      </c>
      <c r="C860" s="12">
        <v>0.2</v>
      </c>
      <c r="D860" s="12">
        <v>2</v>
      </c>
      <c r="E860" s="12">
        <v>1.8</v>
      </c>
      <c r="F860" s="3" t="s">
        <v>1135</v>
      </c>
    </row>
    <row r="861" spans="1:6" x14ac:dyDescent="0.25">
      <c r="A861" s="36">
        <v>43692.594050925924</v>
      </c>
      <c r="B861" s="3">
        <v>90990</v>
      </c>
      <c r="C861" s="12">
        <v>0.5</v>
      </c>
      <c r="D861" s="12">
        <v>1</v>
      </c>
      <c r="E861" s="12">
        <v>0.5</v>
      </c>
      <c r="F861" s="3" t="s">
        <v>1135</v>
      </c>
    </row>
    <row r="862" spans="1:6" x14ac:dyDescent="0.25">
      <c r="A862" s="36">
        <v>43692.594050925924</v>
      </c>
      <c r="B862" s="3" t="s">
        <v>542</v>
      </c>
      <c r="C862" s="12">
        <v>0.30555555555555558</v>
      </c>
      <c r="D862" s="12">
        <v>3</v>
      </c>
      <c r="E862" s="12">
        <v>2.6944444444444446</v>
      </c>
      <c r="F862" s="3" t="s">
        <v>1135</v>
      </c>
    </row>
    <row r="863" spans="1:6" x14ac:dyDescent="0.25">
      <c r="A863" s="36">
        <v>43692.594050925924</v>
      </c>
      <c r="B863" s="3" t="s">
        <v>70</v>
      </c>
      <c r="C863" s="12">
        <v>1</v>
      </c>
      <c r="D863" s="12">
        <v>1</v>
      </c>
      <c r="E863" s="12">
        <v>0</v>
      </c>
      <c r="F863" s="3" t="s">
        <v>1135</v>
      </c>
    </row>
    <row r="864" spans="1:6" x14ac:dyDescent="0.25">
      <c r="A864" s="36">
        <v>43692.594699074078</v>
      </c>
      <c r="B864" s="3" t="s">
        <v>211</v>
      </c>
      <c r="C864" s="12" t="s">
        <v>338</v>
      </c>
      <c r="D864" s="12">
        <v>7</v>
      </c>
      <c r="E864" s="12">
        <v>8</v>
      </c>
      <c r="F864" s="3" t="s">
        <v>1397</v>
      </c>
    </row>
    <row r="865" spans="1:6" x14ac:dyDescent="0.25">
      <c r="A865" s="36">
        <v>43692.594826388886</v>
      </c>
      <c r="B865" s="3" t="s">
        <v>31</v>
      </c>
      <c r="C865" s="12">
        <v>-1</v>
      </c>
      <c r="D865" s="12">
        <v>4</v>
      </c>
      <c r="E865" s="12">
        <v>3</v>
      </c>
      <c r="F865" s="3" t="s">
        <v>1397</v>
      </c>
    </row>
    <row r="866" spans="1:6" x14ac:dyDescent="0.25">
      <c r="A866" s="36">
        <v>43692.595277777778</v>
      </c>
      <c r="B866" s="3" t="s">
        <v>42</v>
      </c>
      <c r="C866" s="12">
        <v>-1</v>
      </c>
      <c r="D866" s="12">
        <v>15</v>
      </c>
      <c r="E866" s="12">
        <v>14</v>
      </c>
      <c r="F866" s="3" t="s">
        <v>1398</v>
      </c>
    </row>
    <row r="867" spans="1:6" x14ac:dyDescent="0.25">
      <c r="A867" s="36">
        <v>43692.595937500002</v>
      </c>
      <c r="B867" s="3" t="s">
        <v>542</v>
      </c>
      <c r="C867" s="12">
        <v>-0.19444444444444445</v>
      </c>
      <c r="D867" s="12">
        <v>2.694</v>
      </c>
      <c r="E867" s="12">
        <v>2.5</v>
      </c>
      <c r="F867" s="3" t="s">
        <v>1399</v>
      </c>
    </row>
    <row r="868" spans="1:6" x14ac:dyDescent="0.25">
      <c r="A868" s="36">
        <v>43692.599178240744</v>
      </c>
      <c r="B868" s="3" t="s">
        <v>45</v>
      </c>
      <c r="C868" s="12" t="s">
        <v>338</v>
      </c>
      <c r="D868" s="12">
        <v>1</v>
      </c>
      <c r="E868" s="12">
        <v>2</v>
      </c>
      <c r="F868" s="3" t="s">
        <v>1400</v>
      </c>
    </row>
    <row r="869" spans="1:6" x14ac:dyDescent="0.25">
      <c r="A869" s="36">
        <v>43692.59952546296</v>
      </c>
      <c r="B869" s="3" t="s">
        <v>35</v>
      </c>
      <c r="C869" s="12" t="s">
        <v>1144</v>
      </c>
      <c r="D869" s="12">
        <v>0</v>
      </c>
      <c r="E869" s="12">
        <v>2</v>
      </c>
      <c r="F869" s="3" t="s">
        <v>1400</v>
      </c>
    </row>
    <row r="870" spans="1:6" x14ac:dyDescent="0.25">
      <c r="A870" s="36">
        <v>43692.612337962964</v>
      </c>
      <c r="B870" s="3" t="s">
        <v>1172</v>
      </c>
      <c r="C870" s="12">
        <v>4</v>
      </c>
      <c r="D870" s="12">
        <v>10</v>
      </c>
      <c r="E870" s="12">
        <v>6</v>
      </c>
      <c r="F870" s="3" t="s">
        <v>1184</v>
      </c>
    </row>
    <row r="871" spans="1:6" x14ac:dyDescent="0.25">
      <c r="A871" s="36">
        <v>43692.612337962964</v>
      </c>
      <c r="B871" s="3">
        <v>4689</v>
      </c>
      <c r="C871" s="12">
        <v>4</v>
      </c>
      <c r="D871" s="12">
        <v>10</v>
      </c>
      <c r="E871" s="12">
        <v>6</v>
      </c>
      <c r="F871" s="3" t="s">
        <v>1184</v>
      </c>
    </row>
    <row r="872" spans="1:6" x14ac:dyDescent="0.25">
      <c r="A872" s="36">
        <v>43692.612337962964</v>
      </c>
      <c r="B872" s="3" t="s">
        <v>537</v>
      </c>
      <c r="C872" s="12">
        <v>1</v>
      </c>
      <c r="D872" s="12">
        <v>9</v>
      </c>
      <c r="E872" s="12">
        <v>8</v>
      </c>
      <c r="F872" s="3" t="s">
        <v>1184</v>
      </c>
    </row>
    <row r="873" spans="1:6" x14ac:dyDescent="0.25">
      <c r="A873" s="36">
        <v>43692.612337962964</v>
      </c>
      <c r="B873" s="3" t="s">
        <v>1152</v>
      </c>
      <c r="C873" s="12">
        <v>1</v>
      </c>
      <c r="D873" s="12">
        <v>9</v>
      </c>
      <c r="E873" s="12">
        <v>8</v>
      </c>
      <c r="F873" s="3" t="s">
        <v>1184</v>
      </c>
    </row>
    <row r="874" spans="1:6" x14ac:dyDescent="0.25">
      <c r="A874" s="36">
        <v>43692.612337962964</v>
      </c>
      <c r="B874" s="3" t="s">
        <v>33</v>
      </c>
      <c r="C874" s="12">
        <v>4</v>
      </c>
      <c r="D874" s="12">
        <v>89</v>
      </c>
      <c r="E874" s="12">
        <v>85</v>
      </c>
      <c r="F874" s="3" t="s">
        <v>1184</v>
      </c>
    </row>
    <row r="875" spans="1:6" x14ac:dyDescent="0.25">
      <c r="A875" s="36">
        <v>43692.612337962964</v>
      </c>
      <c r="B875" s="3" t="s">
        <v>535</v>
      </c>
      <c r="C875" s="12">
        <v>1</v>
      </c>
      <c r="D875" s="12">
        <v>6</v>
      </c>
      <c r="E875" s="12">
        <v>5</v>
      </c>
      <c r="F875" s="3" t="s">
        <v>1184</v>
      </c>
    </row>
    <row r="876" spans="1:6" x14ac:dyDescent="0.25">
      <c r="A876" s="36">
        <v>43692.612337962964</v>
      </c>
      <c r="B876" s="3" t="s">
        <v>536</v>
      </c>
      <c r="C876" s="12">
        <v>1</v>
      </c>
      <c r="D876" s="12">
        <v>18</v>
      </c>
      <c r="E876" s="12">
        <v>17</v>
      </c>
      <c r="F876" s="3" t="s">
        <v>1184</v>
      </c>
    </row>
    <row r="877" spans="1:6" x14ac:dyDescent="0.25">
      <c r="A877" s="36">
        <v>43692.612337962964</v>
      </c>
      <c r="B877" s="3" t="s">
        <v>1238</v>
      </c>
      <c r="C877" s="12">
        <v>1</v>
      </c>
      <c r="D877" s="12">
        <v>5</v>
      </c>
      <c r="E877" s="12">
        <v>4</v>
      </c>
      <c r="F877" s="3" t="s">
        <v>1184</v>
      </c>
    </row>
    <row r="878" spans="1:6" x14ac:dyDescent="0.25">
      <c r="A878" s="36">
        <v>43692.612337962964</v>
      </c>
      <c r="B878" s="3" t="s">
        <v>142</v>
      </c>
      <c r="C878" s="12">
        <v>1</v>
      </c>
      <c r="D878" s="12">
        <v>9</v>
      </c>
      <c r="E878" s="12">
        <v>8</v>
      </c>
      <c r="F878" s="3" t="s">
        <v>1184</v>
      </c>
    </row>
    <row r="879" spans="1:6" x14ac:dyDescent="0.25">
      <c r="A879" s="36">
        <v>43692.612337962964</v>
      </c>
      <c r="B879" s="3" t="s">
        <v>211</v>
      </c>
      <c r="C879" s="12">
        <v>1</v>
      </c>
      <c r="D879" s="12">
        <v>8</v>
      </c>
      <c r="E879" s="12">
        <v>7</v>
      </c>
      <c r="F879" s="3" t="s">
        <v>1184</v>
      </c>
    </row>
    <row r="880" spans="1:6" x14ac:dyDescent="0.25">
      <c r="A880" s="36">
        <v>43692.612349537034</v>
      </c>
      <c r="B880" s="3" t="s">
        <v>127</v>
      </c>
      <c r="C880" s="12">
        <v>1</v>
      </c>
      <c r="D880" s="12">
        <v>4</v>
      </c>
      <c r="E880" s="12">
        <v>3</v>
      </c>
      <c r="F880" s="3" t="s">
        <v>1184</v>
      </c>
    </row>
    <row r="881" spans="1:6" x14ac:dyDescent="0.25">
      <c r="A881" s="36">
        <v>43692.612349537034</v>
      </c>
      <c r="B881" s="3" t="s">
        <v>210</v>
      </c>
      <c r="C881" s="12">
        <v>4</v>
      </c>
      <c r="D881" s="12">
        <v>8</v>
      </c>
      <c r="E881" s="12">
        <v>4</v>
      </c>
      <c r="F881" s="3" t="s">
        <v>1184</v>
      </c>
    </row>
    <row r="882" spans="1:6" x14ac:dyDescent="0.25">
      <c r="A882" s="36">
        <v>43692.612349537034</v>
      </c>
      <c r="B882" s="3" t="s">
        <v>1217</v>
      </c>
      <c r="C882" s="12">
        <v>2</v>
      </c>
      <c r="D882" s="12">
        <v>10</v>
      </c>
      <c r="E882" s="12">
        <v>8</v>
      </c>
      <c r="F882" s="3" t="s">
        <v>1184</v>
      </c>
    </row>
    <row r="883" spans="1:6" x14ac:dyDescent="0.25">
      <c r="A883" s="36">
        <v>43692.612349537034</v>
      </c>
      <c r="B883" s="3" t="s">
        <v>1012</v>
      </c>
      <c r="C883" s="12">
        <v>1</v>
      </c>
      <c r="D883" s="12">
        <v>9</v>
      </c>
      <c r="E883" s="12">
        <v>8</v>
      </c>
      <c r="F883" s="3" t="s">
        <v>1184</v>
      </c>
    </row>
    <row r="884" spans="1:6" x14ac:dyDescent="0.25">
      <c r="A884" s="36">
        <v>43692.612349537034</v>
      </c>
      <c r="B884" s="3" t="s">
        <v>1001</v>
      </c>
      <c r="C884" s="12">
        <v>1</v>
      </c>
      <c r="D884" s="12">
        <v>8</v>
      </c>
      <c r="E884" s="12">
        <v>7</v>
      </c>
      <c r="F884" s="3" t="s">
        <v>1184</v>
      </c>
    </row>
    <row r="885" spans="1:6" x14ac:dyDescent="0.25">
      <c r="A885" s="36">
        <v>43692.612349537034</v>
      </c>
      <c r="B885" s="3" t="s">
        <v>1006</v>
      </c>
      <c r="C885" s="12">
        <v>2</v>
      </c>
      <c r="D885" s="12">
        <v>9</v>
      </c>
      <c r="E885" s="12">
        <v>7</v>
      </c>
      <c r="F885" s="3" t="s">
        <v>1184</v>
      </c>
    </row>
    <row r="886" spans="1:6" x14ac:dyDescent="0.25">
      <c r="A886" s="36">
        <v>43692.612349537034</v>
      </c>
      <c r="B886" s="3" t="s">
        <v>986</v>
      </c>
      <c r="C886" s="12">
        <v>2</v>
      </c>
      <c r="D886" s="12">
        <v>10</v>
      </c>
      <c r="E886" s="12">
        <v>8</v>
      </c>
      <c r="F886" s="3" t="s">
        <v>1184</v>
      </c>
    </row>
    <row r="887" spans="1:6" x14ac:dyDescent="0.25">
      <c r="A887" s="36">
        <v>43692.612349537034</v>
      </c>
      <c r="B887" s="3" t="s">
        <v>989</v>
      </c>
      <c r="C887" s="12">
        <v>3</v>
      </c>
      <c r="D887" s="12">
        <v>10</v>
      </c>
      <c r="E887" s="12">
        <v>7</v>
      </c>
      <c r="F887" s="3" t="s">
        <v>1184</v>
      </c>
    </row>
    <row r="888" spans="1:6" x14ac:dyDescent="0.25">
      <c r="A888" s="36">
        <v>43692.612349537034</v>
      </c>
      <c r="B888" s="3" t="s">
        <v>980</v>
      </c>
      <c r="C888" s="12">
        <v>1</v>
      </c>
      <c r="D888" s="12">
        <v>10</v>
      </c>
      <c r="E888" s="12">
        <v>9</v>
      </c>
      <c r="F888" s="3" t="s">
        <v>1184</v>
      </c>
    </row>
    <row r="889" spans="1:6" x14ac:dyDescent="0.25">
      <c r="A889" s="36">
        <v>43692.612349537034</v>
      </c>
      <c r="B889" s="3" t="s">
        <v>992</v>
      </c>
      <c r="C889" s="12">
        <v>10</v>
      </c>
      <c r="D889" s="12">
        <v>20</v>
      </c>
      <c r="E889" s="12">
        <v>10</v>
      </c>
      <c r="F889" s="3" t="s">
        <v>1184</v>
      </c>
    </row>
    <row r="890" spans="1:6" x14ac:dyDescent="0.25">
      <c r="A890" s="36">
        <v>43692.612349537034</v>
      </c>
      <c r="B890" s="3" t="s">
        <v>983</v>
      </c>
      <c r="C890" s="12">
        <v>2</v>
      </c>
      <c r="D890" s="12">
        <v>10</v>
      </c>
      <c r="E890" s="12">
        <v>8</v>
      </c>
      <c r="F890" s="3" t="s">
        <v>1184</v>
      </c>
    </row>
    <row r="891" spans="1:6" x14ac:dyDescent="0.25">
      <c r="A891" s="36">
        <v>43692.612349537034</v>
      </c>
      <c r="B891" s="3" t="s">
        <v>1021</v>
      </c>
      <c r="C891" s="12">
        <v>1</v>
      </c>
      <c r="D891" s="12">
        <v>10</v>
      </c>
      <c r="E891" s="12">
        <v>9</v>
      </c>
      <c r="F891" s="3" t="s">
        <v>1184</v>
      </c>
    </row>
    <row r="892" spans="1:6" x14ac:dyDescent="0.25">
      <c r="A892" s="36">
        <v>43692.612349537034</v>
      </c>
      <c r="B892" s="3" t="s">
        <v>213</v>
      </c>
      <c r="C892" s="12">
        <v>1</v>
      </c>
      <c r="D892" s="12">
        <v>3</v>
      </c>
      <c r="E892" s="12">
        <v>2</v>
      </c>
      <c r="F892" s="3" t="s">
        <v>1184</v>
      </c>
    </row>
    <row r="893" spans="1:6" x14ac:dyDescent="0.25">
      <c r="A893" s="36">
        <v>43692.612349537034</v>
      </c>
      <c r="B893" s="3" t="s">
        <v>466</v>
      </c>
      <c r="C893" s="12">
        <v>1</v>
      </c>
      <c r="D893" s="12">
        <v>1</v>
      </c>
      <c r="E893" s="12">
        <v>0</v>
      </c>
      <c r="F893" s="3" t="s">
        <v>1184</v>
      </c>
    </row>
    <row r="894" spans="1:6" x14ac:dyDescent="0.25">
      <c r="A894" s="36">
        <v>43692.612361111111</v>
      </c>
      <c r="B894" s="3" t="s">
        <v>24</v>
      </c>
      <c r="C894" s="12">
        <v>1</v>
      </c>
      <c r="D894" s="12">
        <v>7</v>
      </c>
      <c r="E894" s="12">
        <v>6</v>
      </c>
      <c r="F894" s="3" t="s">
        <v>1184</v>
      </c>
    </row>
    <row r="895" spans="1:6" x14ac:dyDescent="0.25">
      <c r="A895" s="36">
        <v>43692.612361111111</v>
      </c>
      <c r="B895" s="3" t="s">
        <v>1223</v>
      </c>
      <c r="C895" s="12">
        <v>1</v>
      </c>
      <c r="D895" s="12">
        <v>3</v>
      </c>
      <c r="E895" s="12">
        <v>2</v>
      </c>
      <c r="F895" s="3" t="s">
        <v>1184</v>
      </c>
    </row>
    <row r="896" spans="1:6" x14ac:dyDescent="0.25">
      <c r="A896" s="36">
        <v>43692.612361111111</v>
      </c>
      <c r="B896" s="3" t="s">
        <v>468</v>
      </c>
      <c r="C896" s="12">
        <v>1</v>
      </c>
      <c r="D896" s="12">
        <v>1</v>
      </c>
      <c r="E896" s="12">
        <v>0</v>
      </c>
      <c r="F896" s="3" t="s">
        <v>1184</v>
      </c>
    </row>
    <row r="897" spans="1:6" x14ac:dyDescent="0.25">
      <c r="A897" s="36">
        <v>43692.612361111111</v>
      </c>
      <c r="B897" s="3" t="s">
        <v>428</v>
      </c>
      <c r="C897" s="12">
        <v>0.63888888888888884</v>
      </c>
      <c r="D897" s="12">
        <v>2</v>
      </c>
      <c r="E897" s="12">
        <v>1.3611111111111112</v>
      </c>
      <c r="F897" s="3" t="s">
        <v>1184</v>
      </c>
    </row>
    <row r="898" spans="1:6" x14ac:dyDescent="0.25">
      <c r="A898" s="36">
        <v>43692.613125000003</v>
      </c>
      <c r="B898" s="3" t="s">
        <v>1390</v>
      </c>
      <c r="C898" s="12">
        <v>-1</v>
      </c>
      <c r="D898" s="12">
        <v>5</v>
      </c>
      <c r="E898" s="12">
        <v>4</v>
      </c>
      <c r="F898" s="3" t="s">
        <v>1184</v>
      </c>
    </row>
    <row r="899" spans="1:6" x14ac:dyDescent="0.25">
      <c r="A899" s="36">
        <v>43692.613819444443</v>
      </c>
      <c r="B899" s="3" t="s">
        <v>33</v>
      </c>
      <c r="C899" s="12">
        <v>2</v>
      </c>
      <c r="D899" s="12">
        <v>85</v>
      </c>
      <c r="E899" s="12">
        <v>83</v>
      </c>
      <c r="F899" s="3" t="s">
        <v>1207</v>
      </c>
    </row>
    <row r="900" spans="1:6" x14ac:dyDescent="0.25">
      <c r="A900" s="36">
        <v>43692.613819444443</v>
      </c>
      <c r="B900" s="3" t="s">
        <v>211</v>
      </c>
      <c r="C900" s="12">
        <v>1</v>
      </c>
      <c r="D900" s="12">
        <v>7</v>
      </c>
      <c r="E900" s="12">
        <v>6</v>
      </c>
      <c r="F900" s="3" t="s">
        <v>1207</v>
      </c>
    </row>
    <row r="901" spans="1:6" x14ac:dyDescent="0.25">
      <c r="A901" s="36">
        <v>43692.613819444443</v>
      </c>
      <c r="B901" s="3" t="s">
        <v>1001</v>
      </c>
      <c r="C901" s="12">
        <v>1</v>
      </c>
      <c r="D901" s="12">
        <v>7</v>
      </c>
      <c r="E901" s="12">
        <v>6</v>
      </c>
      <c r="F901" s="3" t="s">
        <v>1207</v>
      </c>
    </row>
    <row r="902" spans="1:6" x14ac:dyDescent="0.25">
      <c r="A902" s="36">
        <v>43692.613819444443</v>
      </c>
      <c r="B902" s="3" t="s">
        <v>971</v>
      </c>
      <c r="C902" s="12">
        <v>5</v>
      </c>
      <c r="D902" s="12">
        <v>95</v>
      </c>
      <c r="E902" s="12">
        <v>90</v>
      </c>
      <c r="F902" s="3" t="s">
        <v>1207</v>
      </c>
    </row>
    <row r="903" spans="1:6" x14ac:dyDescent="0.25">
      <c r="A903" s="36">
        <v>43692.613819444443</v>
      </c>
      <c r="B903" s="3" t="s">
        <v>989</v>
      </c>
      <c r="C903" s="12">
        <v>1</v>
      </c>
      <c r="D903" s="12">
        <v>7</v>
      </c>
      <c r="E903" s="12">
        <v>6</v>
      </c>
      <c r="F903" s="3" t="s">
        <v>1207</v>
      </c>
    </row>
    <row r="904" spans="1:6" x14ac:dyDescent="0.25">
      <c r="A904" s="36">
        <v>43692.613819444443</v>
      </c>
      <c r="B904" s="3" t="s">
        <v>1214</v>
      </c>
      <c r="C904" s="12">
        <v>1</v>
      </c>
      <c r="D904" s="12">
        <v>2</v>
      </c>
      <c r="E904" s="12">
        <v>1</v>
      </c>
      <c r="F904" s="3" t="s">
        <v>1207</v>
      </c>
    </row>
    <row r="905" spans="1:6" x14ac:dyDescent="0.25">
      <c r="A905" s="36">
        <v>43692.613819444443</v>
      </c>
      <c r="B905" s="3">
        <v>912951</v>
      </c>
      <c r="C905" s="12">
        <v>1</v>
      </c>
      <c r="D905" s="12">
        <v>1</v>
      </c>
      <c r="E905" s="12">
        <v>0</v>
      </c>
      <c r="F905" s="3" t="s">
        <v>1207</v>
      </c>
    </row>
    <row r="906" spans="1:6" x14ac:dyDescent="0.25">
      <c r="A906" s="36">
        <v>43692.61383101852</v>
      </c>
      <c r="B906" s="3" t="s">
        <v>428</v>
      </c>
      <c r="C906" s="12">
        <v>0</v>
      </c>
      <c r="D906" s="12">
        <v>1.3611111111111112</v>
      </c>
      <c r="E906" s="12">
        <v>1.3611111111111112</v>
      </c>
      <c r="F906" s="3" t="s">
        <v>1207</v>
      </c>
    </row>
    <row r="907" spans="1:6" x14ac:dyDescent="0.25">
      <c r="A907" s="36">
        <v>43692.61383101852</v>
      </c>
      <c r="B907" s="3" t="s">
        <v>1098</v>
      </c>
      <c r="C907" s="12">
        <v>0.63888888888888884</v>
      </c>
      <c r="D907" s="12">
        <v>2</v>
      </c>
      <c r="E907" s="12">
        <v>1.3611111111111112</v>
      </c>
      <c r="F907" s="3" t="s">
        <v>1207</v>
      </c>
    </row>
    <row r="908" spans="1:6" x14ac:dyDescent="0.25">
      <c r="A908" s="36">
        <v>43692.616886574076</v>
      </c>
      <c r="B908" s="3" t="s">
        <v>173</v>
      </c>
      <c r="C908" s="12" t="s">
        <v>58</v>
      </c>
      <c r="D908" s="12" t="s">
        <v>58</v>
      </c>
      <c r="E908" s="12" t="s">
        <v>58</v>
      </c>
      <c r="F908" s="3" t="s">
        <v>363</v>
      </c>
    </row>
    <row r="909" spans="1:6" x14ac:dyDescent="0.25">
      <c r="A909" s="36">
        <v>43692.618657407409</v>
      </c>
      <c r="B909" s="3" t="s">
        <v>125</v>
      </c>
      <c r="C909" s="12" t="s">
        <v>58</v>
      </c>
      <c r="D909" s="12" t="s">
        <v>58</v>
      </c>
      <c r="E909" s="12" t="s">
        <v>58</v>
      </c>
      <c r="F909" s="3" t="s">
        <v>363</v>
      </c>
    </row>
    <row r="910" spans="1:6" x14ac:dyDescent="0.25">
      <c r="A910" s="36">
        <v>43692.61891203704</v>
      </c>
      <c r="B910" s="3" t="s">
        <v>130</v>
      </c>
      <c r="C910" s="12" t="s">
        <v>58</v>
      </c>
      <c r="D910" s="12" t="s">
        <v>58</v>
      </c>
      <c r="E910" s="12" t="s">
        <v>58</v>
      </c>
      <c r="F910" s="3" t="s">
        <v>363</v>
      </c>
    </row>
    <row r="911" spans="1:6" x14ac:dyDescent="0.25">
      <c r="A911" s="36">
        <v>43692.620046296295</v>
      </c>
      <c r="B911" s="3" t="s">
        <v>127</v>
      </c>
      <c r="C911" s="12" t="s">
        <v>58</v>
      </c>
      <c r="D911" s="12" t="s">
        <v>58</v>
      </c>
      <c r="E911" s="12" t="s">
        <v>58</v>
      </c>
      <c r="F911" s="3" t="s">
        <v>363</v>
      </c>
    </row>
    <row r="912" spans="1:6" x14ac:dyDescent="0.25">
      <c r="A912" s="36">
        <v>43692.621296296296</v>
      </c>
      <c r="B912" s="3" t="s">
        <v>468</v>
      </c>
      <c r="C912" s="12">
        <v>1</v>
      </c>
      <c r="D912" s="12">
        <v>0</v>
      </c>
      <c r="E912" s="12" t="s">
        <v>338</v>
      </c>
      <c r="F912" s="3" t="s">
        <v>1145</v>
      </c>
    </row>
    <row r="913" spans="1:6" x14ac:dyDescent="0.25">
      <c r="A913" s="36">
        <v>43692.621493055558</v>
      </c>
      <c r="B913" s="3" t="s">
        <v>468</v>
      </c>
      <c r="C913" s="12" t="s">
        <v>58</v>
      </c>
      <c r="D913" s="12" t="s">
        <v>58</v>
      </c>
      <c r="E913" s="12" t="s">
        <v>58</v>
      </c>
      <c r="F913" s="3" t="s">
        <v>363</v>
      </c>
    </row>
    <row r="914" spans="1:6" x14ac:dyDescent="0.25">
      <c r="A914" s="36">
        <v>43692.622002314813</v>
      </c>
      <c r="B914" s="3" t="s">
        <v>1386</v>
      </c>
      <c r="C914" s="12">
        <v>-1</v>
      </c>
      <c r="D914" s="12">
        <v>1</v>
      </c>
      <c r="E914" s="12" t="s">
        <v>307</v>
      </c>
      <c r="F914" s="3" t="s">
        <v>1145</v>
      </c>
    </row>
    <row r="915" spans="1:6" x14ac:dyDescent="0.25">
      <c r="A915" s="36">
        <v>43692.622754629629</v>
      </c>
      <c r="B915" s="3" t="s">
        <v>1124</v>
      </c>
      <c r="C915" s="12" t="s">
        <v>58</v>
      </c>
      <c r="D915" s="12" t="s">
        <v>58</v>
      </c>
      <c r="E915" s="12" t="s">
        <v>58</v>
      </c>
      <c r="F915" s="3" t="s">
        <v>363</v>
      </c>
    </row>
    <row r="916" spans="1:6" x14ac:dyDescent="0.25">
      <c r="A916" s="36">
        <v>43692.623437499999</v>
      </c>
      <c r="B916" s="3" t="s">
        <v>460</v>
      </c>
      <c r="C916" s="12" t="s">
        <v>58</v>
      </c>
      <c r="D916" s="12" t="s">
        <v>58</v>
      </c>
      <c r="E916" s="12" t="s">
        <v>58</v>
      </c>
      <c r="F916" s="3" t="s">
        <v>363</v>
      </c>
    </row>
    <row r="917" spans="1:6" x14ac:dyDescent="0.25">
      <c r="A917" s="36">
        <v>43692.623495370368</v>
      </c>
      <c r="B917" s="3" t="s">
        <v>1223</v>
      </c>
      <c r="C917" s="12" t="s">
        <v>58</v>
      </c>
      <c r="D917" s="12" t="s">
        <v>58</v>
      </c>
      <c r="E917" s="12" t="s">
        <v>58</v>
      </c>
      <c r="F917" s="3" t="s">
        <v>363</v>
      </c>
    </row>
    <row r="918" spans="1:6" x14ac:dyDescent="0.25">
      <c r="A918" s="36">
        <v>43692.623888888891</v>
      </c>
      <c r="B918" s="3" t="s">
        <v>1116</v>
      </c>
      <c r="C918" s="12" t="s">
        <v>58</v>
      </c>
      <c r="D918" s="12" t="s">
        <v>58</v>
      </c>
      <c r="E918" s="12" t="s">
        <v>58</v>
      </c>
      <c r="F918" s="3" t="s">
        <v>363</v>
      </c>
    </row>
    <row r="919" spans="1:6" x14ac:dyDescent="0.25">
      <c r="A919" s="36">
        <v>43692.624756944446</v>
      </c>
      <c r="B919" s="3" t="s">
        <v>1214</v>
      </c>
      <c r="C919" s="12" t="s">
        <v>58</v>
      </c>
      <c r="D919" s="12" t="s">
        <v>58</v>
      </c>
      <c r="E919" s="12" t="s">
        <v>58</v>
      </c>
      <c r="F919" s="3" t="s">
        <v>363</v>
      </c>
    </row>
    <row r="920" spans="1:6" x14ac:dyDescent="0.25">
      <c r="A920" s="36">
        <v>43692.625474537039</v>
      </c>
      <c r="B920" s="3" t="s">
        <v>463</v>
      </c>
      <c r="C920" s="12" t="s">
        <v>58</v>
      </c>
      <c r="D920" s="12" t="s">
        <v>58</v>
      </c>
      <c r="E920" s="12" t="s">
        <v>58</v>
      </c>
      <c r="F920" s="3" t="s">
        <v>363</v>
      </c>
    </row>
    <row r="921" spans="1:6" x14ac:dyDescent="0.25">
      <c r="A921" s="36">
        <v>43692.625763888886</v>
      </c>
      <c r="B921" s="3" t="s">
        <v>463</v>
      </c>
      <c r="C921" s="12" t="s">
        <v>58</v>
      </c>
      <c r="D921" s="12" t="s">
        <v>58</v>
      </c>
      <c r="E921" s="12" t="s">
        <v>58</v>
      </c>
      <c r="F921" s="3" t="s">
        <v>363</v>
      </c>
    </row>
    <row r="922" spans="1:6" x14ac:dyDescent="0.25">
      <c r="A922" s="36">
        <v>43692.627152777779</v>
      </c>
      <c r="B922" s="3" t="s">
        <v>471</v>
      </c>
      <c r="C922" s="12" t="s">
        <v>58</v>
      </c>
      <c r="D922" s="12" t="s">
        <v>58</v>
      </c>
      <c r="E922" s="12" t="s">
        <v>58</v>
      </c>
      <c r="F922" s="3" t="s">
        <v>363</v>
      </c>
    </row>
    <row r="923" spans="1:6" x14ac:dyDescent="0.25">
      <c r="A923" s="36">
        <v>43692.627627314818</v>
      </c>
      <c r="B923" s="3" t="s">
        <v>1238</v>
      </c>
      <c r="C923" s="12" t="s">
        <v>58</v>
      </c>
      <c r="D923" s="12" t="s">
        <v>58</v>
      </c>
      <c r="E923" s="12" t="s">
        <v>58</v>
      </c>
      <c r="F923" s="3" t="s">
        <v>363</v>
      </c>
    </row>
    <row r="924" spans="1:6" x14ac:dyDescent="0.25">
      <c r="A924" s="36">
        <v>43692.628449074073</v>
      </c>
      <c r="B924" s="3" t="s">
        <v>267</v>
      </c>
      <c r="C924" s="12" t="s">
        <v>58</v>
      </c>
      <c r="D924" s="12" t="s">
        <v>58</v>
      </c>
      <c r="E924" s="12" t="s">
        <v>58</v>
      </c>
      <c r="F924" s="3" t="s">
        <v>363</v>
      </c>
    </row>
    <row r="925" spans="1:6" x14ac:dyDescent="0.25">
      <c r="A925" s="36">
        <v>43692.628981481481</v>
      </c>
      <c r="B925" s="3" t="s">
        <v>989</v>
      </c>
      <c r="C925" s="12" t="s">
        <v>58</v>
      </c>
      <c r="D925" s="12" t="s">
        <v>58</v>
      </c>
      <c r="E925" s="12" t="s">
        <v>58</v>
      </c>
      <c r="F925" s="3" t="s">
        <v>363</v>
      </c>
    </row>
    <row r="926" spans="1:6" x14ac:dyDescent="0.25">
      <c r="A926" s="36">
        <v>43692.629374999997</v>
      </c>
      <c r="B926" s="3" t="s">
        <v>1001</v>
      </c>
      <c r="C926" s="12" t="s">
        <v>58</v>
      </c>
      <c r="D926" s="12" t="s">
        <v>58</v>
      </c>
      <c r="E926" s="12" t="s">
        <v>58</v>
      </c>
      <c r="F926" s="3" t="s">
        <v>363</v>
      </c>
    </row>
    <row r="927" spans="1:6" x14ac:dyDescent="0.25">
      <c r="A927" s="36">
        <v>43692.629780092589</v>
      </c>
      <c r="B927" s="3" t="s">
        <v>1001</v>
      </c>
      <c r="C927" s="12">
        <v>1</v>
      </c>
      <c r="D927" s="12">
        <v>6</v>
      </c>
      <c r="E927" s="12" t="s">
        <v>1418</v>
      </c>
      <c r="F927" s="3" t="s">
        <v>1145</v>
      </c>
    </row>
    <row r="928" spans="1:6" x14ac:dyDescent="0.25">
      <c r="A928" s="36">
        <v>43692.630046296297</v>
      </c>
      <c r="B928" s="3" t="s">
        <v>971</v>
      </c>
      <c r="C928" s="12" t="s">
        <v>58</v>
      </c>
      <c r="D928" s="12" t="s">
        <v>58</v>
      </c>
      <c r="E928" s="12" t="s">
        <v>58</v>
      </c>
      <c r="F928" s="3" t="s">
        <v>363</v>
      </c>
    </row>
    <row r="929" spans="1:6" x14ac:dyDescent="0.25">
      <c r="A929" s="36">
        <v>43692.631203703706</v>
      </c>
      <c r="B929" s="3" t="s">
        <v>983</v>
      </c>
      <c r="C929" s="12" t="s">
        <v>58</v>
      </c>
      <c r="D929" s="12" t="s">
        <v>58</v>
      </c>
      <c r="E929" s="12" t="s">
        <v>58</v>
      </c>
      <c r="F929" s="3" t="s">
        <v>363</v>
      </c>
    </row>
    <row r="930" spans="1:6" x14ac:dyDescent="0.25">
      <c r="A930" s="36">
        <v>43692.632326388892</v>
      </c>
      <c r="B930" s="3" t="s">
        <v>1021</v>
      </c>
      <c r="C930" s="12" t="s">
        <v>58</v>
      </c>
      <c r="D930" s="12" t="s">
        <v>58</v>
      </c>
      <c r="E930" s="12" t="s">
        <v>58</v>
      </c>
      <c r="F930" s="3" t="s">
        <v>363</v>
      </c>
    </row>
    <row r="931" spans="1:6" x14ac:dyDescent="0.25">
      <c r="A931" s="36">
        <v>43692.632523148146</v>
      </c>
      <c r="B931" s="3" t="s">
        <v>1021</v>
      </c>
      <c r="C931" s="12" t="s">
        <v>58</v>
      </c>
      <c r="D931" s="12" t="s">
        <v>58</v>
      </c>
      <c r="E931" s="12" t="s">
        <v>58</v>
      </c>
      <c r="F931" s="3" t="s">
        <v>363</v>
      </c>
    </row>
    <row r="932" spans="1:6" x14ac:dyDescent="0.25">
      <c r="A932" s="36">
        <v>43692.632870370369</v>
      </c>
      <c r="B932" s="3" t="s">
        <v>992</v>
      </c>
      <c r="C932" s="12" t="s">
        <v>58</v>
      </c>
      <c r="D932" s="12" t="s">
        <v>58</v>
      </c>
      <c r="E932" s="12" t="s">
        <v>58</v>
      </c>
      <c r="F932" s="3" t="s">
        <v>363</v>
      </c>
    </row>
    <row r="933" spans="1:6" x14ac:dyDescent="0.25">
      <c r="A933" s="36">
        <v>43692.632916666669</v>
      </c>
      <c r="B933" s="3" t="s">
        <v>992</v>
      </c>
      <c r="C933" s="12" t="s">
        <v>58</v>
      </c>
      <c r="D933" s="12" t="s">
        <v>58</v>
      </c>
      <c r="E933" s="12" t="s">
        <v>58</v>
      </c>
      <c r="F933" s="3" t="s">
        <v>363</v>
      </c>
    </row>
    <row r="934" spans="1:6" x14ac:dyDescent="0.25">
      <c r="A934" s="36">
        <v>43692.6330787037</v>
      </c>
      <c r="B934" s="3" t="s">
        <v>992</v>
      </c>
      <c r="C934" s="12">
        <v>10</v>
      </c>
      <c r="D934" s="12">
        <v>10</v>
      </c>
      <c r="E934" s="12" t="s">
        <v>1389</v>
      </c>
      <c r="F934" s="3" t="s">
        <v>1145</v>
      </c>
    </row>
    <row r="935" spans="1:6" x14ac:dyDescent="0.25">
      <c r="A935" s="36">
        <v>43692.633263888885</v>
      </c>
      <c r="B935" s="3" t="s">
        <v>992</v>
      </c>
      <c r="C935" s="12">
        <v>-10</v>
      </c>
      <c r="D935" s="12">
        <v>20</v>
      </c>
      <c r="E935" s="12" t="s">
        <v>393</v>
      </c>
      <c r="F935" s="3" t="s">
        <v>1145</v>
      </c>
    </row>
    <row r="936" spans="1:6" x14ac:dyDescent="0.25">
      <c r="A936" s="36">
        <v>43692.633750000001</v>
      </c>
      <c r="B936" s="3" t="s">
        <v>980</v>
      </c>
      <c r="C936" s="12" t="s">
        <v>58</v>
      </c>
      <c r="D936" s="12" t="s">
        <v>58</v>
      </c>
      <c r="E936" s="12" t="s">
        <v>58</v>
      </c>
      <c r="F936" s="3" t="s">
        <v>363</v>
      </c>
    </row>
    <row r="937" spans="1:6" x14ac:dyDescent="0.25">
      <c r="A937" s="36">
        <v>43692.634108796294</v>
      </c>
      <c r="B937" s="3" t="s">
        <v>1012</v>
      </c>
      <c r="C937" s="12" t="s">
        <v>58</v>
      </c>
      <c r="D937" s="12" t="s">
        <v>58</v>
      </c>
      <c r="E937" s="12" t="s">
        <v>58</v>
      </c>
      <c r="F937" s="3" t="s">
        <v>363</v>
      </c>
    </row>
    <row r="938" spans="1:6" x14ac:dyDescent="0.25">
      <c r="A938" s="36">
        <v>43692.634467592594</v>
      </c>
      <c r="B938" s="3" t="s">
        <v>1009</v>
      </c>
      <c r="C938" s="12" t="s">
        <v>58</v>
      </c>
      <c r="D938" s="12" t="s">
        <v>58</v>
      </c>
      <c r="E938" s="12" t="s">
        <v>58</v>
      </c>
      <c r="F938" s="3" t="s">
        <v>363</v>
      </c>
    </row>
    <row r="939" spans="1:6" x14ac:dyDescent="0.25">
      <c r="A939" s="36">
        <v>43692.634733796294</v>
      </c>
      <c r="B939" s="3" t="s">
        <v>1006</v>
      </c>
      <c r="C939" s="12" t="s">
        <v>58</v>
      </c>
      <c r="D939" s="12" t="s">
        <v>58</v>
      </c>
      <c r="E939" s="12" t="s">
        <v>58</v>
      </c>
      <c r="F939" s="3" t="s">
        <v>363</v>
      </c>
    </row>
    <row r="940" spans="1:6" x14ac:dyDescent="0.25">
      <c r="A940" s="36">
        <v>43692.635266203702</v>
      </c>
      <c r="B940" s="3" t="s">
        <v>986</v>
      </c>
      <c r="C940" s="12" t="s">
        <v>58</v>
      </c>
      <c r="D940" s="12" t="s">
        <v>58</v>
      </c>
      <c r="E940" s="12" t="s">
        <v>58</v>
      </c>
      <c r="F940" s="3" t="s">
        <v>363</v>
      </c>
    </row>
    <row r="941" spans="1:6" x14ac:dyDescent="0.25">
      <c r="A941" s="36">
        <v>43692.635844907411</v>
      </c>
      <c r="B941" s="3" t="s">
        <v>1083</v>
      </c>
      <c r="C941" s="12" t="s">
        <v>58</v>
      </c>
      <c r="D941" s="12" t="s">
        <v>58</v>
      </c>
      <c r="E941" s="12" t="s">
        <v>58</v>
      </c>
      <c r="F941" s="3" t="s">
        <v>363</v>
      </c>
    </row>
    <row r="942" spans="1:6" x14ac:dyDescent="0.25">
      <c r="A942" s="36">
        <v>43692.63690972222</v>
      </c>
      <c r="B942" s="3" t="s">
        <v>995</v>
      </c>
      <c r="C942" s="12" t="s">
        <v>58</v>
      </c>
      <c r="D942" s="12" t="s">
        <v>58</v>
      </c>
      <c r="E942" s="12" t="s">
        <v>58</v>
      </c>
      <c r="F942" s="3" t="s">
        <v>363</v>
      </c>
    </row>
    <row r="943" spans="1:6" x14ac:dyDescent="0.25">
      <c r="A943" s="36">
        <v>43692.637326388889</v>
      </c>
      <c r="B943" s="3" t="s">
        <v>1018</v>
      </c>
      <c r="C943" s="12" t="s">
        <v>58</v>
      </c>
      <c r="D943" s="12" t="s">
        <v>58</v>
      </c>
      <c r="E943" s="12" t="s">
        <v>58</v>
      </c>
      <c r="F943" s="3" t="s">
        <v>363</v>
      </c>
    </row>
    <row r="944" spans="1:6" x14ac:dyDescent="0.25">
      <c r="A944" s="36">
        <v>43692.638298611113</v>
      </c>
      <c r="B944" s="3" t="s">
        <v>712</v>
      </c>
      <c r="C944" s="12" t="s">
        <v>58</v>
      </c>
      <c r="D944" s="12" t="s">
        <v>58</v>
      </c>
      <c r="E944" s="12" t="s">
        <v>58</v>
      </c>
      <c r="F944" s="3" t="s">
        <v>363</v>
      </c>
    </row>
    <row r="945" spans="1:6" x14ac:dyDescent="0.25">
      <c r="A945" s="36">
        <v>43692.638958333337</v>
      </c>
      <c r="B945" s="3" t="s">
        <v>1024</v>
      </c>
      <c r="C945" s="12" t="s">
        <v>58</v>
      </c>
      <c r="D945" s="12" t="s">
        <v>58</v>
      </c>
      <c r="E945" s="12" t="s">
        <v>58</v>
      </c>
      <c r="F945" s="3" t="s">
        <v>363</v>
      </c>
    </row>
    <row r="946" spans="1:6" x14ac:dyDescent="0.25">
      <c r="A946" s="36">
        <v>43692.639236111114</v>
      </c>
      <c r="B946" s="3" t="s">
        <v>930</v>
      </c>
      <c r="C946" s="12" t="s">
        <v>58</v>
      </c>
      <c r="D946" s="12" t="s">
        <v>58</v>
      </c>
      <c r="E946" s="12" t="s">
        <v>58</v>
      </c>
      <c r="F946" s="3" t="s">
        <v>363</v>
      </c>
    </row>
    <row r="947" spans="1:6" x14ac:dyDescent="0.25">
      <c r="A947" s="36">
        <v>43692.639537037037</v>
      </c>
      <c r="B947" s="3" t="s">
        <v>539</v>
      </c>
      <c r="C947" s="12" t="s">
        <v>58</v>
      </c>
      <c r="D947" s="12" t="s">
        <v>58</v>
      </c>
      <c r="E947" s="12" t="s">
        <v>58</v>
      </c>
      <c r="F947" s="3" t="s">
        <v>363</v>
      </c>
    </row>
    <row r="948" spans="1:6" x14ac:dyDescent="0.25">
      <c r="A948" s="36">
        <v>43692.639907407407</v>
      </c>
      <c r="B948" s="3" t="s">
        <v>1015</v>
      </c>
      <c r="C948" s="12" t="s">
        <v>58</v>
      </c>
      <c r="D948" s="12" t="s">
        <v>58</v>
      </c>
      <c r="E948" s="12" t="s">
        <v>58</v>
      </c>
      <c r="F948" s="3" t="s">
        <v>363</v>
      </c>
    </row>
    <row r="949" spans="1:6" x14ac:dyDescent="0.25">
      <c r="A949" s="36">
        <v>43692.641527777778</v>
      </c>
      <c r="B949" s="3" t="s">
        <v>536</v>
      </c>
      <c r="C949" s="12" t="s">
        <v>58</v>
      </c>
      <c r="D949" s="12" t="s">
        <v>58</v>
      </c>
      <c r="E949" s="12" t="s">
        <v>58</v>
      </c>
      <c r="F949" s="3" t="s">
        <v>363</v>
      </c>
    </row>
    <row r="950" spans="1:6" x14ac:dyDescent="0.25">
      <c r="A950" s="36">
        <v>43692.641886574071</v>
      </c>
      <c r="B950" s="3" t="s">
        <v>1152</v>
      </c>
      <c r="C950" s="12" t="s">
        <v>58</v>
      </c>
      <c r="D950" s="12" t="s">
        <v>58</v>
      </c>
      <c r="E950" s="12" t="s">
        <v>58</v>
      </c>
      <c r="F950" s="3" t="s">
        <v>363</v>
      </c>
    </row>
    <row r="951" spans="1:6" x14ac:dyDescent="0.25">
      <c r="A951" s="36">
        <v>43692.64230324074</v>
      </c>
      <c r="B951" s="3" t="s">
        <v>535</v>
      </c>
      <c r="C951" s="12" t="s">
        <v>58</v>
      </c>
      <c r="D951" s="12" t="s">
        <v>58</v>
      </c>
      <c r="E951" s="12" t="s">
        <v>58</v>
      </c>
      <c r="F951" s="3" t="s">
        <v>363</v>
      </c>
    </row>
    <row r="952" spans="1:6" x14ac:dyDescent="0.25">
      <c r="A952" s="36">
        <v>43692.642546296294</v>
      </c>
      <c r="B952" s="3" t="s">
        <v>534</v>
      </c>
      <c r="C952" s="12" t="s">
        <v>58</v>
      </c>
      <c r="D952" s="12" t="s">
        <v>58</v>
      </c>
      <c r="E952" s="12" t="s">
        <v>58</v>
      </c>
      <c r="F952" s="3" t="s">
        <v>363</v>
      </c>
    </row>
    <row r="953" spans="1:6" x14ac:dyDescent="0.25">
      <c r="A953" s="36">
        <v>43692.642766203702</v>
      </c>
      <c r="B953" s="3" t="s">
        <v>534</v>
      </c>
      <c r="C953" s="12" t="s">
        <v>58</v>
      </c>
      <c r="D953" s="12" t="s">
        <v>58</v>
      </c>
      <c r="E953" s="12" t="s">
        <v>58</v>
      </c>
      <c r="F953" s="3" t="s">
        <v>363</v>
      </c>
    </row>
    <row r="954" spans="1:6" x14ac:dyDescent="0.25">
      <c r="A954" s="36">
        <v>43692.642974537041</v>
      </c>
      <c r="B954" s="3" t="s">
        <v>537</v>
      </c>
      <c r="C954" s="12" t="s">
        <v>58</v>
      </c>
      <c r="D954" s="12" t="s">
        <v>58</v>
      </c>
      <c r="E954" s="12" t="s">
        <v>58</v>
      </c>
      <c r="F954" s="3" t="s">
        <v>363</v>
      </c>
    </row>
    <row r="955" spans="1:6" x14ac:dyDescent="0.25">
      <c r="A955" s="36">
        <v>43692.648240740738</v>
      </c>
      <c r="B955" s="3" t="s">
        <v>144</v>
      </c>
      <c r="C955" s="12" t="s">
        <v>338</v>
      </c>
      <c r="D955" s="12">
        <v>0</v>
      </c>
      <c r="E955" s="12">
        <v>1</v>
      </c>
      <c r="F955" s="3" t="s">
        <v>1140</v>
      </c>
    </row>
    <row r="956" spans="1:6" x14ac:dyDescent="0.25">
      <c r="A956" s="36">
        <v>43692.648518518516</v>
      </c>
      <c r="B956" s="3" t="s">
        <v>70</v>
      </c>
      <c r="C956" s="12" t="s">
        <v>338</v>
      </c>
      <c r="D956" s="12">
        <v>0</v>
      </c>
      <c r="E956" s="12">
        <v>1</v>
      </c>
      <c r="F956" s="3" t="s">
        <v>1140</v>
      </c>
    </row>
    <row r="957" spans="1:6" x14ac:dyDescent="0.25">
      <c r="A957" s="36">
        <v>43692.652268518519</v>
      </c>
      <c r="B957" s="3" t="s">
        <v>1441</v>
      </c>
      <c r="C957" s="12"/>
      <c r="D957" s="12">
        <v>0</v>
      </c>
      <c r="E957" s="12"/>
      <c r="F957" s="3" t="s">
        <v>475</v>
      </c>
    </row>
    <row r="958" spans="1:6" x14ac:dyDescent="0.25">
      <c r="A958" s="36">
        <v>43692.663553240738</v>
      </c>
      <c r="B958" s="3" t="s">
        <v>1447</v>
      </c>
      <c r="C958" s="12" t="s">
        <v>307</v>
      </c>
      <c r="D958" s="12">
        <v>0</v>
      </c>
      <c r="E958" s="12" t="s">
        <v>307</v>
      </c>
      <c r="F958" s="3" t="s">
        <v>475</v>
      </c>
    </row>
    <row r="959" spans="1:6" x14ac:dyDescent="0.25">
      <c r="A959" s="36">
        <v>43692.669282407405</v>
      </c>
      <c r="B959" s="3" t="s">
        <v>1018</v>
      </c>
      <c r="C959" s="12" t="s">
        <v>307</v>
      </c>
      <c r="D959" s="12">
        <v>0</v>
      </c>
      <c r="E959" s="12" t="s">
        <v>307</v>
      </c>
      <c r="F959" s="3" t="s">
        <v>475</v>
      </c>
    </row>
    <row r="960" spans="1:6" x14ac:dyDescent="0.25">
      <c r="A960" s="36">
        <v>43692.669351851851</v>
      </c>
      <c r="B960" s="3" t="s">
        <v>1452</v>
      </c>
      <c r="C960" s="12" t="s">
        <v>307</v>
      </c>
      <c r="D960" s="12">
        <v>0</v>
      </c>
      <c r="E960" s="12" t="s">
        <v>307</v>
      </c>
      <c r="F960" s="3" t="s">
        <v>475</v>
      </c>
    </row>
    <row r="961" spans="1:6" x14ac:dyDescent="0.25">
      <c r="A961" s="36">
        <v>43692.669386574074</v>
      </c>
      <c r="B961" s="3" t="s">
        <v>1453</v>
      </c>
      <c r="C961" s="12" t="s">
        <v>307</v>
      </c>
      <c r="D961" s="12">
        <v>0</v>
      </c>
      <c r="E961" s="12" t="s">
        <v>307</v>
      </c>
      <c r="F961" s="3" t="s">
        <v>475</v>
      </c>
    </row>
    <row r="962" spans="1:6" x14ac:dyDescent="0.25">
      <c r="A962" s="36">
        <v>43693.677210648151</v>
      </c>
      <c r="B962" s="3" t="s">
        <v>12</v>
      </c>
      <c r="C962" s="12" t="s">
        <v>58</v>
      </c>
      <c r="D962" s="12" t="s">
        <v>58</v>
      </c>
      <c r="E962" s="12" t="s">
        <v>58</v>
      </c>
      <c r="F962" s="3" t="s">
        <v>363</v>
      </c>
    </row>
    <row r="963" spans="1:6" x14ac:dyDescent="0.25">
      <c r="A963" s="36">
        <v>43693.677256944444</v>
      </c>
      <c r="B963" s="3" t="s">
        <v>12</v>
      </c>
      <c r="C963" s="12" t="s">
        <v>58</v>
      </c>
      <c r="D963" s="12" t="s">
        <v>58</v>
      </c>
      <c r="E963" s="12" t="s">
        <v>58</v>
      </c>
      <c r="F963" s="3" t="s">
        <v>363</v>
      </c>
    </row>
    <row r="964" spans="1:6" x14ac:dyDescent="0.25">
      <c r="A964" s="36">
        <v>43693.677384259259</v>
      </c>
      <c r="B964" s="3" t="s">
        <v>14</v>
      </c>
      <c r="C964" s="12" t="s">
        <v>58</v>
      </c>
      <c r="D964" s="12" t="s">
        <v>58</v>
      </c>
      <c r="E964" s="12" t="s">
        <v>58</v>
      </c>
      <c r="F964" s="3" t="s">
        <v>363</v>
      </c>
    </row>
    <row r="965" spans="1:6" x14ac:dyDescent="0.25">
      <c r="A965" s="36">
        <v>43693.679039351853</v>
      </c>
      <c r="B965" s="3" t="s">
        <v>14</v>
      </c>
      <c r="C965" s="12" t="s">
        <v>58</v>
      </c>
      <c r="D965" s="12" t="s">
        <v>58</v>
      </c>
      <c r="E965" s="12" t="s">
        <v>58</v>
      </c>
      <c r="F965" s="3" t="s">
        <v>363</v>
      </c>
    </row>
    <row r="966" spans="1:6" x14ac:dyDescent="0.25">
      <c r="A966" s="36">
        <v>43693.679074074076</v>
      </c>
      <c r="B966" s="3" t="s">
        <v>14</v>
      </c>
      <c r="C966" s="12" t="s">
        <v>58</v>
      </c>
      <c r="D966" s="12" t="s">
        <v>58</v>
      </c>
      <c r="E966" s="12" t="s">
        <v>58</v>
      </c>
      <c r="F966" s="3" t="s">
        <v>363</v>
      </c>
    </row>
    <row r="967" spans="1:6" x14ac:dyDescent="0.25">
      <c r="A967" s="36">
        <v>43693.682314814818</v>
      </c>
      <c r="B967" s="3" t="s">
        <v>81</v>
      </c>
      <c r="C967" s="12" t="s">
        <v>307</v>
      </c>
      <c r="D967" s="12">
        <v>0</v>
      </c>
      <c r="E967" s="12" t="s">
        <v>307</v>
      </c>
      <c r="F967" s="3" t="s">
        <v>475</v>
      </c>
    </row>
    <row r="968" spans="1:6" x14ac:dyDescent="0.25">
      <c r="A968" s="36">
        <v>43693.682581018518</v>
      </c>
      <c r="B968" s="3" t="s">
        <v>81</v>
      </c>
      <c r="C968" s="12" t="s">
        <v>58</v>
      </c>
      <c r="D968" s="12" t="s">
        <v>58</v>
      </c>
      <c r="E968" s="12" t="s">
        <v>58</v>
      </c>
      <c r="F968" s="3" t="s">
        <v>363</v>
      </c>
    </row>
    <row r="969" spans="1:6" x14ac:dyDescent="0.25">
      <c r="A969" s="36">
        <v>43693.68309027778</v>
      </c>
      <c r="B969" s="3" t="s">
        <v>1103</v>
      </c>
      <c r="C969" s="12" t="s">
        <v>58</v>
      </c>
      <c r="D969" s="12" t="s">
        <v>58</v>
      </c>
      <c r="E969" s="12" t="s">
        <v>58</v>
      </c>
      <c r="F969" s="3" t="s">
        <v>363</v>
      </c>
    </row>
    <row r="970" spans="1:6" x14ac:dyDescent="0.25">
      <c r="A970" s="36">
        <v>43693.683912037035</v>
      </c>
      <c r="B970" s="3" t="s">
        <v>1103</v>
      </c>
      <c r="C970" s="12">
        <v>16</v>
      </c>
      <c r="D970" s="12">
        <v>31</v>
      </c>
      <c r="E970" s="12" t="s">
        <v>1646</v>
      </c>
      <c r="F970" s="3" t="s">
        <v>1145</v>
      </c>
    </row>
    <row r="971" spans="1:6" x14ac:dyDescent="0.25">
      <c r="A971" s="36">
        <v>43693.68440972222</v>
      </c>
      <c r="B971" s="3" t="s">
        <v>81</v>
      </c>
      <c r="C971" s="12">
        <v>20</v>
      </c>
      <c r="D971" s="12">
        <v>0</v>
      </c>
      <c r="E971" s="12" t="s">
        <v>1389</v>
      </c>
      <c r="F971" s="3" t="s">
        <v>1145</v>
      </c>
    </row>
    <row r="972" spans="1:6" x14ac:dyDescent="0.25">
      <c r="A972" s="36">
        <v>43693.684699074074</v>
      </c>
      <c r="B972" s="3" t="s">
        <v>104</v>
      </c>
      <c r="C972" s="12" t="s">
        <v>58</v>
      </c>
      <c r="D972" s="12" t="s">
        <v>58</v>
      </c>
      <c r="E972" s="12" t="s">
        <v>58</v>
      </c>
      <c r="F972" s="3" t="s">
        <v>363</v>
      </c>
    </row>
    <row r="973" spans="1:6" x14ac:dyDescent="0.25">
      <c r="A973" s="36">
        <v>43693.687256944446</v>
      </c>
      <c r="B973" s="3" t="s">
        <v>1103</v>
      </c>
      <c r="C973" s="12" t="s">
        <v>58</v>
      </c>
      <c r="D973" s="12" t="s">
        <v>58</v>
      </c>
      <c r="E973" s="12" t="s">
        <v>58</v>
      </c>
      <c r="F973" s="3" t="s">
        <v>363</v>
      </c>
    </row>
    <row r="974" spans="1:6" x14ac:dyDescent="0.25">
      <c r="A974" s="36">
        <v>43693.688854166663</v>
      </c>
      <c r="B974" s="3" t="s">
        <v>28</v>
      </c>
      <c r="C974" s="12" t="s">
        <v>58</v>
      </c>
      <c r="D974" s="12" t="s">
        <v>58</v>
      </c>
      <c r="E974" s="12" t="s">
        <v>58</v>
      </c>
      <c r="F974" s="3" t="s">
        <v>363</v>
      </c>
    </row>
    <row r="975" spans="1:6" x14ac:dyDescent="0.25">
      <c r="A975" s="36">
        <v>43693.688946759263</v>
      </c>
      <c r="B975" s="3" t="s">
        <v>103</v>
      </c>
      <c r="C975" s="12" t="s">
        <v>58</v>
      </c>
      <c r="D975" s="12" t="s">
        <v>58</v>
      </c>
      <c r="E975" s="12" t="s">
        <v>58</v>
      </c>
      <c r="F975" s="3" t="s">
        <v>363</v>
      </c>
    </row>
    <row r="976" spans="1:6" x14ac:dyDescent="0.25">
      <c r="A976" s="36">
        <v>43693.689976851849</v>
      </c>
      <c r="B976" s="3" t="s">
        <v>45</v>
      </c>
      <c r="C976" s="12" t="s">
        <v>58</v>
      </c>
      <c r="D976" s="12" t="s">
        <v>58</v>
      </c>
      <c r="E976" s="12" t="s">
        <v>58</v>
      </c>
      <c r="F976" s="3" t="s">
        <v>363</v>
      </c>
    </row>
    <row r="977" spans="1:6" x14ac:dyDescent="0.25">
      <c r="A977" s="36">
        <v>43693.691238425927</v>
      </c>
      <c r="B977" s="3" t="s">
        <v>16</v>
      </c>
      <c r="C977" s="12" t="s">
        <v>58</v>
      </c>
      <c r="D977" s="12" t="s">
        <v>58</v>
      </c>
      <c r="E977" s="12" t="s">
        <v>58</v>
      </c>
      <c r="F977" s="3" t="s">
        <v>363</v>
      </c>
    </row>
    <row r="978" spans="1:6" x14ac:dyDescent="0.25">
      <c r="A978" s="36">
        <v>43693.692233796297</v>
      </c>
      <c r="B978" s="3" t="s">
        <v>206</v>
      </c>
      <c r="C978" s="12" t="s">
        <v>58</v>
      </c>
      <c r="D978" s="12" t="s">
        <v>58</v>
      </c>
      <c r="E978" s="12" t="s">
        <v>58</v>
      </c>
      <c r="F978" s="3" t="s">
        <v>363</v>
      </c>
    </row>
    <row r="979" spans="1:6" x14ac:dyDescent="0.25">
      <c r="A979" s="36">
        <v>43693.692488425928</v>
      </c>
      <c r="B979" s="3" t="s">
        <v>217</v>
      </c>
      <c r="C979" s="12" t="s">
        <v>58</v>
      </c>
      <c r="D979" s="12" t="s">
        <v>58</v>
      </c>
      <c r="E979" s="12" t="s">
        <v>58</v>
      </c>
      <c r="F979" s="3" t="s">
        <v>363</v>
      </c>
    </row>
    <row r="980" spans="1:6" x14ac:dyDescent="0.25">
      <c r="A980" s="36">
        <v>43693.692615740743</v>
      </c>
      <c r="B980" s="3" t="s">
        <v>217</v>
      </c>
      <c r="C980" s="12" t="s">
        <v>58</v>
      </c>
      <c r="D980" s="12" t="s">
        <v>58</v>
      </c>
      <c r="E980" s="12" t="s">
        <v>58</v>
      </c>
      <c r="F980" s="3" t="s">
        <v>363</v>
      </c>
    </row>
    <row r="981" spans="1:6" x14ac:dyDescent="0.25">
      <c r="A981" s="36">
        <v>43693.694374999999</v>
      </c>
      <c r="B981" s="3" t="s">
        <v>142</v>
      </c>
      <c r="C981" s="12" t="s">
        <v>58</v>
      </c>
      <c r="D981" s="12" t="s">
        <v>58</v>
      </c>
      <c r="E981" s="12" t="s">
        <v>58</v>
      </c>
      <c r="F981" s="3" t="s">
        <v>363</v>
      </c>
    </row>
    <row r="982" spans="1:6" x14ac:dyDescent="0.25">
      <c r="A982" s="36">
        <v>43693.694699074076</v>
      </c>
      <c r="B982" s="3" t="s">
        <v>142</v>
      </c>
      <c r="C982" s="12" t="s">
        <v>58</v>
      </c>
      <c r="D982" s="12" t="s">
        <v>58</v>
      </c>
      <c r="E982" s="12" t="s">
        <v>58</v>
      </c>
      <c r="F982" s="3" t="s">
        <v>363</v>
      </c>
    </row>
    <row r="983" spans="1:6" x14ac:dyDescent="0.25">
      <c r="A983" s="36">
        <v>43693.695416666669</v>
      </c>
      <c r="B983" s="3" t="s">
        <v>213</v>
      </c>
      <c r="C983" s="12" t="s">
        <v>58</v>
      </c>
      <c r="D983" s="12" t="s">
        <v>58</v>
      </c>
      <c r="E983" s="12" t="s">
        <v>58</v>
      </c>
      <c r="F983" s="3" t="s">
        <v>363</v>
      </c>
    </row>
    <row r="984" spans="1:6" x14ac:dyDescent="0.25">
      <c r="A984" s="36">
        <v>43693.695462962962</v>
      </c>
      <c r="B984" s="3" t="s">
        <v>213</v>
      </c>
      <c r="C984" s="12" t="s">
        <v>58</v>
      </c>
      <c r="D984" s="12" t="s">
        <v>58</v>
      </c>
      <c r="E984" s="12" t="s">
        <v>58</v>
      </c>
      <c r="F984" s="3" t="s">
        <v>363</v>
      </c>
    </row>
    <row r="985" spans="1:6" x14ac:dyDescent="0.25">
      <c r="A985" s="36">
        <v>43693.695636574077</v>
      </c>
      <c r="B985" s="3" t="s">
        <v>217</v>
      </c>
      <c r="C985" s="12" t="s">
        <v>58</v>
      </c>
      <c r="D985" s="12" t="s">
        <v>58</v>
      </c>
      <c r="E985" s="12" t="s">
        <v>58</v>
      </c>
      <c r="F985" s="3" t="s">
        <v>363</v>
      </c>
    </row>
    <row r="986" spans="1:6" x14ac:dyDescent="0.25">
      <c r="A986" s="36">
        <v>43693.696446759262</v>
      </c>
      <c r="B986" s="3" t="s">
        <v>1085</v>
      </c>
      <c r="C986" s="12" t="s">
        <v>58</v>
      </c>
      <c r="D986" s="12" t="s">
        <v>58</v>
      </c>
      <c r="E986" s="12" t="s">
        <v>58</v>
      </c>
      <c r="F986" s="3" t="s">
        <v>363</v>
      </c>
    </row>
    <row r="987" spans="1:6" x14ac:dyDescent="0.25">
      <c r="A987" s="36">
        <v>43693.696481481478</v>
      </c>
      <c r="B987" s="3" t="s">
        <v>1088</v>
      </c>
      <c r="C987" s="12" t="s">
        <v>58</v>
      </c>
      <c r="D987" s="12" t="s">
        <v>58</v>
      </c>
      <c r="E987" s="12" t="s">
        <v>58</v>
      </c>
      <c r="F987" s="3" t="s">
        <v>363</v>
      </c>
    </row>
    <row r="988" spans="1:6" x14ac:dyDescent="0.25">
      <c r="A988" s="36">
        <v>43693.697476851848</v>
      </c>
      <c r="B988" s="3" t="s">
        <v>35</v>
      </c>
      <c r="C988" s="12" t="s">
        <v>58</v>
      </c>
      <c r="D988" s="12" t="s">
        <v>58</v>
      </c>
      <c r="E988" s="12" t="s">
        <v>58</v>
      </c>
      <c r="F988" s="3" t="s">
        <v>363</v>
      </c>
    </row>
    <row r="989" spans="1:6" x14ac:dyDescent="0.25">
      <c r="A989" s="36">
        <v>43693.698599537034</v>
      </c>
      <c r="B989" s="3" t="s">
        <v>74</v>
      </c>
      <c r="C989" s="12" t="s">
        <v>58</v>
      </c>
      <c r="D989" s="12" t="s">
        <v>58</v>
      </c>
      <c r="E989" s="12" t="s">
        <v>58</v>
      </c>
      <c r="F989" s="3" t="s">
        <v>363</v>
      </c>
    </row>
    <row r="990" spans="1:6" x14ac:dyDescent="0.25">
      <c r="A990" s="36">
        <v>43693.698865740742</v>
      </c>
      <c r="B990" s="3" t="s">
        <v>139</v>
      </c>
      <c r="C990" s="12" t="s">
        <v>58</v>
      </c>
      <c r="D990" s="12" t="s">
        <v>58</v>
      </c>
      <c r="E990" s="12" t="s">
        <v>58</v>
      </c>
      <c r="F990" s="3" t="s">
        <v>363</v>
      </c>
    </row>
    <row r="991" spans="1:6" x14ac:dyDescent="0.25">
      <c r="A991" s="36">
        <v>43693.699247685188</v>
      </c>
      <c r="B991" s="3" t="s">
        <v>139</v>
      </c>
      <c r="C991" s="12" t="s">
        <v>58</v>
      </c>
      <c r="D991" s="12" t="s">
        <v>58</v>
      </c>
      <c r="E991" s="12" t="s">
        <v>58</v>
      </c>
      <c r="F991" s="3" t="s">
        <v>363</v>
      </c>
    </row>
    <row r="992" spans="1:6" x14ac:dyDescent="0.25">
      <c r="A992" s="36">
        <v>43693.699374999997</v>
      </c>
      <c r="B992" s="3" t="s">
        <v>112</v>
      </c>
      <c r="C992" s="12" t="s">
        <v>58</v>
      </c>
      <c r="D992" s="12" t="s">
        <v>58</v>
      </c>
      <c r="E992" s="12" t="s">
        <v>58</v>
      </c>
      <c r="F992" s="3" t="s">
        <v>363</v>
      </c>
    </row>
    <row r="993" spans="1:6" x14ac:dyDescent="0.25">
      <c r="A993" s="36">
        <v>43693.700358796297</v>
      </c>
      <c r="B993" s="3" t="s">
        <v>95</v>
      </c>
      <c r="C993" s="12" t="s">
        <v>58</v>
      </c>
      <c r="D993" s="12" t="s">
        <v>58</v>
      </c>
      <c r="E993" s="12" t="s">
        <v>58</v>
      </c>
      <c r="F993" s="3" t="s">
        <v>363</v>
      </c>
    </row>
    <row r="994" spans="1:6" x14ac:dyDescent="0.25">
      <c r="A994" s="36">
        <v>43693.701261574075</v>
      </c>
      <c r="B994" s="3" t="s">
        <v>101</v>
      </c>
      <c r="C994" s="12" t="s">
        <v>58</v>
      </c>
      <c r="D994" s="12" t="s">
        <v>58</v>
      </c>
      <c r="E994" s="12" t="s">
        <v>58</v>
      </c>
      <c r="F994" s="3" t="s">
        <v>363</v>
      </c>
    </row>
    <row r="995" spans="1:6" x14ac:dyDescent="0.25">
      <c r="A995" s="36">
        <v>43693.701539351852</v>
      </c>
      <c r="B995" s="3" t="s">
        <v>95</v>
      </c>
      <c r="C995" s="12" t="s">
        <v>58</v>
      </c>
      <c r="D995" s="12" t="s">
        <v>58</v>
      </c>
      <c r="E995" s="12" t="s">
        <v>58</v>
      </c>
      <c r="F995" s="3" t="s">
        <v>363</v>
      </c>
    </row>
    <row r="996" spans="1:6" x14ac:dyDescent="0.25">
      <c r="A996" s="36">
        <v>43693.701944444445</v>
      </c>
      <c r="B996" s="3" t="s">
        <v>428</v>
      </c>
      <c r="C996" s="12" t="s">
        <v>58</v>
      </c>
      <c r="D996" s="12" t="s">
        <v>58</v>
      </c>
      <c r="E996" s="12" t="s">
        <v>58</v>
      </c>
      <c r="F996" s="3" t="s">
        <v>363</v>
      </c>
    </row>
    <row r="997" spans="1:6" x14ac:dyDescent="0.25">
      <c r="A997" s="36">
        <v>43693.702893518515</v>
      </c>
      <c r="B997" s="3" t="s">
        <v>428</v>
      </c>
      <c r="C997" s="12">
        <v>0.30499999999999994</v>
      </c>
      <c r="D997" s="12">
        <v>1</v>
      </c>
      <c r="E997" s="12" t="s">
        <v>1658</v>
      </c>
      <c r="F997" s="3" t="s">
        <v>1145</v>
      </c>
    </row>
    <row r="998" spans="1:6" x14ac:dyDescent="0.25">
      <c r="A998" s="36">
        <v>43693.704259259262</v>
      </c>
      <c r="B998" s="3" t="s">
        <v>1098</v>
      </c>
      <c r="C998" s="12" t="s">
        <v>58</v>
      </c>
      <c r="D998" s="12" t="s">
        <v>58</v>
      </c>
      <c r="E998" s="12" t="s">
        <v>58</v>
      </c>
      <c r="F998" s="3" t="s">
        <v>363</v>
      </c>
    </row>
    <row r="999" spans="1:6" x14ac:dyDescent="0.25">
      <c r="A999" s="36">
        <v>43693.704976851855</v>
      </c>
      <c r="B999" s="3" t="s">
        <v>66</v>
      </c>
      <c r="C999" s="12" t="s">
        <v>58</v>
      </c>
      <c r="D999" s="12" t="s">
        <v>58</v>
      </c>
      <c r="E999" s="12" t="s">
        <v>58</v>
      </c>
      <c r="F999" s="3" t="s">
        <v>363</v>
      </c>
    </row>
    <row r="1000" spans="1:6" x14ac:dyDescent="0.25">
      <c r="A1000" s="36">
        <v>43693.705937500003</v>
      </c>
      <c r="B1000" s="3" t="s">
        <v>31</v>
      </c>
      <c r="C1000" s="12" t="s">
        <v>58</v>
      </c>
      <c r="D1000" s="12" t="s">
        <v>58</v>
      </c>
      <c r="E1000" s="12" t="s">
        <v>58</v>
      </c>
      <c r="F1000" s="3" t="s">
        <v>363</v>
      </c>
    </row>
    <row r="1001" spans="1:6" x14ac:dyDescent="0.25">
      <c r="A1001" s="36">
        <v>43693.706932870373</v>
      </c>
      <c r="B1001" s="3" t="s">
        <v>1182</v>
      </c>
      <c r="C1001" s="12" t="s">
        <v>58</v>
      </c>
      <c r="D1001" s="12" t="s">
        <v>58</v>
      </c>
      <c r="E1001" s="12" t="s">
        <v>58</v>
      </c>
      <c r="F1001" s="3" t="s">
        <v>363</v>
      </c>
    </row>
    <row r="1002" spans="1:6" x14ac:dyDescent="0.25">
      <c r="A1002" s="36">
        <v>43693.707430555558</v>
      </c>
      <c r="B1002" s="3" t="s">
        <v>1172</v>
      </c>
      <c r="C1002" s="12" t="s">
        <v>58</v>
      </c>
      <c r="D1002" s="12" t="s">
        <v>58</v>
      </c>
      <c r="E1002" s="12" t="s">
        <v>58</v>
      </c>
      <c r="F1002" s="3" t="s">
        <v>363</v>
      </c>
    </row>
    <row r="1003" spans="1:6" x14ac:dyDescent="0.25">
      <c r="A1003" s="36">
        <v>43693.707708333335</v>
      </c>
      <c r="B1003" s="3" t="s">
        <v>1185</v>
      </c>
      <c r="C1003" s="12" t="s">
        <v>58</v>
      </c>
      <c r="D1003" s="12" t="s">
        <v>58</v>
      </c>
      <c r="E1003" s="12" t="s">
        <v>58</v>
      </c>
      <c r="F1003" s="3" t="s">
        <v>363</v>
      </c>
    </row>
    <row r="1004" spans="1:6" x14ac:dyDescent="0.25">
      <c r="A1004" s="36">
        <v>43693.717303240737</v>
      </c>
      <c r="B1004" s="3" t="s">
        <v>58</v>
      </c>
      <c r="C1004" s="12"/>
      <c r="D1004" s="12">
        <v>0</v>
      </c>
      <c r="E1004" s="12"/>
      <c r="F1004" s="3" t="s">
        <v>475</v>
      </c>
    </row>
    <row r="1005" spans="1:6" x14ac:dyDescent="0.25">
      <c r="A1005" s="36">
        <v>43693.717407407406</v>
      </c>
      <c r="B1005" s="3" t="s">
        <v>58</v>
      </c>
      <c r="C1005" s="12"/>
      <c r="D1005" s="12">
        <v>0</v>
      </c>
      <c r="E1005" s="12"/>
      <c r="F1005" s="3" t="s">
        <v>475</v>
      </c>
    </row>
    <row r="1006" spans="1:6" x14ac:dyDescent="0.25">
      <c r="A1006" s="36">
        <v>43693.723252314812</v>
      </c>
      <c r="B1006" s="3" t="s">
        <v>1339</v>
      </c>
      <c r="C1006" s="12" t="s">
        <v>58</v>
      </c>
      <c r="D1006" s="12" t="s">
        <v>58</v>
      </c>
      <c r="E1006" s="12" t="s">
        <v>58</v>
      </c>
      <c r="F1006" s="3" t="s">
        <v>363</v>
      </c>
    </row>
    <row r="1007" spans="1:6" x14ac:dyDescent="0.25">
      <c r="A1007" s="36">
        <v>43693.723287037035</v>
      </c>
      <c r="B1007" s="3" t="s">
        <v>1342</v>
      </c>
      <c r="C1007" s="12" t="s">
        <v>58</v>
      </c>
      <c r="D1007" s="12" t="s">
        <v>58</v>
      </c>
      <c r="E1007" s="12" t="s">
        <v>58</v>
      </c>
      <c r="F1007" s="3" t="s">
        <v>363</v>
      </c>
    </row>
    <row r="1008" spans="1:6" x14ac:dyDescent="0.25">
      <c r="A1008" s="36">
        <v>43693.723715277774</v>
      </c>
      <c r="B1008" s="3" t="s">
        <v>206</v>
      </c>
      <c r="C1008" s="12" t="s">
        <v>58</v>
      </c>
      <c r="D1008" s="12" t="s">
        <v>58</v>
      </c>
      <c r="E1008" s="12" t="s">
        <v>58</v>
      </c>
      <c r="F1008" s="3" t="s">
        <v>363</v>
      </c>
    </row>
    <row r="1009" spans="1:6" x14ac:dyDescent="0.25">
      <c r="A1009" s="36">
        <v>43693.723946759259</v>
      </c>
      <c r="B1009" s="3" t="s">
        <v>182</v>
      </c>
      <c r="C1009" s="12">
        <v>0.5</v>
      </c>
      <c r="D1009" s="12">
        <v>0.5</v>
      </c>
      <c r="E1009" s="12" t="s">
        <v>338</v>
      </c>
      <c r="F1009" s="3" t="s">
        <v>1145</v>
      </c>
    </row>
    <row r="1010" spans="1:6" x14ac:dyDescent="0.25">
      <c r="A1010" s="36">
        <v>43693.724004629628</v>
      </c>
      <c r="B1010" s="3" t="s">
        <v>182</v>
      </c>
      <c r="C1010" s="12">
        <v>2</v>
      </c>
      <c r="D1010" s="12">
        <v>1</v>
      </c>
      <c r="E1010" s="12" t="s">
        <v>1147</v>
      </c>
      <c r="F1010" s="3" t="s">
        <v>1145</v>
      </c>
    </row>
    <row r="1011" spans="1:6" x14ac:dyDescent="0.25">
      <c r="A1011" s="36">
        <v>43693.724293981482</v>
      </c>
      <c r="B1011" s="3" t="s">
        <v>182</v>
      </c>
      <c r="C1011" s="12" t="s">
        <v>58</v>
      </c>
      <c r="D1011" s="12" t="s">
        <v>58</v>
      </c>
      <c r="E1011" s="12" t="s">
        <v>58</v>
      </c>
      <c r="F1011" s="3" t="s">
        <v>363</v>
      </c>
    </row>
    <row r="1012" spans="1:6" x14ac:dyDescent="0.25">
      <c r="A1012" s="36">
        <v>43695.417453703703</v>
      </c>
      <c r="B1012" s="3" t="s">
        <v>1686</v>
      </c>
      <c r="C1012" s="12" t="s">
        <v>307</v>
      </c>
      <c r="D1012" s="12">
        <v>0</v>
      </c>
      <c r="E1012" s="12" t="s">
        <v>307</v>
      </c>
      <c r="F1012" s="3" t="s">
        <v>475</v>
      </c>
    </row>
    <row r="1013" spans="1:6" x14ac:dyDescent="0.25">
      <c r="A1013" s="36">
        <v>43695.420324074075</v>
      </c>
      <c r="B1013" s="3" t="s">
        <v>1689</v>
      </c>
      <c r="C1013" s="12" t="s">
        <v>307</v>
      </c>
      <c r="D1013" s="12">
        <v>0</v>
      </c>
      <c r="E1013" s="12" t="s">
        <v>307</v>
      </c>
      <c r="F1013" s="3" t="s">
        <v>475</v>
      </c>
    </row>
    <row r="1014" spans="1:6" x14ac:dyDescent="0.25">
      <c r="A1014" s="36">
        <v>43695.42046296296</v>
      </c>
      <c r="B1014" s="3" t="s">
        <v>1692</v>
      </c>
      <c r="C1014" s="12" t="s">
        <v>307</v>
      </c>
      <c r="D1014" s="12">
        <v>0</v>
      </c>
      <c r="E1014" s="12" t="s">
        <v>307</v>
      </c>
      <c r="F1014" s="3" t="s">
        <v>475</v>
      </c>
    </row>
    <row r="1015" spans="1:6" x14ac:dyDescent="0.25">
      <c r="A1015" s="36">
        <v>43695.428298611114</v>
      </c>
      <c r="B1015" s="3" t="s">
        <v>1695</v>
      </c>
      <c r="C1015" s="12" t="s">
        <v>307</v>
      </c>
      <c r="D1015" s="12">
        <v>0</v>
      </c>
      <c r="E1015" s="12" t="s">
        <v>307</v>
      </c>
      <c r="F1015" s="3" t="s">
        <v>475</v>
      </c>
    </row>
    <row r="1016" spans="1:6" x14ac:dyDescent="0.25">
      <c r="A1016" s="36">
        <v>43695.47550925926</v>
      </c>
      <c r="B1016" s="3" t="s">
        <v>1708</v>
      </c>
      <c r="C1016" s="12" t="s">
        <v>307</v>
      </c>
      <c r="D1016" s="12">
        <v>0</v>
      </c>
      <c r="E1016" s="12" t="s">
        <v>307</v>
      </c>
      <c r="F1016" s="3" t="s">
        <v>475</v>
      </c>
    </row>
    <row r="1017" spans="1:6" x14ac:dyDescent="0.25">
      <c r="A1017" s="36">
        <v>43696.796840277777</v>
      </c>
      <c r="B1017" s="3" t="s">
        <v>971</v>
      </c>
      <c r="C1017" s="12" t="s">
        <v>307</v>
      </c>
      <c r="D1017" s="12">
        <v>90</v>
      </c>
      <c r="E1017" s="12">
        <v>90</v>
      </c>
      <c r="F1017" s="3" t="s">
        <v>2186</v>
      </c>
    </row>
    <row r="1018" spans="1:6" x14ac:dyDescent="0.25">
      <c r="A1018" s="36">
        <v>43696.796851851854</v>
      </c>
      <c r="B1018" s="3" t="s">
        <v>1714</v>
      </c>
      <c r="C1018" s="12" t="s">
        <v>307</v>
      </c>
      <c r="D1018" s="12">
        <v>0</v>
      </c>
      <c r="E1018" s="12" t="s">
        <v>307</v>
      </c>
      <c r="F1018" s="3" t="s">
        <v>2186</v>
      </c>
    </row>
    <row r="1019" spans="1:6" x14ac:dyDescent="0.25">
      <c r="A1019" s="36">
        <v>43696.796851851854</v>
      </c>
      <c r="B1019" s="3" t="s">
        <v>980</v>
      </c>
      <c r="C1019" s="12" t="s">
        <v>307</v>
      </c>
      <c r="D1019" s="12">
        <v>9</v>
      </c>
      <c r="E1019" s="12">
        <v>9</v>
      </c>
      <c r="F1019" s="3" t="s">
        <v>2186</v>
      </c>
    </row>
    <row r="1020" spans="1:6" x14ac:dyDescent="0.25">
      <c r="A1020" s="36">
        <v>43696.796851851854</v>
      </c>
      <c r="B1020" s="3" t="s">
        <v>1717</v>
      </c>
      <c r="C1020" s="12" t="s">
        <v>307</v>
      </c>
      <c r="D1020" s="12">
        <v>0</v>
      </c>
      <c r="E1020" s="12" t="s">
        <v>307</v>
      </c>
      <c r="F1020" s="3" t="s">
        <v>2186</v>
      </c>
    </row>
    <row r="1021" spans="1:6" x14ac:dyDescent="0.25">
      <c r="A1021" s="36">
        <v>43696.796851851854</v>
      </c>
      <c r="B1021" s="3" t="s">
        <v>1720</v>
      </c>
      <c r="C1021" s="12" t="s">
        <v>307</v>
      </c>
      <c r="D1021" s="12">
        <v>0</v>
      </c>
      <c r="E1021" s="12" t="s">
        <v>307</v>
      </c>
      <c r="F1021" s="3" t="s">
        <v>2186</v>
      </c>
    </row>
    <row r="1022" spans="1:6" x14ac:dyDescent="0.25">
      <c r="A1022" s="36">
        <v>43696.796851851854</v>
      </c>
      <c r="B1022" s="3" t="s">
        <v>1723</v>
      </c>
      <c r="C1022" s="12" t="s">
        <v>307</v>
      </c>
      <c r="D1022" s="12">
        <v>0</v>
      </c>
      <c r="E1022" s="12" t="s">
        <v>307</v>
      </c>
      <c r="F1022" s="3" t="s">
        <v>2186</v>
      </c>
    </row>
    <row r="1023" spans="1:6" x14ac:dyDescent="0.25">
      <c r="A1023" s="36">
        <v>43696.796851851854</v>
      </c>
      <c r="B1023" s="3" t="s">
        <v>983</v>
      </c>
      <c r="C1023" s="12" t="s">
        <v>307</v>
      </c>
      <c r="D1023" s="12">
        <v>8</v>
      </c>
      <c r="E1023" s="12">
        <v>8</v>
      </c>
      <c r="F1023" s="3" t="s">
        <v>2186</v>
      </c>
    </row>
    <row r="1024" spans="1:6" x14ac:dyDescent="0.25">
      <c r="A1024" s="36">
        <v>43696.796851851854</v>
      </c>
      <c r="B1024" s="3" t="s">
        <v>1726</v>
      </c>
      <c r="C1024" s="12" t="s">
        <v>307</v>
      </c>
      <c r="D1024" s="12">
        <v>0</v>
      </c>
      <c r="E1024" s="12" t="s">
        <v>307</v>
      </c>
      <c r="F1024" s="3" t="s">
        <v>2186</v>
      </c>
    </row>
    <row r="1025" spans="1:6" x14ac:dyDescent="0.25">
      <c r="A1025" s="36">
        <v>43696.796863425923</v>
      </c>
      <c r="B1025" s="3" t="s">
        <v>1729</v>
      </c>
      <c r="C1025" s="12" t="s">
        <v>307</v>
      </c>
      <c r="D1025" s="12">
        <v>0</v>
      </c>
      <c r="E1025" s="12" t="s">
        <v>307</v>
      </c>
      <c r="F1025" s="3" t="s">
        <v>2186</v>
      </c>
    </row>
    <row r="1026" spans="1:6" x14ac:dyDescent="0.25">
      <c r="A1026" s="36">
        <v>43696.796863425923</v>
      </c>
      <c r="B1026" s="3" t="s">
        <v>1732</v>
      </c>
      <c r="C1026" s="12" t="s">
        <v>307</v>
      </c>
      <c r="D1026" s="12">
        <v>0</v>
      </c>
      <c r="E1026" s="12" t="s">
        <v>307</v>
      </c>
      <c r="F1026" s="3" t="s">
        <v>2186</v>
      </c>
    </row>
    <row r="1027" spans="1:6" x14ac:dyDescent="0.25">
      <c r="A1027" s="36">
        <v>43696.796863425923</v>
      </c>
      <c r="B1027" s="3" t="s">
        <v>1735</v>
      </c>
      <c r="C1027" s="12" t="s">
        <v>307</v>
      </c>
      <c r="D1027" s="12">
        <v>0</v>
      </c>
      <c r="E1027" s="12" t="s">
        <v>307</v>
      </c>
      <c r="F1027" s="3" t="s">
        <v>2186</v>
      </c>
    </row>
    <row r="1028" spans="1:6" x14ac:dyDescent="0.25">
      <c r="A1028" s="36">
        <v>43696.796863425923</v>
      </c>
      <c r="B1028" s="3" t="s">
        <v>1738</v>
      </c>
      <c r="C1028" s="12" t="s">
        <v>307</v>
      </c>
      <c r="D1028" s="12">
        <v>0</v>
      </c>
      <c r="E1028" s="12" t="s">
        <v>307</v>
      </c>
      <c r="F1028" s="3" t="s">
        <v>2186</v>
      </c>
    </row>
    <row r="1029" spans="1:6" x14ac:dyDescent="0.25">
      <c r="A1029" s="36">
        <v>43696.796875</v>
      </c>
      <c r="B1029" s="3" t="s">
        <v>1741</v>
      </c>
      <c r="C1029" s="12" t="s">
        <v>307</v>
      </c>
      <c r="D1029" s="12">
        <v>0</v>
      </c>
      <c r="E1029" s="12" t="s">
        <v>307</v>
      </c>
      <c r="F1029" s="3" t="s">
        <v>2186</v>
      </c>
    </row>
    <row r="1030" spans="1:6" x14ac:dyDescent="0.25">
      <c r="A1030" s="36">
        <v>43696.796875</v>
      </c>
      <c r="B1030" s="3" t="s">
        <v>1744</v>
      </c>
      <c r="C1030" s="12" t="s">
        <v>307</v>
      </c>
      <c r="D1030" s="12">
        <v>0</v>
      </c>
      <c r="E1030" s="12" t="s">
        <v>307</v>
      </c>
      <c r="F1030" s="3" t="s">
        <v>2186</v>
      </c>
    </row>
    <row r="1031" spans="1:6" x14ac:dyDescent="0.25">
      <c r="A1031" s="36">
        <v>43696.796875</v>
      </c>
      <c r="B1031" s="3" t="s">
        <v>1747</v>
      </c>
      <c r="C1031" s="12" t="s">
        <v>307</v>
      </c>
      <c r="D1031" s="12">
        <v>0</v>
      </c>
      <c r="E1031" s="12" t="s">
        <v>307</v>
      </c>
      <c r="F1031" s="3" t="s">
        <v>2186</v>
      </c>
    </row>
    <row r="1032" spans="1:6" x14ac:dyDescent="0.25">
      <c r="A1032" s="36">
        <v>43696.796875</v>
      </c>
      <c r="B1032" s="3" t="s">
        <v>989</v>
      </c>
      <c r="C1032" s="12" t="s">
        <v>307</v>
      </c>
      <c r="D1032" s="12">
        <v>6</v>
      </c>
      <c r="E1032" s="12">
        <v>6</v>
      </c>
      <c r="F1032" s="3" t="s">
        <v>2186</v>
      </c>
    </row>
    <row r="1033" spans="1:6" x14ac:dyDescent="0.25">
      <c r="A1033" s="36">
        <v>43696.796875</v>
      </c>
      <c r="B1033" s="3" t="s">
        <v>1750</v>
      </c>
      <c r="C1033" s="12" t="s">
        <v>307</v>
      </c>
      <c r="D1033" s="12">
        <v>0</v>
      </c>
      <c r="E1033" s="12" t="s">
        <v>307</v>
      </c>
      <c r="F1033" s="3" t="s">
        <v>2186</v>
      </c>
    </row>
    <row r="1034" spans="1:6" x14ac:dyDescent="0.25">
      <c r="A1034" s="36">
        <v>43696.796875</v>
      </c>
      <c r="B1034" s="3" t="s">
        <v>1753</v>
      </c>
      <c r="C1034" s="12" t="s">
        <v>307</v>
      </c>
      <c r="D1034" s="12">
        <v>0</v>
      </c>
      <c r="E1034" s="12" t="s">
        <v>307</v>
      </c>
      <c r="F1034" s="3" t="s">
        <v>2186</v>
      </c>
    </row>
    <row r="1035" spans="1:6" x14ac:dyDescent="0.25">
      <c r="A1035" s="36">
        <v>43696.796886574077</v>
      </c>
      <c r="B1035" s="3" t="s">
        <v>1756</v>
      </c>
      <c r="C1035" s="12" t="s">
        <v>307</v>
      </c>
      <c r="D1035" s="12">
        <v>0</v>
      </c>
      <c r="E1035" s="12" t="s">
        <v>307</v>
      </c>
      <c r="F1035" s="3" t="s">
        <v>2186</v>
      </c>
    </row>
    <row r="1036" spans="1:6" x14ac:dyDescent="0.25">
      <c r="A1036" s="36">
        <v>43696.796886574077</v>
      </c>
      <c r="B1036" s="3" t="s">
        <v>1759</v>
      </c>
      <c r="C1036" s="12" t="s">
        <v>307</v>
      </c>
      <c r="D1036" s="12">
        <v>0</v>
      </c>
      <c r="E1036" s="12" t="s">
        <v>307</v>
      </c>
      <c r="F1036" s="3" t="s">
        <v>2186</v>
      </c>
    </row>
    <row r="1037" spans="1:6" x14ac:dyDescent="0.25">
      <c r="A1037" s="36">
        <v>43696.796886574077</v>
      </c>
      <c r="B1037" s="3" t="s">
        <v>1762</v>
      </c>
      <c r="C1037" s="12" t="s">
        <v>307</v>
      </c>
      <c r="D1037" s="12">
        <v>0</v>
      </c>
      <c r="E1037" s="12" t="s">
        <v>307</v>
      </c>
      <c r="F1037" s="3" t="s">
        <v>2186</v>
      </c>
    </row>
    <row r="1038" spans="1:6" x14ac:dyDescent="0.25">
      <c r="A1038" s="36">
        <v>43696.796886574077</v>
      </c>
      <c r="B1038" s="3" t="s">
        <v>992</v>
      </c>
      <c r="C1038" s="12" t="s">
        <v>307</v>
      </c>
      <c r="D1038" s="12">
        <v>10</v>
      </c>
      <c r="E1038" s="12">
        <v>10</v>
      </c>
      <c r="F1038" s="3" t="s">
        <v>2186</v>
      </c>
    </row>
    <row r="1039" spans="1:6" x14ac:dyDescent="0.25">
      <c r="A1039" s="36">
        <v>43696.796886574077</v>
      </c>
      <c r="B1039" s="3" t="s">
        <v>1765</v>
      </c>
      <c r="C1039" s="12" t="s">
        <v>307</v>
      </c>
      <c r="D1039" s="12">
        <v>0</v>
      </c>
      <c r="E1039" s="12" t="s">
        <v>307</v>
      </c>
      <c r="F1039" s="3" t="s">
        <v>2186</v>
      </c>
    </row>
    <row r="1040" spans="1:6" x14ac:dyDescent="0.25">
      <c r="A1040" s="36">
        <v>43696.796886574077</v>
      </c>
      <c r="B1040" s="3" t="s">
        <v>1768</v>
      </c>
      <c r="C1040" s="12" t="s">
        <v>307</v>
      </c>
      <c r="D1040" s="12">
        <v>0</v>
      </c>
      <c r="E1040" s="12" t="s">
        <v>307</v>
      </c>
      <c r="F1040" s="3" t="s">
        <v>2186</v>
      </c>
    </row>
    <row r="1041" spans="1:6" x14ac:dyDescent="0.25">
      <c r="A1041" s="36">
        <v>43696.796898148146</v>
      </c>
      <c r="B1041" s="3" t="s">
        <v>1771</v>
      </c>
      <c r="C1041" s="12" t="s">
        <v>307</v>
      </c>
      <c r="D1041" s="12">
        <v>0</v>
      </c>
      <c r="E1041" s="12" t="s">
        <v>307</v>
      </c>
      <c r="F1041" s="3" t="s">
        <v>2186</v>
      </c>
    </row>
    <row r="1042" spans="1:6" x14ac:dyDescent="0.25">
      <c r="A1042" s="36">
        <v>43696.796898148146</v>
      </c>
      <c r="B1042" s="3" t="s">
        <v>986</v>
      </c>
      <c r="C1042" s="12" t="s">
        <v>307</v>
      </c>
      <c r="D1042" s="12">
        <v>8</v>
      </c>
      <c r="E1042" s="12">
        <v>8</v>
      </c>
      <c r="F1042" s="3" t="s">
        <v>2186</v>
      </c>
    </row>
    <row r="1043" spans="1:6" x14ac:dyDescent="0.25">
      <c r="A1043" s="36">
        <v>43696.796898148146</v>
      </c>
      <c r="B1043" s="3" t="s">
        <v>1774</v>
      </c>
      <c r="C1043" s="12" t="s">
        <v>307</v>
      </c>
      <c r="D1043" s="12">
        <v>0</v>
      </c>
      <c r="E1043" s="12" t="s">
        <v>307</v>
      </c>
      <c r="F1043" s="3" t="s">
        <v>2186</v>
      </c>
    </row>
    <row r="1044" spans="1:6" x14ac:dyDescent="0.25">
      <c r="A1044" s="36">
        <v>43696.796898148146</v>
      </c>
      <c r="B1044" s="3" t="s">
        <v>1777</v>
      </c>
      <c r="C1044" s="12" t="s">
        <v>307</v>
      </c>
      <c r="D1044" s="12">
        <v>0</v>
      </c>
      <c r="E1044" s="12" t="s">
        <v>307</v>
      </c>
      <c r="F1044" s="3" t="s">
        <v>2186</v>
      </c>
    </row>
    <row r="1045" spans="1:6" x14ac:dyDescent="0.25">
      <c r="A1045" s="36">
        <v>43696.796898148146</v>
      </c>
      <c r="B1045" s="3" t="s">
        <v>1780</v>
      </c>
      <c r="C1045" s="12" t="s">
        <v>307</v>
      </c>
      <c r="D1045" s="12">
        <v>0</v>
      </c>
      <c r="E1045" s="12" t="s">
        <v>307</v>
      </c>
      <c r="F1045" s="3" t="s">
        <v>2186</v>
      </c>
    </row>
    <row r="1046" spans="1:6" x14ac:dyDescent="0.25">
      <c r="A1046" s="36">
        <v>43696.796909722223</v>
      </c>
      <c r="B1046" s="3" t="s">
        <v>1783</v>
      </c>
      <c r="C1046" s="12" t="s">
        <v>307</v>
      </c>
      <c r="D1046" s="12">
        <v>0</v>
      </c>
      <c r="E1046" s="12" t="s">
        <v>307</v>
      </c>
      <c r="F1046" s="3" t="s">
        <v>2186</v>
      </c>
    </row>
    <row r="1047" spans="1:6" x14ac:dyDescent="0.25">
      <c r="A1047" s="36">
        <v>43696.796909722223</v>
      </c>
      <c r="B1047" s="3" t="s">
        <v>1786</v>
      </c>
      <c r="C1047" s="12" t="s">
        <v>307</v>
      </c>
      <c r="D1047" s="12">
        <v>0</v>
      </c>
      <c r="E1047" s="12" t="s">
        <v>307</v>
      </c>
      <c r="F1047" s="3" t="s">
        <v>2186</v>
      </c>
    </row>
    <row r="1048" spans="1:6" x14ac:dyDescent="0.25">
      <c r="A1048" s="36">
        <v>43696.796909722223</v>
      </c>
      <c r="B1048" s="3" t="s">
        <v>1001</v>
      </c>
      <c r="C1048" s="12" t="s">
        <v>307</v>
      </c>
      <c r="D1048" s="12">
        <v>7</v>
      </c>
      <c r="E1048" s="12">
        <v>7</v>
      </c>
      <c r="F1048" s="3" t="s">
        <v>2186</v>
      </c>
    </row>
    <row r="1049" spans="1:6" x14ac:dyDescent="0.25">
      <c r="A1049" s="36">
        <v>43696.796909722223</v>
      </c>
      <c r="B1049" s="3" t="s">
        <v>1790</v>
      </c>
      <c r="C1049" s="12" t="s">
        <v>307</v>
      </c>
      <c r="D1049" s="12">
        <v>0</v>
      </c>
      <c r="E1049" s="12" t="s">
        <v>307</v>
      </c>
      <c r="F1049" s="3" t="s">
        <v>2186</v>
      </c>
    </row>
    <row r="1050" spans="1:6" x14ac:dyDescent="0.25">
      <c r="A1050" s="36">
        <v>43696.796909722223</v>
      </c>
      <c r="B1050" s="3" t="s">
        <v>1794</v>
      </c>
      <c r="C1050" s="12" t="s">
        <v>307</v>
      </c>
      <c r="D1050" s="12">
        <v>0</v>
      </c>
      <c r="E1050" s="12" t="s">
        <v>307</v>
      </c>
      <c r="F1050" s="3" t="s">
        <v>2186</v>
      </c>
    </row>
    <row r="1051" spans="1:6" x14ac:dyDescent="0.25">
      <c r="A1051" s="36">
        <v>43696.796909722223</v>
      </c>
      <c r="B1051" s="3" t="s">
        <v>1797</v>
      </c>
      <c r="C1051" s="12" t="s">
        <v>307</v>
      </c>
      <c r="D1051" s="12">
        <v>0</v>
      </c>
      <c r="E1051" s="12" t="s">
        <v>307</v>
      </c>
      <c r="F1051" s="3" t="s">
        <v>2186</v>
      </c>
    </row>
    <row r="1052" spans="1:6" x14ac:dyDescent="0.25">
      <c r="A1052" s="36">
        <v>43696.7969212963</v>
      </c>
      <c r="B1052" s="3" t="s">
        <v>1800</v>
      </c>
      <c r="C1052" s="12" t="s">
        <v>307</v>
      </c>
      <c r="D1052" s="12">
        <v>0</v>
      </c>
      <c r="E1052" s="12" t="s">
        <v>307</v>
      </c>
      <c r="F1052" s="3" t="s">
        <v>2186</v>
      </c>
    </row>
    <row r="1053" spans="1:6" x14ac:dyDescent="0.25">
      <c r="A1053" s="36">
        <v>43696.7969212963</v>
      </c>
      <c r="B1053" s="3" t="s">
        <v>1006</v>
      </c>
      <c r="C1053" s="12" t="s">
        <v>307</v>
      </c>
      <c r="D1053" s="12">
        <v>7</v>
      </c>
      <c r="E1053" s="12">
        <v>7</v>
      </c>
      <c r="F1053" s="3" t="s">
        <v>2186</v>
      </c>
    </row>
    <row r="1054" spans="1:6" x14ac:dyDescent="0.25">
      <c r="A1054" s="36">
        <v>43696.7969212963</v>
      </c>
      <c r="B1054" s="3" t="s">
        <v>1803</v>
      </c>
      <c r="C1054" s="12" t="s">
        <v>307</v>
      </c>
      <c r="D1054" s="12">
        <v>0</v>
      </c>
      <c r="E1054" s="12" t="s">
        <v>307</v>
      </c>
      <c r="F1054" s="3" t="s">
        <v>2186</v>
      </c>
    </row>
    <row r="1055" spans="1:6" x14ac:dyDescent="0.25">
      <c r="A1055" s="36">
        <v>43696.7969212963</v>
      </c>
      <c r="B1055" s="3" t="s">
        <v>1806</v>
      </c>
      <c r="C1055" s="12" t="s">
        <v>307</v>
      </c>
      <c r="D1055" s="12">
        <v>0</v>
      </c>
      <c r="E1055" s="12" t="s">
        <v>307</v>
      </c>
      <c r="F1055" s="3" t="s">
        <v>2186</v>
      </c>
    </row>
    <row r="1056" spans="1:6" x14ac:dyDescent="0.25">
      <c r="A1056" s="36">
        <v>43696.7969212963</v>
      </c>
      <c r="B1056" s="3" t="s">
        <v>1809</v>
      </c>
      <c r="C1056" s="12" t="s">
        <v>307</v>
      </c>
      <c r="D1056" s="12">
        <v>0</v>
      </c>
      <c r="E1056" s="12" t="s">
        <v>307</v>
      </c>
      <c r="F1056" s="3" t="s">
        <v>2186</v>
      </c>
    </row>
    <row r="1057" spans="1:6" x14ac:dyDescent="0.25">
      <c r="A1057" s="36">
        <v>43696.796932870369</v>
      </c>
      <c r="B1057" s="3" t="s">
        <v>1812</v>
      </c>
      <c r="C1057" s="12" t="s">
        <v>307</v>
      </c>
      <c r="D1057" s="12">
        <v>0</v>
      </c>
      <c r="E1057" s="12" t="s">
        <v>307</v>
      </c>
      <c r="F1057" s="3" t="s">
        <v>2186</v>
      </c>
    </row>
    <row r="1058" spans="1:6" x14ac:dyDescent="0.25">
      <c r="A1058" s="36">
        <v>43696.796932870369</v>
      </c>
      <c r="B1058" s="3" t="s">
        <v>1815</v>
      </c>
      <c r="C1058" s="12" t="s">
        <v>307</v>
      </c>
      <c r="D1058" s="12">
        <v>0</v>
      </c>
      <c r="E1058" s="12" t="s">
        <v>307</v>
      </c>
      <c r="F1058" s="3" t="s">
        <v>2186</v>
      </c>
    </row>
    <row r="1059" spans="1:6" x14ac:dyDescent="0.25">
      <c r="A1059" s="36">
        <v>43696.796932870369</v>
      </c>
      <c r="B1059" s="3" t="s">
        <v>1818</v>
      </c>
      <c r="C1059" s="12" t="s">
        <v>307</v>
      </c>
      <c r="D1059" s="12">
        <v>0</v>
      </c>
      <c r="E1059" s="12" t="s">
        <v>307</v>
      </c>
      <c r="F1059" s="3" t="s">
        <v>2186</v>
      </c>
    </row>
    <row r="1060" spans="1:6" x14ac:dyDescent="0.25">
      <c r="A1060" s="36">
        <v>43696.796932870369</v>
      </c>
      <c r="B1060" s="3" t="s">
        <v>1821</v>
      </c>
      <c r="C1060" s="12" t="s">
        <v>307</v>
      </c>
      <c r="D1060" s="12">
        <v>0</v>
      </c>
      <c r="E1060" s="12" t="s">
        <v>307</v>
      </c>
      <c r="F1060" s="3" t="s">
        <v>2186</v>
      </c>
    </row>
    <row r="1061" spans="1:6" x14ac:dyDescent="0.25">
      <c r="A1061" s="36">
        <v>43696.796944444446</v>
      </c>
      <c r="B1061" s="3" t="s">
        <v>1824</v>
      </c>
      <c r="C1061" s="12" t="s">
        <v>307</v>
      </c>
      <c r="D1061" s="12">
        <v>0</v>
      </c>
      <c r="E1061" s="12" t="s">
        <v>307</v>
      </c>
      <c r="F1061" s="3" t="s">
        <v>2186</v>
      </c>
    </row>
    <row r="1062" spans="1:6" x14ac:dyDescent="0.25">
      <c r="A1062" s="36">
        <v>43696.796944444446</v>
      </c>
      <c r="B1062" s="3" t="s">
        <v>1827</v>
      </c>
      <c r="C1062" s="12" t="s">
        <v>307</v>
      </c>
      <c r="D1062" s="12">
        <v>0</v>
      </c>
      <c r="E1062" s="12" t="s">
        <v>307</v>
      </c>
      <c r="F1062" s="3" t="s">
        <v>2186</v>
      </c>
    </row>
    <row r="1063" spans="1:6" x14ac:dyDescent="0.25">
      <c r="A1063" s="36">
        <v>43696.796944444446</v>
      </c>
      <c r="B1063" s="3" t="s">
        <v>1830</v>
      </c>
      <c r="C1063" s="12" t="s">
        <v>307</v>
      </c>
      <c r="D1063" s="12">
        <v>0</v>
      </c>
      <c r="E1063" s="12" t="s">
        <v>307</v>
      </c>
      <c r="F1063" s="3" t="s">
        <v>2186</v>
      </c>
    </row>
    <row r="1064" spans="1:6" x14ac:dyDescent="0.25">
      <c r="A1064" s="36">
        <v>43696.796944444446</v>
      </c>
      <c r="B1064" s="3" t="s">
        <v>1833</v>
      </c>
      <c r="C1064" s="12" t="s">
        <v>307</v>
      </c>
      <c r="D1064" s="12">
        <v>0</v>
      </c>
      <c r="E1064" s="12" t="s">
        <v>307</v>
      </c>
      <c r="F1064" s="3" t="s">
        <v>2186</v>
      </c>
    </row>
    <row r="1065" spans="1:6" x14ac:dyDescent="0.25">
      <c r="A1065" s="36">
        <v>43696.796944444446</v>
      </c>
      <c r="B1065" s="3" t="s">
        <v>1836</v>
      </c>
      <c r="C1065" s="12" t="s">
        <v>307</v>
      </c>
      <c r="D1065" s="12">
        <v>0</v>
      </c>
      <c r="E1065" s="12" t="s">
        <v>307</v>
      </c>
      <c r="F1065" s="3" t="s">
        <v>2186</v>
      </c>
    </row>
    <row r="1066" spans="1:6" x14ac:dyDescent="0.25">
      <c r="A1066" s="36">
        <v>43696.796956018516</v>
      </c>
      <c r="B1066" s="3" t="s">
        <v>1839</v>
      </c>
      <c r="C1066" s="12" t="s">
        <v>307</v>
      </c>
      <c r="D1066" s="12">
        <v>0</v>
      </c>
      <c r="E1066" s="12" t="s">
        <v>307</v>
      </c>
      <c r="F1066" s="3" t="s">
        <v>2186</v>
      </c>
    </row>
    <row r="1067" spans="1:6" x14ac:dyDescent="0.25">
      <c r="A1067" s="36">
        <v>43696.796956018516</v>
      </c>
      <c r="B1067" s="3" t="s">
        <v>1842</v>
      </c>
      <c r="C1067" s="12" t="s">
        <v>307</v>
      </c>
      <c r="D1067" s="12">
        <v>0</v>
      </c>
      <c r="E1067" s="12" t="s">
        <v>307</v>
      </c>
      <c r="F1067" s="3" t="s">
        <v>2186</v>
      </c>
    </row>
    <row r="1068" spans="1:6" x14ac:dyDescent="0.25">
      <c r="A1068" s="36">
        <v>43696.796956018516</v>
      </c>
      <c r="B1068" s="3" t="s">
        <v>1845</v>
      </c>
      <c r="C1068" s="12" t="s">
        <v>307</v>
      </c>
      <c r="D1068" s="12">
        <v>0</v>
      </c>
      <c r="E1068" s="12" t="s">
        <v>307</v>
      </c>
      <c r="F1068" s="3" t="s">
        <v>2186</v>
      </c>
    </row>
    <row r="1069" spans="1:6" x14ac:dyDescent="0.25">
      <c r="A1069" s="36">
        <v>43696.796956018516</v>
      </c>
      <c r="B1069" s="3" t="s">
        <v>1848</v>
      </c>
      <c r="C1069" s="12" t="s">
        <v>307</v>
      </c>
      <c r="D1069" s="12">
        <v>0</v>
      </c>
      <c r="E1069" s="12" t="s">
        <v>307</v>
      </c>
      <c r="F1069" s="3" t="s">
        <v>2186</v>
      </c>
    </row>
    <row r="1070" spans="1:6" x14ac:dyDescent="0.25">
      <c r="A1070" s="36">
        <v>43696.796967592592</v>
      </c>
      <c r="B1070" s="3" t="s">
        <v>1851</v>
      </c>
      <c r="C1070" s="12" t="s">
        <v>307</v>
      </c>
      <c r="D1070" s="12">
        <v>0</v>
      </c>
      <c r="E1070" s="12" t="s">
        <v>307</v>
      </c>
      <c r="F1070" s="3" t="s">
        <v>2186</v>
      </c>
    </row>
    <row r="1071" spans="1:6" x14ac:dyDescent="0.25">
      <c r="A1071" s="36">
        <v>43696.796967592592</v>
      </c>
      <c r="B1071" s="3" t="s">
        <v>1854</v>
      </c>
      <c r="C1071" s="12" t="s">
        <v>307</v>
      </c>
      <c r="D1071" s="12">
        <v>0</v>
      </c>
      <c r="E1071" s="12" t="s">
        <v>307</v>
      </c>
      <c r="F1071" s="3" t="s">
        <v>2186</v>
      </c>
    </row>
    <row r="1072" spans="1:6" x14ac:dyDescent="0.25">
      <c r="A1072" s="36">
        <v>43696.796967592592</v>
      </c>
      <c r="B1072" s="3" t="s">
        <v>1857</v>
      </c>
      <c r="C1072" s="12" t="s">
        <v>307</v>
      </c>
      <c r="D1072" s="12">
        <v>0</v>
      </c>
      <c r="E1072" s="12" t="s">
        <v>307</v>
      </c>
      <c r="F1072" s="3" t="s">
        <v>2186</v>
      </c>
    </row>
    <row r="1073" spans="1:6" x14ac:dyDescent="0.25">
      <c r="A1073" s="36">
        <v>43696.796967592592</v>
      </c>
      <c r="B1073" s="3" t="s">
        <v>1861</v>
      </c>
      <c r="C1073" s="12" t="s">
        <v>307</v>
      </c>
      <c r="D1073" s="12">
        <v>0</v>
      </c>
      <c r="E1073" s="12" t="s">
        <v>307</v>
      </c>
      <c r="F1073" s="3" t="s">
        <v>2186</v>
      </c>
    </row>
    <row r="1074" spans="1:6" x14ac:dyDescent="0.25">
      <c r="A1074" s="36">
        <v>43696.796979166669</v>
      </c>
      <c r="B1074" s="3" t="s">
        <v>1864</v>
      </c>
      <c r="C1074" s="12" t="s">
        <v>307</v>
      </c>
      <c r="D1074" s="12">
        <v>0</v>
      </c>
      <c r="E1074" s="12" t="s">
        <v>307</v>
      </c>
      <c r="F1074" s="3" t="s">
        <v>2186</v>
      </c>
    </row>
    <row r="1075" spans="1:6" x14ac:dyDescent="0.25">
      <c r="A1075" s="36">
        <v>43696.796979166669</v>
      </c>
      <c r="B1075" s="3" t="s">
        <v>1867</v>
      </c>
      <c r="C1075" s="12" t="s">
        <v>307</v>
      </c>
      <c r="D1075" s="12">
        <v>0</v>
      </c>
      <c r="E1075" s="12" t="s">
        <v>307</v>
      </c>
      <c r="F1075" s="3" t="s">
        <v>2186</v>
      </c>
    </row>
    <row r="1076" spans="1:6" x14ac:dyDescent="0.25">
      <c r="A1076" s="36">
        <v>43696.796979166669</v>
      </c>
      <c r="B1076" s="3" t="s">
        <v>1870</v>
      </c>
      <c r="C1076" s="12" t="s">
        <v>307</v>
      </c>
      <c r="D1076" s="12">
        <v>0</v>
      </c>
      <c r="E1076" s="12" t="s">
        <v>307</v>
      </c>
      <c r="F1076" s="3" t="s">
        <v>2186</v>
      </c>
    </row>
    <row r="1077" spans="1:6" x14ac:dyDescent="0.25">
      <c r="A1077" s="36">
        <v>43696.796979166669</v>
      </c>
      <c r="B1077" s="3" t="s">
        <v>1873</v>
      </c>
      <c r="C1077" s="12" t="s">
        <v>307</v>
      </c>
      <c r="D1077" s="12">
        <v>0</v>
      </c>
      <c r="E1077" s="12" t="s">
        <v>307</v>
      </c>
      <c r="F1077" s="3" t="s">
        <v>2186</v>
      </c>
    </row>
    <row r="1078" spans="1:6" x14ac:dyDescent="0.25">
      <c r="A1078" s="36">
        <v>43696.796979166669</v>
      </c>
      <c r="B1078" s="3" t="s">
        <v>1876</v>
      </c>
      <c r="C1078" s="12" t="s">
        <v>307</v>
      </c>
      <c r="D1078" s="12">
        <v>0</v>
      </c>
      <c r="E1078" s="12" t="s">
        <v>307</v>
      </c>
      <c r="F1078" s="3" t="s">
        <v>2186</v>
      </c>
    </row>
    <row r="1079" spans="1:6" x14ac:dyDescent="0.25">
      <c r="A1079" s="36">
        <v>43696.796990740739</v>
      </c>
      <c r="B1079" s="3" t="s">
        <v>1879</v>
      </c>
      <c r="C1079" s="12" t="s">
        <v>307</v>
      </c>
      <c r="D1079" s="12">
        <v>0</v>
      </c>
      <c r="E1079" s="12" t="s">
        <v>307</v>
      </c>
      <c r="F1079" s="3" t="s">
        <v>2186</v>
      </c>
    </row>
    <row r="1080" spans="1:6" x14ac:dyDescent="0.25">
      <c r="A1080" s="36">
        <v>43696.796990740739</v>
      </c>
      <c r="B1080" s="3" t="s">
        <v>1882</v>
      </c>
      <c r="C1080" s="12" t="s">
        <v>307</v>
      </c>
      <c r="D1080" s="12">
        <v>0</v>
      </c>
      <c r="E1080" s="12" t="s">
        <v>307</v>
      </c>
      <c r="F1080" s="3" t="s">
        <v>2186</v>
      </c>
    </row>
    <row r="1081" spans="1:6" x14ac:dyDescent="0.25">
      <c r="A1081" s="36">
        <v>43696.796990740739</v>
      </c>
      <c r="B1081" s="3" t="s">
        <v>1885</v>
      </c>
      <c r="C1081" s="12" t="s">
        <v>307</v>
      </c>
      <c r="D1081" s="12">
        <v>0</v>
      </c>
      <c r="E1081" s="12" t="s">
        <v>307</v>
      </c>
      <c r="F1081" s="3" t="s">
        <v>2186</v>
      </c>
    </row>
    <row r="1082" spans="1:6" x14ac:dyDescent="0.25">
      <c r="A1082" s="36">
        <v>43696.796990740739</v>
      </c>
      <c r="B1082" s="3" t="s">
        <v>1888</v>
      </c>
      <c r="C1082" s="12" t="s">
        <v>307</v>
      </c>
      <c r="D1082" s="12">
        <v>0</v>
      </c>
      <c r="E1082" s="12" t="s">
        <v>307</v>
      </c>
      <c r="F1082" s="3" t="s">
        <v>2186</v>
      </c>
    </row>
    <row r="1083" spans="1:6" x14ac:dyDescent="0.25">
      <c r="A1083" s="36">
        <v>43696.797002314815</v>
      </c>
      <c r="B1083" s="3" t="s">
        <v>1891</v>
      </c>
      <c r="C1083" s="12" t="s">
        <v>307</v>
      </c>
      <c r="D1083" s="12">
        <v>0</v>
      </c>
      <c r="E1083" s="12" t="s">
        <v>307</v>
      </c>
      <c r="F1083" s="3" t="s">
        <v>2186</v>
      </c>
    </row>
    <row r="1084" spans="1:6" x14ac:dyDescent="0.25">
      <c r="A1084" s="36">
        <v>43696.797002314815</v>
      </c>
      <c r="B1084" s="3" t="s">
        <v>1895</v>
      </c>
      <c r="C1084" s="12" t="s">
        <v>307</v>
      </c>
      <c r="D1084" s="12">
        <v>0</v>
      </c>
      <c r="E1084" s="12" t="s">
        <v>307</v>
      </c>
      <c r="F1084" s="3" t="s">
        <v>2186</v>
      </c>
    </row>
    <row r="1085" spans="1:6" x14ac:dyDescent="0.25">
      <c r="A1085" s="36">
        <v>43696.797002314815</v>
      </c>
      <c r="B1085" s="3" t="s">
        <v>1899</v>
      </c>
      <c r="C1085" s="12" t="s">
        <v>307</v>
      </c>
      <c r="D1085" s="12">
        <v>0</v>
      </c>
      <c r="E1085" s="12" t="s">
        <v>307</v>
      </c>
      <c r="F1085" s="3" t="s">
        <v>2186</v>
      </c>
    </row>
    <row r="1086" spans="1:6" x14ac:dyDescent="0.25">
      <c r="A1086" s="36">
        <v>43696.797002314815</v>
      </c>
      <c r="B1086" s="3" t="s">
        <v>1902</v>
      </c>
      <c r="C1086" s="12" t="s">
        <v>307</v>
      </c>
      <c r="D1086" s="12">
        <v>0</v>
      </c>
      <c r="E1086" s="12" t="s">
        <v>307</v>
      </c>
      <c r="F1086" s="3" t="s">
        <v>2186</v>
      </c>
    </row>
    <row r="1087" spans="1:6" x14ac:dyDescent="0.25">
      <c r="A1087" s="36">
        <v>43696.797013888892</v>
      </c>
      <c r="B1087" s="3" t="s">
        <v>1906</v>
      </c>
      <c r="C1087" s="12" t="s">
        <v>307</v>
      </c>
      <c r="D1087" s="12">
        <v>0</v>
      </c>
      <c r="E1087" s="12" t="s">
        <v>307</v>
      </c>
      <c r="F1087" s="3" t="s">
        <v>2186</v>
      </c>
    </row>
    <row r="1088" spans="1:6" x14ac:dyDescent="0.25">
      <c r="A1088" s="36">
        <v>43696.797013888892</v>
      </c>
      <c r="B1088" s="3" t="s">
        <v>1909</v>
      </c>
      <c r="C1088" s="12" t="s">
        <v>307</v>
      </c>
      <c r="D1088" s="12">
        <v>0</v>
      </c>
      <c r="E1088" s="12" t="s">
        <v>307</v>
      </c>
      <c r="F1088" s="3" t="s">
        <v>2186</v>
      </c>
    </row>
    <row r="1089" spans="1:6" x14ac:dyDescent="0.25">
      <c r="A1089" s="36">
        <v>43696.797013888892</v>
      </c>
      <c r="B1089" s="3" t="s">
        <v>1913</v>
      </c>
      <c r="C1089" s="12" t="s">
        <v>307</v>
      </c>
      <c r="D1089" s="12">
        <v>0</v>
      </c>
      <c r="E1089" s="12" t="s">
        <v>307</v>
      </c>
      <c r="F1089" s="3" t="s">
        <v>2186</v>
      </c>
    </row>
    <row r="1090" spans="1:6" x14ac:dyDescent="0.25">
      <c r="A1090" s="36">
        <v>43696.797013888892</v>
      </c>
      <c r="B1090" s="3" t="s">
        <v>1916</v>
      </c>
      <c r="C1090" s="12" t="s">
        <v>307</v>
      </c>
      <c r="D1090" s="12">
        <v>0</v>
      </c>
      <c r="E1090" s="12" t="s">
        <v>307</v>
      </c>
      <c r="F1090" s="3" t="s">
        <v>2186</v>
      </c>
    </row>
    <row r="1091" spans="1:6" x14ac:dyDescent="0.25">
      <c r="A1091" s="36">
        <v>43696.797025462962</v>
      </c>
      <c r="B1091" s="3" t="s">
        <v>1919</v>
      </c>
      <c r="C1091" s="12" t="s">
        <v>307</v>
      </c>
      <c r="D1091" s="12">
        <v>0</v>
      </c>
      <c r="E1091" s="12" t="s">
        <v>307</v>
      </c>
      <c r="F1091" s="3" t="s">
        <v>2186</v>
      </c>
    </row>
    <row r="1092" spans="1:6" x14ac:dyDescent="0.25">
      <c r="A1092" s="36">
        <v>43696.797025462962</v>
      </c>
      <c r="B1092" s="3" t="s">
        <v>1922</v>
      </c>
      <c r="C1092" s="12" t="s">
        <v>307</v>
      </c>
      <c r="D1092" s="12">
        <v>0</v>
      </c>
      <c r="E1092" s="12" t="s">
        <v>307</v>
      </c>
      <c r="F1092" s="3" t="s">
        <v>2186</v>
      </c>
    </row>
    <row r="1093" spans="1:6" x14ac:dyDescent="0.25">
      <c r="A1093" s="36">
        <v>43696.797025462962</v>
      </c>
      <c r="B1093" s="3" t="s">
        <v>1926</v>
      </c>
      <c r="C1093" s="12" t="s">
        <v>307</v>
      </c>
      <c r="D1093" s="12">
        <v>0</v>
      </c>
      <c r="E1093" s="12" t="s">
        <v>307</v>
      </c>
      <c r="F1093" s="3" t="s">
        <v>2186</v>
      </c>
    </row>
    <row r="1094" spans="1:6" x14ac:dyDescent="0.25">
      <c r="A1094" s="36">
        <v>43696.797025462962</v>
      </c>
      <c r="B1094" s="3" t="s">
        <v>1929</v>
      </c>
      <c r="C1094" s="12" t="s">
        <v>307</v>
      </c>
      <c r="D1094" s="12">
        <v>0</v>
      </c>
      <c r="E1094" s="12" t="s">
        <v>307</v>
      </c>
      <c r="F1094" s="3" t="s">
        <v>2186</v>
      </c>
    </row>
    <row r="1095" spans="1:6" x14ac:dyDescent="0.25">
      <c r="A1095" s="36">
        <v>43696.797037037039</v>
      </c>
      <c r="B1095" s="3" t="s">
        <v>1932</v>
      </c>
      <c r="C1095" s="12" t="s">
        <v>307</v>
      </c>
      <c r="D1095" s="12">
        <v>0</v>
      </c>
      <c r="E1095" s="12" t="s">
        <v>307</v>
      </c>
      <c r="F1095" s="3" t="s">
        <v>2186</v>
      </c>
    </row>
    <row r="1096" spans="1:6" x14ac:dyDescent="0.25">
      <c r="A1096" s="36">
        <v>43696.797037037039</v>
      </c>
      <c r="B1096" s="3" t="s">
        <v>1935</v>
      </c>
      <c r="C1096" s="12" t="s">
        <v>307</v>
      </c>
      <c r="D1096" s="12">
        <v>0</v>
      </c>
      <c r="E1096" s="12" t="s">
        <v>307</v>
      </c>
      <c r="F1096" s="3" t="s">
        <v>2186</v>
      </c>
    </row>
    <row r="1097" spans="1:6" x14ac:dyDescent="0.25">
      <c r="A1097" s="36">
        <v>43696.797037037039</v>
      </c>
      <c r="B1097" s="3" t="s">
        <v>1939</v>
      </c>
      <c r="C1097" s="12" t="s">
        <v>307</v>
      </c>
      <c r="D1097" s="12">
        <v>0</v>
      </c>
      <c r="E1097" s="12" t="s">
        <v>307</v>
      </c>
      <c r="F1097" s="3" t="s">
        <v>2186</v>
      </c>
    </row>
    <row r="1098" spans="1:6" x14ac:dyDescent="0.25">
      <c r="A1098" s="36">
        <v>43696.797037037039</v>
      </c>
      <c r="B1098" s="3" t="s">
        <v>1942</v>
      </c>
      <c r="C1098" s="12" t="s">
        <v>307</v>
      </c>
      <c r="D1098" s="12">
        <v>0</v>
      </c>
      <c r="E1098" s="12" t="s">
        <v>307</v>
      </c>
      <c r="F1098" s="3" t="s">
        <v>2186</v>
      </c>
    </row>
    <row r="1099" spans="1:6" x14ac:dyDescent="0.25">
      <c r="A1099" s="36">
        <v>43696.797048611108</v>
      </c>
      <c r="B1099" s="3" t="s">
        <v>1945</v>
      </c>
      <c r="C1099" s="12" t="s">
        <v>307</v>
      </c>
      <c r="D1099" s="12">
        <v>0</v>
      </c>
      <c r="E1099" s="12" t="s">
        <v>307</v>
      </c>
      <c r="F1099" s="3" t="s">
        <v>2186</v>
      </c>
    </row>
    <row r="1100" spans="1:6" x14ac:dyDescent="0.25">
      <c r="A1100" s="36">
        <v>43696.797048611108</v>
      </c>
      <c r="B1100" s="3" t="s">
        <v>1948</v>
      </c>
      <c r="C1100" s="12" t="s">
        <v>307</v>
      </c>
      <c r="D1100" s="12">
        <v>0</v>
      </c>
      <c r="E1100" s="12" t="s">
        <v>307</v>
      </c>
      <c r="F1100" s="3" t="s">
        <v>2186</v>
      </c>
    </row>
    <row r="1101" spans="1:6" x14ac:dyDescent="0.25">
      <c r="A1101" s="36">
        <v>43696.797048611108</v>
      </c>
      <c r="B1101" s="3" t="s">
        <v>1952</v>
      </c>
      <c r="C1101" s="12" t="s">
        <v>307</v>
      </c>
      <c r="D1101" s="12">
        <v>0</v>
      </c>
      <c r="E1101" s="12" t="s">
        <v>307</v>
      </c>
      <c r="F1101" s="3" t="s">
        <v>2186</v>
      </c>
    </row>
    <row r="1102" spans="1:6" x14ac:dyDescent="0.25">
      <c r="A1102" s="36">
        <v>43696.797048611108</v>
      </c>
      <c r="B1102" s="3" t="s">
        <v>1955</v>
      </c>
      <c r="C1102" s="12" t="s">
        <v>307</v>
      </c>
      <c r="D1102" s="12">
        <v>0</v>
      </c>
      <c r="E1102" s="12" t="s">
        <v>307</v>
      </c>
      <c r="F1102" s="3" t="s">
        <v>2186</v>
      </c>
    </row>
    <row r="1103" spans="1:6" x14ac:dyDescent="0.25">
      <c r="A1103" s="36">
        <v>43696.797060185185</v>
      </c>
      <c r="B1103" s="3" t="s">
        <v>1958</v>
      </c>
      <c r="C1103" s="12" t="s">
        <v>307</v>
      </c>
      <c r="D1103" s="12">
        <v>0</v>
      </c>
      <c r="E1103" s="12" t="s">
        <v>307</v>
      </c>
      <c r="F1103" s="3" t="s">
        <v>2186</v>
      </c>
    </row>
    <row r="1104" spans="1:6" x14ac:dyDescent="0.25">
      <c r="A1104" s="36">
        <v>43696.797060185185</v>
      </c>
      <c r="B1104" s="3" t="s">
        <v>1961</v>
      </c>
      <c r="C1104" s="12" t="s">
        <v>307</v>
      </c>
      <c r="D1104" s="12">
        <v>0</v>
      </c>
      <c r="E1104" s="12" t="s">
        <v>307</v>
      </c>
      <c r="F1104" s="3" t="s">
        <v>2186</v>
      </c>
    </row>
    <row r="1105" spans="1:6" x14ac:dyDescent="0.25">
      <c r="A1105" s="36">
        <v>43696.797060185185</v>
      </c>
      <c r="B1105" s="3" t="s">
        <v>1964</v>
      </c>
      <c r="C1105" s="12" t="s">
        <v>307</v>
      </c>
      <c r="D1105" s="12">
        <v>0</v>
      </c>
      <c r="E1105" s="12" t="s">
        <v>307</v>
      </c>
      <c r="F1105" s="3" t="s">
        <v>2186</v>
      </c>
    </row>
    <row r="1106" spans="1:6" x14ac:dyDescent="0.25">
      <c r="A1106" s="36">
        <v>43696.797060185185</v>
      </c>
      <c r="B1106" s="3" t="s">
        <v>1967</v>
      </c>
      <c r="C1106" s="12" t="s">
        <v>307</v>
      </c>
      <c r="D1106" s="12">
        <v>0</v>
      </c>
      <c r="E1106" s="12" t="s">
        <v>307</v>
      </c>
      <c r="F1106" s="3" t="s">
        <v>2186</v>
      </c>
    </row>
    <row r="1107" spans="1:6" x14ac:dyDescent="0.25">
      <c r="A1107" s="36">
        <v>43696.797071759262</v>
      </c>
      <c r="B1107" s="3" t="s">
        <v>1971</v>
      </c>
      <c r="C1107" s="12" t="s">
        <v>307</v>
      </c>
      <c r="D1107" s="12">
        <v>0</v>
      </c>
      <c r="E1107" s="12" t="s">
        <v>307</v>
      </c>
      <c r="F1107" s="3" t="s">
        <v>2186</v>
      </c>
    </row>
    <row r="1108" spans="1:6" x14ac:dyDescent="0.25">
      <c r="A1108" s="36">
        <v>43696.797071759262</v>
      </c>
      <c r="B1108" s="3" t="s">
        <v>1975</v>
      </c>
      <c r="C1108" s="12" t="s">
        <v>307</v>
      </c>
      <c r="D1108" s="12">
        <v>0</v>
      </c>
      <c r="E1108" s="12" t="s">
        <v>307</v>
      </c>
      <c r="F1108" s="3" t="s">
        <v>2186</v>
      </c>
    </row>
    <row r="1109" spans="1:6" x14ac:dyDescent="0.25">
      <c r="A1109" s="36">
        <v>43696.797071759262</v>
      </c>
      <c r="B1109" s="3" t="s">
        <v>1979</v>
      </c>
      <c r="C1109" s="12" t="s">
        <v>307</v>
      </c>
      <c r="D1109" s="12">
        <v>0</v>
      </c>
      <c r="E1109" s="12" t="s">
        <v>307</v>
      </c>
      <c r="F1109" s="3" t="s">
        <v>2186</v>
      </c>
    </row>
    <row r="1110" spans="1:6" x14ac:dyDescent="0.25">
      <c r="A1110" s="36">
        <v>43696.797071759262</v>
      </c>
      <c r="B1110" s="3" t="s">
        <v>1982</v>
      </c>
      <c r="C1110" s="12" t="s">
        <v>307</v>
      </c>
      <c r="D1110" s="12">
        <v>0</v>
      </c>
      <c r="E1110" s="12" t="s">
        <v>307</v>
      </c>
      <c r="F1110" s="3" t="s">
        <v>2186</v>
      </c>
    </row>
    <row r="1111" spans="1:6" x14ac:dyDescent="0.25">
      <c r="A1111" s="36">
        <v>43696.797083333331</v>
      </c>
      <c r="B1111" s="3" t="s">
        <v>1985</v>
      </c>
      <c r="C1111" s="12" t="s">
        <v>307</v>
      </c>
      <c r="D1111" s="12">
        <v>0</v>
      </c>
      <c r="E1111" s="12" t="s">
        <v>307</v>
      </c>
      <c r="F1111" s="3" t="s">
        <v>2186</v>
      </c>
    </row>
    <row r="1112" spans="1:6" x14ac:dyDescent="0.25">
      <c r="A1112" s="36">
        <v>43696.797083333331</v>
      </c>
      <c r="B1112" s="3" t="s">
        <v>1988</v>
      </c>
      <c r="C1112" s="12" t="s">
        <v>307</v>
      </c>
      <c r="D1112" s="12">
        <v>0</v>
      </c>
      <c r="E1112" s="12" t="s">
        <v>307</v>
      </c>
      <c r="F1112" s="3" t="s">
        <v>2186</v>
      </c>
    </row>
    <row r="1113" spans="1:6" x14ac:dyDescent="0.25">
      <c r="A1113" s="36">
        <v>43696.797083333331</v>
      </c>
      <c r="B1113" s="3" t="s">
        <v>1991</v>
      </c>
      <c r="C1113" s="12" t="s">
        <v>307</v>
      </c>
      <c r="D1113" s="12">
        <v>0</v>
      </c>
      <c r="E1113" s="12" t="s">
        <v>307</v>
      </c>
      <c r="F1113" s="3" t="s">
        <v>2186</v>
      </c>
    </row>
    <row r="1114" spans="1:6" x14ac:dyDescent="0.25">
      <c r="A1114" s="36">
        <v>43696.797083333331</v>
      </c>
      <c r="B1114" s="3" t="s">
        <v>1995</v>
      </c>
      <c r="C1114" s="12" t="s">
        <v>307</v>
      </c>
      <c r="D1114" s="12">
        <v>0</v>
      </c>
      <c r="E1114" s="12" t="s">
        <v>307</v>
      </c>
      <c r="F1114" s="3" t="s">
        <v>2186</v>
      </c>
    </row>
    <row r="1115" spans="1:6" x14ac:dyDescent="0.25">
      <c r="A1115" s="36">
        <v>43696.797094907408</v>
      </c>
      <c r="B1115" s="3" t="s">
        <v>1999</v>
      </c>
      <c r="C1115" s="12" t="s">
        <v>307</v>
      </c>
      <c r="D1115" s="12">
        <v>0</v>
      </c>
      <c r="E1115" s="12" t="s">
        <v>307</v>
      </c>
      <c r="F1115" s="3" t="s">
        <v>2186</v>
      </c>
    </row>
    <row r="1116" spans="1:6" x14ac:dyDescent="0.25">
      <c r="A1116" s="36">
        <v>43696.797094907408</v>
      </c>
      <c r="B1116" s="3" t="s">
        <v>2002</v>
      </c>
      <c r="C1116" s="12" t="s">
        <v>307</v>
      </c>
      <c r="D1116" s="12">
        <v>0</v>
      </c>
      <c r="E1116" s="12" t="s">
        <v>307</v>
      </c>
      <c r="F1116" s="3" t="s">
        <v>2186</v>
      </c>
    </row>
    <row r="1117" spans="1:6" x14ac:dyDescent="0.25">
      <c r="A1117" s="36">
        <v>43696.797094907408</v>
      </c>
      <c r="B1117" s="3" t="s">
        <v>2005</v>
      </c>
      <c r="C1117" s="12" t="s">
        <v>307</v>
      </c>
      <c r="D1117" s="12">
        <v>0</v>
      </c>
      <c r="E1117" s="12" t="s">
        <v>307</v>
      </c>
      <c r="F1117" s="3" t="s">
        <v>2186</v>
      </c>
    </row>
    <row r="1118" spans="1:6" x14ac:dyDescent="0.25">
      <c r="A1118" s="36">
        <v>43696.797094907408</v>
      </c>
      <c r="B1118" s="3" t="s">
        <v>2008</v>
      </c>
      <c r="C1118" s="12" t="s">
        <v>307</v>
      </c>
      <c r="D1118" s="12">
        <v>0</v>
      </c>
      <c r="E1118" s="12" t="s">
        <v>307</v>
      </c>
      <c r="F1118" s="3" t="s">
        <v>2186</v>
      </c>
    </row>
    <row r="1119" spans="1:6" x14ac:dyDescent="0.25">
      <c r="A1119" s="36">
        <v>43696.797106481485</v>
      </c>
      <c r="B1119" s="3" t="s">
        <v>2012</v>
      </c>
      <c r="C1119" s="12" t="s">
        <v>307</v>
      </c>
      <c r="D1119" s="12">
        <v>0</v>
      </c>
      <c r="E1119" s="12" t="s">
        <v>307</v>
      </c>
      <c r="F1119" s="3" t="s">
        <v>2186</v>
      </c>
    </row>
    <row r="1120" spans="1:6" x14ac:dyDescent="0.25">
      <c r="A1120" s="36">
        <v>43696.797106481485</v>
      </c>
      <c r="B1120" s="3" t="s">
        <v>2015</v>
      </c>
      <c r="C1120" s="12" t="s">
        <v>307</v>
      </c>
      <c r="D1120" s="12">
        <v>0</v>
      </c>
      <c r="E1120" s="12" t="s">
        <v>307</v>
      </c>
      <c r="F1120" s="3" t="s">
        <v>2186</v>
      </c>
    </row>
    <row r="1121" spans="1:6" x14ac:dyDescent="0.25">
      <c r="A1121" s="36">
        <v>43696.797106481485</v>
      </c>
      <c r="B1121" s="3" t="s">
        <v>2019</v>
      </c>
      <c r="C1121" s="12" t="s">
        <v>307</v>
      </c>
      <c r="D1121" s="12">
        <v>0</v>
      </c>
      <c r="E1121" s="12" t="s">
        <v>307</v>
      </c>
      <c r="F1121" s="3" t="s">
        <v>2186</v>
      </c>
    </row>
    <row r="1122" spans="1:6" x14ac:dyDescent="0.25">
      <c r="A1122" s="36">
        <v>43696.797106481485</v>
      </c>
      <c r="B1122" s="3" t="s">
        <v>2022</v>
      </c>
      <c r="C1122" s="12" t="s">
        <v>307</v>
      </c>
      <c r="D1122" s="12">
        <v>0</v>
      </c>
      <c r="E1122" s="12" t="s">
        <v>307</v>
      </c>
      <c r="F1122" s="3" t="s">
        <v>2186</v>
      </c>
    </row>
    <row r="1123" spans="1:6" x14ac:dyDescent="0.25">
      <c r="A1123" s="36">
        <v>43696.797118055554</v>
      </c>
      <c r="B1123" s="3" t="s">
        <v>2025</v>
      </c>
      <c r="C1123" s="12" t="s">
        <v>307</v>
      </c>
      <c r="D1123" s="12">
        <v>0</v>
      </c>
      <c r="E1123" s="12" t="s">
        <v>307</v>
      </c>
      <c r="F1123" s="3" t="s">
        <v>2186</v>
      </c>
    </row>
    <row r="1124" spans="1:6" x14ac:dyDescent="0.25">
      <c r="A1124" s="36">
        <v>43696.797118055554</v>
      </c>
      <c r="B1124" s="3" t="s">
        <v>2029</v>
      </c>
      <c r="C1124" s="12" t="s">
        <v>307</v>
      </c>
      <c r="D1124" s="12">
        <v>0</v>
      </c>
      <c r="E1124" s="12" t="s">
        <v>307</v>
      </c>
      <c r="F1124" s="3" t="s">
        <v>2186</v>
      </c>
    </row>
    <row r="1125" spans="1:6" x14ac:dyDescent="0.25">
      <c r="A1125" s="36">
        <v>43696.797118055554</v>
      </c>
      <c r="B1125" s="3" t="s">
        <v>2032</v>
      </c>
      <c r="C1125" s="12" t="s">
        <v>307</v>
      </c>
      <c r="D1125" s="12">
        <v>0</v>
      </c>
      <c r="E1125" s="12" t="s">
        <v>307</v>
      </c>
      <c r="F1125" s="3" t="s">
        <v>2186</v>
      </c>
    </row>
    <row r="1126" spans="1:6" x14ac:dyDescent="0.25">
      <c r="A1126" s="36">
        <v>43696.797118055554</v>
      </c>
      <c r="B1126" s="3" t="s">
        <v>2035</v>
      </c>
      <c r="C1126" s="12" t="s">
        <v>307</v>
      </c>
      <c r="D1126" s="12">
        <v>0</v>
      </c>
      <c r="E1126" s="12" t="s">
        <v>307</v>
      </c>
      <c r="F1126" s="3" t="s">
        <v>2186</v>
      </c>
    </row>
    <row r="1127" spans="1:6" x14ac:dyDescent="0.25">
      <c r="A1127" s="36">
        <v>43696.797129629631</v>
      </c>
      <c r="B1127" s="3" t="s">
        <v>2039</v>
      </c>
      <c r="C1127" s="12" t="s">
        <v>307</v>
      </c>
      <c r="D1127" s="12">
        <v>0</v>
      </c>
      <c r="E1127" s="12" t="s">
        <v>307</v>
      </c>
      <c r="F1127" s="3" t="s">
        <v>2186</v>
      </c>
    </row>
    <row r="1128" spans="1:6" x14ac:dyDescent="0.25">
      <c r="A1128" s="36">
        <v>43696.797129629631</v>
      </c>
      <c r="B1128" s="3" t="s">
        <v>2042</v>
      </c>
      <c r="C1128" s="12" t="s">
        <v>307</v>
      </c>
      <c r="D1128" s="12">
        <v>0</v>
      </c>
      <c r="E1128" s="12" t="s">
        <v>307</v>
      </c>
      <c r="F1128" s="3" t="s">
        <v>2186</v>
      </c>
    </row>
    <row r="1129" spans="1:6" x14ac:dyDescent="0.25">
      <c r="A1129" s="36">
        <v>43696.797129629631</v>
      </c>
      <c r="B1129" s="3" t="s">
        <v>1012</v>
      </c>
      <c r="C1129" s="12" t="s">
        <v>307</v>
      </c>
      <c r="D1129" s="12">
        <v>8</v>
      </c>
      <c r="E1129" s="12">
        <v>8</v>
      </c>
      <c r="F1129" s="3" t="s">
        <v>2186</v>
      </c>
    </row>
    <row r="1130" spans="1:6" x14ac:dyDescent="0.25">
      <c r="A1130" s="36">
        <v>43696.797129629631</v>
      </c>
      <c r="B1130" s="3" t="s">
        <v>2045</v>
      </c>
      <c r="C1130" s="12" t="s">
        <v>307</v>
      </c>
      <c r="D1130" s="12">
        <v>0</v>
      </c>
      <c r="E1130" s="12" t="s">
        <v>307</v>
      </c>
      <c r="F1130" s="3" t="s">
        <v>2186</v>
      </c>
    </row>
    <row r="1131" spans="1:6" x14ac:dyDescent="0.25">
      <c r="A1131" s="36">
        <v>43696.7971412037</v>
      </c>
      <c r="B1131" s="3" t="s">
        <v>2048</v>
      </c>
      <c r="C1131" s="12" t="s">
        <v>307</v>
      </c>
      <c r="D1131" s="12">
        <v>0</v>
      </c>
      <c r="E1131" s="12" t="s">
        <v>307</v>
      </c>
      <c r="F1131" s="3" t="s">
        <v>2186</v>
      </c>
    </row>
    <row r="1132" spans="1:6" x14ac:dyDescent="0.25">
      <c r="A1132" s="36">
        <v>43696.7971412037</v>
      </c>
      <c r="B1132" s="3" t="s">
        <v>2051</v>
      </c>
      <c r="C1132" s="12" t="s">
        <v>307</v>
      </c>
      <c r="D1132" s="12">
        <v>0</v>
      </c>
      <c r="E1132" s="12" t="s">
        <v>307</v>
      </c>
      <c r="F1132" s="3" t="s">
        <v>2186</v>
      </c>
    </row>
    <row r="1133" spans="1:6" x14ac:dyDescent="0.25">
      <c r="A1133" s="36">
        <v>43696.7971412037</v>
      </c>
      <c r="B1133" s="3" t="s">
        <v>2054</v>
      </c>
      <c r="C1133" s="12" t="s">
        <v>307</v>
      </c>
      <c r="D1133" s="12">
        <v>0</v>
      </c>
      <c r="E1133" s="12" t="s">
        <v>307</v>
      </c>
      <c r="F1133" s="3" t="s">
        <v>2186</v>
      </c>
    </row>
    <row r="1134" spans="1:6" x14ac:dyDescent="0.25">
      <c r="A1134" s="36">
        <v>43696.7971412037</v>
      </c>
      <c r="B1134" s="3" t="s">
        <v>2057</v>
      </c>
      <c r="C1134" s="12" t="s">
        <v>307</v>
      </c>
      <c r="D1134" s="12">
        <v>0</v>
      </c>
      <c r="E1134" s="12" t="s">
        <v>307</v>
      </c>
      <c r="F1134" s="3" t="s">
        <v>2186</v>
      </c>
    </row>
    <row r="1135" spans="1:6" x14ac:dyDescent="0.25">
      <c r="A1135" s="36">
        <v>43696.797152777777</v>
      </c>
      <c r="B1135" s="3" t="s">
        <v>2060</v>
      </c>
      <c r="C1135" s="12" t="s">
        <v>307</v>
      </c>
      <c r="D1135" s="12">
        <v>0</v>
      </c>
      <c r="E1135" s="12" t="s">
        <v>307</v>
      </c>
      <c r="F1135" s="3" t="s">
        <v>2186</v>
      </c>
    </row>
    <row r="1136" spans="1:6" x14ac:dyDescent="0.25">
      <c r="A1136" s="36">
        <v>43696.797152777777</v>
      </c>
      <c r="B1136" s="3" t="s">
        <v>2063</v>
      </c>
      <c r="C1136" s="12" t="s">
        <v>307</v>
      </c>
      <c r="D1136" s="12">
        <v>0</v>
      </c>
      <c r="E1136" s="12" t="s">
        <v>307</v>
      </c>
      <c r="F1136" s="3" t="s">
        <v>2186</v>
      </c>
    </row>
    <row r="1137" spans="1:6" x14ac:dyDescent="0.25">
      <c r="A1137" s="36">
        <v>43696.797152777777</v>
      </c>
      <c r="B1137" s="3" t="s">
        <v>2066</v>
      </c>
      <c r="C1137" s="12" t="s">
        <v>307</v>
      </c>
      <c r="D1137" s="12">
        <v>0</v>
      </c>
      <c r="E1137" s="12" t="s">
        <v>307</v>
      </c>
      <c r="F1137" s="3" t="s">
        <v>2186</v>
      </c>
    </row>
    <row r="1138" spans="1:6" x14ac:dyDescent="0.25">
      <c r="A1138" s="36">
        <v>43696.797152777777</v>
      </c>
      <c r="B1138" s="3" t="s">
        <v>2069</v>
      </c>
      <c r="C1138" s="12" t="s">
        <v>307</v>
      </c>
      <c r="D1138" s="12">
        <v>0</v>
      </c>
      <c r="E1138" s="12" t="s">
        <v>307</v>
      </c>
      <c r="F1138" s="3" t="s">
        <v>2186</v>
      </c>
    </row>
    <row r="1139" spans="1:6" x14ac:dyDescent="0.25">
      <c r="A1139" s="36">
        <v>43696.797164351854</v>
      </c>
      <c r="B1139" s="3" t="s">
        <v>2072</v>
      </c>
      <c r="C1139" s="12" t="s">
        <v>307</v>
      </c>
      <c r="D1139" s="12">
        <v>0</v>
      </c>
      <c r="E1139" s="12" t="s">
        <v>307</v>
      </c>
      <c r="F1139" s="3" t="s">
        <v>2186</v>
      </c>
    </row>
    <row r="1140" spans="1:6" x14ac:dyDescent="0.25">
      <c r="A1140" s="36">
        <v>43696.797164351854</v>
      </c>
      <c r="B1140" s="3" t="s">
        <v>2075</v>
      </c>
      <c r="C1140" s="12" t="s">
        <v>307</v>
      </c>
      <c r="D1140" s="12">
        <v>0</v>
      </c>
      <c r="E1140" s="12" t="s">
        <v>307</v>
      </c>
      <c r="F1140" s="3" t="s">
        <v>2186</v>
      </c>
    </row>
    <row r="1141" spans="1:6" x14ac:dyDescent="0.25">
      <c r="A1141" s="36">
        <v>43696.797164351854</v>
      </c>
      <c r="B1141" s="3" t="s">
        <v>2078</v>
      </c>
      <c r="C1141" s="12" t="s">
        <v>307</v>
      </c>
      <c r="D1141" s="12">
        <v>0</v>
      </c>
      <c r="E1141" s="12" t="s">
        <v>307</v>
      </c>
      <c r="F1141" s="3" t="s">
        <v>2186</v>
      </c>
    </row>
    <row r="1142" spans="1:6" x14ac:dyDescent="0.25">
      <c r="A1142" s="36">
        <v>43696.797164351854</v>
      </c>
      <c r="B1142" s="3" t="s">
        <v>2081</v>
      </c>
      <c r="C1142" s="12" t="s">
        <v>307</v>
      </c>
      <c r="D1142" s="12">
        <v>0</v>
      </c>
      <c r="E1142" s="12" t="s">
        <v>307</v>
      </c>
      <c r="F1142" s="3" t="s">
        <v>2186</v>
      </c>
    </row>
    <row r="1143" spans="1:6" x14ac:dyDescent="0.25">
      <c r="A1143" s="36">
        <v>43696.797175925924</v>
      </c>
      <c r="B1143" s="3" t="s">
        <v>2084</v>
      </c>
      <c r="C1143" s="12" t="s">
        <v>307</v>
      </c>
      <c r="D1143" s="12">
        <v>0</v>
      </c>
      <c r="E1143" s="12" t="s">
        <v>307</v>
      </c>
      <c r="F1143" s="3" t="s">
        <v>2186</v>
      </c>
    </row>
    <row r="1144" spans="1:6" x14ac:dyDescent="0.25">
      <c r="A1144" s="36">
        <v>43696.797175925924</v>
      </c>
      <c r="B1144" s="3" t="s">
        <v>2087</v>
      </c>
      <c r="C1144" s="12" t="s">
        <v>307</v>
      </c>
      <c r="D1144" s="12">
        <v>0</v>
      </c>
      <c r="E1144" s="12" t="s">
        <v>307</v>
      </c>
      <c r="F1144" s="3" t="s">
        <v>2186</v>
      </c>
    </row>
    <row r="1145" spans="1:6" x14ac:dyDescent="0.25">
      <c r="A1145" s="36">
        <v>43696.797175925924</v>
      </c>
      <c r="B1145" s="3" t="s">
        <v>2091</v>
      </c>
      <c r="C1145" s="12" t="s">
        <v>307</v>
      </c>
      <c r="D1145" s="12">
        <v>0</v>
      </c>
      <c r="E1145" s="12" t="s">
        <v>307</v>
      </c>
      <c r="F1145" s="3" t="s">
        <v>2186</v>
      </c>
    </row>
    <row r="1146" spans="1:6" x14ac:dyDescent="0.25">
      <c r="A1146" s="36">
        <v>43696.797175925924</v>
      </c>
      <c r="B1146" s="3" t="s">
        <v>2094</v>
      </c>
      <c r="C1146" s="12" t="s">
        <v>307</v>
      </c>
      <c r="D1146" s="12">
        <v>0</v>
      </c>
      <c r="E1146" s="12" t="s">
        <v>307</v>
      </c>
      <c r="F1146" s="3" t="s">
        <v>2186</v>
      </c>
    </row>
    <row r="1147" spans="1:6" x14ac:dyDescent="0.25">
      <c r="A1147" s="36">
        <v>43696.7971875</v>
      </c>
      <c r="B1147" s="3" t="s">
        <v>2097</v>
      </c>
      <c r="C1147" s="12" t="s">
        <v>307</v>
      </c>
      <c r="D1147" s="12">
        <v>0</v>
      </c>
      <c r="E1147" s="12" t="s">
        <v>307</v>
      </c>
      <c r="F1147" s="3" t="s">
        <v>2186</v>
      </c>
    </row>
    <row r="1148" spans="1:6" x14ac:dyDescent="0.25">
      <c r="A1148" s="36">
        <v>43696.7971875</v>
      </c>
      <c r="B1148" s="3" t="s">
        <v>2100</v>
      </c>
      <c r="C1148" s="12" t="s">
        <v>307</v>
      </c>
      <c r="D1148" s="12">
        <v>0</v>
      </c>
      <c r="E1148" s="12" t="s">
        <v>307</v>
      </c>
      <c r="F1148" s="3" t="s">
        <v>2186</v>
      </c>
    </row>
    <row r="1149" spans="1:6" x14ac:dyDescent="0.25">
      <c r="A1149" s="36">
        <v>43696.7971875</v>
      </c>
      <c r="B1149" s="3" t="s">
        <v>2104</v>
      </c>
      <c r="C1149" s="12" t="s">
        <v>307</v>
      </c>
      <c r="D1149" s="12">
        <v>0</v>
      </c>
      <c r="E1149" s="12" t="s">
        <v>307</v>
      </c>
      <c r="F1149" s="3" t="s">
        <v>2186</v>
      </c>
    </row>
    <row r="1150" spans="1:6" x14ac:dyDescent="0.25">
      <c r="A1150" s="36">
        <v>43696.797199074077</v>
      </c>
      <c r="B1150" s="3" t="s">
        <v>2107</v>
      </c>
      <c r="C1150" s="12" t="s">
        <v>307</v>
      </c>
      <c r="D1150" s="12">
        <v>0</v>
      </c>
      <c r="E1150" s="12" t="s">
        <v>307</v>
      </c>
      <c r="F1150" s="3" t="s">
        <v>2186</v>
      </c>
    </row>
    <row r="1151" spans="1:6" x14ac:dyDescent="0.25">
      <c r="A1151" s="36">
        <v>43696.797199074077</v>
      </c>
      <c r="B1151" s="3" t="s">
        <v>2110</v>
      </c>
      <c r="C1151" s="12" t="s">
        <v>307</v>
      </c>
      <c r="D1151" s="12">
        <v>0</v>
      </c>
      <c r="E1151" s="12" t="s">
        <v>307</v>
      </c>
      <c r="F1151" s="3" t="s">
        <v>2186</v>
      </c>
    </row>
    <row r="1152" spans="1:6" x14ac:dyDescent="0.25">
      <c r="A1152" s="36">
        <v>43696.797199074077</v>
      </c>
      <c r="B1152" s="3" t="s">
        <v>2113</v>
      </c>
      <c r="C1152" s="12" t="s">
        <v>307</v>
      </c>
      <c r="D1152" s="12">
        <v>0</v>
      </c>
      <c r="E1152" s="12" t="s">
        <v>307</v>
      </c>
      <c r="F1152" s="3" t="s">
        <v>2186</v>
      </c>
    </row>
    <row r="1153" spans="1:6" x14ac:dyDescent="0.25">
      <c r="A1153" s="36">
        <v>43696.797199074077</v>
      </c>
      <c r="B1153" s="3" t="s">
        <v>2116</v>
      </c>
      <c r="C1153" s="12" t="s">
        <v>307</v>
      </c>
      <c r="D1153" s="12">
        <v>0</v>
      </c>
      <c r="E1153" s="12" t="s">
        <v>307</v>
      </c>
      <c r="F1153" s="3" t="s">
        <v>2186</v>
      </c>
    </row>
    <row r="1154" spans="1:6" x14ac:dyDescent="0.25">
      <c r="A1154" s="36">
        <v>43696.797199074077</v>
      </c>
      <c r="B1154" s="3" t="s">
        <v>1447</v>
      </c>
      <c r="C1154" s="12" t="s">
        <v>307</v>
      </c>
      <c r="D1154" s="12">
        <v>0</v>
      </c>
      <c r="E1154" s="12">
        <v>0</v>
      </c>
      <c r="F1154" s="3" t="s">
        <v>2186</v>
      </c>
    </row>
    <row r="1155" spans="1:6" x14ac:dyDescent="0.25">
      <c r="A1155" s="36">
        <v>43696.797210648147</v>
      </c>
      <c r="B1155" s="3" t="s">
        <v>2119</v>
      </c>
      <c r="C1155" s="12" t="s">
        <v>307</v>
      </c>
      <c r="D1155" s="12">
        <v>0</v>
      </c>
      <c r="E1155" s="12" t="s">
        <v>307</v>
      </c>
      <c r="F1155" s="3" t="s">
        <v>2186</v>
      </c>
    </row>
    <row r="1156" spans="1:6" x14ac:dyDescent="0.25">
      <c r="A1156" s="36">
        <v>43696.797210648147</v>
      </c>
      <c r="B1156" s="3" t="s">
        <v>1009</v>
      </c>
      <c r="C1156" s="12" t="s">
        <v>307</v>
      </c>
      <c r="D1156" s="12">
        <v>7</v>
      </c>
      <c r="E1156" s="12">
        <v>7</v>
      </c>
      <c r="F1156" s="3" t="s">
        <v>2186</v>
      </c>
    </row>
    <row r="1157" spans="1:6" x14ac:dyDescent="0.25">
      <c r="A1157" s="36">
        <v>43696.797210648147</v>
      </c>
      <c r="B1157" s="3" t="s">
        <v>2122</v>
      </c>
      <c r="C1157" s="12" t="s">
        <v>307</v>
      </c>
      <c r="D1157" s="12">
        <v>0</v>
      </c>
      <c r="E1157" s="12" t="s">
        <v>307</v>
      </c>
      <c r="F1157" s="3" t="s">
        <v>2186</v>
      </c>
    </row>
    <row r="1158" spans="1:6" x14ac:dyDescent="0.25">
      <c r="A1158" s="36">
        <v>43696.797210648147</v>
      </c>
      <c r="B1158" s="3" t="s">
        <v>2125</v>
      </c>
      <c r="C1158" s="12" t="s">
        <v>307</v>
      </c>
      <c r="D1158" s="12">
        <v>0</v>
      </c>
      <c r="E1158" s="12" t="s">
        <v>307</v>
      </c>
      <c r="F1158" s="3" t="s">
        <v>2186</v>
      </c>
    </row>
    <row r="1159" spans="1:6" x14ac:dyDescent="0.25">
      <c r="A1159" s="36">
        <v>43696.797222222223</v>
      </c>
      <c r="B1159" s="3" t="s">
        <v>2128</v>
      </c>
      <c r="C1159" s="12" t="s">
        <v>307</v>
      </c>
      <c r="D1159" s="12">
        <v>0</v>
      </c>
      <c r="E1159" s="12" t="s">
        <v>307</v>
      </c>
      <c r="F1159" s="3" t="s">
        <v>2186</v>
      </c>
    </row>
    <row r="1160" spans="1:6" x14ac:dyDescent="0.25">
      <c r="A1160" s="36">
        <v>43696.797222222223</v>
      </c>
      <c r="B1160" s="3" t="s">
        <v>2131</v>
      </c>
      <c r="C1160" s="12" t="s">
        <v>307</v>
      </c>
      <c r="D1160" s="12">
        <v>0</v>
      </c>
      <c r="E1160" s="12" t="s">
        <v>307</v>
      </c>
      <c r="F1160" s="3" t="s">
        <v>2186</v>
      </c>
    </row>
    <row r="1161" spans="1:6" x14ac:dyDescent="0.25">
      <c r="A1161" s="36">
        <v>43696.797222222223</v>
      </c>
      <c r="B1161" s="3" t="s">
        <v>2134</v>
      </c>
      <c r="C1161" s="12" t="s">
        <v>307</v>
      </c>
      <c r="D1161" s="12">
        <v>0</v>
      </c>
      <c r="E1161" s="12" t="s">
        <v>307</v>
      </c>
      <c r="F1161" s="3" t="s">
        <v>2186</v>
      </c>
    </row>
    <row r="1162" spans="1:6" x14ac:dyDescent="0.25">
      <c r="A1162" s="36">
        <v>43696.797222222223</v>
      </c>
      <c r="B1162" s="3" t="s">
        <v>2137</v>
      </c>
      <c r="C1162" s="12" t="s">
        <v>307</v>
      </c>
      <c r="D1162" s="12">
        <v>0</v>
      </c>
      <c r="E1162" s="12" t="s">
        <v>307</v>
      </c>
      <c r="F1162" s="3" t="s">
        <v>2186</v>
      </c>
    </row>
    <row r="1163" spans="1:6" x14ac:dyDescent="0.25">
      <c r="A1163" s="36">
        <v>43696.797222222223</v>
      </c>
      <c r="B1163" s="3" t="s">
        <v>1021</v>
      </c>
      <c r="C1163" s="12" t="s">
        <v>307</v>
      </c>
      <c r="D1163" s="12">
        <v>9</v>
      </c>
      <c r="E1163" s="12">
        <v>9</v>
      </c>
      <c r="F1163" s="3" t="s">
        <v>2186</v>
      </c>
    </row>
    <row r="1164" spans="1:6" x14ac:dyDescent="0.25">
      <c r="A1164" s="36">
        <v>43696.797233796293</v>
      </c>
      <c r="B1164" s="3" t="s">
        <v>2140</v>
      </c>
      <c r="C1164" s="12" t="s">
        <v>307</v>
      </c>
      <c r="D1164" s="12">
        <v>0</v>
      </c>
      <c r="E1164" s="12" t="s">
        <v>307</v>
      </c>
      <c r="F1164" s="3" t="s">
        <v>2186</v>
      </c>
    </row>
    <row r="1165" spans="1:6" x14ac:dyDescent="0.25">
      <c r="A1165" s="36">
        <v>43696.797233796293</v>
      </c>
      <c r="B1165" s="3" t="s">
        <v>2143</v>
      </c>
      <c r="C1165" s="12" t="s">
        <v>307</v>
      </c>
      <c r="D1165" s="12">
        <v>0</v>
      </c>
      <c r="E1165" s="12" t="s">
        <v>307</v>
      </c>
      <c r="F1165" s="3" t="s">
        <v>2186</v>
      </c>
    </row>
    <row r="1166" spans="1:6" x14ac:dyDescent="0.25">
      <c r="A1166" s="36">
        <v>43696.797233796293</v>
      </c>
      <c r="B1166" s="3" t="s">
        <v>2146</v>
      </c>
      <c r="C1166" s="12" t="s">
        <v>307</v>
      </c>
      <c r="D1166" s="12">
        <v>0</v>
      </c>
      <c r="E1166" s="12" t="s">
        <v>307</v>
      </c>
      <c r="F1166" s="3" t="s">
        <v>2186</v>
      </c>
    </row>
    <row r="1167" spans="1:6" x14ac:dyDescent="0.25">
      <c r="A1167" s="36">
        <v>43696.79724537037</v>
      </c>
      <c r="B1167" s="3" t="s">
        <v>2149</v>
      </c>
      <c r="C1167" s="12" t="s">
        <v>307</v>
      </c>
      <c r="D1167" s="12">
        <v>0</v>
      </c>
      <c r="E1167" s="12" t="s">
        <v>307</v>
      </c>
      <c r="F1167" s="3" t="s">
        <v>2186</v>
      </c>
    </row>
    <row r="1168" spans="1:6" x14ac:dyDescent="0.25">
      <c r="A1168" s="36">
        <v>43696.79724537037</v>
      </c>
      <c r="B1168" s="3" t="s">
        <v>2152</v>
      </c>
      <c r="C1168" s="12" t="s">
        <v>307</v>
      </c>
      <c r="D1168" s="12">
        <v>0</v>
      </c>
      <c r="E1168" s="12" t="s">
        <v>307</v>
      </c>
      <c r="F1168" s="3" t="s">
        <v>2186</v>
      </c>
    </row>
    <row r="1169" spans="1:6" x14ac:dyDescent="0.25">
      <c r="A1169" s="36">
        <v>43696.79724537037</v>
      </c>
      <c r="B1169" s="3" t="s">
        <v>2155</v>
      </c>
      <c r="C1169" s="12" t="s">
        <v>307</v>
      </c>
      <c r="D1169" s="12">
        <v>0</v>
      </c>
      <c r="E1169" s="12" t="s">
        <v>307</v>
      </c>
      <c r="F1169" s="3" t="s">
        <v>2186</v>
      </c>
    </row>
    <row r="1170" spans="1:6" x14ac:dyDescent="0.25">
      <c r="A1170" s="36">
        <v>43696.79724537037</v>
      </c>
      <c r="B1170" s="3" t="s">
        <v>2159</v>
      </c>
      <c r="C1170" s="12" t="s">
        <v>307</v>
      </c>
      <c r="D1170" s="12">
        <v>0</v>
      </c>
      <c r="E1170" s="12" t="s">
        <v>307</v>
      </c>
      <c r="F1170" s="3" t="s">
        <v>2186</v>
      </c>
    </row>
    <row r="1171" spans="1:6" x14ac:dyDescent="0.25">
      <c r="A1171" s="36">
        <v>43696.797256944446</v>
      </c>
      <c r="B1171" s="3" t="s">
        <v>2162</v>
      </c>
      <c r="C1171" s="12" t="s">
        <v>307</v>
      </c>
      <c r="D1171" s="12">
        <v>0</v>
      </c>
      <c r="E1171" s="12" t="s">
        <v>307</v>
      </c>
      <c r="F1171" s="3" t="s">
        <v>2186</v>
      </c>
    </row>
    <row r="1172" spans="1:6" x14ac:dyDescent="0.25">
      <c r="A1172" s="36">
        <v>43696.797256944446</v>
      </c>
      <c r="B1172" s="3" t="s">
        <v>2165</v>
      </c>
      <c r="C1172" s="12" t="s">
        <v>307</v>
      </c>
      <c r="D1172" s="12">
        <v>0</v>
      </c>
      <c r="E1172" s="12" t="s">
        <v>307</v>
      </c>
      <c r="F1172" s="3" t="s">
        <v>2186</v>
      </c>
    </row>
    <row r="1173" spans="1:6" x14ac:dyDescent="0.25">
      <c r="A1173" s="36">
        <v>43696.797256944446</v>
      </c>
      <c r="B1173" s="3" t="s">
        <v>2168</v>
      </c>
      <c r="C1173" s="12" t="s">
        <v>307</v>
      </c>
      <c r="D1173" s="12">
        <v>0</v>
      </c>
      <c r="E1173" s="12" t="s">
        <v>307</v>
      </c>
      <c r="F1173" s="3" t="s">
        <v>2186</v>
      </c>
    </row>
    <row r="1174" spans="1:6" x14ac:dyDescent="0.25">
      <c r="A1174" s="36">
        <v>43696.797268518516</v>
      </c>
      <c r="B1174" s="3" t="s">
        <v>2172</v>
      </c>
      <c r="C1174" s="12" t="s">
        <v>307</v>
      </c>
      <c r="D1174" s="12">
        <v>0</v>
      </c>
      <c r="E1174" s="12" t="s">
        <v>307</v>
      </c>
      <c r="F1174" s="3" t="s">
        <v>2186</v>
      </c>
    </row>
    <row r="1175" spans="1:6" x14ac:dyDescent="0.25">
      <c r="A1175" s="36">
        <v>43696.797268518516</v>
      </c>
      <c r="B1175" s="3" t="s">
        <v>2175</v>
      </c>
      <c r="C1175" s="12" t="s">
        <v>307</v>
      </c>
      <c r="D1175" s="12">
        <v>0</v>
      </c>
      <c r="E1175" s="12" t="s">
        <v>307</v>
      </c>
      <c r="F1175" s="3" t="s">
        <v>2186</v>
      </c>
    </row>
    <row r="1176" spans="1:6" x14ac:dyDescent="0.25">
      <c r="A1176" s="36">
        <v>43696.797268518516</v>
      </c>
      <c r="B1176" s="3" t="s">
        <v>2178</v>
      </c>
      <c r="C1176" s="12" t="s">
        <v>307</v>
      </c>
      <c r="D1176" s="12">
        <v>0</v>
      </c>
      <c r="E1176" s="12" t="s">
        <v>307</v>
      </c>
      <c r="F1176" s="3" t="s">
        <v>2186</v>
      </c>
    </row>
    <row r="1177" spans="1:6" x14ac:dyDescent="0.25">
      <c r="A1177" s="36">
        <v>43696.797268518516</v>
      </c>
      <c r="B1177" s="3" t="s">
        <v>2181</v>
      </c>
      <c r="C1177" s="12" t="s">
        <v>307</v>
      </c>
      <c r="D1177" s="12">
        <v>0</v>
      </c>
      <c r="E1177" s="12" t="s">
        <v>307</v>
      </c>
      <c r="F1177" s="3" t="s">
        <v>2186</v>
      </c>
    </row>
    <row r="1178" spans="1:6" x14ac:dyDescent="0.25">
      <c r="A1178" s="36">
        <v>43696.797280092593</v>
      </c>
      <c r="B1178" s="3" t="s">
        <v>2184</v>
      </c>
      <c r="C1178" s="12" t="s">
        <v>307</v>
      </c>
      <c r="D1178" s="12">
        <v>0</v>
      </c>
      <c r="E1178" s="12" t="s">
        <v>307</v>
      </c>
      <c r="F1178" s="3" t="s">
        <v>2186</v>
      </c>
    </row>
    <row r="1179" spans="1:6" x14ac:dyDescent="0.25">
      <c r="A1179" s="36">
        <v>43700.439467592594</v>
      </c>
      <c r="B1179" s="3" t="s">
        <v>2187</v>
      </c>
      <c r="C1179" s="12" t="s">
        <v>307</v>
      </c>
      <c r="D1179" s="12">
        <v>0</v>
      </c>
      <c r="E1179" s="12" t="s">
        <v>307</v>
      </c>
      <c r="F1179" s="3" t="s">
        <v>475</v>
      </c>
    </row>
    <row r="1180" spans="1:6" x14ac:dyDescent="0.25">
      <c r="A1180" s="36">
        <v>43700.439664351848</v>
      </c>
      <c r="B1180" s="3" t="s">
        <v>2192</v>
      </c>
      <c r="C1180" s="12" t="s">
        <v>307</v>
      </c>
      <c r="D1180" s="12">
        <v>0</v>
      </c>
      <c r="E1180" s="12" t="s">
        <v>307</v>
      </c>
      <c r="F1180" s="3" t="s">
        <v>475</v>
      </c>
    </row>
    <row r="1181" spans="1:6" x14ac:dyDescent="0.25">
      <c r="A1181" s="36">
        <v>43702.448888888888</v>
      </c>
      <c r="B1181" s="3" t="s">
        <v>1441</v>
      </c>
      <c r="C1181" s="12" t="s">
        <v>307</v>
      </c>
      <c r="D1181" s="12">
        <v>0</v>
      </c>
      <c r="E1181" s="12" t="s">
        <v>307</v>
      </c>
      <c r="F1181" s="3" t="s">
        <v>475</v>
      </c>
    </row>
    <row r="1182" spans="1:6" x14ac:dyDescent="0.25">
      <c r="A1182" s="36">
        <v>43702.449803240743</v>
      </c>
      <c r="B1182" s="3" t="s">
        <v>1460</v>
      </c>
      <c r="C1182" s="12" t="s">
        <v>307</v>
      </c>
      <c r="D1182" s="12">
        <v>0</v>
      </c>
      <c r="E1182" s="12" t="s">
        <v>307</v>
      </c>
      <c r="F1182" s="3" t="s">
        <v>475</v>
      </c>
    </row>
    <row r="1183" spans="1:6" x14ac:dyDescent="0.25">
      <c r="A1183" s="36">
        <v>43702.450254629628</v>
      </c>
      <c r="B1183" s="3" t="s">
        <v>1456</v>
      </c>
      <c r="C1183" s="12" t="s">
        <v>307</v>
      </c>
      <c r="D1183" s="12">
        <v>0</v>
      </c>
      <c r="E1183" s="12" t="s">
        <v>307</v>
      </c>
      <c r="F1183" s="3" t="s">
        <v>475</v>
      </c>
    </row>
    <row r="1184" spans="1:6" x14ac:dyDescent="0.25">
      <c r="A1184" s="36">
        <v>43702.450624999998</v>
      </c>
      <c r="B1184" s="3" t="s">
        <v>1453</v>
      </c>
      <c r="C1184" s="12" t="s">
        <v>307</v>
      </c>
      <c r="D1184" s="12">
        <v>0</v>
      </c>
      <c r="E1184" s="12" t="s">
        <v>307</v>
      </c>
      <c r="F1184" s="3" t="s">
        <v>475</v>
      </c>
    </row>
    <row r="1185" spans="1:6" x14ac:dyDescent="0.25">
      <c r="A1185" s="36">
        <v>43702.631793981483</v>
      </c>
      <c r="B1185" s="3" t="s">
        <v>1393</v>
      </c>
      <c r="C1185" s="12" t="s">
        <v>392</v>
      </c>
      <c r="D1185" s="12">
        <v>0</v>
      </c>
      <c r="E1185" s="12">
        <v>5</v>
      </c>
      <c r="F1185" s="3" t="s">
        <v>2203</v>
      </c>
    </row>
    <row r="1186" spans="1:6" x14ac:dyDescent="0.25">
      <c r="A1186" s="36">
        <v>43703.562881944446</v>
      </c>
      <c r="B1186" s="3" t="s">
        <v>1326</v>
      </c>
      <c r="C1186" s="12" t="s">
        <v>393</v>
      </c>
      <c r="D1186" s="12">
        <v>0</v>
      </c>
      <c r="E1186" s="12">
        <v>10</v>
      </c>
      <c r="F1186" s="3" t="s">
        <v>2206</v>
      </c>
    </row>
    <row r="1187" spans="1:6" x14ac:dyDescent="0.25">
      <c r="A1187" s="36">
        <v>43703.562974537039</v>
      </c>
      <c r="B1187" s="3" t="s">
        <v>1098</v>
      </c>
      <c r="C1187" s="12" t="s">
        <v>1144</v>
      </c>
      <c r="D1187" s="12">
        <v>1.361</v>
      </c>
      <c r="E1187" s="12">
        <v>3.3610000000000002</v>
      </c>
      <c r="F1187" s="3" t="s">
        <v>2206</v>
      </c>
    </row>
    <row r="1188" spans="1:6" x14ac:dyDescent="0.25">
      <c r="A1188" s="36">
        <v>43703.563125000001</v>
      </c>
      <c r="B1188" s="3" t="s">
        <v>314</v>
      </c>
      <c r="C1188" s="12" t="s">
        <v>338</v>
      </c>
      <c r="D1188" s="12">
        <v>0</v>
      </c>
      <c r="E1188" s="12">
        <v>1</v>
      </c>
      <c r="F1188" s="3" t="s">
        <v>2206</v>
      </c>
    </row>
    <row r="1189" spans="1:6" x14ac:dyDescent="0.25">
      <c r="A1189" s="36">
        <v>43703.56322916667</v>
      </c>
      <c r="B1189" s="3" t="s">
        <v>24</v>
      </c>
      <c r="C1189" s="12" t="s">
        <v>393</v>
      </c>
      <c r="D1189" s="12">
        <v>6</v>
      </c>
      <c r="E1189" s="12">
        <v>16</v>
      </c>
      <c r="F1189" s="3" t="s">
        <v>2206</v>
      </c>
    </row>
    <row r="1190" spans="1:6" x14ac:dyDescent="0.25">
      <c r="A1190" s="36">
        <v>43703.563368055555</v>
      </c>
      <c r="B1190" s="3" t="s">
        <v>1689</v>
      </c>
      <c r="C1190" s="12" t="s">
        <v>393</v>
      </c>
      <c r="D1190" s="12">
        <v>0</v>
      </c>
      <c r="E1190" s="12">
        <v>10</v>
      </c>
      <c r="F1190" s="3" t="s">
        <v>2206</v>
      </c>
    </row>
    <row r="1191" spans="1:6" x14ac:dyDescent="0.25">
      <c r="A1191" s="36">
        <v>43703.563506944447</v>
      </c>
      <c r="B1191" s="3" t="s">
        <v>1692</v>
      </c>
      <c r="C1191" s="12" t="s">
        <v>393</v>
      </c>
      <c r="D1191" s="12">
        <v>0</v>
      </c>
      <c r="E1191" s="12">
        <v>10</v>
      </c>
      <c r="F1191" s="3" t="s">
        <v>2206</v>
      </c>
    </row>
    <row r="1192" spans="1:6" x14ac:dyDescent="0.25">
      <c r="A1192" s="36">
        <v>43703.563576388886</v>
      </c>
      <c r="B1192" s="3" t="s">
        <v>1695</v>
      </c>
      <c r="C1192" s="12" t="s">
        <v>393</v>
      </c>
      <c r="D1192" s="12">
        <v>0</v>
      </c>
      <c r="E1192" s="12">
        <v>10</v>
      </c>
      <c r="F1192" s="3" t="s">
        <v>2206</v>
      </c>
    </row>
    <row r="1193" spans="1:6" x14ac:dyDescent="0.25">
      <c r="A1193" s="36">
        <v>43703.563680555555</v>
      </c>
      <c r="B1193" s="3" t="s">
        <v>127</v>
      </c>
      <c r="C1193" s="12" t="s">
        <v>1147</v>
      </c>
      <c r="D1193" s="12">
        <v>3</v>
      </c>
      <c r="E1193" s="12">
        <v>6</v>
      </c>
      <c r="F1193" s="3" t="s">
        <v>2206</v>
      </c>
    </row>
    <row r="1194" spans="1:6" x14ac:dyDescent="0.25">
      <c r="A1194" s="36">
        <v>43703.563761574071</v>
      </c>
      <c r="B1194" s="3" t="s">
        <v>210</v>
      </c>
      <c r="C1194" s="12" t="s">
        <v>393</v>
      </c>
      <c r="D1194" s="12">
        <v>4</v>
      </c>
      <c r="E1194" s="12">
        <v>14</v>
      </c>
      <c r="F1194" s="3" t="s">
        <v>2206</v>
      </c>
    </row>
    <row r="1195" spans="1:6" x14ac:dyDescent="0.25">
      <c r="A1195" s="36">
        <v>43703.563946759263</v>
      </c>
      <c r="B1195" s="3" t="s">
        <v>998</v>
      </c>
      <c r="C1195" s="12" t="s">
        <v>393</v>
      </c>
      <c r="D1195" s="12">
        <v>0</v>
      </c>
      <c r="E1195" s="12">
        <v>10</v>
      </c>
      <c r="F1195" s="3" t="s">
        <v>2206</v>
      </c>
    </row>
    <row r="1196" spans="1:6" x14ac:dyDescent="0.25">
      <c r="A1196" s="36">
        <v>43703.564618055556</v>
      </c>
      <c r="B1196" s="3" t="s">
        <v>1003</v>
      </c>
      <c r="C1196" s="12" t="s">
        <v>393</v>
      </c>
      <c r="D1196" s="12">
        <v>0</v>
      </c>
      <c r="E1196" s="12" t="s">
        <v>393</v>
      </c>
      <c r="F1196" s="3" t="s">
        <v>2206</v>
      </c>
    </row>
    <row r="1197" spans="1:6" x14ac:dyDescent="0.25">
      <c r="A1197" s="36">
        <v>43703.565474537034</v>
      </c>
      <c r="B1197" s="3" t="s">
        <v>989</v>
      </c>
      <c r="C1197" s="12" t="s">
        <v>393</v>
      </c>
      <c r="D1197" s="12">
        <v>6</v>
      </c>
      <c r="E1197" s="12">
        <v>16</v>
      </c>
      <c r="F1197" s="3" t="s">
        <v>2206</v>
      </c>
    </row>
    <row r="1198" spans="1:6" x14ac:dyDescent="0.25">
      <c r="A1198" s="36">
        <v>43703.565532407411</v>
      </c>
      <c r="B1198" s="3" t="s">
        <v>1009</v>
      </c>
      <c r="C1198" s="12" t="s">
        <v>393</v>
      </c>
      <c r="D1198" s="12">
        <v>7</v>
      </c>
      <c r="E1198" s="12">
        <v>17</v>
      </c>
      <c r="F1198" s="3" t="s">
        <v>2206</v>
      </c>
    </row>
    <row r="1199" spans="1:6" x14ac:dyDescent="0.25">
      <c r="A1199" s="36">
        <v>43703.580833333333</v>
      </c>
      <c r="B1199" s="3" t="s">
        <v>1456</v>
      </c>
      <c r="C1199" s="12" t="s">
        <v>393</v>
      </c>
      <c r="D1199" s="12">
        <v>0</v>
      </c>
      <c r="E1199" s="12">
        <v>10</v>
      </c>
      <c r="F1199" s="3" t="s">
        <v>2206</v>
      </c>
    </row>
    <row r="1200" spans="1:6" x14ac:dyDescent="0.25">
      <c r="A1200" s="36">
        <v>43703.580891203703</v>
      </c>
      <c r="B1200" s="3" t="s">
        <v>1460</v>
      </c>
      <c r="C1200" s="12" t="s">
        <v>393</v>
      </c>
      <c r="D1200" s="12">
        <v>0</v>
      </c>
      <c r="E1200" s="12">
        <v>10</v>
      </c>
      <c r="F1200" s="3" t="s">
        <v>2206</v>
      </c>
    </row>
    <row r="1201" spans="1:6" x14ac:dyDescent="0.25">
      <c r="A1201" s="36">
        <v>43703.580960648149</v>
      </c>
      <c r="B1201" s="3" t="s">
        <v>535</v>
      </c>
      <c r="C1201" s="12" t="s">
        <v>393</v>
      </c>
      <c r="D1201" s="12">
        <v>5</v>
      </c>
      <c r="E1201" s="12">
        <v>15</v>
      </c>
      <c r="F1201" s="3" t="s">
        <v>2206</v>
      </c>
    </row>
    <row r="1202" spans="1:6" x14ac:dyDescent="0.25">
      <c r="A1202" s="36">
        <v>43703.581053240741</v>
      </c>
      <c r="B1202" s="3" t="s">
        <v>536</v>
      </c>
      <c r="C1202" s="12" t="s">
        <v>393</v>
      </c>
      <c r="D1202" s="12">
        <v>17</v>
      </c>
      <c r="E1202" s="12">
        <v>27</v>
      </c>
      <c r="F1202" s="3" t="s">
        <v>2206</v>
      </c>
    </row>
    <row r="1203" spans="1:6" x14ac:dyDescent="0.25">
      <c r="A1203" s="36">
        <v>43703.581157407411</v>
      </c>
      <c r="B1203" s="3" t="s">
        <v>1708</v>
      </c>
      <c r="C1203" s="12" t="s">
        <v>338</v>
      </c>
      <c r="D1203" s="12">
        <v>0</v>
      </c>
      <c r="E1203" s="12">
        <v>1</v>
      </c>
      <c r="F1203" s="3" t="s">
        <v>2206</v>
      </c>
    </row>
    <row r="1204" spans="1:6" x14ac:dyDescent="0.25">
      <c r="A1204" s="36">
        <v>43703.582430555558</v>
      </c>
      <c r="B1204" s="3" t="s">
        <v>1803</v>
      </c>
      <c r="C1204" s="12" t="s">
        <v>393</v>
      </c>
      <c r="D1204" s="12">
        <v>0</v>
      </c>
      <c r="E1204" s="12">
        <v>10</v>
      </c>
      <c r="F1204" s="3" t="s">
        <v>2206</v>
      </c>
    </row>
    <row r="1205" spans="1:6" x14ac:dyDescent="0.25">
      <c r="A1205" s="36">
        <v>43703.582465277781</v>
      </c>
      <c r="B1205" s="3" t="s">
        <v>1447</v>
      </c>
      <c r="C1205" s="12" t="s">
        <v>393</v>
      </c>
      <c r="D1205" s="12">
        <v>0</v>
      </c>
      <c r="E1205" s="12">
        <v>10</v>
      </c>
      <c r="F1205" s="3" t="s">
        <v>2206</v>
      </c>
    </row>
    <row r="1206" spans="1:6" x14ac:dyDescent="0.25">
      <c r="A1206" s="36">
        <v>43703.582824074074</v>
      </c>
      <c r="B1206" s="3" t="s">
        <v>2149</v>
      </c>
      <c r="C1206" s="12" t="s">
        <v>393</v>
      </c>
      <c r="D1206" s="12">
        <v>0</v>
      </c>
      <c r="E1206" s="12">
        <v>10</v>
      </c>
      <c r="F1206" s="3" t="s">
        <v>2206</v>
      </c>
    </row>
    <row r="1207" spans="1:6" x14ac:dyDescent="0.25">
      <c r="A1207" s="36">
        <v>43703.58315972222</v>
      </c>
      <c r="B1207" s="3" t="s">
        <v>2110</v>
      </c>
      <c r="C1207" s="12" t="s">
        <v>393</v>
      </c>
      <c r="D1207" s="12">
        <v>0</v>
      </c>
      <c r="E1207" s="12">
        <v>10</v>
      </c>
      <c r="F1207" s="3" t="s">
        <v>2206</v>
      </c>
    </row>
    <row r="1208" spans="1:6" x14ac:dyDescent="0.25">
      <c r="A1208" s="36">
        <v>43703.58321759259</v>
      </c>
      <c r="B1208" s="3" t="s">
        <v>1854</v>
      </c>
      <c r="C1208" s="12" t="s">
        <v>393</v>
      </c>
      <c r="D1208" s="12">
        <v>0</v>
      </c>
      <c r="E1208" s="12">
        <v>10</v>
      </c>
      <c r="F1208" s="3" t="s">
        <v>2206</v>
      </c>
    </row>
    <row r="1209" spans="1:6" x14ac:dyDescent="0.25">
      <c r="A1209" s="36">
        <v>43703.58326388889</v>
      </c>
      <c r="B1209" s="3" t="s">
        <v>1738</v>
      </c>
      <c r="C1209" s="12" t="s">
        <v>393</v>
      </c>
      <c r="D1209" s="12">
        <v>10</v>
      </c>
      <c r="E1209" s="12">
        <v>20</v>
      </c>
      <c r="F1209" s="3" t="s">
        <v>2206</v>
      </c>
    </row>
    <row r="1210" spans="1:6" x14ac:dyDescent="0.25">
      <c r="A1210" s="36">
        <v>43703.583298611113</v>
      </c>
      <c r="B1210" s="3" t="s">
        <v>1888</v>
      </c>
      <c r="C1210" s="12" t="s">
        <v>393</v>
      </c>
      <c r="D1210" s="12">
        <v>0</v>
      </c>
      <c r="E1210" s="12">
        <v>10</v>
      </c>
      <c r="F1210" s="3" t="s">
        <v>2206</v>
      </c>
    </row>
    <row r="1211" spans="1:6" x14ac:dyDescent="0.25">
      <c r="A1211" s="36">
        <v>43703.583356481482</v>
      </c>
      <c r="B1211" s="3" t="s">
        <v>2060</v>
      </c>
      <c r="C1211" s="12" t="s">
        <v>393</v>
      </c>
      <c r="D1211" s="12">
        <v>0</v>
      </c>
      <c r="E1211" s="12">
        <v>10</v>
      </c>
      <c r="F1211" s="3" t="s">
        <v>2206</v>
      </c>
    </row>
    <row r="1212" spans="1:6" x14ac:dyDescent="0.25">
      <c r="A1212" s="36">
        <v>43703.583402777775</v>
      </c>
      <c r="B1212" s="3" t="s">
        <v>1958</v>
      </c>
      <c r="C1212" s="12" t="s">
        <v>393</v>
      </c>
      <c r="D1212" s="12">
        <v>0</v>
      </c>
      <c r="E1212" s="12">
        <v>10</v>
      </c>
      <c r="F1212" s="3" t="s">
        <v>2206</v>
      </c>
    </row>
    <row r="1213" spans="1:6" x14ac:dyDescent="0.25">
      <c r="A1213" s="36">
        <v>43703.583460648151</v>
      </c>
      <c r="B1213" s="3" t="s">
        <v>1786</v>
      </c>
      <c r="C1213" s="12" t="s">
        <v>393</v>
      </c>
      <c r="D1213" s="12">
        <v>0</v>
      </c>
      <c r="E1213" s="12">
        <v>10</v>
      </c>
      <c r="F1213" s="3" t="s">
        <v>2206</v>
      </c>
    </row>
    <row r="1214" spans="1:6" x14ac:dyDescent="0.25">
      <c r="A1214" s="36">
        <v>43703.583564814813</v>
      </c>
      <c r="B1214" s="3" t="s">
        <v>428</v>
      </c>
      <c r="C1214" s="12" t="s">
        <v>338</v>
      </c>
      <c r="D1214" s="12">
        <v>1.3049999999999999</v>
      </c>
      <c r="E1214" s="12">
        <v>2.3050000000000002</v>
      </c>
      <c r="F1214" s="3" t="s">
        <v>2206</v>
      </c>
    </row>
    <row r="1215" spans="1:6" x14ac:dyDescent="0.25">
      <c r="A1215" s="36">
        <v>43703.5859837963</v>
      </c>
      <c r="B1215" s="3" t="s">
        <v>974</v>
      </c>
      <c r="C1215" s="12" t="s">
        <v>393</v>
      </c>
      <c r="D1215" s="12">
        <v>0</v>
      </c>
      <c r="E1215" s="12">
        <v>10</v>
      </c>
      <c r="F1215" s="3" t="s">
        <v>2206</v>
      </c>
    </row>
    <row r="1216" spans="1:6" x14ac:dyDescent="0.25">
      <c r="A1216" s="36">
        <v>43703.58666666667</v>
      </c>
      <c r="B1216" s="3" t="s">
        <v>1441</v>
      </c>
      <c r="C1216" s="12" t="s">
        <v>393</v>
      </c>
      <c r="D1216" s="12">
        <v>0</v>
      </c>
      <c r="E1216" s="12">
        <v>10</v>
      </c>
      <c r="F1216" s="3" t="s">
        <v>2206</v>
      </c>
    </row>
    <row r="1217" spans="1:6" x14ac:dyDescent="0.25">
      <c r="A1217" s="36">
        <v>43703.586770833332</v>
      </c>
      <c r="B1217" s="3" t="s">
        <v>1453</v>
      </c>
      <c r="C1217" s="12" t="s">
        <v>393</v>
      </c>
      <c r="D1217" s="12">
        <v>0</v>
      </c>
      <c r="E1217" s="12">
        <v>10</v>
      </c>
      <c r="F1217" s="3" t="s">
        <v>2206</v>
      </c>
    </row>
  </sheetData>
  <phoneticPr fontId="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N18"/>
  <sheetViews>
    <sheetView workbookViewId="0">
      <selection activeCell="G16" sqref="G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  <col min="13" max="13" width="13.42578125" bestFit="1" customWidth="1"/>
    <col min="14" max="14" width="11.140625" bestFit="1" customWidth="1"/>
  </cols>
  <sheetData>
    <row r="2" spans="1:14" x14ac:dyDescent="0.25">
      <c r="B2" s="74" t="s">
        <v>450</v>
      </c>
      <c r="G2" s="18" t="s">
        <v>459</v>
      </c>
      <c r="J2" s="18" t="s">
        <v>458</v>
      </c>
      <c r="M2" s="18" t="s">
        <v>1330</v>
      </c>
    </row>
    <row r="3" spans="1:14" x14ac:dyDescent="0.25">
      <c r="B3" s="74"/>
      <c r="G3" s="19" t="s">
        <v>332</v>
      </c>
      <c r="H3" s="19" t="s">
        <v>2</v>
      </c>
      <c r="J3" s="19" t="s">
        <v>332</v>
      </c>
      <c r="K3" s="19" t="s">
        <v>2</v>
      </c>
      <c r="M3" s="19" t="s">
        <v>332</v>
      </c>
      <c r="N3" s="19" t="s">
        <v>2</v>
      </c>
    </row>
    <row r="4" spans="1:14" x14ac:dyDescent="0.25">
      <c r="G4" t="s">
        <v>1356</v>
      </c>
      <c r="H4" t="s">
        <v>347</v>
      </c>
      <c r="J4" t="s">
        <v>350</v>
      </c>
      <c r="K4" t="s">
        <v>355</v>
      </c>
      <c r="M4" t="s">
        <v>1331</v>
      </c>
      <c r="N4" t="s">
        <v>1332</v>
      </c>
    </row>
    <row r="5" spans="1:14" x14ac:dyDescent="0.25">
      <c r="B5" s="74" t="s">
        <v>451</v>
      </c>
      <c r="G5" t="s">
        <v>1357</v>
      </c>
      <c r="H5" t="s">
        <v>1355</v>
      </c>
      <c r="J5" t="s">
        <v>351</v>
      </c>
      <c r="K5" t="s">
        <v>356</v>
      </c>
      <c r="M5" t="s">
        <v>1333</v>
      </c>
      <c r="N5" t="s">
        <v>1334</v>
      </c>
    </row>
    <row r="6" spans="1:14" x14ac:dyDescent="0.25">
      <c r="B6" s="74"/>
      <c r="G6" t="s">
        <v>1351</v>
      </c>
      <c r="H6" t="s">
        <v>404</v>
      </c>
      <c r="J6" t="s">
        <v>352</v>
      </c>
      <c r="K6" t="s">
        <v>358</v>
      </c>
      <c r="M6" t="s">
        <v>1335</v>
      </c>
      <c r="N6" t="s">
        <v>1336</v>
      </c>
    </row>
    <row r="7" spans="1:14" x14ac:dyDescent="0.25">
      <c r="G7" t="s">
        <v>1352</v>
      </c>
      <c r="H7" t="s">
        <v>348</v>
      </c>
      <c r="J7" t="s">
        <v>353</v>
      </c>
      <c r="K7" t="s">
        <v>409</v>
      </c>
      <c r="M7" t="s">
        <v>1337</v>
      </c>
      <c r="N7" t="s">
        <v>1338</v>
      </c>
    </row>
    <row r="8" spans="1:14" x14ac:dyDescent="0.25">
      <c r="B8" s="74" t="s">
        <v>452</v>
      </c>
      <c r="G8" t="s">
        <v>1353</v>
      </c>
      <c r="H8" t="s">
        <v>349</v>
      </c>
      <c r="J8" t="s">
        <v>354</v>
      </c>
      <c r="K8" t="s">
        <v>410</v>
      </c>
    </row>
    <row r="9" spans="1:14" x14ac:dyDescent="0.25">
      <c r="B9" s="74"/>
      <c r="G9" t="s">
        <v>1354</v>
      </c>
      <c r="H9" t="s">
        <v>346</v>
      </c>
      <c r="J9" t="s">
        <v>411</v>
      </c>
    </row>
    <row r="10" spans="1:14" x14ac:dyDescent="0.25">
      <c r="J10" t="s">
        <v>412</v>
      </c>
    </row>
    <row r="11" spans="1:14" x14ac:dyDescent="0.25">
      <c r="A11" s="34"/>
      <c r="B11" s="74" t="s">
        <v>453</v>
      </c>
      <c r="J11" t="s">
        <v>413</v>
      </c>
    </row>
    <row r="12" spans="1:14" x14ac:dyDescent="0.25">
      <c r="A12" s="34"/>
      <c r="B12" s="74"/>
      <c r="J12" t="s">
        <v>414</v>
      </c>
    </row>
    <row r="13" spans="1:14" x14ac:dyDescent="0.25">
      <c r="J13" t="s">
        <v>415</v>
      </c>
    </row>
    <row r="14" spans="1:14" x14ac:dyDescent="0.25">
      <c r="B14" s="74" t="s">
        <v>527</v>
      </c>
      <c r="J14" t="s">
        <v>416</v>
      </c>
    </row>
    <row r="15" spans="1:14" x14ac:dyDescent="0.25">
      <c r="B15" s="74"/>
    </row>
    <row r="17" spans="2:2" x14ac:dyDescent="0.25">
      <c r="B17" s="74" t="s">
        <v>1090</v>
      </c>
    </row>
    <row r="18" spans="2:2" x14ac:dyDescent="0.25">
      <c r="B18" s="74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21"/>
  <sheetViews>
    <sheetView zoomScaleNormal="100" workbookViewId="0">
      <pane ySplit="1" topLeftCell="A2" activePane="bottomLeft" state="frozen"/>
      <selection activeCell="B186" sqref="B186"/>
      <selection pane="bottomLeft" activeCell="D29" sqref="D29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449</v>
      </c>
      <c r="C1" s="2" t="s">
        <v>6</v>
      </c>
      <c r="D1" s="2" t="s">
        <v>4</v>
      </c>
      <c r="E1" s="2" t="s">
        <v>326</v>
      </c>
      <c r="F1" s="20" t="s">
        <v>2</v>
      </c>
      <c r="G1" s="2" t="s">
        <v>3</v>
      </c>
      <c r="H1" s="26" t="s">
        <v>446</v>
      </c>
      <c r="I1" s="17" t="s">
        <v>8</v>
      </c>
      <c r="J1" s="31" t="s">
        <v>124</v>
      </c>
      <c r="K1" s="28" t="s">
        <v>447</v>
      </c>
      <c r="L1" s="28" t="s">
        <v>1051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 t="s">
        <v>536</v>
      </c>
      <c r="B3" s="4" t="s">
        <v>1670</v>
      </c>
      <c r="C3" s="4" t="s">
        <v>146</v>
      </c>
      <c r="D3" s="4" t="s">
        <v>479</v>
      </c>
      <c r="E3" s="4" t="s">
        <v>1436</v>
      </c>
      <c r="F3" s="4" t="s">
        <v>587</v>
      </c>
      <c r="G3" s="4">
        <v>17</v>
      </c>
      <c r="H3" s="4">
        <v>20</v>
      </c>
      <c r="I3" s="4">
        <v>0.16300000000000001</v>
      </c>
      <c r="J3" s="24">
        <f>ROUNDUP(Table8[[#This Row],[Min Stock]]-Table8[[#This Row],[In stock]],0)</f>
        <v>3</v>
      </c>
      <c r="K3" s="27">
        <f>Table8[[#This Row],[Quantity]]*Table8[[#This Row],[Unit price]]</f>
        <v>0.48899999999999999</v>
      </c>
      <c r="L3" s="29" t="str">
        <f>IF(Table8[[#This Row],[Ret. Art. Number]]="","",Table8[[#This Row],[Quantity]] &amp; "," &amp; Table8[[#This Row],[Ret. Art. Number]])</f>
        <v>3,710-885012207078</v>
      </c>
      <c r="N3"/>
    </row>
    <row r="4" spans="1:14" x14ac:dyDescent="0.25">
      <c r="A4" s="3" t="s">
        <v>1098</v>
      </c>
      <c r="B4" s="4" t="s">
        <v>1671</v>
      </c>
      <c r="C4" s="4" t="s">
        <v>1099</v>
      </c>
      <c r="D4" s="4" t="s">
        <v>479</v>
      </c>
      <c r="E4" s="4" t="s">
        <v>1652</v>
      </c>
      <c r="F4" s="4" t="s">
        <v>1100</v>
      </c>
      <c r="G4" s="4">
        <v>1.3611111111111112</v>
      </c>
      <c r="H4" s="4">
        <v>2</v>
      </c>
      <c r="I4" s="4">
        <v>0.76200000000000001</v>
      </c>
      <c r="J4" s="24">
        <f>ROUNDUP(Table8[[#This Row],[Min Stock]]-Table8[[#This Row],[In stock]],0)</f>
        <v>1</v>
      </c>
      <c r="K4" s="27">
        <f>Table8[[#This Row],[Quantity]]*Table8[[#This Row],[Unit price]]</f>
        <v>0.76200000000000001</v>
      </c>
      <c r="L4" s="29" t="str">
        <f>IF(Table8[[#This Row],[Ret. Art. Number]]="","",Table8[[#This Row],[Quantity]] &amp; "," &amp; Table8[[#This Row],[Ret. Art. Number]])</f>
        <v>1,649-93992-436HLF</v>
      </c>
      <c r="N4"/>
    </row>
    <row r="5" spans="1:14" x14ac:dyDescent="0.25">
      <c r="A5" s="3" t="s">
        <v>314</v>
      </c>
      <c r="B5" s="4" t="s">
        <v>1684</v>
      </c>
      <c r="C5" s="4" t="s">
        <v>315</v>
      </c>
      <c r="D5" s="4" t="s">
        <v>479</v>
      </c>
      <c r="E5" s="4" t="s">
        <v>327</v>
      </c>
      <c r="F5" s="4" t="s">
        <v>316</v>
      </c>
      <c r="G5" s="4">
        <v>0</v>
      </c>
      <c r="H5" s="4">
        <v>1</v>
      </c>
      <c r="I5" s="4">
        <v>9.31</v>
      </c>
      <c r="J5" s="24">
        <f>ROUNDUP(Table8[[#This Row],[Min Stock]]-Table8[[#This Row],[In stock]],0)</f>
        <v>1</v>
      </c>
      <c r="K5" s="27">
        <f>Table8[[#This Row],[Quantity]]*Table8[[#This Row],[Unit price]]</f>
        <v>9.31</v>
      </c>
      <c r="L5" s="29" t="str">
        <f>IF(Table8[[#This Row],[Ret. Art. Number]]="","",Table8[[#This Row],[Quantity]] &amp; "," &amp; Table8[[#This Row],[Ret. Art. Number]])</f>
        <v>1,569-FP300</v>
      </c>
      <c r="N5"/>
    </row>
    <row r="6" spans="1:14" x14ac:dyDescent="0.25">
      <c r="A6" s="3" t="s">
        <v>24</v>
      </c>
      <c r="B6" s="4" t="s">
        <v>1672</v>
      </c>
      <c r="C6" s="4" t="s">
        <v>41</v>
      </c>
      <c r="D6" s="4" t="s">
        <v>479</v>
      </c>
      <c r="E6" s="4" t="s">
        <v>376</v>
      </c>
      <c r="F6" s="4" t="s">
        <v>23</v>
      </c>
      <c r="G6" s="4">
        <v>6</v>
      </c>
      <c r="H6" s="4">
        <v>10</v>
      </c>
      <c r="I6" s="4">
        <v>0.33200000000000002</v>
      </c>
      <c r="J6" s="24">
        <f>ROUNDUP(Table8[[#This Row],[Min Stock]]-Table8[[#This Row],[In stock]],0)</f>
        <v>4</v>
      </c>
      <c r="K6" s="27">
        <f>Table8[[#This Row],[Quantity]]*Table8[[#This Row],[Unit price]]</f>
        <v>1.3280000000000001</v>
      </c>
      <c r="L6" s="29" t="str">
        <f>IF(Table8[[#This Row],[Ret. Art. Number]]="","",Table8[[#This Row],[Quantity]] &amp; "," &amp; Table8[[#This Row],[Ret. Art. Number]])</f>
        <v>4,863-NCP114ASN330T1G</v>
      </c>
      <c r="N6"/>
    </row>
    <row r="7" spans="1:14" x14ac:dyDescent="0.25">
      <c r="A7" s="3" t="s">
        <v>210</v>
      </c>
      <c r="B7" s="4" t="s">
        <v>1673</v>
      </c>
      <c r="C7" s="4" t="s">
        <v>146</v>
      </c>
      <c r="D7" s="4" t="s">
        <v>479</v>
      </c>
      <c r="E7" s="4" t="s">
        <v>386</v>
      </c>
      <c r="F7" s="4" t="s">
        <v>1151</v>
      </c>
      <c r="G7" s="4">
        <v>4</v>
      </c>
      <c r="H7" s="4">
        <v>10</v>
      </c>
      <c r="I7" s="4">
        <v>0.14099999999999999</v>
      </c>
      <c r="J7" s="24">
        <v>8</v>
      </c>
      <c r="K7" s="27">
        <f>Table8[[#This Row],[Quantity]]*Table8[[#This Row],[Unit price]]</f>
        <v>1.1279999999999999</v>
      </c>
      <c r="L7" s="29" t="str">
        <f>IF(Table8[[#This Row],[Ret. Art. Number]]="","",Table8[[#This Row],[Quantity]] &amp; "," &amp; Table8[[#This Row],[Ret. Art. Number]])</f>
        <v>8,710-150060VS75000</v>
      </c>
      <c r="N7"/>
    </row>
    <row r="8" spans="1:14" x14ac:dyDescent="0.25">
      <c r="A8" s="3" t="s">
        <v>211</v>
      </c>
      <c r="B8" s="4" t="s">
        <v>1674</v>
      </c>
      <c r="C8" s="4" t="s">
        <v>147</v>
      </c>
      <c r="D8" s="4" t="s">
        <v>479</v>
      </c>
      <c r="E8" s="4" t="s">
        <v>385</v>
      </c>
      <c r="F8" s="4" t="s">
        <v>1108</v>
      </c>
      <c r="G8" s="4">
        <v>6</v>
      </c>
      <c r="H8" s="4">
        <v>10</v>
      </c>
      <c r="I8" s="4">
        <v>0.39100000000000001</v>
      </c>
      <c r="J8" s="24">
        <f>ROUNDUP(Table8[[#This Row],[Min Stock]]-Table8[[#This Row],[In stock]],0)</f>
        <v>4</v>
      </c>
      <c r="K8" s="27">
        <f>Table8[[#This Row],[Quantity]]*Table8[[#This Row],[Unit price]]</f>
        <v>1.5640000000000001</v>
      </c>
      <c r="L8" s="29" t="str">
        <f>IF(Table8[[#This Row],[Ret. Art. Number]]="","",Table8[[#This Row],[Quantity]] &amp; "," &amp; Table8[[#This Row],[Ret. Art. Number]])</f>
        <v>4,78-TLMS1000</v>
      </c>
      <c r="N8"/>
    </row>
    <row r="9" spans="1:14" x14ac:dyDescent="0.25">
      <c r="A9" s="3" t="s">
        <v>974</v>
      </c>
      <c r="B9" s="4" t="s">
        <v>1675</v>
      </c>
      <c r="C9" s="4" t="s">
        <v>593</v>
      </c>
      <c r="D9" s="4" t="s">
        <v>479</v>
      </c>
      <c r="E9" s="4" t="s">
        <v>327</v>
      </c>
      <c r="F9" s="4" t="s">
        <v>975</v>
      </c>
      <c r="G9" s="4">
        <v>0</v>
      </c>
      <c r="H9" s="4">
        <v>10</v>
      </c>
      <c r="I9" s="4">
        <v>0.11700000000000001</v>
      </c>
      <c r="J9" s="24">
        <f>ROUNDUP(Table8[[#This Row],[Min Stock]]-Table8[[#This Row],[In stock]],0)</f>
        <v>10</v>
      </c>
      <c r="K9" s="27">
        <f>Table8[[#This Row],[Quantity]]*Table8[[#This Row],[Unit price]]</f>
        <v>1.1700000000000002</v>
      </c>
      <c r="L9" s="29" t="str">
        <f>IF(Table8[[#This Row],[Ret. Art. Number]]="","",Table8[[#This Row],[Quantity]] &amp; "," &amp; Table8[[#This Row],[Ret. Art. Number]])</f>
        <v>10,755-ESR03EZPF1002</v>
      </c>
      <c r="N9"/>
    </row>
    <row r="10" spans="1:14" x14ac:dyDescent="0.25">
      <c r="A10" s="3" t="s">
        <v>998</v>
      </c>
      <c r="B10" s="4" t="s">
        <v>1676</v>
      </c>
      <c r="C10" s="4" t="s">
        <v>593</v>
      </c>
      <c r="D10" s="4" t="s">
        <v>479</v>
      </c>
      <c r="E10" s="4" t="s">
        <v>327</v>
      </c>
      <c r="F10" s="4" t="s">
        <v>999</v>
      </c>
      <c r="G10" s="4">
        <v>0</v>
      </c>
      <c r="H10" s="4">
        <v>10</v>
      </c>
      <c r="I10" s="4">
        <v>0.11700000000000001</v>
      </c>
      <c r="J10" s="24">
        <f>ROUNDUP(Table8[[#This Row],[Min Stock]]-Table8[[#This Row],[In stock]],0)</f>
        <v>10</v>
      </c>
      <c r="K10" s="27">
        <f>Table8[[#This Row],[Quantity]]*Table8[[#This Row],[Unit price]]</f>
        <v>1.1700000000000002</v>
      </c>
      <c r="L10" s="29" t="str">
        <f>IF(Table8[[#This Row],[Ret. Art. Number]]="","",Table8[[#This Row],[Quantity]] &amp; "," &amp; Table8[[#This Row],[Ret. Art. Number]])</f>
        <v>10,755-ESR03EZPF1003</v>
      </c>
      <c r="N10"/>
    </row>
    <row r="11" spans="1:14" x14ac:dyDescent="0.25">
      <c r="A11" s="3" t="s">
        <v>989</v>
      </c>
      <c r="B11" s="4" t="s">
        <v>1677</v>
      </c>
      <c r="C11" s="4" t="s">
        <v>593</v>
      </c>
      <c r="D11" s="4" t="s">
        <v>479</v>
      </c>
      <c r="E11" s="4" t="s">
        <v>1416</v>
      </c>
      <c r="F11" s="4" t="s">
        <v>990</v>
      </c>
      <c r="G11" s="4">
        <v>6</v>
      </c>
      <c r="H11" s="4">
        <v>10</v>
      </c>
      <c r="I11" s="4">
        <v>9.8000000000000004E-2</v>
      </c>
      <c r="J11" s="24">
        <f>ROUNDUP(Table8[[#This Row],[Min Stock]]-Table8[[#This Row],[In stock]],0)</f>
        <v>4</v>
      </c>
      <c r="K11" s="27">
        <f>Table8[[#This Row],[Quantity]]*Table8[[#This Row],[Unit price]]</f>
        <v>0.39200000000000002</v>
      </c>
      <c r="L11" s="29" t="str">
        <f>IF(Table8[[#This Row],[Ret. Art. Number]]="","",Table8[[#This Row],[Quantity]] &amp; "," &amp; Table8[[#This Row],[Ret. Art. Number]])</f>
        <v>4,755-ESR03EZPJ151</v>
      </c>
      <c r="N11"/>
    </row>
    <row r="12" spans="1:14" x14ac:dyDescent="0.25">
      <c r="A12" s="3" t="s">
        <v>1009</v>
      </c>
      <c r="B12" s="4" t="s">
        <v>1678</v>
      </c>
      <c r="C12" s="4" t="s">
        <v>593</v>
      </c>
      <c r="D12" s="4" t="s">
        <v>479</v>
      </c>
      <c r="E12" s="4" t="s">
        <v>1425</v>
      </c>
      <c r="F12" s="4" t="s">
        <v>1010</v>
      </c>
      <c r="G12" s="4">
        <v>7</v>
      </c>
      <c r="H12" s="4">
        <v>10</v>
      </c>
      <c r="I12" s="4">
        <v>9.8000000000000004E-2</v>
      </c>
      <c r="J12" s="24">
        <f>ROUNDUP(Table8[[#This Row],[Min Stock]]-Table8[[#This Row],[In stock]],0)</f>
        <v>3</v>
      </c>
      <c r="K12" s="27">
        <f>Table8[[#This Row],[Quantity]]*Table8[[#This Row],[Unit price]]</f>
        <v>0.29400000000000004</v>
      </c>
      <c r="L12" s="29" t="str">
        <f>IF(Table8[[#This Row],[Ret. Art. Number]]="","",Table8[[#This Row],[Quantity]] &amp; "," &amp; Table8[[#This Row],[Ret. Art. Number]])</f>
        <v>3,755-ESR03EZPJ181</v>
      </c>
      <c r="N12"/>
    </row>
    <row r="13" spans="1:14" x14ac:dyDescent="0.25">
      <c r="A13" s="3" t="s">
        <v>1003</v>
      </c>
      <c r="B13" s="4" t="s">
        <v>1679</v>
      </c>
      <c r="C13" s="4" t="s">
        <v>593</v>
      </c>
      <c r="D13" s="4" t="s">
        <v>479</v>
      </c>
      <c r="E13" s="4" t="s">
        <v>327</v>
      </c>
      <c r="F13" s="4" t="s">
        <v>1004</v>
      </c>
      <c r="G13" s="4">
        <v>0</v>
      </c>
      <c r="H13" s="4">
        <v>10</v>
      </c>
      <c r="I13" s="4">
        <v>9.8000000000000004E-2</v>
      </c>
      <c r="J13" s="24">
        <f>ROUNDUP(Table8[[#This Row],[Min Stock]]-Table8[[#This Row],[In stock]],0)</f>
        <v>10</v>
      </c>
      <c r="K13" s="27">
        <f>Table8[[#This Row],[Quantity]]*Table8[[#This Row],[Unit price]]</f>
        <v>0.98</v>
      </c>
      <c r="L13" s="29" t="str">
        <f>IF(Table8[[#This Row],[Ret. Art. Number]]="","",Table8[[#This Row],[Quantity]] &amp; "," &amp; Table8[[#This Row],[Ret. Art. Number]])</f>
        <v>10,755-ESR10EZPJ102</v>
      </c>
      <c r="N13"/>
    </row>
    <row r="14" spans="1:14" x14ac:dyDescent="0.25">
      <c r="A14" s="3" t="s">
        <v>535</v>
      </c>
      <c r="B14" s="4" t="s">
        <v>1682</v>
      </c>
      <c r="C14" s="4" t="s">
        <v>146</v>
      </c>
      <c r="D14" s="4" t="s">
        <v>479</v>
      </c>
      <c r="E14" s="4" t="s">
        <v>1438</v>
      </c>
      <c r="F14" s="4" t="s">
        <v>583</v>
      </c>
      <c r="G14" s="4">
        <v>5</v>
      </c>
      <c r="H14" s="4"/>
      <c r="I14" s="4">
        <v>0.16600000000000001</v>
      </c>
      <c r="J14" s="24">
        <v>3</v>
      </c>
      <c r="K14" s="27">
        <f>Table8[[#This Row],[Quantity]]*Table8[[#This Row],[Unit price]]</f>
        <v>0.498</v>
      </c>
      <c r="L14" s="29" t="str">
        <f>IF(Table8[[#This Row],[Ret. Art. Number]]="","",Table8[[#This Row],[Quantity]] &amp; "," &amp; Table8[[#This Row],[Ret. Art. Number]])</f>
        <v>3,710-885012107018</v>
      </c>
      <c r="N14"/>
    </row>
    <row r="15" spans="1:14" x14ac:dyDescent="0.25">
      <c r="A15" s="3" t="s">
        <v>1441</v>
      </c>
      <c r="B15" s="4" t="s">
        <v>1669</v>
      </c>
      <c r="C15" s="4" t="s">
        <v>593</v>
      </c>
      <c r="D15" s="4" t="s">
        <v>479</v>
      </c>
      <c r="E15" s="4" t="s">
        <v>327</v>
      </c>
      <c r="F15" s="4" t="s">
        <v>1442</v>
      </c>
      <c r="G15" s="4">
        <v>0</v>
      </c>
      <c r="H15" s="4"/>
      <c r="I15" s="4">
        <v>9.8000000000000004E-2</v>
      </c>
      <c r="J15" s="24">
        <v>2</v>
      </c>
      <c r="K15" s="27">
        <f>Table8[[#This Row],[Quantity]]*Table8[[#This Row],[Unit price]]</f>
        <v>0.19600000000000001</v>
      </c>
      <c r="L15" s="29" t="str">
        <f>IF(Table8[[#This Row],[Ret. Art. Number]]="","",Table8[[#This Row],[Quantity]] &amp; "," &amp; Table8[[#This Row],[Ret. Art. Number]])</f>
        <v>2,755-ESR10EZPJ332</v>
      </c>
      <c r="N15"/>
    </row>
    <row r="16" spans="1:14" x14ac:dyDescent="0.25">
      <c r="A16" s="3" t="s">
        <v>1460</v>
      </c>
      <c r="B16" s="4" t="s">
        <v>1680</v>
      </c>
      <c r="C16" s="4" t="s">
        <v>593</v>
      </c>
      <c r="D16" s="4" t="s">
        <v>479</v>
      </c>
      <c r="E16" s="4" t="s">
        <v>327</v>
      </c>
      <c r="F16" s="4" t="s">
        <v>1461</v>
      </c>
      <c r="G16" s="4">
        <v>0</v>
      </c>
      <c r="H16" s="4"/>
      <c r="I16" s="4">
        <v>9.8000000000000004E-2</v>
      </c>
      <c r="J16" s="24">
        <v>4</v>
      </c>
      <c r="K16" s="27">
        <f>Table8[[#This Row],[Quantity]]*Table8[[#This Row],[Unit price]]</f>
        <v>0.39200000000000002</v>
      </c>
      <c r="L16" s="29" t="str">
        <f>IF(Table8[[#This Row],[Ret. Art. Number]]="","",Table8[[#This Row],[Quantity]] &amp; "," &amp; Table8[[#This Row],[Ret. Art. Number]])</f>
        <v>4,755-ESR10EZPJ103</v>
      </c>
      <c r="N16"/>
    </row>
    <row r="17" spans="1:14" x14ac:dyDescent="0.25">
      <c r="A17" s="3" t="s">
        <v>1456</v>
      </c>
      <c r="B17" s="4" t="s">
        <v>1681</v>
      </c>
      <c r="C17" s="4" t="s">
        <v>593</v>
      </c>
      <c r="D17" s="4" t="s">
        <v>479</v>
      </c>
      <c r="E17" s="4" t="s">
        <v>327</v>
      </c>
      <c r="F17" s="4" t="s">
        <v>1455</v>
      </c>
      <c r="G17" s="4">
        <v>0</v>
      </c>
      <c r="H17" s="4"/>
      <c r="I17" s="4">
        <v>9.8000000000000004E-2</v>
      </c>
      <c r="J17" s="24">
        <v>2</v>
      </c>
      <c r="K17" s="27">
        <f>Table8[[#This Row],[Quantity]]*Table8[[#This Row],[Unit price]]</f>
        <v>0.19600000000000001</v>
      </c>
      <c r="L17" s="29" t="str">
        <f>IF(Table8[[#This Row],[Ret. Art. Number]]="","",Table8[[#This Row],[Quantity]] &amp; "," &amp; Table8[[#This Row],[Ret. Art. Number]])</f>
        <v>2,755-ESR10EZPJ152</v>
      </c>
      <c r="N17"/>
    </row>
    <row r="18" spans="1:14" x14ac:dyDescent="0.25">
      <c r="A18" s="3" t="s">
        <v>1453</v>
      </c>
      <c r="B18" s="4" t="s">
        <v>1683</v>
      </c>
      <c r="C18" s="4" t="s">
        <v>593</v>
      </c>
      <c r="D18" s="4" t="s">
        <v>479</v>
      </c>
      <c r="E18" s="4" t="s">
        <v>327</v>
      </c>
      <c r="F18" s="4" t="s">
        <v>1454</v>
      </c>
      <c r="G18" s="4">
        <v>0</v>
      </c>
      <c r="H18" s="4"/>
      <c r="I18" s="4">
        <v>9.8000000000000004E-2</v>
      </c>
      <c r="J18" s="24">
        <v>4</v>
      </c>
      <c r="K18" s="27">
        <f>Table8[[#This Row],[Quantity]]*Table8[[#This Row],[Unit price]]</f>
        <v>0.39200000000000002</v>
      </c>
      <c r="L18" s="29" t="str">
        <f>IF(Table8[[#This Row],[Ret. Art. Number]]="","",Table8[[#This Row],[Quantity]] &amp; "," &amp; Table8[[#This Row],[Ret. Art. Number]])</f>
        <v>4,755-ESR10EZPJ271</v>
      </c>
      <c r="N18"/>
    </row>
    <row r="19" spans="1:14" x14ac:dyDescent="0.25">
      <c r="A19" s="3" t="s">
        <v>1326</v>
      </c>
      <c r="B19" s="4" t="s">
        <v>1668</v>
      </c>
      <c r="C19" s="4" t="s">
        <v>1173</v>
      </c>
      <c r="D19" s="4" t="s">
        <v>479</v>
      </c>
      <c r="E19" s="4" t="s">
        <v>327</v>
      </c>
      <c r="F19" s="4" t="s">
        <v>1327</v>
      </c>
      <c r="G19" s="4">
        <v>0</v>
      </c>
      <c r="H19" s="4"/>
      <c r="I19" s="4">
        <v>0.58899999999999997</v>
      </c>
      <c r="J19" s="24">
        <v>4</v>
      </c>
      <c r="K19" s="27">
        <f>Table8[[#This Row],[Quantity]]*Table8[[#This Row],[Unit price]]</f>
        <v>2.3559999999999999</v>
      </c>
      <c r="L19" s="29" t="str">
        <f>IF(Table8[[#This Row],[Ret. Art. Number]]="","",Table8[[#This Row],[Quantity]] &amp; "," &amp; Table8[[#This Row],[Ret. Art. Number]])</f>
        <v>4,534-54</v>
      </c>
      <c r="N19"/>
    </row>
    <row r="20" spans="1:14" x14ac:dyDescent="0.25">
      <c r="A20" s="3"/>
      <c r="B20" s="4"/>
      <c r="C20" s="4"/>
      <c r="D20" s="4"/>
      <c r="E20" s="4"/>
      <c r="F20" s="4"/>
      <c r="G20" s="4"/>
      <c r="H20" s="4"/>
      <c r="I20" s="4"/>
      <c r="J20" s="24">
        <f>ROUNDUP(Table8[[#This Row],[Min Stock]]-Table8[[#This Row],[In stock]],0)</f>
        <v>0</v>
      </c>
      <c r="K20" s="27">
        <f>Table8[[#This Row],[Quantity]]*Table8[[#This Row],[Unit price]]</f>
        <v>0</v>
      </c>
      <c r="L20" s="29" t="str">
        <f>IF(Table8[[#This Row],[Ret. Art. Number]]="","",Table8[[#This Row],[Quantity]] &amp; "," &amp; Table8[[#This Row],[Ret. Art. Number]])</f>
        <v/>
      </c>
      <c r="N20"/>
    </row>
    <row r="21" spans="1:14" x14ac:dyDescent="0.25">
      <c r="A21" s="3" t="s">
        <v>448</v>
      </c>
      <c r="B21" s="4"/>
      <c r="C21" s="4"/>
      <c r="D21" s="4"/>
      <c r="E21" s="4"/>
      <c r="F21" s="4"/>
      <c r="G21" s="4"/>
      <c r="H21" s="4"/>
      <c r="I21" s="4"/>
      <c r="J21" s="27"/>
      <c r="K21" s="24">
        <f>SUBTOTAL(109,Table8[Total price])</f>
        <v>22.617000000000004</v>
      </c>
      <c r="L21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364"/>
  <sheetViews>
    <sheetView tabSelected="1" zoomScale="85" zoomScaleNormal="85" workbookViewId="0">
      <pane ySplit="1" topLeftCell="A2" activePane="bottomLeft" state="frozen"/>
      <selection activeCell="B186" sqref="B186"/>
      <selection pane="bottomLeft" activeCell="E17" sqref="E17"/>
    </sheetView>
  </sheetViews>
  <sheetFormatPr defaultRowHeight="15" x14ac:dyDescent="0.25"/>
  <cols>
    <col min="1" max="1" width="26.85546875" style="3" bestFit="1" customWidth="1"/>
    <col min="2" max="2" width="24.28515625" style="3" customWidth="1"/>
    <col min="3" max="3" width="11.140625" style="3" bestFit="1" customWidth="1"/>
    <col min="4" max="4" width="64.28515625" style="3" customWidth="1"/>
    <col min="5" max="5" width="16.7109375" style="3" bestFit="1" customWidth="1"/>
    <col min="6" max="6" width="10" style="44" bestFit="1" customWidth="1"/>
    <col min="7" max="7" width="9" style="44" bestFit="1" customWidth="1"/>
    <col min="8" max="8" width="8.42578125" style="44" bestFit="1" customWidth="1"/>
    <col min="9" max="9" width="24.28515625" style="16" customWidth="1"/>
    <col min="10" max="10" width="12" style="42" bestFit="1" customWidth="1"/>
    <col min="11" max="11" width="16" style="16" bestFit="1" customWidth="1"/>
    <col min="12" max="12" width="24.28515625" style="16" customWidth="1"/>
    <col min="13" max="13" width="20.42578125" style="40" bestFit="1" customWidth="1"/>
    <col min="14" max="14" width="9.42578125" style="16" hidden="1" customWidth="1"/>
    <col min="15" max="15" width="20" style="40" hidden="1" customWidth="1"/>
    <col min="16" max="16" width="11.140625" style="16" hidden="1" customWidth="1"/>
    <col min="17" max="17" width="21.7109375" style="40" hidden="1" customWidth="1"/>
    <col min="18" max="18" width="11.5703125" style="16" hidden="1" customWidth="1"/>
    <col min="19" max="19" width="20.140625" style="40" hidden="1" customWidth="1"/>
    <col min="20" max="20" width="21.85546875" style="16" bestFit="1" customWidth="1"/>
    <col min="21" max="21" width="20.7109375" style="40" bestFit="1" customWidth="1"/>
    <col min="22" max="22" width="12.5703125" style="16" bestFit="1" customWidth="1"/>
    <col min="23" max="23" width="23.140625" style="40" bestFit="1" customWidth="1"/>
    <col min="24" max="24" width="12" style="16" bestFit="1" customWidth="1"/>
    <col min="25" max="25" width="22.5703125" style="40" bestFit="1" customWidth="1"/>
    <col min="26" max="26" width="15.42578125" style="40" bestFit="1" customWidth="1"/>
    <col min="27" max="27" width="13.7109375" style="16" bestFit="1" customWidth="1"/>
    <col min="28" max="28" width="18.85546875" style="42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58" customFormat="1" ht="30" x14ac:dyDescent="0.25">
      <c r="A1" s="53" t="s">
        <v>1</v>
      </c>
      <c r="B1" s="53" t="s">
        <v>6</v>
      </c>
      <c r="C1" s="53" t="s">
        <v>326</v>
      </c>
      <c r="D1" s="53" t="s">
        <v>2</v>
      </c>
      <c r="E1" s="53" t="s">
        <v>492</v>
      </c>
      <c r="F1" s="54" t="s">
        <v>3</v>
      </c>
      <c r="G1" s="54" t="s">
        <v>407</v>
      </c>
      <c r="H1" s="54" t="s">
        <v>457</v>
      </c>
      <c r="I1" s="53" t="s">
        <v>455</v>
      </c>
      <c r="J1" s="55" t="s">
        <v>456</v>
      </c>
      <c r="K1" s="53" t="s">
        <v>1092</v>
      </c>
      <c r="L1" s="53" t="s">
        <v>75</v>
      </c>
      <c r="M1" s="55" t="s">
        <v>482</v>
      </c>
      <c r="N1" s="53" t="s">
        <v>5</v>
      </c>
      <c r="O1" s="55" t="s">
        <v>483</v>
      </c>
      <c r="P1" s="53" t="s">
        <v>478</v>
      </c>
      <c r="Q1" s="55" t="s">
        <v>484</v>
      </c>
      <c r="R1" s="53" t="s">
        <v>477</v>
      </c>
      <c r="S1" s="55" t="s">
        <v>485</v>
      </c>
      <c r="T1" s="53" t="s">
        <v>479</v>
      </c>
      <c r="U1" s="55" t="s">
        <v>486</v>
      </c>
      <c r="V1" s="53" t="s">
        <v>480</v>
      </c>
      <c r="W1" s="55" t="s">
        <v>487</v>
      </c>
      <c r="X1" s="53" t="s">
        <v>80</v>
      </c>
      <c r="Y1" s="55" t="s">
        <v>488</v>
      </c>
      <c r="Z1" s="55" t="s">
        <v>1050</v>
      </c>
      <c r="AA1" s="53" t="s">
        <v>481</v>
      </c>
      <c r="AB1" s="56" t="s">
        <v>489</v>
      </c>
      <c r="AC1" s="57" t="s">
        <v>445</v>
      </c>
    </row>
    <row r="2" spans="1:29" x14ac:dyDescent="0.25">
      <c r="A2" s="32" t="s">
        <v>103</v>
      </c>
      <c r="B2" s="32" t="s">
        <v>84</v>
      </c>
      <c r="C2" s="32" t="s">
        <v>1648</v>
      </c>
      <c r="D2" s="32" t="s">
        <v>26</v>
      </c>
      <c r="E2" s="32" t="s">
        <v>498</v>
      </c>
      <c r="F2" s="43">
        <v>4</v>
      </c>
      <c r="G2" s="43"/>
      <c r="H2" s="43"/>
      <c r="I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" s="32" t="s">
        <v>421</v>
      </c>
      <c r="M2" s="39">
        <v>0.91</v>
      </c>
      <c r="N2" s="32">
        <v>1162740</v>
      </c>
      <c r="O2" s="39">
        <v>0.505</v>
      </c>
      <c r="P2" s="32"/>
      <c r="Q2" s="39"/>
      <c r="R2" s="32"/>
      <c r="S2" s="39"/>
      <c r="T2" s="32"/>
      <c r="U2" s="39"/>
      <c r="V2" s="32"/>
      <c r="W2" s="39"/>
      <c r="X2" s="32"/>
      <c r="Y2" s="39">
        <v>0.505</v>
      </c>
      <c r="Z2" s="39" t="str">
        <f>IF(Table1[[#This Row],[Other]]&lt;&gt;"","Other","")</f>
        <v/>
      </c>
      <c r="AA2" s="32"/>
      <c r="AB2" s="41"/>
      <c r="AC2" s="33" t="str">
        <f>IF(Table1[[#This Row],[Auto Order]]=1,IF(Table1[[#This Row],[In stock]]&lt;Table1[[#This Row],[Min in stock]],1,""),"")</f>
        <v/>
      </c>
    </row>
    <row r="3" spans="1:29" x14ac:dyDescent="0.25">
      <c r="A3" s="32" t="s">
        <v>28</v>
      </c>
      <c r="B3" s="32" t="s">
        <v>84</v>
      </c>
      <c r="C3" s="32" t="s">
        <v>1648</v>
      </c>
      <c r="D3" s="32" t="s">
        <v>27</v>
      </c>
      <c r="E3" s="32" t="s">
        <v>498</v>
      </c>
      <c r="F3" s="43">
        <v>4</v>
      </c>
      <c r="G3" s="43"/>
      <c r="H3" s="43"/>
      <c r="I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" s="32" t="s">
        <v>422</v>
      </c>
      <c r="M3" s="39">
        <v>1.27</v>
      </c>
      <c r="N3" s="32">
        <v>1829519</v>
      </c>
      <c r="O3" s="39">
        <v>0.78900000000000003</v>
      </c>
      <c r="P3" s="32"/>
      <c r="Q3" s="39"/>
      <c r="R3" s="32"/>
      <c r="S3" s="39"/>
      <c r="T3" s="32"/>
      <c r="U3" s="39"/>
      <c r="V3" s="32"/>
      <c r="W3" s="39"/>
      <c r="X3" s="32"/>
      <c r="Y3" s="39">
        <v>0.78900000000000003</v>
      </c>
      <c r="Z3" s="39" t="str">
        <f>IF(Table1[[#This Row],[Other]]&lt;&gt;"","Other","")</f>
        <v/>
      </c>
      <c r="AA3" s="32"/>
      <c r="AB3" s="41"/>
      <c r="AC3" s="33" t="str">
        <f>IF(Table1[[#This Row],[Auto Order]]=1,IF(Table1[[#This Row],[In stock]]&lt;Table1[[#This Row],[Min in stock]],1,""),"")</f>
        <v/>
      </c>
    </row>
    <row r="4" spans="1:29" x14ac:dyDescent="0.25">
      <c r="A4" s="32" t="s">
        <v>342</v>
      </c>
      <c r="B4" s="32" t="s">
        <v>340</v>
      </c>
      <c r="C4" s="32" t="s">
        <v>327</v>
      </c>
      <c r="D4" s="32" t="s">
        <v>343</v>
      </c>
      <c r="E4" s="32" t="s">
        <v>498</v>
      </c>
      <c r="F4" s="43">
        <v>1</v>
      </c>
      <c r="G4" s="43"/>
      <c r="H4" s="43"/>
      <c r="I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4" s="32"/>
      <c r="M4" s="39"/>
      <c r="N4" s="32"/>
      <c r="O4" s="39"/>
      <c r="P4" s="32"/>
      <c r="Q4" s="39"/>
      <c r="R4" s="32"/>
      <c r="S4" s="39"/>
      <c r="T4" s="32"/>
      <c r="U4" s="39"/>
      <c r="V4" s="32" t="s">
        <v>342</v>
      </c>
      <c r="W4" s="39">
        <v>1</v>
      </c>
      <c r="X4" s="32"/>
      <c r="Y4" s="39"/>
      <c r="Z4" s="39" t="str">
        <f>IF(Table1[[#This Row],[Other]]&lt;&gt;"","Other","")</f>
        <v/>
      </c>
      <c r="AA4" s="32"/>
      <c r="AB4" s="41"/>
      <c r="AC4" s="33" t="str">
        <f>IF(Table1[[#This Row],[Auto Order]]=1,IF(Table1[[#This Row],[In stock]]&lt;Table1[[#This Row],[Min in stock]],1,""),"")</f>
        <v/>
      </c>
    </row>
    <row r="5" spans="1:29" x14ac:dyDescent="0.25">
      <c r="A5" s="69" t="s">
        <v>1686</v>
      </c>
      <c r="B5" s="32" t="s">
        <v>1156</v>
      </c>
      <c r="C5" s="32" t="s">
        <v>327</v>
      </c>
      <c r="D5" s="32" t="s">
        <v>1687</v>
      </c>
      <c r="E5" s="32" t="s">
        <v>498</v>
      </c>
      <c r="F5" s="43">
        <v>0</v>
      </c>
      <c r="G5" s="43"/>
      <c r="H5" s="43"/>
      <c r="I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WS102N-ND</v>
      </c>
      <c r="J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9.31</v>
      </c>
      <c r="K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5" s="32" t="s">
        <v>1688</v>
      </c>
      <c r="M5" s="39">
        <v>9.31</v>
      </c>
      <c r="N5" s="32"/>
      <c r="O5" s="39"/>
      <c r="P5" s="32"/>
      <c r="Q5" s="39"/>
      <c r="R5" s="32"/>
      <c r="S5" s="39"/>
      <c r="T5" s="32" t="s">
        <v>1705</v>
      </c>
      <c r="U5" s="39">
        <v>10.27</v>
      </c>
      <c r="V5" s="32"/>
      <c r="W5" s="39"/>
      <c r="X5" s="32"/>
      <c r="Y5" s="39"/>
      <c r="Z5" s="39" t="str">
        <f>IF(Table1[[#This Row],[Other]]&lt;&gt;"","Other","")</f>
        <v/>
      </c>
      <c r="AA5" s="32"/>
      <c r="AB5" s="41"/>
      <c r="AC5" s="45" t="str">
        <f>IF(Table1[[#This Row],[Auto Order]]=1,IF(Table1[[#This Row],[In stock]]&lt;Table1[[#This Row],[Min in stock]],1,""),"")</f>
        <v/>
      </c>
    </row>
    <row r="6" spans="1:29" x14ac:dyDescent="0.25">
      <c r="A6" s="32" t="s">
        <v>18</v>
      </c>
      <c r="B6" s="32" t="s">
        <v>85</v>
      </c>
      <c r="C6" s="32" t="s">
        <v>365</v>
      </c>
      <c r="D6" s="32" t="s">
        <v>17</v>
      </c>
      <c r="E6" s="32" t="s">
        <v>517</v>
      </c>
      <c r="F6" s="43">
        <v>19</v>
      </c>
      <c r="G6" s="43"/>
      <c r="H6" s="43"/>
      <c r="I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" s="32"/>
      <c r="M6" s="39"/>
      <c r="N6" s="32" t="s">
        <v>364</v>
      </c>
      <c r="O6" s="39">
        <v>0.246</v>
      </c>
      <c r="P6" s="32"/>
      <c r="Q6" s="39"/>
      <c r="R6" s="32"/>
      <c r="S6" s="39"/>
      <c r="T6" s="32"/>
      <c r="U6" s="39"/>
      <c r="V6" s="32"/>
      <c r="W6" s="39"/>
      <c r="X6" s="32"/>
      <c r="Y6" s="39">
        <v>0.246</v>
      </c>
      <c r="Z6" s="39" t="str">
        <f>IF(Table1[[#This Row],[Other]]&lt;&gt;"","Other","")</f>
        <v/>
      </c>
      <c r="AA6" s="32"/>
      <c r="AB6" s="41"/>
      <c r="AC6" s="33" t="str">
        <f>IF(Table1[[#This Row],[Auto Order]]=1,IF(Table1[[#This Row],[In stock]]&lt;Table1[[#This Row],[Min in stock]],1,""),"")</f>
        <v/>
      </c>
    </row>
    <row r="7" spans="1:29" x14ac:dyDescent="0.25">
      <c r="A7" s="73" t="s">
        <v>91</v>
      </c>
      <c r="B7" s="32" t="s">
        <v>85</v>
      </c>
      <c r="C7" s="32" t="s">
        <v>366</v>
      </c>
      <c r="D7" s="32" t="s">
        <v>92</v>
      </c>
      <c r="E7" s="32" t="s">
        <v>517</v>
      </c>
      <c r="F7" s="43">
        <v>10</v>
      </c>
      <c r="G7" s="43"/>
      <c r="H7" s="43"/>
      <c r="I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" s="32"/>
      <c r="M7" s="39"/>
      <c r="N7" s="32" t="s">
        <v>93</v>
      </c>
      <c r="O7" s="39">
        <v>0.34</v>
      </c>
      <c r="P7" s="32"/>
      <c r="Q7" s="39"/>
      <c r="R7" s="32"/>
      <c r="S7" s="39"/>
      <c r="T7" s="32"/>
      <c r="U7" s="39"/>
      <c r="V7" s="32"/>
      <c r="W7" s="39"/>
      <c r="X7" s="32"/>
      <c r="Y7" s="39">
        <v>0.34</v>
      </c>
      <c r="Z7" s="39" t="str">
        <f>IF(Table1[[#This Row],[Other]]&lt;&gt;"","Other","")</f>
        <v/>
      </c>
      <c r="AA7" s="32"/>
      <c r="AB7" s="41"/>
      <c r="AC7" s="33" t="str">
        <f>IF(Table1[[#This Row],[Auto Order]]=1,IF(Table1[[#This Row],[In stock]]&lt;Table1[[#This Row],[Min in stock]],1,""),"")</f>
        <v/>
      </c>
    </row>
    <row r="8" spans="1:29" x14ac:dyDescent="0.25">
      <c r="A8" s="32" t="s">
        <v>95</v>
      </c>
      <c r="B8" s="32" t="s">
        <v>85</v>
      </c>
      <c r="C8" s="32" t="s">
        <v>1657</v>
      </c>
      <c r="D8" s="32" t="s">
        <v>94</v>
      </c>
      <c r="E8" s="32" t="s">
        <v>517</v>
      </c>
      <c r="F8" s="43">
        <v>5</v>
      </c>
      <c r="G8" s="43"/>
      <c r="H8" s="43"/>
      <c r="I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" s="32"/>
      <c r="M8" s="39"/>
      <c r="N8" s="32" t="s">
        <v>96</v>
      </c>
      <c r="O8" s="39">
        <v>0.44600000000000001</v>
      </c>
      <c r="P8" s="32"/>
      <c r="Q8" s="39"/>
      <c r="R8" s="32"/>
      <c r="S8" s="39"/>
      <c r="T8" s="32"/>
      <c r="U8" s="39"/>
      <c r="V8" s="32"/>
      <c r="W8" s="39"/>
      <c r="X8" s="32"/>
      <c r="Y8" s="39">
        <v>0.44600000000000001</v>
      </c>
      <c r="Z8" s="39" t="str">
        <f>IF(Table1[[#This Row],[Other]]&lt;&gt;"","Other","")</f>
        <v/>
      </c>
      <c r="AA8" s="32"/>
      <c r="AB8" s="41"/>
      <c r="AC8" s="33" t="str">
        <f>IF(Table1[[#This Row],[Auto Order]]=1,IF(Table1[[#This Row],[In stock]]&lt;Table1[[#This Row],[Min in stock]],1,""),"")</f>
        <v/>
      </c>
    </row>
    <row r="9" spans="1:29" x14ac:dyDescent="0.25">
      <c r="A9" s="73" t="s">
        <v>90</v>
      </c>
      <c r="B9" s="32" t="s">
        <v>85</v>
      </c>
      <c r="C9" s="32" t="s">
        <v>367</v>
      </c>
      <c r="D9" s="32" t="s">
        <v>94</v>
      </c>
      <c r="E9" s="32" t="s">
        <v>517</v>
      </c>
      <c r="F9" s="43">
        <v>10</v>
      </c>
      <c r="G9" s="43"/>
      <c r="H9" s="43"/>
      <c r="I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" s="32"/>
      <c r="M9" s="39"/>
      <c r="N9" s="32" t="s">
        <v>89</v>
      </c>
      <c r="O9" s="39">
        <v>0.44600000000000001</v>
      </c>
      <c r="P9" s="32"/>
      <c r="Q9" s="39"/>
      <c r="R9" s="32"/>
      <c r="S9" s="39"/>
      <c r="T9" s="32"/>
      <c r="U9" s="39"/>
      <c r="V9" s="32"/>
      <c r="W9" s="39"/>
      <c r="X9" s="32"/>
      <c r="Y9" s="39">
        <v>0.44600000000000001</v>
      </c>
      <c r="Z9" s="39" t="str">
        <f>IF(Table1[[#This Row],[Other]]&lt;&gt;"","Other","")</f>
        <v/>
      </c>
      <c r="AA9" s="32"/>
      <c r="AB9" s="41"/>
      <c r="AC9" s="33" t="str">
        <f>IF(Table1[[#This Row],[Auto Order]]=1,IF(Table1[[#This Row],[In stock]]&lt;Table1[[#This Row],[Min in stock]],1,""),"")</f>
        <v/>
      </c>
    </row>
    <row r="10" spans="1:29" x14ac:dyDescent="0.25">
      <c r="A10" s="62" t="s">
        <v>1252</v>
      </c>
      <c r="B10" s="62" t="s">
        <v>1253</v>
      </c>
      <c r="C10" s="62" t="s">
        <v>327</v>
      </c>
      <c r="D10" s="62" t="s">
        <v>1254</v>
      </c>
      <c r="E10" s="62" t="s">
        <v>1255</v>
      </c>
      <c r="F10" s="63">
        <v>1</v>
      </c>
      <c r="G10" s="63"/>
      <c r="H10" s="63"/>
      <c r="I10" s="62" t="s">
        <v>1257</v>
      </c>
      <c r="J10" s="64">
        <v>1.8</v>
      </c>
      <c r="K10" s="65" t="s">
        <v>75</v>
      </c>
      <c r="L10" s="62" t="s">
        <v>1256</v>
      </c>
      <c r="M10" s="66">
        <v>2.13</v>
      </c>
      <c r="N10" s="62"/>
      <c r="O10" s="66"/>
      <c r="P10" s="62"/>
      <c r="Q10" s="66"/>
      <c r="R10" s="62"/>
      <c r="S10" s="66"/>
      <c r="T10" s="62"/>
      <c r="U10" s="66"/>
      <c r="V10" s="62"/>
      <c r="W10" s="66"/>
      <c r="X10" s="62"/>
      <c r="Y10" s="66"/>
      <c r="Z10" s="66" t="str">
        <f>IF(Table1[[#This Row],[Other]]&lt;&gt;"","Other","")</f>
        <v/>
      </c>
      <c r="AA10" s="62"/>
      <c r="AB10" s="64"/>
      <c r="AC10" s="65" t="s">
        <v>1258</v>
      </c>
    </row>
    <row r="11" spans="1:29" x14ac:dyDescent="0.25">
      <c r="A11" s="32" t="s">
        <v>182</v>
      </c>
      <c r="B11" s="32" t="s">
        <v>58</v>
      </c>
      <c r="C11" s="32" t="s">
        <v>1667</v>
      </c>
      <c r="D11" s="32" t="s">
        <v>362</v>
      </c>
      <c r="E11" s="32" t="s">
        <v>493</v>
      </c>
      <c r="F11" s="43">
        <v>3</v>
      </c>
      <c r="G11" s="43"/>
      <c r="H11" s="43"/>
      <c r="I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" s="32"/>
      <c r="M11" s="39"/>
      <c r="N11" s="32"/>
      <c r="O11" s="39"/>
      <c r="P11" s="32"/>
      <c r="Q11" s="39"/>
      <c r="R11" s="32"/>
      <c r="S11" s="39"/>
      <c r="T11" s="32"/>
      <c r="U11" s="39"/>
      <c r="V11" s="32"/>
      <c r="W11" s="39"/>
      <c r="X11" s="32" t="s">
        <v>182</v>
      </c>
      <c r="Y11" s="39">
        <v>13.1</v>
      </c>
      <c r="Z11" s="39" t="str">
        <f>IF(Table1[[#This Row],[Other]]&lt;&gt;"","Other","")</f>
        <v/>
      </c>
      <c r="AA11" s="32"/>
      <c r="AB11" s="41"/>
      <c r="AC11" s="33" t="str">
        <f>IF(Table1[[#This Row],[Auto Order]]=1,IF(Table1[[#This Row],[In stock]]&lt;Table1[[#This Row],[Min in stock]],1,""),"")</f>
        <v/>
      </c>
    </row>
    <row r="12" spans="1:29" x14ac:dyDescent="0.25">
      <c r="A12" s="69" t="s">
        <v>1326</v>
      </c>
      <c r="B12" s="32" t="s">
        <v>1173</v>
      </c>
      <c r="C12" s="32" t="s">
        <v>327</v>
      </c>
      <c r="D12" s="32" t="s">
        <v>1327</v>
      </c>
      <c r="E12" s="32" t="s">
        <v>1328</v>
      </c>
      <c r="F12" s="43">
        <v>10</v>
      </c>
      <c r="G12" s="43">
        <v>4</v>
      </c>
      <c r="H12" s="43">
        <v>1</v>
      </c>
      <c r="I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36-54-ND</v>
      </c>
      <c r="J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2" s="32" t="s">
        <v>1329</v>
      </c>
      <c r="M12" s="39">
        <v>0.56000000000000005</v>
      </c>
      <c r="N12" s="32"/>
      <c r="O12" s="39"/>
      <c r="P12" s="32"/>
      <c r="Q12" s="39"/>
      <c r="R12" s="32"/>
      <c r="S12" s="39"/>
      <c r="T12" s="32" t="s">
        <v>1668</v>
      </c>
      <c r="U12" s="39">
        <v>0.58899999999999997</v>
      </c>
      <c r="V12" s="32"/>
      <c r="W12" s="39"/>
      <c r="X12" s="32"/>
      <c r="Y12" s="39"/>
      <c r="Z12" s="39" t="str">
        <f>IF(Table1[[#This Row],[Other]]&lt;&gt;"","Other","")</f>
        <v/>
      </c>
      <c r="AA12" s="32"/>
      <c r="AB12" s="41"/>
      <c r="AC12" s="45" t="str">
        <f>IF(Table1[[#This Row],[Auto Order]]=1,IF(Table1[[#This Row],[In stock]]&lt;Table1[[#This Row],[Min in stock]],1,""),"")</f>
        <v/>
      </c>
    </row>
    <row r="13" spans="1:29" x14ac:dyDescent="0.25">
      <c r="A13" s="32" t="s">
        <v>206</v>
      </c>
      <c r="B13" s="32" t="s">
        <v>207</v>
      </c>
      <c r="C13" s="32" t="s">
        <v>1651</v>
      </c>
      <c r="D13" s="32" t="s">
        <v>208</v>
      </c>
      <c r="E13" s="32" t="s">
        <v>1328</v>
      </c>
      <c r="F13" s="43">
        <v>4</v>
      </c>
      <c r="G13" s="43"/>
      <c r="H13" s="43"/>
      <c r="I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" s="32" t="s">
        <v>205</v>
      </c>
      <c r="M13" s="39">
        <v>1.21</v>
      </c>
      <c r="N13" s="32"/>
      <c r="O13" s="39"/>
      <c r="P13" s="32"/>
      <c r="Q13" s="39"/>
      <c r="R13" s="32"/>
      <c r="S13" s="39"/>
      <c r="T13" s="32"/>
      <c r="U13" s="39"/>
      <c r="V13" s="32"/>
      <c r="W13" s="39"/>
      <c r="X13" s="32"/>
      <c r="Y13" s="39"/>
      <c r="Z13" s="39" t="str">
        <f>IF(Table1[[#This Row],[Other]]&lt;&gt;"","Other","")</f>
        <v/>
      </c>
      <c r="AA13" s="32"/>
      <c r="AB13" s="41"/>
      <c r="AC13" s="33" t="str">
        <f>IF(Table1[[#This Row],[Auto Order]]=1,IF(Table1[[#This Row],[In stock]]&lt;Table1[[#This Row],[Min in stock]],1,""),"")</f>
        <v/>
      </c>
    </row>
    <row r="14" spans="1:29" x14ac:dyDescent="0.25">
      <c r="A14" s="32" t="s">
        <v>144</v>
      </c>
      <c r="B14" s="32" t="s">
        <v>86</v>
      </c>
      <c r="C14" s="32" t="s">
        <v>327</v>
      </c>
      <c r="D14" s="32" t="s">
        <v>59</v>
      </c>
      <c r="E14" s="32" t="s">
        <v>520</v>
      </c>
      <c r="F14" s="43">
        <v>1</v>
      </c>
      <c r="G14" s="43"/>
      <c r="H14" s="43"/>
      <c r="I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2" t="s">
        <v>57</v>
      </c>
      <c r="M14" s="39">
        <v>15.9</v>
      </c>
      <c r="N14" s="32"/>
      <c r="O14" s="39"/>
      <c r="P14" s="32"/>
      <c r="Q14" s="39"/>
      <c r="R14" s="32"/>
      <c r="S14" s="39"/>
      <c r="T14" s="32"/>
      <c r="U14" s="39"/>
      <c r="V14" s="32"/>
      <c r="W14" s="39"/>
      <c r="X14" s="32"/>
      <c r="Y14" s="39"/>
      <c r="Z14" s="39" t="str">
        <f>IF(Table1[[#This Row],[Other]]&lt;&gt;"","Other","")</f>
        <v/>
      </c>
      <c r="AA14" s="32"/>
      <c r="AB14" s="41"/>
      <c r="AC14" s="33" t="str">
        <f>IF(Table1[[#This Row],[Auto Order]]=1,IF(Table1[[#This Row],[In stock]]&lt;Table1[[#This Row],[Min in stock]],1,""),"")</f>
        <v/>
      </c>
    </row>
    <row r="15" spans="1:29" x14ac:dyDescent="0.25">
      <c r="A15" s="69" t="s">
        <v>1067</v>
      </c>
      <c r="B15" s="32" t="s">
        <v>1070</v>
      </c>
      <c r="C15" s="32" t="s">
        <v>327</v>
      </c>
      <c r="D15" s="32" t="s">
        <v>1068</v>
      </c>
      <c r="E15" s="32" t="s">
        <v>520</v>
      </c>
      <c r="F15" s="43">
        <v>0</v>
      </c>
      <c r="G15" s="43"/>
      <c r="H15" s="43"/>
      <c r="I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2" t="s">
        <v>1069</v>
      </c>
      <c r="M15" s="39">
        <v>15.8</v>
      </c>
      <c r="N15" s="32"/>
      <c r="O15" s="39"/>
      <c r="P15" s="32"/>
      <c r="Q15" s="39"/>
      <c r="R15" s="32"/>
      <c r="S15" s="39"/>
      <c r="T15" s="32"/>
      <c r="U15" s="39"/>
      <c r="V15" s="32"/>
      <c r="W15" s="39"/>
      <c r="X15" s="32"/>
      <c r="Y15" s="39"/>
      <c r="Z15" s="39" t="str">
        <f>IF(Table1[[#This Row],[Other]]&lt;&gt;"","Other","")</f>
        <v/>
      </c>
      <c r="AA15" s="32"/>
      <c r="AB15" s="41"/>
      <c r="AC15" s="45" t="str">
        <f>IF(Table1[[#This Row],[Auto Order]]=1,IF(Table1[[#This Row],[In stock]]&lt;Table1[[#This Row],[Min in stock]],1,""),"")</f>
        <v/>
      </c>
    </row>
    <row r="16" spans="1:29" x14ac:dyDescent="0.25">
      <c r="A16" s="69" t="s">
        <v>1071</v>
      </c>
      <c r="B16" s="32" t="s">
        <v>1072</v>
      </c>
      <c r="C16" s="32" t="s">
        <v>327</v>
      </c>
      <c r="D16" s="32" t="s">
        <v>1073</v>
      </c>
      <c r="E16" s="32" t="s">
        <v>520</v>
      </c>
      <c r="F16" s="43">
        <v>0</v>
      </c>
      <c r="G16" s="43"/>
      <c r="H16" s="43"/>
      <c r="I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2" t="s">
        <v>1074</v>
      </c>
      <c r="M16" s="39">
        <v>9.6999999999999993</v>
      </c>
      <c r="N16" s="32"/>
      <c r="O16" s="39"/>
      <c r="P16" s="32"/>
      <c r="Q16" s="39"/>
      <c r="R16" s="32"/>
      <c r="S16" s="39"/>
      <c r="T16" s="32"/>
      <c r="U16" s="39"/>
      <c r="V16" s="32"/>
      <c r="W16" s="39"/>
      <c r="X16" s="32"/>
      <c r="Y16" s="39"/>
      <c r="Z16" s="39" t="str">
        <f>IF(Table1[[#This Row],[Other]]&lt;&gt;"","Other","")</f>
        <v/>
      </c>
      <c r="AA16" s="32"/>
      <c r="AB16" s="41"/>
      <c r="AC16" s="45" t="str">
        <f>IF(Table1[[#This Row],[Auto Order]]=1,IF(Table1[[#This Row],[In stock]]&lt;Table1[[#This Row],[Min in stock]],1,""),"")</f>
        <v/>
      </c>
    </row>
    <row r="17" spans="1:29" x14ac:dyDescent="0.25">
      <c r="A17" s="69" t="s">
        <v>460</v>
      </c>
      <c r="B17" s="32" t="s">
        <v>73</v>
      </c>
      <c r="C17" s="32" t="s">
        <v>1408</v>
      </c>
      <c r="D17" s="32" t="s">
        <v>462</v>
      </c>
      <c r="E17" s="32" t="s">
        <v>525</v>
      </c>
      <c r="F17" s="43">
        <v>1</v>
      </c>
      <c r="G17" s="43"/>
      <c r="H17" s="43"/>
      <c r="I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" s="32" t="s">
        <v>461</v>
      </c>
      <c r="M17" s="39">
        <v>2</v>
      </c>
      <c r="N17" s="32"/>
      <c r="O17" s="39"/>
      <c r="P17" s="32"/>
      <c r="Q17" s="39"/>
      <c r="R17" s="32"/>
      <c r="S17" s="39"/>
      <c r="T17" s="32"/>
      <c r="U17" s="39"/>
      <c r="V17" s="32"/>
      <c r="W17" s="39"/>
      <c r="X17" s="32"/>
      <c r="Y17" s="39"/>
      <c r="Z17" s="39" t="str">
        <f>IF(Table1[[#This Row],[Other]]&lt;&gt;"","Other","")</f>
        <v/>
      </c>
      <c r="AA17" s="32"/>
      <c r="AB17" s="41"/>
      <c r="AC17" s="33" t="str">
        <f>IF(Table1[[#This Row],[Auto Order]]=1,IF(Table1[[#This Row],[In stock]]&lt;Table1[[#This Row],[Min in stock]],1,""),"")</f>
        <v/>
      </c>
    </row>
    <row r="18" spans="1:29" x14ac:dyDescent="0.25">
      <c r="A18" s="32" t="s">
        <v>70</v>
      </c>
      <c r="B18" s="32" t="s">
        <v>69</v>
      </c>
      <c r="C18" s="32" t="s">
        <v>327</v>
      </c>
      <c r="D18" s="32" t="s">
        <v>68</v>
      </c>
      <c r="E18" s="32" t="s">
        <v>509</v>
      </c>
      <c r="F18" s="43">
        <v>1</v>
      </c>
      <c r="G18" s="43"/>
      <c r="H18" s="43"/>
      <c r="I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" s="32" t="s">
        <v>67</v>
      </c>
      <c r="M18" s="39">
        <v>2.98</v>
      </c>
      <c r="N18" s="32"/>
      <c r="O18" s="39"/>
      <c r="P18" s="32"/>
      <c r="Q18" s="39"/>
      <c r="R18" s="32"/>
      <c r="S18" s="39"/>
      <c r="T18" s="32"/>
      <c r="U18" s="39"/>
      <c r="V18" s="32"/>
      <c r="W18" s="39"/>
      <c r="X18" s="32"/>
      <c r="Y18" s="39"/>
      <c r="Z18" s="39" t="str">
        <f>IF(Table1[[#This Row],[Other]]&lt;&gt;"","Other","")</f>
        <v/>
      </c>
      <c r="AA18" s="32"/>
      <c r="AB18" s="41"/>
      <c r="AC18" s="33" t="str">
        <f>IF(Table1[[#This Row],[Auto Order]]=1,IF(Table1[[#This Row],[In stock]]&lt;Table1[[#This Row],[Min in stock]],1,""),"")</f>
        <v/>
      </c>
    </row>
    <row r="19" spans="1:29" x14ac:dyDescent="0.25">
      <c r="A19" s="69" t="s">
        <v>1358</v>
      </c>
      <c r="B19" s="32" t="s">
        <v>311</v>
      </c>
      <c r="C19" s="32" t="s">
        <v>327</v>
      </c>
      <c r="D19" s="32" t="s">
        <v>1359</v>
      </c>
      <c r="E19" s="32" t="s">
        <v>514</v>
      </c>
      <c r="F19" s="43">
        <v>0</v>
      </c>
      <c r="G19" s="43"/>
      <c r="H19" s="43"/>
      <c r="I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155-79-877</v>
      </c>
      <c r="J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28.01</v>
      </c>
      <c r="K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" s="32" t="s">
        <v>1360</v>
      </c>
      <c r="M19" s="39">
        <v>28.01</v>
      </c>
      <c r="N19" s="32"/>
      <c r="O19" s="39"/>
      <c r="P19" s="32"/>
      <c r="Q19" s="39"/>
      <c r="R19" s="32"/>
      <c r="S19" s="39"/>
      <c r="T19" s="32"/>
      <c r="U19" s="39"/>
      <c r="V19" s="32"/>
      <c r="W19" s="39"/>
      <c r="X19" s="32"/>
      <c r="Y19" s="39"/>
      <c r="Z19" s="39" t="str">
        <f>IF(Table1[[#This Row],[Other]]&lt;&gt;"","Other","")</f>
        <v/>
      </c>
      <c r="AA19" s="32"/>
      <c r="AB19" s="41"/>
      <c r="AC19" s="45" t="str">
        <f>IF(Table1[[#This Row],[Auto Order]]=1,IF(Table1[[#This Row],[In stock]]&lt;Table1[[#This Row],[Min in stock]],1,""),"")</f>
        <v/>
      </c>
    </row>
    <row r="20" spans="1:29" x14ac:dyDescent="0.25">
      <c r="A20" s="70" t="s">
        <v>310</v>
      </c>
      <c r="B20" s="32" t="s">
        <v>311</v>
      </c>
      <c r="C20" s="32" t="s">
        <v>327</v>
      </c>
      <c r="D20" s="32" t="s">
        <v>312</v>
      </c>
      <c r="E20" s="32" t="s">
        <v>514</v>
      </c>
      <c r="F20" s="43">
        <v>0</v>
      </c>
      <c r="G20" s="43"/>
      <c r="H20" s="43"/>
      <c r="I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27.02</v>
      </c>
      <c r="K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20" s="32"/>
      <c r="M20" s="39"/>
      <c r="N20" s="32"/>
      <c r="O20" s="39"/>
      <c r="P20" s="32" t="s">
        <v>309</v>
      </c>
      <c r="Q20" s="39">
        <v>27.02</v>
      </c>
      <c r="R20" s="32"/>
      <c r="S20" s="39"/>
      <c r="T20" s="32"/>
      <c r="U20" s="39"/>
      <c r="V20" s="32"/>
      <c r="W20" s="39"/>
      <c r="X20" s="32"/>
      <c r="Y20" s="39"/>
      <c r="Z20" s="39" t="str">
        <f>IF(Table1[[#This Row],[Other]]&lt;&gt;"","Other","")</f>
        <v/>
      </c>
      <c r="AA20" s="32"/>
      <c r="AB20" s="41"/>
      <c r="AC20" s="33" t="str">
        <f>IF(Table1[[#This Row],[Auto Order]]=1,IF(Table1[[#This Row],[In stock]]&lt;Table1[[#This Row],[Min in stock]],1,""),"")</f>
        <v/>
      </c>
    </row>
    <row r="21" spans="1:29" x14ac:dyDescent="0.25">
      <c r="A21" s="32" t="str">
        <f>"860021374008"</f>
        <v>860021374008</v>
      </c>
      <c r="B21" s="32" t="s">
        <v>146</v>
      </c>
      <c r="C21" s="32" t="s">
        <v>327</v>
      </c>
      <c r="D21" s="32" t="s">
        <v>245</v>
      </c>
      <c r="E21" s="32" t="s">
        <v>499</v>
      </c>
      <c r="F21" s="43">
        <v>4</v>
      </c>
      <c r="G21" s="43"/>
      <c r="H21" s="43"/>
      <c r="I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" s="32" t="s">
        <v>244</v>
      </c>
      <c r="M21" s="39">
        <v>0.43</v>
      </c>
      <c r="N21" s="32"/>
      <c r="O21" s="39"/>
      <c r="P21" s="32"/>
      <c r="Q21" s="39"/>
      <c r="R21" s="32"/>
      <c r="S21" s="39"/>
      <c r="T21" s="32"/>
      <c r="U21" s="39"/>
      <c r="V21" s="32"/>
      <c r="W21" s="39"/>
      <c r="X21" s="32"/>
      <c r="Y21" s="39"/>
      <c r="Z21" s="39" t="str">
        <f>IF(Table1[[#This Row],[Other]]&lt;&gt;"","Other","")</f>
        <v/>
      </c>
      <c r="AA21" s="32"/>
      <c r="AB21" s="41"/>
      <c r="AC21" s="33" t="str">
        <f>IF(Table1[[#This Row],[Auto Order]]=1,IF(Table1[[#This Row],[In stock]]&lt;Table1[[#This Row],[Min in stock]],1,""),"")</f>
        <v/>
      </c>
    </row>
    <row r="22" spans="1:29" x14ac:dyDescent="0.25">
      <c r="A22" s="69" t="s">
        <v>1152</v>
      </c>
      <c r="B22" s="32" t="s">
        <v>146</v>
      </c>
      <c r="C22" s="32" t="s">
        <v>1437</v>
      </c>
      <c r="D22" s="32" t="s">
        <v>1153</v>
      </c>
      <c r="E22" s="32" t="s">
        <v>499</v>
      </c>
      <c r="F22" s="43">
        <v>8</v>
      </c>
      <c r="G22" s="43"/>
      <c r="H22" s="43"/>
      <c r="I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732-7620-1-ND</v>
      </c>
      <c r="J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" s="32" t="s">
        <v>1154</v>
      </c>
      <c r="M22" s="39">
        <v>0.18</v>
      </c>
      <c r="N22" s="32"/>
      <c r="O22" s="39"/>
      <c r="P22" s="32"/>
      <c r="Q22" s="39"/>
      <c r="R22" s="32"/>
      <c r="S22" s="39"/>
      <c r="T22" s="32"/>
      <c r="U22" s="39"/>
      <c r="V22" s="32"/>
      <c r="W22" s="39"/>
      <c r="X22" s="32"/>
      <c r="Y22" s="39"/>
      <c r="Z22" s="39" t="str">
        <f>IF(Table1[[#This Row],[Other]]&lt;&gt;"","Other","")</f>
        <v/>
      </c>
      <c r="AA22" s="32"/>
      <c r="AB22" s="41"/>
      <c r="AC22" s="45" t="str">
        <f>IF(Table1[[#This Row],[Auto Order]]=1,IF(Table1[[#This Row],[In stock]]&lt;Table1[[#This Row],[Min in stock]],1,""),"")</f>
        <v/>
      </c>
    </row>
    <row r="23" spans="1:29" x14ac:dyDescent="0.25">
      <c r="A23" s="69" t="s">
        <v>535</v>
      </c>
      <c r="B23" s="32" t="s">
        <v>146</v>
      </c>
      <c r="C23" s="32" t="s">
        <v>1438</v>
      </c>
      <c r="D23" s="32" t="s">
        <v>583</v>
      </c>
      <c r="E23" s="32" t="s">
        <v>499</v>
      </c>
      <c r="F23" s="43">
        <v>15</v>
      </c>
      <c r="G23" s="43"/>
      <c r="H23" s="43"/>
      <c r="I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" s="32" t="s">
        <v>584</v>
      </c>
      <c r="M23" s="39">
        <v>0.151</v>
      </c>
      <c r="N23" s="32"/>
      <c r="O23" s="39"/>
      <c r="P23" s="32"/>
      <c r="Q23" s="39"/>
      <c r="R23" s="32"/>
      <c r="S23" s="39"/>
      <c r="T23" s="32" t="s">
        <v>1682</v>
      </c>
      <c r="U23" s="39">
        <v>0.16600000000000001</v>
      </c>
      <c r="V23" s="32"/>
      <c r="W23" s="39"/>
      <c r="X23" s="32"/>
      <c r="Y23" s="39"/>
      <c r="Z23" s="39" t="str">
        <f>IF(Table1[[#This Row],[Other]]&lt;&gt;"","Other","")</f>
        <v/>
      </c>
      <c r="AA23" s="32"/>
      <c r="AB23" s="41"/>
      <c r="AC23" s="45" t="str">
        <f>IF(Table1[[#This Row],[Auto Order]]=1,IF(Table1[[#This Row],[In stock]]&lt;Table1[[#This Row],[Min in stock]],1,""),"")</f>
        <v/>
      </c>
    </row>
    <row r="24" spans="1:29" x14ac:dyDescent="0.25">
      <c r="A24" s="69" t="s">
        <v>537</v>
      </c>
      <c r="B24" s="32" t="s">
        <v>146</v>
      </c>
      <c r="C24" s="32" t="s">
        <v>1440</v>
      </c>
      <c r="D24" s="32" t="s">
        <v>589</v>
      </c>
      <c r="E24" s="32" t="s">
        <v>499</v>
      </c>
      <c r="F24" s="43">
        <v>8</v>
      </c>
      <c r="G24" s="43"/>
      <c r="H24" s="43"/>
      <c r="I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" s="32" t="s">
        <v>590</v>
      </c>
      <c r="M24" s="39">
        <v>3.5999999999999997E-2</v>
      </c>
      <c r="N24" s="32"/>
      <c r="O24" s="39"/>
      <c r="P24" s="32"/>
      <c r="Q24" s="39"/>
      <c r="R24" s="32"/>
      <c r="S24" s="39"/>
      <c r="T24" s="32"/>
      <c r="U24" s="39"/>
      <c r="V24" s="32"/>
      <c r="W24" s="39"/>
      <c r="X24" s="32"/>
      <c r="Y24" s="39"/>
      <c r="Z24" s="39" t="str">
        <f>IF(Table1[[#This Row],[Other]]&lt;&gt;"","Other","")</f>
        <v/>
      </c>
      <c r="AA24" s="32"/>
      <c r="AB24" s="41"/>
      <c r="AC24" s="45" t="str">
        <f>IF(Table1[[#This Row],[Auto Order]]=1,IF(Table1[[#This Row],[In stock]]&lt;Table1[[#This Row],[Min in stock]],1,""),"")</f>
        <v/>
      </c>
    </row>
    <row r="25" spans="1:29" x14ac:dyDescent="0.25">
      <c r="A25" s="69" t="s">
        <v>534</v>
      </c>
      <c r="B25" s="32" t="s">
        <v>146</v>
      </c>
      <c r="C25" s="32" t="s">
        <v>1439</v>
      </c>
      <c r="D25" s="32" t="s">
        <v>585</v>
      </c>
      <c r="E25" s="32" t="s">
        <v>499</v>
      </c>
      <c r="F25" s="43">
        <v>9</v>
      </c>
      <c r="G25" s="43"/>
      <c r="H25" s="43"/>
      <c r="I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" s="32" t="s">
        <v>586</v>
      </c>
      <c r="M25" s="39">
        <v>0.10199999999999999</v>
      </c>
      <c r="N25" s="32"/>
      <c r="O25" s="39"/>
      <c r="P25" s="32"/>
      <c r="Q25" s="39"/>
      <c r="R25" s="32"/>
      <c r="S25" s="39"/>
      <c r="T25" s="32"/>
      <c r="U25" s="39"/>
      <c r="V25" s="32"/>
      <c r="W25" s="39"/>
      <c r="X25" s="32"/>
      <c r="Y25" s="39"/>
      <c r="Z25" s="39" t="str">
        <f>IF(Table1[[#This Row],[Other]]&lt;&gt;"","Other","")</f>
        <v/>
      </c>
      <c r="AA25" s="32"/>
      <c r="AB25" s="41"/>
      <c r="AC25" s="45" t="str">
        <f>IF(Table1[[#This Row],[Auto Order]]=1,IF(Table1[[#This Row],[In stock]]&lt;Table1[[#This Row],[Min in stock]],1,""),"")</f>
        <v/>
      </c>
    </row>
    <row r="26" spans="1:29" x14ac:dyDescent="0.25">
      <c r="A26" s="69" t="s">
        <v>536</v>
      </c>
      <c r="B26" s="32" t="s">
        <v>146</v>
      </c>
      <c r="C26" s="32" t="s">
        <v>1436</v>
      </c>
      <c r="D26" s="32" t="s">
        <v>587</v>
      </c>
      <c r="E26" s="32" t="s">
        <v>499</v>
      </c>
      <c r="F26" s="43">
        <v>27</v>
      </c>
      <c r="G26" s="43">
        <v>10</v>
      </c>
      <c r="H26" s="43">
        <v>1</v>
      </c>
      <c r="I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" s="32" t="s">
        <v>588</v>
      </c>
      <c r="M26" s="39">
        <v>0.08</v>
      </c>
      <c r="N26" s="32"/>
      <c r="O26" s="39"/>
      <c r="P26" s="32"/>
      <c r="Q26" s="39"/>
      <c r="R26" s="32"/>
      <c r="S26" s="39"/>
      <c r="T26" s="32" t="s">
        <v>1670</v>
      </c>
      <c r="U26" s="39">
        <v>0.16300000000000001</v>
      </c>
      <c r="V26" s="32"/>
      <c r="W26" s="39"/>
      <c r="X26" s="32"/>
      <c r="Y26" s="39"/>
      <c r="Z26" s="39" t="str">
        <f>IF(Table1[[#This Row],[Other]]&lt;&gt;"","Other","")</f>
        <v/>
      </c>
      <c r="AA26" s="32"/>
      <c r="AB26" s="41"/>
      <c r="AC26" s="45" t="str">
        <f>IF(Table1[[#This Row],[Auto Order]]=1,IF(Table1[[#This Row],[In stock]]&lt;Table1[[#This Row],[Min in stock]],1,""),"")</f>
        <v/>
      </c>
    </row>
    <row r="27" spans="1:29" x14ac:dyDescent="0.25">
      <c r="A27" s="69" t="s">
        <v>1054</v>
      </c>
      <c r="B27" s="32" t="s">
        <v>222</v>
      </c>
      <c r="C27" s="32" t="s">
        <v>1382</v>
      </c>
      <c r="D27" s="32" t="s">
        <v>1055</v>
      </c>
      <c r="E27" s="32" t="s">
        <v>499</v>
      </c>
      <c r="F27" s="43">
        <v>93</v>
      </c>
      <c r="G27" s="43">
        <v>100</v>
      </c>
      <c r="H27" s="43">
        <v>1</v>
      </c>
      <c r="I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" s="32" t="s">
        <v>1056</v>
      </c>
      <c r="M27" s="39">
        <v>2.7E-2</v>
      </c>
      <c r="N27" s="32"/>
      <c r="O27" s="39"/>
      <c r="P27" s="32"/>
      <c r="Q27" s="39"/>
      <c r="R27" s="32"/>
      <c r="S27" s="39"/>
      <c r="T27" s="32"/>
      <c r="U27" s="39"/>
      <c r="V27" s="32"/>
      <c r="W27" s="39"/>
      <c r="X27" s="32"/>
      <c r="Y27" s="39"/>
      <c r="Z27" s="39" t="str">
        <f>IF(Table1[[#This Row],[Other]]&lt;&gt;"","Other","")</f>
        <v/>
      </c>
      <c r="AA27" s="32"/>
      <c r="AB27" s="41"/>
      <c r="AC27" s="45">
        <f>IF(Table1[[#This Row],[Auto Order]]=1,IF(Table1[[#This Row],[In stock]]&lt;Table1[[#This Row],[Min in stock]],1,""),"")</f>
        <v>1</v>
      </c>
    </row>
    <row r="28" spans="1:29" x14ac:dyDescent="0.25">
      <c r="A28" s="32" t="s">
        <v>221</v>
      </c>
      <c r="B28" s="32" t="s">
        <v>222</v>
      </c>
      <c r="C28" s="32" t="s">
        <v>1384</v>
      </c>
      <c r="D28" s="32" t="s">
        <v>1698</v>
      </c>
      <c r="E28" s="32" t="s">
        <v>499</v>
      </c>
      <c r="F28" s="43">
        <v>16</v>
      </c>
      <c r="G28" s="43"/>
      <c r="H28" s="43"/>
      <c r="I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" s="32" t="s">
        <v>220</v>
      </c>
      <c r="M28" s="39">
        <v>0.27</v>
      </c>
      <c r="N28" s="32"/>
      <c r="O28" s="39"/>
      <c r="P28" s="32"/>
      <c r="Q28" s="39"/>
      <c r="R28" s="32"/>
      <c r="S28" s="39"/>
      <c r="T28" s="32"/>
      <c r="U28" s="39"/>
      <c r="V28" s="32"/>
      <c r="W28" s="39"/>
      <c r="X28" s="32"/>
      <c r="Y28" s="39"/>
      <c r="Z28" s="39" t="str">
        <f>IF(Table1[[#This Row],[Other]]&lt;&gt;"","Other","")</f>
        <v/>
      </c>
      <c r="AA28" s="32"/>
      <c r="AB28" s="41"/>
      <c r="AC28" s="33" t="str">
        <f>IF(Table1[[#This Row],[Auto Order]]=1,IF(Table1[[#This Row],[In stock]]&lt;Table1[[#This Row],[Min in stock]],1,""),"")</f>
        <v/>
      </c>
    </row>
    <row r="29" spans="1:29" x14ac:dyDescent="0.25">
      <c r="A29" s="32" t="s">
        <v>14</v>
      </c>
      <c r="B29" s="32" t="s">
        <v>30</v>
      </c>
      <c r="C29" s="32" t="s">
        <v>1641</v>
      </c>
      <c r="D29" s="32" t="s">
        <v>13</v>
      </c>
      <c r="E29" s="32" t="s">
        <v>499</v>
      </c>
      <c r="F29" s="43">
        <v>48</v>
      </c>
      <c r="G29" s="43"/>
      <c r="H29" s="43"/>
      <c r="I29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9" s="32"/>
      <c r="M29" s="39"/>
      <c r="N29" s="32">
        <v>9451242</v>
      </c>
      <c r="O29" s="39">
        <v>5.1700000000000003E-2</v>
      </c>
      <c r="P29" s="32"/>
      <c r="Q29" s="39"/>
      <c r="R29" s="32"/>
      <c r="S29" s="39"/>
      <c r="T29" s="32"/>
      <c r="U29" s="39"/>
      <c r="V29" s="32"/>
      <c r="W29" s="39"/>
      <c r="X29" s="32"/>
      <c r="Y29" s="39">
        <v>5.1700000000000003E-2</v>
      </c>
      <c r="Z29" s="39" t="str">
        <f>IF(Table1[[#This Row],[Other]]&lt;&gt;"","Other","")</f>
        <v/>
      </c>
      <c r="AA29" s="32"/>
      <c r="AB29" s="41"/>
      <c r="AC29" s="33" t="str">
        <f>IF(Table1[[#This Row],[Auto Order]]=1,IF(Table1[[#This Row],[In stock]]&lt;Table1[[#This Row],[Min in stock]],1,""),"")</f>
        <v/>
      </c>
    </row>
    <row r="30" spans="1:29" x14ac:dyDescent="0.25">
      <c r="A30" s="32" t="s">
        <v>12</v>
      </c>
      <c r="B30" s="32" t="s">
        <v>30</v>
      </c>
      <c r="C30" s="32" t="s">
        <v>1639</v>
      </c>
      <c r="D30" s="32" t="s">
        <v>11</v>
      </c>
      <c r="E30" s="32" t="s">
        <v>499</v>
      </c>
      <c r="F30" s="43">
        <v>48</v>
      </c>
      <c r="G30" s="43"/>
      <c r="H30" s="43"/>
      <c r="I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0" s="32"/>
      <c r="M30" s="39"/>
      <c r="N30" s="32" t="s">
        <v>149</v>
      </c>
      <c r="O30" s="39">
        <v>5.0900000000000001E-2</v>
      </c>
      <c r="P30" s="32"/>
      <c r="Q30" s="39"/>
      <c r="R30" s="32"/>
      <c r="S30" s="39"/>
      <c r="T30" s="32"/>
      <c r="U30" s="39"/>
      <c r="V30" s="32"/>
      <c r="W30" s="39"/>
      <c r="X30" s="32"/>
      <c r="Y30" s="39">
        <v>5.0900000000000001E-2</v>
      </c>
      <c r="Z30" s="39" t="str">
        <f>IF(Table1[[#This Row],[Other]]&lt;&gt;"","Other","")</f>
        <v/>
      </c>
      <c r="AA30" s="32"/>
      <c r="AB30" s="41"/>
      <c r="AC30" s="33" t="str">
        <f>IF(Table1[[#This Row],[Auto Order]]=1,IF(Table1[[#This Row],[In stock]]&lt;Table1[[#This Row],[Min in stock]],1,""),"")</f>
        <v/>
      </c>
    </row>
    <row r="31" spans="1:29" x14ac:dyDescent="0.25">
      <c r="A31" s="32" t="s">
        <v>33</v>
      </c>
      <c r="B31" s="32" t="s">
        <v>38</v>
      </c>
      <c r="C31" s="32" t="s">
        <v>1383</v>
      </c>
      <c r="D31" s="32" t="s">
        <v>32</v>
      </c>
      <c r="E31" s="32" t="s">
        <v>499</v>
      </c>
      <c r="F31" s="43">
        <v>83</v>
      </c>
      <c r="G31" s="43"/>
      <c r="H31" s="43"/>
      <c r="I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1" s="32" t="s">
        <v>434</v>
      </c>
      <c r="M31" s="39">
        <v>0.42</v>
      </c>
      <c r="N31" s="32" t="s">
        <v>394</v>
      </c>
      <c r="O31" s="39">
        <v>0.106</v>
      </c>
      <c r="P31" s="32"/>
      <c r="Q31" s="39"/>
      <c r="R31" s="32"/>
      <c r="S31" s="39"/>
      <c r="T31" s="32"/>
      <c r="U31" s="39"/>
      <c r="V31" s="32"/>
      <c r="W31" s="39"/>
      <c r="X31" s="32"/>
      <c r="Y31" s="39">
        <v>0.106</v>
      </c>
      <c r="Z31" s="39" t="str">
        <f>IF(Table1[[#This Row],[Other]]&lt;&gt;"","Other","")</f>
        <v/>
      </c>
      <c r="AA31" s="32"/>
      <c r="AB31" s="41"/>
      <c r="AC31" s="33" t="str">
        <f>IF(Table1[[#This Row],[Auto Order]]=1,IF(Table1[[#This Row],[In stock]]&lt;Table1[[#This Row],[Min in stock]],1,""),"")</f>
        <v/>
      </c>
    </row>
    <row r="32" spans="1:29" x14ac:dyDescent="0.25">
      <c r="A32" s="32" t="s">
        <v>142</v>
      </c>
      <c r="B32" s="32" t="s">
        <v>148</v>
      </c>
      <c r="C32" s="32" t="s">
        <v>1651</v>
      </c>
      <c r="D32" s="32" t="s">
        <v>143</v>
      </c>
      <c r="E32" s="32" t="s">
        <v>495</v>
      </c>
      <c r="F32" s="43">
        <v>8</v>
      </c>
      <c r="G32" s="43">
        <v>2</v>
      </c>
      <c r="H32" s="43">
        <v>1</v>
      </c>
      <c r="I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" s="32" t="s">
        <v>141</v>
      </c>
      <c r="M32" s="39">
        <v>0.66500000000000004</v>
      </c>
      <c r="N32" s="32"/>
      <c r="O32" s="39"/>
      <c r="P32" s="32"/>
      <c r="Q32" s="39"/>
      <c r="R32" s="32"/>
      <c r="S32" s="39"/>
      <c r="T32" s="32"/>
      <c r="U32" s="39"/>
      <c r="V32" s="32"/>
      <c r="W32" s="39"/>
      <c r="X32" s="32"/>
      <c r="Y32" s="39"/>
      <c r="Z32" s="39" t="str">
        <f>IF(Table1[[#This Row],[Other]]&lt;&gt;"","Other","")</f>
        <v/>
      </c>
      <c r="AA32" s="32"/>
      <c r="AB32" s="41"/>
      <c r="AC32" s="33" t="str">
        <f>IF(Table1[[#This Row],[Auto Order]]=1,IF(Table1[[#This Row],[In stock]]&lt;Table1[[#This Row],[Min in stock]],1,""),"")</f>
        <v/>
      </c>
    </row>
    <row r="33" spans="1:29" x14ac:dyDescent="0.25">
      <c r="A33" s="32" t="s">
        <v>101</v>
      </c>
      <c r="B33" s="32" t="s">
        <v>30</v>
      </c>
      <c r="C33" s="32" t="s">
        <v>1652</v>
      </c>
      <c r="D33" s="32" t="s">
        <v>1097</v>
      </c>
      <c r="E33" s="32" t="s">
        <v>495</v>
      </c>
      <c r="F33" s="43">
        <v>3.8</v>
      </c>
      <c r="G33" s="43">
        <v>5</v>
      </c>
      <c r="H33" s="43">
        <v>1</v>
      </c>
      <c r="I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" s="32"/>
      <c r="M33" s="39"/>
      <c r="N33" s="32" t="s">
        <v>102</v>
      </c>
      <c r="O33" s="39">
        <v>0.28699999999999998</v>
      </c>
      <c r="P33" s="32"/>
      <c r="Q33" s="39"/>
      <c r="R33" s="32"/>
      <c r="S33" s="39"/>
      <c r="T33" s="32"/>
      <c r="U33" s="39"/>
      <c r="V33" s="32"/>
      <c r="W33" s="39"/>
      <c r="X33" s="32"/>
      <c r="Y33" s="39">
        <v>0.28699999999999998</v>
      </c>
      <c r="Z33" s="39" t="str">
        <f>IF(Table1[[#This Row],[Other]]&lt;&gt;"","Other","")</f>
        <v/>
      </c>
      <c r="AA33" s="32"/>
      <c r="AB33" s="41"/>
      <c r="AC33" s="33">
        <f>IF(Table1[[#This Row],[Auto Order]]=1,IF(Table1[[#This Row],[In stock]]&lt;Table1[[#This Row],[Min in stock]],1,""),"")</f>
        <v>1</v>
      </c>
    </row>
    <row r="34" spans="1:29" x14ac:dyDescent="0.25">
      <c r="A34" s="69" t="str">
        <f>"22284360"</f>
        <v>22284360</v>
      </c>
      <c r="B34" s="32" t="s">
        <v>97</v>
      </c>
      <c r="C34" s="32" t="s">
        <v>327</v>
      </c>
      <c r="D34" s="32" t="s">
        <v>541</v>
      </c>
      <c r="E34" s="32" t="s">
        <v>495</v>
      </c>
      <c r="F34" s="43">
        <v>2.5</v>
      </c>
      <c r="G34" s="43"/>
      <c r="H34" s="43"/>
      <c r="I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4" s="32" t="s">
        <v>490</v>
      </c>
      <c r="M34" s="39">
        <v>1.02</v>
      </c>
      <c r="N34" s="32" t="s">
        <v>98</v>
      </c>
      <c r="O34" s="39">
        <v>1.55</v>
      </c>
      <c r="P34" s="32"/>
      <c r="Q34" s="39"/>
      <c r="R34" s="32"/>
      <c r="S34" s="39"/>
      <c r="T34" s="32"/>
      <c r="U34" s="39"/>
      <c r="V34" s="32"/>
      <c r="W34" s="39"/>
      <c r="X34" s="32"/>
      <c r="Y34" s="39">
        <v>1.55</v>
      </c>
      <c r="Z34" s="39" t="str">
        <f>IF(Table1[[#This Row],[Other]]&lt;&gt;"","Other","")</f>
        <v/>
      </c>
      <c r="AA34" s="32"/>
      <c r="AB34" s="41"/>
      <c r="AC34" s="33" t="str">
        <f>IF(Table1[[#This Row],[Auto Order]]=1,IF(Table1[[#This Row],[In stock]]&lt;Table1[[#This Row],[Min in stock]],1,""),"")</f>
        <v/>
      </c>
    </row>
    <row r="35" spans="1:29" x14ac:dyDescent="0.25">
      <c r="A35" s="32" t="s">
        <v>437</v>
      </c>
      <c r="B35" s="32" t="s">
        <v>390</v>
      </c>
      <c r="C35" s="32" t="s">
        <v>327</v>
      </c>
      <c r="D35" s="32" t="s">
        <v>391</v>
      </c>
      <c r="E35" s="32" t="s">
        <v>495</v>
      </c>
      <c r="F35" s="43">
        <v>5</v>
      </c>
      <c r="G35" s="43"/>
      <c r="H35" s="43"/>
      <c r="I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5" s="32"/>
      <c r="M35" s="39"/>
      <c r="N35" s="32"/>
      <c r="O35" s="39"/>
      <c r="P35" s="32"/>
      <c r="Q35" s="39"/>
      <c r="R35" s="32"/>
      <c r="S35" s="39"/>
      <c r="T35" s="32"/>
      <c r="U35" s="39"/>
      <c r="V35" s="32" t="s">
        <v>389</v>
      </c>
      <c r="W35" s="39">
        <v>0.127</v>
      </c>
      <c r="X35" s="32"/>
      <c r="Y35" s="39"/>
      <c r="Z35" s="39" t="str">
        <f>IF(Table1[[#This Row],[Other]]&lt;&gt;"","Other","")</f>
        <v/>
      </c>
      <c r="AA35" s="32"/>
      <c r="AB35" s="41"/>
      <c r="AC35" s="33" t="str">
        <f>IF(Table1[[#This Row],[Auto Order]]=1,IF(Table1[[#This Row],[In stock]]&lt;Table1[[#This Row],[Min in stock]],1,""),"")</f>
        <v/>
      </c>
    </row>
    <row r="36" spans="1:29" x14ac:dyDescent="0.25">
      <c r="A36" s="32" t="s">
        <v>438</v>
      </c>
      <c r="B36" s="32" t="s">
        <v>390</v>
      </c>
      <c r="C36" s="32" t="s">
        <v>327</v>
      </c>
      <c r="D36" s="32" t="s">
        <v>1136</v>
      </c>
      <c r="E36" s="32" t="s">
        <v>495</v>
      </c>
      <c r="F36" s="43">
        <v>5</v>
      </c>
      <c r="G36" s="43"/>
      <c r="H36" s="43"/>
      <c r="I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36" s="32"/>
      <c r="M36" s="39"/>
      <c r="N36" s="32"/>
      <c r="O36" s="39"/>
      <c r="P36" s="32"/>
      <c r="Q36" s="39"/>
      <c r="R36" s="32"/>
      <c r="S36" s="39"/>
      <c r="T36" s="32"/>
      <c r="U36" s="39"/>
      <c r="V36" s="32" t="s">
        <v>389</v>
      </c>
      <c r="W36" s="39">
        <v>0.127</v>
      </c>
      <c r="X36" s="32"/>
      <c r="Y36" s="39"/>
      <c r="Z36" s="39" t="str">
        <f>IF(Table1[[#This Row],[Other]]&lt;&gt;"","Other","")</f>
        <v/>
      </c>
      <c r="AA36" s="32"/>
      <c r="AB36" s="41"/>
      <c r="AC36" s="33" t="str">
        <f>IF(Table1[[#This Row],[Auto Order]]=1,IF(Table1[[#This Row],[In stock]]&lt;Table1[[#This Row],[Min in stock]],1,""),"")</f>
        <v/>
      </c>
    </row>
    <row r="37" spans="1:29" x14ac:dyDescent="0.25">
      <c r="A37" s="32" t="str">
        <f>"61304011021"</f>
        <v>61304011021</v>
      </c>
      <c r="B37" s="32" t="s">
        <v>100</v>
      </c>
      <c r="C37" s="32" t="s">
        <v>327</v>
      </c>
      <c r="D37" s="32" t="s">
        <v>544</v>
      </c>
      <c r="E37" s="32" t="s">
        <v>495</v>
      </c>
      <c r="F37" s="43">
        <v>9.65</v>
      </c>
      <c r="G37" s="43">
        <v>2</v>
      </c>
      <c r="H37" s="43">
        <v>1</v>
      </c>
      <c r="I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7" s="32" t="s">
        <v>420</v>
      </c>
      <c r="M37" s="39">
        <v>1.44</v>
      </c>
      <c r="N37" s="32" t="s">
        <v>99</v>
      </c>
      <c r="O37" s="39">
        <v>1.58</v>
      </c>
      <c r="P37" s="32"/>
      <c r="Q37" s="39"/>
      <c r="R37" s="32"/>
      <c r="S37" s="39"/>
      <c r="T37" s="32"/>
      <c r="U37" s="39"/>
      <c r="V37" s="32"/>
      <c r="W37" s="39"/>
      <c r="X37" s="32"/>
      <c r="Y37" s="39">
        <v>1.58</v>
      </c>
      <c r="Z37" s="39" t="str">
        <f>IF(Table1[[#This Row],[Other]]&lt;&gt;"","Other","")</f>
        <v/>
      </c>
      <c r="AA37" s="32"/>
      <c r="AB37" s="41"/>
      <c r="AC37" s="33" t="str">
        <f>IF(Table1[[#This Row],[Auto Order]]=1,IF(Table1[[#This Row],[In stock]]&lt;Table1[[#This Row],[Min in stock]],1,""),"")</f>
        <v/>
      </c>
    </row>
    <row r="38" spans="1:29" x14ac:dyDescent="0.25">
      <c r="A38" s="32" t="s">
        <v>428</v>
      </c>
      <c r="B38" s="32" t="s">
        <v>7</v>
      </c>
      <c r="C38" s="32" t="s">
        <v>1652</v>
      </c>
      <c r="D38" s="32" t="s">
        <v>540</v>
      </c>
      <c r="E38" s="32" t="s">
        <v>495</v>
      </c>
      <c r="F38" s="43">
        <v>2.3050000000000002</v>
      </c>
      <c r="G38" s="43">
        <v>2</v>
      </c>
      <c r="H38" s="43">
        <v>1</v>
      </c>
      <c r="I3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8" s="32" t="s">
        <v>491</v>
      </c>
      <c r="M38" s="39">
        <v>3.12</v>
      </c>
      <c r="N38" s="32" t="s">
        <v>1093</v>
      </c>
      <c r="O38" s="39">
        <v>2.95</v>
      </c>
      <c r="P38" s="32"/>
      <c r="Q38" s="39"/>
      <c r="R38" s="32"/>
      <c r="S38" s="39"/>
      <c r="T38" s="32"/>
      <c r="U38" s="39"/>
      <c r="V38" s="32"/>
      <c r="W38" s="39"/>
      <c r="X38" s="32"/>
      <c r="Y38" s="39">
        <v>2.95</v>
      </c>
      <c r="Z38" s="39" t="str">
        <f>IF(Table1[[#This Row],[Other]]&lt;&gt;"","Other","")</f>
        <v/>
      </c>
      <c r="AA38" s="32"/>
      <c r="AB38" s="41"/>
      <c r="AC38" s="33" t="str">
        <f>IF(Table1[[#This Row],[Auto Order]]=1,IF(Table1[[#This Row],[In stock]]&lt;Table1[[#This Row],[Min in stock]],1,""),"")</f>
        <v/>
      </c>
    </row>
    <row r="39" spans="1:29" x14ac:dyDescent="0.25">
      <c r="A39" s="69" t="s">
        <v>1098</v>
      </c>
      <c r="B39" s="32" t="s">
        <v>1099</v>
      </c>
      <c r="C39" s="32" t="s">
        <v>1652</v>
      </c>
      <c r="D39" s="32" t="s">
        <v>1100</v>
      </c>
      <c r="E39" s="32" t="s">
        <v>495</v>
      </c>
      <c r="F39" s="43">
        <v>3.3610000000000002</v>
      </c>
      <c r="G39" s="43">
        <v>2</v>
      </c>
      <c r="H39" s="43">
        <v>1</v>
      </c>
      <c r="I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9" s="32" t="s">
        <v>1101</v>
      </c>
      <c r="M39" s="39">
        <v>0.79</v>
      </c>
      <c r="N39" s="32"/>
      <c r="O39" s="39"/>
      <c r="P39" s="32"/>
      <c r="Q39" s="39"/>
      <c r="R39" s="32"/>
      <c r="S39" s="39"/>
      <c r="T39" s="32" t="s">
        <v>1671</v>
      </c>
      <c r="U39" s="39">
        <v>0.76200000000000001</v>
      </c>
      <c r="V39" s="32"/>
      <c r="W39" s="39"/>
      <c r="X39" s="32"/>
      <c r="Y39" s="39"/>
      <c r="Z39" s="39" t="str">
        <f>IF(Table1[[#This Row],[Other]]&lt;&gt;"","Other","")</f>
        <v/>
      </c>
      <c r="AA39" s="32"/>
      <c r="AB39" s="41"/>
      <c r="AC39" s="45" t="str">
        <f>IF(Table1[[#This Row],[Auto Order]]=1,IF(Table1[[#This Row],[In stock]]&lt;Table1[[#This Row],[Min in stock]],1,""),"")</f>
        <v/>
      </c>
    </row>
    <row r="40" spans="1:29" x14ac:dyDescent="0.25">
      <c r="A40" s="32" t="s">
        <v>185</v>
      </c>
      <c r="B40" s="32" t="s">
        <v>58</v>
      </c>
      <c r="C40" s="32" t="s">
        <v>327</v>
      </c>
      <c r="D40" s="32" t="s">
        <v>79</v>
      </c>
      <c r="E40" s="32" t="s">
        <v>495</v>
      </c>
      <c r="F40" s="43">
        <v>1.8</v>
      </c>
      <c r="G40" s="43">
        <v>1</v>
      </c>
      <c r="H40" s="43">
        <f>1</f>
        <v>1</v>
      </c>
      <c r="I40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40" s="32"/>
      <c r="M40" s="39"/>
      <c r="N40" s="32"/>
      <c r="O40" s="39"/>
      <c r="P40" s="32"/>
      <c r="Q40" s="39"/>
      <c r="R40" s="32"/>
      <c r="S40" s="39"/>
      <c r="T40" s="32"/>
      <c r="U40" s="39"/>
      <c r="V40" s="32"/>
      <c r="W40" s="39"/>
      <c r="X40" s="32">
        <v>965083</v>
      </c>
      <c r="Y40" s="39">
        <v>3.18</v>
      </c>
      <c r="Z40" s="39" t="str">
        <f>IF(Table1[[#This Row],[Other]]&lt;&gt;"","Other","")</f>
        <v/>
      </c>
      <c r="AA40" s="32"/>
      <c r="AB40" s="41"/>
      <c r="AC40" s="33" t="str">
        <f>IF(Table1[[#This Row],[Auto Order]]=1,IF(Table1[[#This Row],[In stock]]&lt;Table1[[#This Row],[Min in stock]],1,""),"")</f>
        <v/>
      </c>
    </row>
    <row r="41" spans="1:29" x14ac:dyDescent="0.25">
      <c r="A41" s="69" t="s">
        <v>1347</v>
      </c>
      <c r="B41" s="32" t="s">
        <v>1348</v>
      </c>
      <c r="C41" s="32" t="s">
        <v>327</v>
      </c>
      <c r="D41" s="32" t="s">
        <v>1349</v>
      </c>
      <c r="E41" s="32" t="s">
        <v>495</v>
      </c>
      <c r="F41" s="43">
        <v>0</v>
      </c>
      <c r="G41" s="43"/>
      <c r="H41" s="43"/>
      <c r="I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952-1782-ND</v>
      </c>
      <c r="J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0.89</v>
      </c>
      <c r="K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2" t="s">
        <v>1350</v>
      </c>
      <c r="M41" s="39">
        <v>0.89</v>
      </c>
      <c r="N41" s="32"/>
      <c r="O41" s="39"/>
      <c r="P41" s="32"/>
      <c r="Q41" s="39"/>
      <c r="R41" s="32"/>
      <c r="S41" s="39"/>
      <c r="T41" s="32"/>
      <c r="U41" s="39"/>
      <c r="V41" s="32"/>
      <c r="W41" s="39"/>
      <c r="X41" s="32"/>
      <c r="Y41" s="39"/>
      <c r="Z41" s="39" t="str">
        <f>IF(Table1[[#This Row],[Other]]&lt;&gt;"","Other","")</f>
        <v/>
      </c>
      <c r="AA41" s="32"/>
      <c r="AB41" s="41"/>
      <c r="AC41" s="45" t="str">
        <f>IF(Table1[[#This Row],[Auto Order]]=1,IF(Table1[[#This Row],[In stock]]&lt;Table1[[#This Row],[Min in stock]],1,""),"")</f>
        <v/>
      </c>
    </row>
    <row r="42" spans="1:29" x14ac:dyDescent="0.25">
      <c r="A42" s="69" t="s">
        <v>1368</v>
      </c>
      <c r="B42" s="32" t="s">
        <v>1104</v>
      </c>
      <c r="C42" s="32" t="s">
        <v>327</v>
      </c>
      <c r="D42" s="32" t="s">
        <v>1369</v>
      </c>
      <c r="E42" s="32" t="s">
        <v>495</v>
      </c>
      <c r="F42" s="43">
        <v>0</v>
      </c>
      <c r="G42" s="43"/>
      <c r="H42" s="43"/>
      <c r="I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S2012E-08-ND</v>
      </c>
      <c r="J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2" t="s">
        <v>1370</v>
      </c>
      <c r="M42" s="39">
        <v>0.72</v>
      </c>
      <c r="N42" s="32"/>
      <c r="O42" s="39"/>
      <c r="P42" s="32"/>
      <c r="Q42" s="39"/>
      <c r="R42" s="32"/>
      <c r="S42" s="39"/>
      <c r="T42" s="32"/>
      <c r="U42" s="39"/>
      <c r="V42" s="32"/>
      <c r="W42" s="39"/>
      <c r="X42" s="32"/>
      <c r="Y42" s="39"/>
      <c r="Z42" s="39" t="str">
        <f>IF(Table1[[#This Row],[Other]]&lt;&gt;"","Other","")</f>
        <v/>
      </c>
      <c r="AA42" s="32"/>
      <c r="AB42" s="41"/>
      <c r="AC42" s="45" t="str">
        <f>IF(Table1[[#This Row],[Auto Order]]=1,IF(Table1[[#This Row],[In stock]]&lt;Table1[[#This Row],[Min in stock]],1,""),"")</f>
        <v/>
      </c>
    </row>
    <row r="43" spans="1:29" x14ac:dyDescent="0.25">
      <c r="A43" s="69" t="s">
        <v>1365</v>
      </c>
      <c r="B43" s="32" t="s">
        <v>1104</v>
      </c>
      <c r="C43" s="32" t="s">
        <v>327</v>
      </c>
      <c r="D43" s="32" t="s">
        <v>1366</v>
      </c>
      <c r="E43" s="32" t="s">
        <v>495</v>
      </c>
      <c r="F43" s="43">
        <v>0</v>
      </c>
      <c r="G43" s="43"/>
      <c r="H43" s="43"/>
      <c r="I4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S7076-ND</v>
      </c>
      <c r="J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0.98</v>
      </c>
      <c r="K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2" t="s">
        <v>1367</v>
      </c>
      <c r="M43" s="39">
        <v>0.98</v>
      </c>
      <c r="N43" s="32"/>
      <c r="O43" s="39"/>
      <c r="P43" s="32"/>
      <c r="Q43" s="39"/>
      <c r="R43" s="32"/>
      <c r="S43" s="39"/>
      <c r="T43" s="32"/>
      <c r="U43" s="39"/>
      <c r="V43" s="32"/>
      <c r="W43" s="39"/>
      <c r="X43" s="32"/>
      <c r="Y43" s="39"/>
      <c r="Z43" s="39" t="str">
        <f>IF(Table1[[#This Row],[Other]]&lt;&gt;"","Other","")</f>
        <v/>
      </c>
      <c r="AA43" s="32"/>
      <c r="AB43" s="41"/>
      <c r="AC43" s="45" t="str">
        <f>IF(Table1[[#This Row],[Auto Order]]=1,IF(Table1[[#This Row],[In stock]]&lt;Table1[[#This Row],[Min in stock]],1,""),"")</f>
        <v/>
      </c>
    </row>
    <row r="44" spans="1:29" x14ac:dyDescent="0.25">
      <c r="A44" s="69" t="s">
        <v>1265</v>
      </c>
      <c r="B44" s="32" t="s">
        <v>1259</v>
      </c>
      <c r="C44" s="32" t="s">
        <v>327</v>
      </c>
      <c r="D44" s="32" t="s">
        <v>1266</v>
      </c>
      <c r="E44" s="32" t="s">
        <v>1030</v>
      </c>
      <c r="F44" s="43">
        <v>0</v>
      </c>
      <c r="G44" s="43"/>
      <c r="H44" s="43"/>
      <c r="I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WM1114-ND</v>
      </c>
      <c r="J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2" t="s">
        <v>1267</v>
      </c>
      <c r="M44" s="39">
        <v>0.10199999999999999</v>
      </c>
      <c r="N44" s="32"/>
      <c r="O44" s="39"/>
      <c r="P44" s="32"/>
      <c r="Q44" s="39"/>
      <c r="R44" s="32"/>
      <c r="S44" s="39"/>
      <c r="T44" s="32"/>
      <c r="U44" s="39"/>
      <c r="V44" s="32"/>
      <c r="W44" s="39"/>
      <c r="X44" s="32"/>
      <c r="Y44" s="39"/>
      <c r="Z44" s="39" t="str">
        <f>IF(Table1[[#This Row],[Other]]&lt;&gt;"","Other","")</f>
        <v/>
      </c>
      <c r="AA44" s="32"/>
      <c r="AB44" s="41"/>
      <c r="AC44" s="45" t="str">
        <f>IF(Table1[[#This Row],[Auto Order]]=1,IF(Table1[[#This Row],[In stock]]&lt;Table1[[#This Row],[Min in stock]],1,""),"")</f>
        <v/>
      </c>
    </row>
    <row r="45" spans="1:29" x14ac:dyDescent="0.25">
      <c r="A45" s="69" t="s">
        <v>1305</v>
      </c>
      <c r="B45" s="32" t="s">
        <v>1259</v>
      </c>
      <c r="C45" s="32" t="s">
        <v>327</v>
      </c>
      <c r="D45" s="32" t="s">
        <v>1306</v>
      </c>
      <c r="E45" s="32" t="s">
        <v>1028</v>
      </c>
      <c r="F45" s="43">
        <v>0</v>
      </c>
      <c r="G45" s="43"/>
      <c r="H45" s="43"/>
      <c r="I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WM2002-ND</v>
      </c>
      <c r="J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2" t="s">
        <v>1307</v>
      </c>
      <c r="M45" s="39">
        <v>0.2</v>
      </c>
      <c r="N45" s="32"/>
      <c r="O45" s="39"/>
      <c r="P45" s="32"/>
      <c r="Q45" s="39"/>
      <c r="R45" s="32"/>
      <c r="S45" s="39"/>
      <c r="T45" s="32"/>
      <c r="U45" s="39"/>
      <c r="V45" s="32"/>
      <c r="W45" s="39"/>
      <c r="X45" s="32"/>
      <c r="Y45" s="39"/>
      <c r="Z45" s="39" t="str">
        <f>IF(Table1[[#This Row],[Other]]&lt;&gt;"","Other","")</f>
        <v/>
      </c>
      <c r="AA45" s="32"/>
      <c r="AB45" s="41"/>
      <c r="AC45" s="45" t="str">
        <f>IF(Table1[[#This Row],[Auto Order]]=1,IF(Table1[[#This Row],[In stock]]&lt;Table1[[#This Row],[Min in stock]],1,""),"")</f>
        <v/>
      </c>
    </row>
    <row r="46" spans="1:29" x14ac:dyDescent="0.25">
      <c r="A46" s="69" t="s">
        <v>1308</v>
      </c>
      <c r="B46" s="32" t="s">
        <v>1259</v>
      </c>
      <c r="C46" s="32" t="s">
        <v>327</v>
      </c>
      <c r="D46" s="32" t="s">
        <v>1309</v>
      </c>
      <c r="E46" s="32" t="s">
        <v>1028</v>
      </c>
      <c r="F46" s="43">
        <v>0</v>
      </c>
      <c r="G46" s="43"/>
      <c r="H46" s="43"/>
      <c r="I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WM2003-ND</v>
      </c>
      <c r="J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0.25</v>
      </c>
      <c r="K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2" t="s">
        <v>1310</v>
      </c>
      <c r="M46" s="39">
        <v>0.25</v>
      </c>
      <c r="N46" s="32"/>
      <c r="O46" s="39"/>
      <c r="P46" s="32"/>
      <c r="Q46" s="39"/>
      <c r="R46" s="32"/>
      <c r="S46" s="39"/>
      <c r="T46" s="32"/>
      <c r="U46" s="39"/>
      <c r="V46" s="32"/>
      <c r="W46" s="39"/>
      <c r="X46" s="32"/>
      <c r="Y46" s="39"/>
      <c r="Z46" s="39" t="str">
        <f>IF(Table1[[#This Row],[Other]]&lt;&gt;"","Other","")</f>
        <v/>
      </c>
      <c r="AA46" s="32"/>
      <c r="AB46" s="41"/>
      <c r="AC46" s="45" t="str">
        <f>IF(Table1[[#This Row],[Auto Order]]=1,IF(Table1[[#This Row],[In stock]]&lt;Table1[[#This Row],[Min in stock]],1,""),"")</f>
        <v/>
      </c>
    </row>
    <row r="47" spans="1:29" x14ac:dyDescent="0.25">
      <c r="A47" s="69" t="s">
        <v>1311</v>
      </c>
      <c r="B47" s="32" t="s">
        <v>1259</v>
      </c>
      <c r="C47" s="32" t="s">
        <v>327</v>
      </c>
      <c r="D47" s="32" t="s">
        <v>1312</v>
      </c>
      <c r="E47" s="32" t="s">
        <v>1028</v>
      </c>
      <c r="F47" s="43">
        <v>0</v>
      </c>
      <c r="G47" s="43"/>
      <c r="H47" s="43"/>
      <c r="I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WM2004-ND</v>
      </c>
      <c r="J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2" t="s">
        <v>1313</v>
      </c>
      <c r="M47" s="39">
        <v>0.28000000000000003</v>
      </c>
      <c r="N47" s="32"/>
      <c r="O47" s="39"/>
      <c r="P47" s="32"/>
      <c r="Q47" s="39"/>
      <c r="R47" s="32"/>
      <c r="S47" s="39"/>
      <c r="T47" s="32"/>
      <c r="U47" s="39"/>
      <c r="V47" s="32"/>
      <c r="W47" s="39"/>
      <c r="X47" s="32"/>
      <c r="Y47" s="39"/>
      <c r="Z47" s="39" t="str">
        <f>IF(Table1[[#This Row],[Other]]&lt;&gt;"","Other","")</f>
        <v/>
      </c>
      <c r="AA47" s="32"/>
      <c r="AB47" s="41"/>
      <c r="AC47" s="45" t="str">
        <f>IF(Table1[[#This Row],[Auto Order]]=1,IF(Table1[[#This Row],[In stock]]&lt;Table1[[#This Row],[Min in stock]],1,""),"")</f>
        <v/>
      </c>
    </row>
    <row r="48" spans="1:29" x14ac:dyDescent="0.25">
      <c r="A48" s="69" t="s">
        <v>1314</v>
      </c>
      <c r="B48" s="32" t="s">
        <v>1259</v>
      </c>
      <c r="C48" s="32" t="s">
        <v>327</v>
      </c>
      <c r="D48" s="32" t="s">
        <v>1315</v>
      </c>
      <c r="E48" s="32" t="s">
        <v>1028</v>
      </c>
      <c r="F48" s="43">
        <v>0</v>
      </c>
      <c r="G48" s="43"/>
      <c r="H48" s="43"/>
      <c r="I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WM2005-ND</v>
      </c>
      <c r="J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</v>
      </c>
      <c r="K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2" t="s">
        <v>1316</v>
      </c>
      <c r="M48" s="39">
        <v>0.33</v>
      </c>
      <c r="N48" s="32"/>
      <c r="O48" s="39"/>
      <c r="P48" s="32"/>
      <c r="Q48" s="39"/>
      <c r="R48" s="32"/>
      <c r="S48" s="39"/>
      <c r="T48" s="32"/>
      <c r="U48" s="39"/>
      <c r="V48" s="32"/>
      <c r="W48" s="39"/>
      <c r="X48" s="32"/>
      <c r="Y48" s="39"/>
      <c r="Z48" s="39" t="str">
        <f>IF(Table1[[#This Row],[Other]]&lt;&gt;"","Other","")</f>
        <v/>
      </c>
      <c r="AA48" s="32"/>
      <c r="AB48" s="41"/>
      <c r="AC48" s="45" t="str">
        <f>IF(Table1[[#This Row],[Auto Order]]=1,IF(Table1[[#This Row],[In stock]]&lt;Table1[[#This Row],[Min in stock]],1,""),"")</f>
        <v/>
      </c>
    </row>
    <row r="49" spans="1:29" x14ac:dyDescent="0.25">
      <c r="A49" s="69" t="s">
        <v>1317</v>
      </c>
      <c r="B49" s="32" t="s">
        <v>1259</v>
      </c>
      <c r="C49" s="32" t="s">
        <v>327</v>
      </c>
      <c r="D49" s="32" t="s">
        <v>1318</v>
      </c>
      <c r="E49" s="32" t="s">
        <v>1028</v>
      </c>
      <c r="F49" s="43">
        <v>0</v>
      </c>
      <c r="G49" s="43"/>
      <c r="H49" s="43"/>
      <c r="I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WM2006-ND</v>
      </c>
      <c r="J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0.38</v>
      </c>
      <c r="K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2" t="s">
        <v>1319</v>
      </c>
      <c r="M49" s="39">
        <v>0.38</v>
      </c>
      <c r="N49" s="32"/>
      <c r="O49" s="39"/>
      <c r="P49" s="32"/>
      <c r="Q49" s="39"/>
      <c r="R49" s="32"/>
      <c r="S49" s="39"/>
      <c r="T49" s="32"/>
      <c r="U49" s="39"/>
      <c r="V49" s="32"/>
      <c r="W49" s="39"/>
      <c r="X49" s="32"/>
      <c r="Y49" s="39"/>
      <c r="Z49" s="39" t="str">
        <f>IF(Table1[[#This Row],[Other]]&lt;&gt;"","Other","")</f>
        <v/>
      </c>
      <c r="AA49" s="32"/>
      <c r="AB49" s="41"/>
      <c r="AC49" s="45" t="str">
        <f>IF(Table1[[#This Row],[Auto Order]]=1,IF(Table1[[#This Row],[In stock]]&lt;Table1[[#This Row],[Min in stock]],1,""),"")</f>
        <v/>
      </c>
    </row>
    <row r="50" spans="1:29" x14ac:dyDescent="0.25">
      <c r="A50" s="69" t="s">
        <v>1323</v>
      </c>
      <c r="B50" s="32" t="s">
        <v>1259</v>
      </c>
      <c r="C50" s="32" t="s">
        <v>327</v>
      </c>
      <c r="D50" s="32" t="s">
        <v>1324</v>
      </c>
      <c r="E50" s="32" t="s">
        <v>1028</v>
      </c>
      <c r="F50" s="43">
        <v>0</v>
      </c>
      <c r="G50" s="43"/>
      <c r="H50" s="43"/>
      <c r="I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WM2007-ND</v>
      </c>
      <c r="J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2" t="s">
        <v>1325</v>
      </c>
      <c r="M50" s="39">
        <v>0.42</v>
      </c>
      <c r="N50" s="32"/>
      <c r="O50" s="39"/>
      <c r="P50" s="32"/>
      <c r="Q50" s="39"/>
      <c r="R50" s="32"/>
      <c r="S50" s="39"/>
      <c r="T50" s="32"/>
      <c r="U50" s="39"/>
      <c r="V50" s="32"/>
      <c r="W50" s="39"/>
      <c r="X50" s="32"/>
      <c r="Y50" s="39"/>
      <c r="Z50" s="39" t="str">
        <f>IF(Table1[[#This Row],[Other]]&lt;&gt;"","Other","")</f>
        <v/>
      </c>
      <c r="AA50" s="32"/>
      <c r="AB50" s="41"/>
      <c r="AC50" s="45" t="str">
        <f>IF(Table1[[#This Row],[Auto Order]]=1,IF(Table1[[#This Row],[In stock]]&lt;Table1[[#This Row],[Min in stock]],1,""),"")</f>
        <v/>
      </c>
    </row>
    <row r="51" spans="1:29" x14ac:dyDescent="0.25">
      <c r="A51" s="69" t="s">
        <v>1320</v>
      </c>
      <c r="B51" s="32" t="s">
        <v>1259</v>
      </c>
      <c r="C51" s="32" t="s">
        <v>327</v>
      </c>
      <c r="D51" s="32" t="s">
        <v>1321</v>
      </c>
      <c r="E51" s="32" t="s">
        <v>1028</v>
      </c>
      <c r="F51" s="43">
        <v>0</v>
      </c>
      <c r="G51" s="43"/>
      <c r="H51" s="43"/>
      <c r="I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WM2008-ND</v>
      </c>
      <c r="J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0.41</v>
      </c>
      <c r="K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2" t="s">
        <v>1322</v>
      </c>
      <c r="M51" s="39">
        <v>0.41</v>
      </c>
      <c r="N51" s="32"/>
      <c r="O51" s="39"/>
      <c r="P51" s="32"/>
      <c r="Q51" s="39"/>
      <c r="R51" s="32"/>
      <c r="S51" s="39"/>
      <c r="T51" s="32"/>
      <c r="U51" s="39"/>
      <c r="V51" s="32"/>
      <c r="W51" s="39"/>
      <c r="X51" s="32"/>
      <c r="Y51" s="39"/>
      <c r="Z51" s="39" t="str">
        <f>IF(Table1[[#This Row],[Other]]&lt;&gt;"","Other","")</f>
        <v/>
      </c>
      <c r="AA51" s="32"/>
      <c r="AB51" s="41"/>
      <c r="AC51" s="45" t="str">
        <f>IF(Table1[[#This Row],[Auto Order]]=1,IF(Table1[[#This Row],[In stock]]&lt;Table1[[#This Row],[Min in stock]],1,""),"")</f>
        <v/>
      </c>
    </row>
    <row r="52" spans="1:29" x14ac:dyDescent="0.25">
      <c r="A52" s="69" t="s">
        <v>1296</v>
      </c>
      <c r="B52" s="32" t="s">
        <v>1259</v>
      </c>
      <c r="C52" s="32" t="s">
        <v>327</v>
      </c>
      <c r="D52" s="32" t="s">
        <v>1297</v>
      </c>
      <c r="E52" s="32" t="s">
        <v>1028</v>
      </c>
      <c r="F52" s="43">
        <v>0</v>
      </c>
      <c r="G52" s="43"/>
      <c r="H52" s="43"/>
      <c r="I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WM2010-ND</v>
      </c>
      <c r="J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2" t="s">
        <v>1298</v>
      </c>
      <c r="M52" s="39">
        <v>0.56999999999999995</v>
      </c>
      <c r="N52" s="32"/>
      <c r="O52" s="39"/>
      <c r="P52" s="32"/>
      <c r="Q52" s="39"/>
      <c r="R52" s="32"/>
      <c r="S52" s="39"/>
      <c r="T52" s="32"/>
      <c r="U52" s="39"/>
      <c r="V52" s="32"/>
      <c r="W52" s="39"/>
      <c r="X52" s="32"/>
      <c r="Y52" s="39"/>
      <c r="Z52" s="39" t="str">
        <f>IF(Table1[[#This Row],[Other]]&lt;&gt;"","Other","")</f>
        <v/>
      </c>
      <c r="AA52" s="32"/>
      <c r="AB52" s="41"/>
      <c r="AC52" s="45" t="str">
        <f>IF(Table1[[#This Row],[Auto Order]]=1,IF(Table1[[#This Row],[In stock]]&lt;Table1[[#This Row],[Min in stock]],1,""),"")</f>
        <v/>
      </c>
    </row>
    <row r="53" spans="1:29" x14ac:dyDescent="0.25">
      <c r="A53" s="69" t="s">
        <v>1299</v>
      </c>
      <c r="B53" s="32" t="s">
        <v>1259</v>
      </c>
      <c r="C53" s="32" t="s">
        <v>327</v>
      </c>
      <c r="D53" s="32" t="s">
        <v>1300</v>
      </c>
      <c r="E53" s="32" t="s">
        <v>1028</v>
      </c>
      <c r="F53" s="43">
        <v>0</v>
      </c>
      <c r="G53" s="43"/>
      <c r="H53" s="43"/>
      <c r="I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WM2000-ND</v>
      </c>
      <c r="J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2" t="s">
        <v>1301</v>
      </c>
      <c r="M53" s="39">
        <v>0.13</v>
      </c>
      <c r="N53" s="32"/>
      <c r="O53" s="39"/>
      <c r="P53" s="32"/>
      <c r="Q53" s="39"/>
      <c r="R53" s="32"/>
      <c r="S53" s="39"/>
      <c r="T53" s="32"/>
      <c r="U53" s="39"/>
      <c r="V53" s="32"/>
      <c r="W53" s="39"/>
      <c r="X53" s="32"/>
      <c r="Y53" s="39"/>
      <c r="Z53" s="39" t="str">
        <f>IF(Table1[[#This Row],[Other]]&lt;&gt;"","Other","")</f>
        <v/>
      </c>
      <c r="AA53" s="32"/>
      <c r="AB53" s="41"/>
      <c r="AC53" s="45" t="str">
        <f>IF(Table1[[#This Row],[Auto Order]]=1,IF(Table1[[#This Row],[In stock]]&lt;Table1[[#This Row],[Min in stock]],1,""),"")</f>
        <v/>
      </c>
    </row>
    <row r="54" spans="1:29" x14ac:dyDescent="0.25">
      <c r="A54" s="69" t="s">
        <v>1302</v>
      </c>
      <c r="B54" s="32" t="s">
        <v>1259</v>
      </c>
      <c r="C54" s="32" t="s">
        <v>327</v>
      </c>
      <c r="D54" s="32" t="s">
        <v>1303</v>
      </c>
      <c r="E54" s="32" t="s">
        <v>1028</v>
      </c>
      <c r="F54" s="43">
        <v>0</v>
      </c>
      <c r="G54" s="43"/>
      <c r="H54" s="43"/>
      <c r="I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WM2001-ND</v>
      </c>
      <c r="J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2" t="s">
        <v>1304</v>
      </c>
      <c r="M54" s="39">
        <v>0.19</v>
      </c>
      <c r="N54" s="32"/>
      <c r="O54" s="39"/>
      <c r="P54" s="32"/>
      <c r="Q54" s="39"/>
      <c r="R54" s="32"/>
      <c r="S54" s="39"/>
      <c r="T54" s="32"/>
      <c r="U54" s="39"/>
      <c r="V54" s="32"/>
      <c r="W54" s="39"/>
      <c r="X54" s="32"/>
      <c r="Y54" s="39"/>
      <c r="Z54" s="39" t="str">
        <f>IF(Table1[[#This Row],[Other]]&lt;&gt;"","Other","")</f>
        <v/>
      </c>
      <c r="AA54" s="32"/>
      <c r="AB54" s="41"/>
      <c r="AC54" s="45" t="str">
        <f>IF(Table1[[#This Row],[Auto Order]]=1,IF(Table1[[#This Row],[In stock]]&lt;Table1[[#This Row],[Min in stock]],1,""),"")</f>
        <v/>
      </c>
    </row>
    <row r="55" spans="1:29" x14ac:dyDescent="0.25">
      <c r="A55" s="69" t="s">
        <v>1271</v>
      </c>
      <c r="B55" s="32" t="s">
        <v>1259</v>
      </c>
      <c r="C55" s="32" t="s">
        <v>327</v>
      </c>
      <c r="D55" s="32" t="s">
        <v>1272</v>
      </c>
      <c r="E55" s="32" t="s">
        <v>1029</v>
      </c>
      <c r="F55" s="43">
        <v>0</v>
      </c>
      <c r="G55" s="43"/>
      <c r="H55" s="43"/>
      <c r="I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WM4201-ND</v>
      </c>
      <c r="J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</v>
      </c>
      <c r="K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2" t="s">
        <v>1273</v>
      </c>
      <c r="M55" s="39">
        <v>0.24</v>
      </c>
      <c r="N55" s="32"/>
      <c r="O55" s="39"/>
      <c r="P55" s="32"/>
      <c r="Q55" s="39"/>
      <c r="R55" s="32"/>
      <c r="S55" s="39"/>
      <c r="T55" s="32"/>
      <c r="U55" s="39"/>
      <c r="V55" s="32"/>
      <c r="W55" s="39"/>
      <c r="X55" s="32"/>
      <c r="Y55" s="39"/>
      <c r="Z55" s="39" t="str">
        <f>IF(Table1[[#This Row],[Other]]&lt;&gt;"","Other","")</f>
        <v/>
      </c>
      <c r="AA55" s="32"/>
      <c r="AB55" s="41"/>
      <c r="AC55" s="45" t="str">
        <f>IF(Table1[[#This Row],[Auto Order]]=1,IF(Table1[[#This Row],[In stock]]&lt;Table1[[#This Row],[Min in stock]],1,""),"")</f>
        <v/>
      </c>
    </row>
    <row r="56" spans="1:29" x14ac:dyDescent="0.25">
      <c r="A56" s="69" t="s">
        <v>1274</v>
      </c>
      <c r="B56" s="32" t="s">
        <v>1259</v>
      </c>
      <c r="C56" s="32" t="s">
        <v>327</v>
      </c>
      <c r="D56" s="32" t="s">
        <v>1275</v>
      </c>
      <c r="E56" s="32" t="s">
        <v>1029</v>
      </c>
      <c r="F56" s="43">
        <v>0</v>
      </c>
      <c r="G56" s="43"/>
      <c r="H56" s="43"/>
      <c r="I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WM4202-ND</v>
      </c>
      <c r="J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2" t="s">
        <v>1276</v>
      </c>
      <c r="M56" s="39">
        <v>0.27</v>
      </c>
      <c r="N56" s="32"/>
      <c r="O56" s="39"/>
      <c r="P56" s="32"/>
      <c r="Q56" s="39"/>
      <c r="R56" s="32"/>
      <c r="S56" s="39"/>
      <c r="T56" s="32"/>
      <c r="U56" s="39"/>
      <c r="V56" s="32"/>
      <c r="W56" s="39"/>
      <c r="X56" s="32"/>
      <c r="Y56" s="39"/>
      <c r="Z56" s="39" t="str">
        <f>IF(Table1[[#This Row],[Other]]&lt;&gt;"","Other","")</f>
        <v/>
      </c>
      <c r="AA56" s="32"/>
      <c r="AB56" s="41"/>
      <c r="AC56" s="45" t="str">
        <f>IF(Table1[[#This Row],[Auto Order]]=1,IF(Table1[[#This Row],[In stock]]&lt;Table1[[#This Row],[Min in stock]],1,""),"")</f>
        <v/>
      </c>
    </row>
    <row r="57" spans="1:29" x14ac:dyDescent="0.25">
      <c r="A57" s="69" t="s">
        <v>1277</v>
      </c>
      <c r="B57" s="32" t="s">
        <v>1259</v>
      </c>
      <c r="C57" s="32" t="s">
        <v>327</v>
      </c>
      <c r="D57" s="32" t="s">
        <v>1278</v>
      </c>
      <c r="E57" s="32" t="s">
        <v>1029</v>
      </c>
      <c r="F57" s="43">
        <v>0</v>
      </c>
      <c r="G57" s="43"/>
      <c r="H57" s="43"/>
      <c r="I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WM4203-ND</v>
      </c>
      <c r="J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0.36</v>
      </c>
      <c r="K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2" t="s">
        <v>1279</v>
      </c>
      <c r="M57" s="39">
        <v>0.36</v>
      </c>
      <c r="N57" s="32"/>
      <c r="O57" s="39"/>
      <c r="P57" s="32"/>
      <c r="Q57" s="39"/>
      <c r="R57" s="32"/>
      <c r="S57" s="39"/>
      <c r="T57" s="32"/>
      <c r="U57" s="39"/>
      <c r="V57" s="32"/>
      <c r="W57" s="39"/>
      <c r="X57" s="32"/>
      <c r="Y57" s="39"/>
      <c r="Z57" s="39" t="str">
        <f>IF(Table1[[#This Row],[Other]]&lt;&gt;"","Other","")</f>
        <v/>
      </c>
      <c r="AA57" s="32"/>
      <c r="AB57" s="41"/>
      <c r="AC57" s="45" t="str">
        <f>IF(Table1[[#This Row],[Auto Order]]=1,IF(Table1[[#This Row],[In stock]]&lt;Table1[[#This Row],[Min in stock]],1,""),"")</f>
        <v/>
      </c>
    </row>
    <row r="58" spans="1:29" x14ac:dyDescent="0.25">
      <c r="A58" s="69" t="s">
        <v>1280</v>
      </c>
      <c r="B58" s="32" t="s">
        <v>1259</v>
      </c>
      <c r="C58" s="32" t="s">
        <v>327</v>
      </c>
      <c r="D58" s="32" t="s">
        <v>1281</v>
      </c>
      <c r="E58" s="32" t="s">
        <v>1029</v>
      </c>
      <c r="F58" s="43">
        <v>0</v>
      </c>
      <c r="G58" s="43"/>
      <c r="H58" s="43"/>
      <c r="I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WM4204-ND</v>
      </c>
      <c r="J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2" t="s">
        <v>1282</v>
      </c>
      <c r="M58" s="39">
        <v>0.42</v>
      </c>
      <c r="N58" s="32"/>
      <c r="O58" s="39"/>
      <c r="P58" s="32"/>
      <c r="Q58" s="39"/>
      <c r="R58" s="32"/>
      <c r="S58" s="39"/>
      <c r="T58" s="32"/>
      <c r="U58" s="39"/>
      <c r="V58" s="32"/>
      <c r="W58" s="39"/>
      <c r="X58" s="32"/>
      <c r="Y58" s="39"/>
      <c r="Z58" s="39" t="str">
        <f>IF(Table1[[#This Row],[Other]]&lt;&gt;"","Other","")</f>
        <v/>
      </c>
      <c r="AA58" s="32"/>
      <c r="AB58" s="41"/>
      <c r="AC58" s="45" t="str">
        <f>IF(Table1[[#This Row],[Auto Order]]=1,IF(Table1[[#This Row],[In stock]]&lt;Table1[[#This Row],[Min in stock]],1,""),"")</f>
        <v/>
      </c>
    </row>
    <row r="59" spans="1:29" x14ac:dyDescent="0.25">
      <c r="A59" s="69" t="s">
        <v>1283</v>
      </c>
      <c r="B59" s="32" t="s">
        <v>1259</v>
      </c>
      <c r="C59" s="32" t="s">
        <v>327</v>
      </c>
      <c r="D59" s="32" t="s">
        <v>1284</v>
      </c>
      <c r="E59" s="32" t="s">
        <v>1029</v>
      </c>
      <c r="F59" s="43">
        <v>0</v>
      </c>
      <c r="G59" s="43"/>
      <c r="H59" s="43"/>
      <c r="I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WM4205-ND</v>
      </c>
      <c r="J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2" t="s">
        <v>1285</v>
      </c>
      <c r="M59" s="39">
        <v>0.44</v>
      </c>
      <c r="N59" s="32"/>
      <c r="O59" s="39"/>
      <c r="P59" s="32"/>
      <c r="Q59" s="39"/>
      <c r="R59" s="32"/>
      <c r="S59" s="39"/>
      <c r="T59" s="32"/>
      <c r="U59" s="39"/>
      <c r="V59" s="32"/>
      <c r="W59" s="39"/>
      <c r="X59" s="32"/>
      <c r="Y59" s="39"/>
      <c r="Z59" s="39" t="str">
        <f>IF(Table1[[#This Row],[Other]]&lt;&gt;"","Other","")</f>
        <v/>
      </c>
      <c r="AA59" s="32"/>
      <c r="AB59" s="41"/>
      <c r="AC59" s="45" t="str">
        <f>IF(Table1[[#This Row],[Auto Order]]=1,IF(Table1[[#This Row],[In stock]]&lt;Table1[[#This Row],[Min in stock]],1,""),"")</f>
        <v/>
      </c>
    </row>
    <row r="60" spans="1:29" x14ac:dyDescent="0.25">
      <c r="A60" s="69" t="s">
        <v>1261</v>
      </c>
      <c r="B60" s="32" t="s">
        <v>1259</v>
      </c>
      <c r="C60" s="32" t="s">
        <v>327</v>
      </c>
      <c r="D60" s="32" t="s">
        <v>1286</v>
      </c>
      <c r="E60" s="32" t="s">
        <v>1029</v>
      </c>
      <c r="F60" s="43">
        <v>0</v>
      </c>
      <c r="G60" s="43"/>
      <c r="H60" s="43"/>
      <c r="I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WM4206-ND</v>
      </c>
      <c r="J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</v>
      </c>
      <c r="K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2" t="s">
        <v>1260</v>
      </c>
      <c r="M60" s="39">
        <v>0.54</v>
      </c>
      <c r="N60" s="32"/>
      <c r="O60" s="39"/>
      <c r="P60" s="32"/>
      <c r="Q60" s="39"/>
      <c r="R60" s="32"/>
      <c r="S60" s="39"/>
      <c r="T60" s="32"/>
      <c r="U60" s="39"/>
      <c r="V60" s="32"/>
      <c r="W60" s="39"/>
      <c r="X60" s="32"/>
      <c r="Y60" s="39"/>
      <c r="Z60" s="39" t="str">
        <f>IF(Table1[[#This Row],[Other]]&lt;&gt;"","Other","")</f>
        <v/>
      </c>
      <c r="AA60" s="32"/>
      <c r="AB60" s="41"/>
      <c r="AC60" s="45" t="str">
        <f>IF(Table1[[#This Row],[Auto Order]]=1,IF(Table1[[#This Row],[In stock]]&lt;Table1[[#This Row],[Min in stock]],1,""),"")</f>
        <v/>
      </c>
    </row>
    <row r="61" spans="1:29" x14ac:dyDescent="0.25">
      <c r="A61" s="67" t="s">
        <v>1287</v>
      </c>
      <c r="B61" s="32" t="s">
        <v>1259</v>
      </c>
      <c r="C61" s="32" t="s">
        <v>327</v>
      </c>
      <c r="D61" s="32" t="s">
        <v>1288</v>
      </c>
      <c r="E61" s="32" t="s">
        <v>1029</v>
      </c>
      <c r="F61" s="43">
        <v>0</v>
      </c>
      <c r="G61" s="43"/>
      <c r="H61" s="43"/>
      <c r="I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WM4207-ND</v>
      </c>
      <c r="J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2" t="s">
        <v>1289</v>
      </c>
      <c r="M61" s="39">
        <v>0.61</v>
      </c>
      <c r="N61" s="32"/>
      <c r="O61" s="39"/>
      <c r="P61" s="32"/>
      <c r="Q61" s="39"/>
      <c r="R61" s="32"/>
      <c r="S61" s="39"/>
      <c r="T61" s="32"/>
      <c r="U61" s="39"/>
      <c r="V61" s="32"/>
      <c r="W61" s="39"/>
      <c r="X61" s="32"/>
      <c r="Y61" s="39"/>
      <c r="Z61" s="39" t="str">
        <f>IF(Table1[[#This Row],[Other]]&lt;&gt;"","Other","")</f>
        <v/>
      </c>
      <c r="AA61" s="32"/>
      <c r="AB61" s="41"/>
      <c r="AC61" s="45" t="str">
        <f>IF(Table1[[#This Row],[Auto Order]]=1,IF(Table1[[#This Row],[In stock]]&lt;Table1[[#This Row],[Min in stock]],1,""),"")</f>
        <v/>
      </c>
    </row>
    <row r="62" spans="1:29" x14ac:dyDescent="0.25">
      <c r="A62" s="67" t="s">
        <v>1290</v>
      </c>
      <c r="B62" s="32" t="s">
        <v>1259</v>
      </c>
      <c r="C62" s="32" t="s">
        <v>327</v>
      </c>
      <c r="D62" s="32" t="s">
        <v>1291</v>
      </c>
      <c r="E62" s="32" t="s">
        <v>1029</v>
      </c>
      <c r="F62" s="43">
        <v>0</v>
      </c>
      <c r="G62" s="43"/>
      <c r="H62" s="43"/>
      <c r="I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WM4208-ND</v>
      </c>
      <c r="J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2" t="s">
        <v>1292</v>
      </c>
      <c r="M62" s="39">
        <v>0.6</v>
      </c>
      <c r="N62" s="32"/>
      <c r="O62" s="39"/>
      <c r="P62" s="32"/>
      <c r="Q62" s="39"/>
      <c r="R62" s="32"/>
      <c r="S62" s="39"/>
      <c r="T62" s="32"/>
      <c r="U62" s="39"/>
      <c r="V62" s="32"/>
      <c r="W62" s="39"/>
      <c r="X62" s="32"/>
      <c r="Y62" s="39"/>
      <c r="Z62" s="39" t="str">
        <f>IF(Table1[[#This Row],[Other]]&lt;&gt;"","Other","")</f>
        <v/>
      </c>
      <c r="AA62" s="32"/>
      <c r="AB62" s="41"/>
      <c r="AC62" s="45" t="str">
        <f>IF(Table1[[#This Row],[Auto Order]]=1,IF(Table1[[#This Row],[In stock]]&lt;Table1[[#This Row],[Min in stock]],1,""),"")</f>
        <v/>
      </c>
    </row>
    <row r="63" spans="1:29" x14ac:dyDescent="0.25">
      <c r="A63" s="67" t="s">
        <v>1293</v>
      </c>
      <c r="B63" s="32" t="s">
        <v>1259</v>
      </c>
      <c r="C63" s="32" t="s">
        <v>327</v>
      </c>
      <c r="D63" s="32" t="s">
        <v>1294</v>
      </c>
      <c r="E63" s="32" t="s">
        <v>1029</v>
      </c>
      <c r="F63" s="43">
        <v>0</v>
      </c>
      <c r="G63" s="43"/>
      <c r="H63" s="43"/>
      <c r="I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WM4210-ND</v>
      </c>
      <c r="J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2" t="s">
        <v>1295</v>
      </c>
      <c r="M63" s="39">
        <v>0.74</v>
      </c>
      <c r="N63" s="32"/>
      <c r="O63" s="39"/>
      <c r="P63" s="32"/>
      <c r="Q63" s="39"/>
      <c r="R63" s="32"/>
      <c r="S63" s="39"/>
      <c r="T63" s="32"/>
      <c r="U63" s="39"/>
      <c r="V63" s="32"/>
      <c r="W63" s="39"/>
      <c r="X63" s="32"/>
      <c r="Y63" s="39"/>
      <c r="Z63" s="39" t="str">
        <f>IF(Table1[[#This Row],[Other]]&lt;&gt;"","Other","")</f>
        <v/>
      </c>
      <c r="AA63" s="32"/>
      <c r="AB63" s="41"/>
      <c r="AC63" s="45" t="str">
        <f>IF(Table1[[#This Row],[Auto Order]]=1,IF(Table1[[#This Row],[In stock]]&lt;Table1[[#This Row],[Min in stock]],1,""),"")</f>
        <v/>
      </c>
    </row>
    <row r="64" spans="1:29" x14ac:dyDescent="0.25">
      <c r="A64" s="67" t="s">
        <v>1268</v>
      </c>
      <c r="B64" s="32" t="s">
        <v>1259</v>
      </c>
      <c r="C64" s="32" t="s">
        <v>327</v>
      </c>
      <c r="D64" s="32" t="s">
        <v>1269</v>
      </c>
      <c r="E64" s="32" t="s">
        <v>1029</v>
      </c>
      <c r="F64" s="43">
        <v>0</v>
      </c>
      <c r="G64" s="43"/>
      <c r="H64" s="43"/>
      <c r="I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WM4200-ND</v>
      </c>
      <c r="J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2" t="s">
        <v>1270</v>
      </c>
      <c r="M64" s="39">
        <v>0.17</v>
      </c>
      <c r="N64" s="32"/>
      <c r="O64" s="39"/>
      <c r="P64" s="32"/>
      <c r="Q64" s="39"/>
      <c r="R64" s="32"/>
      <c r="S64" s="39"/>
      <c r="T64" s="32"/>
      <c r="U64" s="39"/>
      <c r="V64" s="32"/>
      <c r="W64" s="39"/>
      <c r="X64" s="32"/>
      <c r="Y64" s="39"/>
      <c r="Z64" s="39" t="str">
        <f>IF(Table1[[#This Row],[Other]]&lt;&gt;"","Other","")</f>
        <v/>
      </c>
      <c r="AA64" s="32"/>
      <c r="AB64" s="41"/>
      <c r="AC64" s="45" t="str">
        <f>IF(Table1[[#This Row],[Auto Order]]=1,IF(Table1[[#This Row],[In stock]]&lt;Table1[[#This Row],[Min in stock]],1,""),"")</f>
        <v/>
      </c>
    </row>
    <row r="65" spans="1:29" x14ac:dyDescent="0.25">
      <c r="A65" s="67" t="s">
        <v>1197</v>
      </c>
      <c r="B65" s="32" t="s">
        <v>1198</v>
      </c>
      <c r="C65" s="32" t="s">
        <v>327</v>
      </c>
      <c r="D65" s="32" t="s">
        <v>1199</v>
      </c>
      <c r="E65" s="32" t="s">
        <v>1200</v>
      </c>
      <c r="F65" s="43">
        <v>1</v>
      </c>
      <c r="G65" s="43"/>
      <c r="H65" s="43"/>
      <c r="I6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Q412-ND</v>
      </c>
      <c r="J6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6.07</v>
      </c>
      <c r="K6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2" t="s">
        <v>1201</v>
      </c>
      <c r="M65" s="39">
        <v>6.07</v>
      </c>
      <c r="N65" s="32"/>
      <c r="O65" s="39"/>
      <c r="P65" s="32"/>
      <c r="Q65" s="39"/>
      <c r="R65" s="32"/>
      <c r="S65" s="39"/>
      <c r="T65" s="32"/>
      <c r="U65" s="39"/>
      <c r="V65" s="32"/>
      <c r="W65" s="39"/>
      <c r="X65" s="32"/>
      <c r="Y65" s="39"/>
      <c r="Z65" s="39" t="str">
        <f>IF(Table1[[#This Row],[Other]]&lt;&gt;"","Other","")</f>
        <v/>
      </c>
      <c r="AA65" s="32"/>
      <c r="AB65" s="41"/>
      <c r="AC65" s="45" t="str">
        <f>IF(Table1[[#This Row],[Auto Order]]=1,IF(Table1[[#This Row],[In stock]]&lt;Table1[[#This Row],[Min in stock]],1,""),"")</f>
        <v/>
      </c>
    </row>
    <row r="66" spans="1:29" x14ac:dyDescent="0.25">
      <c r="A66" s="70" t="s">
        <v>87</v>
      </c>
      <c r="B66" s="32" t="s">
        <v>41</v>
      </c>
      <c r="C66" s="32" t="s">
        <v>327</v>
      </c>
      <c r="D66" s="32" t="s">
        <v>88</v>
      </c>
      <c r="E66" s="32" t="s">
        <v>503</v>
      </c>
      <c r="F66" s="43">
        <v>100</v>
      </c>
      <c r="G66" s="43">
        <f>10</f>
        <v>10</v>
      </c>
      <c r="H66" s="43">
        <f>1</f>
        <v>1</v>
      </c>
      <c r="I6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6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6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6" s="32"/>
      <c r="M66" s="39"/>
      <c r="N66" s="32" t="s">
        <v>145</v>
      </c>
      <c r="O66" s="39">
        <v>5.8900000000000001E-2</v>
      </c>
      <c r="P66" s="32"/>
      <c r="Q66" s="39"/>
      <c r="R66" s="32"/>
      <c r="S66" s="39"/>
      <c r="T66" s="32"/>
      <c r="U66" s="39"/>
      <c r="V66" s="32"/>
      <c r="W66" s="39"/>
      <c r="X66" s="32"/>
      <c r="Y66" s="39">
        <v>5.8900000000000001E-2</v>
      </c>
      <c r="Z66" s="39" t="str">
        <f>IF(Table1[[#This Row],[Other]]&lt;&gt;"","Other","")</f>
        <v/>
      </c>
      <c r="AA66" s="32"/>
      <c r="AB66" s="41"/>
      <c r="AC66" s="33" t="str">
        <f>IF(Table1[[#This Row],[Auto Order]]=1,IF(Table1[[#This Row],[In stock]]&lt;Table1[[#This Row],[Min in stock]],1,""),"")</f>
        <v/>
      </c>
    </row>
    <row r="67" spans="1:29" x14ac:dyDescent="0.25">
      <c r="A67" s="67" t="s">
        <v>1361</v>
      </c>
      <c r="B67" s="32" t="s">
        <v>1362</v>
      </c>
      <c r="C67" s="32" t="s">
        <v>327</v>
      </c>
      <c r="D67" s="32" t="s">
        <v>1363</v>
      </c>
      <c r="E67" s="32" t="s">
        <v>503</v>
      </c>
      <c r="F67" s="43">
        <v>0</v>
      </c>
      <c r="G67" s="43"/>
      <c r="H67" s="43"/>
      <c r="I6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1727-7767-1-ND</v>
      </c>
      <c r="J6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2" t="s">
        <v>1364</v>
      </c>
      <c r="M67" s="39">
        <v>0.17</v>
      </c>
      <c r="N67" s="32"/>
      <c r="O67" s="39"/>
      <c r="P67" s="32"/>
      <c r="Q67" s="39"/>
      <c r="R67" s="32"/>
      <c r="S67" s="39"/>
      <c r="T67" s="32"/>
      <c r="U67" s="39"/>
      <c r="V67" s="32"/>
      <c r="W67" s="39"/>
      <c r="X67" s="32"/>
      <c r="Y67" s="39"/>
      <c r="Z67" s="39" t="str">
        <f>IF(Table1[[#This Row],[Other]]&lt;&gt;"","Other","")</f>
        <v/>
      </c>
      <c r="AA67" s="32"/>
      <c r="AB67" s="41"/>
      <c r="AC67" s="45" t="str">
        <f>IF(Table1[[#This Row],[Auto Order]]=1,IF(Table1[[#This Row],[In stock]]&lt;Table1[[#This Row],[Min in stock]],1,""),"")</f>
        <v/>
      </c>
    </row>
    <row r="68" spans="1:29" x14ac:dyDescent="0.25">
      <c r="A68" s="70" t="s">
        <v>115</v>
      </c>
      <c r="B68" s="32" t="s">
        <v>113</v>
      </c>
      <c r="C68" s="32" t="s">
        <v>360</v>
      </c>
      <c r="D68" s="32" t="s">
        <v>117</v>
      </c>
      <c r="E68" s="32" t="s">
        <v>523</v>
      </c>
      <c r="F68" s="43">
        <v>10</v>
      </c>
      <c r="G68" s="43"/>
      <c r="H68" s="43"/>
      <c r="I6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6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6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8" s="32"/>
      <c r="M68" s="39"/>
      <c r="N68" s="32" t="s">
        <v>116</v>
      </c>
      <c r="O68" s="39">
        <v>0.54600000000000004</v>
      </c>
      <c r="P68" s="32"/>
      <c r="Q68" s="39"/>
      <c r="R68" s="32"/>
      <c r="S68" s="39"/>
      <c r="T68" s="32"/>
      <c r="U68" s="39"/>
      <c r="V68" s="32"/>
      <c r="W68" s="39"/>
      <c r="X68" s="32"/>
      <c r="Y68" s="39">
        <v>0.54600000000000004</v>
      </c>
      <c r="Z68" s="39" t="str">
        <f>IF(Table1[[#This Row],[Other]]&lt;&gt;"","Other","")</f>
        <v/>
      </c>
      <c r="AA68" s="32"/>
      <c r="AB68" s="41"/>
      <c r="AC68" s="33" t="str">
        <f>IF(Table1[[#This Row],[Auto Order]]=1,IF(Table1[[#This Row],[In stock]]&lt;Table1[[#This Row],[Min in stock]],1,""),"")</f>
        <v/>
      </c>
    </row>
    <row r="69" spans="1:29" x14ac:dyDescent="0.25">
      <c r="A69" s="70" t="s">
        <v>112</v>
      </c>
      <c r="B69" s="32" t="s">
        <v>113</v>
      </c>
      <c r="C69" s="32" t="s">
        <v>1656</v>
      </c>
      <c r="D69" s="32" t="s">
        <v>111</v>
      </c>
      <c r="E69" s="32" t="s">
        <v>523</v>
      </c>
      <c r="F69" s="43">
        <v>5</v>
      </c>
      <c r="G69" s="43"/>
      <c r="H69" s="43"/>
      <c r="I6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6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6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69" s="32"/>
      <c r="M69" s="39"/>
      <c r="N69" s="32" t="s">
        <v>114</v>
      </c>
      <c r="O69" s="39">
        <v>0.68600000000000005</v>
      </c>
      <c r="P69" s="32"/>
      <c r="Q69" s="39"/>
      <c r="R69" s="32"/>
      <c r="S69" s="39"/>
      <c r="T69" s="32"/>
      <c r="U69" s="39"/>
      <c r="V69" s="32"/>
      <c r="W69" s="39"/>
      <c r="X69" s="32"/>
      <c r="Y69" s="39">
        <v>0.68600000000000005</v>
      </c>
      <c r="Z69" s="39" t="str">
        <f>IF(Table1[[#This Row],[Other]]&lt;&gt;"","Other","")</f>
        <v/>
      </c>
      <c r="AA69" s="32"/>
      <c r="AB69" s="41"/>
      <c r="AC69" s="33" t="str">
        <f>IF(Table1[[#This Row],[Auto Order]]=1,IF(Table1[[#This Row],[In stock]]&lt;Table1[[#This Row],[Min in stock]],1,""),"")</f>
        <v/>
      </c>
    </row>
    <row r="70" spans="1:29" x14ac:dyDescent="0.25">
      <c r="A70" s="71" t="s">
        <v>1339</v>
      </c>
      <c r="B70" s="32" t="s">
        <v>230</v>
      </c>
      <c r="C70" s="32" t="s">
        <v>1666</v>
      </c>
      <c r="D70" s="32" t="s">
        <v>1340</v>
      </c>
      <c r="E70" s="32" t="s">
        <v>1341</v>
      </c>
      <c r="F70" s="43">
        <v>2</v>
      </c>
      <c r="G70" s="43"/>
      <c r="H70" s="43"/>
      <c r="I7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E-LED-001</v>
      </c>
      <c r="J7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70" s="32"/>
      <c r="M70" s="39"/>
      <c r="N70" s="32"/>
      <c r="O70" s="39"/>
      <c r="P70" s="32"/>
      <c r="Q70" s="39"/>
      <c r="R70" s="32"/>
      <c r="S70" s="39"/>
      <c r="T70" s="32"/>
      <c r="U70" s="39"/>
      <c r="V70" s="32"/>
      <c r="W70" s="39"/>
      <c r="X70" s="32"/>
      <c r="Y70" s="39"/>
      <c r="Z70" s="39" t="str">
        <f>IF(Table1[[#This Row],[Other]]&lt;&gt;"","Other","")</f>
        <v>Other</v>
      </c>
      <c r="AA70" s="32" t="str">
        <f>Table1[[#This Row],[Art. Number]]</f>
        <v>E-LED-001</v>
      </c>
      <c r="AB70" s="41"/>
      <c r="AC70" s="45" t="str">
        <f>IF(Table1[[#This Row],[Auto Order]]=1,IF(Table1[[#This Row],[In stock]]&lt;Table1[[#This Row],[Min in stock]],1,""),"")</f>
        <v/>
      </c>
    </row>
    <row r="71" spans="1:29" x14ac:dyDescent="0.25">
      <c r="A71" s="71" t="s">
        <v>1342</v>
      </c>
      <c r="B71" s="32" t="s">
        <v>230</v>
      </c>
      <c r="C71" s="32" t="s">
        <v>1666</v>
      </c>
      <c r="D71" s="32" t="s">
        <v>1343</v>
      </c>
      <c r="E71" s="32" t="s">
        <v>1341</v>
      </c>
      <c r="F71" s="43">
        <v>2</v>
      </c>
      <c r="G71" s="43"/>
      <c r="H71" s="43"/>
      <c r="I7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E-LED-002</v>
      </c>
      <c r="J7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7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71" s="32"/>
      <c r="M71" s="39"/>
      <c r="N71" s="32"/>
      <c r="O71" s="39"/>
      <c r="P71" s="32"/>
      <c r="Q71" s="39"/>
      <c r="R71" s="32"/>
      <c r="S71" s="39"/>
      <c r="T71" s="32"/>
      <c r="U71" s="39"/>
      <c r="V71" s="32"/>
      <c r="W71" s="39"/>
      <c r="X71" s="32"/>
      <c r="Y71" s="39"/>
      <c r="Z71" s="39" t="str">
        <f>IF(Table1[[#This Row],[Other]]&lt;&gt;"","Other","")</f>
        <v>Other</v>
      </c>
      <c r="AA71" s="32" t="str">
        <f>Table1[[#This Row],[Art. Number]]</f>
        <v>E-LED-002</v>
      </c>
      <c r="AB71" s="41"/>
      <c r="AC71" s="45" t="str">
        <f>IF(Table1[[#This Row],[Auto Order]]=1,IF(Table1[[#This Row],[In stock]]&lt;Table1[[#This Row],[Min in stock]],1,""),"")</f>
        <v/>
      </c>
    </row>
    <row r="72" spans="1:29" x14ac:dyDescent="0.25">
      <c r="A72" s="70" t="s">
        <v>178</v>
      </c>
      <c r="B72" s="32" t="s">
        <v>162</v>
      </c>
      <c r="C72" s="32" t="s">
        <v>327</v>
      </c>
      <c r="D72" s="32" t="s">
        <v>179</v>
      </c>
      <c r="E72" s="32" t="s">
        <v>521</v>
      </c>
      <c r="F72" s="43">
        <v>1</v>
      </c>
      <c r="G72" s="43">
        <v>1</v>
      </c>
      <c r="H72" s="43">
        <f>1</f>
        <v>1</v>
      </c>
      <c r="I7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7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7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2" t="s">
        <v>177</v>
      </c>
      <c r="M72" s="39">
        <v>15.95</v>
      </c>
      <c r="N72" s="32"/>
      <c r="O72" s="39"/>
      <c r="P72" s="32"/>
      <c r="Q72" s="39"/>
      <c r="R72" s="32"/>
      <c r="S72" s="39"/>
      <c r="T72" s="32"/>
      <c r="U72" s="39"/>
      <c r="V72" s="32"/>
      <c r="W72" s="39"/>
      <c r="X72" s="32"/>
      <c r="Y72" s="39"/>
      <c r="Z72" s="39" t="str">
        <f>IF(Table1[[#This Row],[Other]]&lt;&gt;"","Other","")</f>
        <v/>
      </c>
      <c r="AA72" s="32"/>
      <c r="AB72" s="41"/>
      <c r="AC72" s="33" t="str">
        <f>IF(Table1[[#This Row],[Auto Order]]=1,IF(Table1[[#This Row],[In stock]]&lt;Table1[[#This Row],[Min in stock]],1,""),"")</f>
        <v/>
      </c>
    </row>
    <row r="73" spans="1:29" x14ac:dyDescent="0.25">
      <c r="A73" s="67" t="s">
        <v>1238</v>
      </c>
      <c r="B73" s="32" t="s">
        <v>472</v>
      </c>
      <c r="C73" s="32" t="s">
        <v>1414</v>
      </c>
      <c r="D73" s="32" t="s">
        <v>1239</v>
      </c>
      <c r="E73" s="32" t="s">
        <v>494</v>
      </c>
      <c r="F73" s="43">
        <v>4</v>
      </c>
      <c r="G73" s="43">
        <v>5</v>
      </c>
      <c r="H73" s="43">
        <v>1</v>
      </c>
      <c r="I7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507-2021-1-ND</v>
      </c>
      <c r="J7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7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73" s="32" t="s">
        <v>1240</v>
      </c>
      <c r="M73" s="39">
        <v>0.44</v>
      </c>
      <c r="N73" s="32"/>
      <c r="O73" s="39"/>
      <c r="P73" s="32"/>
      <c r="Q73" s="39"/>
      <c r="R73" s="32"/>
      <c r="S73" s="39"/>
      <c r="T73" s="32" t="s">
        <v>1704</v>
      </c>
      <c r="U73" s="39">
        <v>0.44</v>
      </c>
      <c r="V73" s="32"/>
      <c r="W73" s="39"/>
      <c r="X73" s="32"/>
      <c r="Y73" s="39"/>
      <c r="Z73" s="39" t="str">
        <f>IF(Table1[[#This Row],[Other]]&lt;&gt;"","Other","")</f>
        <v/>
      </c>
      <c r="AA73" s="32"/>
      <c r="AB73" s="41"/>
      <c r="AC73" s="45">
        <f>IF(Table1[[#This Row],[Auto Order]]=1,IF(Table1[[#This Row],[In stock]]&lt;Table1[[#This Row],[Min in stock]],1,""),"")</f>
        <v>1</v>
      </c>
    </row>
    <row r="74" spans="1:29" x14ac:dyDescent="0.25">
      <c r="A74" s="67" t="s">
        <v>471</v>
      </c>
      <c r="B74" s="32" t="s">
        <v>472</v>
      </c>
      <c r="C74" s="32" t="s">
        <v>1413</v>
      </c>
      <c r="D74" s="32" t="s">
        <v>474</v>
      </c>
      <c r="E74" s="32" t="s">
        <v>494</v>
      </c>
      <c r="F74" s="43">
        <v>9</v>
      </c>
      <c r="G74" s="43">
        <v>5</v>
      </c>
      <c r="H74" s="43">
        <v>1</v>
      </c>
      <c r="I7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7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7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2" t="s">
        <v>473</v>
      </c>
      <c r="M74" s="39">
        <v>0.34</v>
      </c>
      <c r="N74" s="32"/>
      <c r="O74" s="39"/>
      <c r="P74" s="32"/>
      <c r="Q74" s="39"/>
      <c r="R74" s="32"/>
      <c r="S74" s="39"/>
      <c r="T74" s="32"/>
      <c r="U74" s="39"/>
      <c r="V74" s="32"/>
      <c r="W74" s="39"/>
      <c r="X74" s="32"/>
      <c r="Y74" s="39"/>
      <c r="Z74" s="39" t="str">
        <f>IF(Table1[[#This Row],[Other]]&lt;&gt;"","Other","")</f>
        <v/>
      </c>
      <c r="AA74" s="32"/>
      <c r="AB74" s="41"/>
      <c r="AC74" s="33" t="str">
        <f>IF(Table1[[#This Row],[Auto Order]]=1,IF(Table1[[#This Row],[In stock]]&lt;Table1[[#This Row],[Min in stock]],1,""),"")</f>
        <v/>
      </c>
    </row>
    <row r="75" spans="1:29" x14ac:dyDescent="0.25">
      <c r="A75" s="70" t="s">
        <v>164</v>
      </c>
      <c r="B75" s="32" t="s">
        <v>162</v>
      </c>
      <c r="C75" s="32" t="s">
        <v>327</v>
      </c>
      <c r="D75" s="32" t="s">
        <v>165</v>
      </c>
      <c r="E75" s="32" t="s">
        <v>494</v>
      </c>
      <c r="F75" s="43">
        <v>3</v>
      </c>
      <c r="G75" s="43">
        <v>2</v>
      </c>
      <c r="H75" s="43">
        <f>1</f>
        <v>1</v>
      </c>
      <c r="I7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7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7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2" t="s">
        <v>163</v>
      </c>
      <c r="M75" s="39">
        <v>1.82</v>
      </c>
      <c r="N75" s="32"/>
      <c r="O75" s="39"/>
      <c r="P75" s="32"/>
      <c r="Q75" s="39"/>
      <c r="R75" s="32"/>
      <c r="S75" s="39"/>
      <c r="T75" s="32"/>
      <c r="U75" s="39"/>
      <c r="V75" s="32"/>
      <c r="W75" s="39"/>
      <c r="X75" s="32"/>
      <c r="Y75" s="39"/>
      <c r="Z75" s="39" t="str">
        <f>IF(Table1[[#This Row],[Other]]&lt;&gt;"","Other","")</f>
        <v/>
      </c>
      <c r="AA75" s="32"/>
      <c r="AB75" s="41"/>
      <c r="AC75" s="33" t="str">
        <f>IF(Table1[[#This Row],[Auto Order]]=1,IF(Table1[[#This Row],[In stock]]&lt;Table1[[#This Row],[Min in stock]],1,""),"")</f>
        <v/>
      </c>
    </row>
    <row r="76" spans="1:29" x14ac:dyDescent="0.25">
      <c r="A76" s="70" t="s">
        <v>318</v>
      </c>
      <c r="B76" s="32" t="s">
        <v>319</v>
      </c>
      <c r="C76" s="32" t="s">
        <v>327</v>
      </c>
      <c r="D76" s="32" t="s">
        <v>320</v>
      </c>
      <c r="E76" s="32" t="s">
        <v>494</v>
      </c>
      <c r="F76" s="43">
        <v>0</v>
      </c>
      <c r="G76" s="43"/>
      <c r="H76" s="43"/>
      <c r="I7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7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7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76" s="32"/>
      <c r="M76" s="39"/>
      <c r="N76" s="32"/>
      <c r="O76" s="39"/>
      <c r="P76" s="32"/>
      <c r="Q76" s="39"/>
      <c r="R76" s="32" t="s">
        <v>317</v>
      </c>
      <c r="S76" s="39">
        <v>0.31</v>
      </c>
      <c r="T76" s="32"/>
      <c r="U76" s="39"/>
      <c r="V76" s="32"/>
      <c r="W76" s="39"/>
      <c r="X76" s="32"/>
      <c r="Y76" s="39"/>
      <c r="Z76" s="39" t="str">
        <f>IF(Table1[[#This Row],[Other]]&lt;&gt;"","Other","")</f>
        <v/>
      </c>
      <c r="AA76" s="32"/>
      <c r="AB76" s="41"/>
      <c r="AC76" s="33" t="str">
        <f>IF(Table1[[#This Row],[Auto Order]]=1,IF(Table1[[#This Row],[In stock]]&lt;Table1[[#This Row],[Min in stock]],1,""),"")</f>
        <v/>
      </c>
    </row>
    <row r="77" spans="1:29" x14ac:dyDescent="0.25">
      <c r="A77" s="70" t="s">
        <v>314</v>
      </c>
      <c r="B77" s="32" t="s">
        <v>315</v>
      </c>
      <c r="C77" s="32" t="s">
        <v>327</v>
      </c>
      <c r="D77" s="32" t="s">
        <v>316</v>
      </c>
      <c r="E77" s="32" t="s">
        <v>494</v>
      </c>
      <c r="F77" s="43">
        <v>1</v>
      </c>
      <c r="G77" s="43">
        <v>1</v>
      </c>
      <c r="H77" s="43">
        <f>1</f>
        <v>1</v>
      </c>
      <c r="I7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7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5.39</v>
      </c>
      <c r="K7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 Mouser</v>
      </c>
      <c r="L77" s="32"/>
      <c r="M77" s="39"/>
      <c r="N77" s="32"/>
      <c r="O77" s="39"/>
      <c r="P77" s="32" t="s">
        <v>313</v>
      </c>
      <c r="Q77" s="39">
        <v>5.39</v>
      </c>
      <c r="R77" s="32"/>
      <c r="S77" s="39"/>
      <c r="T77" s="32" t="s">
        <v>1684</v>
      </c>
      <c r="U77" s="39">
        <v>9.31</v>
      </c>
      <c r="V77" s="32"/>
      <c r="W77" s="39"/>
      <c r="X77" s="32"/>
      <c r="Y77" s="39"/>
      <c r="Z77" s="39" t="str">
        <f>IF(Table1[[#This Row],[Other]]&lt;&gt;"","Other","")</f>
        <v/>
      </c>
      <c r="AA77" s="32"/>
      <c r="AB77" s="41"/>
      <c r="AC77" s="33" t="str">
        <f>IF(Table1[[#This Row],[Auto Order]]=1,IF(Table1[[#This Row],[In stock]]&lt;Table1[[#This Row],[Min in stock]],1,""),"")</f>
        <v/>
      </c>
    </row>
    <row r="78" spans="1:29" x14ac:dyDescent="0.25">
      <c r="A78" s="70" t="s">
        <v>16</v>
      </c>
      <c r="B78" s="32" t="s">
        <v>30</v>
      </c>
      <c r="C78" s="32" t="s">
        <v>1650</v>
      </c>
      <c r="D78" s="32" t="s">
        <v>15</v>
      </c>
      <c r="E78" s="32" t="s">
        <v>494</v>
      </c>
      <c r="F78" s="43">
        <v>14</v>
      </c>
      <c r="G78" s="43">
        <v>5</v>
      </c>
      <c r="H78" s="43">
        <v>1</v>
      </c>
      <c r="I78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7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7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78" s="32"/>
      <c r="M78" s="39"/>
      <c r="N78" s="32">
        <v>2461217</v>
      </c>
      <c r="O78" s="39">
        <v>0.20200000000000001</v>
      </c>
      <c r="P78" s="32"/>
      <c r="Q78" s="39"/>
      <c r="R78" s="32"/>
      <c r="S78" s="39"/>
      <c r="T78" s="32"/>
      <c r="U78" s="39"/>
      <c r="V78" s="32"/>
      <c r="W78" s="39"/>
      <c r="X78" s="32"/>
      <c r="Y78" s="39">
        <v>0.20200000000000001</v>
      </c>
      <c r="Z78" s="39" t="str">
        <f>IF(Table1[[#This Row],[Other]]&lt;&gt;"","Other","")</f>
        <v/>
      </c>
      <c r="AA78" s="32"/>
      <c r="AB78" s="41"/>
      <c r="AC78" s="33" t="str">
        <f>IF(Table1[[#This Row],[Auto Order]]=1,IF(Table1[[#This Row],[In stock]]&lt;Table1[[#This Row],[Min in stock]],1,""),"")</f>
        <v/>
      </c>
    </row>
    <row r="79" spans="1:29" x14ac:dyDescent="0.25">
      <c r="A79" s="70" t="s">
        <v>443</v>
      </c>
      <c r="B79" s="32" t="s">
        <v>265</v>
      </c>
      <c r="C79" s="32" t="s">
        <v>327</v>
      </c>
      <c r="D79" s="32" t="s">
        <v>266</v>
      </c>
      <c r="E79" s="32" t="s">
        <v>494</v>
      </c>
      <c r="F79" s="43">
        <v>0</v>
      </c>
      <c r="G79" s="43"/>
      <c r="H79" s="43"/>
      <c r="I7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7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7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2" t="s">
        <v>264</v>
      </c>
      <c r="M79" s="39">
        <v>0.62</v>
      </c>
      <c r="N79" s="32"/>
      <c r="O79" s="39"/>
      <c r="P79" s="32"/>
      <c r="Q79" s="39"/>
      <c r="R79" s="32"/>
      <c r="S79" s="39"/>
      <c r="T79" s="32"/>
      <c r="U79" s="39"/>
      <c r="V79" s="32"/>
      <c r="W79" s="39"/>
      <c r="X79" s="32"/>
      <c r="Y79" s="39"/>
      <c r="Z79" s="39" t="str">
        <f>IF(Table1[[#This Row],[Other]]&lt;&gt;"","Other","")</f>
        <v/>
      </c>
      <c r="AA79" s="32"/>
      <c r="AB79" s="41"/>
      <c r="AC79" s="33" t="str">
        <f>IF(Table1[[#This Row],[Auto Order]]=1,IF(Table1[[#This Row],[In stock]]&lt;Table1[[#This Row],[Min in stock]],1,""),"")</f>
        <v/>
      </c>
    </row>
    <row r="80" spans="1:29" x14ac:dyDescent="0.25">
      <c r="A80" s="70" t="s">
        <v>267</v>
      </c>
      <c r="B80" s="32" t="s">
        <v>265</v>
      </c>
      <c r="C80" s="32" t="s">
        <v>1415</v>
      </c>
      <c r="D80" s="32" t="s">
        <v>268</v>
      </c>
      <c r="E80" s="32" t="s">
        <v>494</v>
      </c>
      <c r="F80" s="43">
        <v>3</v>
      </c>
      <c r="G80" s="43">
        <v>5</v>
      </c>
      <c r="H80" s="43">
        <v>1</v>
      </c>
      <c r="I8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8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8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80" s="32" t="s">
        <v>408</v>
      </c>
      <c r="M80" s="39">
        <v>0.97</v>
      </c>
      <c r="N80" s="32"/>
      <c r="O80" s="39"/>
      <c r="P80" s="32"/>
      <c r="Q80" s="39"/>
      <c r="R80" s="32"/>
      <c r="S80" s="39"/>
      <c r="T80" s="32" t="s">
        <v>1703</v>
      </c>
      <c r="U80" s="39">
        <v>0.94799999999999995</v>
      </c>
      <c r="V80" s="32"/>
      <c r="W80" s="39"/>
      <c r="X80" s="32"/>
      <c r="Y80" s="39"/>
      <c r="Z80" s="39" t="str">
        <f>IF(Table1[[#This Row],[Other]]&lt;&gt;"","Other","")</f>
        <v/>
      </c>
      <c r="AA80" s="32"/>
      <c r="AB80" s="41"/>
      <c r="AC80" s="33">
        <f>IF(Table1[[#This Row],[Auto Order]]=1,IF(Table1[[#This Row],[In stock]]&lt;Table1[[#This Row],[Min in stock]],1,""),"")</f>
        <v>1</v>
      </c>
    </row>
    <row r="81" spans="1:29" x14ac:dyDescent="0.25">
      <c r="A81" s="70" t="s">
        <v>249</v>
      </c>
      <c r="B81" s="32" t="s">
        <v>250</v>
      </c>
      <c r="C81" s="32" t="s">
        <v>327</v>
      </c>
      <c r="D81" s="32" t="s">
        <v>251</v>
      </c>
      <c r="E81" s="32" t="s">
        <v>515</v>
      </c>
      <c r="F81" s="43">
        <v>2</v>
      </c>
      <c r="G81" s="43"/>
      <c r="H81" s="43"/>
      <c r="I8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8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8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81" s="32" t="s">
        <v>419</v>
      </c>
      <c r="M81" s="39">
        <v>1.34</v>
      </c>
      <c r="N81" s="32"/>
      <c r="O81" s="39"/>
      <c r="P81" s="32" t="s">
        <v>248</v>
      </c>
      <c r="Q81" s="39">
        <v>1.04</v>
      </c>
      <c r="R81" s="32"/>
      <c r="S81" s="39"/>
      <c r="T81" s="32"/>
      <c r="U81" s="39"/>
      <c r="V81" s="32"/>
      <c r="W81" s="39"/>
      <c r="X81" s="32"/>
      <c r="Y81" s="39"/>
      <c r="Z81" s="39" t="str">
        <f>IF(Table1[[#This Row],[Other]]&lt;&gt;"","Other","")</f>
        <v/>
      </c>
      <c r="AA81" s="32"/>
      <c r="AB81" s="41"/>
      <c r="AC81" s="33" t="str">
        <f>IF(Table1[[#This Row],[Auto Order]]=1,IF(Table1[[#This Row],[In stock]]&lt;Table1[[#This Row],[Min in stock]],1,""),"")</f>
        <v/>
      </c>
    </row>
    <row r="82" spans="1:29" x14ac:dyDescent="0.25">
      <c r="A82" s="70" t="s">
        <v>22</v>
      </c>
      <c r="B82" s="32" t="s">
        <v>85</v>
      </c>
      <c r="C82" s="32" t="s">
        <v>372</v>
      </c>
      <c r="D82" s="32" t="s">
        <v>21</v>
      </c>
      <c r="E82" s="32" t="s">
        <v>515</v>
      </c>
      <c r="F82" s="43">
        <v>3</v>
      </c>
      <c r="G82" s="43">
        <v>2</v>
      </c>
      <c r="H82" s="43">
        <v>1</v>
      </c>
      <c r="I8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8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8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2" s="32" t="s">
        <v>430</v>
      </c>
      <c r="M82" s="39">
        <v>0.52</v>
      </c>
      <c r="N82" s="32" t="s">
        <v>371</v>
      </c>
      <c r="O82" s="39">
        <v>0.51600000000000001</v>
      </c>
      <c r="P82" s="32"/>
      <c r="Q82" s="39"/>
      <c r="R82" s="32"/>
      <c r="S82" s="39"/>
      <c r="T82" s="32"/>
      <c r="U82" s="39"/>
      <c r="V82" s="32"/>
      <c r="W82" s="39"/>
      <c r="X82" s="32"/>
      <c r="Y82" s="39">
        <v>0.51600000000000001</v>
      </c>
      <c r="Z82" s="39" t="str">
        <f>IF(Table1[[#This Row],[Other]]&lt;&gt;"","Other","")</f>
        <v/>
      </c>
      <c r="AA82" s="32"/>
      <c r="AB82" s="41"/>
      <c r="AC82" s="33" t="str">
        <f>IF(Table1[[#This Row],[Auto Order]]=1,IF(Table1[[#This Row],[In stock]]&lt;Table1[[#This Row],[Min in stock]],1,""),"")</f>
        <v/>
      </c>
    </row>
    <row r="83" spans="1:29" x14ac:dyDescent="0.25">
      <c r="A83" s="67" t="s">
        <v>1223</v>
      </c>
      <c r="B83" s="32" t="s">
        <v>73</v>
      </c>
      <c r="C83" s="32" t="s">
        <v>1409</v>
      </c>
      <c r="D83" s="32" t="s">
        <v>1224</v>
      </c>
      <c r="E83" s="32" t="s">
        <v>515</v>
      </c>
      <c r="F83" s="43">
        <v>2</v>
      </c>
      <c r="G83" s="43">
        <v>2</v>
      </c>
      <c r="H83" s="43">
        <v>1</v>
      </c>
      <c r="I8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MCP2221AT-I/STCT-ND</v>
      </c>
      <c r="J8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2.16</v>
      </c>
      <c r="K8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2" t="s">
        <v>1225</v>
      </c>
      <c r="M83" s="39">
        <v>2.16</v>
      </c>
      <c r="N83" s="32"/>
      <c r="O83" s="39"/>
      <c r="P83" s="32"/>
      <c r="Q83" s="39"/>
      <c r="R83" s="32"/>
      <c r="S83" s="39"/>
      <c r="T83" s="32"/>
      <c r="U83" s="39"/>
      <c r="V83" s="32"/>
      <c r="W83" s="39"/>
      <c r="X83" s="32"/>
      <c r="Y83" s="39"/>
      <c r="Z83" s="39" t="str">
        <f>IF(Table1[[#This Row],[Other]]&lt;&gt;"","Other","")</f>
        <v/>
      </c>
      <c r="AA83" s="32"/>
      <c r="AB83" s="41"/>
      <c r="AC83" s="45" t="str">
        <f>IF(Table1[[#This Row],[Auto Order]]=1,IF(Table1[[#This Row],[In stock]]&lt;Table1[[#This Row],[Min in stock]],1,""),"")</f>
        <v/>
      </c>
    </row>
    <row r="84" spans="1:29" x14ac:dyDescent="0.25">
      <c r="A84" s="70" t="s">
        <v>20</v>
      </c>
      <c r="B84" s="32" t="s">
        <v>85</v>
      </c>
      <c r="C84" s="32" t="s">
        <v>374</v>
      </c>
      <c r="D84" s="32" t="s">
        <v>1091</v>
      </c>
      <c r="E84" s="32" t="s">
        <v>515</v>
      </c>
      <c r="F84" s="43">
        <v>8</v>
      </c>
      <c r="G84" s="43">
        <v>1</v>
      </c>
      <c r="H84" s="43">
        <f>1</f>
        <v>1</v>
      </c>
      <c r="I8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8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8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84" s="32"/>
      <c r="M84" s="39"/>
      <c r="N84" s="32" t="s">
        <v>373</v>
      </c>
      <c r="O84" s="39">
        <v>0.57499999999999996</v>
      </c>
      <c r="P84" s="32"/>
      <c r="Q84" s="39"/>
      <c r="R84" s="32"/>
      <c r="S84" s="39"/>
      <c r="T84" s="32"/>
      <c r="U84" s="39"/>
      <c r="V84" s="32"/>
      <c r="W84" s="39"/>
      <c r="X84" s="32"/>
      <c r="Y84" s="39">
        <v>0.57499999999999996</v>
      </c>
      <c r="Z84" s="39" t="str">
        <f>IF(Table1[[#This Row],[Other]]&lt;&gt;"","Other","")</f>
        <v/>
      </c>
      <c r="AA84" s="32"/>
      <c r="AB84" s="41"/>
      <c r="AC84" s="33" t="str">
        <f>IF(Table1[[#This Row],[Auto Order]]=1,IF(Table1[[#This Row],[In stock]]&lt;Table1[[#This Row],[Min in stock]],1,""),"")</f>
        <v/>
      </c>
    </row>
    <row r="85" spans="1:29" x14ac:dyDescent="0.25">
      <c r="A85" s="67" t="s">
        <v>1124</v>
      </c>
      <c r="B85" s="32" t="s">
        <v>73</v>
      </c>
      <c r="C85" s="32" t="s">
        <v>1407</v>
      </c>
      <c r="D85" s="32" t="s">
        <v>1125</v>
      </c>
      <c r="E85" s="32" t="s">
        <v>515</v>
      </c>
      <c r="F85" s="43">
        <v>2</v>
      </c>
      <c r="G85" s="43">
        <v>2</v>
      </c>
      <c r="H85" s="43">
        <v>1</v>
      </c>
      <c r="I8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8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8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2" t="s">
        <v>1126</v>
      </c>
      <c r="M85" s="39">
        <v>0.32</v>
      </c>
      <c r="N85" s="32"/>
      <c r="O85" s="39"/>
      <c r="P85" s="32"/>
      <c r="Q85" s="39"/>
      <c r="R85" s="32"/>
      <c r="S85" s="39"/>
      <c r="T85" s="32"/>
      <c r="U85" s="39"/>
      <c r="V85" s="32"/>
      <c r="W85" s="39"/>
      <c r="X85" s="32"/>
      <c r="Y85" s="39"/>
      <c r="Z85" s="39" t="str">
        <f>IF(Table1[[#This Row],[Other]]&lt;&gt;"","Other","")</f>
        <v/>
      </c>
      <c r="AA85" s="32"/>
      <c r="AB85" s="41"/>
      <c r="AC85" s="45" t="str">
        <f>IF(Table1[[#This Row],[Auto Order]]=1,IF(Table1[[#This Row],[In stock]]&lt;Table1[[#This Row],[Min in stock]],1,""),"")</f>
        <v/>
      </c>
    </row>
    <row r="86" spans="1:29" x14ac:dyDescent="0.25">
      <c r="A86" s="70" t="s">
        <v>197</v>
      </c>
      <c r="B86" s="32" t="s">
        <v>200</v>
      </c>
      <c r="C86" s="32" t="s">
        <v>382</v>
      </c>
      <c r="D86" s="32" t="s">
        <v>198</v>
      </c>
      <c r="E86" s="32" t="s">
        <v>515</v>
      </c>
      <c r="F86" s="43">
        <v>4</v>
      </c>
      <c r="G86" s="43"/>
      <c r="H86" s="43"/>
      <c r="I8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8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8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2" t="s">
        <v>199</v>
      </c>
      <c r="M86" s="39">
        <v>2.64</v>
      </c>
      <c r="N86" s="32"/>
      <c r="O86" s="39"/>
      <c r="P86" s="32"/>
      <c r="Q86" s="39"/>
      <c r="R86" s="32"/>
      <c r="S86" s="39"/>
      <c r="T86" s="32"/>
      <c r="U86" s="39"/>
      <c r="V86" s="32"/>
      <c r="W86" s="39"/>
      <c r="X86" s="32"/>
      <c r="Y86" s="39"/>
      <c r="Z86" s="39" t="str">
        <f>IF(Table1[[#This Row],[Other]]&lt;&gt;"","Other","")</f>
        <v/>
      </c>
      <c r="AA86" s="32"/>
      <c r="AB86" s="41"/>
      <c r="AC86" s="33" t="str">
        <f>IF(Table1[[#This Row],[Auto Order]]=1,IF(Table1[[#This Row],[In stock]]&lt;Table1[[#This Row],[Min in stock]],1,""),"")</f>
        <v/>
      </c>
    </row>
    <row r="87" spans="1:29" x14ac:dyDescent="0.25">
      <c r="A87" s="70" t="s">
        <v>441</v>
      </c>
      <c r="B87" s="32" t="s">
        <v>1143</v>
      </c>
      <c r="C87" s="32" t="s">
        <v>327</v>
      </c>
      <c r="D87" s="32" t="s">
        <v>243</v>
      </c>
      <c r="E87" s="32" t="s">
        <v>510</v>
      </c>
      <c r="F87" s="43">
        <v>1</v>
      </c>
      <c r="G87" s="43"/>
      <c r="H87" s="43"/>
      <c r="I8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8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8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2" t="s">
        <v>242</v>
      </c>
      <c r="M87" s="39">
        <v>0.72</v>
      </c>
      <c r="N87" s="32"/>
      <c r="O87" s="39"/>
      <c r="P87" s="32"/>
      <c r="Q87" s="39"/>
      <c r="R87" s="32"/>
      <c r="S87" s="39"/>
      <c r="T87" s="32"/>
      <c r="U87" s="39"/>
      <c r="V87" s="32"/>
      <c r="W87" s="39"/>
      <c r="X87" s="32"/>
      <c r="Y87" s="39"/>
      <c r="Z87" s="39" t="str">
        <f>IF(Table1[[#This Row],[Other]]&lt;&gt;"","Other","")</f>
        <v/>
      </c>
      <c r="AA87" s="32"/>
      <c r="AB87" s="41"/>
      <c r="AC87" s="33" t="str">
        <f>IF(Table1[[#This Row],[Auto Order]]=1,IF(Table1[[#This Row],[In stock]]&lt;Table1[[#This Row],[Min in stock]],1,""),"")</f>
        <v/>
      </c>
    </row>
    <row r="88" spans="1:29" x14ac:dyDescent="0.25">
      <c r="A88" s="70" t="s">
        <v>440</v>
      </c>
      <c r="B88" s="32" t="s">
        <v>1143</v>
      </c>
      <c r="C88" s="32" t="s">
        <v>327</v>
      </c>
      <c r="D88" s="32" t="s">
        <v>241</v>
      </c>
      <c r="E88" s="32" t="s">
        <v>510</v>
      </c>
      <c r="F88" s="43">
        <v>1</v>
      </c>
      <c r="G88" s="43"/>
      <c r="H88" s="43"/>
      <c r="I8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8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8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2" t="s">
        <v>240</v>
      </c>
      <c r="M88" s="39">
        <v>0.93</v>
      </c>
      <c r="N88" s="32"/>
      <c r="O88" s="39"/>
      <c r="P88" s="32"/>
      <c r="Q88" s="39"/>
      <c r="R88" s="32"/>
      <c r="S88" s="39"/>
      <c r="T88" s="32"/>
      <c r="U88" s="39"/>
      <c r="V88" s="32"/>
      <c r="W88" s="39"/>
      <c r="X88" s="32"/>
      <c r="Y88" s="39"/>
      <c r="Z88" s="39" t="str">
        <f>IF(Table1[[#This Row],[Other]]&lt;&gt;"","Other","")</f>
        <v/>
      </c>
      <c r="AA88" s="32"/>
      <c r="AB88" s="41"/>
      <c r="AC88" s="33" t="str">
        <f>IF(Table1[[#This Row],[Auto Order]]=1,IF(Table1[[#This Row],[In stock]]&lt;Table1[[#This Row],[Min in stock]],1,""),"")</f>
        <v/>
      </c>
    </row>
    <row r="89" spans="1:29" x14ac:dyDescent="0.25">
      <c r="A89" s="70" t="s">
        <v>104</v>
      </c>
      <c r="B89" s="32" t="s">
        <v>82</v>
      </c>
      <c r="C89" s="32" t="s">
        <v>1647</v>
      </c>
      <c r="D89" s="32" t="s">
        <v>25</v>
      </c>
      <c r="E89" s="32" t="s">
        <v>506</v>
      </c>
      <c r="F89" s="43">
        <v>100</v>
      </c>
      <c r="G89" s="43"/>
      <c r="H89" s="43"/>
      <c r="I8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8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8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89" s="32" t="s">
        <v>424</v>
      </c>
      <c r="M89" s="39">
        <v>0.26</v>
      </c>
      <c r="N89" s="32" t="s">
        <v>150</v>
      </c>
      <c r="O89" s="39">
        <v>0.112</v>
      </c>
      <c r="P89" s="32"/>
      <c r="Q89" s="39"/>
      <c r="R89" s="32"/>
      <c r="S89" s="39"/>
      <c r="T89" s="32"/>
      <c r="U89" s="39"/>
      <c r="V89" s="32"/>
      <c r="W89" s="39"/>
      <c r="X89" s="32"/>
      <c r="Y89" s="39">
        <v>0.112</v>
      </c>
      <c r="Z89" s="39" t="str">
        <f>IF(Table1[[#This Row],[Other]]&lt;&gt;"","Other","")</f>
        <v/>
      </c>
      <c r="AA89" s="32"/>
      <c r="AB89" s="41"/>
      <c r="AC89" s="33" t="str">
        <f>IF(Table1[[#This Row],[Auto Order]]=1,IF(Table1[[#This Row],[In stock]]&lt;Table1[[#This Row],[Min in stock]],1,""),"")</f>
        <v/>
      </c>
    </row>
    <row r="90" spans="1:29" x14ac:dyDescent="0.25">
      <c r="A90" s="71" t="s">
        <v>81</v>
      </c>
      <c r="B90" s="32" t="s">
        <v>1642</v>
      </c>
      <c r="C90" s="32" t="s">
        <v>1645</v>
      </c>
      <c r="D90" s="32" t="s">
        <v>1643</v>
      </c>
      <c r="E90" s="32" t="s">
        <v>506</v>
      </c>
      <c r="F90" s="43">
        <v>20</v>
      </c>
      <c r="G90" s="43"/>
      <c r="H90" s="43"/>
      <c r="I9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A106373-ND</v>
      </c>
      <c r="J9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1.37</v>
      </c>
      <c r="K9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2" t="s">
        <v>1644</v>
      </c>
      <c r="M90" s="39">
        <v>1.37</v>
      </c>
      <c r="N90" s="32"/>
      <c r="O90" s="39"/>
      <c r="P90" s="32"/>
      <c r="Q90" s="39"/>
      <c r="R90" s="32"/>
      <c r="S90" s="39"/>
      <c r="T90" s="32"/>
      <c r="U90" s="39"/>
      <c r="V90" s="32"/>
      <c r="W90" s="39"/>
      <c r="X90" s="32"/>
      <c r="Y90" s="39"/>
      <c r="Z90" s="39" t="str">
        <f>IF(Table1[[#This Row],[Other]]&lt;&gt;"","Other","")</f>
        <v/>
      </c>
      <c r="AA90" s="32"/>
      <c r="AB90" s="41"/>
      <c r="AC90" s="45" t="str">
        <f>IF(Table1[[#This Row],[Auto Order]]=1,IF(Table1[[#This Row],[In stock]]&lt;Table1[[#This Row],[Min in stock]],1,""),"")</f>
        <v/>
      </c>
    </row>
    <row r="91" spans="1:29" x14ac:dyDescent="0.25">
      <c r="A91" s="67" t="s">
        <v>1103</v>
      </c>
      <c r="B91" s="32" t="s">
        <v>1104</v>
      </c>
      <c r="C91" s="32" t="s">
        <v>1640</v>
      </c>
      <c r="D91" s="32" t="s">
        <v>1105</v>
      </c>
      <c r="E91" s="32" t="s">
        <v>506</v>
      </c>
      <c r="F91" s="43">
        <v>47</v>
      </c>
      <c r="G91" s="43">
        <v>100</v>
      </c>
      <c r="H91" s="43">
        <v>1</v>
      </c>
      <c r="I9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9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9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2" t="s">
        <v>1106</v>
      </c>
      <c r="M91" s="39">
        <v>3.6999999999999998E-2</v>
      </c>
      <c r="N91" s="32"/>
      <c r="O91" s="39"/>
      <c r="P91" s="32"/>
      <c r="Q91" s="39"/>
      <c r="R91" s="32"/>
      <c r="S91" s="39"/>
      <c r="T91" s="32"/>
      <c r="U91" s="39"/>
      <c r="V91" s="32"/>
      <c r="W91" s="39"/>
      <c r="X91" s="32"/>
      <c r="Y91" s="39"/>
      <c r="Z91" s="39" t="str">
        <f>IF(Table1[[#This Row],[Other]]&lt;&gt;"","Other","")</f>
        <v/>
      </c>
      <c r="AA91" s="32"/>
      <c r="AB91" s="41"/>
      <c r="AC91" s="45">
        <f>IF(Table1[[#This Row],[Auto Order]]=1,IF(Table1[[#This Row],[In stock]]&lt;Table1[[#This Row],[Min in stock]],1,""),"")</f>
        <v>1</v>
      </c>
    </row>
    <row r="92" spans="1:29" x14ac:dyDescent="0.25">
      <c r="A92" s="71" t="s">
        <v>1116</v>
      </c>
      <c r="B92" s="32" t="s">
        <v>1117</v>
      </c>
      <c r="C92" s="32" t="s">
        <v>1410</v>
      </c>
      <c r="D92" s="32" t="s">
        <v>1118</v>
      </c>
      <c r="E92" s="32" t="s">
        <v>516</v>
      </c>
      <c r="F92" s="43">
        <v>2</v>
      </c>
      <c r="G92" s="43"/>
      <c r="H92" s="43"/>
      <c r="I9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9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9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2" t="s">
        <v>1119</v>
      </c>
      <c r="M92" s="39">
        <v>0.9</v>
      </c>
      <c r="N92" s="32"/>
      <c r="O92" s="39"/>
      <c r="P92" s="32"/>
      <c r="Q92" s="39"/>
      <c r="R92" s="32"/>
      <c r="S92" s="39"/>
      <c r="T92" s="32"/>
      <c r="U92" s="39"/>
      <c r="V92" s="32"/>
      <c r="W92" s="39"/>
      <c r="X92" s="32"/>
      <c r="Y92" s="39"/>
      <c r="Z92" s="39" t="str">
        <f>IF(Table1[[#This Row],[Other]]&lt;&gt;"","Other","")</f>
        <v/>
      </c>
      <c r="AA92" s="32"/>
      <c r="AB92" s="41"/>
      <c r="AC92" s="45" t="str">
        <f>IF(Table1[[#This Row],[Auto Order]]=1,IF(Table1[[#This Row],[In stock]]&lt;Table1[[#This Row],[Min in stock]],1,""),"")</f>
        <v/>
      </c>
    </row>
    <row r="93" spans="1:29" x14ac:dyDescent="0.25">
      <c r="A93" s="70" t="s">
        <v>173</v>
      </c>
      <c r="B93" s="32" t="s">
        <v>162</v>
      </c>
      <c r="C93" s="32" t="s">
        <v>1402</v>
      </c>
      <c r="D93" s="32" t="s">
        <v>174</v>
      </c>
      <c r="E93" s="32" t="s">
        <v>516</v>
      </c>
      <c r="F93" s="43">
        <v>1</v>
      </c>
      <c r="G93" s="43"/>
      <c r="H93" s="43"/>
      <c r="I9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2" t="s">
        <v>172</v>
      </c>
      <c r="M93" s="39">
        <v>1.82</v>
      </c>
      <c r="N93" s="32"/>
      <c r="O93" s="39"/>
      <c r="P93" s="32"/>
      <c r="Q93" s="39"/>
      <c r="R93" s="32"/>
      <c r="S93" s="39"/>
      <c r="T93" s="32"/>
      <c r="U93" s="39"/>
      <c r="V93" s="32"/>
      <c r="W93" s="39"/>
      <c r="X93" s="32"/>
      <c r="Y93" s="39"/>
      <c r="Z93" s="39" t="str">
        <f>IF(Table1[[#This Row],[Other]]&lt;&gt;"","Other","")</f>
        <v/>
      </c>
      <c r="AA93" s="32"/>
      <c r="AB93" s="41"/>
      <c r="AC93" s="33" t="str">
        <f>IF(Table1[[#This Row],[Auto Order]]=1,IF(Table1[[#This Row],[In stock]]&lt;Table1[[#This Row],[Min in stock]],1,""),"")</f>
        <v/>
      </c>
    </row>
    <row r="94" spans="1:29" x14ac:dyDescent="0.25">
      <c r="A94" s="70" t="s">
        <v>202</v>
      </c>
      <c r="B94" s="32" t="s">
        <v>73</v>
      </c>
      <c r="C94" s="32" t="s">
        <v>378</v>
      </c>
      <c r="D94" s="32" t="s">
        <v>203</v>
      </c>
      <c r="E94" s="32" t="s">
        <v>516</v>
      </c>
      <c r="F94" s="43">
        <v>24</v>
      </c>
      <c r="G94" s="43"/>
      <c r="H94" s="43"/>
      <c r="I9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9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9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2" t="s">
        <v>204</v>
      </c>
      <c r="M94" s="39">
        <v>0.11</v>
      </c>
      <c r="N94" s="32"/>
      <c r="O94" s="39"/>
      <c r="P94" s="32"/>
      <c r="Q94" s="39"/>
      <c r="R94" s="32"/>
      <c r="S94" s="39"/>
      <c r="T94" s="32"/>
      <c r="U94" s="39"/>
      <c r="V94" s="32"/>
      <c r="W94" s="39"/>
      <c r="X94" s="32"/>
      <c r="Y94" s="39"/>
      <c r="Z94" s="39" t="str">
        <f>IF(Table1[[#This Row],[Other]]&lt;&gt;"","Other","")</f>
        <v/>
      </c>
      <c r="AA94" s="32"/>
      <c r="AB94" s="41"/>
      <c r="AC94" s="33" t="str">
        <f>IF(Table1[[#This Row],[Auto Order]]=1,IF(Table1[[#This Row],[In stock]]&lt;Table1[[#This Row],[Min in stock]],1,""),"")</f>
        <v/>
      </c>
    </row>
    <row r="95" spans="1:29" x14ac:dyDescent="0.25">
      <c r="A95" s="70" t="s">
        <v>24</v>
      </c>
      <c r="B95" s="32" t="s">
        <v>41</v>
      </c>
      <c r="C95" s="32" t="s">
        <v>376</v>
      </c>
      <c r="D95" s="32" t="s">
        <v>23</v>
      </c>
      <c r="E95" s="32" t="s">
        <v>516</v>
      </c>
      <c r="F95" s="43">
        <v>16</v>
      </c>
      <c r="G95" s="43">
        <v>10</v>
      </c>
      <c r="H95" s="43">
        <f>1</f>
        <v>1</v>
      </c>
      <c r="I9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9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9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 Mouser</v>
      </c>
      <c r="L95" s="32" t="s">
        <v>431</v>
      </c>
      <c r="M95" s="39">
        <v>0.35</v>
      </c>
      <c r="N95" s="32" t="s">
        <v>375</v>
      </c>
      <c r="O95" s="39">
        <v>0.26500000000000001</v>
      </c>
      <c r="P95" s="32"/>
      <c r="Q95" s="39"/>
      <c r="R95" s="32"/>
      <c r="S95" s="39"/>
      <c r="T95" s="32" t="s">
        <v>1672</v>
      </c>
      <c r="U95" s="39">
        <v>0.33200000000000002</v>
      </c>
      <c r="V95" s="32"/>
      <c r="W95" s="39"/>
      <c r="X95" s="32"/>
      <c r="Y95" s="39">
        <v>0.26500000000000001</v>
      </c>
      <c r="Z95" s="39" t="str">
        <f>IF(Table1[[#This Row],[Other]]&lt;&gt;"","Other","")</f>
        <v/>
      </c>
      <c r="AA95" s="32"/>
      <c r="AB95" s="41"/>
      <c r="AC95" s="33" t="str">
        <f>IF(Table1[[#This Row],[Auto Order]]=1,IF(Table1[[#This Row],[In stock]]&lt;Table1[[#This Row],[Min in stock]],1,""),"")</f>
        <v/>
      </c>
    </row>
    <row r="96" spans="1:29" x14ac:dyDescent="0.25">
      <c r="A96" s="67" t="s">
        <v>1695</v>
      </c>
      <c r="B96" s="32" t="s">
        <v>146</v>
      </c>
      <c r="C96" s="32" t="s">
        <v>327</v>
      </c>
      <c r="D96" s="32" t="s">
        <v>1696</v>
      </c>
      <c r="E96" s="32" t="s">
        <v>502</v>
      </c>
      <c r="F96" s="43">
        <v>10</v>
      </c>
      <c r="G96" s="43">
        <v>10</v>
      </c>
      <c r="H96" s="43">
        <v>1</v>
      </c>
      <c r="I9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732-4966-1-ND</v>
      </c>
      <c r="J9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6" s="32" t="s">
        <v>1697</v>
      </c>
      <c r="M96" s="39">
        <v>0.15</v>
      </c>
      <c r="N96" s="32"/>
      <c r="O96" s="39"/>
      <c r="P96" s="32"/>
      <c r="Q96" s="39"/>
      <c r="R96" s="32"/>
      <c r="S96" s="39"/>
      <c r="T96" s="32" t="s">
        <v>1701</v>
      </c>
      <c r="U96" s="39">
        <v>0.152</v>
      </c>
      <c r="V96" s="32"/>
      <c r="W96" s="39"/>
      <c r="X96" s="32"/>
      <c r="Y96" s="39"/>
      <c r="Z96" s="39" t="str">
        <f>IF(Table1[[#This Row],[Other]]&lt;&gt;"","Other","")</f>
        <v/>
      </c>
      <c r="AA96" s="32"/>
      <c r="AB96" s="41"/>
      <c r="AC96" s="45" t="str">
        <f>IF(Table1[[#This Row],[Auto Order]]=1,IF(Table1[[#This Row],[In stock]]&lt;Table1[[#This Row],[Min in stock]],1,""),"")</f>
        <v/>
      </c>
    </row>
    <row r="97" spans="1:29" x14ac:dyDescent="0.25">
      <c r="A97" s="67" t="s">
        <v>1689</v>
      </c>
      <c r="B97" s="32" t="s">
        <v>146</v>
      </c>
      <c r="C97" s="32" t="s">
        <v>327</v>
      </c>
      <c r="D97" s="32" t="s">
        <v>1690</v>
      </c>
      <c r="E97" s="32" t="s">
        <v>502</v>
      </c>
      <c r="F97" s="43">
        <v>10</v>
      </c>
      <c r="G97" s="43">
        <v>10</v>
      </c>
      <c r="H97" s="43">
        <v>1</v>
      </c>
      <c r="I9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732-4978-1-ND</v>
      </c>
      <c r="J9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7" s="32" t="s">
        <v>1691</v>
      </c>
      <c r="M97" s="39">
        <v>0.14000000000000001</v>
      </c>
      <c r="N97" s="32"/>
      <c r="O97" s="39"/>
      <c r="P97" s="32"/>
      <c r="Q97" s="39"/>
      <c r="R97" s="32"/>
      <c r="S97" s="39"/>
      <c r="T97" s="32" t="s">
        <v>1699</v>
      </c>
      <c r="U97" s="39">
        <v>0.14099999999999999</v>
      </c>
      <c r="V97" s="32"/>
      <c r="W97" s="39"/>
      <c r="X97" s="32"/>
      <c r="Y97" s="39"/>
      <c r="Z97" s="39" t="str">
        <f>IF(Table1[[#This Row],[Other]]&lt;&gt;"","Other","")</f>
        <v/>
      </c>
      <c r="AA97" s="32"/>
      <c r="AB97" s="41"/>
      <c r="AC97" s="45" t="str">
        <f>IF(Table1[[#This Row],[Auto Order]]=1,IF(Table1[[#This Row],[In stock]]&lt;Table1[[#This Row],[Min in stock]],1,""),"")</f>
        <v/>
      </c>
    </row>
    <row r="98" spans="1:29" x14ac:dyDescent="0.25">
      <c r="A98" s="70" t="s">
        <v>210</v>
      </c>
      <c r="B98" s="32" t="s">
        <v>146</v>
      </c>
      <c r="C98" s="32" t="s">
        <v>386</v>
      </c>
      <c r="D98" s="32" t="s">
        <v>1151</v>
      </c>
      <c r="E98" s="32" t="s">
        <v>502</v>
      </c>
      <c r="F98" s="43">
        <v>14</v>
      </c>
      <c r="G98" s="43">
        <f>10</f>
        <v>10</v>
      </c>
      <c r="H98" s="43">
        <f>1</f>
        <v>1</v>
      </c>
      <c r="I9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9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8" s="32" t="s">
        <v>209</v>
      </c>
      <c r="M98" s="39">
        <v>0.14000000000000001</v>
      </c>
      <c r="N98" s="32"/>
      <c r="O98" s="39"/>
      <c r="P98" s="32"/>
      <c r="Q98" s="39"/>
      <c r="R98" s="32"/>
      <c r="S98" s="39"/>
      <c r="T98" s="32" t="s">
        <v>1673</v>
      </c>
      <c r="U98" s="39">
        <v>0.14099999999999999</v>
      </c>
      <c r="V98" s="32"/>
      <c r="W98" s="39"/>
      <c r="X98" s="32"/>
      <c r="Y98" s="39"/>
      <c r="Z98" s="39" t="str">
        <f>IF(Table1[[#This Row],[Other]]&lt;&gt;"","Other","")</f>
        <v/>
      </c>
      <c r="AA98" s="32"/>
      <c r="AB98" s="41"/>
      <c r="AC98" s="33" t="str">
        <f>IF(Table1[[#This Row],[Auto Order]]=1,IF(Table1[[#This Row],[In stock]]&lt;Table1[[#This Row],[Min in stock]],1,""),"")</f>
        <v/>
      </c>
    </row>
    <row r="99" spans="1:29" x14ac:dyDescent="0.25">
      <c r="A99" s="67" t="s">
        <v>1692</v>
      </c>
      <c r="B99" s="32" t="s">
        <v>146</v>
      </c>
      <c r="C99" s="32" t="s">
        <v>327</v>
      </c>
      <c r="D99" s="32" t="s">
        <v>1693</v>
      </c>
      <c r="E99" s="32" t="s">
        <v>502</v>
      </c>
      <c r="F99" s="43">
        <v>10</v>
      </c>
      <c r="G99" s="43">
        <v>10</v>
      </c>
      <c r="H99" s="43">
        <v>1</v>
      </c>
      <c r="I9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732-4981-1-ND</v>
      </c>
      <c r="J9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9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99" s="32" t="s">
        <v>1694</v>
      </c>
      <c r="M99" s="39">
        <v>0.14000000000000001</v>
      </c>
      <c r="N99" s="32"/>
      <c r="O99" s="39"/>
      <c r="P99" s="32"/>
      <c r="Q99" s="39"/>
      <c r="R99" s="32"/>
      <c r="S99" s="39"/>
      <c r="T99" s="32" t="s">
        <v>1700</v>
      </c>
      <c r="U99" s="39">
        <v>0.14099999999999999</v>
      </c>
      <c r="V99" s="32"/>
      <c r="W99" s="39"/>
      <c r="X99" s="32"/>
      <c r="Y99" s="39"/>
      <c r="Z99" s="39" t="str">
        <f>IF(Table1[[#This Row],[Other]]&lt;&gt;"","Other","")</f>
        <v/>
      </c>
      <c r="AA99" s="32"/>
      <c r="AB99" s="41"/>
      <c r="AC99" s="45" t="str">
        <f>IF(Table1[[#This Row],[Auto Order]]=1,IF(Table1[[#This Row],[In stock]]&lt;Table1[[#This Row],[Min in stock]],1,""),"")</f>
        <v/>
      </c>
    </row>
    <row r="100" spans="1:29" x14ac:dyDescent="0.25">
      <c r="A100" s="67" t="s">
        <v>1217</v>
      </c>
      <c r="B100" s="32" t="s">
        <v>146</v>
      </c>
      <c r="C100" s="32" t="s">
        <v>1247</v>
      </c>
      <c r="D100" s="32" t="s">
        <v>1218</v>
      </c>
      <c r="E100" s="32" t="s">
        <v>502</v>
      </c>
      <c r="F100" s="43">
        <v>8</v>
      </c>
      <c r="G100" s="43"/>
      <c r="H100" s="43"/>
      <c r="I10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732-4982-1-ND</v>
      </c>
      <c r="J10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10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2" t="s">
        <v>1219</v>
      </c>
      <c r="M100" s="39">
        <v>0.17</v>
      </c>
      <c r="N100" s="32"/>
      <c r="O100" s="39"/>
      <c r="P100" s="32"/>
      <c r="Q100" s="39"/>
      <c r="R100" s="32"/>
      <c r="S100" s="39"/>
      <c r="T100" s="32"/>
      <c r="U100" s="39"/>
      <c r="V100" s="32"/>
      <c r="W100" s="39"/>
      <c r="X100" s="32"/>
      <c r="Y100" s="39"/>
      <c r="Z100" s="39" t="str">
        <f>IF(Table1[[#This Row],[Other]]&lt;&gt;"","Other","")</f>
        <v/>
      </c>
      <c r="AA100" s="32"/>
      <c r="AB100" s="41"/>
      <c r="AC100" s="45" t="str">
        <f>IF(Table1[[#This Row],[Auto Order]]=1,IF(Table1[[#This Row],[In stock]]&lt;Table1[[#This Row],[Min in stock]],1,""),"")</f>
        <v/>
      </c>
    </row>
    <row r="101" spans="1:29" x14ac:dyDescent="0.25">
      <c r="A101" s="70" t="s">
        <v>127</v>
      </c>
      <c r="B101" s="32" t="s">
        <v>146</v>
      </c>
      <c r="C101" s="32" t="s">
        <v>1405</v>
      </c>
      <c r="D101" s="32" t="s">
        <v>128</v>
      </c>
      <c r="E101" s="32" t="s">
        <v>502</v>
      </c>
      <c r="F101" s="43">
        <v>6</v>
      </c>
      <c r="G101" s="43">
        <v>5</v>
      </c>
      <c r="H101" s="43">
        <v>1</v>
      </c>
      <c r="I10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10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0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01" s="32" t="s">
        <v>126</v>
      </c>
      <c r="M101" s="39">
        <v>0.45</v>
      </c>
      <c r="N101" s="32"/>
      <c r="O101" s="39"/>
      <c r="P101" s="32"/>
      <c r="Q101" s="39"/>
      <c r="R101" s="32"/>
      <c r="S101" s="39"/>
      <c r="T101" s="32" t="s">
        <v>1702</v>
      </c>
      <c r="U101" s="39">
        <v>0.44500000000000001</v>
      </c>
      <c r="V101" s="32"/>
      <c r="W101" s="39"/>
      <c r="X101" s="32"/>
      <c r="Y101" s="39"/>
      <c r="Z101" s="39" t="str">
        <f>IF(Table1[[#This Row],[Other]]&lt;&gt;"","Other","")</f>
        <v/>
      </c>
      <c r="AA101" s="32"/>
      <c r="AB101" s="41"/>
      <c r="AC101" s="33" t="str">
        <f>IF(Table1[[#This Row],[Auto Order]]=1,IF(Table1[[#This Row],[In stock]]&lt;Table1[[#This Row],[Min in stock]],1,""),"")</f>
        <v/>
      </c>
    </row>
    <row r="102" spans="1:29" x14ac:dyDescent="0.25">
      <c r="A102" s="70" t="s">
        <v>31</v>
      </c>
      <c r="B102" s="32" t="s">
        <v>30</v>
      </c>
      <c r="C102" s="32" t="s">
        <v>1659</v>
      </c>
      <c r="D102" s="32" t="s">
        <v>29</v>
      </c>
      <c r="E102" s="32" t="s">
        <v>502</v>
      </c>
      <c r="F102" s="43">
        <v>3</v>
      </c>
      <c r="G102" s="43">
        <v>2</v>
      </c>
      <c r="H102" s="43">
        <v>1</v>
      </c>
      <c r="I102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10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10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2" s="32"/>
      <c r="M102" s="39"/>
      <c r="N102" s="32">
        <v>2112100</v>
      </c>
      <c r="O102" s="39">
        <v>0.28999999999999998</v>
      </c>
      <c r="P102" s="32"/>
      <c r="Q102" s="39"/>
      <c r="R102" s="32"/>
      <c r="S102" s="39"/>
      <c r="T102" s="32"/>
      <c r="U102" s="39"/>
      <c r="V102" s="32"/>
      <c r="W102" s="39"/>
      <c r="X102" s="32"/>
      <c r="Y102" s="39">
        <v>0.28999999999999998</v>
      </c>
      <c r="Z102" s="39" t="str">
        <f>IF(Table1[[#This Row],[Other]]&lt;&gt;"","Other","")</f>
        <v/>
      </c>
      <c r="AA102" s="32"/>
      <c r="AB102" s="41"/>
      <c r="AC102" s="33" t="str">
        <f>IF(Table1[[#This Row],[Auto Order]]=1,IF(Table1[[#This Row],[In stock]]&lt;Table1[[#This Row],[Min in stock]],1,""),"")</f>
        <v/>
      </c>
    </row>
    <row r="103" spans="1:29" x14ac:dyDescent="0.25">
      <c r="A103" s="70" t="s">
        <v>211</v>
      </c>
      <c r="B103" s="32" t="s">
        <v>147</v>
      </c>
      <c r="C103" s="32" t="s">
        <v>385</v>
      </c>
      <c r="D103" s="32" t="s">
        <v>1108</v>
      </c>
      <c r="E103" s="32" t="s">
        <v>502</v>
      </c>
      <c r="F103" s="43">
        <v>6</v>
      </c>
      <c r="G103" s="43"/>
      <c r="H103" s="43"/>
      <c r="I10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10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10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03" s="32" t="s">
        <v>1052</v>
      </c>
      <c r="M103" s="39">
        <v>0.52</v>
      </c>
      <c r="N103" s="32"/>
      <c r="O103" s="39"/>
      <c r="P103" s="32"/>
      <c r="Q103" s="39"/>
      <c r="R103" s="32"/>
      <c r="S103" s="39"/>
      <c r="T103" s="32" t="s">
        <v>1674</v>
      </c>
      <c r="U103" s="39">
        <v>0.39100000000000001</v>
      </c>
      <c r="V103" s="32"/>
      <c r="W103" s="39"/>
      <c r="X103" s="32"/>
      <c r="Y103" s="39"/>
      <c r="Z103" s="39" t="str">
        <f>IF(Table1[[#This Row],[Other]]&lt;&gt;"","Other","")</f>
        <v/>
      </c>
      <c r="AA103" s="32"/>
      <c r="AB103" s="41"/>
      <c r="AC103" s="33" t="str">
        <f>IF(Table1[[#This Row],[Auto Order]]=1,IF(Table1[[#This Row],[In stock]]&lt;Table1[[#This Row],[Min in stock]],1,""),"")</f>
        <v/>
      </c>
    </row>
    <row r="104" spans="1:29" x14ac:dyDescent="0.25">
      <c r="A104" s="70" t="s">
        <v>130</v>
      </c>
      <c r="B104" s="32" t="s">
        <v>147</v>
      </c>
      <c r="C104" s="32" t="s">
        <v>1404</v>
      </c>
      <c r="D104" s="32" t="s">
        <v>131</v>
      </c>
      <c r="E104" s="32" t="s">
        <v>502</v>
      </c>
      <c r="F104" s="43">
        <v>2</v>
      </c>
      <c r="G104" s="43"/>
      <c r="H104" s="43"/>
      <c r="I10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2" t="s">
        <v>129</v>
      </c>
      <c r="M104" s="39">
        <v>2.52</v>
      </c>
      <c r="N104" s="32"/>
      <c r="O104" s="39"/>
      <c r="P104" s="32"/>
      <c r="Q104" s="39"/>
      <c r="R104" s="32"/>
      <c r="S104" s="39"/>
      <c r="T104" s="32"/>
      <c r="U104" s="39"/>
      <c r="V104" s="32"/>
      <c r="W104" s="39"/>
      <c r="X104" s="32"/>
      <c r="Y104" s="39"/>
      <c r="Z104" s="39" t="str">
        <f>IF(Table1[[#This Row],[Other]]&lt;&gt;"","Other","")</f>
        <v/>
      </c>
      <c r="AA104" s="32"/>
      <c r="AB104" s="41"/>
      <c r="AC104" s="33" t="str">
        <f>IF(Table1[[#This Row],[Auto Order]]=1,IF(Table1[[#This Row],[In stock]]&lt;Table1[[#This Row],[Min in stock]],1,""),"")</f>
        <v/>
      </c>
    </row>
    <row r="105" spans="1:29" x14ac:dyDescent="0.25">
      <c r="A105" s="70" t="s">
        <v>122</v>
      </c>
      <c r="B105" s="32" t="s">
        <v>113</v>
      </c>
      <c r="C105" s="32" t="s">
        <v>377</v>
      </c>
      <c r="D105" s="32" t="s">
        <v>121</v>
      </c>
      <c r="E105" s="32" t="s">
        <v>522</v>
      </c>
      <c r="F105" s="43">
        <v>5</v>
      </c>
      <c r="G105" s="43"/>
      <c r="H105" s="43"/>
      <c r="I10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5" s="32"/>
      <c r="M105" s="39"/>
      <c r="N105" s="32" t="s">
        <v>123</v>
      </c>
      <c r="O105" s="39">
        <v>0.27100000000000002</v>
      </c>
      <c r="P105" s="32"/>
      <c r="Q105" s="39"/>
      <c r="R105" s="32"/>
      <c r="S105" s="39"/>
      <c r="T105" s="32"/>
      <c r="U105" s="39"/>
      <c r="V105" s="32"/>
      <c r="W105" s="39"/>
      <c r="X105" s="32"/>
      <c r="Y105" s="39">
        <v>0.27100000000000002</v>
      </c>
      <c r="Z105" s="39" t="str">
        <f>IF(Table1[[#This Row],[Other]]&lt;&gt;"","Other","")</f>
        <v/>
      </c>
      <c r="AA105" s="32"/>
      <c r="AB105" s="41"/>
      <c r="AC105" s="33" t="str">
        <f>IF(Table1[[#This Row],[Auto Order]]=1,IF(Table1[[#This Row],[In stock]]&lt;Table1[[#This Row],[Min in stock]],1,""),"")</f>
        <v/>
      </c>
    </row>
    <row r="106" spans="1:29" x14ac:dyDescent="0.25">
      <c r="A106" s="70" t="s">
        <v>9</v>
      </c>
      <c r="B106" s="32" t="s">
        <v>7</v>
      </c>
      <c r="C106" s="32" t="s">
        <v>369</v>
      </c>
      <c r="D106" s="32" t="s">
        <v>10</v>
      </c>
      <c r="E106" s="32" t="s">
        <v>522</v>
      </c>
      <c r="F106" s="43">
        <v>4</v>
      </c>
      <c r="G106" s="43"/>
      <c r="H106" s="43"/>
      <c r="I10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6" s="32"/>
      <c r="M106" s="39"/>
      <c r="N106" s="32" t="s">
        <v>368</v>
      </c>
      <c r="O106" s="39">
        <v>0.33100000000000002</v>
      </c>
      <c r="P106" s="32"/>
      <c r="Q106" s="39"/>
      <c r="R106" s="32"/>
      <c r="S106" s="39"/>
      <c r="T106" s="32"/>
      <c r="U106" s="39"/>
      <c r="V106" s="32"/>
      <c r="W106" s="39"/>
      <c r="X106" s="32"/>
      <c r="Y106" s="39">
        <v>0.33100000000000002</v>
      </c>
      <c r="Z106" s="39" t="str">
        <f>IF(Table1[[#This Row],[Other]]&lt;&gt;"","Other","")</f>
        <v/>
      </c>
      <c r="AA106" s="32"/>
      <c r="AB106" s="41"/>
      <c r="AC106" s="33" t="str">
        <f>IF(Table1[[#This Row],[Auto Order]]=1,IF(Table1[[#This Row],[In stock]]&lt;Table1[[#This Row],[Min in stock]],1,""),"")</f>
        <v/>
      </c>
    </row>
    <row r="107" spans="1:29" x14ac:dyDescent="0.25">
      <c r="A107" s="67" t="s">
        <v>1214</v>
      </c>
      <c r="B107" s="32" t="s">
        <v>73</v>
      </c>
      <c r="C107" s="32" t="s">
        <v>1411</v>
      </c>
      <c r="D107" s="32" t="s">
        <v>1215</v>
      </c>
      <c r="E107" s="32" t="s">
        <v>519</v>
      </c>
      <c r="F107" s="43">
        <v>1</v>
      </c>
      <c r="G107" s="43"/>
      <c r="H107" s="43"/>
      <c r="I10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PIC16F15323T-I/SLCT-ND</v>
      </c>
      <c r="J10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2" t="s">
        <v>1216</v>
      </c>
      <c r="M107" s="39">
        <v>0.74</v>
      </c>
      <c r="N107" s="32"/>
      <c r="O107" s="39"/>
      <c r="P107" s="32"/>
      <c r="Q107" s="39"/>
      <c r="R107" s="32"/>
      <c r="S107" s="39"/>
      <c r="T107" s="32"/>
      <c r="U107" s="39"/>
      <c r="V107" s="32"/>
      <c r="W107" s="39"/>
      <c r="X107" s="32"/>
      <c r="Y107" s="39"/>
      <c r="Z107" s="39" t="str">
        <f>IF(Table1[[#This Row],[Other]]&lt;&gt;"","Other","")</f>
        <v/>
      </c>
      <c r="AA107" s="32"/>
      <c r="AB107" s="41"/>
      <c r="AC107" s="45" t="str">
        <f>IF(Table1[[#This Row],[Auto Order]]=1,IF(Table1[[#This Row],[In stock]]&lt;Table1[[#This Row],[Min in stock]],1,""),"")</f>
        <v/>
      </c>
    </row>
    <row r="108" spans="1:29" x14ac:dyDescent="0.25">
      <c r="A108" s="67" t="s">
        <v>1220</v>
      </c>
      <c r="B108" s="32" t="s">
        <v>73</v>
      </c>
      <c r="C108" s="32" t="s">
        <v>327</v>
      </c>
      <c r="D108" s="32" t="s">
        <v>1221</v>
      </c>
      <c r="E108" s="32" t="s">
        <v>519</v>
      </c>
      <c r="F108" s="43">
        <v>0</v>
      </c>
      <c r="G108" s="43"/>
      <c r="H108" s="43"/>
      <c r="I10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PIC16F18325-I/SL-ND</v>
      </c>
      <c r="J10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10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2" t="s">
        <v>1222</v>
      </c>
      <c r="M108" s="39">
        <v>1.02</v>
      </c>
      <c r="N108" s="32"/>
      <c r="O108" s="39"/>
      <c r="P108" s="32"/>
      <c r="Q108" s="39"/>
      <c r="R108" s="32"/>
      <c r="S108" s="39"/>
      <c r="T108" s="32"/>
      <c r="U108" s="39"/>
      <c r="V108" s="32"/>
      <c r="W108" s="39"/>
      <c r="X108" s="32"/>
      <c r="Y108" s="39"/>
      <c r="Z108" s="39" t="str">
        <f>IF(Table1[[#This Row],[Other]]&lt;&gt;"","Other","")</f>
        <v/>
      </c>
      <c r="AA108" s="32"/>
      <c r="AB108" s="41"/>
      <c r="AC108" s="45" t="str">
        <f>IF(Table1[[#This Row],[Auto Order]]=1,IF(Table1[[#This Row],[In stock]]&lt;Table1[[#This Row],[Min in stock]],1,""),"")</f>
        <v/>
      </c>
    </row>
    <row r="109" spans="1:29" x14ac:dyDescent="0.25">
      <c r="A109" s="70" t="s">
        <v>139</v>
      </c>
      <c r="B109" s="32" t="s">
        <v>73</v>
      </c>
      <c r="C109" s="32" t="s">
        <v>1655</v>
      </c>
      <c r="D109" s="32" t="s">
        <v>140</v>
      </c>
      <c r="E109" s="32" t="s">
        <v>519</v>
      </c>
      <c r="F109" s="43">
        <v>3</v>
      </c>
      <c r="G109" s="43"/>
      <c r="H109" s="43"/>
      <c r="I10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2" t="s">
        <v>138</v>
      </c>
      <c r="M109" s="39">
        <v>1.53</v>
      </c>
      <c r="N109" s="32"/>
      <c r="O109" s="39"/>
      <c r="P109" s="32"/>
      <c r="Q109" s="39"/>
      <c r="R109" s="32"/>
      <c r="S109" s="39"/>
      <c r="T109" s="32"/>
      <c r="U109" s="39"/>
      <c r="V109" s="32"/>
      <c r="W109" s="39"/>
      <c r="X109" s="32"/>
      <c r="Y109" s="39"/>
      <c r="Z109" s="39" t="str">
        <f>IF(Table1[[#This Row],[Other]]&lt;&gt;"","Other","")</f>
        <v/>
      </c>
      <c r="AA109" s="32"/>
      <c r="AB109" s="41"/>
      <c r="AC109" s="33" t="str">
        <f>IF(Table1[[#This Row],[Auto Order]]=1,IF(Table1[[#This Row],[In stock]]&lt;Table1[[#This Row],[Min in stock]],1,""),"")</f>
        <v/>
      </c>
    </row>
    <row r="110" spans="1:29" x14ac:dyDescent="0.25">
      <c r="A110" s="70" t="s">
        <v>74</v>
      </c>
      <c r="B110" s="32" t="s">
        <v>73</v>
      </c>
      <c r="C110" s="32" t="s">
        <v>1654</v>
      </c>
      <c r="D110" s="32" t="s">
        <v>72</v>
      </c>
      <c r="E110" s="32" t="s">
        <v>519</v>
      </c>
      <c r="F110" s="43">
        <v>2</v>
      </c>
      <c r="G110" s="43"/>
      <c r="H110" s="43"/>
      <c r="I1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2" t="s">
        <v>71</v>
      </c>
      <c r="M110" s="39">
        <v>1.57</v>
      </c>
      <c r="N110" s="32"/>
      <c r="O110" s="39"/>
      <c r="P110" s="32"/>
      <c r="Q110" s="39"/>
      <c r="R110" s="32"/>
      <c r="S110" s="39"/>
      <c r="T110" s="32"/>
      <c r="U110" s="39"/>
      <c r="V110" s="32"/>
      <c r="W110" s="39"/>
      <c r="X110" s="32"/>
      <c r="Y110" s="39"/>
      <c r="Z110" s="39" t="str">
        <f>IF(Table1[[#This Row],[Other]]&lt;&gt;"","Other","")</f>
        <v/>
      </c>
      <c r="AA110" s="32"/>
      <c r="AB110" s="41"/>
      <c r="AC110" s="33" t="str">
        <f>IF(Table1[[#This Row],[Auto Order]]=1,IF(Table1[[#This Row],[In stock]]&lt;Table1[[#This Row],[Min in stock]],1,""),"")</f>
        <v/>
      </c>
    </row>
    <row r="111" spans="1:29" x14ac:dyDescent="0.25">
      <c r="A111" s="70" t="s">
        <v>133</v>
      </c>
      <c r="B111" s="32" t="s">
        <v>73</v>
      </c>
      <c r="C111" s="32" t="s">
        <v>380</v>
      </c>
      <c r="D111" s="32" t="s">
        <v>134</v>
      </c>
      <c r="E111" s="32" t="s">
        <v>519</v>
      </c>
      <c r="F111" s="43">
        <v>2</v>
      </c>
      <c r="G111" s="43">
        <v>1</v>
      </c>
      <c r="H111" s="43">
        <f>1</f>
        <v>1</v>
      </c>
      <c r="I1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2" t="s">
        <v>132</v>
      </c>
      <c r="M111" s="39">
        <v>1.47</v>
      </c>
      <c r="N111" s="32"/>
      <c r="O111" s="39"/>
      <c r="P111" s="32"/>
      <c r="Q111" s="39"/>
      <c r="R111" s="32"/>
      <c r="S111" s="39"/>
      <c r="T111" s="32"/>
      <c r="U111" s="39"/>
      <c r="V111" s="32"/>
      <c r="W111" s="39"/>
      <c r="X111" s="32"/>
      <c r="Y111" s="39"/>
      <c r="Z111" s="39" t="str">
        <f>IF(Table1[[#This Row],[Other]]&lt;&gt;"","Other","")</f>
        <v/>
      </c>
      <c r="AA111" s="32"/>
      <c r="AB111" s="41"/>
      <c r="AC111" s="33" t="str">
        <f>IF(Table1[[#This Row],[Auto Order]]=1,IF(Table1[[#This Row],[In stock]]&lt;Table1[[#This Row],[Min in stock]],1,""),"")</f>
        <v/>
      </c>
    </row>
    <row r="112" spans="1:29" x14ac:dyDescent="0.25">
      <c r="A112" s="70" t="s">
        <v>196</v>
      </c>
      <c r="B112" s="32" t="s">
        <v>73</v>
      </c>
      <c r="C112" s="32" t="s">
        <v>381</v>
      </c>
      <c r="D112" s="32" t="s">
        <v>195</v>
      </c>
      <c r="E112" s="32" t="s">
        <v>519</v>
      </c>
      <c r="F112" s="43">
        <v>4</v>
      </c>
      <c r="G112" s="43"/>
      <c r="H112" s="43"/>
      <c r="I1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2" t="s">
        <v>201</v>
      </c>
      <c r="M112" s="39">
        <v>0.92</v>
      </c>
      <c r="N112" s="32"/>
      <c r="O112" s="39"/>
      <c r="P112" s="32"/>
      <c r="Q112" s="39"/>
      <c r="R112" s="32"/>
      <c r="S112" s="39"/>
      <c r="T112" s="32"/>
      <c r="U112" s="39"/>
      <c r="V112" s="32"/>
      <c r="W112" s="39"/>
      <c r="X112" s="32"/>
      <c r="Y112" s="39"/>
      <c r="Z112" s="39" t="str">
        <f>IF(Table1[[#This Row],[Other]]&lt;&gt;"","Other","")</f>
        <v/>
      </c>
      <c r="AA112" s="32"/>
      <c r="AB112" s="41"/>
      <c r="AC112" s="33" t="str">
        <f>IF(Table1[[#This Row],[Auto Order]]=1,IF(Table1[[#This Row],[In stock]]&lt;Table1[[#This Row],[Min in stock]],1,""),"")</f>
        <v/>
      </c>
    </row>
    <row r="113" spans="1:29" x14ac:dyDescent="0.25">
      <c r="A113" s="70" t="s">
        <v>136</v>
      </c>
      <c r="B113" s="32" t="s">
        <v>73</v>
      </c>
      <c r="C113" s="32" t="s">
        <v>379</v>
      </c>
      <c r="D113" s="32" t="s">
        <v>137</v>
      </c>
      <c r="E113" s="32" t="s">
        <v>519</v>
      </c>
      <c r="F113" s="43">
        <v>3</v>
      </c>
      <c r="G113" s="43"/>
      <c r="H113" s="43"/>
      <c r="I1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2" t="s">
        <v>135</v>
      </c>
      <c r="M113" s="39">
        <v>1.43</v>
      </c>
      <c r="N113" s="32"/>
      <c r="O113" s="39"/>
      <c r="P113" s="32"/>
      <c r="Q113" s="39"/>
      <c r="R113" s="32"/>
      <c r="S113" s="39"/>
      <c r="T113" s="32"/>
      <c r="U113" s="39"/>
      <c r="V113" s="32"/>
      <c r="W113" s="39"/>
      <c r="X113" s="32"/>
      <c r="Y113" s="39"/>
      <c r="Z113" s="39" t="str">
        <f>IF(Table1[[#This Row],[Other]]&lt;&gt;"","Other","")</f>
        <v/>
      </c>
      <c r="AA113" s="32"/>
      <c r="AB113" s="41"/>
      <c r="AC113" s="33" t="str">
        <f>IF(Table1[[#This Row],[Auto Order]]=1,IF(Table1[[#This Row],[In stock]]&lt;Table1[[#This Row],[Min in stock]],1,""),"")</f>
        <v/>
      </c>
    </row>
    <row r="114" spans="1:29" x14ac:dyDescent="0.25">
      <c r="A114" s="67" t="s">
        <v>468</v>
      </c>
      <c r="B114" s="32" t="s">
        <v>73</v>
      </c>
      <c r="C114" s="32" t="s">
        <v>1406</v>
      </c>
      <c r="D114" s="32" t="s">
        <v>470</v>
      </c>
      <c r="E114" s="32" t="s">
        <v>519</v>
      </c>
      <c r="F114" s="43">
        <v>1</v>
      </c>
      <c r="G114" s="43">
        <v>1</v>
      </c>
      <c r="H114" s="43">
        <v>1</v>
      </c>
      <c r="I1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2" t="s">
        <v>469</v>
      </c>
      <c r="M114" s="39">
        <v>1.78</v>
      </c>
      <c r="N114" s="32"/>
      <c r="O114" s="39"/>
      <c r="P114" s="32"/>
      <c r="Q114" s="39"/>
      <c r="R114" s="32"/>
      <c r="S114" s="39"/>
      <c r="T114" s="32"/>
      <c r="U114" s="39"/>
      <c r="V114" s="32"/>
      <c r="W114" s="39"/>
      <c r="X114" s="32"/>
      <c r="Y114" s="39"/>
      <c r="Z114" s="39" t="str">
        <f>IF(Table1[[#This Row],[Other]]&lt;&gt;"","Other","")</f>
        <v/>
      </c>
      <c r="AA114" s="32"/>
      <c r="AB114" s="41"/>
      <c r="AC114" s="33" t="str">
        <f>IF(Table1[[#This Row],[Auto Order]]=1,IF(Table1[[#This Row],[In stock]]&lt;Table1[[#This Row],[Min in stock]],1,""),"")</f>
        <v/>
      </c>
    </row>
    <row r="115" spans="1:29" x14ac:dyDescent="0.25">
      <c r="A115" s="67" t="s">
        <v>1386</v>
      </c>
      <c r="B115" s="32" t="s">
        <v>235</v>
      </c>
      <c r="C115" s="32" t="s">
        <v>327</v>
      </c>
      <c r="D115" s="32" t="s">
        <v>470</v>
      </c>
      <c r="E115" s="32" t="s">
        <v>519</v>
      </c>
      <c r="F115" s="43">
        <v>0</v>
      </c>
      <c r="G115" s="43"/>
      <c r="H115" s="43"/>
      <c r="I1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PIC18LF46K40-I/PT</v>
      </c>
      <c r="J1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</v>
      </c>
      <c r="K1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2" t="s">
        <v>1386</v>
      </c>
      <c r="M115" s="39">
        <v>1.8</v>
      </c>
      <c r="N115" s="32"/>
      <c r="O115" s="39"/>
      <c r="P115" s="32"/>
      <c r="Q115" s="39"/>
      <c r="R115" s="32"/>
      <c r="S115" s="39"/>
      <c r="T115" s="32"/>
      <c r="U115" s="39"/>
      <c r="V115" s="32"/>
      <c r="W115" s="39"/>
      <c r="X115" s="32"/>
      <c r="Y115" s="39"/>
      <c r="Z115" s="39" t="str">
        <f>IF(Table1[[#This Row],[Other]]&lt;&gt;"","Other","")</f>
        <v/>
      </c>
      <c r="AA115" s="32"/>
      <c r="AB115" s="41"/>
      <c r="AC115" s="45" t="str">
        <f>IF(Table1[[#This Row],[Auto Order]]=1,IF(Table1[[#This Row],[In stock]]&lt;Table1[[#This Row],[Min in stock]],1,""),"")</f>
        <v/>
      </c>
    </row>
    <row r="116" spans="1:29" x14ac:dyDescent="0.25">
      <c r="A116" s="70">
        <v>912951</v>
      </c>
      <c r="B116" s="32" t="s">
        <v>58</v>
      </c>
      <c r="C116" s="32" t="s">
        <v>327</v>
      </c>
      <c r="D116" s="32" t="s">
        <v>77</v>
      </c>
      <c r="E116" s="32" t="s">
        <v>496</v>
      </c>
      <c r="F116" s="43">
        <v>0</v>
      </c>
      <c r="G116" s="43"/>
      <c r="H116" s="43"/>
      <c r="I116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1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116" s="50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6" s="32"/>
      <c r="M116" s="39"/>
      <c r="N116" s="32"/>
      <c r="O116" s="39"/>
      <c r="P116" s="32"/>
      <c r="Q116" s="39"/>
      <c r="R116" s="32"/>
      <c r="S116" s="39"/>
      <c r="T116" s="32"/>
      <c r="U116" s="39"/>
      <c r="V116" s="32"/>
      <c r="W116" s="39"/>
      <c r="X116" s="32">
        <v>912951</v>
      </c>
      <c r="Y116" s="39">
        <v>3.43</v>
      </c>
      <c r="Z116" s="39" t="str">
        <f>IF(Table1[[#This Row],[Other]]&lt;&gt;"","Other","")</f>
        <v/>
      </c>
      <c r="AA116" s="32"/>
      <c r="AB116" s="41"/>
      <c r="AC116" s="33" t="str">
        <f>IF(Table1[[#This Row],[Auto Order]]=1,IF(Table1[[#This Row],[In stock]]&lt;Table1[[#This Row],[Min in stock]],1,""),"")</f>
        <v/>
      </c>
    </row>
    <row r="117" spans="1:29" x14ac:dyDescent="0.25">
      <c r="A117" s="70" t="s">
        <v>184</v>
      </c>
      <c r="B117" s="32" t="s">
        <v>58</v>
      </c>
      <c r="C117" s="32" t="s">
        <v>327</v>
      </c>
      <c r="D117" s="32" t="s">
        <v>78</v>
      </c>
      <c r="E117" s="32" t="s">
        <v>496</v>
      </c>
      <c r="F117" s="43">
        <v>9</v>
      </c>
      <c r="G117" s="43"/>
      <c r="H117" s="43"/>
      <c r="I117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1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1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17" s="32"/>
      <c r="M117" s="39"/>
      <c r="N117" s="32"/>
      <c r="O117" s="39"/>
      <c r="P117" s="32"/>
      <c r="Q117" s="39"/>
      <c r="R117" s="32"/>
      <c r="S117" s="39"/>
      <c r="T117" s="32"/>
      <c r="U117" s="39"/>
      <c r="V117" s="32"/>
      <c r="W117" s="39"/>
      <c r="X117" s="32">
        <v>1181876</v>
      </c>
      <c r="Y117" s="39">
        <v>3.79</v>
      </c>
      <c r="Z117" s="39" t="str">
        <f>IF(Table1[[#This Row],[Other]]&lt;&gt;"","Other","")</f>
        <v/>
      </c>
      <c r="AA117" s="32"/>
      <c r="AB117" s="41"/>
      <c r="AC117" s="33" t="str">
        <f>IF(Table1[[#This Row],[Auto Order]]=1,IF(Table1[[#This Row],[In stock]]&lt;Table1[[#This Row],[Min in stock]],1,""),"")</f>
        <v/>
      </c>
    </row>
    <row r="118" spans="1:29" x14ac:dyDescent="0.25">
      <c r="A118" s="70" t="s">
        <v>344</v>
      </c>
      <c r="B118" s="32" t="s">
        <v>340</v>
      </c>
      <c r="C118" s="32" t="s">
        <v>327</v>
      </c>
      <c r="D118" s="32" t="s">
        <v>345</v>
      </c>
      <c r="E118" s="32" t="s">
        <v>496</v>
      </c>
      <c r="F118" s="43">
        <v>1</v>
      </c>
      <c r="G118" s="43"/>
      <c r="H118" s="43"/>
      <c r="I1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1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1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8" s="32"/>
      <c r="M118" s="39"/>
      <c r="N118" s="32"/>
      <c r="O118" s="39"/>
      <c r="P118" s="32"/>
      <c r="Q118" s="39"/>
      <c r="R118" s="32"/>
      <c r="S118" s="39"/>
      <c r="T118" s="32"/>
      <c r="U118" s="39"/>
      <c r="V118" s="32" t="s">
        <v>344</v>
      </c>
      <c r="W118" s="39">
        <v>4.5999999999999996</v>
      </c>
      <c r="X118" s="32"/>
      <c r="Y118" s="39"/>
      <c r="Z118" s="39" t="str">
        <f>IF(Table1[[#This Row],[Other]]&lt;&gt;"","Other","")</f>
        <v/>
      </c>
      <c r="AA118" s="32"/>
      <c r="AB118" s="41"/>
      <c r="AC118" s="33" t="str">
        <f>IF(Table1[[#This Row],[Auto Order]]=1,IF(Table1[[#This Row],[In stock]]&lt;Table1[[#This Row],[Min in stock]],1,""),"")</f>
        <v/>
      </c>
    </row>
    <row r="119" spans="1:29" x14ac:dyDescent="0.25">
      <c r="A119" s="70" t="s">
        <v>339</v>
      </c>
      <c r="B119" s="32" t="s">
        <v>340</v>
      </c>
      <c r="C119" s="32" t="s">
        <v>327</v>
      </c>
      <c r="D119" s="32" t="s">
        <v>341</v>
      </c>
      <c r="E119" s="32" t="s">
        <v>496</v>
      </c>
      <c r="F119" s="43">
        <v>1</v>
      </c>
      <c r="G119" s="43"/>
      <c r="H119" s="43"/>
      <c r="I1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1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1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19" s="32"/>
      <c r="M119" s="39"/>
      <c r="N119" s="32"/>
      <c r="O119" s="39"/>
      <c r="P119" s="32"/>
      <c r="Q119" s="39"/>
      <c r="R119" s="32"/>
      <c r="S119" s="39"/>
      <c r="T119" s="32"/>
      <c r="U119" s="39"/>
      <c r="V119" s="32" t="s">
        <v>339</v>
      </c>
      <c r="W119" s="39">
        <v>1.1619999999999999</v>
      </c>
      <c r="X119" s="32"/>
      <c r="Y119" s="39"/>
      <c r="Z119" s="39" t="str">
        <f>IF(Table1[[#This Row],[Other]]&lt;&gt;"","Other","")</f>
        <v/>
      </c>
      <c r="AA119" s="32"/>
      <c r="AB119" s="41"/>
      <c r="AC119" s="33" t="str">
        <f>IF(Table1[[#This Row],[Auto Order]]=1,IF(Table1[[#This Row],[In stock]]&lt;Table1[[#This Row],[Min in stock]],1,""),"")</f>
        <v/>
      </c>
    </row>
    <row r="120" spans="1:29" x14ac:dyDescent="0.25">
      <c r="A120" s="70" t="s">
        <v>335</v>
      </c>
      <c r="B120" s="32" t="s">
        <v>336</v>
      </c>
      <c r="C120" s="32" t="s">
        <v>327</v>
      </c>
      <c r="D120" s="32" t="s">
        <v>337</v>
      </c>
      <c r="E120" s="32" t="s">
        <v>496</v>
      </c>
      <c r="F120" s="43">
        <v>1</v>
      </c>
      <c r="G120" s="43"/>
      <c r="H120" s="43"/>
      <c r="I1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1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1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120" s="32"/>
      <c r="M120" s="39"/>
      <c r="N120" s="32"/>
      <c r="O120" s="39"/>
      <c r="P120" s="32"/>
      <c r="Q120" s="39"/>
      <c r="R120" s="32"/>
      <c r="S120" s="39"/>
      <c r="T120" s="32"/>
      <c r="U120" s="39"/>
      <c r="V120" s="32" t="s">
        <v>335</v>
      </c>
      <c r="W120" s="39">
        <v>7.46</v>
      </c>
      <c r="X120" s="32"/>
      <c r="Y120" s="39"/>
      <c r="Z120" s="39" t="str">
        <f>IF(Table1[[#This Row],[Other]]&lt;&gt;"","Other","")</f>
        <v/>
      </c>
      <c r="AA120" s="32"/>
      <c r="AB120" s="41"/>
      <c r="AC120" s="33" t="str">
        <f>IF(Table1[[#This Row],[Auto Order]]=1,IF(Table1[[#This Row],[In stock]]&lt;Table1[[#This Row],[Min in stock]],1,""),"")</f>
        <v/>
      </c>
    </row>
    <row r="121" spans="1:29" x14ac:dyDescent="0.25">
      <c r="A121" s="67" t="s">
        <v>466</v>
      </c>
      <c r="B121" s="32" t="s">
        <v>73</v>
      </c>
      <c r="C121" s="32" t="s">
        <v>327</v>
      </c>
      <c r="D121" s="32" t="s">
        <v>1026</v>
      </c>
      <c r="E121" s="32" t="s">
        <v>496</v>
      </c>
      <c r="F121" s="43">
        <v>0</v>
      </c>
      <c r="G121" s="43"/>
      <c r="H121" s="43"/>
      <c r="I1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2" t="s">
        <v>467</v>
      </c>
      <c r="M121" s="39">
        <v>8.19</v>
      </c>
      <c r="N121" s="32"/>
      <c r="O121" s="39"/>
      <c r="P121" s="32"/>
      <c r="Q121" s="39"/>
      <c r="R121" s="32"/>
      <c r="S121" s="39"/>
      <c r="T121" s="32"/>
      <c r="U121" s="39"/>
      <c r="V121" s="32"/>
      <c r="W121" s="39"/>
      <c r="X121" s="32"/>
      <c r="Y121" s="39"/>
      <c r="Z121" s="39" t="str">
        <f>IF(Table1[[#This Row],[Other]]&lt;&gt;"","Other","")</f>
        <v/>
      </c>
      <c r="AA121" s="32"/>
      <c r="AB121" s="41"/>
      <c r="AC121" s="33" t="str">
        <f>IF(Table1[[#This Row],[Auto Order]]=1,IF(Table1[[#This Row],[In stock]]&lt;Table1[[#This Row],[Min in stock]],1,""),"")</f>
        <v/>
      </c>
    </row>
    <row r="122" spans="1:29" x14ac:dyDescent="0.25">
      <c r="A122" s="67" t="s">
        <v>1109</v>
      </c>
      <c r="B122" s="32" t="s">
        <v>73</v>
      </c>
      <c r="C122" s="32" t="s">
        <v>327</v>
      </c>
      <c r="D122" s="32" t="s">
        <v>1210</v>
      </c>
      <c r="E122" s="32" t="s">
        <v>496</v>
      </c>
      <c r="F122" s="43">
        <v>0</v>
      </c>
      <c r="G122" s="43"/>
      <c r="H122" s="43"/>
      <c r="I1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7.17</v>
      </c>
      <c r="K1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22" s="32" t="s">
        <v>1110</v>
      </c>
      <c r="M122" s="39">
        <v>7.17</v>
      </c>
      <c r="N122" s="32"/>
      <c r="O122" s="39"/>
      <c r="P122" s="32"/>
      <c r="Q122" s="39"/>
      <c r="R122" s="32"/>
      <c r="S122" s="39"/>
      <c r="T122" s="32" t="s">
        <v>1685</v>
      </c>
      <c r="U122" s="39">
        <v>7.08</v>
      </c>
      <c r="V122" s="32"/>
      <c r="W122" s="39"/>
      <c r="X122" s="32"/>
      <c r="Y122" s="39"/>
      <c r="Z122" s="39" t="str">
        <f>IF(Table1[[#This Row],[Other]]&lt;&gt;"","Other","")</f>
        <v/>
      </c>
      <c r="AA122" s="32"/>
      <c r="AB122" s="41"/>
      <c r="AC122" s="45" t="str">
        <f>IF(Table1[[#This Row],[Auto Order]]=1,IF(Table1[[#This Row],[In stock]]&lt;Table1[[#This Row],[Min in stock]],1,""),"")</f>
        <v/>
      </c>
    </row>
    <row r="123" spans="1:29" x14ac:dyDescent="0.25">
      <c r="A123" s="67" t="s">
        <v>1182</v>
      </c>
      <c r="B123" s="32" t="s">
        <v>1173</v>
      </c>
      <c r="C123" s="32" t="s">
        <v>1660</v>
      </c>
      <c r="D123" s="32" t="s">
        <v>1180</v>
      </c>
      <c r="E123" s="32" t="s">
        <v>1190</v>
      </c>
      <c r="F123" s="43">
        <v>6</v>
      </c>
      <c r="G123" s="43"/>
      <c r="H123" s="43"/>
      <c r="I1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36-4689-ND</v>
      </c>
      <c r="J1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1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2" t="s">
        <v>1181</v>
      </c>
      <c r="M123" s="39">
        <v>0.15</v>
      </c>
      <c r="N123" s="32"/>
      <c r="O123" s="39"/>
      <c r="P123" s="32"/>
      <c r="Q123" s="39"/>
      <c r="R123" s="32"/>
      <c r="S123" s="39"/>
      <c r="T123" s="32"/>
      <c r="U123" s="39"/>
      <c r="V123" s="32"/>
      <c r="W123" s="39"/>
      <c r="X123" s="32"/>
      <c r="Y123" s="39"/>
      <c r="Z123" s="39" t="str">
        <f>IF(Table1[[#This Row],[Other]]&lt;&gt;"","Other","")</f>
        <v/>
      </c>
      <c r="AA123" s="32"/>
      <c r="AB123" s="41"/>
      <c r="AC123" s="45" t="str">
        <f>IF(Table1[[#This Row],[Auto Order]]=1,IF(Table1[[#This Row],[In stock]]&lt;Table1[[#This Row],[Min in stock]],1,""),"")</f>
        <v/>
      </c>
    </row>
    <row r="124" spans="1:29" x14ac:dyDescent="0.25">
      <c r="A124" s="67" t="s">
        <v>463</v>
      </c>
      <c r="B124" s="32" t="s">
        <v>73</v>
      </c>
      <c r="C124" s="32" t="s">
        <v>1412</v>
      </c>
      <c r="D124" s="32" t="s">
        <v>465</v>
      </c>
      <c r="E124" s="32" t="s">
        <v>526</v>
      </c>
      <c r="F124" s="43">
        <v>3</v>
      </c>
      <c r="G124" s="43"/>
      <c r="H124" s="43"/>
      <c r="I1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2" t="s">
        <v>464</v>
      </c>
      <c r="M124" s="39">
        <v>0.93</v>
      </c>
      <c r="N124" s="32"/>
      <c r="O124" s="39"/>
      <c r="P124" s="32"/>
      <c r="Q124" s="39"/>
      <c r="R124" s="32"/>
      <c r="S124" s="39"/>
      <c r="T124" s="32"/>
      <c r="U124" s="39"/>
      <c r="V124" s="32"/>
      <c r="W124" s="39"/>
      <c r="X124" s="32"/>
      <c r="Y124" s="39"/>
      <c r="Z124" s="39" t="str">
        <f>IF(Table1[[#This Row],[Other]]&lt;&gt;"","Other","")</f>
        <v/>
      </c>
      <c r="AA124" s="32"/>
      <c r="AB124" s="41"/>
      <c r="AC124" s="33" t="str">
        <f>IF(Table1[[#This Row],[Auto Order]]=1,IF(Table1[[#This Row],[In stock]]&lt;Table1[[#This Row],[Min in stock]],1,""),"")</f>
        <v/>
      </c>
    </row>
    <row r="125" spans="1:29" x14ac:dyDescent="0.25">
      <c r="A125" s="70" t="s">
        <v>297</v>
      </c>
      <c r="B125" s="32" t="s">
        <v>230</v>
      </c>
      <c r="C125" s="32" t="s">
        <v>327</v>
      </c>
      <c r="D125" s="32" t="s">
        <v>231</v>
      </c>
      <c r="E125" s="32" t="s">
        <v>512</v>
      </c>
      <c r="F125" s="43">
        <v>9</v>
      </c>
      <c r="G125" s="43"/>
      <c r="H125" s="43"/>
      <c r="I1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E-PCB-000-000</v>
      </c>
      <c r="J1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5" s="32"/>
      <c r="M125" s="39"/>
      <c r="N125" s="32"/>
      <c r="O125" s="39"/>
      <c r="P125" s="32"/>
      <c r="Q125" s="39"/>
      <c r="R125" s="32"/>
      <c r="S125" s="39"/>
      <c r="T125" s="32"/>
      <c r="U125" s="39"/>
      <c r="V125" s="32"/>
      <c r="W125" s="39"/>
      <c r="X125" s="32"/>
      <c r="Y125" s="39"/>
      <c r="Z125" s="39" t="str">
        <f>IF(Table1[[#This Row],[Other]]&lt;&gt;"","Other","")</f>
        <v>Other</v>
      </c>
      <c r="AA125" s="32" t="str">
        <f>Table1[[#This Row],[Art. Number]]</f>
        <v>E-PCB-000-000</v>
      </c>
      <c r="AB125" s="41"/>
      <c r="AC125" s="33" t="str">
        <f>IF(Table1[[#This Row],[Auto Order]]=1,IF(Table1[[#This Row],[In stock]]&lt;Table1[[#This Row],[Min in stock]],1,""),"")</f>
        <v/>
      </c>
    </row>
    <row r="126" spans="1:29" x14ac:dyDescent="0.25">
      <c r="A126" s="70" t="s">
        <v>298</v>
      </c>
      <c r="B126" s="32" t="s">
        <v>230</v>
      </c>
      <c r="C126" s="32" t="s">
        <v>327</v>
      </c>
      <c r="D126" s="32" t="s">
        <v>232</v>
      </c>
      <c r="E126" s="32" t="s">
        <v>512</v>
      </c>
      <c r="F126" s="43">
        <v>10</v>
      </c>
      <c r="G126" s="43"/>
      <c r="H126" s="43"/>
      <c r="I1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E-PCB-000-001</v>
      </c>
      <c r="J1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6" s="32"/>
      <c r="M126" s="39"/>
      <c r="N126" s="32"/>
      <c r="O126" s="39"/>
      <c r="P126" s="32"/>
      <c r="Q126" s="39"/>
      <c r="R126" s="32"/>
      <c r="S126" s="39"/>
      <c r="T126" s="32"/>
      <c r="U126" s="39"/>
      <c r="V126" s="32"/>
      <c r="W126" s="39"/>
      <c r="X126" s="32"/>
      <c r="Y126" s="39"/>
      <c r="Z126" s="39" t="str">
        <f>IF(Table1[[#This Row],[Other]]&lt;&gt;"","Other","")</f>
        <v>Other</v>
      </c>
      <c r="AA126" s="32" t="str">
        <f>Table1[[#This Row],[Art. Number]]</f>
        <v>E-PCB-000-001</v>
      </c>
      <c r="AB126" s="41"/>
      <c r="AC126" s="33" t="str">
        <f>IF(Table1[[#This Row],[Auto Order]]=1,IF(Table1[[#This Row],[In stock]]&lt;Table1[[#This Row],[Min in stock]],1,""),"")</f>
        <v/>
      </c>
    </row>
    <row r="127" spans="1:29" x14ac:dyDescent="0.25">
      <c r="A127" s="70" t="s">
        <v>301</v>
      </c>
      <c r="B127" s="32" t="s">
        <v>230</v>
      </c>
      <c r="C127" s="32" t="s">
        <v>327</v>
      </c>
      <c r="D127" s="32" t="s">
        <v>302</v>
      </c>
      <c r="E127" s="32" t="s">
        <v>512</v>
      </c>
      <c r="F127" s="43">
        <v>10</v>
      </c>
      <c r="G127" s="43"/>
      <c r="H127" s="43"/>
      <c r="I1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E-PCB-000-002</v>
      </c>
      <c r="J1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7" s="32"/>
      <c r="M127" s="39"/>
      <c r="N127" s="32"/>
      <c r="O127" s="39"/>
      <c r="P127" s="32"/>
      <c r="Q127" s="39"/>
      <c r="R127" s="32"/>
      <c r="S127" s="39"/>
      <c r="T127" s="32"/>
      <c r="U127" s="39"/>
      <c r="V127" s="32"/>
      <c r="W127" s="39"/>
      <c r="X127" s="32"/>
      <c r="Y127" s="39"/>
      <c r="Z127" s="39" t="str">
        <f>IF(Table1[[#This Row],[Other]]&lt;&gt;"","Other","")</f>
        <v>Other</v>
      </c>
      <c r="AA127" s="32" t="str">
        <f>Table1[[#This Row],[Art. Number]]</f>
        <v>E-PCB-000-002</v>
      </c>
      <c r="AB127" s="41"/>
      <c r="AC127" s="33" t="str">
        <f>IF(Table1[[#This Row],[Auto Order]]=1,IF(Table1[[#This Row],[In stock]]&lt;Table1[[#This Row],[Min in stock]],1,""),"")</f>
        <v/>
      </c>
    </row>
    <row r="128" spans="1:29" x14ac:dyDescent="0.25">
      <c r="A128" s="71" t="s">
        <v>1127</v>
      </c>
      <c r="B128" s="32" t="s">
        <v>230</v>
      </c>
      <c r="C128" s="32" t="s">
        <v>327</v>
      </c>
      <c r="D128" s="32" t="s">
        <v>1128</v>
      </c>
      <c r="E128" s="32" t="s">
        <v>512</v>
      </c>
      <c r="F128" s="43">
        <v>5</v>
      </c>
      <c r="G128" s="43"/>
      <c r="H128" s="43"/>
      <c r="I1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E-PCB-000-003</v>
      </c>
      <c r="J1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8" s="32"/>
      <c r="M128" s="39"/>
      <c r="N128" s="32"/>
      <c r="O128" s="39"/>
      <c r="P128" s="32"/>
      <c r="Q128" s="39"/>
      <c r="R128" s="32"/>
      <c r="S128" s="39"/>
      <c r="T128" s="32"/>
      <c r="U128" s="39"/>
      <c r="V128" s="32"/>
      <c r="W128" s="39"/>
      <c r="X128" s="32"/>
      <c r="Y128" s="39"/>
      <c r="Z128" s="39" t="str">
        <f>IF(Table1[[#This Row],[Other]]&lt;&gt;"","Other","")</f>
        <v>Other</v>
      </c>
      <c r="AA128" s="32" t="str">
        <f>Table1[[#This Row],[Art. Number]]</f>
        <v>E-PCB-000-003</v>
      </c>
      <c r="AB128" s="41"/>
      <c r="AC128" s="45" t="str">
        <f>IF(Table1[[#This Row],[Auto Order]]=1,IF(Table1[[#This Row],[In stock]]&lt;Table1[[#This Row],[Min in stock]],1,""),"")</f>
        <v/>
      </c>
    </row>
    <row r="129" spans="1:29" x14ac:dyDescent="0.25">
      <c r="A129" s="71" t="s">
        <v>1129</v>
      </c>
      <c r="B129" s="32" t="s">
        <v>230</v>
      </c>
      <c r="C129" s="32" t="s">
        <v>327</v>
      </c>
      <c r="D129" s="32" t="s">
        <v>1130</v>
      </c>
      <c r="E129" s="32" t="s">
        <v>512</v>
      </c>
      <c r="F129" s="43">
        <v>5</v>
      </c>
      <c r="G129" s="43"/>
      <c r="H129" s="43"/>
      <c r="I1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E-PCB-000-004</v>
      </c>
      <c r="J1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29" s="32"/>
      <c r="M129" s="39"/>
      <c r="N129" s="32"/>
      <c r="O129" s="39"/>
      <c r="P129" s="32"/>
      <c r="Q129" s="39"/>
      <c r="R129" s="32"/>
      <c r="S129" s="39"/>
      <c r="T129" s="32"/>
      <c r="U129" s="39"/>
      <c r="V129" s="32"/>
      <c r="W129" s="39"/>
      <c r="X129" s="32"/>
      <c r="Y129" s="39"/>
      <c r="Z129" s="39" t="str">
        <f>IF(Table1[[#This Row],[Other]]&lt;&gt;"","Other","")</f>
        <v>Other</v>
      </c>
      <c r="AA129" s="32" t="str">
        <f>Table1[[#This Row],[Art. Number]]</f>
        <v>E-PCB-000-004</v>
      </c>
      <c r="AB129" s="41"/>
      <c r="AC129" s="45" t="str">
        <f>IF(Table1[[#This Row],[Auto Order]]=1,IF(Table1[[#This Row],[In stock]]&lt;Table1[[#This Row],[Min in stock]],1,""),"")</f>
        <v/>
      </c>
    </row>
    <row r="130" spans="1:29" x14ac:dyDescent="0.25">
      <c r="A130" s="71" t="s">
        <v>1391</v>
      </c>
      <c r="B130" s="32" t="s">
        <v>230</v>
      </c>
      <c r="C130" s="32" t="s">
        <v>327</v>
      </c>
      <c r="D130" s="32" t="s">
        <v>1392</v>
      </c>
      <c r="E130" s="32" t="s">
        <v>512</v>
      </c>
      <c r="F130" s="43">
        <v>4</v>
      </c>
      <c r="G130" s="43"/>
      <c r="H130" s="43"/>
      <c r="I1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E-PCB-000-005</v>
      </c>
      <c r="J1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0" s="32"/>
      <c r="M130" s="39"/>
      <c r="N130" s="32"/>
      <c r="O130" s="39"/>
      <c r="P130" s="32"/>
      <c r="Q130" s="39"/>
      <c r="R130" s="32"/>
      <c r="S130" s="39"/>
      <c r="T130" s="32"/>
      <c r="U130" s="39"/>
      <c r="V130" s="32"/>
      <c r="W130" s="39"/>
      <c r="X130" s="32"/>
      <c r="Y130" s="39"/>
      <c r="Z130" s="39" t="str">
        <f>IF(Table1[[#This Row],[Other]]&lt;&gt;"","Other","")</f>
        <v>Other</v>
      </c>
      <c r="AA130" s="32" t="str">
        <f>Table1[[#This Row],[Art. Number]]</f>
        <v>E-PCB-000-005</v>
      </c>
      <c r="AB130" s="41"/>
      <c r="AC130" s="45" t="str">
        <f>IF(Table1[[#This Row],[Auto Order]]=1,IF(Table1[[#This Row],[In stock]]&lt;Table1[[#This Row],[Min in stock]],1,""),"")</f>
        <v/>
      </c>
    </row>
    <row r="131" spans="1:29" x14ac:dyDescent="0.25">
      <c r="A131" s="67" t="s">
        <v>1393</v>
      </c>
      <c r="B131" s="32" t="s">
        <v>230</v>
      </c>
      <c r="C131" s="32" t="s">
        <v>327</v>
      </c>
      <c r="D131" s="32" t="s">
        <v>1394</v>
      </c>
      <c r="E131" s="32" t="s">
        <v>512</v>
      </c>
      <c r="F131" s="43">
        <v>5</v>
      </c>
      <c r="G131" s="43"/>
      <c r="H131" s="43"/>
      <c r="I1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E-PCB-000-006</v>
      </c>
      <c r="J1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1" s="32"/>
      <c r="M131" s="39"/>
      <c r="N131" s="32"/>
      <c r="O131" s="39"/>
      <c r="P131" s="32"/>
      <c r="Q131" s="39"/>
      <c r="R131" s="32"/>
      <c r="S131" s="39"/>
      <c r="T131" s="32"/>
      <c r="U131" s="39"/>
      <c r="V131" s="32"/>
      <c r="W131" s="39"/>
      <c r="X131" s="32"/>
      <c r="Y131" s="39"/>
      <c r="Z131" s="39" t="str">
        <f>IF(Table1[[#This Row],[Other]]&lt;&gt;"","Other","")</f>
        <v>Other</v>
      </c>
      <c r="AA131" s="32" t="str">
        <f>Table1[[#This Row],[Art. Number]]</f>
        <v>E-PCB-000-006</v>
      </c>
      <c r="AB131" s="41"/>
      <c r="AC131" s="45" t="str">
        <f>IF(Table1[[#This Row],[Auto Order]]=1,IF(Table1[[#This Row],[In stock]]&lt;Table1[[#This Row],[Min in stock]],1,""),"")</f>
        <v/>
      </c>
    </row>
    <row r="132" spans="1:29" x14ac:dyDescent="0.25">
      <c r="A132" s="70" t="s">
        <v>299</v>
      </c>
      <c r="B132" s="32" t="s">
        <v>230</v>
      </c>
      <c r="C132" s="32" t="s">
        <v>327</v>
      </c>
      <c r="D132" s="32" t="s">
        <v>357</v>
      </c>
      <c r="E132" s="32" t="s">
        <v>512</v>
      </c>
      <c r="F132" s="43">
        <v>8</v>
      </c>
      <c r="G132" s="43"/>
      <c r="H132" s="43"/>
      <c r="I1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E-PCB-001-000</v>
      </c>
      <c r="J1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2" s="32"/>
      <c r="M132" s="39"/>
      <c r="N132" s="32"/>
      <c r="O132" s="39"/>
      <c r="P132" s="32"/>
      <c r="Q132" s="39"/>
      <c r="R132" s="32"/>
      <c r="S132" s="39"/>
      <c r="T132" s="32"/>
      <c r="U132" s="39"/>
      <c r="V132" s="32"/>
      <c r="W132" s="39"/>
      <c r="X132" s="32"/>
      <c r="Y132" s="39"/>
      <c r="Z132" s="39" t="str">
        <f>IF(Table1[[#This Row],[Other]]&lt;&gt;"","Other","")</f>
        <v>Other</v>
      </c>
      <c r="AA132" s="32" t="str">
        <f>Table1[[#This Row],[Art. Number]]</f>
        <v>E-PCB-001-000</v>
      </c>
      <c r="AB132" s="41"/>
      <c r="AC132" s="33" t="str">
        <f>IF(Table1[[#This Row],[Auto Order]]=1,IF(Table1[[#This Row],[In stock]]&lt;Table1[[#This Row],[Min in stock]],1,""),"")</f>
        <v/>
      </c>
    </row>
    <row r="133" spans="1:29" x14ac:dyDescent="0.25">
      <c r="A133" s="71" t="s">
        <v>1139</v>
      </c>
      <c r="B133" s="32" t="s">
        <v>230</v>
      </c>
      <c r="C133" s="32" t="s">
        <v>327</v>
      </c>
      <c r="D133" s="32" t="s">
        <v>1141</v>
      </c>
      <c r="E133" s="32" t="s">
        <v>512</v>
      </c>
      <c r="F133" s="43">
        <v>5</v>
      </c>
      <c r="G133" s="43"/>
      <c r="H133" s="43"/>
      <c r="I1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E-PCB-001-001</v>
      </c>
      <c r="J1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3" s="32"/>
      <c r="M133" s="39"/>
      <c r="N133" s="32"/>
      <c r="O133" s="39"/>
      <c r="P133" s="32"/>
      <c r="Q133" s="39"/>
      <c r="R133" s="32"/>
      <c r="S133" s="39"/>
      <c r="T133" s="32"/>
      <c r="U133" s="39"/>
      <c r="V133" s="32"/>
      <c r="W133" s="39"/>
      <c r="X133" s="32"/>
      <c r="Y133" s="39"/>
      <c r="Z133" s="39" t="str">
        <f>IF(Table1[[#This Row],[Other]]&lt;&gt;"","Other","")</f>
        <v>Other</v>
      </c>
      <c r="AA133" s="32" t="str">
        <f>Table1[[#This Row],[Art. Number]]</f>
        <v>E-PCB-001-001</v>
      </c>
      <c r="AB133" s="41"/>
      <c r="AC133" s="45" t="str">
        <f>IF(Table1[[#This Row],[Auto Order]]=1,IF(Table1[[#This Row],[In stock]]&lt;Table1[[#This Row],[Min in stock]],1,""),"")</f>
        <v/>
      </c>
    </row>
    <row r="134" spans="1:29" x14ac:dyDescent="0.25">
      <c r="A134" s="70" t="s">
        <v>300</v>
      </c>
      <c r="B134" s="32" t="s">
        <v>230</v>
      </c>
      <c r="C134" s="32" t="s">
        <v>327</v>
      </c>
      <c r="D134" s="32" t="s">
        <v>233</v>
      </c>
      <c r="E134" s="32" t="s">
        <v>512</v>
      </c>
      <c r="F134" s="43">
        <v>9</v>
      </c>
      <c r="G134" s="43"/>
      <c r="H134" s="43"/>
      <c r="I1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E-PCB-002-000</v>
      </c>
      <c r="J1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4" s="32"/>
      <c r="M134" s="39"/>
      <c r="N134" s="32"/>
      <c r="O134" s="39"/>
      <c r="P134" s="32"/>
      <c r="Q134" s="39"/>
      <c r="R134" s="32"/>
      <c r="S134" s="39"/>
      <c r="T134" s="32"/>
      <c r="U134" s="39"/>
      <c r="V134" s="32"/>
      <c r="W134" s="39"/>
      <c r="X134" s="32"/>
      <c r="Y134" s="39"/>
      <c r="Z134" s="39" t="str">
        <f>IF(Table1[[#This Row],[Other]]&lt;&gt;"","Other","")</f>
        <v>Other</v>
      </c>
      <c r="AA134" s="32" t="str">
        <f>Table1[[#This Row],[Art. Number]]</f>
        <v>E-PCB-002-000</v>
      </c>
      <c r="AB134" s="41"/>
      <c r="AC134" s="33" t="str">
        <f>IF(Table1[[#This Row],[Auto Order]]=1,IF(Table1[[#This Row],[In stock]]&lt;Table1[[#This Row],[Min in stock]],1,""),"")</f>
        <v/>
      </c>
    </row>
    <row r="135" spans="1:29" x14ac:dyDescent="0.25">
      <c r="A135" s="71" t="s">
        <v>1048</v>
      </c>
      <c r="B135" s="32" t="s">
        <v>230</v>
      </c>
      <c r="C135" s="32" t="s">
        <v>327</v>
      </c>
      <c r="D135" s="32" t="s">
        <v>1049</v>
      </c>
      <c r="E135" s="32" t="s">
        <v>512</v>
      </c>
      <c r="F135" s="43">
        <v>5</v>
      </c>
      <c r="G135" s="43"/>
      <c r="H135" s="43"/>
      <c r="I1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E-PCB-003-000</v>
      </c>
      <c r="J1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5" s="32"/>
      <c r="M135" s="39"/>
      <c r="N135" s="32"/>
      <c r="O135" s="39"/>
      <c r="P135" s="32"/>
      <c r="Q135" s="39"/>
      <c r="R135" s="32"/>
      <c r="S135" s="39"/>
      <c r="T135" s="32"/>
      <c r="U135" s="39"/>
      <c r="V135" s="32"/>
      <c r="W135" s="39"/>
      <c r="X135" s="32"/>
      <c r="Y135" s="39"/>
      <c r="Z135" s="39" t="str">
        <f>IF(Table1[[#This Row],[Other]]&lt;&gt;"","Other","")</f>
        <v>Other</v>
      </c>
      <c r="AA135" s="32" t="str">
        <f>Table1[[#This Row],[Art. Number]]</f>
        <v>E-PCB-003-000</v>
      </c>
      <c r="AB135" s="41"/>
      <c r="AC135" s="45" t="str">
        <f>IF(Table1[[#This Row],[Auto Order]]=1,IF(Table1[[#This Row],[In stock]]&lt;Table1[[#This Row],[Min in stock]],1,""),"")</f>
        <v/>
      </c>
    </row>
    <row r="136" spans="1:29" x14ac:dyDescent="0.25">
      <c r="A136" s="71" t="s">
        <v>1390</v>
      </c>
      <c r="B136" s="32" t="s">
        <v>230</v>
      </c>
      <c r="C136" s="32" t="s">
        <v>327</v>
      </c>
      <c r="D136" s="32" t="s">
        <v>1401</v>
      </c>
      <c r="E136" s="32" t="s">
        <v>512</v>
      </c>
      <c r="F136" s="43">
        <v>4</v>
      </c>
      <c r="G136" s="43"/>
      <c r="H136" s="43"/>
      <c r="I1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E-PCB-003-001</v>
      </c>
      <c r="J1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Other</v>
      </c>
      <c r="L136" s="32"/>
      <c r="M136" s="39"/>
      <c r="N136" s="32"/>
      <c r="O136" s="39"/>
      <c r="P136" s="32"/>
      <c r="Q136" s="39"/>
      <c r="R136" s="32"/>
      <c r="S136" s="39"/>
      <c r="T136" s="32"/>
      <c r="U136" s="39"/>
      <c r="V136" s="32"/>
      <c r="W136" s="39"/>
      <c r="X136" s="32"/>
      <c r="Y136" s="39"/>
      <c r="Z136" s="39" t="str">
        <f>IF(Table1[[#This Row],[Other]]&lt;&gt;"","Other","")</f>
        <v>Other</v>
      </c>
      <c r="AA136" s="32" t="str">
        <f>Table1[[#This Row],[Art. Number]]</f>
        <v>E-PCB-003-001</v>
      </c>
      <c r="AB136" s="41"/>
      <c r="AC136" s="45" t="str">
        <f>IF(Table1[[#This Row],[Auto Order]]=1,IF(Table1[[#This Row],[In stock]]&lt;Table1[[#This Row],[Min in stock]],1,""),"")</f>
        <v/>
      </c>
    </row>
    <row r="137" spans="1:29" x14ac:dyDescent="0.25">
      <c r="A137" s="70" t="s">
        <v>66</v>
      </c>
      <c r="B137" s="32" t="s">
        <v>65</v>
      </c>
      <c r="C137" s="32" t="s">
        <v>1659</v>
      </c>
      <c r="D137" s="32" t="s">
        <v>64</v>
      </c>
      <c r="E137" s="32" t="s">
        <v>518</v>
      </c>
      <c r="F137" s="43">
        <v>3</v>
      </c>
      <c r="G137" s="43"/>
      <c r="H137" s="43"/>
      <c r="I1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2" t="s">
        <v>63</v>
      </c>
      <c r="M137" s="39">
        <v>1.07</v>
      </c>
      <c r="N137" s="32"/>
      <c r="O137" s="39"/>
      <c r="P137" s="32"/>
      <c r="Q137" s="39"/>
      <c r="R137" s="32"/>
      <c r="S137" s="39"/>
      <c r="T137" s="32"/>
      <c r="U137" s="39"/>
      <c r="V137" s="32"/>
      <c r="W137" s="39"/>
      <c r="X137" s="32"/>
      <c r="Y137" s="39"/>
      <c r="Z137" s="39" t="str">
        <f>IF(Table1[[#This Row],[Other]]&lt;&gt;"","Other","")</f>
        <v/>
      </c>
      <c r="AA137" s="32"/>
      <c r="AB137" s="41"/>
      <c r="AC137" s="33" t="str">
        <f>IF(Table1[[#This Row],[Auto Order]]=1,IF(Table1[[#This Row],[In stock]]&lt;Table1[[#This Row],[Min in stock]],1,""),"")</f>
        <v/>
      </c>
    </row>
    <row r="138" spans="1:29" x14ac:dyDescent="0.25">
      <c r="A138" s="70" t="s">
        <v>181</v>
      </c>
      <c r="B138" s="32" t="s">
        <v>58</v>
      </c>
      <c r="C138" s="32" t="s">
        <v>327</v>
      </c>
      <c r="D138" s="32" t="s">
        <v>76</v>
      </c>
      <c r="E138" s="32" t="s">
        <v>497</v>
      </c>
      <c r="F138" s="43">
        <v>1</v>
      </c>
      <c r="G138" s="43"/>
      <c r="H138" s="43"/>
      <c r="I138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1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1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138" s="32"/>
      <c r="M138" s="39"/>
      <c r="N138" s="32"/>
      <c r="O138" s="39"/>
      <c r="P138" s="32"/>
      <c r="Q138" s="39"/>
      <c r="R138" s="32"/>
      <c r="S138" s="39"/>
      <c r="T138" s="32"/>
      <c r="U138" s="39"/>
      <c r="V138" s="32"/>
      <c r="W138" s="39"/>
      <c r="X138" s="32">
        <v>1004068</v>
      </c>
      <c r="Y138" s="39">
        <v>3.49</v>
      </c>
      <c r="Z138" s="39" t="str">
        <f>IF(Table1[[#This Row],[Other]]&lt;&gt;"","Other","")</f>
        <v/>
      </c>
      <c r="AA138" s="32"/>
      <c r="AB138" s="41"/>
      <c r="AC138" s="33" t="str">
        <f>IF(Table1[[#This Row],[Auto Order]]=1,IF(Table1[[#This Row],[In stock]]&lt;Table1[[#This Row],[Min in stock]],1,""),"")</f>
        <v/>
      </c>
    </row>
    <row r="139" spans="1:29" x14ac:dyDescent="0.25">
      <c r="A139" s="70" t="s">
        <v>176</v>
      </c>
      <c r="B139" s="32" t="s">
        <v>162</v>
      </c>
      <c r="C139" s="32" t="s">
        <v>327</v>
      </c>
      <c r="D139" s="32" t="s">
        <v>1120</v>
      </c>
      <c r="E139" s="32" t="s">
        <v>524</v>
      </c>
      <c r="F139" s="43">
        <v>0</v>
      </c>
      <c r="G139" s="43"/>
      <c r="H139" s="43"/>
      <c r="I1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2" t="s">
        <v>175</v>
      </c>
      <c r="M139" s="39">
        <v>2.64</v>
      </c>
      <c r="N139" s="32"/>
      <c r="O139" s="39"/>
      <c r="P139" s="32"/>
      <c r="Q139" s="39"/>
      <c r="R139" s="32"/>
      <c r="S139" s="39"/>
      <c r="T139" s="32"/>
      <c r="U139" s="39"/>
      <c r="V139" s="32"/>
      <c r="W139" s="39"/>
      <c r="X139" s="32"/>
      <c r="Y139" s="39"/>
      <c r="Z139" s="39" t="str">
        <f>IF(Table1[[#This Row],[Other]]&lt;&gt;"","Other","")</f>
        <v/>
      </c>
      <c r="AA139" s="32"/>
      <c r="AB139" s="41"/>
      <c r="AC139" s="33" t="str">
        <f>IF(Table1[[#This Row],[Auto Order]]=1,IF(Table1[[#This Row],[In stock]]&lt;Table1[[#This Row],[Min in stock]],1,""),"")</f>
        <v/>
      </c>
    </row>
    <row r="140" spans="1:29" x14ac:dyDescent="0.25">
      <c r="A140" s="70" t="s">
        <v>19</v>
      </c>
      <c r="B140" s="32" t="s">
        <v>38</v>
      </c>
      <c r="C140" s="32" t="s">
        <v>384</v>
      </c>
      <c r="D140" s="32" t="s">
        <v>1123</v>
      </c>
      <c r="E140" s="32" t="s">
        <v>524</v>
      </c>
      <c r="F140" s="43">
        <v>0</v>
      </c>
      <c r="G140" s="43"/>
      <c r="H140" s="43"/>
      <c r="I14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40" s="32"/>
      <c r="M140" s="39"/>
      <c r="N140" s="32" t="s">
        <v>383</v>
      </c>
      <c r="O140" s="39">
        <v>3.64</v>
      </c>
      <c r="P140" s="32"/>
      <c r="Q140" s="39"/>
      <c r="R140" s="32"/>
      <c r="S140" s="39"/>
      <c r="T140" s="32"/>
      <c r="U140" s="39"/>
      <c r="V140" s="32"/>
      <c r="W140" s="39"/>
      <c r="X140" s="32"/>
      <c r="Y140" s="39"/>
      <c r="Z140" s="39" t="str">
        <f>IF(Table1[[#This Row],[Other]]&lt;&gt;"","Other","")</f>
        <v/>
      </c>
      <c r="AA140" s="32"/>
      <c r="AB140" s="41"/>
      <c r="AC140" s="33" t="str">
        <f>IF(Table1[[#This Row],[Auto Order]]=1,IF(Table1[[#This Row],[In stock]]&lt;Table1[[#This Row],[Min in stock]],1,""),"")</f>
        <v/>
      </c>
    </row>
    <row r="141" spans="1:29" x14ac:dyDescent="0.25">
      <c r="A141" s="70" t="s">
        <v>167</v>
      </c>
      <c r="B141" s="32" t="s">
        <v>162</v>
      </c>
      <c r="C141" s="32" t="s">
        <v>327</v>
      </c>
      <c r="D141" s="32" t="s">
        <v>1121</v>
      </c>
      <c r="E141" s="32" t="s">
        <v>524</v>
      </c>
      <c r="F141" s="43">
        <v>1</v>
      </c>
      <c r="G141" s="43"/>
      <c r="H141" s="43"/>
      <c r="I1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2" t="s">
        <v>166</v>
      </c>
      <c r="M141" s="39">
        <v>0.8</v>
      </c>
      <c r="N141" s="32"/>
      <c r="O141" s="39"/>
      <c r="P141" s="32"/>
      <c r="Q141" s="39"/>
      <c r="R141" s="32"/>
      <c r="S141" s="39"/>
      <c r="T141" s="32"/>
      <c r="U141" s="39"/>
      <c r="V141" s="32"/>
      <c r="W141" s="39"/>
      <c r="X141" s="32"/>
      <c r="Y141" s="39"/>
      <c r="Z141" s="39" t="str">
        <f>IF(Table1[[#This Row],[Other]]&lt;&gt;"","Other","")</f>
        <v/>
      </c>
      <c r="AA141" s="32"/>
      <c r="AB141" s="41"/>
      <c r="AC141" s="33" t="str">
        <f>IF(Table1[[#This Row],[Auto Order]]=1,IF(Table1[[#This Row],[In stock]]&lt;Table1[[#This Row],[Min in stock]],1,""),"")</f>
        <v/>
      </c>
    </row>
    <row r="142" spans="1:29" x14ac:dyDescent="0.25">
      <c r="A142" s="70" t="s">
        <v>169</v>
      </c>
      <c r="B142" s="32" t="s">
        <v>162</v>
      </c>
      <c r="C142" s="32" t="s">
        <v>327</v>
      </c>
      <c r="D142" s="32" t="s">
        <v>1122</v>
      </c>
      <c r="E142" s="32" t="s">
        <v>524</v>
      </c>
      <c r="F142" s="43">
        <v>0</v>
      </c>
      <c r="G142" s="43"/>
      <c r="H142" s="43"/>
      <c r="I1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2" t="s">
        <v>168</v>
      </c>
      <c r="M142" s="39">
        <v>1.06</v>
      </c>
      <c r="N142" s="32"/>
      <c r="O142" s="39"/>
      <c r="P142" s="32"/>
      <c r="Q142" s="39"/>
      <c r="R142" s="32"/>
      <c r="S142" s="39"/>
      <c r="T142" s="32"/>
      <c r="U142" s="39"/>
      <c r="V142" s="32"/>
      <c r="W142" s="39"/>
      <c r="X142" s="32"/>
      <c r="Y142" s="39"/>
      <c r="Z142" s="39" t="str">
        <f>IF(Table1[[#This Row],[Other]]&lt;&gt;"","Other","")</f>
        <v/>
      </c>
      <c r="AA142" s="32"/>
      <c r="AB142" s="41"/>
      <c r="AC142" s="33" t="str">
        <f>IF(Table1[[#This Row],[Auto Order]]=1,IF(Table1[[#This Row],[In stock]]&lt;Table1[[#This Row],[Min in stock]],1,""),"")</f>
        <v/>
      </c>
    </row>
    <row r="143" spans="1:29" x14ac:dyDescent="0.25">
      <c r="A143" s="67" t="s">
        <v>1664</v>
      </c>
      <c r="B143" s="32" t="s">
        <v>58</v>
      </c>
      <c r="C143" s="32" t="s">
        <v>1665</v>
      </c>
      <c r="D143" s="32" t="s">
        <v>1663</v>
      </c>
      <c r="E143" s="32" t="s">
        <v>1661</v>
      </c>
      <c r="F143" s="43">
        <v>4</v>
      </c>
      <c r="G143" s="43"/>
      <c r="H143" s="43"/>
      <c r="I143" s="32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63190092</v>
      </c>
      <c r="J1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1.35</v>
      </c>
      <c r="K1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Bauhaus</v>
      </c>
      <c r="L143" s="32"/>
      <c r="M143" s="39"/>
      <c r="N143" s="32"/>
      <c r="O143" s="39"/>
      <c r="P143" s="32"/>
      <c r="Q143" s="39"/>
      <c r="R143" s="32"/>
      <c r="S143" s="39"/>
      <c r="T143" s="32"/>
      <c r="U143" s="39"/>
      <c r="V143" s="32"/>
      <c r="W143" s="39"/>
      <c r="X143" s="32"/>
      <c r="Y143" s="39"/>
      <c r="Z143" s="39" t="s">
        <v>1662</v>
      </c>
      <c r="AA143" s="32">
        <v>63190092</v>
      </c>
      <c r="AB143" s="41">
        <v>1.35</v>
      </c>
      <c r="AC143" s="45" t="str">
        <f>IF(Table1[[#This Row],[Auto Order]]=1,IF(Table1[[#This Row],[In stock]]&lt;Table1[[#This Row],[Min in stock]],1,""),"")</f>
        <v/>
      </c>
    </row>
    <row r="144" spans="1:29" x14ac:dyDescent="0.25">
      <c r="A144" s="70" t="s">
        <v>125</v>
      </c>
      <c r="B144" s="32" t="s">
        <v>62</v>
      </c>
      <c r="C144" s="32" t="s">
        <v>1403</v>
      </c>
      <c r="D144" s="32" t="s">
        <v>61</v>
      </c>
      <c r="E144" s="32" t="s">
        <v>501</v>
      </c>
      <c r="F144" s="43">
        <v>1</v>
      </c>
      <c r="G144" s="43"/>
      <c r="H144" s="43"/>
      <c r="I1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2" t="s">
        <v>60</v>
      </c>
      <c r="M144" s="39">
        <v>4.88</v>
      </c>
      <c r="N144" s="32"/>
      <c r="O144" s="39"/>
      <c r="P144" s="32"/>
      <c r="Q144" s="39"/>
      <c r="R144" s="32"/>
      <c r="S144" s="39"/>
      <c r="T144" s="32"/>
      <c r="U144" s="39"/>
      <c r="V144" s="32"/>
      <c r="W144" s="39"/>
      <c r="X144" s="32"/>
      <c r="Y144" s="39"/>
      <c r="Z144" s="39" t="str">
        <f>IF(Table1[[#This Row],[Other]]&lt;&gt;"","Other","")</f>
        <v/>
      </c>
      <c r="AA144" s="32"/>
      <c r="AB144" s="41"/>
      <c r="AC144" s="33" t="str">
        <f>IF(Table1[[#This Row],[Auto Order]]=1,IF(Table1[[#This Row],[In stock]]&lt;Table1[[#This Row],[Min in stock]],1,""),"")</f>
        <v/>
      </c>
    </row>
    <row r="145" spans="1:29" x14ac:dyDescent="0.25">
      <c r="A145" s="71" t="s">
        <v>1085</v>
      </c>
      <c r="B145" s="32" t="s">
        <v>1086</v>
      </c>
      <c r="C145" s="32" t="s">
        <v>1653</v>
      </c>
      <c r="D145" s="32" t="s">
        <v>1095</v>
      </c>
      <c r="E145" s="32" t="s">
        <v>501</v>
      </c>
      <c r="F145" s="43">
        <v>1</v>
      </c>
      <c r="G145" s="43"/>
      <c r="H145" s="43"/>
      <c r="I1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1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1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2" t="s">
        <v>1087</v>
      </c>
      <c r="M145" s="39">
        <v>3.72</v>
      </c>
      <c r="N145" s="32"/>
      <c r="O145" s="39"/>
      <c r="P145" s="32"/>
      <c r="Q145" s="39"/>
      <c r="R145" s="32"/>
      <c r="S145" s="39"/>
      <c r="T145" s="32"/>
      <c r="U145" s="39"/>
      <c r="V145" s="32"/>
      <c r="W145" s="39"/>
      <c r="X145" s="32"/>
      <c r="Y145" s="39"/>
      <c r="Z145" s="39" t="str">
        <f>IF(Table1[[#This Row],[Other]]&lt;&gt;"","Other","")</f>
        <v/>
      </c>
      <c r="AA145" s="32"/>
      <c r="AB145" s="41"/>
      <c r="AC145" s="45" t="str">
        <f>IF(Table1[[#This Row],[Auto Order]]=1,IF(Table1[[#This Row],[In stock]]&lt;Table1[[#This Row],[Min in stock]],1,""),"")</f>
        <v/>
      </c>
    </row>
    <row r="146" spans="1:29" x14ac:dyDescent="0.25">
      <c r="A146" s="71" t="s">
        <v>1088</v>
      </c>
      <c r="B146" s="32" t="s">
        <v>1086</v>
      </c>
      <c r="C146" s="32" t="s">
        <v>1653</v>
      </c>
      <c r="D146" s="32" t="s">
        <v>1096</v>
      </c>
      <c r="E146" s="32" t="s">
        <v>501</v>
      </c>
      <c r="F146" s="43">
        <v>1</v>
      </c>
      <c r="G146" s="43"/>
      <c r="H146" s="43"/>
      <c r="I1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1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1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2" t="s">
        <v>1089</v>
      </c>
      <c r="M146" s="39">
        <v>3.89</v>
      </c>
      <c r="N146" s="32"/>
      <c r="O146" s="39"/>
      <c r="P146" s="32"/>
      <c r="Q146" s="39"/>
      <c r="R146" s="32"/>
      <c r="S146" s="39"/>
      <c r="T146" s="32"/>
      <c r="U146" s="39"/>
      <c r="V146" s="32"/>
      <c r="W146" s="39"/>
      <c r="X146" s="32"/>
      <c r="Y146" s="39"/>
      <c r="Z146" s="39" t="str">
        <f>IF(Table1[[#This Row],[Other]]&lt;&gt;"","Other","")</f>
        <v/>
      </c>
      <c r="AA146" s="32"/>
      <c r="AB146" s="41"/>
      <c r="AC146" s="45" t="str">
        <f>IF(Table1[[#This Row],[Auto Order]]=1,IF(Table1[[#This Row],[In stock]]&lt;Table1[[#This Row],[Min in stock]],1,""),"")</f>
        <v/>
      </c>
    </row>
    <row r="147" spans="1:29" x14ac:dyDescent="0.25">
      <c r="A147" s="70" t="s">
        <v>227</v>
      </c>
      <c r="B147" s="32" t="s">
        <v>228</v>
      </c>
      <c r="C147" s="32" t="s">
        <v>1380</v>
      </c>
      <c r="D147" s="32" t="s">
        <v>229</v>
      </c>
      <c r="E147" s="32" t="s">
        <v>511</v>
      </c>
      <c r="F147" s="43">
        <v>99</v>
      </c>
      <c r="G147" s="43"/>
      <c r="H147" s="43"/>
      <c r="I1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1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1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2" t="s">
        <v>226</v>
      </c>
      <c r="M147" s="39">
        <v>4.8000000000000001E-2</v>
      </c>
      <c r="N147" s="32"/>
      <c r="O147" s="39"/>
      <c r="P147" s="32"/>
      <c r="Q147" s="39"/>
      <c r="R147" s="32"/>
      <c r="S147" s="39"/>
      <c r="T147" s="32"/>
      <c r="U147" s="39"/>
      <c r="V147" s="32"/>
      <c r="W147" s="39"/>
      <c r="X147" s="32"/>
      <c r="Y147" s="39"/>
      <c r="Z147" s="39" t="str">
        <f>IF(Table1[[#This Row],[Other]]&lt;&gt;"","Other","")</f>
        <v/>
      </c>
      <c r="AA147" s="32"/>
      <c r="AB147" s="41"/>
      <c r="AC147" s="33" t="str">
        <f>IF(Table1[[#This Row],[Auto Order]]=1,IF(Table1[[#This Row],[In stock]]&lt;Table1[[#This Row],[Min in stock]],1,""),"")</f>
        <v/>
      </c>
    </row>
    <row r="148" spans="1:29" x14ac:dyDescent="0.25">
      <c r="A148" s="70" t="s">
        <v>171</v>
      </c>
      <c r="B148" s="32" t="s">
        <v>228</v>
      </c>
      <c r="C148" s="32" t="s">
        <v>1374</v>
      </c>
      <c r="D148" s="32" t="s">
        <v>1248</v>
      </c>
      <c r="E148" s="32" t="s">
        <v>511</v>
      </c>
      <c r="F148" s="43">
        <v>95</v>
      </c>
      <c r="G148" s="43"/>
      <c r="H148" s="43"/>
      <c r="I1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1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1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2" t="s">
        <v>170</v>
      </c>
      <c r="M148" s="39">
        <v>1.95E-2</v>
      </c>
      <c r="N148" s="32"/>
      <c r="O148" s="39"/>
      <c r="P148" s="32"/>
      <c r="Q148" s="39"/>
      <c r="R148" s="32"/>
      <c r="S148" s="39"/>
      <c r="T148" s="32"/>
      <c r="U148" s="39"/>
      <c r="V148" s="32"/>
      <c r="W148" s="39"/>
      <c r="X148" s="32"/>
      <c r="Y148" s="39"/>
      <c r="Z148" s="39" t="str">
        <f>IF(Table1[[#This Row],[Other]]&lt;&gt;"","Other","")</f>
        <v/>
      </c>
      <c r="AA148" s="32"/>
      <c r="AB148" s="41"/>
      <c r="AC148" s="33" t="str">
        <f>IF(Table1[[#This Row],[Auto Order]]=1,IF(Table1[[#This Row],[In stock]]&lt;Table1[[#This Row],[Min in stock]],1,""),"")</f>
        <v/>
      </c>
    </row>
    <row r="149" spans="1:29" x14ac:dyDescent="0.25">
      <c r="A149" s="67" t="s">
        <v>1080</v>
      </c>
      <c r="B149" s="32" t="s">
        <v>228</v>
      </c>
      <c r="C149" s="32" t="s">
        <v>327</v>
      </c>
      <c r="D149" s="32" t="s">
        <v>1081</v>
      </c>
      <c r="E149" s="32" t="s">
        <v>511</v>
      </c>
      <c r="F149" s="43">
        <v>0</v>
      </c>
      <c r="G149" s="43"/>
      <c r="H149" s="43"/>
      <c r="I1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2" t="s">
        <v>1079</v>
      </c>
      <c r="M149" s="39">
        <v>0.48</v>
      </c>
      <c r="N149" s="32"/>
      <c r="O149" s="39"/>
      <c r="P149" s="32"/>
      <c r="Q149" s="39"/>
      <c r="R149" s="32"/>
      <c r="S149" s="39"/>
      <c r="T149" s="32"/>
      <c r="U149" s="39"/>
      <c r="V149" s="32"/>
      <c r="W149" s="39"/>
      <c r="X149" s="32"/>
      <c r="Y149" s="39"/>
      <c r="Z149" s="39" t="str">
        <f>IF(Table1[[#This Row],[Other]]&lt;&gt;"","Other","")</f>
        <v/>
      </c>
      <c r="AA149" s="32"/>
      <c r="AB149" s="41"/>
      <c r="AC149" s="45" t="str">
        <f>IF(Table1[[#This Row],[Auto Order]]=1,IF(Table1[[#This Row],[In stock]]&lt;Table1[[#This Row],[Min in stock]],1,""),"")</f>
        <v/>
      </c>
    </row>
    <row r="150" spans="1:29" x14ac:dyDescent="0.25">
      <c r="A150" s="67" t="s">
        <v>1077</v>
      </c>
      <c r="B150" s="32" t="s">
        <v>228</v>
      </c>
      <c r="C150" s="32" t="s">
        <v>327</v>
      </c>
      <c r="D150" s="32" t="s">
        <v>1078</v>
      </c>
      <c r="E150" s="32" t="s">
        <v>511</v>
      </c>
      <c r="F150" s="43">
        <v>0</v>
      </c>
      <c r="G150" s="43"/>
      <c r="H150" s="43"/>
      <c r="I1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2" t="s">
        <v>1076</v>
      </c>
      <c r="M150" s="39">
        <v>0.42</v>
      </c>
      <c r="N150" s="32"/>
      <c r="O150" s="39"/>
      <c r="P150" s="32"/>
      <c r="Q150" s="39"/>
      <c r="R150" s="32"/>
      <c r="S150" s="39"/>
      <c r="T150" s="32"/>
      <c r="U150" s="39"/>
      <c r="V150" s="32"/>
      <c r="W150" s="39"/>
      <c r="X150" s="32"/>
      <c r="Y150" s="39"/>
      <c r="Z150" s="39" t="str">
        <f>IF(Table1[[#This Row],[Other]]&lt;&gt;"","Other","")</f>
        <v/>
      </c>
      <c r="AA150" s="32"/>
      <c r="AB150" s="41"/>
      <c r="AC150" s="45" t="str">
        <f>IF(Table1[[#This Row],[Auto Order]]=1,IF(Table1[[#This Row],[In stock]]&lt;Table1[[#This Row],[Min in stock]],1,""),"")</f>
        <v/>
      </c>
    </row>
    <row r="151" spans="1:29" x14ac:dyDescent="0.25">
      <c r="A151" s="67" t="s">
        <v>1083</v>
      </c>
      <c r="B151" s="32" t="s">
        <v>228</v>
      </c>
      <c r="C151" s="32" t="s">
        <v>1428</v>
      </c>
      <c r="D151" s="32" t="s">
        <v>1084</v>
      </c>
      <c r="E151" s="32" t="s">
        <v>511</v>
      </c>
      <c r="F151" s="43">
        <v>10</v>
      </c>
      <c r="G151" s="43"/>
      <c r="H151" s="43"/>
      <c r="I1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2" t="s">
        <v>1082</v>
      </c>
      <c r="M151" s="39">
        <v>0.42</v>
      </c>
      <c r="N151" s="32"/>
      <c r="O151" s="39"/>
      <c r="P151" s="32"/>
      <c r="Q151" s="39"/>
      <c r="R151" s="32"/>
      <c r="S151" s="39"/>
      <c r="T151" s="32"/>
      <c r="U151" s="39"/>
      <c r="V151" s="32"/>
      <c r="W151" s="39"/>
      <c r="X151" s="32"/>
      <c r="Y151" s="39"/>
      <c r="Z151" s="39" t="str">
        <f>IF(Table1[[#This Row],[Other]]&lt;&gt;"","Other","")</f>
        <v/>
      </c>
      <c r="AA151" s="32"/>
      <c r="AB151" s="41"/>
      <c r="AC151" s="45" t="str">
        <f>IF(Table1[[#This Row],[Auto Order]]=1,IF(Table1[[#This Row],[In stock]]&lt;Table1[[#This Row],[Min in stock]],1,""),"")</f>
        <v/>
      </c>
    </row>
    <row r="152" spans="1:29" x14ac:dyDescent="0.25">
      <c r="A152" s="70" t="s">
        <v>439</v>
      </c>
      <c r="B152" s="32" t="s">
        <v>1142</v>
      </c>
      <c r="C152" s="32" t="s">
        <v>327</v>
      </c>
      <c r="D152" s="32" t="s">
        <v>239</v>
      </c>
      <c r="E152" s="32" t="s">
        <v>511</v>
      </c>
      <c r="F152" s="43">
        <v>3</v>
      </c>
      <c r="G152" s="43"/>
      <c r="H152" s="43"/>
      <c r="I1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2" t="s">
        <v>238</v>
      </c>
      <c r="M152" s="39">
        <v>0.31</v>
      </c>
      <c r="N152" s="32"/>
      <c r="O152" s="39"/>
      <c r="P152" s="32"/>
      <c r="Q152" s="39"/>
      <c r="R152" s="32"/>
      <c r="S152" s="39"/>
      <c r="T152" s="32"/>
      <c r="U152" s="39"/>
      <c r="V152" s="32"/>
      <c r="W152" s="39"/>
      <c r="X152" s="32"/>
      <c r="Y152" s="39"/>
      <c r="Z152" s="39" t="str">
        <f>IF(Table1[[#This Row],[Other]]&lt;&gt;"","Other","")</f>
        <v/>
      </c>
      <c r="AA152" s="32"/>
      <c r="AB152" s="41"/>
      <c r="AC152" s="33" t="str">
        <f>IF(Table1[[#This Row],[Auto Order]]=1,IF(Table1[[#This Row],[In stock]]&lt;Table1[[#This Row],[Min in stock]],1,""),"")</f>
        <v/>
      </c>
    </row>
    <row r="153" spans="1:29" x14ac:dyDescent="0.25">
      <c r="A153" s="70" t="s">
        <v>224</v>
      </c>
      <c r="B153" s="32" t="s">
        <v>225</v>
      </c>
      <c r="C153" s="32" t="s">
        <v>1381</v>
      </c>
      <c r="D153" s="32" t="s">
        <v>1209</v>
      </c>
      <c r="E153" s="32" t="s">
        <v>511</v>
      </c>
      <c r="F153" s="43">
        <v>99</v>
      </c>
      <c r="G153" s="43"/>
      <c r="H153" s="43"/>
      <c r="I1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1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1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2" t="s">
        <v>223</v>
      </c>
      <c r="M153" s="39">
        <v>8.1000000000000003E-2</v>
      </c>
      <c r="N153" s="32"/>
      <c r="O153" s="39"/>
      <c r="P153" s="32"/>
      <c r="Q153" s="39"/>
      <c r="R153" s="32"/>
      <c r="S153" s="39"/>
      <c r="T153" s="32"/>
      <c r="U153" s="39"/>
      <c r="V153" s="32"/>
      <c r="W153" s="39"/>
      <c r="X153" s="32"/>
      <c r="Y153" s="39"/>
      <c r="Z153" s="39" t="str">
        <f>IF(Table1[[#This Row],[Other]]&lt;&gt;"","Other","")</f>
        <v/>
      </c>
      <c r="AA153" s="32"/>
      <c r="AB153" s="41"/>
      <c r="AC153" s="33" t="str">
        <f>IF(Table1[[#This Row],[Auto Order]]=1,IF(Table1[[#This Row],[In stock]]&lt;Table1[[#This Row],[Min in stock]],1,""),"")</f>
        <v/>
      </c>
    </row>
    <row r="154" spans="1:29" x14ac:dyDescent="0.25">
      <c r="A154" s="70" t="s">
        <v>53</v>
      </c>
      <c r="B154" s="32" t="s">
        <v>52</v>
      </c>
      <c r="C154" s="32" t="s">
        <v>1378</v>
      </c>
      <c r="D154" s="32" t="s">
        <v>51</v>
      </c>
      <c r="E154" s="32" t="s">
        <v>511</v>
      </c>
      <c r="F154" s="43">
        <v>19</v>
      </c>
      <c r="G154" s="43"/>
      <c r="H154" s="43"/>
      <c r="I1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1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1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54" s="32"/>
      <c r="M154" s="39"/>
      <c r="N154" s="32" t="s">
        <v>397</v>
      </c>
      <c r="O154" s="39">
        <v>3.7499999999999999E-2</v>
      </c>
      <c r="P154" s="32"/>
      <c r="Q154" s="39"/>
      <c r="R154" s="32"/>
      <c r="S154" s="39"/>
      <c r="T154" s="32"/>
      <c r="U154" s="39"/>
      <c r="V154" s="32"/>
      <c r="W154" s="39"/>
      <c r="X154" s="32"/>
      <c r="Y154" s="39">
        <v>3.7499999999999999E-2</v>
      </c>
      <c r="Z154" s="39" t="str">
        <f>IF(Table1[[#This Row],[Other]]&lt;&gt;"","Other","")</f>
        <v/>
      </c>
      <c r="AA154" s="32"/>
      <c r="AB154" s="41"/>
      <c r="AC154" s="33" t="str">
        <f>IF(Table1[[#This Row],[Auto Order]]=1,IF(Table1[[#This Row],[In stock]]&lt;Table1[[#This Row],[Min in stock]],1,""),"")</f>
        <v/>
      </c>
    </row>
    <row r="155" spans="1:29" x14ac:dyDescent="0.25">
      <c r="A155" s="67" t="s">
        <v>977</v>
      </c>
      <c r="B155" s="32" t="s">
        <v>593</v>
      </c>
      <c r="C155" s="32" t="s">
        <v>327</v>
      </c>
      <c r="D155" s="32" t="s">
        <v>978</v>
      </c>
      <c r="E155" s="32" t="s">
        <v>511</v>
      </c>
      <c r="F155" s="43">
        <v>0</v>
      </c>
      <c r="G155" s="43"/>
      <c r="H155" s="43"/>
      <c r="I1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1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5" s="32" t="s">
        <v>976</v>
      </c>
      <c r="M155" s="39">
        <v>0.13</v>
      </c>
      <c r="N155" s="32"/>
      <c r="O155" s="39"/>
      <c r="P155" s="32"/>
      <c r="Q155" s="39"/>
      <c r="R155" s="32"/>
      <c r="S155" s="39"/>
      <c r="T155" s="45" t="str">
        <f>_xlfn.CONCAT("755-",Table1[[#This Row],[Art. Number]])</f>
        <v>755-ESR03EZPF1001</v>
      </c>
      <c r="U155" s="39">
        <v>0.11700000000000001</v>
      </c>
      <c r="V155" s="32"/>
      <c r="W155" s="39"/>
      <c r="X155" s="32"/>
      <c r="Y155" s="39"/>
      <c r="Z155" s="39" t="str">
        <f>IF(Table1[[#This Row],[Other]]&lt;&gt;"","Other","")</f>
        <v/>
      </c>
      <c r="AA155" s="32"/>
      <c r="AB155" s="41"/>
      <c r="AC155" s="45" t="str">
        <f>IF(Table1[[#This Row],[Auto Order]]=1,IF(Table1[[#This Row],[In stock]]&lt;Table1[[#This Row],[Min in stock]],1,""),"")</f>
        <v/>
      </c>
    </row>
    <row r="156" spans="1:29" x14ac:dyDescent="0.25">
      <c r="A156" s="67" t="s">
        <v>974</v>
      </c>
      <c r="B156" s="32" t="s">
        <v>593</v>
      </c>
      <c r="C156" s="32" t="s">
        <v>327</v>
      </c>
      <c r="D156" s="32" t="s">
        <v>975</v>
      </c>
      <c r="E156" s="32" t="s">
        <v>511</v>
      </c>
      <c r="F156" s="43">
        <v>10</v>
      </c>
      <c r="G156" s="43">
        <v>10</v>
      </c>
      <c r="H156" s="43">
        <f>1</f>
        <v>1</v>
      </c>
      <c r="I1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1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6" s="32" t="s">
        <v>973</v>
      </c>
      <c r="M156" s="39">
        <v>0.13</v>
      </c>
      <c r="N156" s="32"/>
      <c r="O156" s="39"/>
      <c r="P156" s="32"/>
      <c r="Q156" s="39"/>
      <c r="R156" s="32"/>
      <c r="S156" s="39"/>
      <c r="T156" s="45" t="str">
        <f>_xlfn.CONCAT("755-",Table1[[#This Row],[Art. Number]])</f>
        <v>755-ESR03EZPF1002</v>
      </c>
      <c r="U156" s="39">
        <v>0.11700000000000001</v>
      </c>
      <c r="V156" s="32"/>
      <c r="W156" s="39"/>
      <c r="X156" s="32"/>
      <c r="Y156" s="39"/>
      <c r="Z156" s="39" t="str">
        <f>IF(Table1[[#This Row],[Other]]&lt;&gt;"","Other","")</f>
        <v/>
      </c>
      <c r="AA156" s="32"/>
      <c r="AB156" s="41"/>
      <c r="AC156" s="45" t="str">
        <f>IF(Table1[[#This Row],[Auto Order]]=1,IF(Table1[[#This Row],[In stock]]&lt;Table1[[#This Row],[Min in stock]],1,""),"")</f>
        <v/>
      </c>
    </row>
    <row r="157" spans="1:29" x14ac:dyDescent="0.25">
      <c r="A157" s="67" t="s">
        <v>998</v>
      </c>
      <c r="B157" s="32" t="s">
        <v>593</v>
      </c>
      <c r="C157" s="32" t="s">
        <v>327</v>
      </c>
      <c r="D157" s="32" t="s">
        <v>999</v>
      </c>
      <c r="E157" s="32" t="s">
        <v>511</v>
      </c>
      <c r="F157" s="43">
        <v>10</v>
      </c>
      <c r="G157" s="43">
        <v>10</v>
      </c>
      <c r="H157" s="43">
        <f>1</f>
        <v>1</v>
      </c>
      <c r="I1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1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1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7" s="32" t="s">
        <v>997</v>
      </c>
      <c r="M157" s="39">
        <v>0.13</v>
      </c>
      <c r="N157" s="32"/>
      <c r="O157" s="39"/>
      <c r="P157" s="32"/>
      <c r="Q157" s="39"/>
      <c r="R157" s="32"/>
      <c r="S157" s="39"/>
      <c r="T157" s="45" t="str">
        <f>_xlfn.CONCAT("755-",Table1[[#This Row],[Art. Number]])</f>
        <v>755-ESR03EZPF1003</v>
      </c>
      <c r="U157" s="39">
        <v>0.11700000000000001</v>
      </c>
      <c r="V157" s="32"/>
      <c r="W157" s="39"/>
      <c r="X157" s="32"/>
      <c r="Y157" s="39"/>
      <c r="Z157" s="39" t="str">
        <f>IF(Table1[[#This Row],[Other]]&lt;&gt;"","Other","")</f>
        <v/>
      </c>
      <c r="AA157" s="32"/>
      <c r="AB157" s="41"/>
      <c r="AC157" s="45" t="str">
        <f>IF(Table1[[#This Row],[Auto Order]]=1,IF(Table1[[#This Row],[In stock]]&lt;Table1[[#This Row],[Min in stock]],1,""),"")</f>
        <v/>
      </c>
    </row>
    <row r="158" spans="1:29" x14ac:dyDescent="0.25">
      <c r="A158" s="71" t="s">
        <v>1717</v>
      </c>
      <c r="B158" s="32" t="s">
        <v>593</v>
      </c>
      <c r="C158" s="32" t="s">
        <v>327</v>
      </c>
      <c r="D158" s="32" t="s">
        <v>1718</v>
      </c>
      <c r="E158" s="32" t="s">
        <v>511</v>
      </c>
      <c r="F158" s="43">
        <v>0</v>
      </c>
      <c r="G158" s="43"/>
      <c r="H158" s="43"/>
      <c r="I1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1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8" s="32" t="s">
        <v>1716</v>
      </c>
      <c r="M158" s="39">
        <v>0.1</v>
      </c>
      <c r="N158" s="32"/>
      <c r="O158" s="39"/>
      <c r="P158" s="32"/>
      <c r="Q158" s="39"/>
      <c r="R158" s="32"/>
      <c r="S158" s="39"/>
      <c r="T158" s="45" t="str">
        <f>_xlfn.CONCAT("755-",Table1[[#This Row],[Art. Number]])</f>
        <v>755-ESR03EZPJ100</v>
      </c>
      <c r="U158" s="39">
        <v>9.8000000000000004E-2</v>
      </c>
      <c r="V158" s="32"/>
      <c r="W158" s="39"/>
      <c r="X158" s="32"/>
      <c r="Y158" s="39"/>
      <c r="Z158" s="39" t="str">
        <f>IF(Table1[[#This Row],[Other]]&lt;&gt;"","Other","")</f>
        <v/>
      </c>
      <c r="AA158" s="32"/>
      <c r="AB158" s="41"/>
      <c r="AC158" s="45" t="str">
        <f>IF(Table1[[#This Row],[Auto Order]]=1,IF(Table1[[#This Row],[In stock]]&lt;Table1[[#This Row],[Min in stock]],1,""),"")</f>
        <v/>
      </c>
    </row>
    <row r="159" spans="1:29" x14ac:dyDescent="0.25">
      <c r="A159" s="71" t="s">
        <v>1714</v>
      </c>
      <c r="B159" s="32" t="s">
        <v>593</v>
      </c>
      <c r="C159" s="32" t="s">
        <v>327</v>
      </c>
      <c r="D159" s="32" t="s">
        <v>1715</v>
      </c>
      <c r="E159" s="32" t="s">
        <v>511</v>
      </c>
      <c r="F159" s="43">
        <v>0</v>
      </c>
      <c r="G159" s="43"/>
      <c r="H159" s="43"/>
      <c r="I1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1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59" s="32" t="s">
        <v>1713</v>
      </c>
      <c r="M159" s="39">
        <v>0.1</v>
      </c>
      <c r="N159" s="32"/>
      <c r="O159" s="39"/>
      <c r="P159" s="32"/>
      <c r="Q159" s="39"/>
      <c r="R159" s="32"/>
      <c r="S159" s="39"/>
      <c r="T159" s="45" t="str">
        <f>_xlfn.CONCAT("755-",Table1[[#This Row],[Art. Number]])</f>
        <v>755-ESR03EZPJ101</v>
      </c>
      <c r="U159" s="39">
        <v>9.8000000000000004E-2</v>
      </c>
      <c r="V159" s="32"/>
      <c r="W159" s="39"/>
      <c r="X159" s="32"/>
      <c r="Y159" s="39"/>
      <c r="Z159" s="39" t="str">
        <f>IF(Table1[[#This Row],[Other]]&lt;&gt;"","Other","")</f>
        <v/>
      </c>
      <c r="AA159" s="32"/>
      <c r="AB159" s="41"/>
      <c r="AC159" s="45" t="str">
        <f>IF(Table1[[#This Row],[Auto Order]]=1,IF(Table1[[#This Row],[In stock]]&lt;Table1[[#This Row],[Min in stock]],1,""),"")</f>
        <v/>
      </c>
    </row>
    <row r="160" spans="1:29" x14ac:dyDescent="0.25">
      <c r="A160" s="67" t="s">
        <v>971</v>
      </c>
      <c r="B160" s="32" t="s">
        <v>593</v>
      </c>
      <c r="C160" s="32" t="s">
        <v>1419</v>
      </c>
      <c r="D160" s="32" t="s">
        <v>972</v>
      </c>
      <c r="E160" s="32" t="s">
        <v>511</v>
      </c>
      <c r="F160" s="43">
        <v>90</v>
      </c>
      <c r="G160" s="43">
        <v>10</v>
      </c>
      <c r="H160" s="43">
        <v>1</v>
      </c>
      <c r="I1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1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0" s="32" t="s">
        <v>970</v>
      </c>
      <c r="M160" s="39">
        <v>0.1</v>
      </c>
      <c r="N160" s="32"/>
      <c r="O160" s="39"/>
      <c r="P160" s="32"/>
      <c r="Q160" s="39"/>
      <c r="R160" s="32"/>
      <c r="S160" s="39"/>
      <c r="T160" s="45" t="str">
        <f>_xlfn.CONCAT("755-",Table1[[#This Row],[Art. Number]])</f>
        <v>755-ESR03EZPJ102</v>
      </c>
      <c r="U160" s="39">
        <v>9.8000000000000004E-2</v>
      </c>
      <c r="V160" s="32"/>
      <c r="W160" s="39"/>
      <c r="X160" s="32"/>
      <c r="Y160" s="39"/>
      <c r="Z160" s="39" t="str">
        <f>IF(Table1[[#This Row],[Other]]&lt;&gt;"","Other","")</f>
        <v/>
      </c>
      <c r="AA160" s="32"/>
      <c r="AB160" s="41"/>
      <c r="AC160" s="45" t="str">
        <f>IF(Table1[[#This Row],[Auto Order]]=1,IF(Table1[[#This Row],[In stock]]&lt;Table1[[#This Row],[Min in stock]],1,""),"")</f>
        <v/>
      </c>
    </row>
    <row r="161" spans="1:29" x14ac:dyDescent="0.25">
      <c r="A161" s="67" t="s">
        <v>980</v>
      </c>
      <c r="B161" s="32" t="s">
        <v>593</v>
      </c>
      <c r="C161" s="32" t="s">
        <v>1423</v>
      </c>
      <c r="D161" s="32" t="s">
        <v>981</v>
      </c>
      <c r="E161" s="32" t="s">
        <v>511</v>
      </c>
      <c r="F161" s="43">
        <v>9</v>
      </c>
      <c r="G161" s="43"/>
      <c r="H161" s="43"/>
      <c r="I1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1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8.4000000000000005E-2</v>
      </c>
      <c r="K1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1" s="32" t="s">
        <v>979</v>
      </c>
      <c r="M161" s="39">
        <v>8.4000000000000005E-2</v>
      </c>
      <c r="N161" s="32"/>
      <c r="O161" s="39"/>
      <c r="P161" s="32"/>
      <c r="Q161" s="39"/>
      <c r="R161" s="32"/>
      <c r="S161" s="39"/>
      <c r="T161" s="45" t="str">
        <f>_xlfn.CONCAT("755-",Table1[[#This Row],[Art. Number]])</f>
        <v>755-ESR03EZPJ103</v>
      </c>
      <c r="U161" s="39">
        <v>9.8000000000000004E-2</v>
      </c>
      <c r="V161" s="32"/>
      <c r="W161" s="39"/>
      <c r="X161" s="32"/>
      <c r="Y161" s="39"/>
      <c r="Z161" s="39" t="str">
        <f>IF(Table1[[#This Row],[Other]]&lt;&gt;"","Other","")</f>
        <v/>
      </c>
      <c r="AA161" s="32"/>
      <c r="AB161" s="41"/>
      <c r="AC161" s="45" t="str">
        <f>IF(Table1[[#This Row],[Auto Order]]=1,IF(Table1[[#This Row],[In stock]]&lt;Table1[[#This Row],[Min in stock]],1,""),"")</f>
        <v/>
      </c>
    </row>
    <row r="162" spans="1:29" x14ac:dyDescent="0.25">
      <c r="A162" s="71" t="s">
        <v>1821</v>
      </c>
      <c r="B162" s="32" t="s">
        <v>593</v>
      </c>
      <c r="C162" s="32" t="s">
        <v>327</v>
      </c>
      <c r="D162" s="32" t="s">
        <v>1822</v>
      </c>
      <c r="E162" s="32" t="s">
        <v>511</v>
      </c>
      <c r="F162" s="43">
        <v>0</v>
      </c>
      <c r="G162" s="43"/>
      <c r="H162" s="43"/>
      <c r="I1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1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2" s="32" t="s">
        <v>1820</v>
      </c>
      <c r="M162" s="39">
        <v>0.1</v>
      </c>
      <c r="N162" s="32"/>
      <c r="O162" s="39"/>
      <c r="P162" s="32"/>
      <c r="Q162" s="39"/>
      <c r="R162" s="32"/>
      <c r="S162" s="39"/>
      <c r="T162" s="45" t="str">
        <f>_xlfn.CONCAT("755-",Table1[[#This Row],[Art. Number]])</f>
        <v>755-ESR03EZPJ104</v>
      </c>
      <c r="U162" s="39">
        <v>9.8000000000000004E-2</v>
      </c>
      <c r="V162" s="32"/>
      <c r="W162" s="39"/>
      <c r="X162" s="32"/>
      <c r="Y162" s="39"/>
      <c r="Z162" s="39" t="str">
        <f>IF(Table1[[#This Row],[Other]]&lt;&gt;"","Other","")</f>
        <v/>
      </c>
      <c r="AA162" s="32"/>
      <c r="AB162" s="41"/>
      <c r="AC162" s="45" t="str">
        <f>IF(Table1[[#This Row],[Auto Order]]=1,IF(Table1[[#This Row],[In stock]]&lt;Table1[[#This Row],[Min in stock]],1,""),"")</f>
        <v/>
      </c>
    </row>
    <row r="163" spans="1:29" x14ac:dyDescent="0.25">
      <c r="A163" s="67" t="s">
        <v>1012</v>
      </c>
      <c r="B163" s="32" t="s">
        <v>593</v>
      </c>
      <c r="C163" s="32" t="s">
        <v>1424</v>
      </c>
      <c r="D163" s="32" t="s">
        <v>1013</v>
      </c>
      <c r="E163" s="32" t="s">
        <v>511</v>
      </c>
      <c r="F163" s="43">
        <v>8</v>
      </c>
      <c r="G163" s="43"/>
      <c r="H163" s="43"/>
      <c r="I1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1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3" s="32" t="s">
        <v>1011</v>
      </c>
      <c r="M163" s="39">
        <v>0.1</v>
      </c>
      <c r="N163" s="32"/>
      <c r="O163" s="39"/>
      <c r="P163" s="32"/>
      <c r="Q163" s="39"/>
      <c r="R163" s="32"/>
      <c r="S163" s="39"/>
      <c r="T163" s="45" t="str">
        <f>_xlfn.CONCAT("755-",Table1[[#This Row],[Art. Number]])</f>
        <v>755-ESR03EZPJ105</v>
      </c>
      <c r="U163" s="39">
        <v>9.8000000000000004E-2</v>
      </c>
      <c r="V163" s="32"/>
      <c r="W163" s="39"/>
      <c r="X163" s="32"/>
      <c r="Y163" s="39"/>
      <c r="Z163" s="39" t="str">
        <f>IF(Table1[[#This Row],[Other]]&lt;&gt;"","Other","")</f>
        <v/>
      </c>
      <c r="AA163" s="32"/>
      <c r="AB163" s="41"/>
      <c r="AC163" s="45" t="str">
        <f>IF(Table1[[#This Row],[Auto Order]]=1,IF(Table1[[#This Row],[In stock]]&lt;Table1[[#This Row],[Min in stock]],1,""),"")</f>
        <v/>
      </c>
    </row>
    <row r="164" spans="1:29" x14ac:dyDescent="0.25">
      <c r="A164" s="71" t="s">
        <v>1833</v>
      </c>
      <c r="B164" s="32" t="s">
        <v>593</v>
      </c>
      <c r="C164" s="32" t="s">
        <v>327</v>
      </c>
      <c r="D164" s="32" t="s">
        <v>1834</v>
      </c>
      <c r="E164" s="32" t="s">
        <v>511</v>
      </c>
      <c r="F164" s="43">
        <v>0</v>
      </c>
      <c r="G164" s="43"/>
      <c r="H164" s="43"/>
      <c r="I1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1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4" s="32" t="s">
        <v>1832</v>
      </c>
      <c r="M164" s="39">
        <v>0.1</v>
      </c>
      <c r="N164" s="32"/>
      <c r="O164" s="39"/>
      <c r="P164" s="32"/>
      <c r="Q164" s="39"/>
      <c r="R164" s="32"/>
      <c r="S164" s="39"/>
      <c r="T164" s="45" t="str">
        <f>_xlfn.CONCAT("755-",Table1[[#This Row],[Art. Number]])</f>
        <v>755-ESR03EZPJ106</v>
      </c>
      <c r="U164" s="39">
        <v>9.8000000000000004E-2</v>
      </c>
      <c r="V164" s="32"/>
      <c r="W164" s="39"/>
      <c r="X164" s="32"/>
      <c r="Y164" s="39"/>
      <c r="Z164" s="39" t="str">
        <f>IF(Table1[[#This Row],[Other]]&lt;&gt;"","Other","")</f>
        <v/>
      </c>
      <c r="AA164" s="32"/>
      <c r="AB164" s="41"/>
      <c r="AC164" s="45" t="str">
        <f>IF(Table1[[#This Row],[Auto Order]]=1,IF(Table1[[#This Row],[In stock]]&lt;Table1[[#This Row],[Min in stock]],1,""),"")</f>
        <v/>
      </c>
    </row>
    <row r="165" spans="1:29" x14ac:dyDescent="0.25">
      <c r="A165" s="71" t="s">
        <v>1818</v>
      </c>
      <c r="B165" s="32" t="s">
        <v>593</v>
      </c>
      <c r="C165" s="32" t="s">
        <v>327</v>
      </c>
      <c r="D165" s="32" t="s">
        <v>1819</v>
      </c>
      <c r="E165" s="32" t="s">
        <v>511</v>
      </c>
      <c r="F165" s="43">
        <v>0</v>
      </c>
      <c r="G165" s="43"/>
      <c r="H165" s="43"/>
      <c r="I16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16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5" s="32" t="s">
        <v>1817</v>
      </c>
      <c r="M165" s="39">
        <v>0.1</v>
      </c>
      <c r="N165" s="32"/>
      <c r="O165" s="39"/>
      <c r="P165" s="32"/>
      <c r="Q165" s="39"/>
      <c r="R165" s="32"/>
      <c r="S165" s="39"/>
      <c r="T165" s="45" t="str">
        <f>_xlfn.CONCAT("755-",Table1[[#This Row],[Art. Number]])</f>
        <v>755-ESR03EZPJ110</v>
      </c>
      <c r="U165" s="39">
        <v>9.8000000000000004E-2</v>
      </c>
      <c r="V165" s="32"/>
      <c r="W165" s="39"/>
      <c r="X165" s="32"/>
      <c r="Y165" s="39"/>
      <c r="Z165" s="39" t="str">
        <f>IF(Table1[[#This Row],[Other]]&lt;&gt;"","Other","")</f>
        <v/>
      </c>
      <c r="AA165" s="32"/>
      <c r="AB165" s="41"/>
      <c r="AC165" s="45" t="str">
        <f>IF(Table1[[#This Row],[Auto Order]]=1,IF(Table1[[#This Row],[In stock]]&lt;Table1[[#This Row],[Min in stock]],1,""),"")</f>
        <v/>
      </c>
    </row>
    <row r="166" spans="1:29" x14ac:dyDescent="0.25">
      <c r="A166" s="71" t="s">
        <v>2091</v>
      </c>
      <c r="B166" s="32" t="s">
        <v>593</v>
      </c>
      <c r="C166" s="32" t="s">
        <v>327</v>
      </c>
      <c r="D166" s="32" t="s">
        <v>2092</v>
      </c>
      <c r="E166" s="32" t="s">
        <v>511</v>
      </c>
      <c r="F166" s="43">
        <v>0</v>
      </c>
      <c r="G166" s="43"/>
      <c r="H166" s="43"/>
      <c r="I16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16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6" s="32" t="s">
        <v>2090</v>
      </c>
      <c r="M166" s="39">
        <v>0.1</v>
      </c>
      <c r="N166" s="32"/>
      <c r="O166" s="39"/>
      <c r="P166" s="32"/>
      <c r="Q166" s="39"/>
      <c r="R166" s="32"/>
      <c r="S166" s="39"/>
      <c r="T166" s="45" t="str">
        <f>_xlfn.CONCAT("755-",Table1[[#This Row],[Art. Number]])</f>
        <v>755-ESR03EZPJ111</v>
      </c>
      <c r="U166" s="39">
        <v>9.8000000000000004E-2</v>
      </c>
      <c r="V166" s="32"/>
      <c r="W166" s="39"/>
      <c r="X166" s="32"/>
      <c r="Y166" s="39"/>
      <c r="Z166" s="39" t="str">
        <f>IF(Table1[[#This Row],[Other]]&lt;&gt;"","Other","")</f>
        <v/>
      </c>
      <c r="AA166" s="32"/>
      <c r="AB166" s="41"/>
      <c r="AC166" s="45" t="str">
        <f>IF(Table1[[#This Row],[Auto Order]]=1,IF(Table1[[#This Row],[In stock]]&lt;Table1[[#This Row],[Min in stock]],1,""),"")</f>
        <v/>
      </c>
    </row>
    <row r="167" spans="1:29" x14ac:dyDescent="0.25">
      <c r="A167" s="71" t="s">
        <v>2039</v>
      </c>
      <c r="B167" s="32" t="s">
        <v>593</v>
      </c>
      <c r="C167" s="32" t="s">
        <v>327</v>
      </c>
      <c r="D167" s="32" t="s">
        <v>2040</v>
      </c>
      <c r="E167" s="32" t="s">
        <v>511</v>
      </c>
      <c r="F167" s="43">
        <v>0</v>
      </c>
      <c r="G167" s="43"/>
      <c r="H167" s="43"/>
      <c r="I16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16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7" s="32" t="s">
        <v>2038</v>
      </c>
      <c r="M167" s="39">
        <v>0.1</v>
      </c>
      <c r="N167" s="32"/>
      <c r="O167" s="39"/>
      <c r="P167" s="32"/>
      <c r="Q167" s="39"/>
      <c r="R167" s="32"/>
      <c r="S167" s="39"/>
      <c r="T167" s="45" t="str">
        <f>_xlfn.CONCAT("755-",Table1[[#This Row],[Art. Number]])</f>
        <v>755-ESR03EZPJ112</v>
      </c>
      <c r="U167" s="39">
        <v>9.8000000000000004E-2</v>
      </c>
      <c r="V167" s="32"/>
      <c r="W167" s="39"/>
      <c r="X167" s="32"/>
      <c r="Y167" s="39"/>
      <c r="Z167" s="39" t="str">
        <f>IF(Table1[[#This Row],[Other]]&lt;&gt;"","Other","")</f>
        <v/>
      </c>
      <c r="AA167" s="32"/>
      <c r="AB167" s="41"/>
      <c r="AC167" s="45" t="str">
        <f>IF(Table1[[#This Row],[Auto Order]]=1,IF(Table1[[#This Row],[In stock]]&lt;Table1[[#This Row],[Min in stock]],1,""),"")</f>
        <v/>
      </c>
    </row>
    <row r="168" spans="1:29" x14ac:dyDescent="0.25">
      <c r="A168" s="71" t="s">
        <v>1891</v>
      </c>
      <c r="B168" s="32" t="s">
        <v>593</v>
      </c>
      <c r="C168" s="32" t="s">
        <v>327</v>
      </c>
      <c r="D168" s="32" t="s">
        <v>1892</v>
      </c>
      <c r="E168" s="32" t="s">
        <v>511</v>
      </c>
      <c r="F168" s="43">
        <v>0</v>
      </c>
      <c r="G168" s="43"/>
      <c r="H168" s="43"/>
      <c r="I16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16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8" s="32" t="s">
        <v>1890</v>
      </c>
      <c r="M168" s="39">
        <v>0.1</v>
      </c>
      <c r="N168" s="32"/>
      <c r="O168" s="39"/>
      <c r="P168" s="32"/>
      <c r="Q168" s="39"/>
      <c r="R168" s="32"/>
      <c r="S168" s="39"/>
      <c r="T168" s="45" t="str">
        <f>_xlfn.CONCAT("755-",Table1[[#This Row],[Art. Number]])</f>
        <v>755-ESR03EZPJ113</v>
      </c>
      <c r="U168" s="39">
        <v>9.8000000000000004E-2</v>
      </c>
      <c r="V168" s="32"/>
      <c r="W168" s="39"/>
      <c r="X168" s="32"/>
      <c r="Y168" s="39"/>
      <c r="Z168" s="39" t="str">
        <f>IF(Table1[[#This Row],[Other]]&lt;&gt;"","Other","")</f>
        <v/>
      </c>
      <c r="AA168" s="32"/>
      <c r="AB168" s="41"/>
      <c r="AC168" s="45" t="str">
        <f>IF(Table1[[#This Row],[Auto Order]]=1,IF(Table1[[#This Row],[In stock]]&lt;Table1[[#This Row],[Min in stock]],1,""),"")</f>
        <v/>
      </c>
    </row>
    <row r="169" spans="1:29" x14ac:dyDescent="0.25">
      <c r="A169" s="71" t="s">
        <v>2100</v>
      </c>
      <c r="B169" s="32" t="s">
        <v>593</v>
      </c>
      <c r="C169" s="32" t="s">
        <v>327</v>
      </c>
      <c r="D169" s="32" t="s">
        <v>2101</v>
      </c>
      <c r="E169" s="32" t="s">
        <v>511</v>
      </c>
      <c r="F169" s="43">
        <v>0</v>
      </c>
      <c r="G169" s="43"/>
      <c r="H169" s="43"/>
      <c r="I16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16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6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69" s="32" t="s">
        <v>2099</v>
      </c>
      <c r="M169" s="39">
        <v>0.1</v>
      </c>
      <c r="N169" s="32"/>
      <c r="O169" s="39"/>
      <c r="P169" s="32"/>
      <c r="Q169" s="39"/>
      <c r="R169" s="32"/>
      <c r="S169" s="39"/>
      <c r="T169" s="45" t="str">
        <f>_xlfn.CONCAT("755-",Table1[[#This Row],[Art. Number]])</f>
        <v>755-ESR03EZPJ114</v>
      </c>
      <c r="U169" s="39">
        <v>9.8000000000000004E-2</v>
      </c>
      <c r="V169" s="32"/>
      <c r="W169" s="39"/>
      <c r="X169" s="32"/>
      <c r="Y169" s="39"/>
      <c r="Z169" s="39" t="str">
        <f>IF(Table1[[#This Row],[Other]]&lt;&gt;"","Other","")</f>
        <v/>
      </c>
      <c r="AA169" s="32"/>
      <c r="AB169" s="41"/>
      <c r="AC169" s="45" t="str">
        <f>IF(Table1[[#This Row],[Auto Order]]=1,IF(Table1[[#This Row],[In stock]]&lt;Table1[[#This Row],[Min in stock]],1,""),"")</f>
        <v/>
      </c>
    </row>
    <row r="170" spans="1:29" x14ac:dyDescent="0.25">
      <c r="A170" s="71" t="s">
        <v>1964</v>
      </c>
      <c r="B170" s="32" t="s">
        <v>593</v>
      </c>
      <c r="C170" s="32" t="s">
        <v>327</v>
      </c>
      <c r="D170" s="32" t="s">
        <v>1965</v>
      </c>
      <c r="E170" s="32" t="s">
        <v>511</v>
      </c>
      <c r="F170" s="43">
        <v>0</v>
      </c>
      <c r="G170" s="43"/>
      <c r="H170" s="43"/>
      <c r="I17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17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0" s="32" t="s">
        <v>1963</v>
      </c>
      <c r="M170" s="39">
        <v>0.1</v>
      </c>
      <c r="N170" s="32"/>
      <c r="O170" s="39"/>
      <c r="P170" s="32"/>
      <c r="Q170" s="39"/>
      <c r="R170" s="32"/>
      <c r="S170" s="39"/>
      <c r="T170" s="45" t="str">
        <f>_xlfn.CONCAT("755-",Table1[[#This Row],[Art. Number]])</f>
        <v>755-ESR03EZPJ115</v>
      </c>
      <c r="U170" s="39">
        <v>9.8000000000000004E-2</v>
      </c>
      <c r="V170" s="32"/>
      <c r="W170" s="39"/>
      <c r="X170" s="32"/>
      <c r="Y170" s="39"/>
      <c r="Z170" s="39" t="str">
        <f>IF(Table1[[#This Row],[Other]]&lt;&gt;"","Other","")</f>
        <v/>
      </c>
      <c r="AA170" s="32"/>
      <c r="AB170" s="41"/>
      <c r="AC170" s="45" t="str">
        <f>IF(Table1[[#This Row],[Auto Order]]=1,IF(Table1[[#This Row],[In stock]]&lt;Table1[[#This Row],[Min in stock]],1,""),"")</f>
        <v/>
      </c>
    </row>
    <row r="171" spans="1:29" x14ac:dyDescent="0.25">
      <c r="A171" s="71" t="s">
        <v>1794</v>
      </c>
      <c r="B171" s="32" t="s">
        <v>593</v>
      </c>
      <c r="C171" s="32" t="s">
        <v>327</v>
      </c>
      <c r="D171" s="32" t="s">
        <v>1795</v>
      </c>
      <c r="E171" s="32" t="s">
        <v>511</v>
      </c>
      <c r="F171" s="43">
        <v>0</v>
      </c>
      <c r="G171" s="43"/>
      <c r="H171" s="43"/>
      <c r="I17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17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1" s="32" t="s">
        <v>1793</v>
      </c>
      <c r="M171" s="39">
        <v>0.1</v>
      </c>
      <c r="N171" s="32"/>
      <c r="O171" s="39"/>
      <c r="P171" s="32"/>
      <c r="Q171" s="39"/>
      <c r="R171" s="32"/>
      <c r="S171" s="39"/>
      <c r="T171" s="45" t="str">
        <f>_xlfn.CONCAT("755-",Table1[[#This Row],[Art. Number]])</f>
        <v>755-ESR03EZPJ120</v>
      </c>
      <c r="U171" s="39">
        <v>9.8000000000000004E-2</v>
      </c>
      <c r="V171" s="32"/>
      <c r="W171" s="39"/>
      <c r="X171" s="32"/>
      <c r="Y171" s="39"/>
      <c r="Z171" s="39" t="str">
        <f>IF(Table1[[#This Row],[Other]]&lt;&gt;"","Other","")</f>
        <v/>
      </c>
      <c r="AA171" s="32"/>
      <c r="AB171" s="41"/>
      <c r="AC171" s="45" t="str">
        <f>IF(Table1[[#This Row],[Auto Order]]=1,IF(Table1[[#This Row],[In stock]]&lt;Table1[[#This Row],[Min in stock]],1,""),"")</f>
        <v/>
      </c>
    </row>
    <row r="172" spans="1:29" x14ac:dyDescent="0.25">
      <c r="A172" s="67" t="s">
        <v>986</v>
      </c>
      <c r="B172" s="32" t="s">
        <v>593</v>
      </c>
      <c r="C172" s="32" t="s">
        <v>1427</v>
      </c>
      <c r="D172" s="32" t="s">
        <v>987</v>
      </c>
      <c r="E172" s="32" t="s">
        <v>511</v>
      </c>
      <c r="F172" s="43">
        <v>8</v>
      </c>
      <c r="G172" s="43"/>
      <c r="H172" s="43"/>
      <c r="I17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17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2" s="32" t="s">
        <v>985</v>
      </c>
      <c r="M172" s="39">
        <v>0.1</v>
      </c>
      <c r="N172" s="32"/>
      <c r="O172" s="39"/>
      <c r="P172" s="32"/>
      <c r="Q172" s="39"/>
      <c r="R172" s="32"/>
      <c r="S172" s="39"/>
      <c r="T172" s="45" t="str">
        <f>_xlfn.CONCAT("755-",Table1[[#This Row],[Art. Number]])</f>
        <v>755-ESR03EZPJ121</v>
      </c>
      <c r="U172" s="39">
        <v>9.8000000000000004E-2</v>
      </c>
      <c r="V172" s="32"/>
      <c r="W172" s="39"/>
      <c r="X172" s="32"/>
      <c r="Y172" s="39"/>
      <c r="Z172" s="39" t="str">
        <f>IF(Table1[[#This Row],[Other]]&lt;&gt;"","Other","")</f>
        <v/>
      </c>
      <c r="AA172" s="32"/>
      <c r="AB172" s="41"/>
      <c r="AC172" s="45" t="str">
        <f>IF(Table1[[#This Row],[Auto Order]]=1,IF(Table1[[#This Row],[In stock]]&lt;Table1[[#This Row],[Min in stock]],1,""),"")</f>
        <v/>
      </c>
    </row>
    <row r="173" spans="1:29" x14ac:dyDescent="0.25">
      <c r="A173" s="71" t="s">
        <v>1803</v>
      </c>
      <c r="B173" s="32" t="s">
        <v>593</v>
      </c>
      <c r="C173" s="32" t="s">
        <v>327</v>
      </c>
      <c r="D173" s="32" t="s">
        <v>1804</v>
      </c>
      <c r="E173" s="32" t="s">
        <v>511</v>
      </c>
      <c r="F173" s="43">
        <v>10</v>
      </c>
      <c r="G173" s="43">
        <v>10</v>
      </c>
      <c r="H173" s="43">
        <v>1</v>
      </c>
      <c r="I17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17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3" s="32" t="s">
        <v>1802</v>
      </c>
      <c r="M173" s="39">
        <v>0.1</v>
      </c>
      <c r="N173" s="32"/>
      <c r="O173" s="39"/>
      <c r="P173" s="32"/>
      <c r="Q173" s="39"/>
      <c r="R173" s="32"/>
      <c r="S173" s="39"/>
      <c r="T173" s="45" t="str">
        <f>_xlfn.CONCAT("755-",Table1[[#This Row],[Art. Number]])</f>
        <v>755-ESR03EZPJ122</v>
      </c>
      <c r="U173" s="39">
        <v>9.8000000000000004E-2</v>
      </c>
      <c r="V173" s="32"/>
      <c r="W173" s="39"/>
      <c r="X173" s="32"/>
      <c r="Y173" s="39"/>
      <c r="Z173" s="39" t="str">
        <f>IF(Table1[[#This Row],[Other]]&lt;&gt;"","Other","")</f>
        <v/>
      </c>
      <c r="AA173" s="32"/>
      <c r="AB173" s="41"/>
      <c r="AC173" s="45" t="str">
        <f>IF(Table1[[#This Row],[Auto Order]]=1,IF(Table1[[#This Row],[In stock]]&lt;Table1[[#This Row],[Min in stock]],1,""),"")</f>
        <v/>
      </c>
    </row>
    <row r="174" spans="1:29" x14ac:dyDescent="0.25">
      <c r="A174" s="71" t="s">
        <v>2084</v>
      </c>
      <c r="B174" s="32" t="s">
        <v>593</v>
      </c>
      <c r="C174" s="32" t="s">
        <v>327</v>
      </c>
      <c r="D174" s="32" t="s">
        <v>2085</v>
      </c>
      <c r="E174" s="32" t="s">
        <v>511</v>
      </c>
      <c r="F174" s="43">
        <v>0</v>
      </c>
      <c r="G174" s="43"/>
      <c r="H174" s="43"/>
      <c r="I17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17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4" s="32" t="s">
        <v>2083</v>
      </c>
      <c r="M174" s="39">
        <v>0.1</v>
      </c>
      <c r="N174" s="32"/>
      <c r="O174" s="39"/>
      <c r="P174" s="32"/>
      <c r="Q174" s="39"/>
      <c r="R174" s="32"/>
      <c r="S174" s="39"/>
      <c r="T174" s="45" t="str">
        <f>_xlfn.CONCAT("755-",Table1[[#This Row],[Art. Number]])</f>
        <v>755-ESR03EZPJ123</v>
      </c>
      <c r="U174" s="39">
        <v>9.8000000000000004E-2</v>
      </c>
      <c r="V174" s="32"/>
      <c r="W174" s="39"/>
      <c r="X174" s="32"/>
      <c r="Y174" s="39"/>
      <c r="Z174" s="39" t="str">
        <f>IF(Table1[[#This Row],[Other]]&lt;&gt;"","Other","")</f>
        <v/>
      </c>
      <c r="AA174" s="32"/>
      <c r="AB174" s="41"/>
      <c r="AC174" s="45" t="str">
        <f>IF(Table1[[#This Row],[Auto Order]]=1,IF(Table1[[#This Row],[In stock]]&lt;Table1[[#This Row],[Min in stock]],1,""),"")</f>
        <v/>
      </c>
    </row>
    <row r="175" spans="1:29" x14ac:dyDescent="0.25">
      <c r="A175" s="71" t="s">
        <v>1845</v>
      </c>
      <c r="B175" s="32" t="s">
        <v>593</v>
      </c>
      <c r="C175" s="32" t="s">
        <v>327</v>
      </c>
      <c r="D175" s="32" t="s">
        <v>1846</v>
      </c>
      <c r="E175" s="32" t="s">
        <v>511</v>
      </c>
      <c r="F175" s="43">
        <v>0</v>
      </c>
      <c r="G175" s="43"/>
      <c r="H175" s="43"/>
      <c r="I17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17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5" s="32" t="s">
        <v>1844</v>
      </c>
      <c r="M175" s="39">
        <v>0.1</v>
      </c>
      <c r="N175" s="32"/>
      <c r="O175" s="39"/>
      <c r="P175" s="32"/>
      <c r="Q175" s="39"/>
      <c r="R175" s="32"/>
      <c r="S175" s="39"/>
      <c r="T175" s="45" t="str">
        <f>_xlfn.CONCAT("755-",Table1[[#This Row],[Art. Number]])</f>
        <v>755-ESR03EZPJ124</v>
      </c>
      <c r="U175" s="39">
        <v>9.8000000000000004E-2</v>
      </c>
      <c r="V175" s="32"/>
      <c r="W175" s="39"/>
      <c r="X175" s="32"/>
      <c r="Y175" s="39"/>
      <c r="Z175" s="39" t="str">
        <f>IF(Table1[[#This Row],[Other]]&lt;&gt;"","Other","")</f>
        <v/>
      </c>
      <c r="AA175" s="32"/>
      <c r="AB175" s="41"/>
      <c r="AC175" s="45" t="str">
        <f>IF(Table1[[#This Row],[Auto Order]]=1,IF(Table1[[#This Row],[In stock]]&lt;Table1[[#This Row],[Min in stock]],1,""),"")</f>
        <v/>
      </c>
    </row>
    <row r="176" spans="1:29" x14ac:dyDescent="0.25">
      <c r="A176" s="71" t="s">
        <v>1967</v>
      </c>
      <c r="B176" s="32" t="s">
        <v>593</v>
      </c>
      <c r="C176" s="32" t="s">
        <v>327</v>
      </c>
      <c r="D176" s="32" t="s">
        <v>1968</v>
      </c>
      <c r="E176" s="32" t="s">
        <v>511</v>
      </c>
      <c r="F176" s="43">
        <v>0</v>
      </c>
      <c r="G176" s="43"/>
      <c r="H176" s="43"/>
      <c r="I17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17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6" s="32" t="s">
        <v>1966</v>
      </c>
      <c r="M176" s="39">
        <v>0.1</v>
      </c>
      <c r="N176" s="32"/>
      <c r="O176" s="39"/>
      <c r="P176" s="32"/>
      <c r="Q176" s="39"/>
      <c r="R176" s="32"/>
      <c r="S176" s="39"/>
      <c r="T176" s="45" t="str">
        <f>_xlfn.CONCAT("755-",Table1[[#This Row],[Art. Number]])</f>
        <v>755-ESR03EZPJ125</v>
      </c>
      <c r="U176" s="39">
        <v>9.8000000000000004E-2</v>
      </c>
      <c r="V176" s="32"/>
      <c r="W176" s="39"/>
      <c r="X176" s="32"/>
      <c r="Y176" s="39"/>
      <c r="Z176" s="39" t="str">
        <f>IF(Table1[[#This Row],[Other]]&lt;&gt;"","Other","")</f>
        <v/>
      </c>
      <c r="AA176" s="32"/>
      <c r="AB176" s="41"/>
      <c r="AC176" s="45" t="str">
        <f>IF(Table1[[#This Row],[Auto Order]]=1,IF(Table1[[#This Row],[In stock]]&lt;Table1[[#This Row],[Min in stock]],1,""),"")</f>
        <v/>
      </c>
    </row>
    <row r="177" spans="1:29" x14ac:dyDescent="0.25">
      <c r="A177" s="71" t="s">
        <v>2072</v>
      </c>
      <c r="B177" s="32" t="s">
        <v>593</v>
      </c>
      <c r="C177" s="32" t="s">
        <v>327</v>
      </c>
      <c r="D177" s="32" t="s">
        <v>2073</v>
      </c>
      <c r="E177" s="32" t="s">
        <v>511</v>
      </c>
      <c r="F177" s="43">
        <v>0</v>
      </c>
      <c r="G177" s="43"/>
      <c r="H177" s="43"/>
      <c r="I17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17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7" s="32" t="s">
        <v>2071</v>
      </c>
      <c r="M177" s="39">
        <v>0.1</v>
      </c>
      <c r="N177" s="32"/>
      <c r="O177" s="39"/>
      <c r="P177" s="32"/>
      <c r="Q177" s="39"/>
      <c r="R177" s="32"/>
      <c r="S177" s="39"/>
      <c r="T177" s="45" t="str">
        <f>_xlfn.CONCAT("755-",Table1[[#This Row],[Art. Number]])</f>
        <v>755-ESR03EZPJ130</v>
      </c>
      <c r="U177" s="39">
        <v>9.8000000000000004E-2</v>
      </c>
      <c r="V177" s="32"/>
      <c r="W177" s="39"/>
      <c r="X177" s="32"/>
      <c r="Y177" s="39"/>
      <c r="Z177" s="39" t="str">
        <f>IF(Table1[[#This Row],[Other]]&lt;&gt;"","Other","")</f>
        <v/>
      </c>
      <c r="AA177" s="32"/>
      <c r="AB177" s="41"/>
      <c r="AC177" s="45" t="str">
        <f>IF(Table1[[#This Row],[Auto Order]]=1,IF(Table1[[#This Row],[In stock]]&lt;Table1[[#This Row],[Min in stock]],1,""),"")</f>
        <v/>
      </c>
    </row>
    <row r="178" spans="1:29" x14ac:dyDescent="0.25">
      <c r="A178" s="71" t="s">
        <v>1759</v>
      </c>
      <c r="B178" s="32" t="s">
        <v>593</v>
      </c>
      <c r="C178" s="32" t="s">
        <v>327</v>
      </c>
      <c r="D178" s="32" t="s">
        <v>1760</v>
      </c>
      <c r="E178" s="32" t="s">
        <v>511</v>
      </c>
      <c r="F178" s="43">
        <v>0</v>
      </c>
      <c r="G178" s="43"/>
      <c r="H178" s="43"/>
      <c r="I17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17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8" s="32" t="s">
        <v>1758</v>
      </c>
      <c r="M178" s="39">
        <v>0.1</v>
      </c>
      <c r="N178" s="32"/>
      <c r="O178" s="39"/>
      <c r="P178" s="32"/>
      <c r="Q178" s="39"/>
      <c r="R178" s="32"/>
      <c r="S178" s="39"/>
      <c r="T178" s="45" t="str">
        <f>_xlfn.CONCAT("755-",Table1[[#This Row],[Art. Number]])</f>
        <v>755-ESR03EZPJ131</v>
      </c>
      <c r="U178" s="39">
        <v>9.8000000000000004E-2</v>
      </c>
      <c r="V178" s="32"/>
      <c r="W178" s="39"/>
      <c r="X178" s="32"/>
      <c r="Y178" s="39"/>
      <c r="Z178" s="39" t="str">
        <f>IF(Table1[[#This Row],[Other]]&lt;&gt;"","Other","")</f>
        <v/>
      </c>
      <c r="AA178" s="32"/>
      <c r="AB178" s="41"/>
      <c r="AC178" s="45" t="str">
        <f>IF(Table1[[#This Row],[Auto Order]]=1,IF(Table1[[#This Row],[In stock]]&lt;Table1[[#This Row],[Min in stock]],1,""),"")</f>
        <v/>
      </c>
    </row>
    <row r="179" spans="1:29" x14ac:dyDescent="0.25">
      <c r="A179" s="71" t="s">
        <v>1895</v>
      </c>
      <c r="B179" s="32" t="s">
        <v>593</v>
      </c>
      <c r="C179" s="32" t="s">
        <v>327</v>
      </c>
      <c r="D179" s="32" t="s">
        <v>1896</v>
      </c>
      <c r="E179" s="32" t="s">
        <v>511</v>
      </c>
      <c r="F179" s="43">
        <v>0</v>
      </c>
      <c r="G179" s="43"/>
      <c r="H179" s="43"/>
      <c r="I17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17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7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79" s="32" t="s">
        <v>1894</v>
      </c>
      <c r="M179" s="39">
        <v>0.1</v>
      </c>
      <c r="N179" s="32"/>
      <c r="O179" s="39"/>
      <c r="P179" s="32"/>
      <c r="Q179" s="39"/>
      <c r="R179" s="32"/>
      <c r="S179" s="39"/>
      <c r="T179" s="45" t="str">
        <f>_xlfn.CONCAT("755-",Table1[[#This Row],[Art. Number]])</f>
        <v>755-ESR03EZPJ132</v>
      </c>
      <c r="U179" s="39">
        <v>9.8000000000000004E-2</v>
      </c>
      <c r="V179" s="32"/>
      <c r="W179" s="39"/>
      <c r="X179" s="32"/>
      <c r="Y179" s="39"/>
      <c r="Z179" s="39" t="str">
        <f>IF(Table1[[#This Row],[Other]]&lt;&gt;"","Other","")</f>
        <v/>
      </c>
      <c r="AA179" s="32"/>
      <c r="AB179" s="41"/>
      <c r="AC179" s="45" t="str">
        <f>IF(Table1[[#This Row],[Auto Order]]=1,IF(Table1[[#This Row],[In stock]]&lt;Table1[[#This Row],[Min in stock]],1,""),"")</f>
        <v/>
      </c>
    </row>
    <row r="180" spans="1:29" x14ac:dyDescent="0.25">
      <c r="A180" s="71" t="s">
        <v>2107</v>
      </c>
      <c r="B180" s="32" t="s">
        <v>593</v>
      </c>
      <c r="C180" s="32" t="s">
        <v>327</v>
      </c>
      <c r="D180" s="32" t="s">
        <v>2108</v>
      </c>
      <c r="E180" s="32" t="s">
        <v>511</v>
      </c>
      <c r="F180" s="43">
        <v>0</v>
      </c>
      <c r="G180" s="43"/>
      <c r="H180" s="43"/>
      <c r="I18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18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0" s="32" t="s">
        <v>2106</v>
      </c>
      <c r="M180" s="39">
        <v>0.1</v>
      </c>
      <c r="N180" s="32"/>
      <c r="O180" s="39"/>
      <c r="P180" s="32"/>
      <c r="Q180" s="39"/>
      <c r="R180" s="32"/>
      <c r="S180" s="39"/>
      <c r="T180" s="45" t="str">
        <f>_xlfn.CONCAT("755-",Table1[[#This Row],[Art. Number]])</f>
        <v>755-ESR03EZPJ133</v>
      </c>
      <c r="U180" s="39">
        <v>9.8000000000000004E-2</v>
      </c>
      <c r="V180" s="32"/>
      <c r="W180" s="39"/>
      <c r="X180" s="32"/>
      <c r="Y180" s="39"/>
      <c r="Z180" s="39" t="str">
        <f>IF(Table1[[#This Row],[Other]]&lt;&gt;"","Other","")</f>
        <v/>
      </c>
      <c r="AA180" s="32"/>
      <c r="AB180" s="41"/>
      <c r="AC180" s="45" t="str">
        <f>IF(Table1[[#This Row],[Auto Order]]=1,IF(Table1[[#This Row],[In stock]]&lt;Table1[[#This Row],[Min in stock]],1,""),"")</f>
        <v/>
      </c>
    </row>
    <row r="181" spans="1:29" x14ac:dyDescent="0.25">
      <c r="A181" s="71" t="s">
        <v>1971</v>
      </c>
      <c r="B181" s="32" t="s">
        <v>593</v>
      </c>
      <c r="C181" s="32" t="s">
        <v>327</v>
      </c>
      <c r="D181" s="32" t="s">
        <v>1972</v>
      </c>
      <c r="E181" s="32" t="s">
        <v>511</v>
      </c>
      <c r="F181" s="43">
        <v>0</v>
      </c>
      <c r="G181" s="43"/>
      <c r="H181" s="43"/>
      <c r="I18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18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1" s="32" t="s">
        <v>1970</v>
      </c>
      <c r="M181" s="39">
        <v>0.1</v>
      </c>
      <c r="N181" s="32"/>
      <c r="O181" s="39"/>
      <c r="P181" s="32"/>
      <c r="Q181" s="39"/>
      <c r="R181" s="32"/>
      <c r="S181" s="39"/>
      <c r="T181" s="45" t="str">
        <f>_xlfn.CONCAT("755-",Table1[[#This Row],[Art. Number]])</f>
        <v>755-ESR03EZPJ134</v>
      </c>
      <c r="U181" s="39">
        <v>9.8000000000000004E-2</v>
      </c>
      <c r="V181" s="32"/>
      <c r="W181" s="39"/>
      <c r="X181" s="32"/>
      <c r="Y181" s="39"/>
      <c r="Z181" s="39" t="str">
        <f>IF(Table1[[#This Row],[Other]]&lt;&gt;"","Other","")</f>
        <v/>
      </c>
      <c r="AA181" s="32"/>
      <c r="AB181" s="41"/>
      <c r="AC181" s="45" t="str">
        <f>IF(Table1[[#This Row],[Auto Order]]=1,IF(Table1[[#This Row],[In stock]]&lt;Table1[[#This Row],[Min in stock]],1,""),"")</f>
        <v/>
      </c>
    </row>
    <row r="182" spans="1:29" x14ac:dyDescent="0.25">
      <c r="A182" s="71" t="s">
        <v>1975</v>
      </c>
      <c r="B182" s="32" t="s">
        <v>593</v>
      </c>
      <c r="C182" s="32" t="s">
        <v>327</v>
      </c>
      <c r="D182" s="32" t="s">
        <v>1976</v>
      </c>
      <c r="E182" s="32" t="s">
        <v>511</v>
      </c>
      <c r="F182" s="43">
        <v>0</v>
      </c>
      <c r="G182" s="43"/>
      <c r="H182" s="43"/>
      <c r="I18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18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2" s="32" t="s">
        <v>1974</v>
      </c>
      <c r="M182" s="39">
        <v>0.1</v>
      </c>
      <c r="N182" s="32"/>
      <c r="O182" s="39"/>
      <c r="P182" s="32"/>
      <c r="Q182" s="39"/>
      <c r="R182" s="32"/>
      <c r="S182" s="39"/>
      <c r="T182" s="45" t="str">
        <f>_xlfn.CONCAT("755-",Table1[[#This Row],[Art. Number]])</f>
        <v>755-ESR03EZPJ135</v>
      </c>
      <c r="U182" s="39">
        <v>9.8000000000000004E-2</v>
      </c>
      <c r="V182" s="32"/>
      <c r="W182" s="39"/>
      <c r="X182" s="32"/>
      <c r="Y182" s="39"/>
      <c r="Z182" s="39" t="str">
        <f>IF(Table1[[#This Row],[Other]]&lt;&gt;"","Other","")</f>
        <v/>
      </c>
      <c r="AA182" s="32"/>
      <c r="AB182" s="41"/>
      <c r="AC182" s="45" t="str">
        <f>IF(Table1[[#This Row],[Auto Order]]=1,IF(Table1[[#This Row],[In stock]]&lt;Table1[[#This Row],[Min in stock]],1,""),"")</f>
        <v/>
      </c>
    </row>
    <row r="183" spans="1:29" x14ac:dyDescent="0.25">
      <c r="A183" s="71" t="s">
        <v>1836</v>
      </c>
      <c r="B183" s="32" t="s">
        <v>593</v>
      </c>
      <c r="C183" s="32" t="s">
        <v>327</v>
      </c>
      <c r="D183" s="32" t="s">
        <v>1837</v>
      </c>
      <c r="E183" s="32" t="s">
        <v>511</v>
      </c>
      <c r="F183" s="43">
        <v>0</v>
      </c>
      <c r="G183" s="43"/>
      <c r="H183" s="43"/>
      <c r="I18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18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3" s="32" t="s">
        <v>1835</v>
      </c>
      <c r="M183" s="39">
        <v>0.1</v>
      </c>
      <c r="N183" s="32"/>
      <c r="O183" s="39"/>
      <c r="P183" s="32"/>
      <c r="Q183" s="39"/>
      <c r="R183" s="32"/>
      <c r="S183" s="39"/>
      <c r="T183" s="45" t="str">
        <f>_xlfn.CONCAT("755-",Table1[[#This Row],[Art. Number]])</f>
        <v>755-ESR03EZPJ150</v>
      </c>
      <c r="U183" s="39">
        <v>9.8000000000000004E-2</v>
      </c>
      <c r="V183" s="32"/>
      <c r="W183" s="39"/>
      <c r="X183" s="32"/>
      <c r="Y183" s="39"/>
      <c r="Z183" s="39" t="str">
        <f>IF(Table1[[#This Row],[Other]]&lt;&gt;"","Other","")</f>
        <v/>
      </c>
      <c r="AA183" s="32"/>
      <c r="AB183" s="41"/>
      <c r="AC183" s="45" t="str">
        <f>IF(Table1[[#This Row],[Auto Order]]=1,IF(Table1[[#This Row],[In stock]]&lt;Table1[[#This Row],[Min in stock]],1,""),"")</f>
        <v/>
      </c>
    </row>
    <row r="184" spans="1:29" x14ac:dyDescent="0.25">
      <c r="A184" s="71" t="s">
        <v>989</v>
      </c>
      <c r="B184" s="32" t="s">
        <v>593</v>
      </c>
      <c r="C184" s="32" t="s">
        <v>1416</v>
      </c>
      <c r="D184" s="32" t="s">
        <v>990</v>
      </c>
      <c r="E184" s="32" t="s">
        <v>511</v>
      </c>
      <c r="F184" s="43">
        <v>16</v>
      </c>
      <c r="G184" s="43">
        <v>10</v>
      </c>
      <c r="H184" s="43">
        <v>1</v>
      </c>
      <c r="I18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18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4" s="32" t="s">
        <v>988</v>
      </c>
      <c r="M184" s="39">
        <v>0.1</v>
      </c>
      <c r="N184" s="32"/>
      <c r="O184" s="39"/>
      <c r="P184" s="32"/>
      <c r="Q184" s="39"/>
      <c r="R184" s="32"/>
      <c r="S184" s="39"/>
      <c r="T184" s="45" t="str">
        <f>_xlfn.CONCAT("755-",Table1[[#This Row],[Art. Number]])</f>
        <v>755-ESR03EZPJ151</v>
      </c>
      <c r="U184" s="39">
        <v>9.8000000000000004E-2</v>
      </c>
      <c r="V184" s="32"/>
      <c r="W184" s="39"/>
      <c r="X184" s="32"/>
      <c r="Y184" s="39"/>
      <c r="Z184" s="39" t="str">
        <f>IF(Table1[[#This Row],[Other]]&lt;&gt;"","Other","")</f>
        <v/>
      </c>
      <c r="AA184" s="32"/>
      <c r="AB184" s="41"/>
      <c r="AC184" s="45" t="str">
        <f>IF(Table1[[#This Row],[Auto Order]]=1,IF(Table1[[#This Row],[In stock]]&lt;Table1[[#This Row],[Min in stock]],1,""),"")</f>
        <v/>
      </c>
    </row>
    <row r="185" spans="1:29" x14ac:dyDescent="0.25">
      <c r="A185" s="67" t="s">
        <v>1447</v>
      </c>
      <c r="B185" s="32" t="s">
        <v>593</v>
      </c>
      <c r="C185" s="32" t="s">
        <v>327</v>
      </c>
      <c r="D185" s="32" t="s">
        <v>1448</v>
      </c>
      <c r="E185" s="32" t="s">
        <v>511</v>
      </c>
      <c r="F185" s="43">
        <v>10</v>
      </c>
      <c r="G185" s="43">
        <v>10</v>
      </c>
      <c r="H185" s="43">
        <v>1</v>
      </c>
      <c r="I18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18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5" s="32" t="s">
        <v>1449</v>
      </c>
      <c r="M185" s="39">
        <v>0.1</v>
      </c>
      <c r="N185" s="32"/>
      <c r="O185" s="39"/>
      <c r="P185" s="32"/>
      <c r="Q185" s="39"/>
      <c r="R185" s="32"/>
      <c r="S185" s="39"/>
      <c r="T185" s="45" t="str">
        <f>_xlfn.CONCAT("755-",Table1[[#This Row],[Art. Number]])</f>
        <v>755-ESR03EZPJ152</v>
      </c>
      <c r="U185" s="39">
        <v>9.8000000000000004E-2</v>
      </c>
      <c r="V185" s="32"/>
      <c r="W185" s="39"/>
      <c r="X185" s="32"/>
      <c r="Y185" s="39"/>
      <c r="Z185" s="39" t="str">
        <f>IF(Table1[[#This Row],[Other]]&lt;&gt;"","Other","")</f>
        <v/>
      </c>
      <c r="AA185" s="32"/>
      <c r="AB185" s="41"/>
      <c r="AC185" s="45" t="str">
        <f>IF(Table1[[#This Row],[Auto Order]]=1,IF(Table1[[#This Row],[In stock]]&lt;Table1[[#This Row],[Min in stock]],1,""),"")</f>
        <v/>
      </c>
    </row>
    <row r="186" spans="1:29" x14ac:dyDescent="0.25">
      <c r="A186" s="71" t="s">
        <v>1839</v>
      </c>
      <c r="B186" s="32" t="s">
        <v>593</v>
      </c>
      <c r="C186" s="32" t="s">
        <v>327</v>
      </c>
      <c r="D186" s="32" t="s">
        <v>1840</v>
      </c>
      <c r="E186" s="32" t="s">
        <v>511</v>
      </c>
      <c r="F186" s="43">
        <v>0</v>
      </c>
      <c r="G186" s="43"/>
      <c r="H186" s="43"/>
      <c r="I18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18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6" s="32" t="s">
        <v>1838</v>
      </c>
      <c r="M186" s="39">
        <v>0.1</v>
      </c>
      <c r="N186" s="32"/>
      <c r="O186" s="39"/>
      <c r="P186" s="32"/>
      <c r="Q186" s="39"/>
      <c r="R186" s="32"/>
      <c r="S186" s="39"/>
      <c r="T186" s="45" t="str">
        <f>_xlfn.CONCAT("755-",Table1[[#This Row],[Art. Number]])</f>
        <v>755-ESR03EZPJ153</v>
      </c>
      <c r="U186" s="39">
        <v>9.8000000000000004E-2</v>
      </c>
      <c r="V186" s="32"/>
      <c r="W186" s="39"/>
      <c r="X186" s="32"/>
      <c r="Y186" s="39"/>
      <c r="Z186" s="39" t="str">
        <f>IF(Table1[[#This Row],[Other]]&lt;&gt;"","Other","")</f>
        <v/>
      </c>
      <c r="AA186" s="32"/>
      <c r="AB186" s="41"/>
      <c r="AC186" s="45" t="str">
        <f>IF(Table1[[#This Row],[Auto Order]]=1,IF(Table1[[#This Row],[In stock]]&lt;Table1[[#This Row],[Min in stock]],1,""),"")</f>
        <v/>
      </c>
    </row>
    <row r="187" spans="1:29" x14ac:dyDescent="0.25">
      <c r="A187" s="71" t="s">
        <v>2122</v>
      </c>
      <c r="B187" s="32" t="s">
        <v>593</v>
      </c>
      <c r="C187" s="32" t="s">
        <v>327</v>
      </c>
      <c r="D187" s="32" t="s">
        <v>2123</v>
      </c>
      <c r="E187" s="32" t="s">
        <v>511</v>
      </c>
      <c r="F187" s="43">
        <v>0</v>
      </c>
      <c r="G187" s="43"/>
      <c r="H187" s="43"/>
      <c r="I18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18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7" s="32" t="s">
        <v>2121</v>
      </c>
      <c r="M187" s="39">
        <v>0.1</v>
      </c>
      <c r="N187" s="32"/>
      <c r="O187" s="39"/>
      <c r="P187" s="32"/>
      <c r="Q187" s="39"/>
      <c r="R187" s="32"/>
      <c r="S187" s="39"/>
      <c r="T187" s="45" t="str">
        <f>_xlfn.CONCAT("755-",Table1[[#This Row],[Art. Number]])</f>
        <v>755-ESR03EZPJ154</v>
      </c>
      <c r="U187" s="39">
        <v>9.8000000000000004E-2</v>
      </c>
      <c r="V187" s="32"/>
      <c r="W187" s="39"/>
      <c r="X187" s="32"/>
      <c r="Y187" s="39"/>
      <c r="Z187" s="39" t="str">
        <f>IF(Table1[[#This Row],[Other]]&lt;&gt;"","Other","")</f>
        <v/>
      </c>
      <c r="AA187" s="32"/>
      <c r="AB187" s="41"/>
      <c r="AC187" s="45" t="str">
        <f>IF(Table1[[#This Row],[Auto Order]]=1,IF(Table1[[#This Row],[In stock]]&lt;Table1[[#This Row],[Min in stock]],1,""),"")</f>
        <v/>
      </c>
    </row>
    <row r="188" spans="1:29" x14ac:dyDescent="0.25">
      <c r="A188" s="71" t="s">
        <v>2125</v>
      </c>
      <c r="B188" s="32" t="s">
        <v>593</v>
      </c>
      <c r="C188" s="32" t="s">
        <v>327</v>
      </c>
      <c r="D188" s="32" t="s">
        <v>2126</v>
      </c>
      <c r="E188" s="32" t="s">
        <v>511</v>
      </c>
      <c r="F188" s="43">
        <v>0</v>
      </c>
      <c r="G188" s="43"/>
      <c r="H188" s="43"/>
      <c r="I18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18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8" s="32" t="s">
        <v>2124</v>
      </c>
      <c r="M188" s="39">
        <v>0.1</v>
      </c>
      <c r="N188" s="32"/>
      <c r="O188" s="39"/>
      <c r="P188" s="32"/>
      <c r="Q188" s="39"/>
      <c r="R188" s="32"/>
      <c r="S188" s="39"/>
      <c r="T188" s="45" t="str">
        <f>_xlfn.CONCAT("755-",Table1[[#This Row],[Art. Number]])</f>
        <v>755-ESR03EZPJ155</v>
      </c>
      <c r="U188" s="39">
        <v>9.8000000000000004E-2</v>
      </c>
      <c r="V188" s="32"/>
      <c r="W188" s="39"/>
      <c r="X188" s="32"/>
      <c r="Y188" s="39"/>
      <c r="Z188" s="39" t="str">
        <f>IF(Table1[[#This Row],[Other]]&lt;&gt;"","Other","")</f>
        <v/>
      </c>
      <c r="AA188" s="32"/>
      <c r="AB188" s="41"/>
      <c r="AC188" s="45" t="str">
        <f>IF(Table1[[#This Row],[Auto Order]]=1,IF(Table1[[#This Row],[In stock]]&lt;Table1[[#This Row],[Min in stock]],1,""),"")</f>
        <v/>
      </c>
    </row>
    <row r="189" spans="1:29" x14ac:dyDescent="0.25">
      <c r="A189" s="71" t="s">
        <v>1848</v>
      </c>
      <c r="B189" s="32" t="s">
        <v>593</v>
      </c>
      <c r="C189" s="32" t="s">
        <v>327</v>
      </c>
      <c r="D189" s="32" t="s">
        <v>1849</v>
      </c>
      <c r="E189" s="32" t="s">
        <v>511</v>
      </c>
      <c r="F189" s="43">
        <v>0</v>
      </c>
      <c r="G189" s="43"/>
      <c r="H189" s="43"/>
      <c r="I18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18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8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89" s="32" t="s">
        <v>1847</v>
      </c>
      <c r="M189" s="39">
        <v>0.1</v>
      </c>
      <c r="N189" s="32"/>
      <c r="O189" s="39"/>
      <c r="P189" s="32"/>
      <c r="Q189" s="39"/>
      <c r="R189" s="32"/>
      <c r="S189" s="39"/>
      <c r="T189" s="45" t="str">
        <f>_xlfn.CONCAT("755-",Table1[[#This Row],[Art. Number]])</f>
        <v>755-ESR03EZPJ160</v>
      </c>
      <c r="U189" s="39">
        <v>9.8000000000000004E-2</v>
      </c>
      <c r="V189" s="32"/>
      <c r="W189" s="39"/>
      <c r="X189" s="32"/>
      <c r="Y189" s="39"/>
      <c r="Z189" s="39" t="str">
        <f>IF(Table1[[#This Row],[Other]]&lt;&gt;"","Other","")</f>
        <v/>
      </c>
      <c r="AA189" s="32"/>
      <c r="AB189" s="41"/>
      <c r="AC189" s="45" t="str">
        <f>IF(Table1[[#This Row],[Auto Order]]=1,IF(Table1[[#This Row],[In stock]]&lt;Table1[[#This Row],[Min in stock]],1,""),"")</f>
        <v/>
      </c>
    </row>
    <row r="190" spans="1:29" x14ac:dyDescent="0.25">
      <c r="A190" s="71" t="s">
        <v>2143</v>
      </c>
      <c r="B190" s="32" t="s">
        <v>593</v>
      </c>
      <c r="C190" s="32" t="s">
        <v>327</v>
      </c>
      <c r="D190" s="32" t="s">
        <v>2144</v>
      </c>
      <c r="E190" s="32" t="s">
        <v>511</v>
      </c>
      <c r="F190" s="43">
        <v>0</v>
      </c>
      <c r="G190" s="43"/>
      <c r="H190" s="43"/>
      <c r="I19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19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0" s="32" t="s">
        <v>2142</v>
      </c>
      <c r="M190" s="39">
        <v>0.1</v>
      </c>
      <c r="N190" s="32"/>
      <c r="O190" s="39"/>
      <c r="P190" s="32"/>
      <c r="Q190" s="39"/>
      <c r="R190" s="32"/>
      <c r="S190" s="39"/>
      <c r="T190" s="45" t="str">
        <f>_xlfn.CONCAT("755-",Table1[[#This Row],[Art. Number]])</f>
        <v>755-ESR03EZPJ161</v>
      </c>
      <c r="U190" s="39">
        <v>9.8000000000000004E-2</v>
      </c>
      <c r="V190" s="32"/>
      <c r="W190" s="39"/>
      <c r="X190" s="32"/>
      <c r="Y190" s="39"/>
      <c r="Z190" s="39" t="str">
        <f>IF(Table1[[#This Row],[Other]]&lt;&gt;"","Other","")</f>
        <v/>
      </c>
      <c r="AA190" s="32"/>
      <c r="AB190" s="41"/>
      <c r="AC190" s="45" t="str">
        <f>IF(Table1[[#This Row],[Auto Order]]=1,IF(Table1[[#This Row],[In stock]]&lt;Table1[[#This Row],[Min in stock]],1,""),"")</f>
        <v/>
      </c>
    </row>
    <row r="191" spans="1:29" x14ac:dyDescent="0.25">
      <c r="A191" s="71" t="s">
        <v>2048</v>
      </c>
      <c r="B191" s="32" t="s">
        <v>593</v>
      </c>
      <c r="C191" s="32" t="s">
        <v>327</v>
      </c>
      <c r="D191" s="32" t="s">
        <v>2049</v>
      </c>
      <c r="E191" s="32" t="s">
        <v>511</v>
      </c>
      <c r="F191" s="43">
        <v>0</v>
      </c>
      <c r="G191" s="43"/>
      <c r="H191" s="43"/>
      <c r="I19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19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1" s="32" t="s">
        <v>2047</v>
      </c>
      <c r="M191" s="39">
        <v>0.1</v>
      </c>
      <c r="N191" s="32"/>
      <c r="O191" s="39"/>
      <c r="P191" s="32"/>
      <c r="Q191" s="39"/>
      <c r="R191" s="32"/>
      <c r="S191" s="39"/>
      <c r="T191" s="45" t="str">
        <f>_xlfn.CONCAT("755-",Table1[[#This Row],[Art. Number]])</f>
        <v>755-ESR03EZPJ162</v>
      </c>
      <c r="U191" s="39">
        <v>9.8000000000000004E-2</v>
      </c>
      <c r="V191" s="32"/>
      <c r="W191" s="39"/>
      <c r="X191" s="32"/>
      <c r="Y191" s="39"/>
      <c r="Z191" s="39" t="str">
        <f>IF(Table1[[#This Row],[Other]]&lt;&gt;"","Other","")</f>
        <v/>
      </c>
      <c r="AA191" s="32"/>
      <c r="AB191" s="41"/>
      <c r="AC191" s="45" t="str">
        <f>IF(Table1[[#This Row],[Auto Order]]=1,IF(Table1[[#This Row],[In stock]]&lt;Table1[[#This Row],[Min in stock]],1,""),"")</f>
        <v/>
      </c>
    </row>
    <row r="192" spans="1:29" x14ac:dyDescent="0.25">
      <c r="A192" s="71" t="s">
        <v>1899</v>
      </c>
      <c r="B192" s="32" t="s">
        <v>593</v>
      </c>
      <c r="C192" s="32" t="s">
        <v>327</v>
      </c>
      <c r="D192" s="32" t="s">
        <v>1900</v>
      </c>
      <c r="E192" s="32" t="s">
        <v>511</v>
      </c>
      <c r="F192" s="43">
        <v>0</v>
      </c>
      <c r="G192" s="43"/>
      <c r="H192" s="43"/>
      <c r="I19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19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2" s="32" t="s">
        <v>1898</v>
      </c>
      <c r="M192" s="39">
        <v>0.1</v>
      </c>
      <c r="N192" s="32"/>
      <c r="O192" s="39"/>
      <c r="P192" s="32"/>
      <c r="Q192" s="39"/>
      <c r="R192" s="32"/>
      <c r="S192" s="39"/>
      <c r="T192" s="45" t="str">
        <f>_xlfn.CONCAT("755-",Table1[[#This Row],[Art. Number]])</f>
        <v>755-ESR03EZPJ163</v>
      </c>
      <c r="U192" s="39">
        <v>9.8000000000000004E-2</v>
      </c>
      <c r="V192" s="32"/>
      <c r="W192" s="39"/>
      <c r="X192" s="32"/>
      <c r="Y192" s="39"/>
      <c r="Z192" s="39" t="str">
        <f>IF(Table1[[#This Row],[Other]]&lt;&gt;"","Other","")</f>
        <v/>
      </c>
      <c r="AA192" s="32"/>
      <c r="AB192" s="41"/>
      <c r="AC192" s="45" t="str">
        <f>IF(Table1[[#This Row],[Auto Order]]=1,IF(Table1[[#This Row],[In stock]]&lt;Table1[[#This Row],[Min in stock]],1,""),"")</f>
        <v/>
      </c>
    </row>
    <row r="193" spans="1:29" x14ac:dyDescent="0.25">
      <c r="A193" s="71" t="s">
        <v>1902</v>
      </c>
      <c r="B193" s="32" t="s">
        <v>593</v>
      </c>
      <c r="C193" s="32" t="s">
        <v>327</v>
      </c>
      <c r="D193" s="32" t="s">
        <v>1903</v>
      </c>
      <c r="E193" s="32" t="s">
        <v>511</v>
      </c>
      <c r="F193" s="43">
        <v>0</v>
      </c>
      <c r="G193" s="43"/>
      <c r="H193" s="43"/>
      <c r="I19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19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3" s="32" t="s">
        <v>1901</v>
      </c>
      <c r="M193" s="39">
        <v>0.1</v>
      </c>
      <c r="N193" s="32"/>
      <c r="O193" s="39"/>
      <c r="P193" s="32"/>
      <c r="Q193" s="39"/>
      <c r="R193" s="32"/>
      <c r="S193" s="39"/>
      <c r="T193" s="45" t="str">
        <f>_xlfn.CONCAT("755-",Table1[[#This Row],[Art. Number]])</f>
        <v>755-ESR03EZPJ165</v>
      </c>
      <c r="U193" s="39">
        <v>9.8000000000000004E-2</v>
      </c>
      <c r="V193" s="32"/>
      <c r="W193" s="39"/>
      <c r="X193" s="32"/>
      <c r="Y193" s="39"/>
      <c r="Z193" s="39" t="str">
        <f>IF(Table1[[#This Row],[Other]]&lt;&gt;"","Other","")</f>
        <v/>
      </c>
      <c r="AA193" s="32"/>
      <c r="AB193" s="41"/>
      <c r="AC193" s="45" t="str">
        <f>IF(Table1[[#This Row],[Auto Order]]=1,IF(Table1[[#This Row],[In stock]]&lt;Table1[[#This Row],[Min in stock]],1,""),"")</f>
        <v/>
      </c>
    </row>
    <row r="194" spans="1:29" x14ac:dyDescent="0.25">
      <c r="A194" s="71" t="s">
        <v>1750</v>
      </c>
      <c r="B194" s="32" t="s">
        <v>593</v>
      </c>
      <c r="C194" s="32" t="s">
        <v>327</v>
      </c>
      <c r="D194" s="32" t="s">
        <v>1751</v>
      </c>
      <c r="E194" s="32" t="s">
        <v>511</v>
      </c>
      <c r="F194" s="43">
        <v>0</v>
      </c>
      <c r="G194" s="43"/>
      <c r="H194" s="43"/>
      <c r="I19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19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4" s="32" t="s">
        <v>1749</v>
      </c>
      <c r="M194" s="39">
        <v>0.1</v>
      </c>
      <c r="N194" s="32"/>
      <c r="O194" s="39"/>
      <c r="P194" s="32"/>
      <c r="Q194" s="39"/>
      <c r="R194" s="32"/>
      <c r="S194" s="39"/>
      <c r="T194" s="45" t="str">
        <f>_xlfn.CONCAT("755-",Table1[[#This Row],[Art. Number]])</f>
        <v>755-ESR03EZPJ180</v>
      </c>
      <c r="U194" s="39">
        <v>9.8000000000000004E-2</v>
      </c>
      <c r="V194" s="32"/>
      <c r="W194" s="39"/>
      <c r="X194" s="32"/>
      <c r="Y194" s="39"/>
      <c r="Z194" s="39" t="str">
        <f>IF(Table1[[#This Row],[Other]]&lt;&gt;"","Other","")</f>
        <v/>
      </c>
      <c r="AA194" s="32"/>
      <c r="AB194" s="41"/>
      <c r="AC194" s="45" t="str">
        <f>IF(Table1[[#This Row],[Auto Order]]=1,IF(Table1[[#This Row],[In stock]]&lt;Table1[[#This Row],[Min in stock]],1,""),"")</f>
        <v/>
      </c>
    </row>
    <row r="195" spans="1:29" x14ac:dyDescent="0.25">
      <c r="A195" s="67" t="s">
        <v>1009</v>
      </c>
      <c r="B195" s="32" t="s">
        <v>593</v>
      </c>
      <c r="C195" s="32" t="s">
        <v>1425</v>
      </c>
      <c r="D195" s="32" t="s">
        <v>1010</v>
      </c>
      <c r="E195" s="32" t="s">
        <v>511</v>
      </c>
      <c r="F195" s="43">
        <v>17</v>
      </c>
      <c r="G195" s="43">
        <v>10</v>
      </c>
      <c r="H195" s="43">
        <v>1</v>
      </c>
      <c r="I19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19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5" s="32" t="s">
        <v>1008</v>
      </c>
      <c r="M195" s="39">
        <v>0.1</v>
      </c>
      <c r="N195" s="32"/>
      <c r="O195" s="39"/>
      <c r="P195" s="32"/>
      <c r="Q195" s="39"/>
      <c r="R195" s="32"/>
      <c r="S195" s="39"/>
      <c r="T195" s="45" t="str">
        <f>_xlfn.CONCAT("755-",Table1[[#This Row],[Art. Number]])</f>
        <v>755-ESR03EZPJ181</v>
      </c>
      <c r="U195" s="39">
        <v>9.8000000000000004E-2</v>
      </c>
      <c r="V195" s="32"/>
      <c r="W195" s="39"/>
      <c r="X195" s="32"/>
      <c r="Y195" s="39"/>
      <c r="Z195" s="39" t="str">
        <f>IF(Table1[[#This Row],[Other]]&lt;&gt;"","Other","")</f>
        <v/>
      </c>
      <c r="AA195" s="32"/>
      <c r="AB195" s="41"/>
      <c r="AC195" s="45" t="str">
        <f>IF(Table1[[#This Row],[Auto Order]]=1,IF(Table1[[#This Row],[In stock]]&lt;Table1[[#This Row],[Min in stock]],1,""),"")</f>
        <v/>
      </c>
    </row>
    <row r="196" spans="1:29" x14ac:dyDescent="0.25">
      <c r="A196" s="71" t="s">
        <v>2149</v>
      </c>
      <c r="B196" s="32" t="s">
        <v>593</v>
      </c>
      <c r="C196" s="32" t="s">
        <v>327</v>
      </c>
      <c r="D196" s="32" t="s">
        <v>2150</v>
      </c>
      <c r="E196" s="32" t="s">
        <v>511</v>
      </c>
      <c r="F196" s="43">
        <v>10</v>
      </c>
      <c r="G196" s="43">
        <v>10</v>
      </c>
      <c r="H196" s="43">
        <v>1</v>
      </c>
      <c r="I19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19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6" s="32" t="s">
        <v>2148</v>
      </c>
      <c r="M196" s="39">
        <v>0.1</v>
      </c>
      <c r="N196" s="32"/>
      <c r="O196" s="39"/>
      <c r="P196" s="32"/>
      <c r="Q196" s="39"/>
      <c r="R196" s="32"/>
      <c r="S196" s="39"/>
      <c r="T196" s="45" t="str">
        <f>_xlfn.CONCAT("755-",Table1[[#This Row],[Art. Number]])</f>
        <v>755-ESR03EZPJ182</v>
      </c>
      <c r="U196" s="39">
        <v>9.8000000000000004E-2</v>
      </c>
      <c r="V196" s="32"/>
      <c r="W196" s="39"/>
      <c r="X196" s="32"/>
      <c r="Y196" s="39"/>
      <c r="Z196" s="39" t="str">
        <f>IF(Table1[[#This Row],[Other]]&lt;&gt;"","Other","")</f>
        <v/>
      </c>
      <c r="AA196" s="32"/>
      <c r="AB196" s="41"/>
      <c r="AC196" s="45" t="str">
        <f>IF(Table1[[#This Row],[Auto Order]]=1,IF(Table1[[#This Row],[In stock]]&lt;Table1[[#This Row],[Min in stock]],1,""),"")</f>
        <v/>
      </c>
    </row>
    <row r="197" spans="1:29" x14ac:dyDescent="0.25">
      <c r="A197" s="71" t="s">
        <v>1797</v>
      </c>
      <c r="B197" s="32" t="s">
        <v>593</v>
      </c>
      <c r="C197" s="32" t="s">
        <v>327</v>
      </c>
      <c r="D197" s="32" t="s">
        <v>1798</v>
      </c>
      <c r="E197" s="32" t="s">
        <v>511</v>
      </c>
      <c r="F197" s="43">
        <v>0</v>
      </c>
      <c r="G197" s="43"/>
      <c r="H197" s="43"/>
      <c r="I19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19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7" s="32" t="s">
        <v>1796</v>
      </c>
      <c r="M197" s="39">
        <v>0.1</v>
      </c>
      <c r="N197" s="32"/>
      <c r="O197" s="39"/>
      <c r="P197" s="32"/>
      <c r="Q197" s="39"/>
      <c r="R197" s="32"/>
      <c r="S197" s="39"/>
      <c r="T197" s="45" t="str">
        <f>_xlfn.CONCAT("755-",Table1[[#This Row],[Art. Number]])</f>
        <v>755-ESR03EZPJ183</v>
      </c>
      <c r="U197" s="39">
        <v>9.8000000000000004E-2</v>
      </c>
      <c r="V197" s="32"/>
      <c r="W197" s="39"/>
      <c r="X197" s="32"/>
      <c r="Y197" s="39"/>
      <c r="Z197" s="39" t="str">
        <f>IF(Table1[[#This Row],[Other]]&lt;&gt;"","Other","")</f>
        <v/>
      </c>
      <c r="AA197" s="32"/>
      <c r="AB197" s="41"/>
      <c r="AC197" s="45" t="str">
        <f>IF(Table1[[#This Row],[Auto Order]]=1,IF(Table1[[#This Row],[In stock]]&lt;Table1[[#This Row],[Min in stock]],1,""),"")</f>
        <v/>
      </c>
    </row>
    <row r="198" spans="1:29" x14ac:dyDescent="0.25">
      <c r="A198" s="71" t="s">
        <v>2057</v>
      </c>
      <c r="B198" s="32" t="s">
        <v>593</v>
      </c>
      <c r="C198" s="32" t="s">
        <v>327</v>
      </c>
      <c r="D198" s="32" t="s">
        <v>2058</v>
      </c>
      <c r="E198" s="32" t="s">
        <v>511</v>
      </c>
      <c r="F198" s="43">
        <v>0</v>
      </c>
      <c r="G198" s="43"/>
      <c r="H198" s="43"/>
      <c r="I19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19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8" s="32" t="s">
        <v>2056</v>
      </c>
      <c r="M198" s="39">
        <v>0.1</v>
      </c>
      <c r="N198" s="32"/>
      <c r="O198" s="39"/>
      <c r="P198" s="32"/>
      <c r="Q198" s="39"/>
      <c r="R198" s="32"/>
      <c r="S198" s="39"/>
      <c r="T198" s="45" t="str">
        <f>_xlfn.CONCAT("755-",Table1[[#This Row],[Art. Number]])</f>
        <v>755-ESR03EZPJ184</v>
      </c>
      <c r="U198" s="39">
        <v>9.8000000000000004E-2</v>
      </c>
      <c r="V198" s="32"/>
      <c r="W198" s="39"/>
      <c r="X198" s="32"/>
      <c r="Y198" s="39"/>
      <c r="Z198" s="39" t="str">
        <f>IF(Table1[[#This Row],[Other]]&lt;&gt;"","Other","")</f>
        <v/>
      </c>
      <c r="AA198" s="32"/>
      <c r="AB198" s="41"/>
      <c r="AC198" s="45" t="str">
        <f>IF(Table1[[#This Row],[Auto Order]]=1,IF(Table1[[#This Row],[In stock]]&lt;Table1[[#This Row],[Min in stock]],1,""),"")</f>
        <v/>
      </c>
    </row>
    <row r="199" spans="1:29" x14ac:dyDescent="0.25">
      <c r="A199" s="71" t="s">
        <v>1979</v>
      </c>
      <c r="B199" s="32" t="s">
        <v>593</v>
      </c>
      <c r="C199" s="32" t="s">
        <v>327</v>
      </c>
      <c r="D199" s="32" t="s">
        <v>1980</v>
      </c>
      <c r="E199" s="32" t="s">
        <v>511</v>
      </c>
      <c r="F199" s="43">
        <v>0</v>
      </c>
      <c r="G199" s="43"/>
      <c r="H199" s="43"/>
      <c r="I19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19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19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199" s="32" t="s">
        <v>1978</v>
      </c>
      <c r="M199" s="39">
        <v>0.1</v>
      </c>
      <c r="N199" s="32"/>
      <c r="O199" s="39"/>
      <c r="P199" s="32"/>
      <c r="Q199" s="39"/>
      <c r="R199" s="32"/>
      <c r="S199" s="39"/>
      <c r="T199" s="45" t="str">
        <f>_xlfn.CONCAT("755-",Table1[[#This Row],[Art. Number]])</f>
        <v>755-ESR03EZPJ185</v>
      </c>
      <c r="U199" s="39">
        <v>9.8000000000000004E-2</v>
      </c>
      <c r="V199" s="32"/>
      <c r="W199" s="39"/>
      <c r="X199" s="32"/>
      <c r="Y199" s="39"/>
      <c r="Z199" s="39" t="str">
        <f>IF(Table1[[#This Row],[Other]]&lt;&gt;"","Other","")</f>
        <v/>
      </c>
      <c r="AA199" s="32"/>
      <c r="AB199" s="41"/>
      <c r="AC199" s="45" t="str">
        <f>IF(Table1[[#This Row],[Auto Order]]=1,IF(Table1[[#This Row],[In stock]]&lt;Table1[[#This Row],[Min in stock]],1,""),"")</f>
        <v/>
      </c>
    </row>
    <row r="200" spans="1:29" x14ac:dyDescent="0.25">
      <c r="A200" s="71" t="s">
        <v>1744</v>
      </c>
      <c r="B200" s="32" t="s">
        <v>593</v>
      </c>
      <c r="C200" s="32" t="s">
        <v>327</v>
      </c>
      <c r="D200" s="32" t="s">
        <v>1745</v>
      </c>
      <c r="E200" s="32" t="s">
        <v>511</v>
      </c>
      <c r="F200" s="43">
        <v>0</v>
      </c>
      <c r="G200" s="43"/>
      <c r="H200" s="43"/>
      <c r="I20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0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0" s="32" t="s">
        <v>1743</v>
      </c>
      <c r="M200" s="39">
        <v>0.1</v>
      </c>
      <c r="N200" s="32"/>
      <c r="O200" s="39"/>
      <c r="P200" s="32"/>
      <c r="Q200" s="39"/>
      <c r="R200" s="32"/>
      <c r="S200" s="39"/>
      <c r="T200" s="45" t="str">
        <f>_xlfn.CONCAT("755-",Table1[[#This Row],[Art. Number]])</f>
        <v>755-ESR03EZPJ1R0</v>
      </c>
      <c r="U200" s="39">
        <v>9.8000000000000004E-2</v>
      </c>
      <c r="V200" s="32"/>
      <c r="W200" s="39"/>
      <c r="X200" s="32"/>
      <c r="Y200" s="39"/>
      <c r="Z200" s="39" t="str">
        <f>IF(Table1[[#This Row],[Other]]&lt;&gt;"","Other","")</f>
        <v/>
      </c>
      <c r="AA200" s="32"/>
      <c r="AB200" s="41"/>
      <c r="AC200" s="45" t="str">
        <f>IF(Table1[[#This Row],[Auto Order]]=1,IF(Table1[[#This Row],[In stock]]&lt;Table1[[#This Row],[Min in stock]],1,""),"")</f>
        <v/>
      </c>
    </row>
    <row r="201" spans="1:29" x14ac:dyDescent="0.25">
      <c r="A201" s="71" t="s">
        <v>1982</v>
      </c>
      <c r="B201" s="32" t="s">
        <v>593</v>
      </c>
      <c r="C201" s="32" t="s">
        <v>327</v>
      </c>
      <c r="D201" s="32" t="s">
        <v>1983</v>
      </c>
      <c r="E201" s="32" t="s">
        <v>511</v>
      </c>
      <c r="F201" s="43">
        <v>0</v>
      </c>
      <c r="G201" s="43"/>
      <c r="H201" s="43"/>
      <c r="I20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0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1" s="32" t="s">
        <v>1981</v>
      </c>
      <c r="M201" s="39">
        <v>0.1</v>
      </c>
      <c r="N201" s="32"/>
      <c r="O201" s="39"/>
      <c r="P201" s="32"/>
      <c r="Q201" s="39"/>
      <c r="R201" s="32"/>
      <c r="S201" s="39"/>
      <c r="T201" s="45" t="str">
        <f>_xlfn.CONCAT("755-",Table1[[#This Row],[Art. Number]])</f>
        <v>755-ESR03EZPJ1R1</v>
      </c>
      <c r="U201" s="39">
        <v>9.8000000000000004E-2</v>
      </c>
      <c r="V201" s="32"/>
      <c r="W201" s="39"/>
      <c r="X201" s="32"/>
      <c r="Y201" s="39"/>
      <c r="Z201" s="39" t="str">
        <f>IF(Table1[[#This Row],[Other]]&lt;&gt;"","Other","")</f>
        <v/>
      </c>
      <c r="AA201" s="32"/>
      <c r="AB201" s="41"/>
      <c r="AC201" s="45" t="str">
        <f>IF(Table1[[#This Row],[Auto Order]]=1,IF(Table1[[#This Row],[In stock]]&lt;Table1[[#This Row],[Min in stock]],1,""),"")</f>
        <v/>
      </c>
    </row>
    <row r="202" spans="1:29" x14ac:dyDescent="0.25">
      <c r="A202" s="71" t="s">
        <v>1906</v>
      </c>
      <c r="B202" s="32" t="s">
        <v>593</v>
      </c>
      <c r="C202" s="32" t="s">
        <v>327</v>
      </c>
      <c r="D202" s="32" t="s">
        <v>1907</v>
      </c>
      <c r="E202" s="32" t="s">
        <v>511</v>
      </c>
      <c r="F202" s="43">
        <v>0</v>
      </c>
      <c r="G202" s="43"/>
      <c r="H202" s="43"/>
      <c r="I20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0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2" s="32" t="s">
        <v>1905</v>
      </c>
      <c r="M202" s="39">
        <v>0.1</v>
      </c>
      <c r="N202" s="32"/>
      <c r="O202" s="39"/>
      <c r="P202" s="32"/>
      <c r="Q202" s="39"/>
      <c r="R202" s="32"/>
      <c r="S202" s="39"/>
      <c r="T202" s="45" t="str">
        <f>_xlfn.CONCAT("755-",Table1[[#This Row],[Art. Number]])</f>
        <v>755-ESR03EZPJ1R2</v>
      </c>
      <c r="U202" s="39">
        <v>9.8000000000000004E-2</v>
      </c>
      <c r="V202" s="32"/>
      <c r="W202" s="39"/>
      <c r="X202" s="32"/>
      <c r="Y202" s="39"/>
      <c r="Z202" s="39" t="str">
        <f>IF(Table1[[#This Row],[Other]]&lt;&gt;"","Other","")</f>
        <v/>
      </c>
      <c r="AA202" s="32"/>
      <c r="AB202" s="41"/>
      <c r="AC202" s="45" t="str">
        <f>IF(Table1[[#This Row],[Auto Order]]=1,IF(Table1[[#This Row],[In stock]]&lt;Table1[[#This Row],[Min in stock]],1,""),"")</f>
        <v/>
      </c>
    </row>
    <row r="203" spans="1:29" x14ac:dyDescent="0.25">
      <c r="A203" s="71" t="s">
        <v>1909</v>
      </c>
      <c r="B203" s="32" t="s">
        <v>593</v>
      </c>
      <c r="C203" s="32" t="s">
        <v>327</v>
      </c>
      <c r="D203" s="32" t="s">
        <v>1910</v>
      </c>
      <c r="E203" s="32" t="s">
        <v>511</v>
      </c>
      <c r="F203" s="43">
        <v>0</v>
      </c>
      <c r="G203" s="43"/>
      <c r="H203" s="43"/>
      <c r="I20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0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3" s="32" t="s">
        <v>1908</v>
      </c>
      <c r="M203" s="39">
        <v>0.1</v>
      </c>
      <c r="N203" s="32"/>
      <c r="O203" s="39"/>
      <c r="P203" s="32"/>
      <c r="Q203" s="39"/>
      <c r="R203" s="32"/>
      <c r="S203" s="39"/>
      <c r="T203" s="45" t="str">
        <f>_xlfn.CONCAT("755-",Table1[[#This Row],[Art. Number]])</f>
        <v>755-ESR03EZPJ1R3</v>
      </c>
      <c r="U203" s="39">
        <v>9.8000000000000004E-2</v>
      </c>
      <c r="V203" s="32"/>
      <c r="W203" s="39"/>
      <c r="X203" s="32"/>
      <c r="Y203" s="39"/>
      <c r="Z203" s="39" t="str">
        <f>IF(Table1[[#This Row],[Other]]&lt;&gt;"","Other","")</f>
        <v/>
      </c>
      <c r="AA203" s="32"/>
      <c r="AB203" s="41"/>
      <c r="AC203" s="45" t="str">
        <f>IF(Table1[[#This Row],[Auto Order]]=1,IF(Table1[[#This Row],[In stock]]&lt;Table1[[#This Row],[Min in stock]],1,""),"")</f>
        <v/>
      </c>
    </row>
    <row r="204" spans="1:29" x14ac:dyDescent="0.25">
      <c r="A204" s="71" t="s">
        <v>1913</v>
      </c>
      <c r="B204" s="32" t="s">
        <v>593</v>
      </c>
      <c r="C204" s="32" t="s">
        <v>327</v>
      </c>
      <c r="D204" s="32" t="s">
        <v>1914</v>
      </c>
      <c r="E204" s="32" t="s">
        <v>511</v>
      </c>
      <c r="F204" s="43">
        <v>0</v>
      </c>
      <c r="G204" s="43"/>
      <c r="H204" s="43"/>
      <c r="I20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0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4" s="32" t="s">
        <v>1912</v>
      </c>
      <c r="M204" s="39">
        <v>0.1</v>
      </c>
      <c r="N204" s="32"/>
      <c r="O204" s="39"/>
      <c r="P204" s="32"/>
      <c r="Q204" s="39"/>
      <c r="R204" s="32"/>
      <c r="S204" s="39"/>
      <c r="T204" s="45" t="str">
        <f>_xlfn.CONCAT("755-",Table1[[#This Row],[Art. Number]])</f>
        <v>755-ESR03EZPJ1R5</v>
      </c>
      <c r="U204" s="39">
        <v>9.8000000000000004E-2</v>
      </c>
      <c r="V204" s="32"/>
      <c r="W204" s="39"/>
      <c r="X204" s="32"/>
      <c r="Y204" s="39"/>
      <c r="Z204" s="39" t="str">
        <f>IF(Table1[[#This Row],[Other]]&lt;&gt;"","Other","")</f>
        <v/>
      </c>
      <c r="AA204" s="32"/>
      <c r="AB204" s="41"/>
      <c r="AC204" s="45" t="str">
        <f>IF(Table1[[#This Row],[Auto Order]]=1,IF(Table1[[#This Row],[In stock]]&lt;Table1[[#This Row],[Min in stock]],1,""),"")</f>
        <v/>
      </c>
    </row>
    <row r="205" spans="1:29" x14ac:dyDescent="0.25">
      <c r="A205" s="71" t="s">
        <v>2035</v>
      </c>
      <c r="B205" s="32" t="s">
        <v>593</v>
      </c>
      <c r="C205" s="32" t="s">
        <v>327</v>
      </c>
      <c r="D205" s="32" t="s">
        <v>2036</v>
      </c>
      <c r="E205" s="32" t="s">
        <v>511</v>
      </c>
      <c r="F205" s="43">
        <v>0</v>
      </c>
      <c r="G205" s="43"/>
      <c r="H205" s="43"/>
      <c r="I20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0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5" s="32" t="s">
        <v>2034</v>
      </c>
      <c r="M205" s="39">
        <v>0.1</v>
      </c>
      <c r="N205" s="32"/>
      <c r="O205" s="39"/>
      <c r="P205" s="32"/>
      <c r="Q205" s="39"/>
      <c r="R205" s="32"/>
      <c r="S205" s="39"/>
      <c r="T205" s="45" t="str">
        <f>_xlfn.CONCAT("755-",Table1[[#This Row],[Art. Number]])</f>
        <v>755-ESR03EZPJ1R6</v>
      </c>
      <c r="U205" s="39">
        <v>9.8000000000000004E-2</v>
      </c>
      <c r="V205" s="32"/>
      <c r="W205" s="39"/>
      <c r="X205" s="32"/>
      <c r="Y205" s="39"/>
      <c r="Z205" s="39" t="str">
        <f>IF(Table1[[#This Row],[Other]]&lt;&gt;"","Other","")</f>
        <v/>
      </c>
      <c r="AA205" s="32"/>
      <c r="AB205" s="41"/>
      <c r="AC205" s="45" t="str">
        <f>IF(Table1[[#This Row],[Auto Order]]=1,IF(Table1[[#This Row],[In stock]]&lt;Table1[[#This Row],[Min in stock]],1,""),"")</f>
        <v/>
      </c>
    </row>
    <row r="206" spans="1:29" x14ac:dyDescent="0.25">
      <c r="A206" s="71" t="s">
        <v>2094</v>
      </c>
      <c r="B206" s="32" t="s">
        <v>593</v>
      </c>
      <c r="C206" s="32" t="s">
        <v>327</v>
      </c>
      <c r="D206" s="32" t="s">
        <v>2095</v>
      </c>
      <c r="E206" s="32" t="s">
        <v>511</v>
      </c>
      <c r="F206" s="43">
        <v>0</v>
      </c>
      <c r="G206" s="43"/>
      <c r="H206" s="43"/>
      <c r="I20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0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6" s="32" t="s">
        <v>2093</v>
      </c>
      <c r="M206" s="39">
        <v>0.1</v>
      </c>
      <c r="N206" s="32"/>
      <c r="O206" s="39"/>
      <c r="P206" s="32"/>
      <c r="Q206" s="39"/>
      <c r="R206" s="32"/>
      <c r="S206" s="39"/>
      <c r="T206" s="45" t="str">
        <f>_xlfn.CONCAT("755-",Table1[[#This Row],[Art. Number]])</f>
        <v>755-ESR03EZPJ1R8</v>
      </c>
      <c r="U206" s="39">
        <v>9.8000000000000004E-2</v>
      </c>
      <c r="V206" s="32"/>
      <c r="W206" s="39"/>
      <c r="X206" s="32"/>
      <c r="Y206" s="39"/>
      <c r="Z206" s="39" t="str">
        <f>IF(Table1[[#This Row],[Other]]&lt;&gt;"","Other","")</f>
        <v/>
      </c>
      <c r="AA206" s="32"/>
      <c r="AB206" s="41"/>
      <c r="AC206" s="45" t="str">
        <f>IF(Table1[[#This Row],[Auto Order]]=1,IF(Table1[[#This Row],[In stock]]&lt;Table1[[#This Row],[Min in stock]],1,""),"")</f>
        <v/>
      </c>
    </row>
    <row r="207" spans="1:29" x14ac:dyDescent="0.25">
      <c r="A207" s="71" t="s">
        <v>2162</v>
      </c>
      <c r="B207" s="32" t="s">
        <v>593</v>
      </c>
      <c r="C207" s="32" t="s">
        <v>327</v>
      </c>
      <c r="D207" s="32" t="s">
        <v>2163</v>
      </c>
      <c r="E207" s="32" t="s">
        <v>511</v>
      </c>
      <c r="F207" s="43">
        <v>0</v>
      </c>
      <c r="G207" s="43"/>
      <c r="H207" s="43"/>
      <c r="I20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0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7" s="32" t="s">
        <v>2161</v>
      </c>
      <c r="M207" s="39">
        <v>0.1</v>
      </c>
      <c r="N207" s="32"/>
      <c r="O207" s="39"/>
      <c r="P207" s="32"/>
      <c r="Q207" s="39"/>
      <c r="R207" s="32"/>
      <c r="S207" s="39"/>
      <c r="T207" s="45" t="str">
        <f>_xlfn.CONCAT("755-",Table1[[#This Row],[Art. Number]])</f>
        <v>755-ESR03EZPJ200</v>
      </c>
      <c r="U207" s="39">
        <v>9.8000000000000004E-2</v>
      </c>
      <c r="V207" s="32"/>
      <c r="W207" s="39"/>
      <c r="X207" s="32"/>
      <c r="Y207" s="39"/>
      <c r="Z207" s="39" t="str">
        <f>IF(Table1[[#This Row],[Other]]&lt;&gt;"","Other","")</f>
        <v/>
      </c>
      <c r="AA207" s="32"/>
      <c r="AB207" s="41"/>
      <c r="AC207" s="45" t="str">
        <f>IF(Table1[[#This Row],[Auto Order]]=1,IF(Table1[[#This Row],[In stock]]&lt;Table1[[#This Row],[Min in stock]],1,""),"")</f>
        <v/>
      </c>
    </row>
    <row r="208" spans="1:29" x14ac:dyDescent="0.25">
      <c r="A208" s="71" t="s">
        <v>1729</v>
      </c>
      <c r="B208" s="32" t="s">
        <v>593</v>
      </c>
      <c r="C208" s="32" t="s">
        <v>327</v>
      </c>
      <c r="D208" s="32" t="s">
        <v>1730</v>
      </c>
      <c r="E208" s="32" t="s">
        <v>511</v>
      </c>
      <c r="F208" s="43">
        <v>0</v>
      </c>
      <c r="G208" s="43"/>
      <c r="H208" s="43"/>
      <c r="I20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0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8" s="32" t="s">
        <v>1728</v>
      </c>
      <c r="M208" s="39">
        <v>0.1</v>
      </c>
      <c r="N208" s="32"/>
      <c r="O208" s="39"/>
      <c r="P208" s="32"/>
      <c r="Q208" s="39"/>
      <c r="R208" s="32"/>
      <c r="S208" s="39"/>
      <c r="T208" s="45" t="str">
        <f>_xlfn.CONCAT("755-",Table1[[#This Row],[Art. Number]])</f>
        <v>755-ESR03EZPJ201</v>
      </c>
      <c r="U208" s="39">
        <v>9.8000000000000004E-2</v>
      </c>
      <c r="V208" s="32"/>
      <c r="W208" s="39"/>
      <c r="X208" s="32"/>
      <c r="Y208" s="39"/>
      <c r="Z208" s="39" t="str">
        <f>IF(Table1[[#This Row],[Other]]&lt;&gt;"","Other","")</f>
        <v/>
      </c>
      <c r="AA208" s="32"/>
      <c r="AB208" s="41"/>
      <c r="AC208" s="45" t="str">
        <f>IF(Table1[[#This Row],[Auto Order]]=1,IF(Table1[[#This Row],[In stock]]&lt;Table1[[#This Row],[Min in stock]],1,""),"")</f>
        <v/>
      </c>
    </row>
    <row r="209" spans="1:29" x14ac:dyDescent="0.25">
      <c r="A209" s="71" t="s">
        <v>1771</v>
      </c>
      <c r="B209" s="32" t="s">
        <v>593</v>
      </c>
      <c r="C209" s="32" t="s">
        <v>327</v>
      </c>
      <c r="D209" s="32" t="s">
        <v>1772</v>
      </c>
      <c r="E209" s="32" t="s">
        <v>511</v>
      </c>
      <c r="F209" s="43">
        <v>0</v>
      </c>
      <c r="G209" s="43"/>
      <c r="H209" s="43"/>
      <c r="I20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0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0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09" s="32" t="s">
        <v>1770</v>
      </c>
      <c r="M209" s="39">
        <v>0.1</v>
      </c>
      <c r="N209" s="32"/>
      <c r="O209" s="39"/>
      <c r="P209" s="32"/>
      <c r="Q209" s="39"/>
      <c r="R209" s="32"/>
      <c r="S209" s="39"/>
      <c r="T209" s="45" t="str">
        <f>_xlfn.CONCAT("755-",Table1[[#This Row],[Art. Number]])</f>
        <v>755-ESR03EZPJ202</v>
      </c>
      <c r="U209" s="39">
        <v>9.8000000000000004E-2</v>
      </c>
      <c r="V209" s="32"/>
      <c r="W209" s="39"/>
      <c r="X209" s="32"/>
      <c r="Y209" s="39"/>
      <c r="Z209" s="39" t="str">
        <f>IF(Table1[[#This Row],[Other]]&lt;&gt;"","Other","")</f>
        <v/>
      </c>
      <c r="AA209" s="32"/>
      <c r="AB209" s="41"/>
      <c r="AC209" s="45" t="str">
        <f>IF(Table1[[#This Row],[Auto Order]]=1,IF(Table1[[#This Row],[In stock]]&lt;Table1[[#This Row],[Min in stock]],1,""),"")</f>
        <v/>
      </c>
    </row>
    <row r="210" spans="1:29" x14ac:dyDescent="0.25">
      <c r="A210" s="71" t="s">
        <v>1851</v>
      </c>
      <c r="B210" s="32" t="s">
        <v>593</v>
      </c>
      <c r="C210" s="32" t="s">
        <v>327</v>
      </c>
      <c r="D210" s="32" t="s">
        <v>1852</v>
      </c>
      <c r="E210" s="32" t="s">
        <v>511</v>
      </c>
      <c r="F210" s="43">
        <v>0</v>
      </c>
      <c r="G210" s="43"/>
      <c r="H210" s="43"/>
      <c r="I2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0" s="32" t="s">
        <v>1850</v>
      </c>
      <c r="M210" s="39">
        <v>0.1</v>
      </c>
      <c r="N210" s="32"/>
      <c r="O210" s="39"/>
      <c r="P210" s="32"/>
      <c r="Q210" s="39"/>
      <c r="R210" s="32"/>
      <c r="S210" s="39"/>
      <c r="T210" s="45" t="str">
        <f>_xlfn.CONCAT("755-",Table1[[#This Row],[Art. Number]])</f>
        <v>755-ESR03EZPJ203</v>
      </c>
      <c r="U210" s="39">
        <v>9.8000000000000004E-2</v>
      </c>
      <c r="V210" s="32"/>
      <c r="W210" s="39"/>
      <c r="X210" s="32"/>
      <c r="Y210" s="39"/>
      <c r="Z210" s="39" t="str">
        <f>IF(Table1[[#This Row],[Other]]&lt;&gt;"","Other","")</f>
        <v/>
      </c>
      <c r="AA210" s="32"/>
      <c r="AB210" s="41"/>
      <c r="AC210" s="45" t="str">
        <f>IF(Table1[[#This Row],[Auto Order]]=1,IF(Table1[[#This Row],[In stock]]&lt;Table1[[#This Row],[Min in stock]],1,""),"")</f>
        <v/>
      </c>
    </row>
    <row r="211" spans="1:29" x14ac:dyDescent="0.25">
      <c r="A211" s="71" t="s">
        <v>2175</v>
      </c>
      <c r="B211" s="32" t="s">
        <v>593</v>
      </c>
      <c r="C211" s="32" t="s">
        <v>327</v>
      </c>
      <c r="D211" s="32" t="s">
        <v>2176</v>
      </c>
      <c r="E211" s="32" t="s">
        <v>511</v>
      </c>
      <c r="F211" s="43">
        <v>0</v>
      </c>
      <c r="G211" s="43"/>
      <c r="H211" s="43"/>
      <c r="I2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1" s="32" t="s">
        <v>2174</v>
      </c>
      <c r="M211" s="39">
        <v>0.1</v>
      </c>
      <c r="N211" s="32"/>
      <c r="O211" s="39"/>
      <c r="P211" s="32"/>
      <c r="Q211" s="39"/>
      <c r="R211" s="32"/>
      <c r="S211" s="39"/>
      <c r="T211" s="45" t="str">
        <f>_xlfn.CONCAT("755-",Table1[[#This Row],[Art. Number]])</f>
        <v>755-ESR03EZPJ204</v>
      </c>
      <c r="U211" s="39">
        <v>9.8000000000000004E-2</v>
      </c>
      <c r="V211" s="32"/>
      <c r="W211" s="39"/>
      <c r="X211" s="32"/>
      <c r="Y211" s="39"/>
      <c r="Z211" s="39" t="str">
        <f>IF(Table1[[#This Row],[Other]]&lt;&gt;"","Other","")</f>
        <v/>
      </c>
      <c r="AA211" s="32"/>
      <c r="AB211" s="41"/>
      <c r="AC211" s="45" t="str">
        <f>IF(Table1[[#This Row],[Auto Order]]=1,IF(Table1[[#This Row],[In stock]]&lt;Table1[[#This Row],[Min in stock]],1,""),"")</f>
        <v/>
      </c>
    </row>
    <row r="212" spans="1:29" x14ac:dyDescent="0.25">
      <c r="A212" s="71" t="s">
        <v>2140</v>
      </c>
      <c r="B212" s="32" t="s">
        <v>593</v>
      </c>
      <c r="C212" s="32" t="s">
        <v>327</v>
      </c>
      <c r="D212" s="32" t="s">
        <v>2141</v>
      </c>
      <c r="E212" s="32" t="s">
        <v>511</v>
      </c>
      <c r="F212" s="43">
        <v>0</v>
      </c>
      <c r="G212" s="43"/>
      <c r="H212" s="43"/>
      <c r="I2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2" s="32" t="s">
        <v>2139</v>
      </c>
      <c r="M212" s="39">
        <v>0.1</v>
      </c>
      <c r="N212" s="32"/>
      <c r="O212" s="39"/>
      <c r="P212" s="32"/>
      <c r="Q212" s="39"/>
      <c r="R212" s="32"/>
      <c r="S212" s="39"/>
      <c r="T212" s="45" t="str">
        <f>_xlfn.CONCAT("755-",Table1[[#This Row],[Art. Number]])</f>
        <v>755-ESR03EZPJ205</v>
      </c>
      <c r="U212" s="39">
        <v>9.8000000000000004E-2</v>
      </c>
      <c r="V212" s="32"/>
      <c r="W212" s="39"/>
      <c r="X212" s="32"/>
      <c r="Y212" s="39"/>
      <c r="Z212" s="39" t="str">
        <f>IF(Table1[[#This Row],[Other]]&lt;&gt;"","Other","")</f>
        <v/>
      </c>
      <c r="AA212" s="32"/>
      <c r="AB212" s="41"/>
      <c r="AC212" s="45" t="str">
        <f>IF(Table1[[#This Row],[Auto Order]]=1,IF(Table1[[#This Row],[In stock]]&lt;Table1[[#This Row],[Min in stock]],1,""),"")</f>
        <v/>
      </c>
    </row>
    <row r="213" spans="1:29" x14ac:dyDescent="0.25">
      <c r="A213" s="71" t="s">
        <v>1723</v>
      </c>
      <c r="B213" s="32" t="s">
        <v>593</v>
      </c>
      <c r="C213" s="32" t="s">
        <v>327</v>
      </c>
      <c r="D213" s="32" t="s">
        <v>1724</v>
      </c>
      <c r="E213" s="32" t="s">
        <v>511</v>
      </c>
      <c r="F213" s="43">
        <v>0</v>
      </c>
      <c r="G213" s="43"/>
      <c r="H213" s="43"/>
      <c r="I2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3" s="32" t="s">
        <v>1722</v>
      </c>
      <c r="M213" s="39">
        <v>0.1</v>
      </c>
      <c r="N213" s="32"/>
      <c r="O213" s="39"/>
      <c r="P213" s="32"/>
      <c r="Q213" s="39"/>
      <c r="R213" s="32"/>
      <c r="S213" s="39"/>
      <c r="T213" s="45" t="str">
        <f>_xlfn.CONCAT("755-",Table1[[#This Row],[Art. Number]])</f>
        <v>755-ESR03EZPJ220</v>
      </c>
      <c r="U213" s="39">
        <v>9.8000000000000004E-2</v>
      </c>
      <c r="V213" s="32"/>
      <c r="W213" s="39"/>
      <c r="X213" s="32"/>
      <c r="Y213" s="39"/>
      <c r="Z213" s="39" t="str">
        <f>IF(Table1[[#This Row],[Other]]&lt;&gt;"","Other","")</f>
        <v/>
      </c>
      <c r="AA213" s="32"/>
      <c r="AB213" s="41"/>
      <c r="AC213" s="45" t="str">
        <f>IF(Table1[[#This Row],[Auto Order]]=1,IF(Table1[[#This Row],[In stock]]&lt;Table1[[#This Row],[Min in stock]],1,""),"")</f>
        <v/>
      </c>
    </row>
    <row r="214" spans="1:29" x14ac:dyDescent="0.25">
      <c r="A214" s="71" t="s">
        <v>1842</v>
      </c>
      <c r="B214" s="32" t="s">
        <v>593</v>
      </c>
      <c r="C214" s="32" t="s">
        <v>327</v>
      </c>
      <c r="D214" s="32" t="s">
        <v>1843</v>
      </c>
      <c r="E214" s="32" t="s">
        <v>511</v>
      </c>
      <c r="F214" s="43">
        <v>0</v>
      </c>
      <c r="G214" s="43"/>
      <c r="H214" s="43"/>
      <c r="I2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4" s="32" t="s">
        <v>1841</v>
      </c>
      <c r="M214" s="39">
        <v>0.1</v>
      </c>
      <c r="N214" s="32"/>
      <c r="O214" s="39"/>
      <c r="P214" s="32"/>
      <c r="Q214" s="39"/>
      <c r="R214" s="32"/>
      <c r="S214" s="39"/>
      <c r="T214" s="45" t="str">
        <f>_xlfn.CONCAT("755-",Table1[[#This Row],[Art. Number]])</f>
        <v>755-ESR03EZPJ221</v>
      </c>
      <c r="U214" s="39">
        <v>9.8000000000000004E-2</v>
      </c>
      <c r="V214" s="32"/>
      <c r="W214" s="39"/>
      <c r="X214" s="32"/>
      <c r="Y214" s="39"/>
      <c r="Z214" s="39" t="str">
        <f>IF(Table1[[#This Row],[Other]]&lt;&gt;"","Other","")</f>
        <v/>
      </c>
      <c r="AA214" s="32"/>
      <c r="AB214" s="41"/>
      <c r="AC214" s="45" t="str">
        <f>IF(Table1[[#This Row],[Auto Order]]=1,IF(Table1[[#This Row],[In stock]]&lt;Table1[[#This Row],[Min in stock]],1,""),"")</f>
        <v/>
      </c>
    </row>
    <row r="215" spans="1:29" x14ac:dyDescent="0.25">
      <c r="A215" s="71" t="s">
        <v>2110</v>
      </c>
      <c r="B215" s="32" t="s">
        <v>593</v>
      </c>
      <c r="C215" s="32" t="s">
        <v>327</v>
      </c>
      <c r="D215" s="32" t="s">
        <v>2111</v>
      </c>
      <c r="E215" s="32" t="s">
        <v>511</v>
      </c>
      <c r="F215" s="43">
        <v>10</v>
      </c>
      <c r="G215" s="43">
        <v>10</v>
      </c>
      <c r="H215" s="43">
        <v>1</v>
      </c>
      <c r="I2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5" s="32" t="s">
        <v>2109</v>
      </c>
      <c r="M215" s="39">
        <v>0.1</v>
      </c>
      <c r="N215" s="32"/>
      <c r="O215" s="39"/>
      <c r="P215" s="32"/>
      <c r="Q215" s="39"/>
      <c r="R215" s="32"/>
      <c r="S215" s="39"/>
      <c r="T215" s="45" t="str">
        <f>_xlfn.CONCAT("755-",Table1[[#This Row],[Art. Number]])</f>
        <v>755-ESR03EZPJ222</v>
      </c>
      <c r="U215" s="39">
        <v>9.8000000000000004E-2</v>
      </c>
      <c r="V215" s="32"/>
      <c r="W215" s="39"/>
      <c r="X215" s="32"/>
      <c r="Y215" s="39"/>
      <c r="Z215" s="39" t="str">
        <f>IF(Table1[[#This Row],[Other]]&lt;&gt;"","Other","")</f>
        <v/>
      </c>
      <c r="AA215" s="32"/>
      <c r="AB215" s="41"/>
      <c r="AC215" s="45" t="str">
        <f>IF(Table1[[#This Row],[Auto Order]]=1,IF(Table1[[#This Row],[In stock]]&lt;Table1[[#This Row],[Min in stock]],1,""),"")</f>
        <v/>
      </c>
    </row>
    <row r="216" spans="1:29" x14ac:dyDescent="0.25">
      <c r="A216" s="71" t="s">
        <v>1824</v>
      </c>
      <c r="B216" s="32" t="s">
        <v>593</v>
      </c>
      <c r="C216" s="32" t="s">
        <v>327</v>
      </c>
      <c r="D216" s="32" t="s">
        <v>1825</v>
      </c>
      <c r="E216" s="32" t="s">
        <v>511</v>
      </c>
      <c r="F216" s="43">
        <v>0</v>
      </c>
      <c r="G216" s="43"/>
      <c r="H216" s="43"/>
      <c r="I2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6" s="32" t="s">
        <v>1823</v>
      </c>
      <c r="M216" s="39">
        <v>0.1</v>
      </c>
      <c r="N216" s="32"/>
      <c r="O216" s="39"/>
      <c r="P216" s="32"/>
      <c r="Q216" s="39"/>
      <c r="R216" s="32"/>
      <c r="S216" s="39"/>
      <c r="T216" s="45" t="str">
        <f>_xlfn.CONCAT("755-",Table1[[#This Row],[Art. Number]])</f>
        <v>755-ESR03EZPJ223</v>
      </c>
      <c r="U216" s="39">
        <v>9.8000000000000004E-2</v>
      </c>
      <c r="V216" s="32"/>
      <c r="W216" s="39"/>
      <c r="X216" s="32"/>
      <c r="Y216" s="39"/>
      <c r="Z216" s="39" t="str">
        <f>IF(Table1[[#This Row],[Other]]&lt;&gt;"","Other","")</f>
        <v/>
      </c>
      <c r="AA216" s="32"/>
      <c r="AB216" s="41"/>
      <c r="AC216" s="45" t="str">
        <f>IF(Table1[[#This Row],[Auto Order]]=1,IF(Table1[[#This Row],[In stock]]&lt;Table1[[#This Row],[Min in stock]],1,""),"")</f>
        <v/>
      </c>
    </row>
    <row r="217" spans="1:29" x14ac:dyDescent="0.25">
      <c r="A217" s="71" t="s">
        <v>1916</v>
      </c>
      <c r="B217" s="32" t="s">
        <v>593</v>
      </c>
      <c r="C217" s="32" t="s">
        <v>327</v>
      </c>
      <c r="D217" s="32" t="s">
        <v>1917</v>
      </c>
      <c r="E217" s="32" t="s">
        <v>511</v>
      </c>
      <c r="F217" s="43">
        <v>0</v>
      </c>
      <c r="G217" s="43"/>
      <c r="H217" s="43"/>
      <c r="I2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7" s="32" t="s">
        <v>1915</v>
      </c>
      <c r="M217" s="39">
        <v>0.1</v>
      </c>
      <c r="N217" s="32"/>
      <c r="O217" s="39"/>
      <c r="P217" s="32"/>
      <c r="Q217" s="39"/>
      <c r="R217" s="32"/>
      <c r="S217" s="39"/>
      <c r="T217" s="45" t="str">
        <f>_xlfn.CONCAT("755-",Table1[[#This Row],[Art. Number]])</f>
        <v>755-ESR03EZPJ224</v>
      </c>
      <c r="U217" s="39">
        <v>9.8000000000000004E-2</v>
      </c>
      <c r="V217" s="32"/>
      <c r="W217" s="39"/>
      <c r="X217" s="32"/>
      <c r="Y217" s="39"/>
      <c r="Z217" s="39" t="str">
        <f>IF(Table1[[#This Row],[Other]]&lt;&gt;"","Other","")</f>
        <v/>
      </c>
      <c r="AA217" s="32"/>
      <c r="AB217" s="41"/>
      <c r="AC217" s="45" t="str">
        <f>IF(Table1[[#This Row],[Auto Order]]=1,IF(Table1[[#This Row],[In stock]]&lt;Table1[[#This Row],[Min in stock]],1,""),"")</f>
        <v/>
      </c>
    </row>
    <row r="218" spans="1:29" x14ac:dyDescent="0.25">
      <c r="A218" s="71" t="s">
        <v>1885</v>
      </c>
      <c r="B218" s="32" t="s">
        <v>593</v>
      </c>
      <c r="C218" s="32" t="s">
        <v>327</v>
      </c>
      <c r="D218" s="32" t="s">
        <v>1886</v>
      </c>
      <c r="E218" s="32" t="s">
        <v>511</v>
      </c>
      <c r="F218" s="43">
        <v>0</v>
      </c>
      <c r="G218" s="43"/>
      <c r="H218" s="43"/>
      <c r="I2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8" s="32" t="s">
        <v>1884</v>
      </c>
      <c r="M218" s="39">
        <v>0.1</v>
      </c>
      <c r="N218" s="32"/>
      <c r="O218" s="39"/>
      <c r="P218" s="32"/>
      <c r="Q218" s="39"/>
      <c r="R218" s="32"/>
      <c r="S218" s="39"/>
      <c r="T218" s="45" t="str">
        <f>_xlfn.CONCAT("755-",Table1[[#This Row],[Art. Number]])</f>
        <v>755-ESR03EZPJ225</v>
      </c>
      <c r="U218" s="39">
        <v>9.8000000000000004E-2</v>
      </c>
      <c r="V218" s="32"/>
      <c r="W218" s="39"/>
      <c r="X218" s="32"/>
      <c r="Y218" s="39"/>
      <c r="Z218" s="39" t="str">
        <f>IF(Table1[[#This Row],[Other]]&lt;&gt;"","Other","")</f>
        <v/>
      </c>
      <c r="AA218" s="32"/>
      <c r="AB218" s="41"/>
      <c r="AC218" s="45" t="str">
        <f>IF(Table1[[#This Row],[Auto Order]]=1,IF(Table1[[#This Row],[In stock]]&lt;Table1[[#This Row],[Min in stock]],1,""),"")</f>
        <v/>
      </c>
    </row>
    <row r="219" spans="1:29" x14ac:dyDescent="0.25">
      <c r="A219" s="71" t="s">
        <v>2165</v>
      </c>
      <c r="B219" s="32" t="s">
        <v>593</v>
      </c>
      <c r="C219" s="32" t="s">
        <v>327</v>
      </c>
      <c r="D219" s="32" t="s">
        <v>2166</v>
      </c>
      <c r="E219" s="32" t="s">
        <v>511</v>
      </c>
      <c r="F219" s="43">
        <v>0</v>
      </c>
      <c r="G219" s="43"/>
      <c r="H219" s="43"/>
      <c r="I2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19" s="32" t="s">
        <v>2164</v>
      </c>
      <c r="M219" s="39">
        <v>0.1</v>
      </c>
      <c r="N219" s="32"/>
      <c r="O219" s="39"/>
      <c r="P219" s="32"/>
      <c r="Q219" s="39"/>
      <c r="R219" s="32"/>
      <c r="S219" s="39"/>
      <c r="T219" s="45" t="str">
        <f>_xlfn.CONCAT("755-",Table1[[#This Row],[Art. Number]])</f>
        <v>755-ESR03EZPJ240</v>
      </c>
      <c r="U219" s="39">
        <v>9.8000000000000004E-2</v>
      </c>
      <c r="V219" s="32"/>
      <c r="W219" s="39"/>
      <c r="X219" s="32"/>
      <c r="Y219" s="39"/>
      <c r="Z219" s="39" t="str">
        <f>IF(Table1[[#This Row],[Other]]&lt;&gt;"","Other","")</f>
        <v/>
      </c>
      <c r="AA219" s="32"/>
      <c r="AB219" s="41"/>
      <c r="AC219" s="45" t="str">
        <f>IF(Table1[[#This Row],[Auto Order]]=1,IF(Table1[[#This Row],[In stock]]&lt;Table1[[#This Row],[Min in stock]],1,""),"")</f>
        <v/>
      </c>
    </row>
    <row r="220" spans="1:29" x14ac:dyDescent="0.25">
      <c r="A220" s="71" t="s">
        <v>1735</v>
      </c>
      <c r="B220" s="32" t="s">
        <v>593</v>
      </c>
      <c r="C220" s="32" t="s">
        <v>327</v>
      </c>
      <c r="D220" s="32" t="s">
        <v>1736</v>
      </c>
      <c r="E220" s="32" t="s">
        <v>511</v>
      </c>
      <c r="F220" s="43">
        <v>0</v>
      </c>
      <c r="G220" s="43"/>
      <c r="H220" s="43"/>
      <c r="I2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0" s="32" t="s">
        <v>1734</v>
      </c>
      <c r="M220" s="39">
        <v>0.1</v>
      </c>
      <c r="N220" s="32"/>
      <c r="O220" s="39"/>
      <c r="P220" s="32"/>
      <c r="Q220" s="39"/>
      <c r="R220" s="32"/>
      <c r="S220" s="39"/>
      <c r="T220" s="45" t="str">
        <f>_xlfn.CONCAT("755-",Table1[[#This Row],[Art. Number]])</f>
        <v>755-ESR03EZPJ241</v>
      </c>
      <c r="U220" s="39">
        <v>9.8000000000000004E-2</v>
      </c>
      <c r="V220" s="32"/>
      <c r="W220" s="39"/>
      <c r="X220" s="32"/>
      <c r="Y220" s="39"/>
      <c r="Z220" s="39" t="str">
        <f>IF(Table1[[#This Row],[Other]]&lt;&gt;"","Other","")</f>
        <v/>
      </c>
      <c r="AA220" s="32"/>
      <c r="AB220" s="41"/>
      <c r="AC220" s="45" t="str">
        <f>IF(Table1[[#This Row],[Auto Order]]=1,IF(Table1[[#This Row],[In stock]]&lt;Table1[[#This Row],[Min in stock]],1,""),"")</f>
        <v/>
      </c>
    </row>
    <row r="221" spans="1:29" x14ac:dyDescent="0.25">
      <c r="A221" s="71" t="s">
        <v>2159</v>
      </c>
      <c r="B221" s="32" t="s">
        <v>593</v>
      </c>
      <c r="C221" s="32" t="s">
        <v>327</v>
      </c>
      <c r="D221" s="32" t="s">
        <v>2160</v>
      </c>
      <c r="E221" s="32" t="s">
        <v>511</v>
      </c>
      <c r="F221" s="43">
        <v>0</v>
      </c>
      <c r="G221" s="43"/>
      <c r="H221" s="43"/>
      <c r="I2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1" s="32" t="s">
        <v>2158</v>
      </c>
      <c r="M221" s="39">
        <v>0.1</v>
      </c>
      <c r="N221" s="32"/>
      <c r="O221" s="39"/>
      <c r="P221" s="32"/>
      <c r="Q221" s="39"/>
      <c r="R221" s="32"/>
      <c r="S221" s="39"/>
      <c r="T221" s="45" t="str">
        <f>_xlfn.CONCAT("755-",Table1[[#This Row],[Art. Number]])</f>
        <v>755-ESR03EZPJ242</v>
      </c>
      <c r="U221" s="39">
        <v>9.8000000000000004E-2</v>
      </c>
      <c r="V221" s="32"/>
      <c r="W221" s="39"/>
      <c r="X221" s="32"/>
      <c r="Y221" s="39"/>
      <c r="Z221" s="39" t="str">
        <f>IF(Table1[[#This Row],[Other]]&lt;&gt;"","Other","")</f>
        <v/>
      </c>
      <c r="AA221" s="32"/>
      <c r="AB221" s="41"/>
      <c r="AC221" s="45" t="str">
        <f>IF(Table1[[#This Row],[Auto Order]]=1,IF(Table1[[#This Row],[In stock]]&lt;Table1[[#This Row],[Min in stock]],1,""),"")</f>
        <v/>
      </c>
    </row>
    <row r="222" spans="1:29" x14ac:dyDescent="0.25">
      <c r="A222" s="71" t="s">
        <v>1919</v>
      </c>
      <c r="B222" s="32" t="s">
        <v>593</v>
      </c>
      <c r="C222" s="32" t="s">
        <v>327</v>
      </c>
      <c r="D222" s="32" t="s">
        <v>1920</v>
      </c>
      <c r="E222" s="32" t="s">
        <v>511</v>
      </c>
      <c r="F222" s="43">
        <v>0</v>
      </c>
      <c r="G222" s="43"/>
      <c r="H222" s="43"/>
      <c r="I2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2" s="32" t="s">
        <v>1918</v>
      </c>
      <c r="M222" s="39">
        <v>0.1</v>
      </c>
      <c r="N222" s="32"/>
      <c r="O222" s="39"/>
      <c r="P222" s="32"/>
      <c r="Q222" s="39"/>
      <c r="R222" s="32"/>
      <c r="S222" s="39"/>
      <c r="T222" s="45" t="str">
        <f>_xlfn.CONCAT("755-",Table1[[#This Row],[Art. Number]])</f>
        <v>755-ESR03EZPJ243</v>
      </c>
      <c r="U222" s="39">
        <v>9.8000000000000004E-2</v>
      </c>
      <c r="V222" s="32"/>
      <c r="W222" s="39"/>
      <c r="X222" s="32"/>
      <c r="Y222" s="39"/>
      <c r="Z222" s="39" t="str">
        <f>IF(Table1[[#This Row],[Other]]&lt;&gt;"","Other","")</f>
        <v/>
      </c>
      <c r="AA222" s="32"/>
      <c r="AB222" s="41"/>
      <c r="AC222" s="45" t="str">
        <f>IF(Table1[[#This Row],[Auto Order]]=1,IF(Table1[[#This Row],[In stock]]&lt;Table1[[#This Row],[Min in stock]],1,""),"")</f>
        <v/>
      </c>
    </row>
    <row r="223" spans="1:29" x14ac:dyDescent="0.25">
      <c r="A223" s="71" t="s">
        <v>2168</v>
      </c>
      <c r="B223" s="32" t="s">
        <v>593</v>
      </c>
      <c r="C223" s="32" t="s">
        <v>327</v>
      </c>
      <c r="D223" s="32" t="s">
        <v>2169</v>
      </c>
      <c r="E223" s="32" t="s">
        <v>511</v>
      </c>
      <c r="F223" s="43">
        <v>0</v>
      </c>
      <c r="G223" s="43"/>
      <c r="H223" s="43"/>
      <c r="I2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3" s="32" t="s">
        <v>2167</v>
      </c>
      <c r="M223" s="39">
        <v>0.1</v>
      </c>
      <c r="N223" s="32"/>
      <c r="O223" s="39"/>
      <c r="P223" s="32"/>
      <c r="Q223" s="39"/>
      <c r="R223" s="32"/>
      <c r="S223" s="39"/>
      <c r="T223" s="45" t="str">
        <f>_xlfn.CONCAT("755-",Table1[[#This Row],[Art. Number]])</f>
        <v>755-ESR03EZPJ244</v>
      </c>
      <c r="U223" s="39">
        <v>9.8000000000000004E-2</v>
      </c>
      <c r="V223" s="32"/>
      <c r="W223" s="39"/>
      <c r="X223" s="32"/>
      <c r="Y223" s="39"/>
      <c r="Z223" s="39" t="str">
        <f>IF(Table1[[#This Row],[Other]]&lt;&gt;"","Other","")</f>
        <v/>
      </c>
      <c r="AA223" s="32"/>
      <c r="AB223" s="41"/>
      <c r="AC223" s="45" t="str">
        <f>IF(Table1[[#This Row],[Auto Order]]=1,IF(Table1[[#This Row],[In stock]]&lt;Table1[[#This Row],[Min in stock]],1,""),"")</f>
        <v/>
      </c>
    </row>
    <row r="224" spans="1:29" x14ac:dyDescent="0.25">
      <c r="A224" s="71" t="s">
        <v>1922</v>
      </c>
      <c r="B224" s="32" t="s">
        <v>593</v>
      </c>
      <c r="C224" s="32" t="s">
        <v>327</v>
      </c>
      <c r="D224" s="32" t="s">
        <v>1923</v>
      </c>
      <c r="E224" s="32" t="s">
        <v>511</v>
      </c>
      <c r="F224" s="43">
        <v>0</v>
      </c>
      <c r="G224" s="43"/>
      <c r="H224" s="43"/>
      <c r="I2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4" s="32" t="s">
        <v>1921</v>
      </c>
      <c r="M224" s="39">
        <v>0.1</v>
      </c>
      <c r="N224" s="32"/>
      <c r="O224" s="39"/>
      <c r="P224" s="32"/>
      <c r="Q224" s="39"/>
      <c r="R224" s="32"/>
      <c r="S224" s="39"/>
      <c r="T224" s="45" t="str">
        <f>_xlfn.CONCAT("755-",Table1[[#This Row],[Art. Number]])</f>
        <v>755-ESR03EZPJ245</v>
      </c>
      <c r="U224" s="39">
        <v>9.8000000000000004E-2</v>
      </c>
      <c r="V224" s="32"/>
      <c r="W224" s="39"/>
      <c r="X224" s="32"/>
      <c r="Y224" s="39"/>
      <c r="Z224" s="39" t="str">
        <f>IF(Table1[[#This Row],[Other]]&lt;&gt;"","Other","")</f>
        <v/>
      </c>
      <c r="AA224" s="32"/>
      <c r="AB224" s="41"/>
      <c r="AC224" s="45" t="str">
        <f>IF(Table1[[#This Row],[Auto Order]]=1,IF(Table1[[#This Row],[In stock]]&lt;Table1[[#This Row],[Min in stock]],1,""),"")</f>
        <v/>
      </c>
    </row>
    <row r="225" spans="1:29" x14ac:dyDescent="0.25">
      <c r="A225" s="71" t="s">
        <v>1780</v>
      </c>
      <c r="B225" s="32" t="s">
        <v>593</v>
      </c>
      <c r="C225" s="32" t="s">
        <v>327</v>
      </c>
      <c r="D225" s="32" t="s">
        <v>1781</v>
      </c>
      <c r="E225" s="32" t="s">
        <v>511</v>
      </c>
      <c r="F225" s="43">
        <v>0</v>
      </c>
      <c r="G225" s="43"/>
      <c r="H225" s="43"/>
      <c r="I2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5" s="32" t="s">
        <v>1779</v>
      </c>
      <c r="M225" s="39">
        <v>0.1</v>
      </c>
      <c r="N225" s="32"/>
      <c r="O225" s="39"/>
      <c r="P225" s="32"/>
      <c r="Q225" s="39"/>
      <c r="R225" s="32"/>
      <c r="S225" s="39"/>
      <c r="T225" s="45" t="str">
        <f>_xlfn.CONCAT("755-",Table1[[#This Row],[Art. Number]])</f>
        <v>755-ESR03EZPJ270</v>
      </c>
      <c r="U225" s="39">
        <v>9.8000000000000004E-2</v>
      </c>
      <c r="V225" s="32"/>
      <c r="W225" s="39"/>
      <c r="X225" s="32"/>
      <c r="Y225" s="39"/>
      <c r="Z225" s="39" t="str">
        <f>IF(Table1[[#This Row],[Other]]&lt;&gt;"","Other","")</f>
        <v/>
      </c>
      <c r="AA225" s="32"/>
      <c r="AB225" s="41"/>
      <c r="AC225" s="45" t="str">
        <f>IF(Table1[[#This Row],[Auto Order]]=1,IF(Table1[[#This Row],[In stock]]&lt;Table1[[#This Row],[Min in stock]],1,""),"")</f>
        <v/>
      </c>
    </row>
    <row r="226" spans="1:29" x14ac:dyDescent="0.25">
      <c r="A226" s="67" t="s">
        <v>1006</v>
      </c>
      <c r="B226" s="32" t="s">
        <v>593</v>
      </c>
      <c r="C226" s="32" t="s">
        <v>1426</v>
      </c>
      <c r="D226" s="32" t="s">
        <v>1007</v>
      </c>
      <c r="E226" s="32" t="s">
        <v>511</v>
      </c>
      <c r="F226" s="43">
        <v>7</v>
      </c>
      <c r="G226" s="43"/>
      <c r="H226" s="43"/>
      <c r="I2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6" s="32" t="s">
        <v>1005</v>
      </c>
      <c r="M226" s="39">
        <v>0.1</v>
      </c>
      <c r="N226" s="32"/>
      <c r="O226" s="39"/>
      <c r="P226" s="32"/>
      <c r="Q226" s="39"/>
      <c r="R226" s="32"/>
      <c r="S226" s="39"/>
      <c r="T226" s="45" t="str">
        <f>_xlfn.CONCAT("755-",Table1[[#This Row],[Art. Number]])</f>
        <v>755-ESR03EZPJ271</v>
      </c>
      <c r="U226" s="39">
        <v>9.8000000000000004E-2</v>
      </c>
      <c r="V226" s="32"/>
      <c r="W226" s="39"/>
      <c r="X226" s="32"/>
      <c r="Y226" s="39"/>
      <c r="Z226" s="39" t="str">
        <f>IF(Table1[[#This Row],[Other]]&lt;&gt;"","Other","")</f>
        <v/>
      </c>
      <c r="AA226" s="32"/>
      <c r="AB226" s="41"/>
      <c r="AC226" s="45" t="str">
        <f>IF(Table1[[#This Row],[Auto Order]]=1,IF(Table1[[#This Row],[In stock]]&lt;Table1[[#This Row],[Min in stock]],1,""),"")</f>
        <v/>
      </c>
    </row>
    <row r="227" spans="1:29" x14ac:dyDescent="0.25">
      <c r="A227" s="71" t="s">
        <v>1854</v>
      </c>
      <c r="B227" s="32" t="s">
        <v>593</v>
      </c>
      <c r="C227" s="32" t="s">
        <v>327</v>
      </c>
      <c r="D227" s="32" t="s">
        <v>1855</v>
      </c>
      <c r="E227" s="32" t="s">
        <v>511</v>
      </c>
      <c r="F227" s="43">
        <v>10</v>
      </c>
      <c r="G227" s="43">
        <v>10</v>
      </c>
      <c r="H227" s="43">
        <v>1</v>
      </c>
      <c r="I2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7" s="32" t="s">
        <v>1853</v>
      </c>
      <c r="M227" s="39">
        <v>0.1</v>
      </c>
      <c r="N227" s="32"/>
      <c r="O227" s="39"/>
      <c r="P227" s="32"/>
      <c r="Q227" s="39"/>
      <c r="R227" s="32"/>
      <c r="S227" s="39"/>
      <c r="T227" s="45" t="str">
        <f>_xlfn.CONCAT("755-",Table1[[#This Row],[Art. Number]])</f>
        <v>755-ESR03EZPJ272</v>
      </c>
      <c r="U227" s="39">
        <v>9.8000000000000004E-2</v>
      </c>
      <c r="V227" s="32"/>
      <c r="W227" s="39"/>
      <c r="X227" s="32"/>
      <c r="Y227" s="39"/>
      <c r="Z227" s="39" t="str">
        <f>IF(Table1[[#This Row],[Other]]&lt;&gt;"","Other","")</f>
        <v/>
      </c>
      <c r="AA227" s="32"/>
      <c r="AB227" s="41"/>
      <c r="AC227" s="45" t="str">
        <f>IF(Table1[[#This Row],[Auto Order]]=1,IF(Table1[[#This Row],[In stock]]&lt;Table1[[#This Row],[Min in stock]],1,""),"")</f>
        <v/>
      </c>
    </row>
    <row r="228" spans="1:29" x14ac:dyDescent="0.25">
      <c r="A228" s="67" t="s">
        <v>1001</v>
      </c>
      <c r="B228" s="32" t="s">
        <v>593</v>
      </c>
      <c r="C228" s="32" t="s">
        <v>1417</v>
      </c>
      <c r="D228" s="32" t="s">
        <v>1002</v>
      </c>
      <c r="E228" s="32" t="s">
        <v>511</v>
      </c>
      <c r="F228" s="43">
        <v>7</v>
      </c>
      <c r="G228" s="43"/>
      <c r="H228" s="43"/>
      <c r="I2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8" s="32" t="s">
        <v>1000</v>
      </c>
      <c r="M228" s="39">
        <v>0.1</v>
      </c>
      <c r="N228" s="32"/>
      <c r="O228" s="39"/>
      <c r="P228" s="32"/>
      <c r="Q228" s="39"/>
      <c r="R228" s="32"/>
      <c r="S228" s="39"/>
      <c r="T228" s="45" t="str">
        <f>_xlfn.CONCAT("755-",Table1[[#This Row],[Art. Number]])</f>
        <v>755-ESR03EZPJ273</v>
      </c>
      <c r="U228" s="39">
        <v>9.8000000000000004E-2</v>
      </c>
      <c r="V228" s="32"/>
      <c r="W228" s="39"/>
      <c r="X228" s="32"/>
      <c r="Y228" s="39"/>
      <c r="Z228" s="39" t="str">
        <f>IF(Table1[[#This Row],[Other]]&lt;&gt;"","Other","")</f>
        <v/>
      </c>
      <c r="AA228" s="32"/>
      <c r="AB228" s="41"/>
      <c r="AC228" s="45" t="str">
        <f>IF(Table1[[#This Row],[Auto Order]]=1,IF(Table1[[#This Row],[In stock]]&lt;Table1[[#This Row],[Min in stock]],1,""),"")</f>
        <v/>
      </c>
    </row>
    <row r="229" spans="1:29" x14ac:dyDescent="0.25">
      <c r="A229" s="71" t="s">
        <v>2155</v>
      </c>
      <c r="B229" s="32" t="s">
        <v>593</v>
      </c>
      <c r="C229" s="32" t="s">
        <v>327</v>
      </c>
      <c r="D229" s="32" t="s">
        <v>2156</v>
      </c>
      <c r="E229" s="32" t="s">
        <v>511</v>
      </c>
      <c r="F229" s="43">
        <v>0</v>
      </c>
      <c r="G229" s="43"/>
      <c r="H229" s="43"/>
      <c r="I2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29" s="32" t="s">
        <v>2154</v>
      </c>
      <c r="M229" s="39">
        <v>0.1</v>
      </c>
      <c r="N229" s="32"/>
      <c r="O229" s="39"/>
      <c r="P229" s="32"/>
      <c r="Q229" s="39"/>
      <c r="R229" s="32"/>
      <c r="S229" s="39"/>
      <c r="T229" s="45" t="str">
        <f>_xlfn.CONCAT("755-",Table1[[#This Row],[Art. Number]])</f>
        <v>755-ESR03EZPJ274</v>
      </c>
      <c r="U229" s="39">
        <v>9.8000000000000004E-2</v>
      </c>
      <c r="V229" s="32"/>
      <c r="W229" s="39"/>
      <c r="X229" s="32"/>
      <c r="Y229" s="39"/>
      <c r="Z229" s="39" t="str">
        <f>IF(Table1[[#This Row],[Other]]&lt;&gt;"","Other","")</f>
        <v/>
      </c>
      <c r="AA229" s="32"/>
      <c r="AB229" s="41"/>
      <c r="AC229" s="45" t="str">
        <f>IF(Table1[[#This Row],[Auto Order]]=1,IF(Table1[[#This Row],[In stock]]&lt;Table1[[#This Row],[Min in stock]],1,""),"")</f>
        <v/>
      </c>
    </row>
    <row r="230" spans="1:29" x14ac:dyDescent="0.25">
      <c r="A230" s="71" t="s">
        <v>1806</v>
      </c>
      <c r="B230" s="32" t="s">
        <v>593</v>
      </c>
      <c r="C230" s="32" t="s">
        <v>327</v>
      </c>
      <c r="D230" s="32" t="s">
        <v>1807</v>
      </c>
      <c r="E230" s="32" t="s">
        <v>511</v>
      </c>
      <c r="F230" s="43">
        <v>0</v>
      </c>
      <c r="G230" s="43"/>
      <c r="H230" s="43"/>
      <c r="I2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0" s="32" t="s">
        <v>1805</v>
      </c>
      <c r="M230" s="39">
        <v>0.1</v>
      </c>
      <c r="N230" s="32"/>
      <c r="O230" s="39"/>
      <c r="P230" s="32"/>
      <c r="Q230" s="39"/>
      <c r="R230" s="32"/>
      <c r="S230" s="39"/>
      <c r="T230" s="45" t="str">
        <f>_xlfn.CONCAT("755-",Table1[[#This Row],[Art. Number]])</f>
        <v>755-ESR03EZPJ2R0</v>
      </c>
      <c r="U230" s="39">
        <v>9.8000000000000004E-2</v>
      </c>
      <c r="V230" s="32"/>
      <c r="W230" s="39"/>
      <c r="X230" s="32"/>
      <c r="Y230" s="39"/>
      <c r="Z230" s="39" t="str">
        <f>IF(Table1[[#This Row],[Other]]&lt;&gt;"","Other","")</f>
        <v/>
      </c>
      <c r="AA230" s="32"/>
      <c r="AB230" s="41"/>
      <c r="AC230" s="45" t="str">
        <f>IF(Table1[[#This Row],[Auto Order]]=1,IF(Table1[[#This Row],[In stock]]&lt;Table1[[#This Row],[Min in stock]],1,""),"")</f>
        <v/>
      </c>
    </row>
    <row r="231" spans="1:29" x14ac:dyDescent="0.25">
      <c r="A231" s="71" t="s">
        <v>1732</v>
      </c>
      <c r="B231" s="32" t="s">
        <v>593</v>
      </c>
      <c r="C231" s="32" t="s">
        <v>327</v>
      </c>
      <c r="D231" s="32" t="s">
        <v>1733</v>
      </c>
      <c r="E231" s="32" t="s">
        <v>511</v>
      </c>
      <c r="F231" s="43">
        <v>0</v>
      </c>
      <c r="G231" s="43"/>
      <c r="H231" s="43"/>
      <c r="I2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1" s="32" t="s">
        <v>1731</v>
      </c>
      <c r="M231" s="39">
        <v>0.1</v>
      </c>
      <c r="N231" s="32"/>
      <c r="O231" s="39"/>
      <c r="P231" s="32"/>
      <c r="Q231" s="39"/>
      <c r="R231" s="32"/>
      <c r="S231" s="39"/>
      <c r="T231" s="45" t="str">
        <f>_xlfn.CONCAT("755-",Table1[[#This Row],[Art. Number]])</f>
        <v>755-ESR03EZPJ2R2</v>
      </c>
      <c r="U231" s="39">
        <v>9.8000000000000004E-2</v>
      </c>
      <c r="V231" s="32"/>
      <c r="W231" s="39"/>
      <c r="X231" s="32"/>
      <c r="Y231" s="39"/>
      <c r="Z231" s="39" t="str">
        <f>IF(Table1[[#This Row],[Other]]&lt;&gt;"","Other","")</f>
        <v/>
      </c>
      <c r="AA231" s="32"/>
      <c r="AB231" s="41"/>
      <c r="AC231" s="45" t="str">
        <f>IF(Table1[[#This Row],[Auto Order]]=1,IF(Table1[[#This Row],[In stock]]&lt;Table1[[#This Row],[Min in stock]],1,""),"")</f>
        <v/>
      </c>
    </row>
    <row r="232" spans="1:29" x14ac:dyDescent="0.25">
      <c r="A232" s="71" t="s">
        <v>2181</v>
      </c>
      <c r="B232" s="32" t="s">
        <v>593</v>
      </c>
      <c r="C232" s="32" t="s">
        <v>327</v>
      </c>
      <c r="D232" s="32" t="s">
        <v>2182</v>
      </c>
      <c r="E232" s="32" t="s">
        <v>511</v>
      </c>
      <c r="F232" s="43">
        <v>0</v>
      </c>
      <c r="G232" s="43"/>
      <c r="H232" s="43"/>
      <c r="I2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2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2" s="32" t="s">
        <v>2180</v>
      </c>
      <c r="M232" s="39">
        <v>0.1</v>
      </c>
      <c r="N232" s="32"/>
      <c r="O232" s="39"/>
      <c r="P232" s="32"/>
      <c r="Q232" s="39"/>
      <c r="R232" s="32"/>
      <c r="S232" s="39"/>
      <c r="T232" s="45" t="str">
        <f>_xlfn.CONCAT("755-",Table1[[#This Row],[Art. Number]])</f>
        <v>755-ESR03EZPJ2R4</v>
      </c>
      <c r="U232" s="39">
        <v>9.8000000000000004E-2</v>
      </c>
      <c r="V232" s="32"/>
      <c r="W232" s="39"/>
      <c r="X232" s="32"/>
      <c r="Y232" s="39"/>
      <c r="Z232" s="39" t="str">
        <f>IF(Table1[[#This Row],[Other]]&lt;&gt;"","Other","")</f>
        <v/>
      </c>
      <c r="AA232" s="32"/>
      <c r="AB232" s="41"/>
      <c r="AC232" s="45" t="str">
        <f>IF(Table1[[#This Row],[Auto Order]]=1,IF(Table1[[#This Row],[In stock]]&lt;Table1[[#This Row],[Min in stock]],1,""),"")</f>
        <v/>
      </c>
    </row>
    <row r="233" spans="1:29" x14ac:dyDescent="0.25">
      <c r="A233" s="71" t="s">
        <v>2178</v>
      </c>
      <c r="B233" s="32" t="s">
        <v>593</v>
      </c>
      <c r="C233" s="32" t="s">
        <v>327</v>
      </c>
      <c r="D233" s="32" t="s">
        <v>2179</v>
      </c>
      <c r="E233" s="32" t="s">
        <v>511</v>
      </c>
      <c r="F233" s="43">
        <v>0</v>
      </c>
      <c r="G233" s="43"/>
      <c r="H233" s="43"/>
      <c r="I2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2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3" s="32" t="s">
        <v>2177</v>
      </c>
      <c r="M233" s="39">
        <v>0.1</v>
      </c>
      <c r="N233" s="32"/>
      <c r="O233" s="39"/>
      <c r="P233" s="32"/>
      <c r="Q233" s="39"/>
      <c r="R233" s="32"/>
      <c r="S233" s="39"/>
      <c r="T233" s="45" t="str">
        <f>_xlfn.CONCAT("755-",Table1[[#This Row],[Art. Number]])</f>
        <v>755-ESR03EZPJ2R7</v>
      </c>
      <c r="U233" s="39">
        <v>9.8000000000000004E-2</v>
      </c>
      <c r="V233" s="32"/>
      <c r="W233" s="39"/>
      <c r="X233" s="32"/>
      <c r="Y233" s="39"/>
      <c r="Z233" s="39" t="str">
        <f>IF(Table1[[#This Row],[Other]]&lt;&gt;"","Other","")</f>
        <v/>
      </c>
      <c r="AA233" s="32"/>
      <c r="AB233" s="41"/>
      <c r="AC233" s="45" t="str">
        <f>IF(Table1[[#This Row],[Auto Order]]=1,IF(Table1[[#This Row],[In stock]]&lt;Table1[[#This Row],[Min in stock]],1,""),"")</f>
        <v/>
      </c>
    </row>
    <row r="234" spans="1:29" x14ac:dyDescent="0.25">
      <c r="A234" s="71" t="s">
        <v>1783</v>
      </c>
      <c r="B234" s="32" t="s">
        <v>593</v>
      </c>
      <c r="C234" s="32" t="s">
        <v>327</v>
      </c>
      <c r="D234" s="32" t="s">
        <v>1784</v>
      </c>
      <c r="E234" s="32" t="s">
        <v>511</v>
      </c>
      <c r="F234" s="43">
        <v>0</v>
      </c>
      <c r="G234" s="43"/>
      <c r="H234" s="43"/>
      <c r="I2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2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4" s="32" t="s">
        <v>1782</v>
      </c>
      <c r="M234" s="39">
        <v>0.1</v>
      </c>
      <c r="N234" s="32"/>
      <c r="O234" s="39"/>
      <c r="P234" s="32"/>
      <c r="Q234" s="39"/>
      <c r="R234" s="32"/>
      <c r="S234" s="39"/>
      <c r="T234" s="45" t="str">
        <f>_xlfn.CONCAT("755-",Table1[[#This Row],[Art. Number]])</f>
        <v>755-ESR03EZPJ300</v>
      </c>
      <c r="U234" s="39">
        <v>9.8000000000000004E-2</v>
      </c>
      <c r="V234" s="32"/>
      <c r="W234" s="39"/>
      <c r="X234" s="32"/>
      <c r="Y234" s="39"/>
      <c r="Z234" s="39" t="str">
        <f>IF(Table1[[#This Row],[Other]]&lt;&gt;"","Other","")</f>
        <v/>
      </c>
      <c r="AA234" s="32"/>
      <c r="AB234" s="41"/>
      <c r="AC234" s="45" t="str">
        <f>IF(Table1[[#This Row],[Auto Order]]=1,IF(Table1[[#This Row],[In stock]]&lt;Table1[[#This Row],[Min in stock]],1,""),"")</f>
        <v/>
      </c>
    </row>
    <row r="235" spans="1:29" x14ac:dyDescent="0.25">
      <c r="A235" s="71" t="s">
        <v>1827</v>
      </c>
      <c r="B235" s="32" t="s">
        <v>593</v>
      </c>
      <c r="C235" s="32" t="s">
        <v>327</v>
      </c>
      <c r="D235" s="32" t="s">
        <v>1828</v>
      </c>
      <c r="E235" s="32" t="s">
        <v>511</v>
      </c>
      <c r="F235" s="43">
        <v>0</v>
      </c>
      <c r="G235" s="43"/>
      <c r="H235" s="43"/>
      <c r="I2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2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5" s="32" t="s">
        <v>1826</v>
      </c>
      <c r="M235" s="39">
        <v>0.1</v>
      </c>
      <c r="N235" s="32"/>
      <c r="O235" s="39"/>
      <c r="P235" s="32"/>
      <c r="Q235" s="39"/>
      <c r="R235" s="32"/>
      <c r="S235" s="39"/>
      <c r="T235" s="45" t="str">
        <f>_xlfn.CONCAT("755-",Table1[[#This Row],[Art. Number]])</f>
        <v>755-ESR03EZPJ301</v>
      </c>
      <c r="U235" s="39">
        <v>9.8000000000000004E-2</v>
      </c>
      <c r="V235" s="32"/>
      <c r="W235" s="39"/>
      <c r="X235" s="32"/>
      <c r="Y235" s="39"/>
      <c r="Z235" s="39" t="str">
        <f>IF(Table1[[#This Row],[Other]]&lt;&gt;"","Other","")</f>
        <v/>
      </c>
      <c r="AA235" s="32"/>
      <c r="AB235" s="41"/>
      <c r="AC235" s="45" t="str">
        <f>IF(Table1[[#This Row],[Auto Order]]=1,IF(Table1[[#This Row],[In stock]]&lt;Table1[[#This Row],[Min in stock]],1,""),"")</f>
        <v/>
      </c>
    </row>
    <row r="236" spans="1:29" x14ac:dyDescent="0.25">
      <c r="A236" s="71" t="s">
        <v>2051</v>
      </c>
      <c r="B236" s="32" t="s">
        <v>593</v>
      </c>
      <c r="C236" s="32" t="s">
        <v>327</v>
      </c>
      <c r="D236" s="32" t="s">
        <v>2052</v>
      </c>
      <c r="E236" s="32" t="s">
        <v>511</v>
      </c>
      <c r="F236" s="43">
        <v>0</v>
      </c>
      <c r="G236" s="43"/>
      <c r="H236" s="43"/>
      <c r="I2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2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6" s="32" t="s">
        <v>2050</v>
      </c>
      <c r="M236" s="39">
        <v>0.1</v>
      </c>
      <c r="N236" s="32"/>
      <c r="O236" s="39"/>
      <c r="P236" s="32"/>
      <c r="Q236" s="39"/>
      <c r="R236" s="32"/>
      <c r="S236" s="39"/>
      <c r="T236" s="45" t="str">
        <f>_xlfn.CONCAT("755-",Table1[[#This Row],[Art. Number]])</f>
        <v>755-ESR03EZPJ302</v>
      </c>
      <c r="U236" s="39">
        <v>9.8000000000000004E-2</v>
      </c>
      <c r="V236" s="32"/>
      <c r="W236" s="39"/>
      <c r="X236" s="32"/>
      <c r="Y236" s="39"/>
      <c r="Z236" s="39" t="str">
        <f>IF(Table1[[#This Row],[Other]]&lt;&gt;"","Other","")</f>
        <v/>
      </c>
      <c r="AA236" s="32"/>
      <c r="AB236" s="41"/>
      <c r="AC236" s="45" t="str">
        <f>IF(Table1[[#This Row],[Auto Order]]=1,IF(Table1[[#This Row],[In stock]]&lt;Table1[[#This Row],[Min in stock]],1,""),"")</f>
        <v/>
      </c>
    </row>
    <row r="237" spans="1:29" x14ac:dyDescent="0.25">
      <c r="A237" s="71" t="s">
        <v>2134</v>
      </c>
      <c r="B237" s="32" t="s">
        <v>593</v>
      </c>
      <c r="C237" s="32" t="s">
        <v>327</v>
      </c>
      <c r="D237" s="32" t="s">
        <v>2135</v>
      </c>
      <c r="E237" s="32" t="s">
        <v>511</v>
      </c>
      <c r="F237" s="43">
        <v>0</v>
      </c>
      <c r="G237" s="43"/>
      <c r="H237" s="43"/>
      <c r="I2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2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7" s="32" t="s">
        <v>2133</v>
      </c>
      <c r="M237" s="39">
        <v>0.1</v>
      </c>
      <c r="N237" s="32"/>
      <c r="O237" s="39"/>
      <c r="P237" s="32"/>
      <c r="Q237" s="39"/>
      <c r="R237" s="32"/>
      <c r="S237" s="39"/>
      <c r="T237" s="45" t="str">
        <f>_xlfn.CONCAT("755-",Table1[[#This Row],[Art. Number]])</f>
        <v>755-ESR03EZPJ303</v>
      </c>
      <c r="U237" s="39">
        <v>9.8000000000000004E-2</v>
      </c>
      <c r="V237" s="32"/>
      <c r="W237" s="39"/>
      <c r="X237" s="32"/>
      <c r="Y237" s="39"/>
      <c r="Z237" s="39" t="str">
        <f>IF(Table1[[#This Row],[Other]]&lt;&gt;"","Other","")</f>
        <v/>
      </c>
      <c r="AA237" s="32"/>
      <c r="AB237" s="41"/>
      <c r="AC237" s="45" t="str">
        <f>IF(Table1[[#This Row],[Auto Order]]=1,IF(Table1[[#This Row],[In stock]]&lt;Table1[[#This Row],[Min in stock]],1,""),"")</f>
        <v/>
      </c>
    </row>
    <row r="238" spans="1:29" x14ac:dyDescent="0.25">
      <c r="A238" s="71" t="s">
        <v>2097</v>
      </c>
      <c r="B238" s="32" t="s">
        <v>593</v>
      </c>
      <c r="C238" s="32" t="s">
        <v>327</v>
      </c>
      <c r="D238" s="32" t="s">
        <v>2098</v>
      </c>
      <c r="E238" s="32" t="s">
        <v>511</v>
      </c>
      <c r="F238" s="43">
        <v>0</v>
      </c>
      <c r="G238" s="43"/>
      <c r="H238" s="43"/>
      <c r="I23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2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8" s="32" t="s">
        <v>2096</v>
      </c>
      <c r="M238" s="39">
        <v>0.1</v>
      </c>
      <c r="N238" s="32"/>
      <c r="O238" s="39"/>
      <c r="P238" s="32"/>
      <c r="Q238" s="39"/>
      <c r="R238" s="32"/>
      <c r="S238" s="39"/>
      <c r="T238" s="45" t="str">
        <f>_xlfn.CONCAT("755-",Table1[[#This Row],[Art. Number]])</f>
        <v>755-ESR03EZPJ304</v>
      </c>
      <c r="U238" s="39">
        <v>9.8000000000000004E-2</v>
      </c>
      <c r="V238" s="32"/>
      <c r="W238" s="39"/>
      <c r="X238" s="32"/>
      <c r="Y238" s="39"/>
      <c r="Z238" s="39" t="str">
        <f>IF(Table1[[#This Row],[Other]]&lt;&gt;"","Other","")</f>
        <v/>
      </c>
      <c r="AA238" s="32"/>
      <c r="AB238" s="41"/>
      <c r="AC238" s="45" t="str">
        <f>IF(Table1[[#This Row],[Auto Order]]=1,IF(Table1[[#This Row],[In stock]]&lt;Table1[[#This Row],[Min in stock]],1,""),"")</f>
        <v/>
      </c>
    </row>
    <row r="239" spans="1:29" x14ac:dyDescent="0.25">
      <c r="A239" s="71" t="s">
        <v>1985</v>
      </c>
      <c r="B239" s="32" t="s">
        <v>593</v>
      </c>
      <c r="C239" s="32" t="s">
        <v>327</v>
      </c>
      <c r="D239" s="32" t="s">
        <v>1986</v>
      </c>
      <c r="E239" s="32" t="s">
        <v>511</v>
      </c>
      <c r="F239" s="43">
        <v>0</v>
      </c>
      <c r="G239" s="43"/>
      <c r="H239" s="43"/>
      <c r="I2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2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39" s="32" t="s">
        <v>1984</v>
      </c>
      <c r="M239" s="39">
        <v>0.1</v>
      </c>
      <c r="N239" s="32"/>
      <c r="O239" s="39"/>
      <c r="P239" s="32"/>
      <c r="Q239" s="39"/>
      <c r="R239" s="32"/>
      <c r="S239" s="39"/>
      <c r="T239" s="45" t="str">
        <f>_xlfn.CONCAT("755-",Table1[[#This Row],[Art. Number]])</f>
        <v>755-ESR03EZPJ305</v>
      </c>
      <c r="U239" s="39">
        <v>9.8000000000000004E-2</v>
      </c>
      <c r="V239" s="32"/>
      <c r="W239" s="39"/>
      <c r="X239" s="32"/>
      <c r="Y239" s="39"/>
      <c r="Z239" s="39" t="str">
        <f>IF(Table1[[#This Row],[Other]]&lt;&gt;"","Other","")</f>
        <v/>
      </c>
      <c r="AA239" s="32"/>
      <c r="AB239" s="41"/>
      <c r="AC239" s="45" t="str">
        <f>IF(Table1[[#This Row],[Auto Order]]=1,IF(Table1[[#This Row],[In stock]]&lt;Table1[[#This Row],[Min in stock]],1,""),"")</f>
        <v/>
      </c>
    </row>
    <row r="240" spans="1:29" x14ac:dyDescent="0.25">
      <c r="A240" s="71" t="s">
        <v>1720</v>
      </c>
      <c r="B240" s="32" t="s">
        <v>593</v>
      </c>
      <c r="C240" s="32" t="s">
        <v>327</v>
      </c>
      <c r="D240" s="32" t="s">
        <v>1721</v>
      </c>
      <c r="E240" s="32" t="s">
        <v>511</v>
      </c>
      <c r="F240" s="43">
        <v>0</v>
      </c>
      <c r="G240" s="43"/>
      <c r="H240" s="43"/>
      <c r="I24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2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0" s="32" t="s">
        <v>1719</v>
      </c>
      <c r="M240" s="39">
        <v>0.1</v>
      </c>
      <c r="N240" s="32"/>
      <c r="O240" s="39"/>
      <c r="P240" s="32"/>
      <c r="Q240" s="39"/>
      <c r="R240" s="32"/>
      <c r="S240" s="39"/>
      <c r="T240" s="45" t="str">
        <f>_xlfn.CONCAT("755-",Table1[[#This Row],[Art. Number]])</f>
        <v>755-ESR03EZPJ330</v>
      </c>
      <c r="U240" s="39">
        <v>9.8000000000000004E-2</v>
      </c>
      <c r="V240" s="32"/>
      <c r="W240" s="39"/>
      <c r="X240" s="32"/>
      <c r="Y240" s="39"/>
      <c r="Z240" s="39" t="str">
        <f>IF(Table1[[#This Row],[Other]]&lt;&gt;"","Other","")</f>
        <v/>
      </c>
      <c r="AA240" s="32"/>
      <c r="AB240" s="41"/>
      <c r="AC240" s="45" t="str">
        <f>IF(Table1[[#This Row],[Auto Order]]=1,IF(Table1[[#This Row],[In stock]]&lt;Table1[[#This Row],[Min in stock]],1,""),"")</f>
        <v/>
      </c>
    </row>
    <row r="241" spans="1:29" x14ac:dyDescent="0.25">
      <c r="A241" s="67" t="s">
        <v>983</v>
      </c>
      <c r="B241" s="32" t="s">
        <v>593</v>
      </c>
      <c r="C241" s="32" t="s">
        <v>1420</v>
      </c>
      <c r="D241" s="32" t="s">
        <v>984</v>
      </c>
      <c r="E241" s="32" t="s">
        <v>511</v>
      </c>
      <c r="F241" s="43">
        <v>8</v>
      </c>
      <c r="G241" s="43"/>
      <c r="H241" s="43"/>
      <c r="I2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2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1" s="32" t="s">
        <v>982</v>
      </c>
      <c r="M241" s="39">
        <v>0.1</v>
      </c>
      <c r="N241" s="32"/>
      <c r="O241" s="39"/>
      <c r="P241" s="32"/>
      <c r="Q241" s="39"/>
      <c r="R241" s="32"/>
      <c r="S241" s="39"/>
      <c r="T241" s="45" t="str">
        <f>_xlfn.CONCAT("755-",Table1[[#This Row],[Art. Number]])</f>
        <v>755-ESR03EZPJ331</v>
      </c>
      <c r="U241" s="39">
        <v>9.8000000000000004E-2</v>
      </c>
      <c r="V241" s="32"/>
      <c r="W241" s="39"/>
      <c r="X241" s="32"/>
      <c r="Y241" s="39"/>
      <c r="Z241" s="39" t="str">
        <f>IF(Table1[[#This Row],[Other]]&lt;&gt;"","Other","")</f>
        <v/>
      </c>
      <c r="AA241" s="32"/>
      <c r="AB241" s="41"/>
      <c r="AC241" s="45" t="str">
        <f>IF(Table1[[#This Row],[Auto Order]]=1,IF(Table1[[#This Row],[In stock]]&lt;Table1[[#This Row],[Min in stock]],1,""),"")</f>
        <v/>
      </c>
    </row>
    <row r="242" spans="1:29" x14ac:dyDescent="0.25">
      <c r="A242" s="71" t="s">
        <v>1738</v>
      </c>
      <c r="B242" s="32" t="s">
        <v>593</v>
      </c>
      <c r="C242" s="32" t="s">
        <v>327</v>
      </c>
      <c r="D242" s="32" t="s">
        <v>1739</v>
      </c>
      <c r="E242" s="32" t="s">
        <v>511</v>
      </c>
      <c r="F242" s="43">
        <v>10</v>
      </c>
      <c r="G242" s="43">
        <v>10</v>
      </c>
      <c r="H242" s="43">
        <v>1</v>
      </c>
      <c r="I2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2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2" s="32" t="s">
        <v>1737</v>
      </c>
      <c r="M242" s="39">
        <v>0.1</v>
      </c>
      <c r="N242" s="32"/>
      <c r="O242" s="39"/>
      <c r="P242" s="32"/>
      <c r="Q242" s="39"/>
      <c r="R242" s="32"/>
      <c r="S242" s="39"/>
      <c r="T242" s="45" t="str">
        <f>_xlfn.CONCAT("755-",Table1[[#This Row],[Art. Number]])</f>
        <v>755-ESR03EZPJ332</v>
      </c>
      <c r="U242" s="39">
        <v>9.8000000000000004E-2</v>
      </c>
      <c r="V242" s="32"/>
      <c r="W242" s="39"/>
      <c r="X242" s="32"/>
      <c r="Y242" s="39"/>
      <c r="Z242" s="39" t="str">
        <f>IF(Table1[[#This Row],[Other]]&lt;&gt;"","Other","")</f>
        <v/>
      </c>
      <c r="AA242" s="32"/>
      <c r="AB242" s="41"/>
      <c r="AC242" s="45" t="str">
        <f>IF(Table1[[#This Row],[Auto Order]]=1,IF(Table1[[#This Row],[In stock]]&lt;Table1[[#This Row],[Min in stock]],1,""),"")</f>
        <v/>
      </c>
    </row>
    <row r="243" spans="1:29" x14ac:dyDescent="0.25">
      <c r="A243" s="71" t="s">
        <v>2172</v>
      </c>
      <c r="B243" s="32" t="s">
        <v>593</v>
      </c>
      <c r="C243" s="32" t="s">
        <v>327</v>
      </c>
      <c r="D243" s="32" t="s">
        <v>2173</v>
      </c>
      <c r="E243" s="32" t="s">
        <v>511</v>
      </c>
      <c r="F243" s="43">
        <v>0</v>
      </c>
      <c r="G243" s="43"/>
      <c r="H243" s="43"/>
      <c r="I24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2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3" s="32" t="s">
        <v>2171</v>
      </c>
      <c r="M243" s="39">
        <v>0.1</v>
      </c>
      <c r="N243" s="32"/>
      <c r="O243" s="39"/>
      <c r="P243" s="32"/>
      <c r="Q243" s="39"/>
      <c r="R243" s="32"/>
      <c r="S243" s="39"/>
      <c r="T243" s="45" t="str">
        <f>_xlfn.CONCAT("755-",Table1[[#This Row],[Art. Number]])</f>
        <v>755-ESR03EZPJ333</v>
      </c>
      <c r="U243" s="39">
        <v>9.8000000000000004E-2</v>
      </c>
      <c r="V243" s="32"/>
      <c r="W243" s="39"/>
      <c r="X243" s="32"/>
      <c r="Y243" s="39"/>
      <c r="Z243" s="39" t="str">
        <f>IF(Table1[[#This Row],[Other]]&lt;&gt;"","Other","")</f>
        <v/>
      </c>
      <c r="AA243" s="32"/>
      <c r="AB243" s="41"/>
      <c r="AC243" s="45" t="str">
        <f>IF(Table1[[#This Row],[Auto Order]]=1,IF(Table1[[#This Row],[In stock]]&lt;Table1[[#This Row],[Min in stock]],1,""),"")</f>
        <v/>
      </c>
    </row>
    <row r="244" spans="1:29" x14ac:dyDescent="0.25">
      <c r="A244" s="71" t="s">
        <v>1926</v>
      </c>
      <c r="B244" s="32" t="s">
        <v>593</v>
      </c>
      <c r="C244" s="32" t="s">
        <v>327</v>
      </c>
      <c r="D244" s="32" t="s">
        <v>1927</v>
      </c>
      <c r="E244" s="32" t="s">
        <v>511</v>
      </c>
      <c r="F244" s="43">
        <v>0</v>
      </c>
      <c r="G244" s="43"/>
      <c r="H244" s="43"/>
      <c r="I24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24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4" s="32" t="s">
        <v>1925</v>
      </c>
      <c r="M244" s="39">
        <v>0.1</v>
      </c>
      <c r="N244" s="32"/>
      <c r="O244" s="39"/>
      <c r="P244" s="32"/>
      <c r="Q244" s="39"/>
      <c r="R244" s="32"/>
      <c r="S244" s="39"/>
      <c r="T244" s="45" t="str">
        <f>_xlfn.CONCAT("755-",Table1[[#This Row],[Art. Number]])</f>
        <v>755-ESR03EZPJ334</v>
      </c>
      <c r="U244" s="39">
        <v>9.8000000000000004E-2</v>
      </c>
      <c r="V244" s="32"/>
      <c r="W244" s="39"/>
      <c r="X244" s="32"/>
      <c r="Y244" s="39"/>
      <c r="Z244" s="39" t="str">
        <f>IF(Table1[[#This Row],[Other]]&lt;&gt;"","Other","")</f>
        <v/>
      </c>
      <c r="AA244" s="32"/>
      <c r="AB244" s="41"/>
      <c r="AC244" s="45" t="str">
        <f>IF(Table1[[#This Row],[Auto Order]]=1,IF(Table1[[#This Row],[In stock]]&lt;Table1[[#This Row],[Min in stock]],1,""),"")</f>
        <v/>
      </c>
    </row>
    <row r="245" spans="1:29" x14ac:dyDescent="0.25">
      <c r="A245" s="71" t="s">
        <v>1929</v>
      </c>
      <c r="B245" s="32" t="s">
        <v>593</v>
      </c>
      <c r="C245" s="32" t="s">
        <v>327</v>
      </c>
      <c r="D245" s="32" t="s">
        <v>1930</v>
      </c>
      <c r="E245" s="32" t="s">
        <v>511</v>
      </c>
      <c r="F245" s="43">
        <v>0</v>
      </c>
      <c r="G245" s="43"/>
      <c r="H245" s="43"/>
      <c r="I2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2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5" s="32" t="s">
        <v>1928</v>
      </c>
      <c r="M245" s="39">
        <v>0.1</v>
      </c>
      <c r="N245" s="32"/>
      <c r="O245" s="39"/>
      <c r="P245" s="32"/>
      <c r="Q245" s="39"/>
      <c r="R245" s="32"/>
      <c r="S245" s="39"/>
      <c r="T245" s="45" t="str">
        <f>_xlfn.CONCAT("755-",Table1[[#This Row],[Art. Number]])</f>
        <v>755-ESR03EZPJ335</v>
      </c>
      <c r="U245" s="39">
        <v>9.8000000000000004E-2</v>
      </c>
      <c r="V245" s="32"/>
      <c r="W245" s="39"/>
      <c r="X245" s="32"/>
      <c r="Y245" s="39"/>
      <c r="Z245" s="39" t="str">
        <f>IF(Table1[[#This Row],[Other]]&lt;&gt;"","Other","")</f>
        <v/>
      </c>
      <c r="AA245" s="32"/>
      <c r="AB245" s="41"/>
      <c r="AC245" s="45" t="str">
        <f>IF(Table1[[#This Row],[Auto Order]]=1,IF(Table1[[#This Row],[In stock]]&lt;Table1[[#This Row],[Min in stock]],1,""),"")</f>
        <v/>
      </c>
    </row>
    <row r="246" spans="1:29" x14ac:dyDescent="0.25">
      <c r="A246" s="71" t="s">
        <v>2019</v>
      </c>
      <c r="B246" s="32" t="s">
        <v>593</v>
      </c>
      <c r="C246" s="32" t="s">
        <v>327</v>
      </c>
      <c r="D246" s="32" t="s">
        <v>2020</v>
      </c>
      <c r="E246" s="32" t="s">
        <v>511</v>
      </c>
      <c r="F246" s="43">
        <v>0</v>
      </c>
      <c r="G246" s="43"/>
      <c r="H246" s="43"/>
      <c r="I2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2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6" s="32" t="s">
        <v>2018</v>
      </c>
      <c r="M246" s="39">
        <v>0.1</v>
      </c>
      <c r="N246" s="32"/>
      <c r="O246" s="39"/>
      <c r="P246" s="32"/>
      <c r="Q246" s="39"/>
      <c r="R246" s="32"/>
      <c r="S246" s="39"/>
      <c r="T246" s="45" t="str">
        <f>_xlfn.CONCAT("755-",Table1[[#This Row],[Art. Number]])</f>
        <v>755-ESR03EZPJ360</v>
      </c>
      <c r="U246" s="39">
        <v>9.8000000000000004E-2</v>
      </c>
      <c r="V246" s="32"/>
      <c r="W246" s="39"/>
      <c r="X246" s="32"/>
      <c r="Y246" s="39"/>
      <c r="Z246" s="39" t="str">
        <f>IF(Table1[[#This Row],[Other]]&lt;&gt;"","Other","")</f>
        <v/>
      </c>
      <c r="AA246" s="32"/>
      <c r="AB246" s="41"/>
      <c r="AC246" s="45" t="str">
        <f>IF(Table1[[#This Row],[Auto Order]]=1,IF(Table1[[#This Row],[In stock]]&lt;Table1[[#This Row],[Min in stock]],1,""),"")</f>
        <v/>
      </c>
    </row>
    <row r="247" spans="1:29" x14ac:dyDescent="0.25">
      <c r="A247" s="71" t="s">
        <v>2069</v>
      </c>
      <c r="B247" s="32" t="s">
        <v>593</v>
      </c>
      <c r="C247" s="32" t="s">
        <v>327</v>
      </c>
      <c r="D247" s="32" t="s">
        <v>2070</v>
      </c>
      <c r="E247" s="32" t="s">
        <v>511</v>
      </c>
      <c r="F247" s="43">
        <v>0</v>
      </c>
      <c r="G247" s="43"/>
      <c r="H247" s="43"/>
      <c r="I2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2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7" s="32" t="s">
        <v>2068</v>
      </c>
      <c r="M247" s="39">
        <v>0.1</v>
      </c>
      <c r="N247" s="32"/>
      <c r="O247" s="39"/>
      <c r="P247" s="32"/>
      <c r="Q247" s="39"/>
      <c r="R247" s="32"/>
      <c r="S247" s="39"/>
      <c r="T247" s="45" t="str">
        <f>_xlfn.CONCAT("755-",Table1[[#This Row],[Art. Number]])</f>
        <v>755-ESR03EZPJ361</v>
      </c>
      <c r="U247" s="39">
        <v>9.8000000000000004E-2</v>
      </c>
      <c r="V247" s="32"/>
      <c r="W247" s="39"/>
      <c r="X247" s="32"/>
      <c r="Y247" s="39"/>
      <c r="Z247" s="39" t="str">
        <f>IF(Table1[[#This Row],[Other]]&lt;&gt;"","Other","")</f>
        <v/>
      </c>
      <c r="AA247" s="32"/>
      <c r="AB247" s="41"/>
      <c r="AC247" s="45" t="str">
        <f>IF(Table1[[#This Row],[Auto Order]]=1,IF(Table1[[#This Row],[In stock]]&lt;Table1[[#This Row],[Min in stock]],1,""),"")</f>
        <v/>
      </c>
    </row>
    <row r="248" spans="1:29" x14ac:dyDescent="0.25">
      <c r="A248" s="71" t="s">
        <v>2113</v>
      </c>
      <c r="B248" s="32" t="s">
        <v>593</v>
      </c>
      <c r="C248" s="32" t="s">
        <v>327</v>
      </c>
      <c r="D248" s="32" t="s">
        <v>2114</v>
      </c>
      <c r="E248" s="32" t="s">
        <v>511</v>
      </c>
      <c r="F248" s="43">
        <v>0</v>
      </c>
      <c r="G248" s="43"/>
      <c r="H248" s="43"/>
      <c r="I2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2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8" s="32" t="s">
        <v>2112</v>
      </c>
      <c r="M248" s="39">
        <v>0.1</v>
      </c>
      <c r="N248" s="32"/>
      <c r="O248" s="39"/>
      <c r="P248" s="32"/>
      <c r="Q248" s="39"/>
      <c r="R248" s="32"/>
      <c r="S248" s="39"/>
      <c r="T248" s="45" t="str">
        <f>_xlfn.CONCAT("755-",Table1[[#This Row],[Art. Number]])</f>
        <v>755-ESR03EZPJ362</v>
      </c>
      <c r="U248" s="39">
        <v>9.8000000000000004E-2</v>
      </c>
      <c r="V248" s="32"/>
      <c r="W248" s="39"/>
      <c r="X248" s="32"/>
      <c r="Y248" s="39"/>
      <c r="Z248" s="39" t="str">
        <f>IF(Table1[[#This Row],[Other]]&lt;&gt;"","Other","")</f>
        <v/>
      </c>
      <c r="AA248" s="32"/>
      <c r="AB248" s="41"/>
      <c r="AC248" s="45" t="str">
        <f>IF(Table1[[#This Row],[Auto Order]]=1,IF(Table1[[#This Row],[In stock]]&lt;Table1[[#This Row],[Min in stock]],1,""),"")</f>
        <v/>
      </c>
    </row>
    <row r="249" spans="1:29" x14ac:dyDescent="0.25">
      <c r="A249" s="71" t="s">
        <v>1988</v>
      </c>
      <c r="B249" s="32" t="s">
        <v>593</v>
      </c>
      <c r="C249" s="32" t="s">
        <v>327</v>
      </c>
      <c r="D249" s="32" t="s">
        <v>1989</v>
      </c>
      <c r="E249" s="32" t="s">
        <v>511</v>
      </c>
      <c r="F249" s="43">
        <v>0</v>
      </c>
      <c r="G249" s="43"/>
      <c r="H249" s="43"/>
      <c r="I2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2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49" s="32" t="s">
        <v>1987</v>
      </c>
      <c r="M249" s="39">
        <v>0.1</v>
      </c>
      <c r="N249" s="32"/>
      <c r="O249" s="39"/>
      <c r="P249" s="32"/>
      <c r="Q249" s="39"/>
      <c r="R249" s="32"/>
      <c r="S249" s="39"/>
      <c r="T249" s="45" t="str">
        <f>_xlfn.CONCAT("755-",Table1[[#This Row],[Art. Number]])</f>
        <v>755-ESR03EZPJ363</v>
      </c>
      <c r="U249" s="39">
        <v>9.8000000000000004E-2</v>
      </c>
      <c r="V249" s="32"/>
      <c r="W249" s="39"/>
      <c r="X249" s="32"/>
      <c r="Y249" s="39"/>
      <c r="Z249" s="39" t="str">
        <f>IF(Table1[[#This Row],[Other]]&lt;&gt;"","Other","")</f>
        <v/>
      </c>
      <c r="AA249" s="32"/>
      <c r="AB249" s="41"/>
      <c r="AC249" s="45" t="str">
        <f>IF(Table1[[#This Row],[Auto Order]]=1,IF(Table1[[#This Row],[In stock]]&lt;Table1[[#This Row],[Min in stock]],1,""),"")</f>
        <v/>
      </c>
    </row>
    <row r="250" spans="1:29" x14ac:dyDescent="0.25">
      <c r="A250" s="71" t="s">
        <v>1991</v>
      </c>
      <c r="B250" s="32" t="s">
        <v>593</v>
      </c>
      <c r="C250" s="32" t="s">
        <v>327</v>
      </c>
      <c r="D250" s="32" t="s">
        <v>1992</v>
      </c>
      <c r="E250" s="32" t="s">
        <v>511</v>
      </c>
      <c r="F250" s="43">
        <v>0</v>
      </c>
      <c r="G250" s="43"/>
      <c r="H250" s="43"/>
      <c r="I2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2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0" s="32" t="s">
        <v>1990</v>
      </c>
      <c r="M250" s="39">
        <v>0.1</v>
      </c>
      <c r="N250" s="32"/>
      <c r="O250" s="39"/>
      <c r="P250" s="32"/>
      <c r="Q250" s="39"/>
      <c r="R250" s="32"/>
      <c r="S250" s="39"/>
      <c r="T250" s="45" t="str">
        <f>_xlfn.CONCAT("755-",Table1[[#This Row],[Art. Number]])</f>
        <v>755-ESR03EZPJ365</v>
      </c>
      <c r="U250" s="39">
        <v>9.8000000000000004E-2</v>
      </c>
      <c r="V250" s="32"/>
      <c r="W250" s="39"/>
      <c r="X250" s="32"/>
      <c r="Y250" s="39"/>
      <c r="Z250" s="39" t="str">
        <f>IF(Table1[[#This Row],[Other]]&lt;&gt;"","Other","")</f>
        <v/>
      </c>
      <c r="AA250" s="32"/>
      <c r="AB250" s="41"/>
      <c r="AC250" s="45" t="str">
        <f>IF(Table1[[#This Row],[Auto Order]]=1,IF(Table1[[#This Row],[In stock]]&lt;Table1[[#This Row],[Min in stock]],1,""),"")</f>
        <v/>
      </c>
    </row>
    <row r="251" spans="1:29" x14ac:dyDescent="0.25">
      <c r="A251" s="71" t="s">
        <v>1756</v>
      </c>
      <c r="B251" s="32" t="s">
        <v>593</v>
      </c>
      <c r="C251" s="32" t="s">
        <v>327</v>
      </c>
      <c r="D251" s="32" t="s">
        <v>1757</v>
      </c>
      <c r="E251" s="32" t="s">
        <v>511</v>
      </c>
      <c r="F251" s="43">
        <v>0</v>
      </c>
      <c r="G251" s="43"/>
      <c r="H251" s="43"/>
      <c r="I2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2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1" s="32" t="s">
        <v>1755</v>
      </c>
      <c r="M251" s="39">
        <v>0.1</v>
      </c>
      <c r="N251" s="32"/>
      <c r="O251" s="39"/>
      <c r="P251" s="32"/>
      <c r="Q251" s="39"/>
      <c r="R251" s="32"/>
      <c r="S251" s="39"/>
      <c r="T251" s="45" t="str">
        <f>_xlfn.CONCAT("755-",Table1[[#This Row],[Art. Number]])</f>
        <v>755-ESR03EZPJ390</v>
      </c>
      <c r="U251" s="39">
        <v>9.8000000000000004E-2</v>
      </c>
      <c r="V251" s="32"/>
      <c r="W251" s="39"/>
      <c r="X251" s="32"/>
      <c r="Y251" s="39"/>
      <c r="Z251" s="39" t="str">
        <f>IF(Table1[[#This Row],[Other]]&lt;&gt;"","Other","")</f>
        <v/>
      </c>
      <c r="AA251" s="32"/>
      <c r="AB251" s="41"/>
      <c r="AC251" s="45" t="str">
        <f>IF(Table1[[#This Row],[Auto Order]]=1,IF(Table1[[#This Row],[In stock]]&lt;Table1[[#This Row],[Min in stock]],1,""),"")</f>
        <v/>
      </c>
    </row>
    <row r="252" spans="1:29" x14ac:dyDescent="0.25">
      <c r="A252" s="71" t="s">
        <v>1762</v>
      </c>
      <c r="B252" s="32" t="s">
        <v>593</v>
      </c>
      <c r="C252" s="32" t="s">
        <v>327</v>
      </c>
      <c r="D252" s="32" t="s">
        <v>1763</v>
      </c>
      <c r="E252" s="32" t="s">
        <v>511</v>
      </c>
      <c r="F252" s="43">
        <v>0</v>
      </c>
      <c r="G252" s="43"/>
      <c r="H252" s="43"/>
      <c r="I2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2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2" s="32" t="s">
        <v>1761</v>
      </c>
      <c r="M252" s="39">
        <v>0.1</v>
      </c>
      <c r="N252" s="32"/>
      <c r="O252" s="39"/>
      <c r="P252" s="32"/>
      <c r="Q252" s="39"/>
      <c r="R252" s="32"/>
      <c r="S252" s="39"/>
      <c r="T252" s="45" t="str">
        <f>_xlfn.CONCAT("755-",Table1[[#This Row],[Art. Number]])</f>
        <v>755-ESR03EZPJ391</v>
      </c>
      <c r="U252" s="39">
        <v>9.8000000000000004E-2</v>
      </c>
      <c r="V252" s="32"/>
      <c r="W252" s="39"/>
      <c r="X252" s="32"/>
      <c r="Y252" s="39"/>
      <c r="Z252" s="39" t="str">
        <f>IF(Table1[[#This Row],[Other]]&lt;&gt;"","Other","")</f>
        <v/>
      </c>
      <c r="AA252" s="32"/>
      <c r="AB252" s="41"/>
      <c r="AC252" s="45" t="str">
        <f>IF(Table1[[#This Row],[Auto Order]]=1,IF(Table1[[#This Row],[In stock]]&lt;Table1[[#This Row],[Min in stock]],1,""),"")</f>
        <v/>
      </c>
    </row>
    <row r="253" spans="1:29" x14ac:dyDescent="0.25">
      <c r="A253" s="71" t="s">
        <v>1888</v>
      </c>
      <c r="B253" s="32" t="s">
        <v>593</v>
      </c>
      <c r="C253" s="32" t="s">
        <v>327</v>
      </c>
      <c r="D253" s="32" t="s">
        <v>1889</v>
      </c>
      <c r="E253" s="32" t="s">
        <v>511</v>
      </c>
      <c r="F253" s="43">
        <v>10</v>
      </c>
      <c r="G253" s="43">
        <v>10</v>
      </c>
      <c r="H253" s="43">
        <v>1</v>
      </c>
      <c r="I2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2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3" s="32" t="s">
        <v>1887</v>
      </c>
      <c r="M253" s="39">
        <v>0.1</v>
      </c>
      <c r="N253" s="32"/>
      <c r="O253" s="39"/>
      <c r="P253" s="32"/>
      <c r="Q253" s="39"/>
      <c r="R253" s="32"/>
      <c r="S253" s="39"/>
      <c r="T253" s="45" t="str">
        <f>_xlfn.CONCAT("755-",Table1[[#This Row],[Art. Number]])</f>
        <v>755-ESR03EZPJ392</v>
      </c>
      <c r="U253" s="39">
        <v>9.8000000000000004E-2</v>
      </c>
      <c r="V253" s="32"/>
      <c r="W253" s="39"/>
      <c r="X253" s="32"/>
      <c r="Y253" s="39"/>
      <c r="Z253" s="39" t="str">
        <f>IF(Table1[[#This Row],[Other]]&lt;&gt;"","Other","")</f>
        <v/>
      </c>
      <c r="AA253" s="32"/>
      <c r="AB253" s="41"/>
      <c r="AC253" s="45" t="str">
        <f>IF(Table1[[#This Row],[Auto Order]]=1,IF(Table1[[#This Row],[In stock]]&lt;Table1[[#This Row],[Min in stock]],1,""),"")</f>
        <v/>
      </c>
    </row>
    <row r="254" spans="1:29" x14ac:dyDescent="0.25">
      <c r="A254" s="71" t="s">
        <v>2078</v>
      </c>
      <c r="B254" s="32" t="s">
        <v>593</v>
      </c>
      <c r="C254" s="32" t="s">
        <v>327</v>
      </c>
      <c r="D254" s="32" t="s">
        <v>2079</v>
      </c>
      <c r="E254" s="32" t="s">
        <v>511</v>
      </c>
      <c r="F254" s="43">
        <v>0</v>
      </c>
      <c r="G254" s="43"/>
      <c r="H254" s="43"/>
      <c r="I2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2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4" s="32" t="s">
        <v>2077</v>
      </c>
      <c r="M254" s="39">
        <v>0.1</v>
      </c>
      <c r="N254" s="32"/>
      <c r="O254" s="39"/>
      <c r="P254" s="32"/>
      <c r="Q254" s="39"/>
      <c r="R254" s="32"/>
      <c r="S254" s="39"/>
      <c r="T254" s="45" t="str">
        <f>_xlfn.CONCAT("755-",Table1[[#This Row],[Art. Number]])</f>
        <v>755-ESR03EZPJ393</v>
      </c>
      <c r="U254" s="39">
        <v>9.8000000000000004E-2</v>
      </c>
      <c r="V254" s="32"/>
      <c r="W254" s="39"/>
      <c r="X254" s="32"/>
      <c r="Y254" s="39"/>
      <c r="Z254" s="39" t="str">
        <f>IF(Table1[[#This Row],[Other]]&lt;&gt;"","Other","")</f>
        <v/>
      </c>
      <c r="AA254" s="32"/>
      <c r="AB254" s="41"/>
      <c r="AC254" s="45" t="str">
        <f>IF(Table1[[#This Row],[Auto Order]]=1,IF(Table1[[#This Row],[In stock]]&lt;Table1[[#This Row],[Min in stock]],1,""),"")</f>
        <v/>
      </c>
    </row>
    <row r="255" spans="1:29" x14ac:dyDescent="0.25">
      <c r="A255" s="71" t="s">
        <v>1790</v>
      </c>
      <c r="B255" s="32" t="s">
        <v>593</v>
      </c>
      <c r="C255" s="32" t="s">
        <v>327</v>
      </c>
      <c r="D255" s="32" t="s">
        <v>1791</v>
      </c>
      <c r="E255" s="32" t="s">
        <v>511</v>
      </c>
      <c r="F255" s="43">
        <v>0</v>
      </c>
      <c r="G255" s="43"/>
      <c r="H255" s="43"/>
      <c r="I2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2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5" s="32" t="s">
        <v>1789</v>
      </c>
      <c r="M255" s="39">
        <v>0.1</v>
      </c>
      <c r="N255" s="32"/>
      <c r="O255" s="39"/>
      <c r="P255" s="32"/>
      <c r="Q255" s="39"/>
      <c r="R255" s="32"/>
      <c r="S255" s="39"/>
      <c r="T255" s="45" t="str">
        <f>_xlfn.CONCAT("755-",Table1[[#This Row],[Art. Number]])</f>
        <v>755-ESR03EZPJ394</v>
      </c>
      <c r="U255" s="39">
        <v>9.8000000000000004E-2</v>
      </c>
      <c r="V255" s="32"/>
      <c r="W255" s="39"/>
      <c r="X255" s="32"/>
      <c r="Y255" s="39"/>
      <c r="Z255" s="39" t="str">
        <f>IF(Table1[[#This Row],[Other]]&lt;&gt;"","Other","")</f>
        <v/>
      </c>
      <c r="AA255" s="32"/>
      <c r="AB255" s="41"/>
      <c r="AC255" s="45" t="str">
        <f>IF(Table1[[#This Row],[Auto Order]]=1,IF(Table1[[#This Row],[In stock]]&lt;Table1[[#This Row],[Min in stock]],1,""),"")</f>
        <v/>
      </c>
    </row>
    <row r="256" spans="1:29" x14ac:dyDescent="0.25">
      <c r="A256" s="71" t="s">
        <v>1995</v>
      </c>
      <c r="B256" s="32" t="s">
        <v>593</v>
      </c>
      <c r="C256" s="32" t="s">
        <v>327</v>
      </c>
      <c r="D256" s="32" t="s">
        <v>1996</v>
      </c>
      <c r="E256" s="32" t="s">
        <v>511</v>
      </c>
      <c r="F256" s="43">
        <v>0</v>
      </c>
      <c r="G256" s="43"/>
      <c r="H256" s="43"/>
      <c r="I2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2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6" s="32" t="s">
        <v>1994</v>
      </c>
      <c r="M256" s="39">
        <v>0.1</v>
      </c>
      <c r="N256" s="32"/>
      <c r="O256" s="39"/>
      <c r="P256" s="32"/>
      <c r="Q256" s="39"/>
      <c r="R256" s="32"/>
      <c r="S256" s="39"/>
      <c r="T256" s="45" t="str">
        <f>_xlfn.CONCAT("755-",Table1[[#This Row],[Art. Number]])</f>
        <v>755-ESR03EZPJ395</v>
      </c>
      <c r="U256" s="39">
        <v>9.8000000000000004E-2</v>
      </c>
      <c r="V256" s="32"/>
      <c r="W256" s="39"/>
      <c r="X256" s="32"/>
      <c r="Y256" s="39"/>
      <c r="Z256" s="39" t="str">
        <f>IF(Table1[[#This Row],[Other]]&lt;&gt;"","Other","")</f>
        <v/>
      </c>
      <c r="AA256" s="32"/>
      <c r="AB256" s="41"/>
      <c r="AC256" s="45" t="str">
        <f>IF(Table1[[#This Row],[Auto Order]]=1,IF(Table1[[#This Row],[In stock]]&lt;Table1[[#This Row],[Min in stock]],1,""),"")</f>
        <v/>
      </c>
    </row>
    <row r="257" spans="1:29" x14ac:dyDescent="0.25">
      <c r="A257" s="71" t="s">
        <v>1815</v>
      </c>
      <c r="B257" s="32" t="s">
        <v>593</v>
      </c>
      <c r="C257" s="32" t="s">
        <v>327</v>
      </c>
      <c r="D257" s="32" t="s">
        <v>1816</v>
      </c>
      <c r="E257" s="32" t="s">
        <v>511</v>
      </c>
      <c r="F257" s="43">
        <v>0</v>
      </c>
      <c r="G257" s="43"/>
      <c r="H257" s="43"/>
      <c r="I2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2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7" s="32" t="s">
        <v>1814</v>
      </c>
      <c r="M257" s="39">
        <v>0.1</v>
      </c>
      <c r="N257" s="32"/>
      <c r="O257" s="39"/>
      <c r="P257" s="32"/>
      <c r="Q257" s="39"/>
      <c r="R257" s="32"/>
      <c r="S257" s="39"/>
      <c r="T257" s="45" t="str">
        <f>_xlfn.CONCAT("755-",Table1[[#This Row],[Art. Number]])</f>
        <v>755-ESR03EZPJ3R0</v>
      </c>
      <c r="U257" s="39">
        <v>9.8000000000000004E-2</v>
      </c>
      <c r="V257" s="32"/>
      <c r="W257" s="39"/>
      <c r="X257" s="32"/>
      <c r="Y257" s="39"/>
      <c r="Z257" s="39" t="str">
        <f>IF(Table1[[#This Row],[Other]]&lt;&gt;"","Other","")</f>
        <v/>
      </c>
      <c r="AA257" s="32"/>
      <c r="AB257" s="41"/>
      <c r="AC257" s="45" t="str">
        <f>IF(Table1[[#This Row],[Auto Order]]=1,IF(Table1[[#This Row],[In stock]]&lt;Table1[[#This Row],[Min in stock]],1,""),"")</f>
        <v/>
      </c>
    </row>
    <row r="258" spans="1:29" x14ac:dyDescent="0.25">
      <c r="A258" s="71" t="s">
        <v>1765</v>
      </c>
      <c r="B258" s="32" t="s">
        <v>593</v>
      </c>
      <c r="C258" s="32" t="s">
        <v>327</v>
      </c>
      <c r="D258" s="32" t="s">
        <v>1766</v>
      </c>
      <c r="E258" s="32" t="s">
        <v>511</v>
      </c>
      <c r="F258" s="43">
        <v>0</v>
      </c>
      <c r="G258" s="43"/>
      <c r="H258" s="43"/>
      <c r="I2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2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8" s="32" t="s">
        <v>1764</v>
      </c>
      <c r="M258" s="39">
        <v>0.1</v>
      </c>
      <c r="N258" s="32"/>
      <c r="O258" s="39"/>
      <c r="P258" s="32"/>
      <c r="Q258" s="39"/>
      <c r="R258" s="32"/>
      <c r="S258" s="39"/>
      <c r="T258" s="45" t="str">
        <f>_xlfn.CONCAT("755-",Table1[[#This Row],[Art. Number]])</f>
        <v>755-ESR03EZPJ3R3</v>
      </c>
      <c r="U258" s="39">
        <v>9.8000000000000004E-2</v>
      </c>
      <c r="V258" s="32"/>
      <c r="W258" s="39"/>
      <c r="X258" s="32"/>
      <c r="Y258" s="39"/>
      <c r="Z258" s="39" t="str">
        <f>IF(Table1[[#This Row],[Other]]&lt;&gt;"","Other","")</f>
        <v/>
      </c>
      <c r="AA258" s="32"/>
      <c r="AB258" s="41"/>
      <c r="AC258" s="45" t="str">
        <f>IF(Table1[[#This Row],[Auto Order]]=1,IF(Table1[[#This Row],[In stock]]&lt;Table1[[#This Row],[Min in stock]],1,""),"")</f>
        <v/>
      </c>
    </row>
    <row r="259" spans="1:29" x14ac:dyDescent="0.25">
      <c r="A259" s="71" t="s">
        <v>2137</v>
      </c>
      <c r="B259" s="32" t="s">
        <v>593</v>
      </c>
      <c r="C259" s="32" t="s">
        <v>327</v>
      </c>
      <c r="D259" s="32" t="s">
        <v>2138</v>
      </c>
      <c r="E259" s="32" t="s">
        <v>511</v>
      </c>
      <c r="F259" s="43">
        <v>0</v>
      </c>
      <c r="G259" s="43"/>
      <c r="H259" s="43"/>
      <c r="I2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2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59" s="32" t="s">
        <v>2136</v>
      </c>
      <c r="M259" s="39">
        <v>0.1</v>
      </c>
      <c r="N259" s="32"/>
      <c r="O259" s="39"/>
      <c r="P259" s="32"/>
      <c r="Q259" s="39"/>
      <c r="R259" s="32"/>
      <c r="S259" s="39"/>
      <c r="T259" s="45" t="str">
        <f>_xlfn.CONCAT("755-",Table1[[#This Row],[Art. Number]])</f>
        <v>755-ESR03EZPJ3R6</v>
      </c>
      <c r="U259" s="39">
        <v>9.8000000000000004E-2</v>
      </c>
      <c r="V259" s="32"/>
      <c r="W259" s="39"/>
      <c r="X259" s="32"/>
      <c r="Y259" s="39"/>
      <c r="Z259" s="39" t="str">
        <f>IF(Table1[[#This Row],[Other]]&lt;&gt;"","Other","")</f>
        <v/>
      </c>
      <c r="AA259" s="32"/>
      <c r="AB259" s="41"/>
      <c r="AC259" s="45" t="str">
        <f>IF(Table1[[#This Row],[Auto Order]]=1,IF(Table1[[#This Row],[In stock]]&lt;Table1[[#This Row],[Min in stock]],1,""),"")</f>
        <v/>
      </c>
    </row>
    <row r="260" spans="1:29" x14ac:dyDescent="0.25">
      <c r="A260" s="71" t="s">
        <v>2042</v>
      </c>
      <c r="B260" s="32" t="s">
        <v>593</v>
      </c>
      <c r="C260" s="32" t="s">
        <v>327</v>
      </c>
      <c r="D260" s="32" t="s">
        <v>2043</v>
      </c>
      <c r="E260" s="32" t="s">
        <v>511</v>
      </c>
      <c r="F260" s="43">
        <v>0</v>
      </c>
      <c r="G260" s="43"/>
      <c r="H260" s="43"/>
      <c r="I2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2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0" s="32" t="s">
        <v>2041</v>
      </c>
      <c r="M260" s="39">
        <v>0.1</v>
      </c>
      <c r="N260" s="32"/>
      <c r="O260" s="39"/>
      <c r="P260" s="32"/>
      <c r="Q260" s="39"/>
      <c r="R260" s="32"/>
      <c r="S260" s="39"/>
      <c r="T260" s="45" t="str">
        <f>_xlfn.CONCAT("755-",Table1[[#This Row],[Art. Number]])</f>
        <v>755-ESR03EZPJ3R9</v>
      </c>
      <c r="U260" s="39">
        <v>9.8000000000000004E-2</v>
      </c>
      <c r="V260" s="32"/>
      <c r="W260" s="39"/>
      <c r="X260" s="32"/>
      <c r="Y260" s="39"/>
      <c r="Z260" s="39" t="str">
        <f>IF(Table1[[#This Row],[Other]]&lt;&gt;"","Other","")</f>
        <v/>
      </c>
      <c r="AA260" s="32"/>
      <c r="AB260" s="41"/>
      <c r="AC260" s="45" t="str">
        <f>IF(Table1[[#This Row],[Auto Order]]=1,IF(Table1[[#This Row],[In stock]]&lt;Table1[[#This Row],[Min in stock]],1,""),"")</f>
        <v/>
      </c>
    </row>
    <row r="261" spans="1:29" x14ac:dyDescent="0.25">
      <c r="A261" s="71" t="s">
        <v>2045</v>
      </c>
      <c r="B261" s="32" t="s">
        <v>593</v>
      </c>
      <c r="C261" s="32" t="s">
        <v>327</v>
      </c>
      <c r="D261" s="32" t="s">
        <v>2046</v>
      </c>
      <c r="E261" s="32" t="s">
        <v>511</v>
      </c>
      <c r="F261" s="43">
        <v>0</v>
      </c>
      <c r="G261" s="43"/>
      <c r="H261" s="43"/>
      <c r="I2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2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1" s="32" t="s">
        <v>2044</v>
      </c>
      <c r="M261" s="39">
        <v>0.1</v>
      </c>
      <c r="N261" s="32"/>
      <c r="O261" s="39"/>
      <c r="P261" s="32"/>
      <c r="Q261" s="39"/>
      <c r="R261" s="32"/>
      <c r="S261" s="39"/>
      <c r="T261" s="45" t="str">
        <f>_xlfn.CONCAT("755-",Table1[[#This Row],[Art. Number]])</f>
        <v>755-ESR03EZPJ430</v>
      </c>
      <c r="U261" s="39">
        <v>9.8000000000000004E-2</v>
      </c>
      <c r="V261" s="32"/>
      <c r="W261" s="39"/>
      <c r="X261" s="32"/>
      <c r="Y261" s="39"/>
      <c r="Z261" s="39" t="str">
        <f>IF(Table1[[#This Row],[Other]]&lt;&gt;"","Other","")</f>
        <v/>
      </c>
      <c r="AA261" s="32"/>
      <c r="AB261" s="41"/>
      <c r="AC261" s="45" t="str">
        <f>IF(Table1[[#This Row],[Auto Order]]=1,IF(Table1[[#This Row],[In stock]]&lt;Table1[[#This Row],[Min in stock]],1,""),"")</f>
        <v/>
      </c>
    </row>
    <row r="262" spans="1:29" x14ac:dyDescent="0.25">
      <c r="A262" s="71" t="s">
        <v>2128</v>
      </c>
      <c r="B262" s="32" t="s">
        <v>593</v>
      </c>
      <c r="C262" s="32" t="s">
        <v>327</v>
      </c>
      <c r="D262" s="32" t="s">
        <v>2129</v>
      </c>
      <c r="E262" s="32" t="s">
        <v>511</v>
      </c>
      <c r="F262" s="43">
        <v>0</v>
      </c>
      <c r="G262" s="43"/>
      <c r="H262" s="43"/>
      <c r="I2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2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2" s="32" t="s">
        <v>2127</v>
      </c>
      <c r="M262" s="39">
        <v>0.1</v>
      </c>
      <c r="N262" s="32"/>
      <c r="O262" s="39"/>
      <c r="P262" s="32"/>
      <c r="Q262" s="39"/>
      <c r="R262" s="32"/>
      <c r="S262" s="39"/>
      <c r="T262" s="45" t="str">
        <f>_xlfn.CONCAT("755-",Table1[[#This Row],[Art. Number]])</f>
        <v>755-ESR03EZPJ431</v>
      </c>
      <c r="U262" s="39">
        <v>9.8000000000000004E-2</v>
      </c>
      <c r="V262" s="32"/>
      <c r="W262" s="39"/>
      <c r="X262" s="32"/>
      <c r="Y262" s="39"/>
      <c r="Z262" s="39" t="str">
        <f>IF(Table1[[#This Row],[Other]]&lt;&gt;"","Other","")</f>
        <v/>
      </c>
      <c r="AA262" s="32"/>
      <c r="AB262" s="41"/>
      <c r="AC262" s="45" t="str">
        <f>IF(Table1[[#This Row],[Auto Order]]=1,IF(Table1[[#This Row],[In stock]]&lt;Table1[[#This Row],[Min in stock]],1,""),"")</f>
        <v/>
      </c>
    </row>
    <row r="263" spans="1:29" x14ac:dyDescent="0.25">
      <c r="A263" s="71" t="s">
        <v>1932</v>
      </c>
      <c r="B263" s="32" t="s">
        <v>593</v>
      </c>
      <c r="C263" s="32" t="s">
        <v>327</v>
      </c>
      <c r="D263" s="32" t="s">
        <v>1933</v>
      </c>
      <c r="E263" s="32" t="s">
        <v>511</v>
      </c>
      <c r="F263" s="43">
        <v>0</v>
      </c>
      <c r="G263" s="43"/>
      <c r="H263" s="43"/>
      <c r="I2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2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3" s="32" t="s">
        <v>1931</v>
      </c>
      <c r="M263" s="39">
        <v>0.1</v>
      </c>
      <c r="N263" s="32"/>
      <c r="O263" s="39"/>
      <c r="P263" s="32"/>
      <c r="Q263" s="39"/>
      <c r="R263" s="32"/>
      <c r="S263" s="39"/>
      <c r="T263" s="45" t="str">
        <f>_xlfn.CONCAT("755-",Table1[[#This Row],[Art. Number]])</f>
        <v>755-ESR03EZPJ432</v>
      </c>
      <c r="U263" s="39">
        <v>9.8000000000000004E-2</v>
      </c>
      <c r="V263" s="32"/>
      <c r="W263" s="39"/>
      <c r="X263" s="32"/>
      <c r="Y263" s="39"/>
      <c r="Z263" s="39" t="str">
        <f>IF(Table1[[#This Row],[Other]]&lt;&gt;"","Other","")</f>
        <v/>
      </c>
      <c r="AA263" s="32"/>
      <c r="AB263" s="41"/>
      <c r="AC263" s="45" t="str">
        <f>IF(Table1[[#This Row],[Auto Order]]=1,IF(Table1[[#This Row],[In stock]]&lt;Table1[[#This Row],[Min in stock]],1,""),"")</f>
        <v/>
      </c>
    </row>
    <row r="264" spans="1:29" x14ac:dyDescent="0.25">
      <c r="A264" s="71" t="s">
        <v>1935</v>
      </c>
      <c r="B264" s="32" t="s">
        <v>593</v>
      </c>
      <c r="C264" s="32" t="s">
        <v>327</v>
      </c>
      <c r="D264" s="32" t="s">
        <v>1936</v>
      </c>
      <c r="E264" s="32" t="s">
        <v>511</v>
      </c>
      <c r="F264" s="43">
        <v>0</v>
      </c>
      <c r="G264" s="43"/>
      <c r="H264" s="43"/>
      <c r="I2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2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4" s="32" t="s">
        <v>1934</v>
      </c>
      <c r="M264" s="39">
        <v>0.1</v>
      </c>
      <c r="N264" s="32"/>
      <c r="O264" s="39"/>
      <c r="P264" s="32"/>
      <c r="Q264" s="39"/>
      <c r="R264" s="32"/>
      <c r="S264" s="39"/>
      <c r="T264" s="45" t="str">
        <f>_xlfn.CONCAT("755-",Table1[[#This Row],[Art. Number]])</f>
        <v>755-ESR03EZPJ433</v>
      </c>
      <c r="U264" s="39">
        <v>9.8000000000000004E-2</v>
      </c>
      <c r="V264" s="32"/>
      <c r="W264" s="39"/>
      <c r="X264" s="32"/>
      <c r="Y264" s="39"/>
      <c r="Z264" s="39" t="str">
        <f>IF(Table1[[#This Row],[Other]]&lt;&gt;"","Other","")</f>
        <v/>
      </c>
      <c r="AA264" s="32"/>
      <c r="AB264" s="41"/>
      <c r="AC264" s="45" t="str">
        <f>IF(Table1[[#This Row],[Auto Order]]=1,IF(Table1[[#This Row],[In stock]]&lt;Table1[[#This Row],[Min in stock]],1,""),"")</f>
        <v/>
      </c>
    </row>
    <row r="265" spans="1:29" x14ac:dyDescent="0.25">
      <c r="A265" s="71" t="s">
        <v>2152</v>
      </c>
      <c r="B265" s="32" t="s">
        <v>593</v>
      </c>
      <c r="C265" s="32" t="s">
        <v>327</v>
      </c>
      <c r="D265" s="32" t="s">
        <v>2153</v>
      </c>
      <c r="E265" s="32" t="s">
        <v>511</v>
      </c>
      <c r="F265" s="43">
        <v>0</v>
      </c>
      <c r="G265" s="43"/>
      <c r="H265" s="43"/>
      <c r="I26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26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5" s="32" t="s">
        <v>2151</v>
      </c>
      <c r="M265" s="39">
        <v>0.1</v>
      </c>
      <c r="N265" s="32"/>
      <c r="O265" s="39"/>
      <c r="P265" s="32"/>
      <c r="Q265" s="39"/>
      <c r="R265" s="32"/>
      <c r="S265" s="39"/>
      <c r="T265" s="45" t="str">
        <f>_xlfn.CONCAT("755-",Table1[[#This Row],[Art. Number]])</f>
        <v>755-ESR03EZPJ434</v>
      </c>
      <c r="U265" s="39">
        <v>9.8000000000000004E-2</v>
      </c>
      <c r="V265" s="32"/>
      <c r="W265" s="39"/>
      <c r="X265" s="32"/>
      <c r="Y265" s="39"/>
      <c r="Z265" s="39" t="str">
        <f>IF(Table1[[#This Row],[Other]]&lt;&gt;"","Other","")</f>
        <v/>
      </c>
      <c r="AA265" s="32"/>
      <c r="AB265" s="41"/>
      <c r="AC265" s="45" t="str">
        <f>IF(Table1[[#This Row],[Auto Order]]=1,IF(Table1[[#This Row],[In stock]]&lt;Table1[[#This Row],[Min in stock]],1,""),"")</f>
        <v/>
      </c>
    </row>
    <row r="266" spans="1:29" x14ac:dyDescent="0.25">
      <c r="A266" s="71" t="s">
        <v>1726</v>
      </c>
      <c r="B266" s="32" t="s">
        <v>593</v>
      </c>
      <c r="C266" s="32" t="s">
        <v>327</v>
      </c>
      <c r="D266" s="32" t="s">
        <v>1727</v>
      </c>
      <c r="E266" s="32" t="s">
        <v>511</v>
      </c>
      <c r="F266" s="43">
        <v>0</v>
      </c>
      <c r="G266" s="43"/>
      <c r="H266" s="43"/>
      <c r="I26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26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6" s="32" t="s">
        <v>1725</v>
      </c>
      <c r="M266" s="39">
        <v>0.1</v>
      </c>
      <c r="N266" s="32"/>
      <c r="O266" s="39"/>
      <c r="P266" s="32"/>
      <c r="Q266" s="39"/>
      <c r="R266" s="32"/>
      <c r="S266" s="39"/>
      <c r="T266" s="45" t="str">
        <f>_xlfn.CONCAT("755-",Table1[[#This Row],[Art. Number]])</f>
        <v>755-ESR03EZPJ470</v>
      </c>
      <c r="U266" s="39">
        <v>9.8000000000000004E-2</v>
      </c>
      <c r="V266" s="32"/>
      <c r="W266" s="39"/>
      <c r="X266" s="32"/>
      <c r="Y266" s="39"/>
      <c r="Z266" s="39" t="str">
        <f>IF(Table1[[#This Row],[Other]]&lt;&gt;"","Other","")</f>
        <v/>
      </c>
      <c r="AA266" s="32"/>
      <c r="AB266" s="41"/>
      <c r="AC266" s="45" t="str">
        <f>IF(Table1[[#This Row],[Auto Order]]=1,IF(Table1[[#This Row],[In stock]]&lt;Table1[[#This Row],[Min in stock]],1,""),"")</f>
        <v/>
      </c>
    </row>
    <row r="267" spans="1:29" x14ac:dyDescent="0.25">
      <c r="A267" s="71" t="s">
        <v>1800</v>
      </c>
      <c r="B267" s="32" t="s">
        <v>593</v>
      </c>
      <c r="C267" s="32" t="s">
        <v>327</v>
      </c>
      <c r="D267" s="32" t="s">
        <v>1801</v>
      </c>
      <c r="E267" s="32" t="s">
        <v>511</v>
      </c>
      <c r="F267" s="43">
        <v>0</v>
      </c>
      <c r="G267" s="43"/>
      <c r="H267" s="43"/>
      <c r="I26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26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7" s="32" t="s">
        <v>1799</v>
      </c>
      <c r="M267" s="39">
        <v>0.1</v>
      </c>
      <c r="N267" s="32"/>
      <c r="O267" s="39"/>
      <c r="P267" s="32"/>
      <c r="Q267" s="39"/>
      <c r="R267" s="32"/>
      <c r="S267" s="39"/>
      <c r="T267" s="45" t="str">
        <f>_xlfn.CONCAT("755-",Table1[[#This Row],[Art. Number]])</f>
        <v>755-ESR03EZPJ471</v>
      </c>
      <c r="U267" s="39">
        <v>9.8000000000000004E-2</v>
      </c>
      <c r="V267" s="32"/>
      <c r="W267" s="39"/>
      <c r="X267" s="32"/>
      <c r="Y267" s="39"/>
      <c r="Z267" s="39" t="str">
        <f>IF(Table1[[#This Row],[Other]]&lt;&gt;"","Other","")</f>
        <v/>
      </c>
      <c r="AA267" s="32"/>
      <c r="AB267" s="41"/>
      <c r="AC267" s="45" t="str">
        <f>IF(Table1[[#This Row],[Auto Order]]=1,IF(Table1[[#This Row],[In stock]]&lt;Table1[[#This Row],[Min in stock]],1,""),"")</f>
        <v/>
      </c>
    </row>
    <row r="268" spans="1:29" x14ac:dyDescent="0.25">
      <c r="A268" s="67" t="s">
        <v>992</v>
      </c>
      <c r="B268" s="32" t="s">
        <v>593</v>
      </c>
      <c r="C268" s="32" t="s">
        <v>1421</v>
      </c>
      <c r="D268" s="32" t="s">
        <v>993</v>
      </c>
      <c r="E268" s="32" t="s">
        <v>511</v>
      </c>
      <c r="F268" s="43">
        <v>10</v>
      </c>
      <c r="G268" s="43">
        <v>10</v>
      </c>
      <c r="H268" s="43">
        <v>1</v>
      </c>
      <c r="I26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26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8" s="32" t="s">
        <v>991</v>
      </c>
      <c r="M268" s="39">
        <v>0.1</v>
      </c>
      <c r="N268" s="32"/>
      <c r="O268" s="39"/>
      <c r="P268" s="32"/>
      <c r="Q268" s="39"/>
      <c r="R268" s="32"/>
      <c r="S268" s="39"/>
      <c r="T268" s="45" t="str">
        <f>_xlfn.CONCAT("755-",Table1[[#This Row],[Art. Number]])</f>
        <v>755-ESR03EZPJ472</v>
      </c>
      <c r="U268" s="39">
        <v>9.8000000000000004E-2</v>
      </c>
      <c r="V268" s="32"/>
      <c r="W268" s="39"/>
      <c r="X268" s="32"/>
      <c r="Y268" s="39"/>
      <c r="Z268" s="39" t="str">
        <f>IF(Table1[[#This Row],[Other]]&lt;&gt;"","Other","")</f>
        <v/>
      </c>
      <c r="AA268" s="32"/>
      <c r="AB268" s="41"/>
      <c r="AC268" s="45" t="str">
        <f>IF(Table1[[#This Row],[Auto Order]]=1,IF(Table1[[#This Row],[In stock]]&lt;Table1[[#This Row],[Min in stock]],1,""),"")</f>
        <v/>
      </c>
    </row>
    <row r="269" spans="1:29" x14ac:dyDescent="0.25">
      <c r="A269" s="71" t="s">
        <v>2104</v>
      </c>
      <c r="B269" s="32" t="s">
        <v>593</v>
      </c>
      <c r="C269" s="32" t="s">
        <v>327</v>
      </c>
      <c r="D269" s="32" t="s">
        <v>2105</v>
      </c>
      <c r="E269" s="32" t="s">
        <v>511</v>
      </c>
      <c r="F269" s="43">
        <v>0</v>
      </c>
      <c r="G269" s="43"/>
      <c r="H269" s="43"/>
      <c r="I26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26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69" s="32" t="s">
        <v>2103</v>
      </c>
      <c r="M269" s="39">
        <v>0.1</v>
      </c>
      <c r="N269" s="32"/>
      <c r="O269" s="39"/>
      <c r="P269" s="32"/>
      <c r="Q269" s="39"/>
      <c r="R269" s="32"/>
      <c r="S269" s="39"/>
      <c r="T269" s="45" t="str">
        <f>_xlfn.CONCAT("755-",Table1[[#This Row],[Art. Number]])</f>
        <v>755-ESR03EZPJ473</v>
      </c>
      <c r="U269" s="39">
        <v>9.8000000000000004E-2</v>
      </c>
      <c r="V269" s="32"/>
      <c r="W269" s="39"/>
      <c r="X269" s="32"/>
      <c r="Y269" s="39"/>
      <c r="Z269" s="39" t="str">
        <f>IF(Table1[[#This Row],[Other]]&lt;&gt;"","Other","")</f>
        <v/>
      </c>
      <c r="AA269" s="32"/>
      <c r="AB269" s="41"/>
      <c r="AC269" s="45" t="str">
        <f>IF(Table1[[#This Row],[Auto Order]]=1,IF(Table1[[#This Row],[In stock]]&lt;Table1[[#This Row],[Min in stock]],1,""),"")</f>
        <v/>
      </c>
    </row>
    <row r="270" spans="1:29" x14ac:dyDescent="0.25">
      <c r="A270" s="71" t="s">
        <v>2063</v>
      </c>
      <c r="B270" s="32" t="s">
        <v>593</v>
      </c>
      <c r="C270" s="32" t="s">
        <v>327</v>
      </c>
      <c r="D270" s="32" t="s">
        <v>2064</v>
      </c>
      <c r="E270" s="32" t="s">
        <v>511</v>
      </c>
      <c r="F270" s="43">
        <v>0</v>
      </c>
      <c r="G270" s="43"/>
      <c r="H270" s="43"/>
      <c r="I27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27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0" s="32" t="s">
        <v>2062</v>
      </c>
      <c r="M270" s="39">
        <v>0.1</v>
      </c>
      <c r="N270" s="32"/>
      <c r="O270" s="39"/>
      <c r="P270" s="32"/>
      <c r="Q270" s="39"/>
      <c r="R270" s="32"/>
      <c r="S270" s="39"/>
      <c r="T270" s="45" t="str">
        <f>_xlfn.CONCAT("755-",Table1[[#This Row],[Art. Number]])</f>
        <v>755-ESR03EZPJ474</v>
      </c>
      <c r="U270" s="39">
        <v>9.8000000000000004E-2</v>
      </c>
      <c r="V270" s="32"/>
      <c r="W270" s="39"/>
      <c r="X270" s="32"/>
      <c r="Y270" s="39"/>
      <c r="Z270" s="39" t="str">
        <f>IF(Table1[[#This Row],[Other]]&lt;&gt;"","Other","")</f>
        <v/>
      </c>
      <c r="AA270" s="32"/>
      <c r="AB270" s="41"/>
      <c r="AC270" s="45" t="str">
        <f>IF(Table1[[#This Row],[Auto Order]]=1,IF(Table1[[#This Row],[In stock]]&lt;Table1[[#This Row],[Min in stock]],1,""),"")</f>
        <v/>
      </c>
    </row>
    <row r="271" spans="1:29" x14ac:dyDescent="0.25">
      <c r="A271" s="71" t="s">
        <v>2131</v>
      </c>
      <c r="B271" s="32" t="s">
        <v>593</v>
      </c>
      <c r="C271" s="32" t="s">
        <v>327</v>
      </c>
      <c r="D271" s="32" t="s">
        <v>2132</v>
      </c>
      <c r="E271" s="32" t="s">
        <v>511</v>
      </c>
      <c r="F271" s="43">
        <v>0</v>
      </c>
      <c r="G271" s="43"/>
      <c r="H271" s="43"/>
      <c r="I27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27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1" s="32" t="s">
        <v>2130</v>
      </c>
      <c r="M271" s="39">
        <v>0.1</v>
      </c>
      <c r="N271" s="32"/>
      <c r="O271" s="39"/>
      <c r="P271" s="32"/>
      <c r="Q271" s="39"/>
      <c r="R271" s="32"/>
      <c r="S271" s="39"/>
      <c r="T271" s="45" t="str">
        <f>_xlfn.CONCAT("755-",Table1[[#This Row],[Art. Number]])</f>
        <v>755-ESR03EZPJ475</v>
      </c>
      <c r="U271" s="39">
        <v>9.8000000000000004E-2</v>
      </c>
      <c r="V271" s="32"/>
      <c r="W271" s="39"/>
      <c r="X271" s="32"/>
      <c r="Y271" s="39"/>
      <c r="Z271" s="39" t="str">
        <f>IF(Table1[[#This Row],[Other]]&lt;&gt;"","Other","")</f>
        <v/>
      </c>
      <c r="AA271" s="32"/>
      <c r="AB271" s="41"/>
      <c r="AC271" s="45" t="str">
        <f>IF(Table1[[#This Row],[Auto Order]]=1,IF(Table1[[#This Row],[In stock]]&lt;Table1[[#This Row],[Min in stock]],1,""),"")</f>
        <v/>
      </c>
    </row>
    <row r="272" spans="1:29" x14ac:dyDescent="0.25">
      <c r="A272" s="71" t="s">
        <v>2119</v>
      </c>
      <c r="B272" s="32" t="s">
        <v>593</v>
      </c>
      <c r="C272" s="32" t="s">
        <v>327</v>
      </c>
      <c r="D272" s="32" t="s">
        <v>2120</v>
      </c>
      <c r="E272" s="32" t="s">
        <v>511</v>
      </c>
      <c r="F272" s="43">
        <v>0</v>
      </c>
      <c r="G272" s="43"/>
      <c r="H272" s="43"/>
      <c r="I27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27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2" s="32" t="s">
        <v>2118</v>
      </c>
      <c r="M272" s="39">
        <v>0.1</v>
      </c>
      <c r="N272" s="32"/>
      <c r="O272" s="39"/>
      <c r="P272" s="32"/>
      <c r="Q272" s="39"/>
      <c r="R272" s="32"/>
      <c r="S272" s="39"/>
      <c r="T272" s="45" t="str">
        <f>_xlfn.CONCAT("755-",Table1[[#This Row],[Art. Number]])</f>
        <v>755-ESR03EZPJ4R3</v>
      </c>
      <c r="U272" s="39">
        <v>9.8000000000000004E-2</v>
      </c>
      <c r="V272" s="32"/>
      <c r="W272" s="39"/>
      <c r="X272" s="32"/>
      <c r="Y272" s="39"/>
      <c r="Z272" s="39" t="str">
        <f>IF(Table1[[#This Row],[Other]]&lt;&gt;"","Other","")</f>
        <v/>
      </c>
      <c r="AA272" s="32"/>
      <c r="AB272" s="41"/>
      <c r="AC272" s="45" t="str">
        <f>IF(Table1[[#This Row],[Auto Order]]=1,IF(Table1[[#This Row],[In stock]]&lt;Table1[[#This Row],[Min in stock]],1,""),"")</f>
        <v/>
      </c>
    </row>
    <row r="273" spans="1:29" x14ac:dyDescent="0.25">
      <c r="A273" s="71" t="s">
        <v>1747</v>
      </c>
      <c r="B273" s="32" t="s">
        <v>593</v>
      </c>
      <c r="C273" s="32" t="s">
        <v>327</v>
      </c>
      <c r="D273" s="32" t="s">
        <v>1748</v>
      </c>
      <c r="E273" s="32" t="s">
        <v>511</v>
      </c>
      <c r="F273" s="43">
        <v>0</v>
      </c>
      <c r="G273" s="43"/>
      <c r="H273" s="43"/>
      <c r="I27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27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3" s="32" t="s">
        <v>1746</v>
      </c>
      <c r="M273" s="39">
        <v>0.1</v>
      </c>
      <c r="N273" s="32"/>
      <c r="O273" s="39"/>
      <c r="P273" s="32"/>
      <c r="Q273" s="39"/>
      <c r="R273" s="32"/>
      <c r="S273" s="39"/>
      <c r="T273" s="45" t="str">
        <f>_xlfn.CONCAT("755-",Table1[[#This Row],[Art. Number]])</f>
        <v>755-ESR03EZPJ4R7</v>
      </c>
      <c r="U273" s="39">
        <v>9.8000000000000004E-2</v>
      </c>
      <c r="V273" s="32"/>
      <c r="W273" s="39"/>
      <c r="X273" s="32"/>
      <c r="Y273" s="39"/>
      <c r="Z273" s="39" t="str">
        <f>IF(Table1[[#This Row],[Other]]&lt;&gt;"","Other","")</f>
        <v/>
      </c>
      <c r="AA273" s="32"/>
      <c r="AB273" s="41"/>
      <c r="AC273" s="45" t="str">
        <f>IF(Table1[[#This Row],[Auto Order]]=1,IF(Table1[[#This Row],[In stock]]&lt;Table1[[#This Row],[Min in stock]],1,""),"")</f>
        <v/>
      </c>
    </row>
    <row r="274" spans="1:29" x14ac:dyDescent="0.25">
      <c r="A274" s="71" t="s">
        <v>1753</v>
      </c>
      <c r="B274" s="32" t="s">
        <v>593</v>
      </c>
      <c r="C274" s="32" t="s">
        <v>327</v>
      </c>
      <c r="D274" s="32" t="s">
        <v>1754</v>
      </c>
      <c r="E274" s="32" t="s">
        <v>511</v>
      </c>
      <c r="F274" s="43">
        <v>0</v>
      </c>
      <c r="G274" s="43"/>
      <c r="H274" s="43"/>
      <c r="I27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27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4" s="32" t="s">
        <v>1752</v>
      </c>
      <c r="M274" s="39">
        <v>0.1</v>
      </c>
      <c r="N274" s="32"/>
      <c r="O274" s="39"/>
      <c r="P274" s="32"/>
      <c r="Q274" s="39"/>
      <c r="R274" s="32"/>
      <c r="S274" s="39"/>
      <c r="T274" s="45" t="str">
        <f>_xlfn.CONCAT("755-",Table1[[#This Row],[Art. Number]])</f>
        <v>755-ESR03EZPJ510</v>
      </c>
      <c r="U274" s="39">
        <v>9.8000000000000004E-2</v>
      </c>
      <c r="V274" s="32"/>
      <c r="W274" s="39"/>
      <c r="X274" s="32"/>
      <c r="Y274" s="39"/>
      <c r="Z274" s="39" t="str">
        <f>IF(Table1[[#This Row],[Other]]&lt;&gt;"","Other","")</f>
        <v/>
      </c>
      <c r="AA274" s="32"/>
      <c r="AB274" s="41"/>
      <c r="AC274" s="45" t="str">
        <f>IF(Table1[[#This Row],[Auto Order]]=1,IF(Table1[[#This Row],[In stock]]&lt;Table1[[#This Row],[Min in stock]],1,""),"")</f>
        <v/>
      </c>
    </row>
    <row r="275" spans="1:29" x14ac:dyDescent="0.25">
      <c r="A275" s="71" t="s">
        <v>1809</v>
      </c>
      <c r="B275" s="32" t="s">
        <v>593</v>
      </c>
      <c r="C275" s="32" t="s">
        <v>327</v>
      </c>
      <c r="D275" s="32" t="s">
        <v>1810</v>
      </c>
      <c r="E275" s="32" t="s">
        <v>511</v>
      </c>
      <c r="F275" s="43">
        <v>0</v>
      </c>
      <c r="G275" s="43"/>
      <c r="H275" s="43"/>
      <c r="I27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27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5" s="32" t="s">
        <v>1808</v>
      </c>
      <c r="M275" s="39">
        <v>0.1</v>
      </c>
      <c r="N275" s="32"/>
      <c r="O275" s="39"/>
      <c r="P275" s="32"/>
      <c r="Q275" s="39"/>
      <c r="R275" s="32"/>
      <c r="S275" s="39"/>
      <c r="T275" s="45" t="str">
        <f>_xlfn.CONCAT("755-",Table1[[#This Row],[Art. Number]])</f>
        <v>755-ESR03EZPJ511</v>
      </c>
      <c r="U275" s="39">
        <v>9.8000000000000004E-2</v>
      </c>
      <c r="V275" s="32"/>
      <c r="W275" s="39"/>
      <c r="X275" s="32"/>
      <c r="Y275" s="39"/>
      <c r="Z275" s="39" t="str">
        <f>IF(Table1[[#This Row],[Other]]&lt;&gt;"","Other","")</f>
        <v/>
      </c>
      <c r="AA275" s="32"/>
      <c r="AB275" s="41"/>
      <c r="AC275" s="45" t="str">
        <f>IF(Table1[[#This Row],[Auto Order]]=1,IF(Table1[[#This Row],[In stock]]&lt;Table1[[#This Row],[Min in stock]],1,""),"")</f>
        <v/>
      </c>
    </row>
    <row r="276" spans="1:29" x14ac:dyDescent="0.25">
      <c r="A276" s="71" t="s">
        <v>1830</v>
      </c>
      <c r="B276" s="32" t="s">
        <v>593</v>
      </c>
      <c r="C276" s="32" t="s">
        <v>327</v>
      </c>
      <c r="D276" s="32" t="s">
        <v>1831</v>
      </c>
      <c r="E276" s="32" t="s">
        <v>511</v>
      </c>
      <c r="F276" s="43">
        <v>0</v>
      </c>
      <c r="G276" s="43"/>
      <c r="H276" s="43"/>
      <c r="I27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27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6" s="32" t="s">
        <v>1829</v>
      </c>
      <c r="M276" s="39">
        <v>0.1</v>
      </c>
      <c r="N276" s="32"/>
      <c r="O276" s="39"/>
      <c r="P276" s="32"/>
      <c r="Q276" s="39"/>
      <c r="R276" s="32"/>
      <c r="S276" s="39"/>
      <c r="T276" s="45" t="str">
        <f>_xlfn.CONCAT("755-",Table1[[#This Row],[Art. Number]])</f>
        <v>755-ESR03EZPJ512</v>
      </c>
      <c r="U276" s="39">
        <v>9.8000000000000004E-2</v>
      </c>
      <c r="V276" s="32"/>
      <c r="W276" s="39"/>
      <c r="X276" s="32"/>
      <c r="Y276" s="39"/>
      <c r="Z276" s="39" t="str">
        <f>IF(Table1[[#This Row],[Other]]&lt;&gt;"","Other","")</f>
        <v/>
      </c>
      <c r="AA276" s="32"/>
      <c r="AB276" s="41"/>
      <c r="AC276" s="45" t="str">
        <f>IF(Table1[[#This Row],[Auto Order]]=1,IF(Table1[[#This Row],[In stock]]&lt;Table1[[#This Row],[Min in stock]],1,""),"")</f>
        <v/>
      </c>
    </row>
    <row r="277" spans="1:29" x14ac:dyDescent="0.25">
      <c r="A277" s="71" t="s">
        <v>1857</v>
      </c>
      <c r="B277" s="32" t="s">
        <v>593</v>
      </c>
      <c r="C277" s="32" t="s">
        <v>327</v>
      </c>
      <c r="D277" s="32" t="s">
        <v>1858</v>
      </c>
      <c r="E277" s="32" t="s">
        <v>511</v>
      </c>
      <c r="F277" s="43">
        <v>0</v>
      </c>
      <c r="G277" s="43"/>
      <c r="H277" s="43"/>
      <c r="I27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27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7" s="32" t="s">
        <v>1856</v>
      </c>
      <c r="M277" s="39">
        <v>0.1</v>
      </c>
      <c r="N277" s="32"/>
      <c r="O277" s="39"/>
      <c r="P277" s="32"/>
      <c r="Q277" s="39"/>
      <c r="R277" s="32"/>
      <c r="S277" s="39"/>
      <c r="T277" s="45" t="str">
        <f>_xlfn.CONCAT("755-",Table1[[#This Row],[Art. Number]])</f>
        <v>755-ESR03EZPJ513</v>
      </c>
      <c r="U277" s="39">
        <v>9.8000000000000004E-2</v>
      </c>
      <c r="V277" s="32"/>
      <c r="W277" s="39"/>
      <c r="X277" s="32"/>
      <c r="Y277" s="39"/>
      <c r="Z277" s="39" t="str">
        <f>IF(Table1[[#This Row],[Other]]&lt;&gt;"","Other","")</f>
        <v/>
      </c>
      <c r="AA277" s="32"/>
      <c r="AB277" s="41"/>
      <c r="AC277" s="45" t="str">
        <f>IF(Table1[[#This Row],[Auto Order]]=1,IF(Table1[[#This Row],[In stock]]&lt;Table1[[#This Row],[Min in stock]],1,""),"")</f>
        <v/>
      </c>
    </row>
    <row r="278" spans="1:29" x14ac:dyDescent="0.25">
      <c r="A278" s="71" t="s">
        <v>1939</v>
      </c>
      <c r="B278" s="32" t="s">
        <v>593</v>
      </c>
      <c r="C278" s="32" t="s">
        <v>327</v>
      </c>
      <c r="D278" s="32" t="s">
        <v>1940</v>
      </c>
      <c r="E278" s="32" t="s">
        <v>511</v>
      </c>
      <c r="F278" s="43">
        <v>0</v>
      </c>
      <c r="G278" s="43"/>
      <c r="H278" s="43"/>
      <c r="I27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27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8" s="32" t="s">
        <v>1938</v>
      </c>
      <c r="M278" s="39">
        <v>0.1</v>
      </c>
      <c r="N278" s="32"/>
      <c r="O278" s="39"/>
      <c r="P278" s="32"/>
      <c r="Q278" s="39"/>
      <c r="R278" s="32"/>
      <c r="S278" s="39"/>
      <c r="T278" s="45" t="str">
        <f>_xlfn.CONCAT("755-",Table1[[#This Row],[Art. Number]])</f>
        <v>755-ESR03EZPJ514</v>
      </c>
      <c r="U278" s="39">
        <v>9.8000000000000004E-2</v>
      </c>
      <c r="V278" s="32"/>
      <c r="W278" s="39"/>
      <c r="X278" s="32"/>
      <c r="Y278" s="39"/>
      <c r="Z278" s="39" t="str">
        <f>IF(Table1[[#This Row],[Other]]&lt;&gt;"","Other","")</f>
        <v/>
      </c>
      <c r="AA278" s="32"/>
      <c r="AB278" s="41"/>
      <c r="AC278" s="45" t="str">
        <f>IF(Table1[[#This Row],[Auto Order]]=1,IF(Table1[[#This Row],[In stock]]&lt;Table1[[#This Row],[Min in stock]],1,""),"")</f>
        <v/>
      </c>
    </row>
    <row r="279" spans="1:29" x14ac:dyDescent="0.25">
      <c r="A279" s="71" t="s">
        <v>1999</v>
      </c>
      <c r="B279" s="32" t="s">
        <v>593</v>
      </c>
      <c r="C279" s="32" t="s">
        <v>327</v>
      </c>
      <c r="D279" s="32" t="s">
        <v>2000</v>
      </c>
      <c r="E279" s="32" t="s">
        <v>511</v>
      </c>
      <c r="F279" s="43">
        <v>0</v>
      </c>
      <c r="G279" s="43"/>
      <c r="H279" s="43"/>
      <c r="I27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27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79" s="32" t="s">
        <v>1998</v>
      </c>
      <c r="M279" s="39">
        <v>0.1</v>
      </c>
      <c r="N279" s="32"/>
      <c r="O279" s="39"/>
      <c r="P279" s="32"/>
      <c r="Q279" s="39"/>
      <c r="R279" s="32"/>
      <c r="S279" s="39"/>
      <c r="T279" s="45" t="str">
        <f>_xlfn.CONCAT("755-",Table1[[#This Row],[Art. Number]])</f>
        <v>755-ESR03EZPJ515</v>
      </c>
      <c r="U279" s="39">
        <v>9.8000000000000004E-2</v>
      </c>
      <c r="V279" s="32"/>
      <c r="W279" s="39"/>
      <c r="X279" s="32"/>
      <c r="Y279" s="39"/>
      <c r="Z279" s="39" t="str">
        <f>IF(Table1[[#This Row],[Other]]&lt;&gt;"","Other","")</f>
        <v/>
      </c>
      <c r="AA279" s="32"/>
      <c r="AB279" s="41"/>
      <c r="AC279" s="45" t="str">
        <f>IF(Table1[[#This Row],[Auto Order]]=1,IF(Table1[[#This Row],[In stock]]&lt;Table1[[#This Row],[Min in stock]],1,""),"")</f>
        <v/>
      </c>
    </row>
    <row r="280" spans="1:29" x14ac:dyDescent="0.25">
      <c r="A280" s="71" t="s">
        <v>1812</v>
      </c>
      <c r="B280" s="32" t="s">
        <v>593</v>
      </c>
      <c r="C280" s="32" t="s">
        <v>327</v>
      </c>
      <c r="D280" s="32" t="s">
        <v>1813</v>
      </c>
      <c r="E280" s="32" t="s">
        <v>511</v>
      </c>
      <c r="F280" s="43">
        <v>0</v>
      </c>
      <c r="G280" s="43"/>
      <c r="H280" s="43"/>
      <c r="I28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28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0" s="32" t="s">
        <v>1811</v>
      </c>
      <c r="M280" s="39">
        <v>0.1</v>
      </c>
      <c r="N280" s="32"/>
      <c r="O280" s="39"/>
      <c r="P280" s="32"/>
      <c r="Q280" s="39"/>
      <c r="R280" s="32"/>
      <c r="S280" s="39"/>
      <c r="T280" s="45" t="str">
        <f>_xlfn.CONCAT("755-",Table1[[#This Row],[Art. Number]])</f>
        <v>755-ESR03EZPJ560</v>
      </c>
      <c r="U280" s="39">
        <v>9.8000000000000004E-2</v>
      </c>
      <c r="V280" s="32"/>
      <c r="W280" s="39"/>
      <c r="X280" s="32"/>
      <c r="Y280" s="39"/>
      <c r="Z280" s="39" t="str">
        <f>IF(Table1[[#This Row],[Other]]&lt;&gt;"","Other","")</f>
        <v/>
      </c>
      <c r="AA280" s="32"/>
      <c r="AB280" s="41"/>
      <c r="AC280" s="45" t="str">
        <f>IF(Table1[[#This Row],[Auto Order]]=1,IF(Table1[[#This Row],[In stock]]&lt;Table1[[#This Row],[Min in stock]],1,""),"")</f>
        <v/>
      </c>
    </row>
    <row r="281" spans="1:29" x14ac:dyDescent="0.25">
      <c r="A281" s="67" t="s">
        <v>1021</v>
      </c>
      <c r="B281" s="32" t="s">
        <v>593</v>
      </c>
      <c r="C281" s="32" t="s">
        <v>1422</v>
      </c>
      <c r="D281" s="32" t="s">
        <v>1022</v>
      </c>
      <c r="E281" s="32" t="s">
        <v>511</v>
      </c>
      <c r="F281" s="43">
        <v>9</v>
      </c>
      <c r="G281" s="43"/>
      <c r="H281" s="43"/>
      <c r="I28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28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1" s="32" t="s">
        <v>1020</v>
      </c>
      <c r="M281" s="39">
        <v>0.1</v>
      </c>
      <c r="N281" s="32"/>
      <c r="O281" s="39"/>
      <c r="P281" s="32"/>
      <c r="Q281" s="39"/>
      <c r="R281" s="32"/>
      <c r="S281" s="39"/>
      <c r="T281" s="45" t="str">
        <f>_xlfn.CONCAT("755-",Table1[[#This Row],[Art. Number]])</f>
        <v>755-ESR03EZPJ561</v>
      </c>
      <c r="U281" s="39">
        <v>9.8000000000000004E-2</v>
      </c>
      <c r="V281" s="32"/>
      <c r="W281" s="39"/>
      <c r="X281" s="32"/>
      <c r="Y281" s="39"/>
      <c r="Z281" s="39" t="str">
        <f>IF(Table1[[#This Row],[Other]]&lt;&gt;"","Other","")</f>
        <v/>
      </c>
      <c r="AA281" s="32"/>
      <c r="AB281" s="41"/>
      <c r="AC281" s="45" t="str">
        <f>IF(Table1[[#This Row],[Auto Order]]=1,IF(Table1[[#This Row],[In stock]]&lt;Table1[[#This Row],[Min in stock]],1,""),"")</f>
        <v/>
      </c>
    </row>
    <row r="282" spans="1:29" x14ac:dyDescent="0.25">
      <c r="A282" s="71" t="s">
        <v>2060</v>
      </c>
      <c r="B282" s="32" t="s">
        <v>593</v>
      </c>
      <c r="C282" s="32" t="s">
        <v>327</v>
      </c>
      <c r="D282" s="32" t="s">
        <v>2061</v>
      </c>
      <c r="E282" s="32" t="s">
        <v>511</v>
      </c>
      <c r="F282" s="43">
        <v>10</v>
      </c>
      <c r="G282" s="43">
        <v>10</v>
      </c>
      <c r="H282" s="43">
        <v>1</v>
      </c>
      <c r="I28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28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2" s="32" t="s">
        <v>2059</v>
      </c>
      <c r="M282" s="39">
        <v>0.1</v>
      </c>
      <c r="N282" s="32"/>
      <c r="O282" s="39"/>
      <c r="P282" s="32"/>
      <c r="Q282" s="39"/>
      <c r="R282" s="32"/>
      <c r="S282" s="39"/>
      <c r="T282" s="45" t="str">
        <f>_xlfn.CONCAT("755-",Table1[[#This Row],[Art. Number]])</f>
        <v>755-ESR03EZPJ562</v>
      </c>
      <c r="U282" s="39">
        <v>9.8000000000000004E-2</v>
      </c>
      <c r="V282" s="32"/>
      <c r="W282" s="39"/>
      <c r="X282" s="32"/>
      <c r="Y282" s="39"/>
      <c r="Z282" s="39" t="str">
        <f>IF(Table1[[#This Row],[Other]]&lt;&gt;"","Other","")</f>
        <v/>
      </c>
      <c r="AA282" s="32"/>
      <c r="AB282" s="41"/>
      <c r="AC282" s="45" t="str">
        <f>IF(Table1[[#This Row],[Auto Order]]=1,IF(Table1[[#This Row],[In stock]]&lt;Table1[[#This Row],[Min in stock]],1,""),"")</f>
        <v/>
      </c>
    </row>
    <row r="283" spans="1:29" x14ac:dyDescent="0.25">
      <c r="A283" s="71" t="s">
        <v>1942</v>
      </c>
      <c r="B283" s="32" t="s">
        <v>593</v>
      </c>
      <c r="C283" s="32" t="s">
        <v>327</v>
      </c>
      <c r="D283" s="32" t="s">
        <v>1943</v>
      </c>
      <c r="E283" s="32" t="s">
        <v>511</v>
      </c>
      <c r="F283" s="43">
        <v>0</v>
      </c>
      <c r="G283" s="43"/>
      <c r="H283" s="43"/>
      <c r="I28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28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3" s="32" t="s">
        <v>1941</v>
      </c>
      <c r="M283" s="39">
        <v>0.1</v>
      </c>
      <c r="N283" s="32"/>
      <c r="O283" s="39"/>
      <c r="P283" s="32"/>
      <c r="Q283" s="39"/>
      <c r="R283" s="32"/>
      <c r="S283" s="39"/>
      <c r="T283" s="45" t="str">
        <f>_xlfn.CONCAT("755-",Table1[[#This Row],[Art. Number]])</f>
        <v>755-ESR03EZPJ563</v>
      </c>
      <c r="U283" s="39">
        <v>9.8000000000000004E-2</v>
      </c>
      <c r="V283" s="32"/>
      <c r="W283" s="39"/>
      <c r="X283" s="32"/>
      <c r="Y283" s="39"/>
      <c r="Z283" s="39" t="str">
        <f>IF(Table1[[#This Row],[Other]]&lt;&gt;"","Other","")</f>
        <v/>
      </c>
      <c r="AA283" s="32"/>
      <c r="AB283" s="41"/>
      <c r="AC283" s="45" t="str">
        <f>IF(Table1[[#This Row],[Auto Order]]=1,IF(Table1[[#This Row],[In stock]]&lt;Table1[[#This Row],[Min in stock]],1,""),"")</f>
        <v/>
      </c>
    </row>
    <row r="284" spans="1:29" x14ac:dyDescent="0.25">
      <c r="A284" s="71" t="s">
        <v>2022</v>
      </c>
      <c r="B284" s="32" t="s">
        <v>593</v>
      </c>
      <c r="C284" s="32" t="s">
        <v>327</v>
      </c>
      <c r="D284" s="32" t="s">
        <v>2023</v>
      </c>
      <c r="E284" s="32" t="s">
        <v>511</v>
      </c>
      <c r="F284" s="43">
        <v>0</v>
      </c>
      <c r="G284" s="43"/>
      <c r="H284" s="43"/>
      <c r="I28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28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4" s="32" t="s">
        <v>2021</v>
      </c>
      <c r="M284" s="39">
        <v>0.1</v>
      </c>
      <c r="N284" s="32"/>
      <c r="O284" s="39"/>
      <c r="P284" s="32"/>
      <c r="Q284" s="39"/>
      <c r="R284" s="32"/>
      <c r="S284" s="39"/>
      <c r="T284" s="45" t="str">
        <f>_xlfn.CONCAT("755-",Table1[[#This Row],[Art. Number]])</f>
        <v>755-ESR03EZPJ564</v>
      </c>
      <c r="U284" s="39">
        <v>9.8000000000000004E-2</v>
      </c>
      <c r="V284" s="32"/>
      <c r="W284" s="39"/>
      <c r="X284" s="32"/>
      <c r="Y284" s="39"/>
      <c r="Z284" s="39" t="str">
        <f>IF(Table1[[#This Row],[Other]]&lt;&gt;"","Other","")</f>
        <v/>
      </c>
      <c r="AA284" s="32"/>
      <c r="AB284" s="41"/>
      <c r="AC284" s="45" t="str">
        <f>IF(Table1[[#This Row],[Auto Order]]=1,IF(Table1[[#This Row],[In stock]]&lt;Table1[[#This Row],[Min in stock]],1,""),"")</f>
        <v/>
      </c>
    </row>
    <row r="285" spans="1:29" x14ac:dyDescent="0.25">
      <c r="A285" s="71" t="s">
        <v>1768</v>
      </c>
      <c r="B285" s="32" t="s">
        <v>593</v>
      </c>
      <c r="C285" s="32" t="s">
        <v>327</v>
      </c>
      <c r="D285" s="32" t="s">
        <v>1769</v>
      </c>
      <c r="E285" s="32" t="s">
        <v>511</v>
      </c>
      <c r="F285" s="43">
        <v>0</v>
      </c>
      <c r="G285" s="43"/>
      <c r="H285" s="43"/>
      <c r="I28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28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5" s="32" t="s">
        <v>1767</v>
      </c>
      <c r="M285" s="39">
        <v>0.1</v>
      </c>
      <c r="N285" s="32"/>
      <c r="O285" s="39"/>
      <c r="P285" s="32"/>
      <c r="Q285" s="39"/>
      <c r="R285" s="32"/>
      <c r="S285" s="39"/>
      <c r="T285" s="45" t="str">
        <f>_xlfn.CONCAT("755-",Table1[[#This Row],[Art. Number]])</f>
        <v>755-ESR03EZPJ5R1</v>
      </c>
      <c r="U285" s="39">
        <v>9.8000000000000004E-2</v>
      </c>
      <c r="V285" s="32"/>
      <c r="W285" s="39"/>
      <c r="X285" s="32"/>
      <c r="Y285" s="39"/>
      <c r="Z285" s="39" t="str">
        <f>IF(Table1[[#This Row],[Other]]&lt;&gt;"","Other","")</f>
        <v/>
      </c>
      <c r="AA285" s="32"/>
      <c r="AB285" s="41"/>
      <c r="AC285" s="45" t="str">
        <f>IF(Table1[[#This Row],[Auto Order]]=1,IF(Table1[[#This Row],[In stock]]&lt;Table1[[#This Row],[Min in stock]],1,""),"")</f>
        <v/>
      </c>
    </row>
    <row r="286" spans="1:29" x14ac:dyDescent="0.25">
      <c r="A286" s="71" t="s">
        <v>1945</v>
      </c>
      <c r="B286" s="32" t="s">
        <v>593</v>
      </c>
      <c r="C286" s="32" t="s">
        <v>327</v>
      </c>
      <c r="D286" s="32" t="s">
        <v>1946</v>
      </c>
      <c r="E286" s="32" t="s">
        <v>511</v>
      </c>
      <c r="F286" s="43">
        <v>0</v>
      </c>
      <c r="G286" s="43"/>
      <c r="H286" s="43"/>
      <c r="I28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28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6" s="32" t="s">
        <v>1944</v>
      </c>
      <c r="M286" s="39">
        <v>0.1</v>
      </c>
      <c r="N286" s="32"/>
      <c r="O286" s="39"/>
      <c r="P286" s="32"/>
      <c r="Q286" s="39"/>
      <c r="R286" s="32"/>
      <c r="S286" s="39"/>
      <c r="T286" s="45" t="str">
        <f>_xlfn.CONCAT("755-",Table1[[#This Row],[Art. Number]])</f>
        <v>755-ESR03EZPJ5R6</v>
      </c>
      <c r="U286" s="39">
        <v>9.8000000000000004E-2</v>
      </c>
      <c r="V286" s="32"/>
      <c r="W286" s="39"/>
      <c r="X286" s="32"/>
      <c r="Y286" s="39"/>
      <c r="Z286" s="39" t="str">
        <f>IF(Table1[[#This Row],[Other]]&lt;&gt;"","Other","")</f>
        <v/>
      </c>
      <c r="AA286" s="32"/>
      <c r="AB286" s="41"/>
      <c r="AC286" s="45" t="str">
        <f>IF(Table1[[#This Row],[Auto Order]]=1,IF(Table1[[#This Row],[In stock]]&lt;Table1[[#This Row],[Min in stock]],1,""),"")</f>
        <v/>
      </c>
    </row>
    <row r="287" spans="1:29" x14ac:dyDescent="0.25">
      <c r="A287" s="71" t="s">
        <v>1741</v>
      </c>
      <c r="B287" s="32" t="s">
        <v>593</v>
      </c>
      <c r="C287" s="32" t="s">
        <v>327</v>
      </c>
      <c r="D287" s="32" t="s">
        <v>1742</v>
      </c>
      <c r="E287" s="32" t="s">
        <v>511</v>
      </c>
      <c r="F287" s="43">
        <v>0</v>
      </c>
      <c r="G287" s="43"/>
      <c r="H287" s="43"/>
      <c r="I28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28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7" s="32" t="s">
        <v>1740</v>
      </c>
      <c r="M287" s="39">
        <v>0.1</v>
      </c>
      <c r="N287" s="32"/>
      <c r="O287" s="39"/>
      <c r="P287" s="32"/>
      <c r="Q287" s="39"/>
      <c r="R287" s="32"/>
      <c r="S287" s="39"/>
      <c r="T287" s="45" t="str">
        <f>_xlfn.CONCAT("755-",Table1[[#This Row],[Art. Number]])</f>
        <v>755-ESR03EZPJ620</v>
      </c>
      <c r="U287" s="39">
        <v>9.8000000000000004E-2</v>
      </c>
      <c r="V287" s="32"/>
      <c r="W287" s="39"/>
      <c r="X287" s="32"/>
      <c r="Y287" s="39"/>
      <c r="Z287" s="39" t="str">
        <f>IF(Table1[[#This Row],[Other]]&lt;&gt;"","Other","")</f>
        <v/>
      </c>
      <c r="AA287" s="32"/>
      <c r="AB287" s="41"/>
      <c r="AC287" s="45" t="str">
        <f>IF(Table1[[#This Row],[Auto Order]]=1,IF(Table1[[#This Row],[In stock]]&lt;Table1[[#This Row],[Min in stock]],1,""),"")</f>
        <v/>
      </c>
    </row>
    <row r="288" spans="1:29" x14ac:dyDescent="0.25">
      <c r="A288" s="71" t="s">
        <v>1861</v>
      </c>
      <c r="B288" s="32" t="s">
        <v>593</v>
      </c>
      <c r="C288" s="32" t="s">
        <v>327</v>
      </c>
      <c r="D288" s="32" t="s">
        <v>1862</v>
      </c>
      <c r="E288" s="32" t="s">
        <v>511</v>
      </c>
      <c r="F288" s="43">
        <v>0</v>
      </c>
      <c r="G288" s="43"/>
      <c r="H288" s="43"/>
      <c r="I28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28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8" s="32" t="s">
        <v>1860</v>
      </c>
      <c r="M288" s="39">
        <v>0.1</v>
      </c>
      <c r="N288" s="32"/>
      <c r="O288" s="39"/>
      <c r="P288" s="32"/>
      <c r="Q288" s="39"/>
      <c r="R288" s="32"/>
      <c r="S288" s="39"/>
      <c r="T288" s="45" t="str">
        <f>_xlfn.CONCAT("755-",Table1[[#This Row],[Art. Number]])</f>
        <v>755-ESR03EZPJ621</v>
      </c>
      <c r="U288" s="39">
        <v>9.8000000000000004E-2</v>
      </c>
      <c r="V288" s="32"/>
      <c r="W288" s="39"/>
      <c r="X288" s="32"/>
      <c r="Y288" s="39"/>
      <c r="Z288" s="39" t="str">
        <f>IF(Table1[[#This Row],[Other]]&lt;&gt;"","Other","")</f>
        <v/>
      </c>
      <c r="AA288" s="32"/>
      <c r="AB288" s="41"/>
      <c r="AC288" s="45" t="str">
        <f>IF(Table1[[#This Row],[Auto Order]]=1,IF(Table1[[#This Row],[In stock]]&lt;Table1[[#This Row],[Min in stock]],1,""),"")</f>
        <v/>
      </c>
    </row>
    <row r="289" spans="1:29" x14ac:dyDescent="0.25">
      <c r="A289" s="71" t="s">
        <v>2029</v>
      </c>
      <c r="B289" s="32" t="s">
        <v>593</v>
      </c>
      <c r="C289" s="32" t="s">
        <v>327</v>
      </c>
      <c r="D289" s="32" t="s">
        <v>2030</v>
      </c>
      <c r="E289" s="32" t="s">
        <v>511</v>
      </c>
      <c r="F289" s="43">
        <v>0</v>
      </c>
      <c r="G289" s="43"/>
      <c r="H289" s="43"/>
      <c r="I28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28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89" s="32" t="s">
        <v>2028</v>
      </c>
      <c r="M289" s="39">
        <v>0.1</v>
      </c>
      <c r="N289" s="32"/>
      <c r="O289" s="39"/>
      <c r="P289" s="32"/>
      <c r="Q289" s="39"/>
      <c r="R289" s="32"/>
      <c r="S289" s="39"/>
      <c r="T289" s="45" t="str">
        <f>_xlfn.CONCAT("755-",Table1[[#This Row],[Art. Number]])</f>
        <v>755-ESR03EZPJ622</v>
      </c>
      <c r="U289" s="39">
        <v>9.8000000000000004E-2</v>
      </c>
      <c r="V289" s="32"/>
      <c r="W289" s="39"/>
      <c r="X289" s="32"/>
      <c r="Y289" s="39"/>
      <c r="Z289" s="39" t="str">
        <f>IF(Table1[[#This Row],[Other]]&lt;&gt;"","Other","")</f>
        <v/>
      </c>
      <c r="AA289" s="32"/>
      <c r="AB289" s="41"/>
      <c r="AC289" s="45" t="str">
        <f>IF(Table1[[#This Row],[Auto Order]]=1,IF(Table1[[#This Row],[In stock]]&lt;Table1[[#This Row],[Min in stock]],1,""),"")</f>
        <v/>
      </c>
    </row>
    <row r="290" spans="1:29" x14ac:dyDescent="0.25">
      <c r="A290" s="71" t="s">
        <v>1948</v>
      </c>
      <c r="B290" s="32" t="s">
        <v>593</v>
      </c>
      <c r="C290" s="32" t="s">
        <v>327</v>
      </c>
      <c r="D290" s="32" t="s">
        <v>1949</v>
      </c>
      <c r="E290" s="32" t="s">
        <v>511</v>
      </c>
      <c r="F290" s="43">
        <v>0</v>
      </c>
      <c r="G290" s="43"/>
      <c r="H290" s="43"/>
      <c r="I29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29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0" s="32" t="s">
        <v>1947</v>
      </c>
      <c r="M290" s="39">
        <v>0.1</v>
      </c>
      <c r="N290" s="32"/>
      <c r="O290" s="39"/>
      <c r="P290" s="32"/>
      <c r="Q290" s="39"/>
      <c r="R290" s="32"/>
      <c r="S290" s="39"/>
      <c r="T290" s="45" t="str">
        <f>_xlfn.CONCAT("755-",Table1[[#This Row],[Art. Number]])</f>
        <v>755-ESR03EZPJ623</v>
      </c>
      <c r="U290" s="39">
        <v>9.8000000000000004E-2</v>
      </c>
      <c r="V290" s="32"/>
      <c r="W290" s="39"/>
      <c r="X290" s="32"/>
      <c r="Y290" s="39"/>
      <c r="Z290" s="39" t="str">
        <f>IF(Table1[[#This Row],[Other]]&lt;&gt;"","Other","")</f>
        <v/>
      </c>
      <c r="AA290" s="32"/>
      <c r="AB290" s="41"/>
      <c r="AC290" s="45" t="str">
        <f>IF(Table1[[#This Row],[Auto Order]]=1,IF(Table1[[#This Row],[In stock]]&lt;Table1[[#This Row],[Min in stock]],1,""),"")</f>
        <v/>
      </c>
    </row>
    <row r="291" spans="1:29" x14ac:dyDescent="0.25">
      <c r="A291" s="71" t="s">
        <v>1864</v>
      </c>
      <c r="B291" s="32" t="s">
        <v>593</v>
      </c>
      <c r="C291" s="32" t="s">
        <v>327</v>
      </c>
      <c r="D291" s="32" t="s">
        <v>1865</v>
      </c>
      <c r="E291" s="32" t="s">
        <v>511</v>
      </c>
      <c r="F291" s="43">
        <v>0</v>
      </c>
      <c r="G291" s="43"/>
      <c r="H291" s="43"/>
      <c r="I29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29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1" s="32" t="s">
        <v>1863</v>
      </c>
      <c r="M291" s="39">
        <v>0.1</v>
      </c>
      <c r="N291" s="32"/>
      <c r="O291" s="39"/>
      <c r="P291" s="32"/>
      <c r="Q291" s="39"/>
      <c r="R291" s="32"/>
      <c r="S291" s="39"/>
      <c r="T291" s="45" t="str">
        <f>_xlfn.CONCAT("755-",Table1[[#This Row],[Art. Number]])</f>
        <v>755-ESR03EZPJ680</v>
      </c>
      <c r="U291" s="39">
        <v>9.8000000000000004E-2</v>
      </c>
      <c r="V291" s="32"/>
      <c r="W291" s="39"/>
      <c r="X291" s="32"/>
      <c r="Y291" s="39"/>
      <c r="Z291" s="39" t="str">
        <f>IF(Table1[[#This Row],[Other]]&lt;&gt;"","Other","")</f>
        <v/>
      </c>
      <c r="AA291" s="32"/>
      <c r="AB291" s="41"/>
      <c r="AC291" s="45" t="str">
        <f>IF(Table1[[#This Row],[Auto Order]]=1,IF(Table1[[#This Row],[In stock]]&lt;Table1[[#This Row],[Min in stock]],1,""),"")</f>
        <v/>
      </c>
    </row>
    <row r="292" spans="1:29" x14ac:dyDescent="0.25">
      <c r="A292" s="71" t="s">
        <v>1774</v>
      </c>
      <c r="B292" s="32" t="s">
        <v>593</v>
      </c>
      <c r="C292" s="32" t="s">
        <v>327</v>
      </c>
      <c r="D292" s="32" t="s">
        <v>1775</v>
      </c>
      <c r="E292" s="32" t="s">
        <v>511</v>
      </c>
      <c r="F292" s="43">
        <v>0</v>
      </c>
      <c r="G292" s="43"/>
      <c r="H292" s="43"/>
      <c r="I29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29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2" s="32" t="s">
        <v>1773</v>
      </c>
      <c r="M292" s="39">
        <v>0.1</v>
      </c>
      <c r="N292" s="32"/>
      <c r="O292" s="39"/>
      <c r="P292" s="32"/>
      <c r="Q292" s="39"/>
      <c r="R292" s="32"/>
      <c r="S292" s="39"/>
      <c r="T292" s="45" t="str">
        <f>_xlfn.CONCAT("755-",Table1[[#This Row],[Art. Number]])</f>
        <v>755-ESR03EZPJ681</v>
      </c>
      <c r="U292" s="39">
        <v>9.8000000000000004E-2</v>
      </c>
      <c r="V292" s="32"/>
      <c r="W292" s="39"/>
      <c r="X292" s="32"/>
      <c r="Y292" s="39"/>
      <c r="Z292" s="39" t="str">
        <f>IF(Table1[[#This Row],[Other]]&lt;&gt;"","Other","")</f>
        <v/>
      </c>
      <c r="AA292" s="32"/>
      <c r="AB292" s="41"/>
      <c r="AC292" s="45" t="str">
        <f>IF(Table1[[#This Row],[Auto Order]]=1,IF(Table1[[#This Row],[In stock]]&lt;Table1[[#This Row],[Min in stock]],1,""),"")</f>
        <v/>
      </c>
    </row>
    <row r="293" spans="1:29" x14ac:dyDescent="0.25">
      <c r="A293" s="71" t="s">
        <v>1786</v>
      </c>
      <c r="B293" s="32" t="s">
        <v>593</v>
      </c>
      <c r="C293" s="32" t="s">
        <v>327</v>
      </c>
      <c r="D293" s="32" t="s">
        <v>1787</v>
      </c>
      <c r="E293" s="32" t="s">
        <v>511</v>
      </c>
      <c r="F293" s="43">
        <v>10</v>
      </c>
      <c r="G293" s="43">
        <v>10</v>
      </c>
      <c r="H293" s="43">
        <v>1</v>
      </c>
      <c r="I29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29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3" s="32" t="s">
        <v>1785</v>
      </c>
      <c r="M293" s="39">
        <v>0.1</v>
      </c>
      <c r="N293" s="32"/>
      <c r="O293" s="39"/>
      <c r="P293" s="32"/>
      <c r="Q293" s="39"/>
      <c r="R293" s="32"/>
      <c r="S293" s="39"/>
      <c r="T293" s="45" t="str">
        <f>_xlfn.CONCAT("755-",Table1[[#This Row],[Art. Number]])</f>
        <v>755-ESR03EZPJ682</v>
      </c>
      <c r="U293" s="39">
        <v>9.8000000000000004E-2</v>
      </c>
      <c r="V293" s="32"/>
      <c r="W293" s="39"/>
      <c r="X293" s="32"/>
      <c r="Y293" s="39"/>
      <c r="Z293" s="39" t="str">
        <f>IF(Table1[[#This Row],[Other]]&lt;&gt;"","Other","")</f>
        <v/>
      </c>
      <c r="AA293" s="32"/>
      <c r="AB293" s="41"/>
      <c r="AC293" s="45" t="str">
        <f>IF(Table1[[#This Row],[Auto Order]]=1,IF(Table1[[#This Row],[In stock]]&lt;Table1[[#This Row],[Min in stock]],1,""),"")</f>
        <v/>
      </c>
    </row>
    <row r="294" spans="1:29" x14ac:dyDescent="0.25">
      <c r="A294" s="71" t="s">
        <v>2032</v>
      </c>
      <c r="B294" s="32" t="s">
        <v>593</v>
      </c>
      <c r="C294" s="32" t="s">
        <v>327</v>
      </c>
      <c r="D294" s="32" t="s">
        <v>2033</v>
      </c>
      <c r="E294" s="32" t="s">
        <v>511</v>
      </c>
      <c r="F294" s="43">
        <v>0</v>
      </c>
      <c r="G294" s="43"/>
      <c r="H294" s="43"/>
      <c r="I29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29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4" s="32" t="s">
        <v>2031</v>
      </c>
      <c r="M294" s="39">
        <v>0.1</v>
      </c>
      <c r="N294" s="32"/>
      <c r="O294" s="39"/>
      <c r="P294" s="32"/>
      <c r="Q294" s="39"/>
      <c r="R294" s="32"/>
      <c r="S294" s="39"/>
      <c r="T294" s="45" t="str">
        <f>_xlfn.CONCAT("755-",Table1[[#This Row],[Art. Number]])</f>
        <v>755-ESR03EZPJ683</v>
      </c>
      <c r="U294" s="39">
        <v>9.8000000000000004E-2</v>
      </c>
      <c r="V294" s="32"/>
      <c r="W294" s="39"/>
      <c r="X294" s="32"/>
      <c r="Y294" s="39"/>
      <c r="Z294" s="39" t="str">
        <f>IF(Table1[[#This Row],[Other]]&lt;&gt;"","Other","")</f>
        <v/>
      </c>
      <c r="AA294" s="32"/>
      <c r="AB294" s="41"/>
      <c r="AC294" s="45" t="str">
        <f>IF(Table1[[#This Row],[Auto Order]]=1,IF(Table1[[#This Row],[In stock]]&lt;Table1[[#This Row],[Min in stock]],1,""),"")</f>
        <v/>
      </c>
    </row>
    <row r="295" spans="1:29" x14ac:dyDescent="0.25">
      <c r="A295" s="71" t="s">
        <v>2116</v>
      </c>
      <c r="B295" s="32" t="s">
        <v>593</v>
      </c>
      <c r="C295" s="32" t="s">
        <v>327</v>
      </c>
      <c r="D295" s="32" t="s">
        <v>2117</v>
      </c>
      <c r="E295" s="32" t="s">
        <v>511</v>
      </c>
      <c r="F295" s="43">
        <v>0</v>
      </c>
      <c r="G295" s="43"/>
      <c r="H295" s="43"/>
      <c r="I29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29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5" s="32" t="s">
        <v>2115</v>
      </c>
      <c r="M295" s="39">
        <v>0.1</v>
      </c>
      <c r="N295" s="32"/>
      <c r="O295" s="39"/>
      <c r="P295" s="32"/>
      <c r="Q295" s="39"/>
      <c r="R295" s="32"/>
      <c r="S295" s="39"/>
      <c r="T295" s="45" t="str">
        <f>_xlfn.CONCAT("755-",Table1[[#This Row],[Art. Number]])</f>
        <v>755-ESR03EZPJ684</v>
      </c>
      <c r="U295" s="39">
        <v>9.8000000000000004E-2</v>
      </c>
      <c r="V295" s="32"/>
      <c r="W295" s="39"/>
      <c r="X295" s="32"/>
      <c r="Y295" s="39"/>
      <c r="Z295" s="39" t="str">
        <f>IF(Table1[[#This Row],[Other]]&lt;&gt;"","Other","")</f>
        <v/>
      </c>
      <c r="AA295" s="32"/>
      <c r="AB295" s="41"/>
      <c r="AC295" s="45" t="str">
        <f>IF(Table1[[#This Row],[Auto Order]]=1,IF(Table1[[#This Row],[In stock]]&lt;Table1[[#This Row],[Min in stock]],1,""),"")</f>
        <v/>
      </c>
    </row>
    <row r="296" spans="1:29" x14ac:dyDescent="0.25">
      <c r="A296" s="71" t="s">
        <v>2081</v>
      </c>
      <c r="B296" s="32" t="s">
        <v>593</v>
      </c>
      <c r="C296" s="32" t="s">
        <v>327</v>
      </c>
      <c r="D296" s="32" t="s">
        <v>2082</v>
      </c>
      <c r="E296" s="32" t="s">
        <v>511</v>
      </c>
      <c r="F296" s="43">
        <v>0</v>
      </c>
      <c r="G296" s="43"/>
      <c r="H296" s="43"/>
      <c r="I29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29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6" s="32" t="s">
        <v>2080</v>
      </c>
      <c r="M296" s="39">
        <v>0.1</v>
      </c>
      <c r="N296" s="32"/>
      <c r="O296" s="39"/>
      <c r="P296" s="32"/>
      <c r="Q296" s="39"/>
      <c r="R296" s="32"/>
      <c r="S296" s="39"/>
      <c r="T296" s="45" t="str">
        <f>_xlfn.CONCAT("755-",Table1[[#This Row],[Art. Number]])</f>
        <v>755-ESR03EZPJ685</v>
      </c>
      <c r="U296" s="39">
        <v>9.8000000000000004E-2</v>
      </c>
      <c r="V296" s="32"/>
      <c r="W296" s="39"/>
      <c r="X296" s="32"/>
      <c r="Y296" s="39"/>
      <c r="Z296" s="39" t="str">
        <f>IF(Table1[[#This Row],[Other]]&lt;&gt;"","Other","")</f>
        <v/>
      </c>
      <c r="AA296" s="32"/>
      <c r="AB296" s="41"/>
      <c r="AC296" s="45" t="str">
        <f>IF(Table1[[#This Row],[Auto Order]]=1,IF(Table1[[#This Row],[In stock]]&lt;Table1[[#This Row],[Min in stock]],1,""),"")</f>
        <v/>
      </c>
    </row>
    <row r="297" spans="1:29" x14ac:dyDescent="0.25">
      <c r="A297" s="71" t="s">
        <v>1952</v>
      </c>
      <c r="B297" s="32" t="s">
        <v>593</v>
      </c>
      <c r="C297" s="32" t="s">
        <v>327</v>
      </c>
      <c r="D297" s="32" t="s">
        <v>1953</v>
      </c>
      <c r="E297" s="32" t="s">
        <v>511</v>
      </c>
      <c r="F297" s="43">
        <v>0</v>
      </c>
      <c r="G297" s="43"/>
      <c r="H297" s="43"/>
      <c r="I29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29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7" s="32" t="s">
        <v>1951</v>
      </c>
      <c r="M297" s="39">
        <v>0.1</v>
      </c>
      <c r="N297" s="32"/>
      <c r="O297" s="39"/>
      <c r="P297" s="32"/>
      <c r="Q297" s="39"/>
      <c r="R297" s="32"/>
      <c r="S297" s="39"/>
      <c r="T297" s="45" t="str">
        <f>_xlfn.CONCAT("755-",Table1[[#This Row],[Art. Number]])</f>
        <v>755-ESR03EZPJ6R2</v>
      </c>
      <c r="U297" s="39">
        <v>9.8000000000000004E-2</v>
      </c>
      <c r="V297" s="32"/>
      <c r="W297" s="39"/>
      <c r="X297" s="32"/>
      <c r="Y297" s="39"/>
      <c r="Z297" s="39" t="str">
        <f>IF(Table1[[#This Row],[Other]]&lt;&gt;"","Other","")</f>
        <v/>
      </c>
      <c r="AA297" s="32"/>
      <c r="AB297" s="41"/>
      <c r="AC297" s="45" t="str">
        <f>IF(Table1[[#This Row],[Auto Order]]=1,IF(Table1[[#This Row],[In stock]]&lt;Table1[[#This Row],[Min in stock]],1,""),"")</f>
        <v/>
      </c>
    </row>
    <row r="298" spans="1:29" x14ac:dyDescent="0.25">
      <c r="A298" s="71" t="s">
        <v>1955</v>
      </c>
      <c r="B298" s="32" t="s">
        <v>593</v>
      </c>
      <c r="C298" s="32" t="s">
        <v>327</v>
      </c>
      <c r="D298" s="32" t="s">
        <v>1956</v>
      </c>
      <c r="E298" s="32" t="s">
        <v>511</v>
      </c>
      <c r="F298" s="43">
        <v>0</v>
      </c>
      <c r="G298" s="43"/>
      <c r="H298" s="43"/>
      <c r="I29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29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8" s="32" t="s">
        <v>1954</v>
      </c>
      <c r="M298" s="39">
        <v>0.1</v>
      </c>
      <c r="N298" s="32"/>
      <c r="O298" s="39"/>
      <c r="P298" s="32"/>
      <c r="Q298" s="39"/>
      <c r="R298" s="32"/>
      <c r="S298" s="39"/>
      <c r="T298" s="45" t="str">
        <f>_xlfn.CONCAT("755-",Table1[[#This Row],[Art. Number]])</f>
        <v>755-ESR03EZPJ6R8</v>
      </c>
      <c r="U298" s="39">
        <v>9.8000000000000004E-2</v>
      </c>
      <c r="V298" s="32"/>
      <c r="W298" s="39"/>
      <c r="X298" s="32"/>
      <c r="Y298" s="39"/>
      <c r="Z298" s="39" t="str">
        <f>IF(Table1[[#This Row],[Other]]&lt;&gt;"","Other","")</f>
        <v/>
      </c>
      <c r="AA298" s="32"/>
      <c r="AB298" s="41"/>
      <c r="AC298" s="45" t="str">
        <f>IF(Table1[[#This Row],[Auto Order]]=1,IF(Table1[[#This Row],[In stock]]&lt;Table1[[#This Row],[Min in stock]],1,""),"")</f>
        <v/>
      </c>
    </row>
    <row r="299" spans="1:29" x14ac:dyDescent="0.25">
      <c r="A299" s="71" t="s">
        <v>1867</v>
      </c>
      <c r="B299" s="32" t="s">
        <v>593</v>
      </c>
      <c r="C299" s="32" t="s">
        <v>327</v>
      </c>
      <c r="D299" s="32" t="s">
        <v>1868</v>
      </c>
      <c r="E299" s="32" t="s">
        <v>511</v>
      </c>
      <c r="F299" s="43">
        <v>0</v>
      </c>
      <c r="G299" s="43"/>
      <c r="H299" s="43"/>
      <c r="I29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29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299" s="32" t="s">
        <v>1866</v>
      </c>
      <c r="M299" s="39">
        <v>0.1</v>
      </c>
      <c r="N299" s="32"/>
      <c r="O299" s="39"/>
      <c r="P299" s="32"/>
      <c r="Q299" s="39"/>
      <c r="R299" s="32"/>
      <c r="S299" s="39"/>
      <c r="T299" s="45" t="str">
        <f>_xlfn.CONCAT("755-",Table1[[#This Row],[Art. Number]])</f>
        <v>755-ESR03EZPJ750</v>
      </c>
      <c r="U299" s="39">
        <v>9.8000000000000004E-2</v>
      </c>
      <c r="V299" s="32"/>
      <c r="W299" s="39"/>
      <c r="X299" s="32"/>
      <c r="Y299" s="39"/>
      <c r="Z299" s="39" t="str">
        <f>IF(Table1[[#This Row],[Other]]&lt;&gt;"","Other","")</f>
        <v/>
      </c>
      <c r="AA299" s="32"/>
      <c r="AB299" s="41"/>
      <c r="AC299" s="45" t="str">
        <f>IF(Table1[[#This Row],[Auto Order]]=1,IF(Table1[[#This Row],[In stock]]&lt;Table1[[#This Row],[Min in stock]],1,""),"")</f>
        <v/>
      </c>
    </row>
    <row r="300" spans="1:29" x14ac:dyDescent="0.25">
      <c r="A300" s="71" t="s">
        <v>1777</v>
      </c>
      <c r="B300" s="32" t="s">
        <v>593</v>
      </c>
      <c r="C300" s="32" t="s">
        <v>327</v>
      </c>
      <c r="D300" s="32" t="s">
        <v>1778</v>
      </c>
      <c r="E300" s="32" t="s">
        <v>511</v>
      </c>
      <c r="F300" s="43">
        <v>0</v>
      </c>
      <c r="G300" s="43"/>
      <c r="H300" s="43"/>
      <c r="I30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0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0" s="32" t="s">
        <v>1776</v>
      </c>
      <c r="M300" s="39">
        <v>0.1</v>
      </c>
      <c r="N300" s="32"/>
      <c r="O300" s="39"/>
      <c r="P300" s="32"/>
      <c r="Q300" s="39"/>
      <c r="R300" s="32"/>
      <c r="S300" s="39"/>
      <c r="T300" s="45" t="str">
        <f>_xlfn.CONCAT("755-",Table1[[#This Row],[Art. Number]])</f>
        <v>755-ESR03EZPJ751</v>
      </c>
      <c r="U300" s="39">
        <v>9.8000000000000004E-2</v>
      </c>
      <c r="V300" s="32"/>
      <c r="W300" s="39"/>
      <c r="X300" s="32"/>
      <c r="Y300" s="39"/>
      <c r="Z300" s="39" t="str">
        <f>IF(Table1[[#This Row],[Other]]&lt;&gt;"","Other","")</f>
        <v/>
      </c>
      <c r="AA300" s="32"/>
      <c r="AB300" s="41"/>
      <c r="AC300" s="45" t="str">
        <f>IF(Table1[[#This Row],[Auto Order]]=1,IF(Table1[[#This Row],[In stock]]&lt;Table1[[#This Row],[Min in stock]],1,""),"")</f>
        <v/>
      </c>
    </row>
    <row r="301" spans="1:29" x14ac:dyDescent="0.25">
      <c r="A301" s="71" t="s">
        <v>1870</v>
      </c>
      <c r="B301" s="32" t="s">
        <v>593</v>
      </c>
      <c r="C301" s="32" t="s">
        <v>327</v>
      </c>
      <c r="D301" s="32" t="s">
        <v>1871</v>
      </c>
      <c r="E301" s="32" t="s">
        <v>511</v>
      </c>
      <c r="F301" s="43">
        <v>0</v>
      </c>
      <c r="G301" s="43"/>
      <c r="H301" s="43"/>
      <c r="I30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0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1" s="32" t="s">
        <v>1869</v>
      </c>
      <c r="M301" s="39">
        <v>0.1</v>
      </c>
      <c r="N301" s="32"/>
      <c r="O301" s="39"/>
      <c r="P301" s="32"/>
      <c r="Q301" s="39"/>
      <c r="R301" s="32"/>
      <c r="S301" s="39"/>
      <c r="T301" s="45" t="str">
        <f>_xlfn.CONCAT("755-",Table1[[#This Row],[Art. Number]])</f>
        <v>755-ESR03EZPJ752</v>
      </c>
      <c r="U301" s="39">
        <v>9.8000000000000004E-2</v>
      </c>
      <c r="V301" s="32"/>
      <c r="W301" s="39"/>
      <c r="X301" s="32"/>
      <c r="Y301" s="39"/>
      <c r="Z301" s="39" t="str">
        <f>IF(Table1[[#This Row],[Other]]&lt;&gt;"","Other","")</f>
        <v/>
      </c>
      <c r="AA301" s="32"/>
      <c r="AB301" s="41"/>
      <c r="AC301" s="45" t="str">
        <f>IF(Table1[[#This Row],[Auto Order]]=1,IF(Table1[[#This Row],[In stock]]&lt;Table1[[#This Row],[Min in stock]],1,""),"")</f>
        <v/>
      </c>
    </row>
    <row r="302" spans="1:29" x14ac:dyDescent="0.25">
      <c r="A302" s="71" t="s">
        <v>2002</v>
      </c>
      <c r="B302" s="32" t="s">
        <v>593</v>
      </c>
      <c r="C302" s="32" t="s">
        <v>327</v>
      </c>
      <c r="D302" s="32" t="s">
        <v>2003</v>
      </c>
      <c r="E302" s="32" t="s">
        <v>511</v>
      </c>
      <c r="F302" s="43">
        <v>0</v>
      </c>
      <c r="G302" s="43"/>
      <c r="H302" s="43"/>
      <c r="I30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0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2" s="32" t="s">
        <v>2001</v>
      </c>
      <c r="M302" s="39">
        <v>0.1</v>
      </c>
      <c r="N302" s="32"/>
      <c r="O302" s="39"/>
      <c r="P302" s="32"/>
      <c r="Q302" s="39"/>
      <c r="R302" s="32"/>
      <c r="S302" s="39"/>
      <c r="T302" s="45" t="str">
        <f>_xlfn.CONCAT("755-",Table1[[#This Row],[Art. Number]])</f>
        <v>755-ESR03EZPJ753</v>
      </c>
      <c r="U302" s="39">
        <v>9.8000000000000004E-2</v>
      </c>
      <c r="V302" s="32"/>
      <c r="W302" s="39"/>
      <c r="X302" s="32"/>
      <c r="Y302" s="39"/>
      <c r="Z302" s="39" t="str">
        <f>IF(Table1[[#This Row],[Other]]&lt;&gt;"","Other","")</f>
        <v/>
      </c>
      <c r="AA302" s="32"/>
      <c r="AB302" s="41"/>
      <c r="AC302" s="45" t="str">
        <f>IF(Table1[[#This Row],[Auto Order]]=1,IF(Table1[[#This Row],[In stock]]&lt;Table1[[#This Row],[Min in stock]],1,""),"")</f>
        <v/>
      </c>
    </row>
    <row r="303" spans="1:29" x14ac:dyDescent="0.25">
      <c r="A303" s="71" t="s">
        <v>2087</v>
      </c>
      <c r="B303" s="32" t="s">
        <v>593</v>
      </c>
      <c r="C303" s="32" t="s">
        <v>327</v>
      </c>
      <c r="D303" s="32" t="s">
        <v>2088</v>
      </c>
      <c r="E303" s="32" t="s">
        <v>511</v>
      </c>
      <c r="F303" s="43">
        <v>0</v>
      </c>
      <c r="G303" s="43"/>
      <c r="H303" s="43"/>
      <c r="I30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0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3" s="32" t="s">
        <v>2086</v>
      </c>
      <c r="M303" s="39">
        <v>0.1</v>
      </c>
      <c r="N303" s="32"/>
      <c r="O303" s="39"/>
      <c r="P303" s="32"/>
      <c r="Q303" s="39"/>
      <c r="R303" s="32"/>
      <c r="S303" s="39"/>
      <c r="T303" s="45" t="str">
        <f>_xlfn.CONCAT("755-",Table1[[#This Row],[Art. Number]])</f>
        <v>755-ESR03EZPJ754</v>
      </c>
      <c r="U303" s="39">
        <v>9.8000000000000004E-2</v>
      </c>
      <c r="V303" s="32"/>
      <c r="W303" s="39"/>
      <c r="X303" s="32"/>
      <c r="Y303" s="39"/>
      <c r="Z303" s="39" t="str">
        <f>IF(Table1[[#This Row],[Other]]&lt;&gt;"","Other","")</f>
        <v/>
      </c>
      <c r="AA303" s="32"/>
      <c r="AB303" s="41"/>
      <c r="AC303" s="45" t="str">
        <f>IF(Table1[[#This Row],[Auto Order]]=1,IF(Table1[[#This Row],[In stock]]&lt;Table1[[#This Row],[Min in stock]],1,""),"")</f>
        <v/>
      </c>
    </row>
    <row r="304" spans="1:29" x14ac:dyDescent="0.25">
      <c r="A304" s="71" t="s">
        <v>2005</v>
      </c>
      <c r="B304" s="32" t="s">
        <v>593</v>
      </c>
      <c r="C304" s="32" t="s">
        <v>327</v>
      </c>
      <c r="D304" s="32" t="s">
        <v>2006</v>
      </c>
      <c r="E304" s="32" t="s">
        <v>511</v>
      </c>
      <c r="F304" s="43">
        <v>0</v>
      </c>
      <c r="G304" s="43"/>
      <c r="H304" s="43"/>
      <c r="I30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0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4" s="32" t="s">
        <v>2004</v>
      </c>
      <c r="M304" s="39">
        <v>0.1</v>
      </c>
      <c r="N304" s="32"/>
      <c r="O304" s="39"/>
      <c r="P304" s="32"/>
      <c r="Q304" s="39"/>
      <c r="R304" s="32"/>
      <c r="S304" s="39"/>
      <c r="T304" s="45" t="str">
        <f>_xlfn.CONCAT("755-",Table1[[#This Row],[Art. Number]])</f>
        <v>755-ESR03EZPJ755</v>
      </c>
      <c r="U304" s="39">
        <v>9.8000000000000004E-2</v>
      </c>
      <c r="V304" s="32"/>
      <c r="W304" s="39"/>
      <c r="X304" s="32"/>
      <c r="Y304" s="39"/>
      <c r="Z304" s="39" t="str">
        <f>IF(Table1[[#This Row],[Other]]&lt;&gt;"","Other","")</f>
        <v/>
      </c>
      <c r="AA304" s="32"/>
      <c r="AB304" s="41"/>
      <c r="AC304" s="45" t="str">
        <f>IF(Table1[[#This Row],[Auto Order]]=1,IF(Table1[[#This Row],[In stock]]&lt;Table1[[#This Row],[Min in stock]],1,""),"")</f>
        <v/>
      </c>
    </row>
    <row r="305" spans="1:29" x14ac:dyDescent="0.25">
      <c r="A305" s="71" t="s">
        <v>2075</v>
      </c>
      <c r="B305" s="32" t="s">
        <v>593</v>
      </c>
      <c r="C305" s="32" t="s">
        <v>327</v>
      </c>
      <c r="D305" s="32" t="s">
        <v>2076</v>
      </c>
      <c r="E305" s="32" t="s">
        <v>511</v>
      </c>
      <c r="F305" s="43">
        <v>0</v>
      </c>
      <c r="G305" s="43"/>
      <c r="H305" s="43"/>
      <c r="I30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0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5" s="32" t="s">
        <v>2074</v>
      </c>
      <c r="M305" s="39">
        <v>0.1</v>
      </c>
      <c r="N305" s="32"/>
      <c r="O305" s="39"/>
      <c r="P305" s="32"/>
      <c r="Q305" s="39"/>
      <c r="R305" s="32"/>
      <c r="S305" s="39"/>
      <c r="T305" s="45" t="str">
        <f>_xlfn.CONCAT("755-",Table1[[#This Row],[Art. Number]])</f>
        <v>755-ESR03EZPJ7R5</v>
      </c>
      <c r="U305" s="39">
        <v>9.8000000000000004E-2</v>
      </c>
      <c r="V305" s="32"/>
      <c r="W305" s="39"/>
      <c r="X305" s="32"/>
      <c r="Y305" s="39"/>
      <c r="Z305" s="39" t="str">
        <f>IF(Table1[[#This Row],[Other]]&lt;&gt;"","Other","")</f>
        <v/>
      </c>
      <c r="AA305" s="32"/>
      <c r="AB305" s="41"/>
      <c r="AC305" s="45" t="str">
        <f>IF(Table1[[#This Row],[Auto Order]]=1,IF(Table1[[#This Row],[In stock]]&lt;Table1[[#This Row],[Min in stock]],1,""),"")</f>
        <v/>
      </c>
    </row>
    <row r="306" spans="1:29" x14ac:dyDescent="0.25">
      <c r="A306" s="71" t="s">
        <v>1873</v>
      </c>
      <c r="B306" s="32" t="s">
        <v>593</v>
      </c>
      <c r="C306" s="32" t="s">
        <v>327</v>
      </c>
      <c r="D306" s="32" t="s">
        <v>1874</v>
      </c>
      <c r="E306" s="32" t="s">
        <v>511</v>
      </c>
      <c r="F306" s="43">
        <v>0</v>
      </c>
      <c r="G306" s="43"/>
      <c r="H306" s="43"/>
      <c r="I30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0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6" s="32" t="s">
        <v>1872</v>
      </c>
      <c r="M306" s="39">
        <v>0.1</v>
      </c>
      <c r="N306" s="32"/>
      <c r="O306" s="39"/>
      <c r="P306" s="32"/>
      <c r="Q306" s="39"/>
      <c r="R306" s="32"/>
      <c r="S306" s="39"/>
      <c r="T306" s="45" t="str">
        <f>_xlfn.CONCAT("755-",Table1[[#This Row],[Art. Number]])</f>
        <v>755-ESR03EZPJ820</v>
      </c>
      <c r="U306" s="39">
        <v>9.8000000000000004E-2</v>
      </c>
      <c r="V306" s="32"/>
      <c r="W306" s="39"/>
      <c r="X306" s="32"/>
      <c r="Y306" s="39"/>
      <c r="Z306" s="39" t="str">
        <f>IF(Table1[[#This Row],[Other]]&lt;&gt;"","Other","")</f>
        <v/>
      </c>
      <c r="AA306" s="32"/>
      <c r="AB306" s="41"/>
      <c r="AC306" s="45" t="str">
        <f>IF(Table1[[#This Row],[Auto Order]]=1,IF(Table1[[#This Row],[In stock]]&lt;Table1[[#This Row],[Min in stock]],1,""),"")</f>
        <v/>
      </c>
    </row>
    <row r="307" spans="1:29" x14ac:dyDescent="0.25">
      <c r="A307" s="71" t="s">
        <v>1876</v>
      </c>
      <c r="B307" s="32" t="s">
        <v>593</v>
      </c>
      <c r="C307" s="32" t="s">
        <v>327</v>
      </c>
      <c r="D307" s="32" t="s">
        <v>1877</v>
      </c>
      <c r="E307" s="32" t="s">
        <v>511</v>
      </c>
      <c r="F307" s="43">
        <v>0</v>
      </c>
      <c r="G307" s="43"/>
      <c r="H307" s="43"/>
      <c r="I30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0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7" s="32" t="s">
        <v>1875</v>
      </c>
      <c r="M307" s="39">
        <v>0.1</v>
      </c>
      <c r="N307" s="32"/>
      <c r="O307" s="39"/>
      <c r="P307" s="32"/>
      <c r="Q307" s="39"/>
      <c r="R307" s="32"/>
      <c r="S307" s="39"/>
      <c r="T307" s="45" t="str">
        <f>_xlfn.CONCAT("755-",Table1[[#This Row],[Art. Number]])</f>
        <v>755-ESR03EZPJ821</v>
      </c>
      <c r="U307" s="39">
        <v>9.8000000000000004E-2</v>
      </c>
      <c r="V307" s="32"/>
      <c r="W307" s="39"/>
      <c r="X307" s="32"/>
      <c r="Y307" s="39"/>
      <c r="Z307" s="39" t="str">
        <f>IF(Table1[[#This Row],[Other]]&lt;&gt;"","Other","")</f>
        <v/>
      </c>
      <c r="AA307" s="32"/>
      <c r="AB307" s="41"/>
      <c r="AC307" s="45" t="str">
        <f>IF(Table1[[#This Row],[Auto Order]]=1,IF(Table1[[#This Row],[In stock]]&lt;Table1[[#This Row],[Min in stock]],1,""),"")</f>
        <v/>
      </c>
    </row>
    <row r="308" spans="1:29" x14ac:dyDescent="0.25">
      <c r="A308" s="71" t="s">
        <v>1958</v>
      </c>
      <c r="B308" s="32" t="s">
        <v>593</v>
      </c>
      <c r="C308" s="32" t="s">
        <v>327</v>
      </c>
      <c r="D308" s="32" t="s">
        <v>1959</v>
      </c>
      <c r="E308" s="32" t="s">
        <v>511</v>
      </c>
      <c r="F308" s="43">
        <v>10</v>
      </c>
      <c r="G308" s="43">
        <v>10</v>
      </c>
      <c r="H308" s="43">
        <v>1</v>
      </c>
      <c r="I30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0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8" s="32" t="s">
        <v>1957</v>
      </c>
      <c r="M308" s="39">
        <v>0.1</v>
      </c>
      <c r="N308" s="32"/>
      <c r="O308" s="39"/>
      <c r="P308" s="32"/>
      <c r="Q308" s="39"/>
      <c r="R308" s="32"/>
      <c r="S308" s="39"/>
      <c r="T308" s="45" t="str">
        <f>_xlfn.CONCAT("755-",Table1[[#This Row],[Art. Number]])</f>
        <v>755-ESR03EZPJ822</v>
      </c>
      <c r="U308" s="39">
        <v>9.8000000000000004E-2</v>
      </c>
      <c r="V308" s="32"/>
      <c r="W308" s="39"/>
      <c r="X308" s="32"/>
      <c r="Y308" s="39"/>
      <c r="Z308" s="39" t="str">
        <f>IF(Table1[[#This Row],[Other]]&lt;&gt;"","Other","")</f>
        <v/>
      </c>
      <c r="AA308" s="32"/>
      <c r="AB308" s="41"/>
      <c r="AC308" s="45" t="str">
        <f>IF(Table1[[#This Row],[Auto Order]]=1,IF(Table1[[#This Row],[In stock]]&lt;Table1[[#This Row],[Min in stock]],1,""),"")</f>
        <v/>
      </c>
    </row>
    <row r="309" spans="1:29" x14ac:dyDescent="0.25">
      <c r="A309" s="71" t="s">
        <v>2146</v>
      </c>
      <c r="B309" s="32" t="s">
        <v>593</v>
      </c>
      <c r="C309" s="32" t="s">
        <v>327</v>
      </c>
      <c r="D309" s="32" t="s">
        <v>2147</v>
      </c>
      <c r="E309" s="32" t="s">
        <v>511</v>
      </c>
      <c r="F309" s="43">
        <v>0</v>
      </c>
      <c r="G309" s="43"/>
      <c r="H309" s="43"/>
      <c r="I30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0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09" s="32" t="s">
        <v>2145</v>
      </c>
      <c r="M309" s="39">
        <v>0.1</v>
      </c>
      <c r="N309" s="32"/>
      <c r="O309" s="39"/>
      <c r="P309" s="32"/>
      <c r="Q309" s="39"/>
      <c r="R309" s="32"/>
      <c r="S309" s="39"/>
      <c r="T309" s="45" t="str">
        <f>_xlfn.CONCAT("755-",Table1[[#This Row],[Art. Number]])</f>
        <v>755-ESR03EZPJ823</v>
      </c>
      <c r="U309" s="39">
        <v>9.8000000000000004E-2</v>
      </c>
      <c r="V309" s="32"/>
      <c r="W309" s="39"/>
      <c r="X309" s="32"/>
      <c r="Y309" s="39"/>
      <c r="Z309" s="39" t="str">
        <f>IF(Table1[[#This Row],[Other]]&lt;&gt;"","Other","")</f>
        <v/>
      </c>
      <c r="AA309" s="32"/>
      <c r="AB309" s="41"/>
      <c r="AC309" s="45" t="str">
        <f>IF(Table1[[#This Row],[Auto Order]]=1,IF(Table1[[#This Row],[In stock]]&lt;Table1[[#This Row],[Min in stock]],1,""),"")</f>
        <v/>
      </c>
    </row>
    <row r="310" spans="1:29" x14ac:dyDescent="0.25">
      <c r="A310" s="71" t="s">
        <v>2008</v>
      </c>
      <c r="B310" s="32" t="s">
        <v>593</v>
      </c>
      <c r="C310" s="32" t="s">
        <v>327</v>
      </c>
      <c r="D310" s="32" t="s">
        <v>2009</v>
      </c>
      <c r="E310" s="32" t="s">
        <v>511</v>
      </c>
      <c r="F310" s="43">
        <v>0</v>
      </c>
      <c r="G310" s="43"/>
      <c r="H310" s="43"/>
      <c r="I31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1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0" s="32" t="s">
        <v>2007</v>
      </c>
      <c r="M310" s="39">
        <v>0.1</v>
      </c>
      <c r="N310" s="32"/>
      <c r="O310" s="39"/>
      <c r="P310" s="32"/>
      <c r="Q310" s="39"/>
      <c r="R310" s="32"/>
      <c r="S310" s="39"/>
      <c r="T310" s="45" t="str">
        <f>_xlfn.CONCAT("755-",Table1[[#This Row],[Art. Number]])</f>
        <v>755-ESR03EZPJ824</v>
      </c>
      <c r="U310" s="39">
        <v>9.8000000000000004E-2</v>
      </c>
      <c r="V310" s="32"/>
      <c r="W310" s="39"/>
      <c r="X310" s="32"/>
      <c r="Y310" s="39"/>
      <c r="Z310" s="39" t="str">
        <f>IF(Table1[[#This Row],[Other]]&lt;&gt;"","Other","")</f>
        <v/>
      </c>
      <c r="AA310" s="32"/>
      <c r="AB310" s="41"/>
      <c r="AC310" s="45" t="str">
        <f>IF(Table1[[#This Row],[Auto Order]]=1,IF(Table1[[#This Row],[In stock]]&lt;Table1[[#This Row],[Min in stock]],1,""),"")</f>
        <v/>
      </c>
    </row>
    <row r="311" spans="1:29" x14ac:dyDescent="0.25">
      <c r="A311" s="71" t="s">
        <v>2012</v>
      </c>
      <c r="B311" s="32" t="s">
        <v>593</v>
      </c>
      <c r="C311" s="32" t="s">
        <v>327</v>
      </c>
      <c r="D311" s="32" t="s">
        <v>2013</v>
      </c>
      <c r="E311" s="32" t="s">
        <v>511</v>
      </c>
      <c r="F311" s="43">
        <v>0</v>
      </c>
      <c r="G311" s="43"/>
      <c r="H311" s="43"/>
      <c r="I31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1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1" s="32" t="s">
        <v>2011</v>
      </c>
      <c r="M311" s="39">
        <v>0.1</v>
      </c>
      <c r="N311" s="32"/>
      <c r="O311" s="39"/>
      <c r="P311" s="32"/>
      <c r="Q311" s="39"/>
      <c r="R311" s="32"/>
      <c r="S311" s="39"/>
      <c r="T311" s="45" t="str">
        <f>_xlfn.CONCAT("755-",Table1[[#This Row],[Art. Number]])</f>
        <v>755-ESR03EZPJ825</v>
      </c>
      <c r="U311" s="39">
        <v>9.8000000000000004E-2</v>
      </c>
      <c r="V311" s="32"/>
      <c r="W311" s="39"/>
      <c r="X311" s="32"/>
      <c r="Y311" s="39"/>
      <c r="Z311" s="39" t="str">
        <f>IF(Table1[[#This Row],[Other]]&lt;&gt;"","Other","")</f>
        <v/>
      </c>
      <c r="AA311" s="32"/>
      <c r="AB311" s="41"/>
      <c r="AC311" s="45" t="str">
        <f>IF(Table1[[#This Row],[Auto Order]]=1,IF(Table1[[#This Row],[In stock]]&lt;Table1[[#This Row],[Min in stock]],1,""),"")</f>
        <v/>
      </c>
    </row>
    <row r="312" spans="1:29" x14ac:dyDescent="0.25">
      <c r="A312" s="71" t="s">
        <v>1879</v>
      </c>
      <c r="B312" s="32" t="s">
        <v>593</v>
      </c>
      <c r="C312" s="32" t="s">
        <v>327</v>
      </c>
      <c r="D312" s="32" t="s">
        <v>1880</v>
      </c>
      <c r="E312" s="32" t="s">
        <v>511</v>
      </c>
      <c r="F312" s="43">
        <v>0</v>
      </c>
      <c r="G312" s="43"/>
      <c r="H312" s="43"/>
      <c r="I31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1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2" s="32" t="s">
        <v>1878</v>
      </c>
      <c r="M312" s="39">
        <v>0.1</v>
      </c>
      <c r="N312" s="32"/>
      <c r="O312" s="39"/>
      <c r="P312" s="32"/>
      <c r="Q312" s="39"/>
      <c r="R312" s="32"/>
      <c r="S312" s="39"/>
      <c r="T312" s="45" t="str">
        <f>_xlfn.CONCAT("755-",Table1[[#This Row],[Art. Number]])</f>
        <v>755-ESR03EZPJ8R2</v>
      </c>
      <c r="U312" s="39">
        <v>9.8000000000000004E-2</v>
      </c>
      <c r="V312" s="32"/>
      <c r="W312" s="39"/>
      <c r="X312" s="32"/>
      <c r="Y312" s="39"/>
      <c r="Z312" s="39" t="str">
        <f>IF(Table1[[#This Row],[Other]]&lt;&gt;"","Other","")</f>
        <v/>
      </c>
      <c r="AA312" s="32"/>
      <c r="AB312" s="41"/>
      <c r="AC312" s="45" t="str">
        <f>IF(Table1[[#This Row],[Auto Order]]=1,IF(Table1[[#This Row],[In stock]]&lt;Table1[[#This Row],[Min in stock]],1,""),"")</f>
        <v/>
      </c>
    </row>
    <row r="313" spans="1:29" x14ac:dyDescent="0.25">
      <c r="A313" s="71" t="s">
        <v>2184</v>
      </c>
      <c r="B313" s="32" t="s">
        <v>593</v>
      </c>
      <c r="C313" s="32" t="s">
        <v>327</v>
      </c>
      <c r="D313" s="32" t="s">
        <v>2185</v>
      </c>
      <c r="E313" s="32" t="s">
        <v>511</v>
      </c>
      <c r="F313" s="43">
        <v>0</v>
      </c>
      <c r="G313" s="43"/>
      <c r="H313" s="43"/>
      <c r="I31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1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3" s="32" t="s">
        <v>2183</v>
      </c>
      <c r="M313" s="39">
        <v>0.1</v>
      </c>
      <c r="N313" s="32"/>
      <c r="O313" s="39"/>
      <c r="P313" s="32"/>
      <c r="Q313" s="39"/>
      <c r="R313" s="32"/>
      <c r="S313" s="39"/>
      <c r="T313" s="45" t="str">
        <f>_xlfn.CONCAT("755-",Table1[[#This Row],[Art. Number]])</f>
        <v>755-ESR03EZPJ910</v>
      </c>
      <c r="U313" s="39">
        <v>9.8000000000000004E-2</v>
      </c>
      <c r="V313" s="32"/>
      <c r="W313" s="39"/>
      <c r="X313" s="32"/>
      <c r="Y313" s="39"/>
      <c r="Z313" s="39" t="str">
        <f>IF(Table1[[#This Row],[Other]]&lt;&gt;"","Other","")</f>
        <v/>
      </c>
      <c r="AA313" s="32"/>
      <c r="AB313" s="41"/>
      <c r="AC313" s="45" t="str">
        <f>IF(Table1[[#This Row],[Auto Order]]=1,IF(Table1[[#This Row],[In stock]]&lt;Table1[[#This Row],[Min in stock]],1,""),"")</f>
        <v/>
      </c>
    </row>
    <row r="314" spans="1:29" x14ac:dyDescent="0.25">
      <c r="A314" s="71" t="s">
        <v>1882</v>
      </c>
      <c r="B314" s="32" t="s">
        <v>593</v>
      </c>
      <c r="C314" s="32" t="s">
        <v>327</v>
      </c>
      <c r="D314" s="32" t="s">
        <v>1883</v>
      </c>
      <c r="E314" s="32" t="s">
        <v>511</v>
      </c>
      <c r="F314" s="43">
        <v>0</v>
      </c>
      <c r="G314" s="43"/>
      <c r="H314" s="43"/>
      <c r="I31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1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4" s="32" t="s">
        <v>1881</v>
      </c>
      <c r="M314" s="39">
        <v>0.1</v>
      </c>
      <c r="N314" s="32"/>
      <c r="O314" s="39"/>
      <c r="P314" s="32"/>
      <c r="Q314" s="39"/>
      <c r="R314" s="32"/>
      <c r="S314" s="39"/>
      <c r="T314" s="45" t="str">
        <f>_xlfn.CONCAT("755-",Table1[[#This Row],[Art. Number]])</f>
        <v>755-ESR03EZPJ911</v>
      </c>
      <c r="U314" s="39">
        <v>9.8000000000000004E-2</v>
      </c>
      <c r="V314" s="32"/>
      <c r="W314" s="39"/>
      <c r="X314" s="32"/>
      <c r="Y314" s="39"/>
      <c r="Z314" s="39" t="str">
        <f>IF(Table1[[#This Row],[Other]]&lt;&gt;"","Other","")</f>
        <v/>
      </c>
      <c r="AA314" s="32"/>
      <c r="AB314" s="41"/>
      <c r="AC314" s="45" t="str">
        <f>IF(Table1[[#This Row],[Auto Order]]=1,IF(Table1[[#This Row],[In stock]]&lt;Table1[[#This Row],[Min in stock]],1,""),"")</f>
        <v/>
      </c>
    </row>
    <row r="315" spans="1:29" x14ac:dyDescent="0.25">
      <c r="A315" s="71" t="s">
        <v>2066</v>
      </c>
      <c r="B315" s="32" t="s">
        <v>593</v>
      </c>
      <c r="C315" s="32" t="s">
        <v>327</v>
      </c>
      <c r="D315" s="32" t="s">
        <v>2067</v>
      </c>
      <c r="E315" s="32" t="s">
        <v>511</v>
      </c>
      <c r="F315" s="43">
        <v>0</v>
      </c>
      <c r="G315" s="43"/>
      <c r="H315" s="43"/>
      <c r="I31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1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5" s="32" t="s">
        <v>2065</v>
      </c>
      <c r="M315" s="39">
        <v>0.1</v>
      </c>
      <c r="N315" s="32"/>
      <c r="O315" s="39"/>
      <c r="P315" s="32"/>
      <c r="Q315" s="39"/>
      <c r="R315" s="32"/>
      <c r="S315" s="39"/>
      <c r="T315" s="45" t="str">
        <f>_xlfn.CONCAT("755-",Table1[[#This Row],[Art. Number]])</f>
        <v>755-ESR03EZPJ912</v>
      </c>
      <c r="U315" s="39">
        <v>9.8000000000000004E-2</v>
      </c>
      <c r="V315" s="32"/>
      <c r="W315" s="39"/>
      <c r="X315" s="32"/>
      <c r="Y315" s="39"/>
      <c r="Z315" s="39" t="str">
        <f>IF(Table1[[#This Row],[Other]]&lt;&gt;"","Other","")</f>
        <v/>
      </c>
      <c r="AA315" s="32"/>
      <c r="AB315" s="41"/>
      <c r="AC315" s="45" t="str">
        <f>IF(Table1[[#This Row],[Auto Order]]=1,IF(Table1[[#This Row],[In stock]]&lt;Table1[[#This Row],[Min in stock]],1,""),"")</f>
        <v/>
      </c>
    </row>
    <row r="316" spans="1:29" x14ac:dyDescent="0.25">
      <c r="A316" s="71" t="s">
        <v>2054</v>
      </c>
      <c r="B316" s="32" t="s">
        <v>593</v>
      </c>
      <c r="C316" s="32" t="s">
        <v>327</v>
      </c>
      <c r="D316" s="32" t="s">
        <v>2055</v>
      </c>
      <c r="E316" s="32" t="s">
        <v>511</v>
      </c>
      <c r="F316" s="43">
        <v>0</v>
      </c>
      <c r="G316" s="43"/>
      <c r="H316" s="43"/>
      <c r="I31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1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6" s="32" t="s">
        <v>2053</v>
      </c>
      <c r="M316" s="39">
        <v>0.1</v>
      </c>
      <c r="N316" s="32"/>
      <c r="O316" s="39"/>
      <c r="P316" s="32"/>
      <c r="Q316" s="39"/>
      <c r="R316" s="32"/>
      <c r="S316" s="39"/>
      <c r="T316" s="45" t="str">
        <f>_xlfn.CONCAT("755-",Table1[[#This Row],[Art. Number]])</f>
        <v>755-ESR03EZPJ913</v>
      </c>
      <c r="U316" s="39">
        <v>9.8000000000000004E-2</v>
      </c>
      <c r="V316" s="32"/>
      <c r="W316" s="39"/>
      <c r="X316" s="32"/>
      <c r="Y316" s="39"/>
      <c r="Z316" s="39" t="str">
        <f>IF(Table1[[#This Row],[Other]]&lt;&gt;"","Other","")</f>
        <v/>
      </c>
      <c r="AA316" s="32"/>
      <c r="AB316" s="41"/>
      <c r="AC316" s="45" t="str">
        <f>IF(Table1[[#This Row],[Auto Order]]=1,IF(Table1[[#This Row],[In stock]]&lt;Table1[[#This Row],[Min in stock]],1,""),"")</f>
        <v/>
      </c>
    </row>
    <row r="317" spans="1:29" x14ac:dyDescent="0.25">
      <c r="A317" s="71" t="s">
        <v>2025</v>
      </c>
      <c r="B317" s="32" t="s">
        <v>593</v>
      </c>
      <c r="C317" s="32" t="s">
        <v>327</v>
      </c>
      <c r="D317" s="32" t="s">
        <v>2026</v>
      </c>
      <c r="E317" s="32" t="s">
        <v>511</v>
      </c>
      <c r="F317" s="43">
        <v>0</v>
      </c>
      <c r="G317" s="43"/>
      <c r="H317" s="43"/>
      <c r="I31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1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7" s="32" t="s">
        <v>2024</v>
      </c>
      <c r="M317" s="39">
        <v>0.1</v>
      </c>
      <c r="N317" s="32"/>
      <c r="O317" s="39"/>
      <c r="P317" s="32"/>
      <c r="Q317" s="39"/>
      <c r="R317" s="32"/>
      <c r="S317" s="39"/>
      <c r="T317" s="45" t="str">
        <f>_xlfn.CONCAT("755-",Table1[[#This Row],[Art. Number]])</f>
        <v>755-ESR03EZPJ914</v>
      </c>
      <c r="U317" s="39">
        <v>9.8000000000000004E-2</v>
      </c>
      <c r="V317" s="32"/>
      <c r="W317" s="39"/>
      <c r="X317" s="32"/>
      <c r="Y317" s="39"/>
      <c r="Z317" s="39" t="str">
        <f>IF(Table1[[#This Row],[Other]]&lt;&gt;"","Other","")</f>
        <v/>
      </c>
      <c r="AA317" s="32"/>
      <c r="AB317" s="41"/>
      <c r="AC317" s="45" t="str">
        <f>IF(Table1[[#This Row],[Auto Order]]=1,IF(Table1[[#This Row],[In stock]]&lt;Table1[[#This Row],[Min in stock]],1,""),"")</f>
        <v/>
      </c>
    </row>
    <row r="318" spans="1:29" x14ac:dyDescent="0.25">
      <c r="A318" s="71" t="s">
        <v>2015</v>
      </c>
      <c r="B318" s="32" t="s">
        <v>593</v>
      </c>
      <c r="C318" s="32" t="s">
        <v>327</v>
      </c>
      <c r="D318" s="32" t="s">
        <v>2016</v>
      </c>
      <c r="E318" s="32" t="s">
        <v>511</v>
      </c>
      <c r="F318" s="43">
        <v>0</v>
      </c>
      <c r="G318" s="43"/>
      <c r="H318" s="43"/>
      <c r="I31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1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8" s="32" t="s">
        <v>2014</v>
      </c>
      <c r="M318" s="39">
        <v>0.1</v>
      </c>
      <c r="N318" s="32"/>
      <c r="O318" s="39"/>
      <c r="P318" s="32"/>
      <c r="Q318" s="39"/>
      <c r="R318" s="32"/>
      <c r="S318" s="39"/>
      <c r="T318" s="45" t="str">
        <f>_xlfn.CONCAT("755-",Table1[[#This Row],[Art. Number]])</f>
        <v>755-ESR03EZPJ915</v>
      </c>
      <c r="U318" s="39">
        <v>9.8000000000000004E-2</v>
      </c>
      <c r="V318" s="32"/>
      <c r="W318" s="39"/>
      <c r="X318" s="32"/>
      <c r="Y318" s="39"/>
      <c r="Z318" s="39" t="str">
        <f>IF(Table1[[#This Row],[Other]]&lt;&gt;"","Other","")</f>
        <v/>
      </c>
      <c r="AA318" s="32"/>
      <c r="AB318" s="41"/>
      <c r="AC318" s="45" t="str">
        <f>IF(Table1[[#This Row],[Auto Order]]=1,IF(Table1[[#This Row],[In stock]]&lt;Table1[[#This Row],[Min in stock]],1,""),"")</f>
        <v/>
      </c>
    </row>
    <row r="319" spans="1:29" x14ac:dyDescent="0.25">
      <c r="A319" s="71" t="s">
        <v>1961</v>
      </c>
      <c r="B319" s="32" t="s">
        <v>593</v>
      </c>
      <c r="C319" s="32" t="s">
        <v>327</v>
      </c>
      <c r="D319" s="32" t="s">
        <v>1962</v>
      </c>
      <c r="E319" s="32" t="s">
        <v>511</v>
      </c>
      <c r="F319" s="43">
        <v>0</v>
      </c>
      <c r="G319" s="43"/>
      <c r="H319" s="43"/>
      <c r="I31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1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19" s="32" t="s">
        <v>1960</v>
      </c>
      <c r="M319" s="39">
        <v>0.1</v>
      </c>
      <c r="N319" s="32"/>
      <c r="O319" s="39"/>
      <c r="P319" s="32"/>
      <c r="Q319" s="39"/>
      <c r="R319" s="32"/>
      <c r="S319" s="39"/>
      <c r="T319" s="45" t="str">
        <f>_xlfn.CONCAT("755-",Table1[[#This Row],[Art. Number]])</f>
        <v>755-ESR03EZPJ9R1</v>
      </c>
      <c r="U319" s="39">
        <v>9.8000000000000004E-2</v>
      </c>
      <c r="V319" s="32"/>
      <c r="W319" s="39"/>
      <c r="X319" s="32"/>
      <c r="Y319" s="39"/>
      <c r="Z319" s="39" t="str">
        <f>IF(Table1[[#This Row],[Other]]&lt;&gt;"","Other","")</f>
        <v/>
      </c>
      <c r="AA319" s="32"/>
      <c r="AB319" s="41"/>
      <c r="AC319" s="45" t="str">
        <f>IF(Table1[[#This Row],[Auto Order]]=1,IF(Table1[[#This Row],[In stock]]&lt;Table1[[#This Row],[Min in stock]],1,""),"")</f>
        <v/>
      </c>
    </row>
    <row r="320" spans="1:29" x14ac:dyDescent="0.25">
      <c r="A320" s="71" t="s">
        <v>1460</v>
      </c>
      <c r="B320" s="32" t="s">
        <v>593</v>
      </c>
      <c r="C320" s="32" t="s">
        <v>327</v>
      </c>
      <c r="D320" s="32" t="s">
        <v>2197</v>
      </c>
      <c r="E320" s="32" t="s">
        <v>511</v>
      </c>
      <c r="F320" s="43">
        <v>10</v>
      </c>
      <c r="G320" s="43"/>
      <c r="H320" s="43"/>
      <c r="I32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32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2" t="s">
        <v>2198</v>
      </c>
      <c r="M320" s="39">
        <v>0.1</v>
      </c>
      <c r="N320" s="32"/>
      <c r="O320" s="39"/>
      <c r="P320" s="32"/>
      <c r="Q320" s="39"/>
      <c r="R320" s="32"/>
      <c r="S320" s="39"/>
      <c r="T320" s="32"/>
      <c r="U320" s="39"/>
      <c r="V320" s="32"/>
      <c r="W320" s="39"/>
      <c r="X320" s="32"/>
      <c r="Y320" s="39"/>
      <c r="Z320" s="39" t="str">
        <f>IF(Table1[[#This Row],[Other]]&lt;&gt;"","Other","")</f>
        <v/>
      </c>
      <c r="AA320" s="32"/>
      <c r="AB320" s="41"/>
      <c r="AC320" s="45" t="str">
        <f>IF(Table1[[#This Row],[Auto Order]]=1,IF(Table1[[#This Row],[In stock]]&lt;Table1[[#This Row],[Min in stock]],1,""),"")</f>
        <v/>
      </c>
    </row>
    <row r="321" spans="1:29" x14ac:dyDescent="0.25">
      <c r="A321" s="67" t="s">
        <v>1024</v>
      </c>
      <c r="B321" s="32" t="s">
        <v>593</v>
      </c>
      <c r="C321" s="32" t="s">
        <v>1432</v>
      </c>
      <c r="D321" s="32" t="s">
        <v>1025</v>
      </c>
      <c r="E321" s="32" t="s">
        <v>511</v>
      </c>
      <c r="F321" s="43">
        <v>8</v>
      </c>
      <c r="G321" s="43"/>
      <c r="H321" s="43"/>
      <c r="I32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32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1" s="32" t="s">
        <v>1023</v>
      </c>
      <c r="M321" s="39">
        <v>0.1</v>
      </c>
      <c r="N321" s="32"/>
      <c r="O321" s="39"/>
      <c r="P321" s="32"/>
      <c r="Q321" s="39"/>
      <c r="R321" s="32"/>
      <c r="S321" s="39"/>
      <c r="T321" s="45" t="str">
        <f>_xlfn.CONCAT("755-",Table1[[#This Row],[Art. Number]])</f>
        <v>755-ESR10EZPJ104</v>
      </c>
      <c r="U321" s="39">
        <v>9.8000000000000004E-2</v>
      </c>
      <c r="V321" s="32"/>
      <c r="W321" s="39"/>
      <c r="X321" s="32"/>
      <c r="Y321" s="39"/>
      <c r="Z321" s="39" t="str">
        <f>IF(Table1[[#This Row],[Other]]&lt;&gt;"","Other","")</f>
        <v/>
      </c>
      <c r="AA321" s="32"/>
      <c r="AB321" s="41"/>
      <c r="AC321" s="45" t="str">
        <f>IF(Table1[[#This Row],[Auto Order]]=1,IF(Table1[[#This Row],[In stock]]&lt;Table1[[#This Row],[Min in stock]],1,""),"")</f>
        <v/>
      </c>
    </row>
    <row r="322" spans="1:29" x14ac:dyDescent="0.25">
      <c r="A322" s="71" t="s">
        <v>1456</v>
      </c>
      <c r="B322" s="32" t="s">
        <v>593</v>
      </c>
      <c r="C322" s="32" t="s">
        <v>327</v>
      </c>
      <c r="D322" s="32" t="s">
        <v>2199</v>
      </c>
      <c r="E322" s="32" t="s">
        <v>511</v>
      </c>
      <c r="F322" s="43">
        <v>10</v>
      </c>
      <c r="G322" s="43"/>
      <c r="H322" s="43"/>
      <c r="I32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32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2" t="s">
        <v>2200</v>
      </c>
      <c r="M322" s="39">
        <v>0.1</v>
      </c>
      <c r="N322" s="32"/>
      <c r="O322" s="39"/>
      <c r="P322" s="32"/>
      <c r="Q322" s="39"/>
      <c r="R322" s="32"/>
      <c r="S322" s="39"/>
      <c r="T322" s="32"/>
      <c r="U322" s="39"/>
      <c r="V322" s="32"/>
      <c r="W322" s="39"/>
      <c r="X322" s="32"/>
      <c r="Y322" s="39"/>
      <c r="Z322" s="39" t="str">
        <f>IF(Table1[[#This Row],[Other]]&lt;&gt;"","Other","")</f>
        <v/>
      </c>
      <c r="AA322" s="32"/>
      <c r="AB322" s="41"/>
      <c r="AC322" s="45" t="str">
        <f>IF(Table1[[#This Row],[Auto Order]]=1,IF(Table1[[#This Row],[In stock]]&lt;Table1[[#This Row],[Min in stock]],1,""),"")</f>
        <v/>
      </c>
    </row>
    <row r="323" spans="1:29" x14ac:dyDescent="0.25">
      <c r="A323" s="67" t="s">
        <v>995</v>
      </c>
      <c r="B323" s="32" t="s">
        <v>593</v>
      </c>
      <c r="C323" s="32" t="s">
        <v>1429</v>
      </c>
      <c r="D323" s="32" t="s">
        <v>996</v>
      </c>
      <c r="E323" s="32" t="s">
        <v>511</v>
      </c>
      <c r="F323" s="43">
        <v>10</v>
      </c>
      <c r="G323" s="43"/>
      <c r="H323" s="43"/>
      <c r="I32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32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3" s="32" t="s">
        <v>994</v>
      </c>
      <c r="M323" s="39">
        <v>0.1</v>
      </c>
      <c r="N323" s="32"/>
      <c r="O323" s="39"/>
      <c r="P323" s="32"/>
      <c r="Q323" s="39"/>
      <c r="R323" s="32"/>
      <c r="S323" s="39"/>
      <c r="T323" s="45" t="str">
        <f>_xlfn.CONCAT("755-",Table1[[#This Row],[Art. Number]])</f>
        <v>755-ESR10EZPJ220</v>
      </c>
      <c r="U323" s="39">
        <v>9.8000000000000004E-2</v>
      </c>
      <c r="V323" s="32"/>
      <c r="W323" s="39"/>
      <c r="X323" s="32"/>
      <c r="Y323" s="39"/>
      <c r="Z323" s="39" t="str">
        <f>IF(Table1[[#This Row],[Other]]&lt;&gt;"","Other","")</f>
        <v/>
      </c>
      <c r="AA323" s="32"/>
      <c r="AB323" s="41"/>
      <c r="AC323" s="45" t="str">
        <f>IF(Table1[[#This Row],[Auto Order]]=1,IF(Table1[[#This Row],[In stock]]&lt;Table1[[#This Row],[Min in stock]],1,""),"")</f>
        <v/>
      </c>
    </row>
    <row r="324" spans="1:29" x14ac:dyDescent="0.25">
      <c r="A324" s="71" t="s">
        <v>1453</v>
      </c>
      <c r="B324" s="32" t="s">
        <v>593</v>
      </c>
      <c r="C324" s="32" t="s">
        <v>327</v>
      </c>
      <c r="D324" s="32" t="s">
        <v>2201</v>
      </c>
      <c r="E324" s="32" t="s">
        <v>511</v>
      </c>
      <c r="F324" s="43">
        <v>10</v>
      </c>
      <c r="G324" s="43"/>
      <c r="H324" s="43"/>
      <c r="I32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32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2" t="s">
        <v>2202</v>
      </c>
      <c r="M324" s="39">
        <v>0.1</v>
      </c>
      <c r="N324" s="32"/>
      <c r="O324" s="39"/>
      <c r="P324" s="32"/>
      <c r="Q324" s="39"/>
      <c r="R324" s="32"/>
      <c r="S324" s="39"/>
      <c r="T324" s="32"/>
      <c r="U324" s="39"/>
      <c r="V324" s="32"/>
      <c r="W324" s="39"/>
      <c r="X324" s="32"/>
      <c r="Y324" s="39"/>
      <c r="Z324" s="39" t="str">
        <f>IF(Table1[[#This Row],[Other]]&lt;&gt;"","Other","")</f>
        <v/>
      </c>
      <c r="AA324" s="32"/>
      <c r="AB324" s="41"/>
      <c r="AC324" s="45" t="str">
        <f>IF(Table1[[#This Row],[Auto Order]]=1,IF(Table1[[#This Row],[In stock]]&lt;Table1[[#This Row],[Min in stock]],1,""),"")</f>
        <v/>
      </c>
    </row>
    <row r="325" spans="1:29" x14ac:dyDescent="0.25">
      <c r="A325" s="67" t="s">
        <v>539</v>
      </c>
      <c r="B325" s="32" t="s">
        <v>593</v>
      </c>
      <c r="C325" s="32" t="s">
        <v>1434</v>
      </c>
      <c r="D325" s="32" t="s">
        <v>594</v>
      </c>
      <c r="E325" s="32" t="s">
        <v>511</v>
      </c>
      <c r="F325" s="43">
        <v>9</v>
      </c>
      <c r="G325" s="43"/>
      <c r="H325" s="43"/>
      <c r="I32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32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5" s="32" t="s">
        <v>595</v>
      </c>
      <c r="M325" s="39">
        <v>0.1</v>
      </c>
      <c r="N325" s="32"/>
      <c r="O325" s="39"/>
      <c r="P325" s="32"/>
      <c r="Q325" s="39"/>
      <c r="R325" s="32"/>
      <c r="S325" s="39"/>
      <c r="T325" s="45" t="str">
        <f>_xlfn.CONCAT("755-",Table1[[#This Row],[Art. Number]])</f>
        <v>755-ESR10EZPJ273</v>
      </c>
      <c r="U325" s="39">
        <v>9.8000000000000004E-2</v>
      </c>
      <c r="V325" s="32"/>
      <c r="W325" s="39"/>
      <c r="X325" s="32"/>
      <c r="Y325" s="39"/>
      <c r="Z325" s="39" t="str">
        <f>IF(Table1[[#This Row],[Other]]&lt;&gt;"","Other","")</f>
        <v/>
      </c>
      <c r="AA325" s="32"/>
      <c r="AB325" s="41"/>
      <c r="AC325" s="45" t="str">
        <f>IF(Table1[[#This Row],[Auto Order]]=1,IF(Table1[[#This Row],[In stock]]&lt;Table1[[#This Row],[Min in stock]],1,""),"")</f>
        <v/>
      </c>
    </row>
    <row r="326" spans="1:29" x14ac:dyDescent="0.25">
      <c r="A326" s="67" t="s">
        <v>1018</v>
      </c>
      <c r="B326" s="32" t="s">
        <v>593</v>
      </c>
      <c r="C326" s="32" t="s">
        <v>1430</v>
      </c>
      <c r="D326" s="32" t="s">
        <v>1019</v>
      </c>
      <c r="E326" s="32" t="s">
        <v>511</v>
      </c>
      <c r="F326" s="43">
        <v>9</v>
      </c>
      <c r="G326" s="43"/>
      <c r="H326" s="43"/>
      <c r="I32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32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6" s="32" t="s">
        <v>1017</v>
      </c>
      <c r="M326" s="39">
        <v>0.1</v>
      </c>
      <c r="N326" s="32"/>
      <c r="O326" s="39"/>
      <c r="P326" s="32"/>
      <c r="Q326" s="39"/>
      <c r="R326" s="32"/>
      <c r="S326" s="39"/>
      <c r="T326" s="45" t="str">
        <f>_xlfn.CONCAT("755-",Table1[[#This Row],[Art. Number]])</f>
        <v>755-ESR10EZPJ331</v>
      </c>
      <c r="U326" s="39">
        <v>9.8000000000000004E-2</v>
      </c>
      <c r="V326" s="32"/>
      <c r="W326" s="39"/>
      <c r="X326" s="32"/>
      <c r="Y326" s="39"/>
      <c r="Z326" s="39" t="str">
        <f>IF(Table1[[#This Row],[Other]]&lt;&gt;"","Other","")</f>
        <v/>
      </c>
      <c r="AA326" s="32"/>
      <c r="AB326" s="41"/>
      <c r="AC326" s="45" t="str">
        <f>IF(Table1[[#This Row],[Auto Order]]=1,IF(Table1[[#This Row],[In stock]]&lt;Table1[[#This Row],[Min in stock]],1,""),"")</f>
        <v/>
      </c>
    </row>
    <row r="327" spans="1:29" x14ac:dyDescent="0.25">
      <c r="A327" s="71" t="s">
        <v>1441</v>
      </c>
      <c r="B327" s="32" t="s">
        <v>593</v>
      </c>
      <c r="C327" s="32" t="s">
        <v>327</v>
      </c>
      <c r="D327" s="32" t="s">
        <v>2195</v>
      </c>
      <c r="E327" s="32" t="s">
        <v>511</v>
      </c>
      <c r="F327" s="43">
        <v>10</v>
      </c>
      <c r="G327" s="43"/>
      <c r="H327" s="43"/>
      <c r="I32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32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2" t="s">
        <v>2196</v>
      </c>
      <c r="M327" s="39">
        <v>0.1</v>
      </c>
      <c r="N327" s="32"/>
      <c r="O327" s="39"/>
      <c r="P327" s="32"/>
      <c r="Q327" s="39"/>
      <c r="R327" s="32"/>
      <c r="S327" s="39"/>
      <c r="T327" s="32"/>
      <c r="U327" s="39"/>
      <c r="V327" s="32"/>
      <c r="W327" s="39"/>
      <c r="X327" s="32"/>
      <c r="Y327" s="39"/>
      <c r="Z327" s="39" t="str">
        <f>IF(Table1[[#This Row],[Other]]&lt;&gt;"","Other","")</f>
        <v/>
      </c>
      <c r="AA327" s="32"/>
      <c r="AB327" s="41"/>
      <c r="AC327" s="45" t="str">
        <f>IF(Table1[[#This Row],[Auto Order]]=1,IF(Table1[[#This Row],[In stock]]&lt;Table1[[#This Row],[Min in stock]],1,""),"")</f>
        <v/>
      </c>
    </row>
    <row r="328" spans="1:29" x14ac:dyDescent="0.25">
      <c r="A328" s="67" t="s">
        <v>1015</v>
      </c>
      <c r="B328" s="32" t="s">
        <v>593</v>
      </c>
      <c r="C328" s="32" t="s">
        <v>1435</v>
      </c>
      <c r="D328" s="32" t="s">
        <v>1016</v>
      </c>
      <c r="E328" s="32" t="s">
        <v>511</v>
      </c>
      <c r="F328" s="43">
        <v>9</v>
      </c>
      <c r="G328" s="43"/>
      <c r="H328" s="43"/>
      <c r="I32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32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8" s="32" t="s">
        <v>1014</v>
      </c>
      <c r="M328" s="39">
        <v>0.1</v>
      </c>
      <c r="N328" s="32"/>
      <c r="O328" s="39"/>
      <c r="P328" s="32"/>
      <c r="Q328" s="39"/>
      <c r="R328" s="32"/>
      <c r="S328" s="39"/>
      <c r="T328" s="45" t="str">
        <f>_xlfn.CONCAT("755-",Table1[[#This Row],[Art. Number]])</f>
        <v>755-ESR10EZPJ392</v>
      </c>
      <c r="U328" s="39">
        <v>9.8000000000000004E-2</v>
      </c>
      <c r="V328" s="32"/>
      <c r="W328" s="39"/>
      <c r="X328" s="32"/>
      <c r="Y328" s="39"/>
      <c r="Z328" s="39" t="str">
        <f>IF(Table1[[#This Row],[Other]]&lt;&gt;"","Other","")</f>
        <v/>
      </c>
      <c r="AA328" s="32"/>
      <c r="AB328" s="41"/>
      <c r="AC328" s="45" t="str">
        <f>IF(Table1[[#This Row],[Auto Order]]=1,IF(Table1[[#This Row],[In stock]]&lt;Table1[[#This Row],[Min in stock]],1,""),"")</f>
        <v/>
      </c>
    </row>
    <row r="329" spans="1:29" x14ac:dyDescent="0.25">
      <c r="A329" s="67" t="s">
        <v>712</v>
      </c>
      <c r="B329" s="32" t="s">
        <v>593</v>
      </c>
      <c r="C329" s="32" t="s">
        <v>1431</v>
      </c>
      <c r="D329" s="32" t="s">
        <v>713</v>
      </c>
      <c r="E329" s="32" t="s">
        <v>511</v>
      </c>
      <c r="F329" s="43">
        <v>10</v>
      </c>
      <c r="G329" s="43"/>
      <c r="H329" s="43"/>
      <c r="I32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32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32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29" s="32" t="s">
        <v>711</v>
      </c>
      <c r="M329" s="39">
        <v>0.15</v>
      </c>
      <c r="N329" s="32"/>
      <c r="O329" s="39"/>
      <c r="P329" s="32"/>
      <c r="Q329" s="39"/>
      <c r="R329" s="32"/>
      <c r="S329" s="39"/>
      <c r="T329" s="45" t="str">
        <f>_xlfn.CONCAT("755-",Table1[[#This Row],[Art. Number]])</f>
        <v>755-KTR10EZPJ102</v>
      </c>
      <c r="U329" s="39">
        <v>9.8000000000000004E-2</v>
      </c>
      <c r="V329" s="32"/>
      <c r="W329" s="39"/>
      <c r="X329" s="32"/>
      <c r="Y329" s="39"/>
      <c r="Z329" s="39" t="str">
        <f>IF(Table1[[#This Row],[Other]]&lt;&gt;"","Other","")</f>
        <v/>
      </c>
      <c r="AA329" s="32"/>
      <c r="AB329" s="41"/>
      <c r="AC329" s="45" t="str">
        <f>IF(Table1[[#This Row],[Auto Order]]=1,IF(Table1[[#This Row],[In stock]]&lt;Table1[[#This Row],[Min in stock]],1,""),"")</f>
        <v/>
      </c>
    </row>
    <row r="330" spans="1:29" x14ac:dyDescent="0.25">
      <c r="A330" s="71" t="s">
        <v>930</v>
      </c>
      <c r="B330" s="32" t="s">
        <v>593</v>
      </c>
      <c r="C330" s="32" t="s">
        <v>1433</v>
      </c>
      <c r="D330" s="32" t="s">
        <v>931</v>
      </c>
      <c r="E330" s="32" t="s">
        <v>511</v>
      </c>
      <c r="F330" s="43">
        <v>2</v>
      </c>
      <c r="G330" s="43"/>
      <c r="H330" s="43"/>
      <c r="I33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33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33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30" s="32" t="s">
        <v>929</v>
      </c>
      <c r="M330" s="39">
        <v>0.15</v>
      </c>
      <c r="N330" s="32"/>
      <c r="O330" s="39"/>
      <c r="P330" s="32"/>
      <c r="Q330" s="39"/>
      <c r="R330" s="32"/>
      <c r="S330" s="39"/>
      <c r="T330" s="45" t="str">
        <f>_xlfn.CONCAT("755-",Table1[[#This Row],[Art. Number]])</f>
        <v>755-KTR10EZPJ106</v>
      </c>
      <c r="U330" s="39">
        <v>9.8000000000000004E-2</v>
      </c>
      <c r="V330" s="32"/>
      <c r="W330" s="39"/>
      <c r="X330" s="32"/>
      <c r="Y330" s="39"/>
      <c r="Z330" s="39" t="str">
        <f>IF(Table1[[#This Row],[Other]]&lt;&gt;"","Other","")</f>
        <v/>
      </c>
      <c r="AA330" s="32"/>
      <c r="AB330" s="41"/>
      <c r="AC330" s="45" t="str">
        <f>IF(Table1[[#This Row],[Auto Order]]=1,IF(Table1[[#This Row],[In stock]]&lt;Table1[[#This Row],[Min in stock]],1,""),"")</f>
        <v/>
      </c>
    </row>
    <row r="331" spans="1:29" x14ac:dyDescent="0.25">
      <c r="A331" s="70" t="s">
        <v>55</v>
      </c>
      <c r="B331" s="32" t="s">
        <v>30</v>
      </c>
      <c r="C331" s="32" t="s">
        <v>1379</v>
      </c>
      <c r="D331" s="32" t="s">
        <v>54</v>
      </c>
      <c r="E331" s="32" t="s">
        <v>511</v>
      </c>
      <c r="F331" s="43">
        <v>9</v>
      </c>
      <c r="G331" s="43"/>
      <c r="H331" s="43"/>
      <c r="I33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33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33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1" s="32"/>
      <c r="M331" s="39"/>
      <c r="N331" s="32" t="s">
        <v>396</v>
      </c>
      <c r="O331" s="39">
        <v>4.4499999999999998E-2</v>
      </c>
      <c r="P331" s="32"/>
      <c r="Q331" s="39"/>
      <c r="R331" s="32"/>
      <c r="S331" s="39"/>
      <c r="T331" s="32"/>
      <c r="U331" s="39"/>
      <c r="V331" s="32"/>
      <c r="W331" s="39"/>
      <c r="X331" s="32"/>
      <c r="Y331" s="39">
        <v>4.4499999999999998E-2</v>
      </c>
      <c r="Z331" s="39" t="str">
        <f>IF(Table1[[#This Row],[Other]]&lt;&gt;"","Other","")</f>
        <v/>
      </c>
      <c r="AA331" s="32"/>
      <c r="AB331" s="41"/>
      <c r="AC331" s="33" t="str">
        <f>IF(Table1[[#This Row],[Auto Order]]=1,IF(Table1[[#This Row],[In stock]]&lt;Table1[[#This Row],[Min in stock]],1,""),"")</f>
        <v/>
      </c>
    </row>
    <row r="332" spans="1:29" x14ac:dyDescent="0.25">
      <c r="A332" s="70" t="s">
        <v>50</v>
      </c>
      <c r="B332" s="32" t="s">
        <v>30</v>
      </c>
      <c r="C332" s="32" t="s">
        <v>1377</v>
      </c>
      <c r="D332" s="32" t="s">
        <v>1371</v>
      </c>
      <c r="E332" s="32" t="s">
        <v>511</v>
      </c>
      <c r="F332" s="43">
        <v>9</v>
      </c>
      <c r="G332" s="43"/>
      <c r="H332" s="43"/>
      <c r="I33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33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33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2" s="32"/>
      <c r="M332" s="39"/>
      <c r="N332" s="32" t="s">
        <v>399</v>
      </c>
      <c r="O332" s="39">
        <v>1.55E-2</v>
      </c>
      <c r="P332" s="32"/>
      <c r="Q332" s="39"/>
      <c r="R332" s="32"/>
      <c r="S332" s="39"/>
      <c r="T332" s="32"/>
      <c r="U332" s="39"/>
      <c r="V332" s="32"/>
      <c r="W332" s="39"/>
      <c r="X332" s="32"/>
      <c r="Y332" s="39">
        <v>1.55E-2</v>
      </c>
      <c r="Z332" s="39" t="str">
        <f>IF(Table1[[#This Row],[Other]]&lt;&gt;"","Other","")</f>
        <v/>
      </c>
      <c r="AA332" s="32"/>
      <c r="AB332" s="41"/>
      <c r="AC332" s="33" t="str">
        <f>IF(Table1[[#This Row],[Auto Order]]=1,IF(Table1[[#This Row],[In stock]]&lt;Table1[[#This Row],[Min in stock]],1,""),"")</f>
        <v/>
      </c>
    </row>
    <row r="333" spans="1:29" x14ac:dyDescent="0.25">
      <c r="A333" s="70" t="s">
        <v>49</v>
      </c>
      <c r="B333" s="32" t="s">
        <v>30</v>
      </c>
      <c r="C333" s="32" t="s">
        <v>327</v>
      </c>
      <c r="D333" s="32" t="s">
        <v>48</v>
      </c>
      <c r="E333" s="32" t="s">
        <v>511</v>
      </c>
      <c r="F333" s="43">
        <v>0</v>
      </c>
      <c r="G333" s="43"/>
      <c r="H333" s="43"/>
      <c r="I33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33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33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3" s="32"/>
      <c r="M333" s="39"/>
      <c r="N333" s="32" t="s">
        <v>400</v>
      </c>
      <c r="O333" s="39">
        <v>2.3E-2</v>
      </c>
      <c r="P333" s="32"/>
      <c r="Q333" s="39"/>
      <c r="R333" s="32"/>
      <c r="S333" s="39"/>
      <c r="T333" s="32"/>
      <c r="U333" s="39"/>
      <c r="V333" s="32"/>
      <c r="W333" s="39"/>
      <c r="X333" s="32"/>
      <c r="Y333" s="39">
        <v>2.3E-2</v>
      </c>
      <c r="Z333" s="39" t="str">
        <f>IF(Table1[[#This Row],[Other]]&lt;&gt;"","Other","")</f>
        <v/>
      </c>
      <c r="AA333" s="32"/>
      <c r="AB333" s="41"/>
      <c r="AC333" s="33" t="str">
        <f>IF(Table1[[#This Row],[Auto Order]]=1,IF(Table1[[#This Row],[In stock]]&lt;Table1[[#This Row],[Min in stock]],1,""),"")</f>
        <v/>
      </c>
    </row>
    <row r="334" spans="1:29" x14ac:dyDescent="0.25">
      <c r="A334" s="70" t="s">
        <v>56</v>
      </c>
      <c r="B334" s="32" t="s">
        <v>30</v>
      </c>
      <c r="C334" s="32" t="s">
        <v>1376</v>
      </c>
      <c r="D334" s="32" t="s">
        <v>1372</v>
      </c>
      <c r="E334" s="32" t="s">
        <v>511</v>
      </c>
      <c r="F334" s="43">
        <v>7</v>
      </c>
      <c r="G334" s="43"/>
      <c r="H334" s="43"/>
      <c r="I33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33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33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4" s="32"/>
      <c r="M334" s="39"/>
      <c r="N334" s="32" t="s">
        <v>395</v>
      </c>
      <c r="O334" s="39">
        <v>2.3900000000000001E-2</v>
      </c>
      <c r="P334" s="32"/>
      <c r="Q334" s="39"/>
      <c r="R334" s="32"/>
      <c r="S334" s="39"/>
      <c r="T334" s="32"/>
      <c r="U334" s="39"/>
      <c r="V334" s="32"/>
      <c r="W334" s="39"/>
      <c r="X334" s="32"/>
      <c r="Y334" s="39">
        <v>2.3900000000000001E-2</v>
      </c>
      <c r="Z334" s="39" t="str">
        <f>IF(Table1[[#This Row],[Other]]&lt;&gt;"","Other","")</f>
        <v/>
      </c>
      <c r="AA334" s="32"/>
      <c r="AB334" s="41"/>
      <c r="AC334" s="33" t="str">
        <f>IF(Table1[[#This Row],[Auto Order]]=1,IF(Table1[[#This Row],[In stock]]&lt;Table1[[#This Row],[Min in stock]],1,""),"")</f>
        <v/>
      </c>
    </row>
    <row r="335" spans="1:29" x14ac:dyDescent="0.25">
      <c r="A335" s="70" t="s">
        <v>47</v>
      </c>
      <c r="B335" s="32" t="s">
        <v>46</v>
      </c>
      <c r="C335" s="32" t="s">
        <v>1375</v>
      </c>
      <c r="D335" s="32" t="s">
        <v>1373</v>
      </c>
      <c r="E335" s="32" t="s">
        <v>511</v>
      </c>
      <c r="F335" s="43">
        <v>9</v>
      </c>
      <c r="G335" s="43"/>
      <c r="H335" s="43"/>
      <c r="I33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33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33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35" s="32"/>
      <c r="M335" s="39"/>
      <c r="N335" s="32" t="s">
        <v>398</v>
      </c>
      <c r="O335" s="39">
        <v>1.0999999999999999E-2</v>
      </c>
      <c r="P335" s="32"/>
      <c r="Q335" s="39"/>
      <c r="R335" s="32"/>
      <c r="S335" s="39"/>
      <c r="T335" s="32"/>
      <c r="U335" s="39"/>
      <c r="V335" s="32"/>
      <c r="W335" s="39"/>
      <c r="X335" s="32"/>
      <c r="Y335" s="39">
        <v>1.0999999999999999E-2</v>
      </c>
      <c r="Z335" s="39" t="str">
        <f>IF(Table1[[#This Row],[Other]]&lt;&gt;"","Other","")</f>
        <v/>
      </c>
      <c r="AA335" s="32"/>
      <c r="AB335" s="41"/>
      <c r="AC335" s="33" t="str">
        <f>IF(Table1[[#This Row],[Auto Order]]=1,IF(Table1[[#This Row],[In stock]]&lt;Table1[[#This Row],[Min in stock]],1,""),"")</f>
        <v/>
      </c>
    </row>
    <row r="336" spans="1:29" x14ac:dyDescent="0.25">
      <c r="A336" s="67" t="s">
        <v>1177</v>
      </c>
      <c r="B336" s="32" t="s">
        <v>1173</v>
      </c>
      <c r="C336" s="32" t="s">
        <v>327</v>
      </c>
      <c r="D336" s="32" t="s">
        <v>1178</v>
      </c>
      <c r="E336" s="32" t="s">
        <v>1189</v>
      </c>
      <c r="F336" s="43">
        <v>0</v>
      </c>
      <c r="G336" s="43"/>
      <c r="H336" s="43"/>
      <c r="I33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36-29351-ND</v>
      </c>
      <c r="J33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0.23</v>
      </c>
      <c r="K33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2" t="s">
        <v>1179</v>
      </c>
      <c r="M336" s="39">
        <v>0.23</v>
      </c>
      <c r="N336" s="32"/>
      <c r="O336" s="39"/>
      <c r="P336" s="32"/>
      <c r="Q336" s="39"/>
      <c r="R336" s="32"/>
      <c r="S336" s="39"/>
      <c r="T336" s="32"/>
      <c r="U336" s="39"/>
      <c r="V336" s="32"/>
      <c r="W336" s="39"/>
      <c r="X336" s="32"/>
      <c r="Y336" s="39"/>
      <c r="Z336" s="39" t="str">
        <f>IF(Table1[[#This Row],[Other]]&lt;&gt;"","Other","")</f>
        <v/>
      </c>
      <c r="AA336" s="32"/>
      <c r="AB336" s="41"/>
      <c r="AC336" s="45" t="str">
        <f>IF(Table1[[#This Row],[Auto Order]]=1,IF(Table1[[#This Row],[In stock]]&lt;Table1[[#This Row],[Min in stock]],1,""),"")</f>
        <v/>
      </c>
    </row>
    <row r="337" spans="1:29" x14ac:dyDescent="0.25">
      <c r="A337" s="67" t="s">
        <v>1185</v>
      </c>
      <c r="B337" s="32" t="s">
        <v>1186</v>
      </c>
      <c r="C337" s="32" t="s">
        <v>1660</v>
      </c>
      <c r="D337" s="32" t="s">
        <v>1187</v>
      </c>
      <c r="E337" s="32" t="s">
        <v>1189</v>
      </c>
      <c r="F337" s="43">
        <v>2</v>
      </c>
      <c r="G337" s="43"/>
      <c r="H337" s="43"/>
      <c r="I33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RPC7016-ND</v>
      </c>
      <c r="J33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0.16</v>
      </c>
      <c r="K33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2" t="s">
        <v>1188</v>
      </c>
      <c r="M337" s="39">
        <v>0.16</v>
      </c>
      <c r="N337" s="32"/>
      <c r="O337" s="39"/>
      <c r="P337" s="32"/>
      <c r="Q337" s="39"/>
      <c r="R337" s="32"/>
      <c r="S337" s="39"/>
      <c r="T337" s="32"/>
      <c r="U337" s="39"/>
      <c r="V337" s="32"/>
      <c r="W337" s="39"/>
      <c r="X337" s="32"/>
      <c r="Y337" s="39"/>
      <c r="Z337" s="39" t="str">
        <f>IF(Table1[[#This Row],[Other]]&lt;&gt;"","Other","")</f>
        <v/>
      </c>
      <c r="AA337" s="32"/>
      <c r="AB337" s="41"/>
      <c r="AC337" s="45" t="str">
        <f>IF(Table1[[#This Row],[Auto Order]]=1,IF(Table1[[#This Row],[In stock]]&lt;Table1[[#This Row],[Min in stock]],1,""),"")</f>
        <v/>
      </c>
    </row>
    <row r="338" spans="1:29" x14ac:dyDescent="0.25">
      <c r="A338" s="71" t="s">
        <v>2187</v>
      </c>
      <c r="B338" s="32" t="s">
        <v>2188</v>
      </c>
      <c r="C338" s="32" t="s">
        <v>327</v>
      </c>
      <c r="D338" s="32" t="s">
        <v>2189</v>
      </c>
      <c r="E338" s="32" t="s">
        <v>2190</v>
      </c>
      <c r="F338" s="43">
        <v>0</v>
      </c>
      <c r="G338" s="43"/>
      <c r="H338" s="43"/>
      <c r="I33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TS391SNL-ND</v>
      </c>
      <c r="J33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16.78</v>
      </c>
      <c r="K33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2" t="s">
        <v>2191</v>
      </c>
      <c r="M338" s="39">
        <v>16.78</v>
      </c>
      <c r="N338" s="32"/>
      <c r="O338" s="39"/>
      <c r="P338" s="32"/>
      <c r="Q338" s="39"/>
      <c r="R338" s="32"/>
      <c r="S338" s="39"/>
      <c r="T338" s="32"/>
      <c r="U338" s="39"/>
      <c r="V338" s="32"/>
      <c r="W338" s="39"/>
      <c r="X338" s="32"/>
      <c r="Y338" s="39"/>
      <c r="Z338" s="39" t="str">
        <f>IF(Table1[[#This Row],[Other]]&lt;&gt;"","Other","")</f>
        <v/>
      </c>
      <c r="AA338" s="32"/>
      <c r="AB338" s="41"/>
      <c r="AC338" s="45" t="str">
        <f>IF(Table1[[#This Row],[Auto Order]]=1,IF(Table1[[#This Row],[In stock]]&lt;Table1[[#This Row],[Min in stock]],1,""),"")</f>
        <v/>
      </c>
    </row>
    <row r="339" spans="1:29" x14ac:dyDescent="0.25">
      <c r="A339" s="71" t="s">
        <v>2192</v>
      </c>
      <c r="B339" s="32" t="s">
        <v>2188</v>
      </c>
      <c r="C339" s="32" t="s">
        <v>327</v>
      </c>
      <c r="D339" s="32" t="s">
        <v>2193</v>
      </c>
      <c r="E339" s="32" t="s">
        <v>2190</v>
      </c>
      <c r="F339" s="43">
        <v>0</v>
      </c>
      <c r="G339" s="43"/>
      <c r="H339" s="43"/>
      <c r="I33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TS391SNL50-ND</v>
      </c>
      <c r="J33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17.77</v>
      </c>
      <c r="K33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2" t="s">
        <v>2194</v>
      </c>
      <c r="M339" s="39">
        <v>17.77</v>
      </c>
      <c r="N339" s="32"/>
      <c r="O339" s="39"/>
      <c r="P339" s="32"/>
      <c r="Q339" s="39"/>
      <c r="R339" s="32"/>
      <c r="S339" s="39"/>
      <c r="T339" s="32"/>
      <c r="U339" s="39"/>
      <c r="V339" s="32"/>
      <c r="W339" s="39"/>
      <c r="X339" s="32"/>
      <c r="Y339" s="39"/>
      <c r="Z339" s="39" t="str">
        <f>IF(Table1[[#This Row],[Other]]&lt;&gt;"","Other","")</f>
        <v/>
      </c>
      <c r="AA339" s="32"/>
      <c r="AB339" s="41"/>
      <c r="AC339" s="45" t="str">
        <f>IF(Table1[[#This Row],[Auto Order]]=1,IF(Table1[[#This Row],[In stock]]&lt;Table1[[#This Row],[Min in stock]],1,""),"")</f>
        <v/>
      </c>
    </row>
    <row r="340" spans="1:29" x14ac:dyDescent="0.25">
      <c r="A340" s="67" t="s">
        <v>1169</v>
      </c>
      <c r="B340" s="32" t="s">
        <v>1156</v>
      </c>
      <c r="C340" s="32" t="s">
        <v>327</v>
      </c>
      <c r="D340" s="32" t="s">
        <v>1170</v>
      </c>
      <c r="E340" s="32" t="s">
        <v>1158</v>
      </c>
      <c r="F340" s="43">
        <v>0</v>
      </c>
      <c r="G340" s="43"/>
      <c r="H340" s="43"/>
      <c r="I34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T0054440599N-ND</v>
      </c>
      <c r="J34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4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2" t="s">
        <v>1171</v>
      </c>
      <c r="M340" s="39">
        <v>5.05</v>
      </c>
      <c r="N340" s="32"/>
      <c r="O340" s="39"/>
      <c r="P340" s="32"/>
      <c r="Q340" s="39"/>
      <c r="R340" s="32"/>
      <c r="S340" s="39"/>
      <c r="T340" s="32"/>
      <c r="U340" s="39"/>
      <c r="V340" s="32"/>
      <c r="W340" s="39"/>
      <c r="X340" s="32"/>
      <c r="Y340" s="39"/>
      <c r="Z340" s="39" t="str">
        <f>IF(Table1[[#This Row],[Other]]&lt;&gt;"","Other","")</f>
        <v/>
      </c>
      <c r="AA340" s="32"/>
      <c r="AB340" s="41"/>
      <c r="AC340" s="45" t="str">
        <f>IF(Table1[[#This Row],[Auto Order]]=1,IF(Table1[[#This Row],[In stock]]&lt;Table1[[#This Row],[Min in stock]],1,""),"")</f>
        <v/>
      </c>
    </row>
    <row r="341" spans="1:29" x14ac:dyDescent="0.25">
      <c r="A341" s="67" t="s">
        <v>1166</v>
      </c>
      <c r="B341" s="32" t="s">
        <v>1156</v>
      </c>
      <c r="C341" s="32" t="s">
        <v>327</v>
      </c>
      <c r="D341" s="32" t="s">
        <v>1167</v>
      </c>
      <c r="E341" s="32" t="s">
        <v>1158</v>
      </c>
      <c r="F341" s="43">
        <v>0</v>
      </c>
      <c r="G341" s="43"/>
      <c r="H341" s="43"/>
      <c r="I34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T0054440899N-ND</v>
      </c>
      <c r="J34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4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2" t="s">
        <v>1168</v>
      </c>
      <c r="M341" s="39">
        <v>5.05</v>
      </c>
      <c r="N341" s="32"/>
      <c r="O341" s="39"/>
      <c r="P341" s="32"/>
      <c r="Q341" s="39"/>
      <c r="R341" s="32"/>
      <c r="S341" s="39"/>
      <c r="T341" s="32"/>
      <c r="U341" s="39"/>
      <c r="V341" s="32"/>
      <c r="W341" s="39"/>
      <c r="X341" s="32"/>
      <c r="Y341" s="39"/>
      <c r="Z341" s="39" t="str">
        <f>IF(Table1[[#This Row],[Other]]&lt;&gt;"","Other","")</f>
        <v/>
      </c>
      <c r="AA341" s="32"/>
      <c r="AB341" s="41"/>
      <c r="AC341" s="45" t="str">
        <f>IF(Table1[[#This Row],[Auto Order]]=1,IF(Table1[[#This Row],[In stock]]&lt;Table1[[#This Row],[Min in stock]],1,""),"")</f>
        <v/>
      </c>
    </row>
    <row r="342" spans="1:29" x14ac:dyDescent="0.25">
      <c r="A342" s="67" t="s">
        <v>1163</v>
      </c>
      <c r="B342" s="32" t="s">
        <v>1156</v>
      </c>
      <c r="C342" s="32" t="s">
        <v>327</v>
      </c>
      <c r="D342" s="32" t="s">
        <v>1164</v>
      </c>
      <c r="E342" s="32" t="s">
        <v>1158</v>
      </c>
      <c r="F342" s="43">
        <v>1</v>
      </c>
      <c r="G342" s="43"/>
      <c r="H342" s="43"/>
      <c r="I34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T0054440999N-ND</v>
      </c>
      <c r="J34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5.25</v>
      </c>
      <c r="K34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2" t="s">
        <v>1165</v>
      </c>
      <c r="M342" s="39">
        <v>5.25</v>
      </c>
      <c r="N342" s="32"/>
      <c r="O342" s="39"/>
      <c r="P342" s="32"/>
      <c r="Q342" s="39"/>
      <c r="R342" s="32"/>
      <c r="S342" s="39"/>
      <c r="T342" s="32"/>
      <c r="U342" s="39"/>
      <c r="V342" s="32"/>
      <c r="W342" s="39"/>
      <c r="X342" s="32"/>
      <c r="Y342" s="39"/>
      <c r="Z342" s="39" t="str">
        <f>IF(Table1[[#This Row],[Other]]&lt;&gt;"","Other","")</f>
        <v/>
      </c>
      <c r="AA342" s="32"/>
      <c r="AB342" s="41"/>
      <c r="AC342" s="45" t="str">
        <f>IF(Table1[[#This Row],[Auto Order]]=1,IF(Table1[[#This Row],[In stock]]&lt;Table1[[#This Row],[Min in stock]],1,""),"")</f>
        <v/>
      </c>
    </row>
    <row r="343" spans="1:29" x14ac:dyDescent="0.25">
      <c r="A343" s="67" t="s">
        <v>1155</v>
      </c>
      <c r="B343" s="32" t="s">
        <v>1156</v>
      </c>
      <c r="C343" s="32" t="s">
        <v>327</v>
      </c>
      <c r="D343" s="32" t="s">
        <v>1157</v>
      </c>
      <c r="E343" s="32" t="s">
        <v>1158</v>
      </c>
      <c r="F343" s="43">
        <v>1</v>
      </c>
      <c r="G343" s="43"/>
      <c r="H343" s="43"/>
      <c r="I34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T0054441099N-ND</v>
      </c>
      <c r="J34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4.8499999999999996</v>
      </c>
      <c r="K34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2" t="s">
        <v>1159</v>
      </c>
      <c r="M343" s="39">
        <v>4.8499999999999996</v>
      </c>
      <c r="N343" s="32"/>
      <c r="O343" s="39"/>
      <c r="P343" s="32"/>
      <c r="Q343" s="39"/>
      <c r="R343" s="32"/>
      <c r="S343" s="39"/>
      <c r="T343" s="32"/>
      <c r="U343" s="39"/>
      <c r="V343" s="32"/>
      <c r="W343" s="39"/>
      <c r="X343" s="32"/>
      <c r="Y343" s="39"/>
      <c r="Z343" s="39" t="str">
        <f>IF(Table1[[#This Row],[Other]]&lt;&gt;"","Other","")</f>
        <v/>
      </c>
      <c r="AA343" s="32"/>
      <c r="AB343" s="41"/>
      <c r="AC343" s="45" t="str">
        <f>IF(Table1[[#This Row],[Auto Order]]=1,IF(Table1[[#This Row],[In stock]]&lt;Table1[[#This Row],[Min in stock]],1,""),"")</f>
        <v/>
      </c>
    </row>
    <row r="344" spans="1:29" x14ac:dyDescent="0.25">
      <c r="A344" s="72" t="s">
        <v>1249</v>
      </c>
      <c r="B344" s="62" t="s">
        <v>1156</v>
      </c>
      <c r="C344" s="62" t="s">
        <v>327</v>
      </c>
      <c r="D344" s="62" t="s">
        <v>1250</v>
      </c>
      <c r="E344" s="62" t="s">
        <v>1158</v>
      </c>
      <c r="F344" s="63">
        <v>1</v>
      </c>
      <c r="G344" s="63"/>
      <c r="H344" s="63"/>
      <c r="I344" s="62" t="s">
        <v>1244</v>
      </c>
      <c r="J344" s="64">
        <v>0.53</v>
      </c>
      <c r="K344" s="65" t="s">
        <v>75</v>
      </c>
      <c r="L344" s="62" t="s">
        <v>1251</v>
      </c>
      <c r="M344" s="66">
        <v>5.05</v>
      </c>
      <c r="N344" s="62"/>
      <c r="O344" s="66"/>
      <c r="P344" s="62"/>
      <c r="Q344" s="66"/>
      <c r="R344" s="62"/>
      <c r="S344" s="66"/>
      <c r="T344" s="62"/>
      <c r="U344" s="66"/>
      <c r="V344" s="62"/>
      <c r="W344" s="66"/>
      <c r="X344" s="62"/>
      <c r="Y344" s="66"/>
      <c r="Z344" s="66" t="str">
        <f>IF(Table1[[#This Row],[Other]]&lt;&gt;"","Other","")</f>
        <v/>
      </c>
      <c r="AA344" s="62"/>
      <c r="AB344" s="64"/>
      <c r="AC344" s="65" t="s">
        <v>1258</v>
      </c>
    </row>
    <row r="345" spans="1:29" x14ac:dyDescent="0.25">
      <c r="A345" s="67" t="s">
        <v>1160</v>
      </c>
      <c r="B345" s="32" t="s">
        <v>1156</v>
      </c>
      <c r="C345" s="32" t="s">
        <v>327</v>
      </c>
      <c r="D345" s="32" t="s">
        <v>1161</v>
      </c>
      <c r="E345" s="32" t="s">
        <v>1158</v>
      </c>
      <c r="F345" s="43">
        <v>1</v>
      </c>
      <c r="G345" s="43"/>
      <c r="H345" s="43"/>
      <c r="I34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T0054444099N-ND</v>
      </c>
      <c r="J34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5.05</v>
      </c>
      <c r="K34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2" t="s">
        <v>1162</v>
      </c>
      <c r="M345" s="39">
        <v>5.05</v>
      </c>
      <c r="N345" s="32"/>
      <c r="O345" s="39"/>
      <c r="P345" s="32"/>
      <c r="Q345" s="39"/>
      <c r="R345" s="32"/>
      <c r="S345" s="39"/>
      <c r="T345" s="32"/>
      <c r="U345" s="39"/>
      <c r="V345" s="32"/>
      <c r="W345" s="39"/>
      <c r="X345" s="32"/>
      <c r="Y345" s="39"/>
      <c r="Z345" s="39" t="str">
        <f>IF(Table1[[#This Row],[Other]]&lt;&gt;"","Other","")</f>
        <v/>
      </c>
      <c r="AA345" s="32"/>
      <c r="AB345" s="41"/>
      <c r="AC345" s="45" t="str">
        <f>IF(Table1[[#This Row],[Auto Order]]=1,IF(Table1[[#This Row],[In stock]]&lt;Table1[[#This Row],[Min in stock]],1,""),"")</f>
        <v/>
      </c>
    </row>
    <row r="346" spans="1:29" x14ac:dyDescent="0.25">
      <c r="A346" s="67" t="s">
        <v>1172</v>
      </c>
      <c r="B346" s="32" t="s">
        <v>1173</v>
      </c>
      <c r="C346" s="32" t="s">
        <v>1660</v>
      </c>
      <c r="D346" s="32" t="s">
        <v>1174</v>
      </c>
      <c r="E346" s="32" t="s">
        <v>1175</v>
      </c>
      <c r="F346" s="43">
        <v>6</v>
      </c>
      <c r="G346" s="43"/>
      <c r="H346" s="43"/>
      <c r="I34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36-25521-ND</v>
      </c>
      <c r="J34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34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2" t="s">
        <v>1176</v>
      </c>
      <c r="M346" s="39">
        <v>0.47</v>
      </c>
      <c r="N346" s="32"/>
      <c r="O346" s="39"/>
      <c r="P346" s="32"/>
      <c r="Q346" s="39"/>
      <c r="R346" s="32"/>
      <c r="S346" s="39"/>
      <c r="T346" s="32"/>
      <c r="U346" s="39"/>
      <c r="V346" s="32"/>
      <c r="W346" s="39"/>
      <c r="X346" s="32"/>
      <c r="Y346" s="39"/>
      <c r="Z346" s="39" t="str">
        <f>IF(Table1[[#This Row],[Other]]&lt;&gt;"","Other","")</f>
        <v/>
      </c>
      <c r="AA346" s="32"/>
      <c r="AB346" s="41"/>
      <c r="AC346" s="45" t="str">
        <f>IF(Table1[[#This Row],[Auto Order]]=1,IF(Table1[[#This Row],[In stock]]&lt;Table1[[#This Row],[Min in stock]],1,""),"")</f>
        <v/>
      </c>
    </row>
    <row r="347" spans="1:29" x14ac:dyDescent="0.25">
      <c r="A347" s="70" t="s">
        <v>109</v>
      </c>
      <c r="B347" s="32" t="s">
        <v>82</v>
      </c>
      <c r="C347" s="32" t="s">
        <v>327</v>
      </c>
      <c r="D347" s="32" t="s">
        <v>108</v>
      </c>
      <c r="E347" s="32" t="s">
        <v>505</v>
      </c>
      <c r="F347" s="43">
        <v>19</v>
      </c>
      <c r="G347" s="43">
        <v>2</v>
      </c>
      <c r="H347" s="43">
        <f>1</f>
        <v>1</v>
      </c>
      <c r="I34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34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34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47" s="32" t="s">
        <v>423</v>
      </c>
      <c r="M347" s="39">
        <v>0.28000000000000003</v>
      </c>
      <c r="N347" s="32" t="s">
        <v>110</v>
      </c>
      <c r="O347" s="39">
        <v>0.191</v>
      </c>
      <c r="P347" s="32"/>
      <c r="Q347" s="39"/>
      <c r="R347" s="32"/>
      <c r="S347" s="39"/>
      <c r="T347" s="32"/>
      <c r="U347" s="39"/>
      <c r="V347" s="32"/>
      <c r="W347" s="39"/>
      <c r="X347" s="32"/>
      <c r="Y347" s="39">
        <v>0.191</v>
      </c>
      <c r="Z347" s="39" t="str">
        <f>IF(Table1[[#This Row],[Other]]&lt;&gt;"","Other","")</f>
        <v/>
      </c>
      <c r="AA347" s="32"/>
      <c r="AB347" s="41"/>
      <c r="AC347" s="33" t="str">
        <f>IF(Table1[[#This Row],[Auto Order]]=1,IF(Table1[[#This Row],[In stock]]&lt;Table1[[#This Row],[Min in stock]],1,""),"")</f>
        <v/>
      </c>
    </row>
    <row r="348" spans="1:29" x14ac:dyDescent="0.25">
      <c r="A348" s="70" t="s">
        <v>119</v>
      </c>
      <c r="B348" s="32" t="s">
        <v>7</v>
      </c>
      <c r="C348" s="32" t="s">
        <v>327</v>
      </c>
      <c r="D348" s="32" t="s">
        <v>118</v>
      </c>
      <c r="E348" s="32" t="s">
        <v>505</v>
      </c>
      <c r="F348" s="43">
        <v>10</v>
      </c>
      <c r="G348" s="43">
        <v>2</v>
      </c>
      <c r="H348" s="43">
        <f>1</f>
        <v>1</v>
      </c>
      <c r="I34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4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4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48" s="32" t="s">
        <v>427</v>
      </c>
      <c r="M348" s="39">
        <v>0.61</v>
      </c>
      <c r="N348" s="32" t="s">
        <v>120</v>
      </c>
      <c r="O348" s="39">
        <v>0.34899999999999998</v>
      </c>
      <c r="P348" s="32"/>
      <c r="Q348" s="39"/>
      <c r="R348" s="32"/>
      <c r="S348" s="39"/>
      <c r="T348" s="32"/>
      <c r="U348" s="39"/>
      <c r="V348" s="32"/>
      <c r="W348" s="39"/>
      <c r="X348" s="32"/>
      <c r="Y348" s="39">
        <v>0.34899999999999998</v>
      </c>
      <c r="Z348" s="39" t="str">
        <f>IF(Table1[[#This Row],[Other]]&lt;&gt;"","Other","")</f>
        <v/>
      </c>
      <c r="AA348" s="32"/>
      <c r="AB348" s="41"/>
      <c r="AC348" s="33" t="str">
        <f>IF(Table1[[#This Row],[Auto Order]]=1,IF(Table1[[#This Row],[In stock]]&lt;Table1[[#This Row],[Min in stock]],1,""),"")</f>
        <v/>
      </c>
    </row>
    <row r="349" spans="1:29" x14ac:dyDescent="0.25">
      <c r="A349" s="70" t="s">
        <v>106</v>
      </c>
      <c r="B349" s="32" t="s">
        <v>30</v>
      </c>
      <c r="C349" s="32" t="s">
        <v>327</v>
      </c>
      <c r="D349" s="32" t="s">
        <v>105</v>
      </c>
      <c r="E349" s="32" t="s">
        <v>505</v>
      </c>
      <c r="F349" s="43">
        <v>15</v>
      </c>
      <c r="G349" s="43">
        <v>2</v>
      </c>
      <c r="H349" s="43">
        <f>1</f>
        <v>1</v>
      </c>
      <c r="I34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34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34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49" s="32"/>
      <c r="M349" s="39"/>
      <c r="N349" s="32" t="s">
        <v>107</v>
      </c>
      <c r="O349" s="39">
        <v>0.26500000000000001</v>
      </c>
      <c r="P349" s="32"/>
      <c r="Q349" s="39"/>
      <c r="R349" s="32"/>
      <c r="S349" s="39"/>
      <c r="T349" s="32"/>
      <c r="U349" s="39"/>
      <c r="V349" s="32"/>
      <c r="W349" s="39"/>
      <c r="X349" s="32"/>
      <c r="Y349" s="39">
        <v>0.26500000000000001</v>
      </c>
      <c r="Z349" s="39" t="str">
        <f>IF(Table1[[#This Row],[Other]]&lt;&gt;"","Other","")</f>
        <v/>
      </c>
      <c r="AA349" s="32"/>
      <c r="AB349" s="41"/>
      <c r="AC349" s="33" t="str">
        <f>IF(Table1[[#This Row],[Auto Order]]=1,IF(Table1[[#This Row],[In stock]]&lt;Table1[[#This Row],[Min in stock]],1,""),"")</f>
        <v/>
      </c>
    </row>
    <row r="350" spans="1:29" x14ac:dyDescent="0.25">
      <c r="A350" s="70" t="s">
        <v>217</v>
      </c>
      <c r="B350" s="32" t="s">
        <v>218</v>
      </c>
      <c r="C350" s="32" t="s">
        <v>1649</v>
      </c>
      <c r="D350" s="32" t="s">
        <v>219</v>
      </c>
      <c r="E350" s="32" t="s">
        <v>500</v>
      </c>
      <c r="F350" s="43">
        <v>4</v>
      </c>
      <c r="G350" s="43">
        <v>2</v>
      </c>
      <c r="H350" s="43">
        <v>1</v>
      </c>
      <c r="I35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35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35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2" t="s">
        <v>216</v>
      </c>
      <c r="M350" s="39">
        <v>0.85</v>
      </c>
      <c r="N350" s="32"/>
      <c r="O350" s="39"/>
      <c r="P350" s="32"/>
      <c r="Q350" s="39"/>
      <c r="R350" s="32"/>
      <c r="S350" s="39"/>
      <c r="T350" s="32"/>
      <c r="U350" s="39"/>
      <c r="V350" s="32"/>
      <c r="W350" s="39"/>
      <c r="X350" s="32"/>
      <c r="Y350" s="39"/>
      <c r="Z350" s="39" t="str">
        <f>IF(Table1[[#This Row],[Other]]&lt;&gt;"","Other","")</f>
        <v/>
      </c>
      <c r="AA350" s="32"/>
      <c r="AB350" s="41"/>
      <c r="AC350" s="33" t="str">
        <f>IF(Table1[[#This Row],[Auto Order]]=1,IF(Table1[[#This Row],[In stock]]&lt;Table1[[#This Row],[Min in stock]],1,""),"")</f>
        <v/>
      </c>
    </row>
    <row r="351" spans="1:29" x14ac:dyDescent="0.25">
      <c r="A351" s="70" t="s">
        <v>213</v>
      </c>
      <c r="B351" s="32" t="s">
        <v>214</v>
      </c>
      <c r="C351" s="32" t="s">
        <v>1649</v>
      </c>
      <c r="D351" s="32" t="s">
        <v>215</v>
      </c>
      <c r="E351" s="32" t="s">
        <v>500</v>
      </c>
      <c r="F351" s="43">
        <v>2</v>
      </c>
      <c r="G351" s="43">
        <v>2</v>
      </c>
      <c r="H351" s="43">
        <v>1</v>
      </c>
      <c r="I35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35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35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2" t="s">
        <v>212</v>
      </c>
      <c r="M351" s="39">
        <v>1.39</v>
      </c>
      <c r="N351" s="32"/>
      <c r="O351" s="39"/>
      <c r="P351" s="32"/>
      <c r="Q351" s="39"/>
      <c r="R351" s="32"/>
      <c r="S351" s="39"/>
      <c r="T351" s="32"/>
      <c r="U351" s="39"/>
      <c r="V351" s="32"/>
      <c r="W351" s="39"/>
      <c r="X351" s="32"/>
      <c r="Y351" s="39"/>
      <c r="Z351" s="39" t="str">
        <f>IF(Table1[[#This Row],[Other]]&lt;&gt;"","Other","")</f>
        <v/>
      </c>
      <c r="AA351" s="32"/>
      <c r="AB351" s="41"/>
      <c r="AC351" s="33" t="str">
        <f>IF(Table1[[#This Row],[Auto Order]]=1,IF(Table1[[#This Row],[In stock]]&lt;Table1[[#This Row],[Min in stock]],1,""),"")</f>
        <v/>
      </c>
    </row>
    <row r="352" spans="1:29" x14ac:dyDescent="0.25">
      <c r="A352" s="67" t="s">
        <v>1241</v>
      </c>
      <c r="B352" s="32" t="s">
        <v>1242</v>
      </c>
      <c r="C352" s="32" t="s">
        <v>327</v>
      </c>
      <c r="D352" s="32" t="s">
        <v>1243</v>
      </c>
      <c r="E352" s="32" t="s">
        <v>500</v>
      </c>
      <c r="F352" s="43">
        <v>0</v>
      </c>
      <c r="G352" s="43"/>
      <c r="H352" s="43"/>
      <c r="I35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CKN10371-ND</v>
      </c>
      <c r="J35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35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2" t="s">
        <v>1244</v>
      </c>
      <c r="M352" s="39">
        <v>0.53</v>
      </c>
      <c r="N352" s="32"/>
      <c r="O352" s="39"/>
      <c r="P352" s="32"/>
      <c r="Q352" s="39"/>
      <c r="R352" s="32"/>
      <c r="S352" s="39"/>
      <c r="T352" s="32"/>
      <c r="U352" s="39"/>
      <c r="V352" s="32"/>
      <c r="W352" s="39"/>
      <c r="X352" s="32"/>
      <c r="Y352" s="39"/>
      <c r="Z352" s="39" t="str">
        <f>IF(Table1[[#This Row],[Other]]&lt;&gt;"","Other","")</f>
        <v/>
      </c>
      <c r="AA352" s="32"/>
      <c r="AB352" s="41"/>
      <c r="AC352" s="45" t="str">
        <f>IF(Table1[[#This Row],[Auto Order]]=1,IF(Table1[[#This Row],[In stock]]&lt;Table1[[#This Row],[Min in stock]],1,""),"")</f>
        <v/>
      </c>
    </row>
    <row r="353" spans="1:29" x14ac:dyDescent="0.25">
      <c r="A353" s="67" t="s">
        <v>1264</v>
      </c>
      <c r="B353" s="32" t="s">
        <v>1259</v>
      </c>
      <c r="C353" s="32" t="s">
        <v>327</v>
      </c>
      <c r="D353" s="32" t="s">
        <v>1262</v>
      </c>
      <c r="E353" s="32" t="s">
        <v>508</v>
      </c>
      <c r="F353" s="43">
        <v>0</v>
      </c>
      <c r="G353" s="43"/>
      <c r="H353" s="43"/>
      <c r="I35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WM9999-ND</v>
      </c>
      <c r="J35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56.67</v>
      </c>
      <c r="K35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2" t="s">
        <v>1263</v>
      </c>
      <c r="M353" s="39">
        <v>56.67</v>
      </c>
      <c r="N353" s="32"/>
      <c r="O353" s="39"/>
      <c r="P353" s="32"/>
      <c r="Q353" s="39"/>
      <c r="R353" s="32"/>
      <c r="S353" s="39"/>
      <c r="T353" s="32"/>
      <c r="U353" s="39"/>
      <c r="V353" s="32"/>
      <c r="W353" s="39"/>
      <c r="X353" s="32"/>
      <c r="Y353" s="39"/>
      <c r="Z353" s="39" t="str">
        <f>IF(Table1[[#This Row],[Other]]&lt;&gt;"","Other","")</f>
        <v/>
      </c>
      <c r="AA353" s="32"/>
      <c r="AB353" s="41"/>
      <c r="AC353" s="45" t="str">
        <f>IF(Table1[[#This Row],[Auto Order]]=1,IF(Table1[[#This Row],[In stock]]&lt;Table1[[#This Row],[Min in stock]],1,""),"")</f>
        <v/>
      </c>
    </row>
    <row r="354" spans="1:29" x14ac:dyDescent="0.25">
      <c r="A354" s="70" t="s">
        <v>322</v>
      </c>
      <c r="B354" s="32" t="s">
        <v>323</v>
      </c>
      <c r="C354" s="32" t="s">
        <v>327</v>
      </c>
      <c r="D354" s="32" t="s">
        <v>324</v>
      </c>
      <c r="E354" s="32" t="s">
        <v>508</v>
      </c>
      <c r="F354" s="43">
        <v>1</v>
      </c>
      <c r="G354" s="43"/>
      <c r="H354" s="43"/>
      <c r="I35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35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35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354" s="32"/>
      <c r="M354" s="39"/>
      <c r="N354" s="32"/>
      <c r="O354" s="39"/>
      <c r="P354" s="32"/>
      <c r="Q354" s="39"/>
      <c r="R354" s="32" t="s">
        <v>321</v>
      </c>
      <c r="S354" s="39">
        <v>399.95</v>
      </c>
      <c r="T354" s="32"/>
      <c r="U354" s="39"/>
      <c r="V354" s="32"/>
      <c r="W354" s="39"/>
      <c r="X354" s="32"/>
      <c r="Y354" s="39"/>
      <c r="Z354" s="39" t="str">
        <f>IF(Table1[[#This Row],[Other]]&lt;&gt;"","Other","")</f>
        <v/>
      </c>
      <c r="AA354" s="32"/>
      <c r="AB354" s="41"/>
      <c r="AC354" s="33" t="str">
        <f>IF(Table1[[#This Row],[Auto Order]]=1,IF(Table1[[#This Row],[In stock]]&lt;Table1[[#This Row],[Min in stock]],1,""),"")</f>
        <v/>
      </c>
    </row>
    <row r="355" spans="1:29" x14ac:dyDescent="0.25">
      <c r="A355" s="70" t="s">
        <v>304</v>
      </c>
      <c r="B355" s="32" t="s">
        <v>305</v>
      </c>
      <c r="C355" s="32" t="s">
        <v>327</v>
      </c>
      <c r="D355" s="32" t="s">
        <v>306</v>
      </c>
      <c r="E355" s="32" t="s">
        <v>508</v>
      </c>
      <c r="F355" s="43">
        <v>0</v>
      </c>
      <c r="G355" s="43"/>
      <c r="H355" s="43"/>
      <c r="I355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355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355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355" s="32"/>
      <c r="M355" s="39"/>
      <c r="N355" s="32"/>
      <c r="O355" s="39"/>
      <c r="P355" s="32" t="s">
        <v>303</v>
      </c>
      <c r="Q355" s="39">
        <v>14.6</v>
      </c>
      <c r="R355" s="32"/>
      <c r="S355" s="39"/>
      <c r="T355" s="32"/>
      <c r="U355" s="39"/>
      <c r="V355" s="32"/>
      <c r="W355" s="39"/>
      <c r="X355" s="32"/>
      <c r="Y355" s="39"/>
      <c r="Z355" s="39" t="str">
        <f>IF(Table1[[#This Row],[Other]]&lt;&gt;"","Other","")</f>
        <v/>
      </c>
      <c r="AA355" s="32"/>
      <c r="AB355" s="41"/>
      <c r="AC355" s="33" t="str">
        <f>IF(Table1[[#This Row],[Auto Order]]=1,IF(Table1[[#This Row],[In stock]]&lt;Table1[[#This Row],[Min in stock]],1,""),"")</f>
        <v/>
      </c>
    </row>
    <row r="356" spans="1:29" x14ac:dyDescent="0.25">
      <c r="A356" s="71" t="s">
        <v>1708</v>
      </c>
      <c r="B356" s="32" t="s">
        <v>1156</v>
      </c>
      <c r="C356" s="32" t="s">
        <v>327</v>
      </c>
      <c r="D356" s="32" t="s">
        <v>1707</v>
      </c>
      <c r="E356" s="32" t="s">
        <v>508</v>
      </c>
      <c r="F356" s="43">
        <v>1</v>
      </c>
      <c r="G356" s="43"/>
      <c r="H356" s="43"/>
      <c r="I356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578-XHT412</v>
      </c>
      <c r="J356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9.17</v>
      </c>
      <c r="K356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Mouser</v>
      </c>
      <c r="L356" s="32"/>
      <c r="M356" s="39"/>
      <c r="N356" s="32"/>
      <c r="O356" s="39"/>
      <c r="P356" s="32"/>
      <c r="Q356" s="39"/>
      <c r="R356" s="32"/>
      <c r="S356" s="39"/>
      <c r="T356" s="32" t="s">
        <v>1706</v>
      </c>
      <c r="U356" s="39">
        <v>9.17</v>
      </c>
      <c r="V356" s="32"/>
      <c r="W356" s="39"/>
      <c r="X356" s="32"/>
      <c r="Y356" s="39"/>
      <c r="Z356" s="39" t="str">
        <f>IF(Table1[[#This Row],[Other]]&lt;&gt;"","Other","")</f>
        <v/>
      </c>
      <c r="AA356" s="32"/>
      <c r="AB356" s="41"/>
      <c r="AC356" s="45" t="str">
        <f>IF(Table1[[#This Row],[Auto Order]]=1,IF(Table1[[#This Row],[In stock]]&lt;Table1[[#This Row],[Min in stock]],1,""),"")</f>
        <v/>
      </c>
    </row>
    <row r="357" spans="1:29" x14ac:dyDescent="0.25">
      <c r="A357" s="70" t="s">
        <v>42</v>
      </c>
      <c r="B357" s="32" t="s">
        <v>41</v>
      </c>
      <c r="C357" s="32" t="s">
        <v>361</v>
      </c>
      <c r="D357" s="32" t="s">
        <v>40</v>
      </c>
      <c r="E357" s="32" t="s">
        <v>513</v>
      </c>
      <c r="F357" s="43">
        <v>14</v>
      </c>
      <c r="G357" s="43">
        <f>10</f>
        <v>10</v>
      </c>
      <c r="H357" s="43">
        <f>1</f>
        <v>1</v>
      </c>
      <c r="I357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357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357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57" s="32" t="s">
        <v>429</v>
      </c>
      <c r="M357" s="39">
        <v>0.55000000000000004</v>
      </c>
      <c r="N357" s="32">
        <v>9845356</v>
      </c>
      <c r="O357" s="39">
        <v>0.42199999999999999</v>
      </c>
      <c r="P357" s="32"/>
      <c r="Q357" s="39"/>
      <c r="R357" s="32"/>
      <c r="S357" s="39"/>
      <c r="T357" s="32"/>
      <c r="U357" s="39"/>
      <c r="V357" s="32"/>
      <c r="W357" s="39"/>
      <c r="X357" s="32"/>
      <c r="Y357" s="39">
        <v>0.42199999999999999</v>
      </c>
      <c r="Z357" s="39" t="str">
        <f>IF(Table1[[#This Row],[Other]]&lt;&gt;"","Other","")</f>
        <v/>
      </c>
      <c r="AA357" s="32"/>
      <c r="AB357" s="41"/>
      <c r="AC357" s="33" t="str">
        <f>IF(Table1[[#This Row],[Auto Order]]=1,IF(Table1[[#This Row],[In stock]]&lt;Table1[[#This Row],[Min in stock]],1,""),"")</f>
        <v/>
      </c>
    </row>
    <row r="358" spans="1:29" x14ac:dyDescent="0.25">
      <c r="A358" s="70" t="s">
        <v>39</v>
      </c>
      <c r="B358" s="32" t="s">
        <v>7</v>
      </c>
      <c r="C358" s="32" t="s">
        <v>359</v>
      </c>
      <c r="D358" s="32" t="s">
        <v>37</v>
      </c>
      <c r="E358" s="32" t="s">
        <v>513</v>
      </c>
      <c r="F358" s="43">
        <v>22</v>
      </c>
      <c r="G358" s="43">
        <v>10</v>
      </c>
      <c r="H358" s="43">
        <f>1</f>
        <v>1</v>
      </c>
      <c r="I358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358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358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58" s="32" t="s">
        <v>432</v>
      </c>
      <c r="M358" s="39">
        <v>0.56999999999999995</v>
      </c>
      <c r="N358" s="32">
        <v>1779259</v>
      </c>
      <c r="O358" s="39">
        <v>0.27100000000000002</v>
      </c>
      <c r="P358" s="32"/>
      <c r="Q358" s="39"/>
      <c r="R358" s="32"/>
      <c r="S358" s="39"/>
      <c r="T358" s="32"/>
      <c r="U358" s="39"/>
      <c r="V358" s="32"/>
      <c r="W358" s="39"/>
      <c r="X358" s="32"/>
      <c r="Y358" s="39">
        <v>0.27100000000000002</v>
      </c>
      <c r="Z358" s="39" t="str">
        <f>IF(Table1[[#This Row],[Other]]&lt;&gt;"","Other","")</f>
        <v/>
      </c>
      <c r="AA358" s="32"/>
      <c r="AB358" s="41"/>
      <c r="AC358" s="33" t="str">
        <f>IF(Table1[[#This Row],[Auto Order]]=1,IF(Table1[[#This Row],[In stock]]&lt;Table1[[#This Row],[Min in stock]],1,""),"")</f>
        <v/>
      </c>
    </row>
    <row r="359" spans="1:29" x14ac:dyDescent="0.25">
      <c r="A359" s="67" t="s">
        <v>1112</v>
      </c>
      <c r="B359" s="32" t="s">
        <v>1113</v>
      </c>
      <c r="C359" s="32" t="s">
        <v>327</v>
      </c>
      <c r="D359" s="32" t="s">
        <v>1114</v>
      </c>
      <c r="E359" s="32" t="s">
        <v>513</v>
      </c>
      <c r="F359" s="43">
        <v>0</v>
      </c>
      <c r="G359" s="43"/>
      <c r="H359" s="43"/>
      <c r="I359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359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359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2" t="s">
        <v>1115</v>
      </c>
      <c r="M359" s="39">
        <v>0.53</v>
      </c>
      <c r="N359" s="32"/>
      <c r="O359" s="39"/>
      <c r="P359" s="32"/>
      <c r="Q359" s="39"/>
      <c r="R359" s="32"/>
      <c r="S359" s="39"/>
      <c r="T359" s="32"/>
      <c r="U359" s="39"/>
      <c r="V359" s="32"/>
      <c r="W359" s="39"/>
      <c r="X359" s="32"/>
      <c r="Y359" s="39"/>
      <c r="Z359" s="39" t="str">
        <f>IF(Table1[[#This Row],[Other]]&lt;&gt;"","Other","")</f>
        <v/>
      </c>
      <c r="AA359" s="32"/>
      <c r="AB359" s="41"/>
      <c r="AC359" s="45" t="str">
        <f>IF(Table1[[#This Row],[Auto Order]]=1,IF(Table1[[#This Row],[In stock]]&lt;Table1[[#This Row],[Min in stock]],1,""),"")</f>
        <v/>
      </c>
    </row>
    <row r="360" spans="1:29" x14ac:dyDescent="0.25">
      <c r="A360" s="70" t="s">
        <v>35</v>
      </c>
      <c r="B360" s="32" t="s">
        <v>83</v>
      </c>
      <c r="C360" s="32" t="s">
        <v>1649</v>
      </c>
      <c r="D360" s="32" t="s">
        <v>34</v>
      </c>
      <c r="E360" s="32" t="s">
        <v>507</v>
      </c>
      <c r="F360" s="43">
        <v>2</v>
      </c>
      <c r="G360" s="43"/>
      <c r="H360" s="43"/>
      <c r="I360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360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360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60" s="32" t="s">
        <v>154</v>
      </c>
      <c r="M360" s="39">
        <v>2.08</v>
      </c>
      <c r="N360" s="32">
        <v>9352260</v>
      </c>
      <c r="O360" s="39">
        <v>2.76</v>
      </c>
      <c r="P360" s="32"/>
      <c r="Q360" s="39"/>
      <c r="R360" s="32"/>
      <c r="S360" s="39"/>
      <c r="T360" s="32"/>
      <c r="U360" s="39"/>
      <c r="V360" s="32"/>
      <c r="W360" s="39"/>
      <c r="X360" s="32"/>
      <c r="Y360" s="39">
        <v>2.76</v>
      </c>
      <c r="Z360" s="39" t="str">
        <f>IF(Table1[[#This Row],[Other]]&lt;&gt;"","Other","")</f>
        <v/>
      </c>
      <c r="AA360" s="32"/>
      <c r="AB360" s="41"/>
      <c r="AC360" s="33" t="str">
        <f>IF(Table1[[#This Row],[Auto Order]]=1,IF(Table1[[#This Row],[In stock]]&lt;Table1[[#This Row],[Min in stock]],1,""),"")</f>
        <v/>
      </c>
    </row>
    <row r="361" spans="1:29" x14ac:dyDescent="0.25">
      <c r="A361" s="70" t="s">
        <v>45</v>
      </c>
      <c r="B361" s="32" t="s">
        <v>44</v>
      </c>
      <c r="C361" s="32" t="s">
        <v>1649</v>
      </c>
      <c r="D361" s="32" t="s">
        <v>43</v>
      </c>
      <c r="E361" s="32" t="s">
        <v>507</v>
      </c>
      <c r="F361" s="43">
        <v>2</v>
      </c>
      <c r="G361" s="43"/>
      <c r="H361" s="43"/>
      <c r="I361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361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361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61" s="32" t="s">
        <v>433</v>
      </c>
      <c r="M361" s="39">
        <v>1.81</v>
      </c>
      <c r="N361" s="32">
        <v>1141380</v>
      </c>
      <c r="O361" s="39">
        <v>1.62</v>
      </c>
      <c r="P361" s="32"/>
      <c r="Q361" s="39"/>
      <c r="R361" s="32"/>
      <c r="S361" s="39"/>
      <c r="T361" s="32"/>
      <c r="U361" s="39"/>
      <c r="V361" s="32"/>
      <c r="W361" s="39"/>
      <c r="X361" s="32"/>
      <c r="Y361" s="39">
        <v>1.62</v>
      </c>
      <c r="Z361" s="39" t="str">
        <f>IF(Table1[[#This Row],[Other]]&lt;&gt;"","Other","")</f>
        <v/>
      </c>
      <c r="AA361" s="32"/>
      <c r="AB361" s="41"/>
      <c r="AC361" s="33" t="str">
        <f>IF(Table1[[#This Row],[Auto Order]]=1,IF(Table1[[#This Row],[In stock]]&lt;Table1[[#This Row],[Min in stock]],1,""),"")</f>
        <v/>
      </c>
    </row>
    <row r="362" spans="1:29" x14ac:dyDescent="0.25">
      <c r="A362" s="70" t="s">
        <v>442</v>
      </c>
      <c r="B362" s="32" t="s">
        <v>1143</v>
      </c>
      <c r="C362" s="32" t="s">
        <v>327</v>
      </c>
      <c r="D362" s="32" t="s">
        <v>247</v>
      </c>
      <c r="E362" s="32" t="s">
        <v>504</v>
      </c>
      <c r="F362" s="43">
        <v>3</v>
      </c>
      <c r="G362" s="43"/>
      <c r="H362" s="43"/>
      <c r="I362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362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362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2" t="s">
        <v>246</v>
      </c>
      <c r="M362" s="39">
        <v>0.48</v>
      </c>
      <c r="N362" s="32"/>
      <c r="O362" s="39"/>
      <c r="P362" s="32"/>
      <c r="Q362" s="39"/>
      <c r="R362" s="32"/>
      <c r="S362" s="39"/>
      <c r="T362" s="32"/>
      <c r="U362" s="39"/>
      <c r="V362" s="32"/>
      <c r="W362" s="39"/>
      <c r="X362" s="32"/>
      <c r="Y362" s="39"/>
      <c r="Z362" s="39" t="str">
        <f>IF(Table1[[#This Row],[Other]]&lt;&gt;"","Other","")</f>
        <v/>
      </c>
      <c r="AA362" s="32"/>
      <c r="AB362" s="41"/>
      <c r="AC362" s="33" t="str">
        <f>IF(Table1[[#This Row],[Auto Order]]=1,IF(Table1[[#This Row],[In stock]]&lt;Table1[[#This Row],[Min in stock]],1,""),"")</f>
        <v/>
      </c>
    </row>
    <row r="363" spans="1:29" x14ac:dyDescent="0.25">
      <c r="A363" s="71" t="s">
        <v>1192</v>
      </c>
      <c r="B363" s="32" t="s">
        <v>1193</v>
      </c>
      <c r="C363" s="32" t="s">
        <v>327</v>
      </c>
      <c r="D363" s="32" t="s">
        <v>1194</v>
      </c>
      <c r="E363" s="32" t="s">
        <v>1195</v>
      </c>
      <c r="F363" s="43">
        <v>1</v>
      </c>
      <c r="G363" s="43"/>
      <c r="H363" s="43"/>
      <c r="I363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1866-2141-ND</v>
      </c>
      <c r="J363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18.96</v>
      </c>
      <c r="K363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2" t="s">
        <v>1196</v>
      </c>
      <c r="M363" s="39">
        <v>18.96</v>
      </c>
      <c r="N363" s="32"/>
      <c r="O363" s="39"/>
      <c r="P363" s="32"/>
      <c r="Q363" s="39"/>
      <c r="R363" s="32"/>
      <c r="S363" s="39"/>
      <c r="T363" s="32"/>
      <c r="U363" s="39"/>
      <c r="V363" s="32"/>
      <c r="W363" s="39"/>
      <c r="X363" s="32"/>
      <c r="Y363" s="39"/>
      <c r="Z363" s="39" t="str">
        <f>IF(Table1[[#This Row],[Other]]&lt;&gt;"","Other","")</f>
        <v/>
      </c>
      <c r="AA363" s="32"/>
      <c r="AB363" s="41"/>
      <c r="AC363" s="45" t="str">
        <f>IF(Table1[[#This Row],[Auto Order]]=1,IF(Table1[[#This Row],[In stock]]&lt;Table1[[#This Row],[Min in stock]],1,""),"")</f>
        <v/>
      </c>
    </row>
    <row r="364" spans="1:29" x14ac:dyDescent="0.25">
      <c r="A364" s="71" t="s">
        <v>1003</v>
      </c>
      <c r="B364" s="32" t="s">
        <v>593</v>
      </c>
      <c r="C364" s="32" t="s">
        <v>327</v>
      </c>
      <c r="D364" s="32" t="s">
        <v>2204</v>
      </c>
      <c r="E364" s="32" t="s">
        <v>511</v>
      </c>
      <c r="F364" s="43">
        <v>10</v>
      </c>
      <c r="G364" s="43"/>
      <c r="H364" s="43"/>
      <c r="I364" s="32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364" s="4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45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Mouser</v>
      </c>
      <c r="L364" s="32" t="s">
        <v>2205</v>
      </c>
      <c r="M364" s="39">
        <v>0.1</v>
      </c>
      <c r="N364" s="32"/>
      <c r="O364" s="39"/>
      <c r="P364" s="32"/>
      <c r="Q364" s="39"/>
      <c r="R364" s="32"/>
      <c r="S364" s="39"/>
      <c r="T364" s="32" t="s">
        <v>1679</v>
      </c>
      <c r="U364" s="39">
        <v>9.8000000000000004E-2</v>
      </c>
      <c r="V364" s="32"/>
      <c r="W364" s="39"/>
      <c r="X364" s="32"/>
      <c r="Y364" s="39"/>
      <c r="Z364" s="39" t="str">
        <f>IF(Table1[[#This Row],[Other]]&lt;&gt;"","Other","")</f>
        <v/>
      </c>
      <c r="AA364" s="32"/>
      <c r="AB364" s="41"/>
      <c r="AC364" s="45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45" priority="67" operator="equal">
      <formula>1</formula>
    </cfRule>
  </conditionalFormatting>
  <conditionalFormatting sqref="A1:A1048576">
    <cfRule type="duplicateValues" dxfId="44" priority="7"/>
  </conditionalFormatting>
  <conditionalFormatting sqref="F1">
    <cfRule type="cellIs" dxfId="43" priority="10" stopIfTrue="1" operator="equal">
      <formula>"In stock"</formula>
    </cfRule>
  </conditionalFormatting>
  <conditionalFormatting sqref="E1:E1048576">
    <cfRule type="containsText" dxfId="42" priority="1" operator="containsText" text="N/A">
      <formula>NOT(ISERROR(SEARCH("N/A",E1)))</formula>
    </cfRule>
  </conditionalFormatting>
  <conditionalFormatting sqref="F1:F1048576">
    <cfRule type="containsBlanks" priority="8" stopIfTrue="1">
      <formula>LEN(TRIM(F1))=0</formula>
    </cfRule>
    <cfRule type="cellIs" dxfId="41" priority="27" operator="lessThan">
      <formula>$G1</formula>
    </cfRule>
  </conditionalFormatting>
  <conditionalFormatting sqref="F1:G1048576">
    <cfRule type="cellIs" dxfId="40" priority="16" stopIfTrue="1" operator="less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DE93F-6A23-458D-99F9-13BA6601CC04}">
  <sheetPr codeName="Sheet18"/>
  <dimension ref="A1:N37"/>
  <sheetViews>
    <sheetView workbookViewId="0">
      <pane ySplit="1" topLeftCell="A2" activePane="bottomLeft" state="frozen"/>
      <selection activeCell="B6" sqref="B6"/>
      <selection pane="bottomLeft" activeCell="A2" sqref="A2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8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326</v>
      </c>
      <c r="D1" s="2" t="s">
        <v>332</v>
      </c>
      <c r="E1" s="5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2</v>
      </c>
      <c r="N1" t="s">
        <v>1094</v>
      </c>
    </row>
    <row r="2" spans="1:14" x14ac:dyDescent="0.25">
      <c r="A2" s="3" t="s">
        <v>1393</v>
      </c>
      <c r="B2" s="4" t="str">
        <f>VLOOKUP(Table1411314[[#This Row],[Man. Number]],Articles!A:F,COLUMN(Articles!$D$1)-COLUMN(Articles!$A$1)+1,FALSE)</f>
        <v>PCB Lampe Solaire v7</v>
      </c>
      <c r="C2" s="4" t="str">
        <f>VLOOKUP(Table1411314[[#This Row],[Man. Number]],Articles!A:F,COLUMN(Articles!$C$1)-COLUMN(Articles!$A$1)+1,FALSE)</f>
        <v>None</v>
      </c>
      <c r="D2" s="4" t="s">
        <v>58</v>
      </c>
      <c r="E2" s="38">
        <v>1</v>
      </c>
      <c r="F2" s="4">
        <f>VLOOKUP(Table1411314[[#This Row],[Man. Number]],Articles!A:F,COLUMN(Articles!$F$1)-COLUMN(Articles!$A$1)+1,FALSE)</f>
        <v>5</v>
      </c>
      <c r="G2" s="4" t="str">
        <f>IF(Table1411314[[#This Row],[In stock]] &gt;= Table1411314[[#This Row],[Quantity]],"YES","NO")</f>
        <v>YES</v>
      </c>
      <c r="H2" s="4">
        <f>VLOOKUP(Table1411314[[#This Row],[Man. Number]],Articles!A:J,COLUMN(Articles!$J$1)-COLUMN(Articles!$A$1)+1,FALSE)*Table1411314[[#This Row],[Quantity]]</f>
        <v>0</v>
      </c>
      <c r="I2" s="4">
        <f>Table1411314[[#This Row],[Quantity]]*$M$1</f>
        <v>2</v>
      </c>
      <c r="J2" s="4" t="str">
        <f>IF(Table1411314[[#This Row],[In stock]] &gt;= Table1411314[[#This Row],[Total quantity]],"YES","NO")</f>
        <v>YES</v>
      </c>
    </row>
    <row r="3" spans="1:14" x14ac:dyDescent="0.25">
      <c r="A3" s="3" t="s">
        <v>1103</v>
      </c>
      <c r="B3" s="4" t="str">
        <f>VLOOKUP(Table1411314[[#This Row],[Man. Number]],Articles!A:F,COLUMN(Articles!$D$1)-COLUMN(Articles!$A$1)+1,FALSE)</f>
        <v>2 (1 x 2) Position Shunt Connector Black Open Top 0.100" (2.54mm) Gold</v>
      </c>
      <c r="C3" s="4" t="str">
        <f>VLOOKUP(Table1411314[[#This Row],[Man. Number]],Articles!A:F,COLUMN(Articles!$C$1)-COLUMN(Articles!$A$1)+1,FALSE)</f>
        <v>D200-005</v>
      </c>
      <c r="D3" s="4" t="s">
        <v>58</v>
      </c>
      <c r="E3" s="38">
        <v>3</v>
      </c>
      <c r="F3" s="4">
        <f>VLOOKUP(Table1411314[[#This Row],[Man. Number]],Articles!A:F,COLUMN(Articles!$F$1)-COLUMN(Articles!$A$1)+1,FALSE)</f>
        <v>47</v>
      </c>
      <c r="G3" s="4" t="str">
        <f>IF(Table1411314[[#This Row],[In stock]] &gt;= Table1411314[[#This Row],[Quantity]],"YES","NO")</f>
        <v>YES</v>
      </c>
      <c r="H3" s="4">
        <f>VLOOKUP(Table1411314[[#This Row],[Man. Number]],Articles!A:J,COLUMN(Articles!$J$1)-COLUMN(Articles!$A$1)+1,FALSE)*Table1411314[[#This Row],[Quantity]]</f>
        <v>0.11099999999999999</v>
      </c>
      <c r="I3" s="4">
        <f>Table1411314[[#This Row],[Quantity]]*$M$1</f>
        <v>6</v>
      </c>
      <c r="J3" s="4" t="str">
        <f>IF(Table1411314[[#This Row],[In stock]] &gt;= Table1411314[[#This Row],[Total quantity]],"YES","NO")</f>
        <v>YES</v>
      </c>
    </row>
    <row r="4" spans="1:14" x14ac:dyDescent="0.25">
      <c r="A4" s="3" t="s">
        <v>144</v>
      </c>
      <c r="B4" s="4" t="str">
        <f>VLOOKUP(Table1411314[[#This Row],[Man. Number]],Articles!A:F,COLUMN(Articles!$D$1)-COLUMN(Articles!$A$1)+1,FALSE)</f>
        <v>BOX PLASTIC GRY/CLR 4.9"LX4.92"W</v>
      </c>
      <c r="C4" s="4" t="str">
        <f>VLOOKUP(Table1411314[[#This Row],[Man. Number]],Articles!A:F,COLUMN(Articles!$C$1)-COLUMN(Articles!$A$1)+1,FALSE)</f>
        <v>None</v>
      </c>
      <c r="D4" s="4" t="s">
        <v>58</v>
      </c>
      <c r="E4" s="38">
        <v>1</v>
      </c>
      <c r="F4" s="4">
        <f>VLOOKUP(Table1411314[[#This Row],[Man. Number]],Articles!A:F,COLUMN(Articles!$F$1)-COLUMN(Articles!$A$1)+1,FALSE)</f>
        <v>1</v>
      </c>
      <c r="G4" s="4" t="str">
        <f>IF(Table1411314[[#This Row],[In stock]] &gt;= Table1411314[[#This Row],[Quantity]],"YES","NO")</f>
        <v>YES</v>
      </c>
      <c r="H4" s="4">
        <f>VLOOKUP(Table1411314[[#This Row],[Man. Number]],Articles!A:J,COLUMN(Articles!$J$1)-COLUMN(Articles!$A$1)+1,FALSE)*Table1411314[[#This Row],[Quantity]]</f>
        <v>15.9</v>
      </c>
      <c r="I4" s="4">
        <f>Table1411314[[#This Row],[Quantity]]*$M$1</f>
        <v>2</v>
      </c>
      <c r="J4" s="4" t="str">
        <f>IF(Table1411314[[#This Row],[In stock]] &gt;= Table1411314[[#This Row],[Total quantity]],"YES","NO")</f>
        <v>NO</v>
      </c>
    </row>
    <row r="5" spans="1:14" x14ac:dyDescent="0.25">
      <c r="A5" s="3" t="s">
        <v>1185</v>
      </c>
      <c r="B5" s="38" t="str">
        <f>VLOOKUP(Table1411314[[#This Row],[Man. Number]],Articles!A:F,COLUMN(Articles!$D$1)-COLUMN(Articles!$A$1)+1,FALSE)</f>
        <v>CHEESE HEAD SLOTTED SCREW, NATUR</v>
      </c>
      <c r="C5" s="38" t="str">
        <f>VLOOKUP(Table1411314[[#This Row],[Man. Number]],Articles!A:F,COLUMN(Articles!$C$1)-COLUMN(Articles!$A$1)+1,FALSE)</f>
        <v>D200-009</v>
      </c>
      <c r="D5" s="4" t="s">
        <v>58</v>
      </c>
      <c r="E5" s="38">
        <v>2</v>
      </c>
      <c r="F5" s="38">
        <f>VLOOKUP(Table1411314[[#This Row],[Man. Number]],Articles!A:F,COLUMN(Articles!$F$1)-COLUMN(Articles!$A$1)+1,FALSE)</f>
        <v>2</v>
      </c>
      <c r="G5" s="38" t="str">
        <f>IF(Table1411314[[#This Row],[In stock]] &gt;= Table1411314[[#This Row],[Quantity]],"YES","NO")</f>
        <v>YES</v>
      </c>
      <c r="H5" s="38">
        <f>VLOOKUP(Table1411314[[#This Row],[Man. Number]],Articles!A:J,COLUMN(Articles!$J$1)-COLUMN(Articles!$A$1)+1,FALSE)*Table1411314[[#This Row],[Quantity]]</f>
        <v>0.32</v>
      </c>
      <c r="I5" s="38">
        <f>Table1411314[[#This Row],[Quantity]]*$M$1</f>
        <v>4</v>
      </c>
      <c r="J5" s="38" t="str">
        <f>IF(Table1411314[[#This Row],[In stock]] &gt;= Table1411314[[#This Row],[Total quantity]],"YES","NO")</f>
        <v>NO</v>
      </c>
    </row>
    <row r="6" spans="1:14" x14ac:dyDescent="0.25">
      <c r="A6" s="3" t="s">
        <v>535</v>
      </c>
      <c r="B6" s="4" t="str">
        <f>VLOOKUP(Table1411314[[#This Row],[Man. Number]],Articles!A:F,COLUMN(Articles!$D$1)-COLUMN(Articles!$A$1)+1,FALSE)</f>
        <v>4.7µF ±20% 25V Ceramic Capacitor X5R 0805 (2012 Metric)</v>
      </c>
      <c r="C6" s="4" t="str">
        <f>VLOOKUP(Table1411314[[#This Row],[Man. Number]],Articles!A:F,COLUMN(Articles!$C$1)-COLUMN(Articles!$A$1)+1,FALSE)</f>
        <v>D101-151</v>
      </c>
      <c r="D6" s="4" t="s">
        <v>1245</v>
      </c>
      <c r="E6" s="38">
        <v>4</v>
      </c>
      <c r="F6" s="4">
        <f>VLOOKUP(Table1411314[[#This Row],[Man. Number]],Articles!A:F,COLUMN(Articles!$F$1)-COLUMN(Articles!$A$1)+1,FALSE)</f>
        <v>15</v>
      </c>
      <c r="G6" s="4" t="str">
        <f>IF(Table1411314[[#This Row],[In stock]] &gt;= Table1411314[[#This Row],[Quantity]],"YES","NO")</f>
        <v>YES</v>
      </c>
      <c r="H6" s="4">
        <f>VLOOKUP(Table1411314[[#This Row],[Man. Number]],Articles!A:J,COLUMN(Articles!$J$1)-COLUMN(Articles!$A$1)+1,FALSE)*Table1411314[[#This Row],[Quantity]]</f>
        <v>0.60399999999999998</v>
      </c>
      <c r="I6" s="4">
        <f>Table1411314[[#This Row],[Quantity]]*$M$1</f>
        <v>8</v>
      </c>
      <c r="J6" s="4" t="str">
        <f>IF(Table1411314[[#This Row],[In stock]] &gt;= Table1411314[[#This Row],[Total quantity]],"YES","NO")</f>
        <v>YES</v>
      </c>
    </row>
    <row r="7" spans="1:14" x14ac:dyDescent="0.25">
      <c r="A7" s="3" t="s">
        <v>1152</v>
      </c>
      <c r="B7" s="4" t="str">
        <f>VLOOKUP(Table1411314[[#This Row],[Man. Number]],Articles!A:F,COLUMN(Articles!$D$1)-COLUMN(Articles!$A$1)+1,FALSE)</f>
        <v>10µF ±20% 10V Ceramic Capacitor X5R 0805 (2012 Metric)</v>
      </c>
      <c r="C7" s="4" t="str">
        <f>VLOOKUP(Table1411314[[#This Row],[Man. Number]],Articles!A:F,COLUMN(Articles!$C$1)-COLUMN(Articles!$A$1)+1,FALSE)</f>
        <v>D101-150</v>
      </c>
      <c r="D7" s="4" t="s">
        <v>272</v>
      </c>
      <c r="E7" s="38">
        <v>1</v>
      </c>
      <c r="F7" s="4">
        <f>VLOOKUP(Table1411314[[#This Row],[Man. Number]],Articles!A:F,COLUMN(Articles!$F$1)-COLUMN(Articles!$A$1)+1,FALSE)</f>
        <v>8</v>
      </c>
      <c r="G7" s="4" t="str">
        <f>IF(Table1411314[[#This Row],[In stock]] &gt;= Table1411314[[#This Row],[Quantity]],"YES","NO")</f>
        <v>YES</v>
      </c>
      <c r="H7" s="4">
        <f>VLOOKUP(Table1411314[[#This Row],[Man. Number]],Articles!A:J,COLUMN(Articles!$J$1)-COLUMN(Articles!$A$1)+1,FALSE)*Table1411314[[#This Row],[Quantity]]</f>
        <v>0.18</v>
      </c>
      <c r="I7" s="4">
        <f>Table1411314[[#This Row],[Quantity]]*$M$1</f>
        <v>2</v>
      </c>
      <c r="J7" s="4" t="str">
        <f>IF(Table1411314[[#This Row],[In stock]] &gt;= Table1411314[[#This Row],[Total quantity]],"YES","NO")</f>
        <v>YES</v>
      </c>
    </row>
    <row r="8" spans="1:14" x14ac:dyDescent="0.25">
      <c r="A8" s="3" t="s">
        <v>1054</v>
      </c>
      <c r="B8" s="4" t="str">
        <f>VLOOKUP(Table1411314[[#This Row],[Man. Number]],Articles!A:F,COLUMN(Articles!$D$1)-COLUMN(Articles!$A$1)+1,FALSE)</f>
        <v>0.1µF ±10% 50V Ceramic Capacitor X7R 0805 (2012 Metric)</v>
      </c>
      <c r="C8" s="4" t="str">
        <f>VLOOKUP(Table1411314[[#This Row],[Man. Number]],Articles!A:F,COLUMN(Articles!$C$1)-COLUMN(Articles!$A$1)+1,FALSE)</f>
        <v>D101-148</v>
      </c>
      <c r="D8" s="4" t="s">
        <v>1443</v>
      </c>
      <c r="E8" s="38">
        <v>5</v>
      </c>
      <c r="F8" s="4">
        <f>VLOOKUP(Table1411314[[#This Row],[Man. Number]],Articles!A:F,COLUMN(Articles!$F$1)-COLUMN(Articles!$A$1)+1,FALSE)</f>
        <v>93</v>
      </c>
      <c r="G8" s="4" t="str">
        <f>IF(Table1411314[[#This Row],[In stock]] &gt;= Table1411314[[#This Row],[Quantity]],"YES","NO")</f>
        <v>YES</v>
      </c>
      <c r="H8" s="4">
        <f>VLOOKUP(Table1411314[[#This Row],[Man. Number]],Articles!A:J,COLUMN(Articles!$J$1)-COLUMN(Articles!$A$1)+1,FALSE)*Table1411314[[#This Row],[Quantity]]</f>
        <v>0.13500000000000001</v>
      </c>
      <c r="I8" s="4">
        <f>Table1411314[[#This Row],[Quantity]]*$M$1</f>
        <v>10</v>
      </c>
      <c r="J8" s="4" t="str">
        <f>IF(Table1411314[[#This Row],[In stock]] &gt;= Table1411314[[#This Row],[Total quantity]],"YES","NO")</f>
        <v>YES</v>
      </c>
    </row>
    <row r="9" spans="1:14" x14ac:dyDescent="0.25">
      <c r="A9" s="3" t="s">
        <v>267</v>
      </c>
      <c r="B9" s="4" t="str">
        <f>VLOOKUP(Table1411314[[#This Row],[Man. Number]],Articles!A:F,COLUMN(Articles!$D$1)-COLUMN(Articles!$A$1)+1,FALSE)</f>
        <v>FUSE BOARD MNT 630MA 63VDC 1206</v>
      </c>
      <c r="C9" s="4" t="str">
        <f>VLOOKUP(Table1411314[[#This Row],[Man. Number]],Articles!A:F,COLUMN(Articles!$C$1)-COLUMN(Articles!$A$1)+1,FALSE)</f>
        <v>D100-138</v>
      </c>
      <c r="D9" s="4" t="s">
        <v>269</v>
      </c>
      <c r="E9" s="38">
        <v>1</v>
      </c>
      <c r="F9" s="4">
        <f>VLOOKUP(Table1411314[[#This Row],[Man. Number]],Articles!A:F,COLUMN(Articles!$F$1)-COLUMN(Articles!$A$1)+1,FALSE)</f>
        <v>3</v>
      </c>
      <c r="G9" s="4" t="str">
        <f>IF(Table1411314[[#This Row],[In stock]] &gt;= Table1411314[[#This Row],[Quantity]],"YES","NO")</f>
        <v>YES</v>
      </c>
      <c r="H9" s="4">
        <f>VLOOKUP(Table1411314[[#This Row],[Man. Number]],Articles!A:J,COLUMN(Articles!$J$1)-COLUMN(Articles!$A$1)+1,FALSE)*Table1411314[[#This Row],[Quantity]]</f>
        <v>0.97</v>
      </c>
      <c r="I9" s="4">
        <f>Table1411314[[#This Row],[Quantity]]*$M$1</f>
        <v>2</v>
      </c>
      <c r="J9" s="4" t="str">
        <f>IF(Table1411314[[#This Row],[In stock]] &gt;= Table1411314[[#This Row],[Total quantity]],"YES","NO")</f>
        <v>YES</v>
      </c>
    </row>
    <row r="10" spans="1:14" x14ac:dyDescent="0.25">
      <c r="A10" s="3" t="s">
        <v>211</v>
      </c>
      <c r="B10" s="38" t="str">
        <f>VLOOKUP(Table1411314[[#This Row],[Man. Number]],Articles!A:F,COLUMN(Articles!$D$1)-COLUMN(Articles!$A$1)+1,FALSE)</f>
        <v>Red 628nm LED Indication - Discrete 1.8V 0603 (1608 Metric)</v>
      </c>
      <c r="C10" s="38" t="str">
        <f>VLOOKUP(Table1411314[[#This Row],[Man. Number]],Articles!A:F,COLUMN(Articles!$C$1)-COLUMN(Articles!$A$1)+1,FALSE)</f>
        <v>D001-049</v>
      </c>
      <c r="D10" s="4" t="s">
        <v>1444</v>
      </c>
      <c r="E10" s="38">
        <v>3</v>
      </c>
      <c r="F10" s="38">
        <f>VLOOKUP(Table1411314[[#This Row],[Man. Number]],Articles!A:F,COLUMN(Articles!$F$1)-COLUMN(Articles!$A$1)+1,FALSE)</f>
        <v>6</v>
      </c>
      <c r="G10" s="38" t="str">
        <f>IF(Table1411314[[#This Row],[In stock]] &gt;= Table1411314[[#This Row],[Quantity]],"YES","NO")</f>
        <v>YES</v>
      </c>
      <c r="H10" s="38">
        <f>VLOOKUP(Table1411314[[#This Row],[Man. Number]],Articles!A:J,COLUMN(Articles!$J$1)-COLUMN(Articles!$A$1)+1,FALSE)*Table1411314[[#This Row],[Quantity]]</f>
        <v>1.56</v>
      </c>
      <c r="I10" s="38">
        <f>Table1411314[[#This Row],[Quantity]]*$M$1</f>
        <v>6</v>
      </c>
      <c r="J10" s="38" t="str">
        <f>IF(Table1411314[[#This Row],[In stock]] &gt;= Table1411314[[#This Row],[Total quantity]],"YES","NO")</f>
        <v>YES</v>
      </c>
    </row>
    <row r="11" spans="1:14" x14ac:dyDescent="0.25">
      <c r="A11" s="3" t="s">
        <v>299</v>
      </c>
      <c r="B11" s="4" t="str">
        <f>VLOOKUP(Table1411314[[#This Row],[Man. Number]],Articles!A:F,COLUMN(Articles!$D$1)-COLUMN(Articles!$A$1)+1,FALSE)</f>
        <v>PCB Led adaptateur v1</v>
      </c>
      <c r="C11" s="4" t="str">
        <f>VLOOKUP(Table1411314[[#This Row],[Man. Number]],Articles!A:F,COLUMN(Articles!$C$1)-COLUMN(Articles!$A$1)+1,FALSE)</f>
        <v>None</v>
      </c>
      <c r="D11" s="4" t="s">
        <v>278</v>
      </c>
      <c r="E11" s="38">
        <v>2</v>
      </c>
      <c r="F11" s="4">
        <f>VLOOKUP(Table1411314[[#This Row],[Man. Number]],Articles!A:F,COLUMN(Articles!$F$1)-COLUMN(Articles!$A$1)+1,FALSE)</f>
        <v>8</v>
      </c>
      <c r="G11" s="4" t="str">
        <f>IF(Table1411314[[#This Row],[In stock]] &gt;= Table1411314[[#This Row],[Quantity]],"YES","NO")</f>
        <v>YES</v>
      </c>
      <c r="H11" s="4">
        <f>VLOOKUP(Table1411314[[#This Row],[Man. Number]],Articles!A:J,COLUMN(Articles!$J$1)-COLUMN(Articles!$A$1)+1,FALSE)*Table1411314[[#This Row],[Quantity]]</f>
        <v>0</v>
      </c>
      <c r="I11" s="4">
        <f>Table1411314[[#This Row],[Quantity]]*$M$1</f>
        <v>4</v>
      </c>
      <c r="J11" s="4" t="str">
        <f>IF(Table1411314[[#This Row],[In stock]] &gt;= Table1411314[[#This Row],[Total quantity]],"YES","NO")</f>
        <v>YES</v>
      </c>
    </row>
    <row r="12" spans="1:14" x14ac:dyDescent="0.25">
      <c r="A12" s="3" t="s">
        <v>210</v>
      </c>
      <c r="B12" s="38" t="str">
        <f>VLOOKUP(Table1411314[[#This Row],[Man. Number]],Articles!A:F,COLUMN(Articles!$D$1)-COLUMN(Articles!$A$1)+1,FALSE)</f>
        <v>Green 570nm LED Indication - Discrete 2V 0603 (1608 Metric)</v>
      </c>
      <c r="C12" s="38" t="str">
        <f>VLOOKUP(Table1411314[[#This Row],[Man. Number]],Articles!A:F,COLUMN(Articles!$C$1)-COLUMN(Articles!$A$1)+1,FALSE)</f>
        <v>D001-048</v>
      </c>
      <c r="D12" s="4" t="s">
        <v>1445</v>
      </c>
      <c r="E12" s="38">
        <v>3</v>
      </c>
      <c r="F12" s="38">
        <f>VLOOKUP(Table1411314[[#This Row],[Man. Number]],Articles!A:F,COLUMN(Articles!$F$1)-COLUMN(Articles!$A$1)+1,FALSE)</f>
        <v>14</v>
      </c>
      <c r="G12" s="38" t="str">
        <f>IF(Table1411314[[#This Row],[In stock]] &gt;= Table1411314[[#This Row],[Quantity]],"YES","NO")</f>
        <v>YES</v>
      </c>
      <c r="H12" s="38">
        <f>VLOOKUP(Table1411314[[#This Row],[Man. Number]],Articles!A:J,COLUMN(Articles!$J$1)-COLUMN(Articles!$A$1)+1,FALSE)*Table1411314[[#This Row],[Quantity]]</f>
        <v>0.42000000000000004</v>
      </c>
      <c r="I12" s="38">
        <f>Table1411314[[#This Row],[Quantity]]*$M$1</f>
        <v>6</v>
      </c>
      <c r="J12" s="38" t="str">
        <f>IF(Table1411314[[#This Row],[In stock]] &gt;= Table1411314[[#This Row],[Total quantity]],"YES","NO")</f>
        <v>YES</v>
      </c>
    </row>
    <row r="13" spans="1:14" x14ac:dyDescent="0.25">
      <c r="A13" s="71" t="s">
        <v>1441</v>
      </c>
      <c r="B13" s="4" t="str">
        <f>VLOOKUP(Table1411314[[#This Row],[Man. Number]],Articles!A:F,COLUMN(Articles!$D$1)-COLUMN(Articles!$A$1)+1,FALSE)</f>
        <v>3.3 kOhms ±5% 0.4W, 2/5W Chip Resistor 0805 (2012 Metric) Automotive AEC-Q200, Pulse Withstanding Thick Film</v>
      </c>
      <c r="C13" s="4" t="str">
        <f>VLOOKUP(Table1411314[[#This Row],[Man. Number]],Articles!A:F,COLUMN(Articles!$C$1)-COLUMN(Articles!$A$1)+1,FALSE)</f>
        <v>None</v>
      </c>
      <c r="D13" s="4" t="s">
        <v>294</v>
      </c>
      <c r="E13" s="38">
        <v>1</v>
      </c>
      <c r="F13" s="4">
        <f>VLOOKUP(Table1411314[[#This Row],[Man. Number]],Articles!A:F,COLUMN(Articles!$F$1)-COLUMN(Articles!$A$1)+1,FALSE)</f>
        <v>10</v>
      </c>
      <c r="G13" s="4" t="str">
        <f>IF(Table1411314[[#This Row],[In stock]] &gt;= Table1411314[[#This Row],[Quantity]],"YES","NO")</f>
        <v>YES</v>
      </c>
      <c r="H13" s="4">
        <f>VLOOKUP(Table1411314[[#This Row],[Man. Number]],Articles!A:J,COLUMN(Articles!$J$1)-COLUMN(Articles!$A$1)+1,FALSE)*Table1411314[[#This Row],[Quantity]]</f>
        <v>0.1</v>
      </c>
      <c r="I13" s="4">
        <f>Table1411314[[#This Row],[Quantity]]*$M$1</f>
        <v>2</v>
      </c>
      <c r="J13" s="4" t="str">
        <f>IF(Table1411314[[#This Row],[In stock]] &gt;= Table1411314[[#This Row],[Total quantity]],"YES","NO")</f>
        <v>YES</v>
      </c>
    </row>
    <row r="14" spans="1:14" x14ac:dyDescent="0.25">
      <c r="A14" s="3" t="s">
        <v>539</v>
      </c>
      <c r="B14" s="38" t="str">
        <f>VLOOKUP(Table1411314[[#This Row],[Man. Number]],Articles!A:F,COLUMN(Articles!$D$1)-COLUMN(Articles!$A$1)+1,FALSE)</f>
        <v>RES SMD 27K OHM 5% 0.4W 0805</v>
      </c>
      <c r="C14" s="38" t="str">
        <f>VLOOKUP(Table1411314[[#This Row],[Man. Number]],Articles!A:F,COLUMN(Articles!$C$1)-COLUMN(Articles!$A$1)+1,FALSE)</f>
        <v>D101-013</v>
      </c>
      <c r="D14" s="4" t="s">
        <v>1205</v>
      </c>
      <c r="E14" s="38">
        <v>1</v>
      </c>
      <c r="F14" s="38">
        <f>VLOOKUP(Table1411314[[#This Row],[Man. Number]],Articles!A:F,COLUMN(Articles!$F$1)-COLUMN(Articles!$A$1)+1,FALSE)</f>
        <v>9</v>
      </c>
      <c r="G14" s="38" t="str">
        <f>IF(Table1411314[[#This Row],[In stock]] &gt;= Table1411314[[#This Row],[Quantity]],"YES","NO")</f>
        <v>YES</v>
      </c>
      <c r="H14" s="38">
        <f>VLOOKUP(Table1411314[[#This Row],[Man. Number]],Articles!A:J,COLUMN(Articles!$J$1)-COLUMN(Articles!$A$1)+1,FALSE)*Table1411314[[#This Row],[Quantity]]</f>
        <v>0.1</v>
      </c>
      <c r="I14" s="38">
        <f>Table1411314[[#This Row],[Quantity]]*$M$1</f>
        <v>2</v>
      </c>
      <c r="J14" s="38" t="str">
        <f>IF(Table1411314[[#This Row],[In stock]] &gt;= Table1411314[[#This Row],[Total quantity]],"YES","NO")</f>
        <v>YES</v>
      </c>
    </row>
    <row r="15" spans="1:14" x14ac:dyDescent="0.25">
      <c r="A15" s="71" t="s">
        <v>35</v>
      </c>
      <c r="B15" s="4" t="str">
        <f>VLOOKUP(Table1411314[[#This Row],[Man. Number]],Articles!A:F,COLUMN(Articles!$D$1)-COLUMN(Articles!$A$1)+1,FALSE)</f>
        <v>Potentiomètres variables, 10 ohm, 15 Tour(s), Traversant</v>
      </c>
      <c r="C15" s="4" t="str">
        <f>VLOOKUP(Table1411314[[#This Row],[Man. Number]],Articles!A:F,COLUMN(Articles!$C$1)-COLUMN(Articles!$A$1)+1,FALSE)</f>
        <v>D200-020</v>
      </c>
      <c r="D15" s="4" t="s">
        <v>1131</v>
      </c>
      <c r="E15" s="38">
        <v>2</v>
      </c>
      <c r="F15" s="4">
        <f>VLOOKUP(Table1411314[[#This Row],[Man. Number]],Articles!A:F,COLUMN(Articles!$F$1)-COLUMN(Articles!$A$1)+1,FALSE)</f>
        <v>2</v>
      </c>
      <c r="G15" s="4" t="str">
        <f>IF(Table1411314[[#This Row],[In stock]] &gt;= Table1411314[[#This Row],[Quantity]],"YES","NO")</f>
        <v>YES</v>
      </c>
      <c r="H15" s="4">
        <f>VLOOKUP(Table1411314[[#This Row],[Man. Number]],Articles!A:J,COLUMN(Articles!$J$1)-COLUMN(Articles!$A$1)+1,FALSE)*Table1411314[[#This Row],[Quantity]]</f>
        <v>4.16</v>
      </c>
      <c r="I15" s="4">
        <f>Table1411314[[#This Row],[Quantity]]*$M$1</f>
        <v>4</v>
      </c>
      <c r="J15" s="4" t="str">
        <f>IF(Table1411314[[#This Row],[In stock]] &gt;= Table1411314[[#This Row],[Total quantity]],"YES","NO")</f>
        <v>NO</v>
      </c>
    </row>
    <row r="16" spans="1:14" x14ac:dyDescent="0.25">
      <c r="A16" s="3" t="s">
        <v>1460</v>
      </c>
      <c r="B16" s="4" t="str">
        <f>VLOOKUP(Table1411314[[#This Row],[Man. Number]],Articles!A:F,COLUMN(Articles!$D$1)-COLUMN(Articles!$A$1)+1,FALSE)</f>
        <v>10 kOhms ±5% 0.4W, 2/5W Chip Resistor 0805 (2012 Metric) Automotive AEC-Q200, Pulse Withstanding Thick Film</v>
      </c>
      <c r="C16" s="4" t="str">
        <f>VLOOKUP(Table1411314[[#This Row],[Man. Number]],Articles!A:F,COLUMN(Articles!$C$1)-COLUMN(Articles!$A$1)+1,FALSE)</f>
        <v>None</v>
      </c>
      <c r="D16" s="4" t="s">
        <v>1635</v>
      </c>
      <c r="E16" s="38">
        <v>2</v>
      </c>
      <c r="F16" s="4">
        <f>VLOOKUP(Table1411314[[#This Row],[Man. Number]],Articles!A:F,COLUMN(Articles!$F$1)-COLUMN(Articles!$A$1)+1,FALSE)</f>
        <v>10</v>
      </c>
      <c r="G16" s="4" t="str">
        <f>IF(Table1411314[[#This Row],[In stock]] &gt;= Table1411314[[#This Row],[Quantity]],"YES","NO")</f>
        <v>YES</v>
      </c>
      <c r="H16" s="4">
        <f>VLOOKUP(Table1411314[[#This Row],[Man. Number]],Articles!A:J,COLUMN(Articles!$J$1)-COLUMN(Articles!$A$1)+1,FALSE)*Table1411314[[#This Row],[Quantity]]</f>
        <v>0.2</v>
      </c>
      <c r="I16" s="4">
        <f>Table1411314[[#This Row],[Quantity]]*$M$1</f>
        <v>4</v>
      </c>
      <c r="J16" s="4" t="str">
        <f>IF(Table1411314[[#This Row],[In stock]] &gt;= Table1411314[[#This Row],[Total quantity]],"YES","NO")</f>
        <v>YES</v>
      </c>
    </row>
    <row r="17" spans="1:10" x14ac:dyDescent="0.25">
      <c r="A17" s="3" t="s">
        <v>1015</v>
      </c>
      <c r="B17" s="4" t="str">
        <f>VLOOKUP(Table1411314[[#This Row],[Man. Number]],Articles!A:F,COLUMN(Articles!$D$1)-COLUMN(Articles!$A$1)+1,FALSE)</f>
        <v>RES SMD 3.9K OHM 5% 0.4W 0805</v>
      </c>
      <c r="C17" s="4" t="str">
        <f>VLOOKUP(Table1411314[[#This Row],[Man. Number]],Articles!A:F,COLUMN(Articles!$C$1)-COLUMN(Articles!$A$1)+1,FALSE)</f>
        <v>D101-014</v>
      </c>
      <c r="D17" s="4" t="s">
        <v>282</v>
      </c>
      <c r="E17" s="38">
        <v>1</v>
      </c>
      <c r="F17" s="4">
        <f>VLOOKUP(Table1411314[[#This Row],[Man. Number]],Articles!A:F,COLUMN(Articles!$F$1)-COLUMN(Articles!$A$1)+1,FALSE)</f>
        <v>9</v>
      </c>
      <c r="G17" s="4" t="str">
        <f>IF(Table1411314[[#This Row],[In stock]] &gt;= Table1411314[[#This Row],[Quantity]],"YES","NO")</f>
        <v>YES</v>
      </c>
      <c r="H17" s="4">
        <f>VLOOKUP(Table1411314[[#This Row],[Man. Number]],Articles!A:J,COLUMN(Articles!$J$1)-COLUMN(Articles!$A$1)+1,FALSE)*Table1411314[[#This Row],[Quantity]]</f>
        <v>0.1</v>
      </c>
      <c r="I17" s="4">
        <f>Table1411314[[#This Row],[Quantity]]*$M$1</f>
        <v>2</v>
      </c>
      <c r="J17" s="4" t="str">
        <f>IF(Table1411314[[#This Row],[In stock]] &gt;= Table1411314[[#This Row],[Total quantity]],"YES","NO")</f>
        <v>YES</v>
      </c>
    </row>
    <row r="18" spans="1:10" x14ac:dyDescent="0.25">
      <c r="A18" s="3" t="s">
        <v>171</v>
      </c>
      <c r="B18" s="4" t="str">
        <f>VLOOKUP(Table1411314[[#This Row],[Man. Number]],Articles!A:F,COLUMN(Articles!$D$1)-COLUMN(Articles!$A$1)+1,FALSE)</f>
        <v>RES SMD 4.7K OHM 1% 1/8W 0805 vishay</v>
      </c>
      <c r="C18" s="4" t="str">
        <f>VLOOKUP(Table1411314[[#This Row],[Man. Number]],Articles!A:F,COLUMN(Articles!$C$1)-COLUMN(Articles!$A$1)+1,FALSE)</f>
        <v>D101-000</v>
      </c>
      <c r="D18" s="4" t="s">
        <v>1446</v>
      </c>
      <c r="E18" s="38">
        <v>2</v>
      </c>
      <c r="F18" s="4">
        <f>VLOOKUP(Table1411314[[#This Row],[Man. Number]],Articles!A:F,COLUMN(Articles!$F$1)-COLUMN(Articles!$A$1)+1,FALSE)</f>
        <v>95</v>
      </c>
      <c r="G18" s="4" t="str">
        <f>IF(Table1411314[[#This Row],[In stock]] &gt;= Table1411314[[#This Row],[Quantity]],"YES","NO")</f>
        <v>YES</v>
      </c>
      <c r="H18" s="4">
        <f>VLOOKUP(Table1411314[[#This Row],[Man. Number]],Articles!A:J,COLUMN(Articles!$J$1)-COLUMN(Articles!$A$1)+1,FALSE)*Table1411314[[#This Row],[Quantity]]</f>
        <v>3.9E-2</v>
      </c>
      <c r="I18" s="4">
        <f>Table1411314[[#This Row],[Quantity]]*$M$1</f>
        <v>4</v>
      </c>
      <c r="J18" s="4" t="str">
        <f>IF(Table1411314[[#This Row],[In stock]] &gt;= Table1411314[[#This Row],[Total quantity]],"YES","NO")</f>
        <v>YES</v>
      </c>
    </row>
    <row r="19" spans="1:10" x14ac:dyDescent="0.25">
      <c r="A19" s="3" t="s">
        <v>1024</v>
      </c>
      <c r="B19" s="38" t="str">
        <f>VLOOKUP(Table1411314[[#This Row],[Man. Number]],Articles!A:F,COLUMN(Articles!$D$1)-COLUMN(Articles!$A$1)+1,FALSE)</f>
        <v>RES SMD 100K OHM 5% 0.4W 0805</v>
      </c>
      <c r="C19" s="38" t="str">
        <f>VLOOKUP(Table1411314[[#This Row],[Man. Number]],Articles!A:F,COLUMN(Articles!$C$1)-COLUMN(Articles!$A$1)+1,FALSE)</f>
        <v>D101-011</v>
      </c>
      <c r="D19" s="4" t="s">
        <v>1231</v>
      </c>
      <c r="E19" s="38">
        <v>1</v>
      </c>
      <c r="F19" s="38">
        <f>VLOOKUP(Table1411314[[#This Row],[Man. Number]],Articles!A:F,COLUMN(Articles!$F$1)-COLUMN(Articles!$A$1)+1,FALSE)</f>
        <v>8</v>
      </c>
      <c r="G19" s="38" t="str">
        <f>IF(Table1411314[[#This Row],[In stock]] &gt;= Table1411314[[#This Row],[Quantity]],"YES","NO")</f>
        <v>YES</v>
      </c>
      <c r="H19" s="38">
        <f>VLOOKUP(Table1411314[[#This Row],[Man. Number]],Articles!A:J,COLUMN(Articles!$J$1)-COLUMN(Articles!$A$1)+1,FALSE)*Table1411314[[#This Row],[Quantity]]</f>
        <v>0.1</v>
      </c>
      <c r="I19" s="38">
        <f>Table1411314[[#This Row],[Quantity]]*$M$1</f>
        <v>2</v>
      </c>
      <c r="J19" s="38" t="str">
        <f>IF(Table1411314[[#This Row],[In stock]] &gt;= Table1411314[[#This Row],[Total quantity]],"YES","NO")</f>
        <v>YES</v>
      </c>
    </row>
    <row r="20" spans="1:10" x14ac:dyDescent="0.25">
      <c r="A20" s="71" t="s">
        <v>1456</v>
      </c>
      <c r="B20" s="4" t="str">
        <f>VLOOKUP(Table1411314[[#This Row],[Man. Number]],Articles!A:F,COLUMN(Articles!$D$1)-COLUMN(Articles!$A$1)+1,FALSE)</f>
        <v>1.5 kOhms ±5% 0.4W, 2/5W Chip Resistor 0805 (2012 Metric) Automotive AEC-Q200, Pulse Withstanding Thick Film</v>
      </c>
      <c r="C20" s="4" t="str">
        <f>VLOOKUP(Table1411314[[#This Row],[Man. Number]],Articles!A:F,COLUMN(Articles!$C$1)-COLUMN(Articles!$A$1)+1,FALSE)</f>
        <v>None</v>
      </c>
      <c r="D20" s="4" t="s">
        <v>1450</v>
      </c>
      <c r="E20" s="38">
        <v>1</v>
      </c>
      <c r="F20" s="4">
        <f>VLOOKUP(Table1411314[[#This Row],[Man. Number]],Articles!A:F,COLUMN(Articles!$F$1)-COLUMN(Articles!$A$1)+1,FALSE)</f>
        <v>10</v>
      </c>
      <c r="G20" s="4" t="str">
        <f>IF(Table1411314[[#This Row],[In stock]] &gt;= Table1411314[[#This Row],[Quantity]],"YES","NO")</f>
        <v>YES</v>
      </c>
      <c r="H20" s="4">
        <f>VLOOKUP(Table1411314[[#This Row],[Man. Number]],Articles!A:J,COLUMN(Articles!$J$1)-COLUMN(Articles!$A$1)+1,FALSE)*Table1411314[[#This Row],[Quantity]]</f>
        <v>0.1</v>
      </c>
      <c r="I20" s="4">
        <f>Table1411314[[#This Row],[Quantity]]*$M$1</f>
        <v>2</v>
      </c>
      <c r="J20" s="4" t="str">
        <f>IF(Table1411314[[#This Row],[In stock]] &gt;= Table1411314[[#This Row],[Total quantity]],"YES","NO")</f>
        <v>YES</v>
      </c>
    </row>
    <row r="21" spans="1:10" x14ac:dyDescent="0.25">
      <c r="A21" s="3" t="s">
        <v>1018</v>
      </c>
      <c r="B21" s="38" t="str">
        <f>VLOOKUP(Table1411314[[#This Row],[Man. Number]],Articles!A:F,COLUMN(Articles!$D$1)-COLUMN(Articles!$A$1)+1,FALSE)</f>
        <v>RES SMD 330 OHM 5% 0.4W 0805</v>
      </c>
      <c r="C21" s="38" t="str">
        <f>VLOOKUP(Table1411314[[#This Row],[Man. Number]],Articles!A:F,COLUMN(Articles!$C$1)-COLUMN(Articles!$A$1)+1,FALSE)</f>
        <v>D101-009</v>
      </c>
      <c r="D21" s="4" t="s">
        <v>1451</v>
      </c>
      <c r="E21" s="38">
        <v>2</v>
      </c>
      <c r="F21" s="38">
        <f>VLOOKUP(Table1411314[[#This Row],[Man. Number]],Articles!A:F,COLUMN(Articles!$F$1)-COLUMN(Articles!$A$1)+1,FALSE)</f>
        <v>9</v>
      </c>
      <c r="G21" s="38" t="str">
        <f>IF(Table1411314[[#This Row],[In stock]] &gt;= Table1411314[[#This Row],[Quantity]],"YES","NO")</f>
        <v>YES</v>
      </c>
      <c r="H21" s="38">
        <f>VLOOKUP(Table1411314[[#This Row],[Man. Number]],Articles!A:J,COLUMN(Articles!$J$1)-COLUMN(Articles!$A$1)+1,FALSE)*Table1411314[[#This Row],[Quantity]]</f>
        <v>0.2</v>
      </c>
      <c r="I21" s="38">
        <f>Table1411314[[#This Row],[Quantity]]*$M$1</f>
        <v>4</v>
      </c>
      <c r="J21" s="38" t="str">
        <f>IF(Table1411314[[#This Row],[In stock]] &gt;= Table1411314[[#This Row],[Total quantity]],"YES","NO")</f>
        <v>YES</v>
      </c>
    </row>
    <row r="22" spans="1:10" x14ac:dyDescent="0.25">
      <c r="A22" s="3" t="s">
        <v>930</v>
      </c>
      <c r="B22" s="4" t="str">
        <f>VLOOKUP(Table1411314[[#This Row],[Man. Number]],Articles!A:F,COLUMN(Articles!$D$1)-COLUMN(Articles!$A$1)+1,FALSE)</f>
        <v>RES SMD 10M OHM 5% 1/8W 0805</v>
      </c>
      <c r="C22" s="4" t="str">
        <f>VLOOKUP(Table1411314[[#This Row],[Man. Number]],Articles!A:F,COLUMN(Articles!$C$1)-COLUMN(Articles!$A$1)+1,FALSE)</f>
        <v>D101-012</v>
      </c>
      <c r="D22" s="4" t="s">
        <v>1204</v>
      </c>
      <c r="E22" s="38">
        <v>1</v>
      </c>
      <c r="F22" s="4">
        <f>VLOOKUP(Table1411314[[#This Row],[Man. Number]],Articles!A:F,COLUMN(Articles!$F$1)-COLUMN(Articles!$A$1)+1,FALSE)</f>
        <v>2</v>
      </c>
      <c r="G22" s="4" t="str">
        <f>IF(Table1411314[[#This Row],[In stock]] &gt;= Table1411314[[#This Row],[Quantity]],"YES","NO")</f>
        <v>YES</v>
      </c>
      <c r="H22" s="4">
        <f>VLOOKUP(Table1411314[[#This Row],[Man. Number]],Articles!A:J,COLUMN(Articles!$J$1)-COLUMN(Articles!$A$1)+1,FALSE)*Table1411314[[#This Row],[Quantity]]</f>
        <v>0.15</v>
      </c>
      <c r="I22" s="4">
        <f>Table1411314[[#This Row],[Quantity]]*$M$1</f>
        <v>2</v>
      </c>
      <c r="J22" s="4" t="str">
        <f>IF(Table1411314[[#This Row],[In stock]] &gt;= Table1411314[[#This Row],[Total quantity]],"YES","NO")</f>
        <v>YES</v>
      </c>
    </row>
    <row r="23" spans="1:10" x14ac:dyDescent="0.25">
      <c r="A23" s="3" t="s">
        <v>1453</v>
      </c>
      <c r="B23" s="4" t="str">
        <f>VLOOKUP(Table1411314[[#This Row],[Man. Number]],Articles!A:F,COLUMN(Articles!$D$1)-COLUMN(Articles!$A$1)+1,FALSE)</f>
        <v>270 Ohms ±5% 0.4W, 2/5W Chip Resistor 0805 (2012 Metric) Automotive AEC-Q200, Pulse Withstanding Thick Film</v>
      </c>
      <c r="C23" s="4" t="str">
        <f>VLOOKUP(Table1411314[[#This Row],[Man. Number]],Articles!A:F,COLUMN(Articles!$C$1)-COLUMN(Articles!$A$1)+1,FALSE)</f>
        <v>None</v>
      </c>
      <c r="D23" s="4" t="s">
        <v>1634</v>
      </c>
      <c r="E23" s="38">
        <v>2</v>
      </c>
      <c r="F23" s="4">
        <f>VLOOKUP(Table1411314[[#This Row],[Man. Number]],Articles!A:F,COLUMN(Articles!$F$1)-COLUMN(Articles!$A$1)+1,FALSE)</f>
        <v>10</v>
      </c>
      <c r="G23" s="4" t="str">
        <f>IF(Table1411314[[#This Row],[In stock]] &gt;= Table1411314[[#This Row],[Quantity]],"YES","NO")</f>
        <v>YES</v>
      </c>
      <c r="H23" s="4">
        <f>VLOOKUP(Table1411314[[#This Row],[Man. Number]],Articles!A:J,COLUMN(Articles!$J$1)-COLUMN(Articles!$A$1)+1,FALSE)*Table1411314[[#This Row],[Quantity]]</f>
        <v>0.2</v>
      </c>
      <c r="I23" s="4">
        <f>Table1411314[[#This Row],[Quantity]]*$M$1</f>
        <v>4</v>
      </c>
      <c r="J23" s="4" t="str">
        <f>IF(Table1411314[[#This Row],[In stock]] &gt;= Table1411314[[#This Row],[Total quantity]],"YES","NO")</f>
        <v>YES</v>
      </c>
    </row>
    <row r="24" spans="1:10" x14ac:dyDescent="0.25">
      <c r="A24" s="3" t="s">
        <v>181</v>
      </c>
      <c r="B24" s="4" t="str">
        <f>VLOOKUP(Table1411314[[#This Row],[Man. Number]],Articles!A:F,COLUMN(Articles!$D$1)-COLUMN(Articles!$A$1)+1,FALSE)</f>
        <v>Panneau solaire</v>
      </c>
      <c r="C24" s="4" t="str">
        <f>VLOOKUP(Table1411314[[#This Row],[Man. Number]],Articles!A:F,COLUMN(Articles!$C$1)-COLUMN(Articles!$A$1)+1,FALSE)</f>
        <v>None</v>
      </c>
      <c r="D24" s="4" t="s">
        <v>291</v>
      </c>
      <c r="E24" s="38">
        <v>1</v>
      </c>
      <c r="F24" s="4">
        <f>VLOOKUP(Table1411314[[#This Row],[Man. Number]],Articles!A:F,COLUMN(Articles!$F$1)-COLUMN(Articles!$A$1)+1,FALSE)</f>
        <v>1</v>
      </c>
      <c r="G24" s="4" t="str">
        <f>IF(Table1411314[[#This Row],[In stock]] &gt;= Table1411314[[#This Row],[Quantity]],"YES","NO")</f>
        <v>YES</v>
      </c>
      <c r="H24" s="4">
        <f>VLOOKUP(Table1411314[[#This Row],[Man. Number]],Articles!A:J,COLUMN(Articles!$J$1)-COLUMN(Articles!$A$1)+1,FALSE)*Table1411314[[#This Row],[Quantity]]</f>
        <v>3.49</v>
      </c>
      <c r="I24" s="4">
        <f>Table1411314[[#This Row],[Quantity]]*$M$1</f>
        <v>2</v>
      </c>
      <c r="J24" s="4" t="str">
        <f>IF(Table1411314[[#This Row],[In stock]] &gt;= Table1411314[[#This Row],[Total quantity]],"YES","NO")</f>
        <v>NO</v>
      </c>
    </row>
    <row r="25" spans="1:10" x14ac:dyDescent="0.25">
      <c r="A25" s="3" t="s">
        <v>39</v>
      </c>
      <c r="B25" s="4" t="str">
        <f>VLOOKUP(Table1411314[[#This Row],[Man. Number]],Articles!A:F,COLUMN(Articles!$D$1)-COLUMN(Articles!$A$1)+1,FALSE)</f>
        <v>Transistor MOSFET, Canal P, -7.1 A, -12 V, 28.5 mohm, -4.5 V, -400 mV</v>
      </c>
      <c r="C25" s="4" t="str">
        <f>VLOOKUP(Table1411314[[#This Row],[Man. Number]],Articles!A:F,COLUMN(Articles!$C$1)-COLUMN(Articles!$A$1)+1,FALSE)</f>
        <v>D001-001</v>
      </c>
      <c r="D25" s="4" t="s">
        <v>280</v>
      </c>
      <c r="E25" s="38">
        <v>2</v>
      </c>
      <c r="F25" s="4">
        <f>VLOOKUP(Table1411314[[#This Row],[Man. Number]],Articles!A:F,COLUMN(Articles!$F$1)-COLUMN(Articles!$A$1)+1,FALSE)</f>
        <v>22</v>
      </c>
      <c r="G25" s="4" t="str">
        <f>IF(Table1411314[[#This Row],[In stock]] &gt;= Table1411314[[#This Row],[Quantity]],"YES","NO")</f>
        <v>YES</v>
      </c>
      <c r="H25" s="4">
        <f>VLOOKUP(Table1411314[[#This Row],[Man. Number]],Articles!A:J,COLUMN(Articles!$J$1)-COLUMN(Articles!$A$1)+1,FALSE)*Table1411314[[#This Row],[Quantity]]</f>
        <v>1.1399999999999999</v>
      </c>
      <c r="I25" s="4">
        <f>Table1411314[[#This Row],[Quantity]]*$M$1</f>
        <v>4</v>
      </c>
      <c r="J25" s="4" t="str">
        <f>IF(Table1411314[[#This Row],[In stock]] &gt;= Table1411314[[#This Row],[Total quantity]],"YES","NO")</f>
        <v>YES</v>
      </c>
    </row>
    <row r="26" spans="1:10" x14ac:dyDescent="0.25">
      <c r="A26" s="3" t="s">
        <v>42</v>
      </c>
      <c r="B26" s="4" t="str">
        <f>VLOOKUP(Table1411314[[#This Row],[Man. Number]],Articles!A:F,COLUMN(Articles!$D$1)-COLUMN(Articles!$A$1)+1,FALSE)</f>
        <v>Transistor MOSFET, Canal N, 2.2 A, 30 V, 65 mohm, 4.5 V, 700 mV</v>
      </c>
      <c r="C26" s="4" t="str">
        <f>VLOOKUP(Table1411314[[#This Row],[Man. Number]],Articles!A:F,COLUMN(Articles!$C$1)-COLUMN(Articles!$A$1)+1,FALSE)</f>
        <v>D001-000</v>
      </c>
      <c r="D26" s="4" t="s">
        <v>1132</v>
      </c>
      <c r="E26" s="38">
        <v>1</v>
      </c>
      <c r="F26" s="4">
        <f>VLOOKUP(Table1411314[[#This Row],[Man. Number]],Articles!A:F,COLUMN(Articles!$F$1)-COLUMN(Articles!$A$1)+1,FALSE)</f>
        <v>14</v>
      </c>
      <c r="G26" s="4" t="str">
        <f>IF(Table1411314[[#This Row],[In stock]] &gt;= Table1411314[[#This Row],[Quantity]],"YES","NO")</f>
        <v>YES</v>
      </c>
      <c r="H26" s="4">
        <f>VLOOKUP(Table1411314[[#This Row],[Man. Number]],Articles!A:J,COLUMN(Articles!$J$1)-COLUMN(Articles!$A$1)+1,FALSE)*Table1411314[[#This Row],[Quantity]]</f>
        <v>0.55000000000000004</v>
      </c>
      <c r="I26" s="4">
        <f>Table1411314[[#This Row],[Quantity]]*$M$1</f>
        <v>2</v>
      </c>
      <c r="J26" s="4" t="str">
        <f>IF(Table1411314[[#This Row],[In stock]] &gt;= Table1411314[[#This Row],[Total quantity]],"YES","NO")</f>
        <v>YES</v>
      </c>
    </row>
    <row r="27" spans="1:10" x14ac:dyDescent="0.25">
      <c r="A27" s="3" t="s">
        <v>20</v>
      </c>
      <c r="B27" s="4" t="str">
        <f>VLOOKUP(Table1411314[[#This Row],[Man. Number]],Articles!A:F,COLUMN(Articles!$D$1)-COLUMN(Articles!$A$1)+1,FALSE)</f>
        <v>Chargeur de batterie pour 1 cellule Li-Ion, batterie Li-Pol, entrée 6V, charge 4.2V/500mA, SOT23-5</v>
      </c>
      <c r="C27" s="4" t="str">
        <f>VLOOKUP(Table1411314[[#This Row],[Man. Number]],Articles!A:F,COLUMN(Articles!$C$1)-COLUMN(Articles!$A$1)+1,FALSE)</f>
        <v>D001-014</v>
      </c>
      <c r="D27" s="4" t="s">
        <v>274</v>
      </c>
      <c r="E27" s="38">
        <v>1</v>
      </c>
      <c r="F27" s="4">
        <f>VLOOKUP(Table1411314[[#This Row],[Man. Number]],Articles!A:F,COLUMN(Articles!$F$1)-COLUMN(Articles!$A$1)+1,FALSE)</f>
        <v>8</v>
      </c>
      <c r="G27" s="4" t="str">
        <f>IF(Table1411314[[#This Row],[In stock]] &gt;= Table1411314[[#This Row],[Quantity]],"YES","NO")</f>
        <v>YES</v>
      </c>
      <c r="H27" s="4">
        <f>VLOOKUP(Table1411314[[#This Row],[Man. Number]],Articles!A:J,COLUMN(Articles!$J$1)-COLUMN(Articles!$A$1)+1,FALSE)*Table1411314[[#This Row],[Quantity]]</f>
        <v>0.57499999999999996</v>
      </c>
      <c r="I27" s="4">
        <f>Table1411314[[#This Row],[Quantity]]*$M$1</f>
        <v>2</v>
      </c>
      <c r="J27" s="4" t="str">
        <f>IF(Table1411314[[#This Row],[In stock]] &gt;= Table1411314[[#This Row],[Total quantity]],"YES","NO")</f>
        <v>YES</v>
      </c>
    </row>
    <row r="28" spans="1:10" x14ac:dyDescent="0.25">
      <c r="A28" s="3" t="s">
        <v>22</v>
      </c>
      <c r="B28" s="4" t="str">
        <f>VLOOKUP(Table1411314[[#This Row],[Man. Number]],Articles!A:F,COLUMN(Articles!$D$1)-COLUMN(Articles!$A$1)+1,FALSE)</f>
        <v>Superviseur, Reset drain ouvert, actif à l'état bas, 1V-5.5Vin</v>
      </c>
      <c r="C28" s="4" t="str">
        <f>VLOOKUP(Table1411314[[#This Row],[Man. Number]],Articles!A:F,COLUMN(Articles!$C$1)-COLUMN(Articles!$A$1)+1,FALSE)</f>
        <v>D001-013</v>
      </c>
      <c r="D28" s="4" t="s">
        <v>276</v>
      </c>
      <c r="E28" s="38">
        <v>1</v>
      </c>
      <c r="F28" s="4">
        <f>VLOOKUP(Table1411314[[#This Row],[Man. Number]],Articles!A:F,COLUMN(Articles!$F$1)-COLUMN(Articles!$A$1)+1,FALSE)</f>
        <v>3</v>
      </c>
      <c r="G28" s="4" t="str">
        <f>IF(Table1411314[[#This Row],[In stock]] &gt;= Table1411314[[#This Row],[Quantity]],"YES","NO")</f>
        <v>YES</v>
      </c>
      <c r="H28" s="4">
        <f>VLOOKUP(Table1411314[[#This Row],[Man. Number]],Articles!A:J,COLUMN(Articles!$J$1)-COLUMN(Articles!$A$1)+1,FALSE)*Table1411314[[#This Row],[Quantity]]</f>
        <v>0.52</v>
      </c>
      <c r="I28" s="4">
        <f>Table1411314[[#This Row],[Quantity]]*$M$1</f>
        <v>2</v>
      </c>
      <c r="J28" s="4" t="str">
        <f>IF(Table1411314[[#This Row],[In stock]] &gt;= Table1411314[[#This Row],[Total quantity]],"YES","NO")</f>
        <v>YES</v>
      </c>
    </row>
    <row r="29" spans="1:10" x14ac:dyDescent="0.25">
      <c r="A29" s="3" t="s">
        <v>24</v>
      </c>
      <c r="B29" s="4" t="str">
        <f>VLOOKUP(Table1411314[[#This Row],[Man. Number]],Articles!A:F,COLUMN(Articles!$D$1)-COLUMN(Articles!$A$1)+1,FALSE)</f>
        <v>Régulateur LDO, Fixe, Entrée 1.7 V à 5,5 V, Sortie 3.3 V/300 mA, Chute de 150 mV</v>
      </c>
      <c r="C29" s="4" t="str">
        <f>VLOOKUP(Table1411314[[#This Row],[Man. Number]],Articles!A:F,COLUMN(Articles!$C$1)-COLUMN(Articles!$A$1)+1,FALSE)</f>
        <v>D001-015</v>
      </c>
      <c r="D29" s="4" t="s">
        <v>277</v>
      </c>
      <c r="E29" s="38">
        <v>1</v>
      </c>
      <c r="F29" s="4">
        <f>VLOOKUP(Table1411314[[#This Row],[Man. Number]],Articles!A:F,COLUMN(Articles!$F$1)-COLUMN(Articles!$A$1)+1,FALSE)</f>
        <v>16</v>
      </c>
      <c r="G29" s="4" t="str">
        <f>IF(Table1411314[[#This Row],[In stock]] &gt;= Table1411314[[#This Row],[Quantity]],"YES","NO")</f>
        <v>YES</v>
      </c>
      <c r="H29" s="4">
        <f>VLOOKUP(Table1411314[[#This Row],[Man. Number]],Articles!A:J,COLUMN(Articles!$J$1)-COLUMN(Articles!$A$1)+1,FALSE)*Table1411314[[#This Row],[Quantity]]</f>
        <v>0.35</v>
      </c>
      <c r="I29" s="4">
        <f>Table1411314[[#This Row],[Quantity]]*$M$1</f>
        <v>2</v>
      </c>
      <c r="J29" s="4" t="str">
        <f>IF(Table1411314[[#This Row],[In stock]] &gt;= Table1411314[[#This Row],[Total quantity]],"YES","NO")</f>
        <v>YES</v>
      </c>
    </row>
    <row r="30" spans="1:10" x14ac:dyDescent="0.25">
      <c r="A30" s="3" t="s">
        <v>133</v>
      </c>
      <c r="B30" s="4" t="str">
        <f>VLOOKUP(Table1411314[[#This Row],[Man. Number]],Articles!A:F,COLUMN(Articles!$D$1)-COLUMN(Articles!$A$1)+1,FALSE)</f>
        <v>IC MCU 8BIT 7KB FLASH 20SSOP</v>
      </c>
      <c r="C30" s="4" t="str">
        <f>VLOOKUP(Table1411314[[#This Row],[Man. Number]],Articles!A:F,COLUMN(Articles!$C$1)-COLUMN(Articles!$A$1)+1,FALSE)</f>
        <v>D001-025</v>
      </c>
      <c r="D30" s="4" t="s">
        <v>290</v>
      </c>
      <c r="E30" s="38">
        <v>1</v>
      </c>
      <c r="F30" s="4">
        <f>VLOOKUP(Table1411314[[#This Row],[Man. Number]],Articles!A:F,COLUMN(Articles!$F$1)-COLUMN(Articles!$A$1)+1,FALSE)</f>
        <v>2</v>
      </c>
      <c r="G30" s="4" t="str">
        <f>IF(Table1411314[[#This Row],[In stock]] &gt;= Table1411314[[#This Row],[Quantity]],"YES","NO")</f>
        <v>YES</v>
      </c>
      <c r="H30" s="4">
        <f>VLOOKUP(Table1411314[[#This Row],[Man. Number]],Articles!A:J,COLUMN(Articles!$J$1)-COLUMN(Articles!$A$1)+1,FALSE)*Table1411314[[#This Row],[Quantity]]</f>
        <v>1.47</v>
      </c>
      <c r="I30" s="4">
        <f>Table1411314[[#This Row],[Quantity]]*$M$1</f>
        <v>2</v>
      </c>
      <c r="J30" s="4" t="str">
        <f>IF(Table1411314[[#This Row],[In stock]] &gt;= Table1411314[[#This Row],[Total quantity]],"YES","NO")</f>
        <v>YES</v>
      </c>
    </row>
    <row r="31" spans="1:10" x14ac:dyDescent="0.25">
      <c r="A31" s="3" t="s">
        <v>1116</v>
      </c>
      <c r="B31" s="4" t="str">
        <f>VLOOKUP(Table1411314[[#This Row],[Man. Number]],Articles!A:F,COLUMN(Articles!$D$1)-COLUMN(Articles!$A$1)+1,FALSE)</f>
        <v>Linear Voltage Regulator IC Positive Fixed 1 Output  2A 6-DFN (3x3)</v>
      </c>
      <c r="C31" s="4" t="str">
        <f>VLOOKUP(Table1411314[[#This Row],[Man. Number]],Articles!A:F,COLUMN(Articles!$C$1)-COLUMN(Articles!$A$1)+1,FALSE)</f>
        <v>D001-023</v>
      </c>
      <c r="D31" s="4" t="s">
        <v>1133</v>
      </c>
      <c r="E31" s="38">
        <v>1</v>
      </c>
      <c r="F31" s="4">
        <f>VLOOKUP(Table1411314[[#This Row],[Man. Number]],Articles!A:F,COLUMN(Articles!$F$1)-COLUMN(Articles!$A$1)+1,FALSE)</f>
        <v>2</v>
      </c>
      <c r="G31" s="4" t="str">
        <f>IF(Table1411314[[#This Row],[In stock]] &gt;= Table1411314[[#This Row],[Quantity]],"YES","NO")</f>
        <v>YES</v>
      </c>
      <c r="H31" s="4">
        <f>VLOOKUP(Table1411314[[#This Row],[Man. Number]],Articles!A:J,COLUMN(Articles!$J$1)-COLUMN(Articles!$A$1)+1,FALSE)*Table1411314[[#This Row],[Quantity]]</f>
        <v>0.9</v>
      </c>
      <c r="I31" s="4">
        <f>Table1411314[[#This Row],[Quantity]]*$M$1</f>
        <v>2</v>
      </c>
      <c r="J31" s="4" t="str">
        <f>IF(Table1411314[[#This Row],[In stock]] &gt;= Table1411314[[#This Row],[Total quantity]],"YES","NO")</f>
        <v>YES</v>
      </c>
    </row>
    <row r="32" spans="1:10" x14ac:dyDescent="0.25">
      <c r="A32" s="3" t="s">
        <v>339</v>
      </c>
      <c r="B32" s="4" t="str">
        <f>VLOOKUP(Table1411314[[#This Row],[Man. Number]],Articles!A:F,COLUMN(Articles!$D$1)-COLUMN(Articles!$A$1)+1,FALSE)</f>
        <v>433mhz RF Receiver Learning Code Decoding Receiving Module</v>
      </c>
      <c r="C32" s="4" t="str">
        <f>VLOOKUP(Table1411314[[#This Row],[Man. Number]],Articles!A:F,COLUMN(Articles!$C$1)-COLUMN(Articles!$A$1)+1,FALSE)</f>
        <v>None</v>
      </c>
      <c r="D32" s="4" t="s">
        <v>1636</v>
      </c>
      <c r="E32" s="38">
        <v>1</v>
      </c>
      <c r="F32" s="4">
        <f>VLOOKUP(Table1411314[[#This Row],[Man. Number]],Articles!A:F,COLUMN(Articles!$F$1)-COLUMN(Articles!$A$1)+1,FALSE)</f>
        <v>1</v>
      </c>
      <c r="G32" s="4" t="str">
        <f>IF(Table1411314[[#This Row],[In stock]] &gt;= Table1411314[[#This Row],[Quantity]],"YES","NO")</f>
        <v>YES</v>
      </c>
      <c r="H32" s="4">
        <f>VLOOKUP(Table1411314[[#This Row],[Man. Number]],Articles!A:J,COLUMN(Articles!$J$1)-COLUMN(Articles!$A$1)+1,FALSE)*Table1411314[[#This Row],[Quantity]]</f>
        <v>1.1619999999999999</v>
      </c>
      <c r="I32" s="4">
        <f>Table1411314[[#This Row],[Quantity]]*$M$1</f>
        <v>2</v>
      </c>
      <c r="J32" s="4" t="str">
        <f>IF(Table1411314[[#This Row],[In stock]] &gt;= Table1411314[[#This Row],[Total quantity]],"YES","NO")</f>
        <v>NO</v>
      </c>
    </row>
    <row r="33" spans="1:10" x14ac:dyDescent="0.25">
      <c r="A33" s="3" t="s">
        <v>1326</v>
      </c>
      <c r="B33" s="4" t="str">
        <f>VLOOKUP(Table1411314[[#This Row],[Man. Number]],Articles!A:F,COLUMN(Articles!$D$1)-COLUMN(Articles!$A$1)+1,FALSE)</f>
        <v>Battery Contact Clip 18650 1 Cell PC Pin</v>
      </c>
      <c r="C33" s="4" t="str">
        <f>VLOOKUP(Table1411314[[#This Row],[Man. Number]],Articles!A:F,COLUMN(Articles!$C$1)-COLUMN(Articles!$A$1)+1,FALSE)</f>
        <v>None</v>
      </c>
      <c r="D33" s="4" t="s">
        <v>292</v>
      </c>
      <c r="E33" s="38">
        <v>2</v>
      </c>
      <c r="F33" s="4">
        <f>VLOOKUP(Table1411314[[#This Row],[Man. Number]],Articles!A:F,COLUMN(Articles!$F$1)-COLUMN(Articles!$A$1)+1,FALSE)</f>
        <v>10</v>
      </c>
      <c r="G33" s="4" t="str">
        <f>IF(Table1411314[[#This Row],[In stock]] &gt;= Table1411314[[#This Row],[Quantity]],"YES","NO")</f>
        <v>YES</v>
      </c>
      <c r="H33" s="4">
        <f>VLOOKUP(Table1411314[[#This Row],[Man. Number]],Articles!A:J,COLUMN(Articles!$J$1)-COLUMN(Articles!$A$1)+1,FALSE)*Table1411314[[#This Row],[Quantity]]</f>
        <v>1.1200000000000001</v>
      </c>
      <c r="I33" s="4">
        <f>Table1411314[[#This Row],[Quantity]]*$M$1</f>
        <v>4</v>
      </c>
      <c r="J33" s="4" t="str">
        <f>IF(Table1411314[[#This Row],[In stock]] &gt;= Table1411314[[#This Row],[Total quantity]],"YES","NO")</f>
        <v>YES</v>
      </c>
    </row>
    <row r="34" spans="1:10" x14ac:dyDescent="0.25">
      <c r="A34" s="3" t="s">
        <v>182</v>
      </c>
      <c r="B34" s="4" t="str">
        <f>VLOOKUP(Table1411314[[#This Row],[Man. Number]],Articles!A:F,COLUMN(Articles!$D$1)-COLUMN(Articles!$A$1)+1,FALSE)</f>
        <v>Batterie Li-Po 3.7V 2000mAh</v>
      </c>
      <c r="C34" s="4" t="str">
        <f>VLOOKUP(Table1411314[[#This Row],[Man. Number]],Articles!A:F,COLUMN(Articles!$C$1)-COLUMN(Articles!$A$1)+1,FALSE)</f>
        <v>D200-004</v>
      </c>
      <c r="D34" s="4" t="s">
        <v>292</v>
      </c>
      <c r="E34" s="38">
        <f>1/2</f>
        <v>0.5</v>
      </c>
      <c r="F34" s="4">
        <f>VLOOKUP(Table1411314[[#This Row],[Man. Number]],Articles!A:F,COLUMN(Articles!$F$1)-COLUMN(Articles!$A$1)+1,FALSE)</f>
        <v>3</v>
      </c>
      <c r="G34" s="4" t="str">
        <f>IF(Table1411314[[#This Row],[In stock]] &gt;= Table1411314[[#This Row],[Quantity]],"YES","NO")</f>
        <v>YES</v>
      </c>
      <c r="H34" s="4">
        <f>VLOOKUP(Table1411314[[#This Row],[Man. Number]],Articles!A:J,COLUMN(Articles!$J$1)-COLUMN(Articles!$A$1)+1,FALSE)*Table1411314[[#This Row],[Quantity]]</f>
        <v>6.55</v>
      </c>
      <c r="I34" s="4">
        <f>Table1411314[[#This Row],[Quantity]]*$M$1</f>
        <v>1</v>
      </c>
      <c r="J34" s="4" t="str">
        <f>IF(Table1411314[[#This Row],[In stock]] &gt;= Table1411314[[#This Row],[Total quantity]],"YES","NO")</f>
        <v>YES</v>
      </c>
    </row>
    <row r="35" spans="1:10" x14ac:dyDescent="0.25">
      <c r="A35" s="3" t="s">
        <v>185</v>
      </c>
      <c r="B35" s="4" t="str">
        <f>VLOOKUP(Table1411314[[#This Row],[Man. Number]],Articles!A:F,COLUMN(Articles!$D$1)-COLUMN(Articles!$A$1)+1,FALSE)</f>
        <v>Porte-batterie</v>
      </c>
      <c r="C35" s="4" t="str">
        <f>VLOOKUP(Table1411314[[#This Row],[Man. Number]],Articles!A:F,COLUMN(Articles!$C$1)-COLUMN(Articles!$A$1)+1,FALSE)</f>
        <v>None</v>
      </c>
      <c r="D35" s="4" t="s">
        <v>1637</v>
      </c>
      <c r="E35" s="38">
        <f>1/5</f>
        <v>0.2</v>
      </c>
      <c r="F35" s="4">
        <f>VLOOKUP(Table1411314[[#This Row],[Man. Number]],Articles!A:F,COLUMN(Articles!$F$1)-COLUMN(Articles!$A$1)+1,FALSE)</f>
        <v>1.8</v>
      </c>
      <c r="G35" s="4" t="str">
        <f>IF(Table1411314[[#This Row],[In stock]] &gt;= Table1411314[[#This Row],[Quantity]],"YES","NO")</f>
        <v>YES</v>
      </c>
      <c r="H35" s="4">
        <f>VLOOKUP(Table1411314[[#This Row],[Man. Number]],Articles!A:J,COLUMN(Articles!$J$1)-COLUMN(Articles!$A$1)+1,FALSE)*Table1411314[[#This Row],[Quantity]]</f>
        <v>0.63600000000000012</v>
      </c>
      <c r="I35" s="4">
        <f>Table1411314[[#This Row],[Quantity]]*$M$1</f>
        <v>0.4</v>
      </c>
      <c r="J35" s="4" t="str">
        <f>IF(Table1411314[[#This Row],[In stock]] &gt;= Table1411314[[#This Row],[Total quantity]],"YES","NO")</f>
        <v>YES</v>
      </c>
    </row>
    <row r="36" spans="1:10" x14ac:dyDescent="0.25">
      <c r="A36" s="3" t="s">
        <v>542</v>
      </c>
      <c r="B36" s="38" t="str">
        <f>VLOOKUP(Table1411314[[#This Row],[Man. Number]],Articles!A:F,COLUMN(Articles!$D$1)-COLUMN(Articles!$A$1)+1,FALSE)</f>
        <v>Connector Header Through Hole, male, 36 position 0.100" (2.54mm)</v>
      </c>
      <c r="C36" s="38" t="str">
        <f>VLOOKUP(Table1411314[[#This Row],[Man. Number]],Articles!A:F,COLUMN(Articles!$C$1)-COLUMN(Articles!$A$1)+1,FALSE)</f>
        <v>None</v>
      </c>
      <c r="D36" s="4" t="s">
        <v>1638</v>
      </c>
      <c r="E36" s="38">
        <f>(3*2+5+3*2)/36</f>
        <v>0.47222222222222221</v>
      </c>
      <c r="F36" s="38">
        <f>VLOOKUP(Table1411314[[#This Row],[Man. Number]],Articles!A:F,COLUMN(Articles!$F$1)-COLUMN(Articles!$A$1)+1,FALSE)</f>
        <v>2.5</v>
      </c>
      <c r="G36" s="38" t="str">
        <f>IF(Table1411314[[#This Row],[In stock]] &gt;= Table1411314[[#This Row],[Quantity]],"YES","NO")</f>
        <v>YES</v>
      </c>
      <c r="H36" s="38">
        <f>VLOOKUP(Table1411314[[#This Row],[Man. Number]],Articles!A:J,COLUMN(Articles!$J$1)-COLUMN(Articles!$A$1)+1,FALSE)*Table1411314[[#This Row],[Quantity]]</f>
        <v>0.48166666666666669</v>
      </c>
      <c r="I36" s="38">
        <f>Table1411314[[#This Row],[Quantity]]*$M$1</f>
        <v>0.94444444444444442</v>
      </c>
      <c r="J36" s="38" t="str">
        <f>IF(Table1411314[[#This Row],[In stock]] &gt;= Table1411314[[#This Row],[Total quantity]],"YES","NO")</f>
        <v>YES</v>
      </c>
    </row>
    <row r="37" spans="1:10" x14ac:dyDescent="0.25">
      <c r="A37" s="3" t="s">
        <v>448</v>
      </c>
      <c r="G37" s="4"/>
      <c r="H37" s="4">
        <f>SUBTOTAL(109,Table1411314[Unit Price])</f>
        <v>44.593666666666664</v>
      </c>
      <c r="I37" s="4"/>
      <c r="J37" s="4"/>
    </row>
  </sheetData>
  <conditionalFormatting sqref="A37:A1048576 A1:A12 A14:A18 A20:A32">
    <cfRule type="duplicateValues" dxfId="39" priority="11"/>
  </conditionalFormatting>
  <conditionalFormatting sqref="J1:J1048576 G1:G1048576">
    <cfRule type="containsText" dxfId="38" priority="12" operator="containsText" text="NO">
      <formula>NOT(ISERROR(SEARCH("NO",G1)))</formula>
    </cfRule>
  </conditionalFormatting>
  <conditionalFormatting sqref="N1">
    <cfRule type="cellIs" dxfId="37" priority="6" stopIfTrue="1" operator="equal">
      <formula>"Locked"</formula>
    </cfRule>
    <cfRule type="cellIs" dxfId="36" priority="7" stopIfTrue="1" operator="equal">
      <formula>"Unlocked"</formula>
    </cfRule>
  </conditionalFormatting>
  <conditionalFormatting sqref="A13">
    <cfRule type="duplicateValues" dxfId="35" priority="5"/>
  </conditionalFormatting>
  <conditionalFormatting sqref="A19">
    <cfRule type="duplicateValues" dxfId="34" priority="1"/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24FB710E-7416-48B6-92BF-AFE7A11BF373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N35"/>
  <sheetViews>
    <sheetView workbookViewId="0">
      <pane ySplit="1" topLeftCell="A2" activePane="bottomLeft" state="frozen"/>
      <selection activeCell="B6" sqref="B6"/>
      <selection pane="bottomLeft" activeCell="A19" sqref="A19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1.140625" style="4" bestFit="1" customWidth="1"/>
    <col min="4" max="4" width="15.7109375" style="4" customWidth="1"/>
    <col min="5" max="5" width="11" style="38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5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2</v>
      </c>
      <c r="N1" t="s">
        <v>1107</v>
      </c>
    </row>
    <row r="2" spans="1:14" x14ac:dyDescent="0.25">
      <c r="A2" s="3" t="s">
        <v>1391</v>
      </c>
      <c r="B2" s="4" t="str">
        <f>VLOOKUP(Table14113[[#This Row],[Man. Number]],Articles!A:F,COLUMN(Articles!$D$1)-COLUMN(Articles!$A$1)+1,FALSE)</f>
        <v>PCB Lampe Solaire v6.2</v>
      </c>
      <c r="C2" s="4" t="str">
        <f>VLOOKUP(Table14113[[#This Row],[Man. Number]],Articles!A:F,COLUMN(Articles!$C$1)-COLUMN(Articles!$A$1)+1,FALSE)</f>
        <v>None</v>
      </c>
      <c r="D2" s="4" t="s">
        <v>58</v>
      </c>
      <c r="E2" s="38">
        <v>1</v>
      </c>
      <c r="F2" s="4">
        <f>VLOOKUP(Table14113[[#This Row],[Man. Number]],Articles!A:F,COLUMN(Articles!$F$1)-COLUMN(Articles!$A$1)+1,FALSE)</f>
        <v>4</v>
      </c>
      <c r="G2" s="4" t="str">
        <f>IF(Table14113[[#This Row],[In stock]] &gt;= Table14113[[#This Row],[Quantity]],"YES","NO")</f>
        <v>YES</v>
      </c>
      <c r="H2" s="4">
        <f>VLOOKUP(Table14113[[#This Row],[Man. Number]],Articles!A:J,COLUMN(Articles!$J$1)-COLUMN(Articles!$A$1)+1,FALSE)*Table14113[[#This Row],[Quantity]]</f>
        <v>0</v>
      </c>
      <c r="I2" s="4">
        <f>Table14113[[#This Row],[Quantity]]*$M$1</f>
        <v>2</v>
      </c>
      <c r="J2" s="4" t="str">
        <f>IF(Table14113[[#This Row],[In stock]] &gt;= Table14113[[#This Row],[Total quantity]],"YES","NO")</f>
        <v>YES</v>
      </c>
    </row>
    <row r="3" spans="1:14" x14ac:dyDescent="0.25">
      <c r="A3" s="3" t="s">
        <v>1103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tr">
        <f>VLOOKUP(Table14113[[#This Row],[Man. Number]],Articles!A:F,COLUMN(Articles!$C$1)-COLUMN(Articles!$A$1)+1,FALSE)</f>
        <v>D200-005</v>
      </c>
      <c r="D3" s="4" t="s">
        <v>58</v>
      </c>
      <c r="E3" s="38">
        <v>19</v>
      </c>
      <c r="F3" s="4">
        <f>VLOOKUP(Table14113[[#This Row],[Man. Number]],Articles!A:F,COLUMN(Articles!$F$1)-COLUMN(Articles!$A$1)+1,FALSE)</f>
        <v>47</v>
      </c>
      <c r="G3" s="4" t="str">
        <f>IF(Table14113[[#This Row],[In stock]] &gt;= Table14113[[#This Row],[Quantity]],"YES","NO")</f>
        <v>YES</v>
      </c>
      <c r="H3" s="4">
        <f>VLOOKUP(Table14113[[#This Row],[Man. Number]],Articles!A:J,COLUMN(Articles!$J$1)-COLUMN(Articles!$A$1)+1,FALSE)*Table14113[[#This Row],[Quantity]]</f>
        <v>0.70299999999999996</v>
      </c>
      <c r="I3" s="4">
        <f>Table14113[[#This Row],[Quantity]]*$M$1</f>
        <v>38</v>
      </c>
      <c r="J3" s="4" t="str">
        <f>IF(Table14113[[#This Row],[In stock]] &gt;= Table14113[[#This Row],[Total quantity]],"YES","NO")</f>
        <v>YES</v>
      </c>
    </row>
    <row r="4" spans="1:14" x14ac:dyDescent="0.25">
      <c r="A4" s="4" t="s">
        <v>144</v>
      </c>
      <c r="B4" s="4" t="str">
        <f>VLOOKUP(Table14113[[#This Row],[Man. Number]],Articles!A:F,COLUMN(Articles!$D$1)-COLUMN(Articles!$A$1)+1,FALSE)</f>
        <v>BOX PLASTIC GRY/CLR 4.9"LX4.92"W</v>
      </c>
      <c r="C4" s="4" t="str">
        <f>VLOOKUP(Table14113[[#This Row],[Man. Number]],Articles!A:F,COLUMN(Articles!$C$1)-COLUMN(Articles!$A$1)+1,FALSE)</f>
        <v>None</v>
      </c>
      <c r="D4" s="4" t="s">
        <v>58</v>
      </c>
      <c r="E4" s="38">
        <v>1</v>
      </c>
      <c r="F4" s="4">
        <f>VLOOKUP(Table14113[[#This Row],[Man. Number]],Articles!A:F,COLUMN(Articles!$F$1)-COLUMN(Articles!$A$1)+1,FALSE)</f>
        <v>1</v>
      </c>
      <c r="G4" s="4" t="str">
        <f>IF(Table14113[[#This Row],[In stock]] &gt;= Table14113[[#This Row],[Quantity]],"YES","NO")</f>
        <v>YES</v>
      </c>
      <c r="H4" s="4">
        <f>VLOOKUP(Table14113[[#This Row],[Man. Number]],Articles!A:J,COLUMN(Articles!$J$1)-COLUMN(Articles!$A$1)+1,FALSE)*Table14113[[#This Row],[Quantity]]</f>
        <v>15.9</v>
      </c>
      <c r="I4" s="4">
        <f>Table14113[[#This Row],[Quantity]]*$M$1</f>
        <v>2</v>
      </c>
      <c r="J4" s="4" t="str">
        <f>IF(Table14113[[#This Row],[In stock]] &gt;= Table14113[[#This Row],[Total quantity]],"YES","NO")</f>
        <v>NO</v>
      </c>
    </row>
    <row r="5" spans="1:14" x14ac:dyDescent="0.25">
      <c r="A5" s="47" t="s">
        <v>1185</v>
      </c>
      <c r="B5" s="38" t="str">
        <f>VLOOKUP(Table14113[[#This Row],[Man. Number]],Articles!A:F,COLUMN(Articles!$D$1)-COLUMN(Articles!$A$1)+1,FALSE)</f>
        <v>CHEESE HEAD SLOTTED SCREW, NATUR</v>
      </c>
      <c r="C5" s="38" t="str">
        <f>VLOOKUP(Table14113[[#This Row],[Man. Number]],Articles!A:F,COLUMN(Articles!$C$1)-COLUMN(Articles!$A$1)+1,FALSE)</f>
        <v>D200-009</v>
      </c>
      <c r="D5" s="4" t="s">
        <v>58</v>
      </c>
      <c r="E5" s="38">
        <v>2</v>
      </c>
      <c r="F5" s="38">
        <f>VLOOKUP(Table14113[[#This Row],[Man. Number]],Articles!A:F,COLUMN(Articles!$F$1)-COLUMN(Articles!$A$1)+1,FALSE)</f>
        <v>2</v>
      </c>
      <c r="G5" s="38" t="str">
        <f>IF(Table14113[[#This Row],[In stock]] &gt;= Table14113[[#This Row],[Quantity]],"YES","NO")</f>
        <v>YES</v>
      </c>
      <c r="H5" s="38">
        <f>VLOOKUP(Table14113[[#This Row],[Man. Number]],Articles!A:J,COLUMN(Articles!$J$1)-COLUMN(Articles!$A$1)+1,FALSE)*Table14113[[#This Row],[Quantity]]</f>
        <v>0.32</v>
      </c>
      <c r="I5" s="38">
        <f>Table14113[[#This Row],[Quantity]]*$M$1</f>
        <v>4</v>
      </c>
      <c r="J5" s="38" t="str">
        <f>IF(Table14113[[#This Row],[In stock]] &gt;= Table14113[[#This Row],[Total quantity]],"YES","NO")</f>
        <v>NO</v>
      </c>
    </row>
    <row r="6" spans="1:14" x14ac:dyDescent="0.25">
      <c r="A6" s="3" t="s">
        <v>535</v>
      </c>
      <c r="B6" s="4" t="str">
        <f>VLOOKUP(Table14113[[#This Row],[Man. Number]],Articles!A:F,COLUMN(Articles!$D$1)-COLUMN(Articles!$A$1)+1,FALSE)</f>
        <v>4.7µF ±20% 25V Ceramic Capacitor X5R 0805 (2012 Metric)</v>
      </c>
      <c r="C6" s="4" t="str">
        <f>VLOOKUP(Table14113[[#This Row],[Man. Number]],Articles!A:F,COLUMN(Articles!$C$1)-COLUMN(Articles!$A$1)+1,FALSE)</f>
        <v>D101-151</v>
      </c>
      <c r="D6" s="4" t="s">
        <v>1245</v>
      </c>
      <c r="E6" s="38">
        <v>4</v>
      </c>
      <c r="F6" s="4">
        <f>VLOOKUP(Table14113[[#This Row],[Man. Number]],Articles!A:F,COLUMN(Articles!$F$1)-COLUMN(Articles!$A$1)+1,FALSE)</f>
        <v>15</v>
      </c>
      <c r="G6" s="4" t="str">
        <f>IF(Table14113[[#This Row],[In stock]] &gt;= Table14113[[#This Row],[Quantity]],"YES","NO")</f>
        <v>YES</v>
      </c>
      <c r="H6" s="4">
        <f>VLOOKUP(Table14113[[#This Row],[Man. Number]],Articles!A:J,COLUMN(Articles!$J$1)-COLUMN(Articles!$A$1)+1,FALSE)*Table14113[[#This Row],[Quantity]]</f>
        <v>0.60399999999999998</v>
      </c>
      <c r="I6" s="4">
        <f>Table14113[[#This Row],[Quantity]]*$M$1</f>
        <v>8</v>
      </c>
      <c r="J6" s="4" t="str">
        <f>IF(Table14113[[#This Row],[In stock]] &gt;= Table14113[[#This Row],[Total quantity]],"YES","NO")</f>
        <v>YES</v>
      </c>
    </row>
    <row r="7" spans="1:14" x14ac:dyDescent="0.25">
      <c r="A7" s="38" t="s">
        <v>1152</v>
      </c>
      <c r="B7" s="4" t="str">
        <f>VLOOKUP(Table14113[[#This Row],[Man. Number]],Articles!A:F,COLUMN(Articles!$D$1)-COLUMN(Articles!$A$1)+1,FALSE)</f>
        <v>10µF ±20% 10V Ceramic Capacitor X5R 0805 (2012 Metric)</v>
      </c>
      <c r="C7" s="4" t="str">
        <f>VLOOKUP(Table14113[[#This Row],[Man. Number]],Articles!A:F,COLUMN(Articles!$C$1)-COLUMN(Articles!$A$1)+1,FALSE)</f>
        <v>D101-150</v>
      </c>
      <c r="D7" s="4" t="s">
        <v>272</v>
      </c>
      <c r="E7" s="38">
        <v>1</v>
      </c>
      <c r="F7" s="4">
        <f>VLOOKUP(Table14113[[#This Row],[Man. Number]],Articles!A:F,COLUMN(Articles!$F$1)-COLUMN(Articles!$A$1)+1,FALSE)</f>
        <v>8</v>
      </c>
      <c r="G7" s="4" t="str">
        <f>IF(Table14113[[#This Row],[In stock]] &gt;= Table14113[[#This Row],[Quantity]],"YES","NO")</f>
        <v>YES</v>
      </c>
      <c r="H7" s="4">
        <f>VLOOKUP(Table14113[[#This Row],[Man. Number]],Articles!A:J,COLUMN(Articles!$J$1)-COLUMN(Articles!$A$1)+1,FALSE)*Table14113[[#This Row],[Quantity]]</f>
        <v>0.18</v>
      </c>
      <c r="I7" s="4">
        <f>Table14113[[#This Row],[Quantity]]*$M$1</f>
        <v>2</v>
      </c>
      <c r="J7" s="4" t="str">
        <f>IF(Table14113[[#This Row],[In stock]] &gt;= Table14113[[#This Row],[Total quantity]],"YES","NO")</f>
        <v>YES</v>
      </c>
    </row>
    <row r="8" spans="1:14" x14ac:dyDescent="0.25">
      <c r="A8" s="3" t="s">
        <v>1054</v>
      </c>
      <c r="B8" s="4" t="str">
        <f>VLOOKUP(Table14113[[#This Row],[Man. Number]],Articles!A:F,COLUMN(Articles!$D$1)-COLUMN(Articles!$A$1)+1,FALSE)</f>
        <v>0.1µF ±10% 50V Ceramic Capacitor X7R 0805 (2012 Metric)</v>
      </c>
      <c r="C8" s="4" t="str">
        <f>VLOOKUP(Table14113[[#This Row],[Man. Number]],Articles!A:F,COLUMN(Articles!$C$1)-COLUMN(Articles!$A$1)+1,FALSE)</f>
        <v>D101-148</v>
      </c>
      <c r="D8" s="4" t="s">
        <v>1246</v>
      </c>
      <c r="E8" s="38">
        <v>7</v>
      </c>
      <c r="F8" s="4">
        <f>VLOOKUP(Table14113[[#This Row],[Man. Number]],Articles!A:F,COLUMN(Articles!$F$1)-COLUMN(Articles!$A$1)+1,FALSE)</f>
        <v>93</v>
      </c>
      <c r="G8" s="4" t="str">
        <f>IF(Table14113[[#This Row],[In stock]] &gt;= Table14113[[#This Row],[Quantity]],"YES","NO")</f>
        <v>YES</v>
      </c>
      <c r="H8" s="4">
        <f>VLOOKUP(Table14113[[#This Row],[Man. Number]],Articles!A:J,COLUMN(Articles!$J$1)-COLUMN(Articles!$A$1)+1,FALSE)*Table14113[[#This Row],[Quantity]]</f>
        <v>0.189</v>
      </c>
      <c r="I8" s="4">
        <f>Table14113[[#This Row],[Quantity]]*$M$1</f>
        <v>14</v>
      </c>
      <c r="J8" s="4" t="str">
        <f>IF(Table14113[[#This Row],[In stock]] &gt;= Table14113[[#This Row],[Total quantity]],"YES","NO")</f>
        <v>YES</v>
      </c>
    </row>
    <row r="9" spans="1:14" x14ac:dyDescent="0.25">
      <c r="A9" s="3" t="s">
        <v>267</v>
      </c>
      <c r="B9" s="4" t="str">
        <f>VLOOKUP(Table14113[[#This Row],[Man. Number]],Articles!A:F,COLUMN(Articles!$D$1)-COLUMN(Articles!$A$1)+1,FALSE)</f>
        <v>FUSE BOARD MNT 630MA 63VDC 1206</v>
      </c>
      <c r="C9" s="4" t="str">
        <f>VLOOKUP(Table14113[[#This Row],[Man. Number]],Articles!A:F,COLUMN(Articles!$C$1)-COLUMN(Articles!$A$1)+1,FALSE)</f>
        <v>D100-138</v>
      </c>
      <c r="D9" s="4" t="s">
        <v>269</v>
      </c>
      <c r="E9" s="38">
        <v>1</v>
      </c>
      <c r="F9" s="4">
        <f>VLOOKUP(Table14113[[#This Row],[Man. Number]],Articles!A:F,COLUMN(Articles!$F$1)-COLUMN(Articles!$A$1)+1,FALSE)</f>
        <v>3</v>
      </c>
      <c r="G9" s="4" t="str">
        <f>IF(Table14113[[#This Row],[In stock]] &gt;= Table14113[[#This Row],[Quantity]],"YES","NO")</f>
        <v>YES</v>
      </c>
      <c r="H9" s="4">
        <f>VLOOKUP(Table14113[[#This Row],[Man. Number]],Articles!A:J,COLUMN(Articles!$J$1)-COLUMN(Articles!$A$1)+1,FALSE)*Table14113[[#This Row],[Quantity]]</f>
        <v>0.97</v>
      </c>
      <c r="I9" s="4">
        <f>Table14113[[#This Row],[Quantity]]*$M$1</f>
        <v>2</v>
      </c>
      <c r="J9" s="4" t="str">
        <f>IF(Table14113[[#This Row],[In stock]] &gt;= Table14113[[#This Row],[Total quantity]],"YES","NO")</f>
        <v>YES</v>
      </c>
    </row>
    <row r="10" spans="1:14" x14ac:dyDescent="0.25">
      <c r="A10" s="47" t="s">
        <v>211</v>
      </c>
      <c r="B10" s="38" t="str">
        <f>VLOOKUP(Table14113[[#This Row],[Man. Number]],Articles!A:F,COLUMN(Articles!$D$1)-COLUMN(Articles!$A$1)+1,FALSE)</f>
        <v>Red 628nm LED Indication - Discrete 1.8V 0603 (1608 Metric)</v>
      </c>
      <c r="C10" s="38" t="str">
        <f>VLOOKUP(Table14113[[#This Row],[Man. Number]],Articles!A:F,COLUMN(Articles!$C$1)-COLUMN(Articles!$A$1)+1,FALSE)</f>
        <v>D001-049</v>
      </c>
      <c r="D10" s="4" t="s">
        <v>275</v>
      </c>
      <c r="E10" s="38">
        <v>1</v>
      </c>
      <c r="F10" s="38">
        <f>VLOOKUP(Table14113[[#This Row],[Man. Number]],Articles!A:F,COLUMN(Articles!$F$1)-COLUMN(Articles!$A$1)+1,FALSE)</f>
        <v>6</v>
      </c>
      <c r="G10" s="38" t="str">
        <f>IF(Table14113[[#This Row],[In stock]] &gt;= Table14113[[#This Row],[Quantity]],"YES","NO")</f>
        <v>YES</v>
      </c>
      <c r="H10" s="38">
        <f>VLOOKUP(Table14113[[#This Row],[Man. Number]],Articles!A:J,COLUMN(Articles!$J$1)-COLUMN(Articles!$A$1)+1,FALSE)*Table14113[[#This Row],[Quantity]]</f>
        <v>0.52</v>
      </c>
      <c r="I10" s="38">
        <f>Table14113[[#This Row],[Quantity]]*$M$1</f>
        <v>2</v>
      </c>
      <c r="J10" s="38" t="str">
        <f>IF(Table14113[[#This Row],[In stock]] &gt;= Table14113[[#This Row],[Total quantity]],"YES","NO")</f>
        <v>YES</v>
      </c>
    </row>
    <row r="11" spans="1:14" x14ac:dyDescent="0.25">
      <c r="A11" s="3" t="s">
        <v>299</v>
      </c>
      <c r="B11" s="4" t="str">
        <f>VLOOKUP(Table14113[[#This Row],[Man. Number]],Articles!A:F,COLUMN(Articles!$D$1)-COLUMN(Articles!$A$1)+1,FALSE)</f>
        <v>PCB Led adaptateur v1</v>
      </c>
      <c r="C11" s="4" t="str">
        <f>VLOOKUP(Table14113[[#This Row],[Man. Number]],Articles!A:F,COLUMN(Articles!$C$1)-COLUMN(Articles!$A$1)+1,FALSE)</f>
        <v>None</v>
      </c>
      <c r="D11" s="4" t="s">
        <v>278</v>
      </c>
      <c r="E11" s="38">
        <v>1</v>
      </c>
      <c r="F11" s="4">
        <f>VLOOKUP(Table14113[[#This Row],[Man. Number]],Articles!A:F,COLUMN(Articles!$F$1)-COLUMN(Articles!$A$1)+1,FALSE)</f>
        <v>8</v>
      </c>
      <c r="G11" s="4" t="str">
        <f>IF(Table14113[[#This Row],[In stock]] &gt;= Table14113[[#This Row],[Quantity]],"YES","NO")</f>
        <v>YES</v>
      </c>
      <c r="H11" s="4">
        <f>VLOOKUP(Table14113[[#This Row],[Man. Number]],Articles!A:J,COLUMN(Articles!$J$1)-COLUMN(Articles!$A$1)+1,FALSE)*Table14113[[#This Row],[Quantity]]</f>
        <v>0</v>
      </c>
      <c r="I11" s="4">
        <f>Table14113[[#This Row],[Quantity]]*$M$1</f>
        <v>2</v>
      </c>
      <c r="J11" s="4" t="str">
        <f>IF(Table14113[[#This Row],[In stock]] &gt;= Table14113[[#This Row],[Total quantity]],"YES","NO")</f>
        <v>YES</v>
      </c>
    </row>
    <row r="12" spans="1:14" x14ac:dyDescent="0.25">
      <c r="A12" s="38" t="s">
        <v>210</v>
      </c>
      <c r="B12" s="38" t="str">
        <f>VLOOKUP(Table14113[[#This Row],[Man. Number]],Articles!A:F,COLUMN(Articles!$D$1)-COLUMN(Articles!$A$1)+1,FALSE)</f>
        <v>Green 570nm LED Indication - Discrete 2V 0603 (1608 Metric)</v>
      </c>
      <c r="C12" s="38" t="str">
        <f>VLOOKUP(Table14113[[#This Row],[Man. Number]],Articles!A:F,COLUMN(Articles!$C$1)-COLUMN(Articles!$A$1)+1,FALSE)</f>
        <v>D001-048</v>
      </c>
      <c r="D12" s="4" t="s">
        <v>1062</v>
      </c>
      <c r="E12" s="38">
        <v>1</v>
      </c>
      <c r="F12" s="38">
        <f>VLOOKUP(Table14113[[#This Row],[Man. Number]],Articles!A:F,COLUMN(Articles!$F$1)-COLUMN(Articles!$A$1)+1,FALSE)</f>
        <v>14</v>
      </c>
      <c r="G12" s="38" t="str">
        <f>IF(Table14113[[#This Row],[In stock]] &gt;= Table14113[[#This Row],[Quantity]],"YES","NO")</f>
        <v>YES</v>
      </c>
      <c r="H12" s="38">
        <f>VLOOKUP(Table14113[[#This Row],[Man. Number]],Articles!A:J,COLUMN(Articles!$J$1)-COLUMN(Articles!$A$1)+1,FALSE)*Table14113[[#This Row],[Quantity]]</f>
        <v>0.14000000000000001</v>
      </c>
      <c r="I12" s="38">
        <f>Table14113[[#This Row],[Quantity]]*$M$1</f>
        <v>2</v>
      </c>
      <c r="J12" s="38" t="str">
        <f>IF(Table14113[[#This Row],[In stock]] &gt;= Table14113[[#This Row],[Total quantity]],"YES","NO")</f>
        <v>YES</v>
      </c>
    </row>
    <row r="13" spans="1:14" x14ac:dyDescent="0.25">
      <c r="A13" s="71" t="s">
        <v>1441</v>
      </c>
      <c r="B13" s="4" t="str">
        <f>VLOOKUP(Table14113[[#This Row],[Man. Number]],Articles!A:F,COLUMN(Articles!$D$1)-COLUMN(Articles!$A$1)+1,FALSE)</f>
        <v>3.3 kOhms ±5% 0.4W, 2/5W Chip Resistor 0805 (2012 Metric) Automotive AEC-Q200, Pulse Withstanding Thick Film</v>
      </c>
      <c r="C13" s="4" t="str">
        <f>VLOOKUP(Table14113[[#This Row],[Man. Number]],Articles!A:F,COLUMN(Articles!$C$1)-COLUMN(Articles!$A$1)+1,FALSE)</f>
        <v>None</v>
      </c>
      <c r="D13" s="4" t="s">
        <v>294</v>
      </c>
      <c r="E13" s="38">
        <v>1</v>
      </c>
      <c r="F13" s="4">
        <f>VLOOKUP(Table14113[[#This Row],[Man. Number]],Articles!A:F,COLUMN(Articles!$F$1)-COLUMN(Articles!$A$1)+1,FALSE)</f>
        <v>10</v>
      </c>
      <c r="G13" s="4" t="str">
        <f>IF(Table14113[[#This Row],[In stock]] &gt;= Table14113[[#This Row],[Quantity]],"YES","NO")</f>
        <v>YES</v>
      </c>
      <c r="H13" s="4">
        <f>VLOOKUP(Table14113[[#This Row],[Man. Number]],Articles!A:J,COLUMN(Articles!$J$1)-COLUMN(Articles!$A$1)+1,FALSE)*Table14113[[#This Row],[Quantity]]</f>
        <v>0.1</v>
      </c>
      <c r="I13" s="4">
        <f>Table14113[[#This Row],[Quantity]]*$M$1</f>
        <v>2</v>
      </c>
      <c r="J13" s="4" t="str">
        <f>IF(Table14113[[#This Row],[In stock]] &gt;= Table14113[[#This Row],[Total quantity]],"YES","NO")</f>
        <v>YES</v>
      </c>
    </row>
    <row r="14" spans="1:14" x14ac:dyDescent="0.25">
      <c r="A14" s="47" t="s">
        <v>539</v>
      </c>
      <c r="B14" s="38" t="str">
        <f>VLOOKUP(Table14113[[#This Row],[Man. Number]],Articles!A:F,COLUMN(Articles!$D$1)-COLUMN(Articles!$A$1)+1,FALSE)</f>
        <v>RES SMD 27K OHM 5% 0.4W 0805</v>
      </c>
      <c r="C14" s="38" t="str">
        <f>VLOOKUP(Table14113[[#This Row],[Man. Number]],Articles!A:F,COLUMN(Articles!$C$1)-COLUMN(Articles!$A$1)+1,FALSE)</f>
        <v>D101-013</v>
      </c>
      <c r="D14" s="4" t="s">
        <v>1205</v>
      </c>
      <c r="E14" s="38">
        <v>1</v>
      </c>
      <c r="F14" s="38">
        <f>VLOOKUP(Table14113[[#This Row],[Man. Number]],Articles!A:F,COLUMN(Articles!$F$1)-COLUMN(Articles!$A$1)+1,FALSE)</f>
        <v>9</v>
      </c>
      <c r="G14" s="38" t="str">
        <f>IF(Table14113[[#This Row],[In stock]] &gt;= Table14113[[#This Row],[Quantity]],"YES","NO")</f>
        <v>YES</v>
      </c>
      <c r="H14" s="38">
        <f>VLOOKUP(Table14113[[#This Row],[Man. Number]],Articles!A:J,COLUMN(Articles!$J$1)-COLUMN(Articles!$A$1)+1,FALSE)*Table14113[[#This Row],[Quantity]]</f>
        <v>0.1</v>
      </c>
      <c r="I14" s="38">
        <f>Table14113[[#This Row],[Quantity]]*$M$1</f>
        <v>2</v>
      </c>
      <c r="J14" s="38" t="str">
        <f>IF(Table14113[[#This Row],[In stock]] &gt;= Table14113[[#This Row],[Total quantity]],"YES","NO")</f>
        <v>YES</v>
      </c>
    </row>
    <row r="15" spans="1:14" x14ac:dyDescent="0.25">
      <c r="A15" s="48" t="s">
        <v>35</v>
      </c>
      <c r="B15" s="4" t="str">
        <f>VLOOKUP(Table14113[[#This Row],[Man. Number]],Articles!A:F,COLUMN(Articles!$D$1)-COLUMN(Articles!$A$1)+1,FALSE)</f>
        <v>Potentiomètres variables, 10 ohm, 15 Tour(s), Traversant</v>
      </c>
      <c r="C15" s="4" t="str">
        <f>VLOOKUP(Table14113[[#This Row],[Man. Number]],Articles!A:F,COLUMN(Articles!$C$1)-COLUMN(Articles!$A$1)+1,FALSE)</f>
        <v>D200-020</v>
      </c>
      <c r="D15" s="4" t="s">
        <v>1131</v>
      </c>
      <c r="E15" s="38">
        <v>2</v>
      </c>
      <c r="F15" s="4">
        <f>VLOOKUP(Table14113[[#This Row],[Man. Number]],Articles!A:F,COLUMN(Articles!$F$1)-COLUMN(Articles!$A$1)+1,FALSE)</f>
        <v>2</v>
      </c>
      <c r="G15" s="4" t="str">
        <f>IF(Table14113[[#This Row],[In stock]] &gt;= Table14113[[#This Row],[Quantity]],"YES","NO")</f>
        <v>YES</v>
      </c>
      <c r="H15" s="4">
        <f>VLOOKUP(Table14113[[#This Row],[Man. Number]],Articles!A:J,COLUMN(Articles!$J$1)-COLUMN(Articles!$A$1)+1,FALSE)*Table14113[[#This Row],[Quantity]]</f>
        <v>4.16</v>
      </c>
      <c r="I15" s="4">
        <f>Table14113[[#This Row],[Quantity]]*$M$1</f>
        <v>4</v>
      </c>
      <c r="J15" s="4" t="str">
        <f>IF(Table14113[[#This Row],[In stock]] &gt;= Table14113[[#This Row],[Total quantity]],"YES","NO")</f>
        <v>NO</v>
      </c>
    </row>
    <row r="16" spans="1:14" x14ac:dyDescent="0.25">
      <c r="A16" s="47" t="s">
        <v>1015</v>
      </c>
      <c r="B16" s="4" t="str">
        <f>VLOOKUP(Table14113[[#This Row],[Man. Number]],Articles!A:F,COLUMN(Articles!$D$1)-COLUMN(Articles!$A$1)+1,FALSE)</f>
        <v>RES SMD 3.9K OHM 5% 0.4W 0805</v>
      </c>
      <c r="C16" s="4" t="str">
        <f>VLOOKUP(Table14113[[#This Row],[Man. Number]],Articles!A:F,COLUMN(Articles!$C$1)-COLUMN(Articles!$A$1)+1,FALSE)</f>
        <v>D101-014</v>
      </c>
      <c r="D16" s="4" t="s">
        <v>282</v>
      </c>
      <c r="E16" s="38">
        <v>1</v>
      </c>
      <c r="F16" s="4">
        <f>VLOOKUP(Table14113[[#This Row],[Man. Number]],Articles!A:F,COLUMN(Articles!$F$1)-COLUMN(Articles!$A$1)+1,FALSE)</f>
        <v>9</v>
      </c>
      <c r="G16" s="4" t="str">
        <f>IF(Table14113[[#This Row],[In stock]] &gt;= Table14113[[#This Row],[Quantity]],"YES","NO")</f>
        <v>YES</v>
      </c>
      <c r="H16" s="4">
        <f>VLOOKUP(Table14113[[#This Row],[Man. Number]],Articles!A:J,COLUMN(Articles!$J$1)-COLUMN(Articles!$A$1)+1,FALSE)*Table14113[[#This Row],[Quantity]]</f>
        <v>0.1</v>
      </c>
      <c r="I16" s="4">
        <f>Table14113[[#This Row],[Quantity]]*$M$1</f>
        <v>2</v>
      </c>
      <c r="J16" s="4" t="str">
        <f>IF(Table14113[[#This Row],[In stock]] &gt;= Table14113[[#This Row],[Total quantity]],"YES","NO")</f>
        <v>YES</v>
      </c>
    </row>
    <row r="17" spans="1:10" x14ac:dyDescent="0.25">
      <c r="A17" s="3" t="s">
        <v>171</v>
      </c>
      <c r="B17" s="4" t="str">
        <f>VLOOKUP(Table14113[[#This Row],[Man. Number]],Articles!A:F,COLUMN(Articles!$D$1)-COLUMN(Articles!$A$1)+1,FALSE)</f>
        <v>RES SMD 4.7K OHM 1% 1/8W 0805 vishay</v>
      </c>
      <c r="C17" s="4" t="str">
        <f>VLOOKUP(Table14113[[#This Row],[Man. Number]],Articles!A:F,COLUMN(Articles!$C$1)-COLUMN(Articles!$A$1)+1,FALSE)</f>
        <v>D101-000</v>
      </c>
      <c r="D17" s="4" t="s">
        <v>1202</v>
      </c>
      <c r="E17" s="38">
        <v>4</v>
      </c>
      <c r="F17" s="4">
        <f>VLOOKUP(Table14113[[#This Row],[Man. Number]],Articles!A:F,COLUMN(Articles!$F$1)-COLUMN(Articles!$A$1)+1,FALSE)</f>
        <v>95</v>
      </c>
      <c r="G17" s="4" t="str">
        <f>IF(Table14113[[#This Row],[In stock]] &gt;= Table14113[[#This Row],[Quantity]],"YES","NO")</f>
        <v>YES</v>
      </c>
      <c r="H17" s="4">
        <f>VLOOKUP(Table14113[[#This Row],[Man. Number]],Articles!A:J,COLUMN(Articles!$J$1)-COLUMN(Articles!$A$1)+1,FALSE)*Table14113[[#This Row],[Quantity]]</f>
        <v>7.8E-2</v>
      </c>
      <c r="I17" s="4">
        <f>Table14113[[#This Row],[Quantity]]*$M$1</f>
        <v>8</v>
      </c>
      <c r="J17" s="4" t="str">
        <f>IF(Table14113[[#This Row],[In stock]] &gt;= Table14113[[#This Row],[Total quantity]],"YES","NO")</f>
        <v>YES</v>
      </c>
    </row>
    <row r="18" spans="1:10" x14ac:dyDescent="0.25">
      <c r="A18" s="47" t="s">
        <v>1024</v>
      </c>
      <c r="B18" s="38" t="str">
        <f>VLOOKUP(Table14113[[#This Row],[Man. Number]],Articles!A:F,COLUMN(Articles!$D$1)-COLUMN(Articles!$A$1)+1,FALSE)</f>
        <v>RES SMD 100K OHM 5% 0.4W 0805</v>
      </c>
      <c r="C18" s="38" t="str">
        <f>VLOOKUP(Table14113[[#This Row],[Man. Number]],Articles!A:F,COLUMN(Articles!$C$1)-COLUMN(Articles!$A$1)+1,FALSE)</f>
        <v>D101-011</v>
      </c>
      <c r="D18" s="4" t="s">
        <v>1203</v>
      </c>
      <c r="E18" s="38">
        <v>2</v>
      </c>
      <c r="F18" s="38">
        <f>VLOOKUP(Table14113[[#This Row],[Man. Number]],Articles!A:F,COLUMN(Articles!$F$1)-COLUMN(Articles!$A$1)+1,FALSE)</f>
        <v>8</v>
      </c>
      <c r="G18" s="38" t="str">
        <f>IF(Table14113[[#This Row],[In stock]] &gt;= Table14113[[#This Row],[Quantity]],"YES","NO")</f>
        <v>YES</v>
      </c>
      <c r="H18" s="38">
        <f>VLOOKUP(Table14113[[#This Row],[Man. Number]],Articles!A:J,COLUMN(Articles!$J$1)-COLUMN(Articles!$A$1)+1,FALSE)*Table14113[[#This Row],[Quantity]]</f>
        <v>0.2</v>
      </c>
      <c r="I18" s="38">
        <f>Table14113[[#This Row],[Quantity]]*$M$1</f>
        <v>4</v>
      </c>
      <c r="J18" s="38" t="str">
        <f>IF(Table14113[[#This Row],[In stock]] &gt;= Table14113[[#This Row],[Total quantity]],"YES","NO")</f>
        <v>YES</v>
      </c>
    </row>
    <row r="19" spans="1:10" x14ac:dyDescent="0.25">
      <c r="A19" s="47" t="s">
        <v>1018</v>
      </c>
      <c r="B19" s="38" t="str">
        <f>VLOOKUP(Table14113[[#This Row],[Man. Number]],Articles!A:F,COLUMN(Articles!$D$1)-COLUMN(Articles!$A$1)+1,FALSE)</f>
        <v>RES SMD 330 OHM 5% 0.4W 0805</v>
      </c>
      <c r="C19" s="38" t="str">
        <f>VLOOKUP(Table14113[[#This Row],[Man. Number]],Articles!A:F,COLUMN(Articles!$C$1)-COLUMN(Articles!$A$1)+1,FALSE)</f>
        <v>D101-009</v>
      </c>
      <c r="D19" s="4" t="s">
        <v>1065</v>
      </c>
      <c r="E19" s="38">
        <v>1</v>
      </c>
      <c r="F19" s="38">
        <f>VLOOKUP(Table14113[[#This Row],[Man. Number]],Articles!A:F,COLUMN(Articles!$F$1)-COLUMN(Articles!$A$1)+1,FALSE)</f>
        <v>9</v>
      </c>
      <c r="G19" s="38" t="str">
        <f>IF(Table14113[[#This Row],[In stock]] &gt;= Table14113[[#This Row],[Quantity]],"YES","NO")</f>
        <v>YES</v>
      </c>
      <c r="H19" s="38">
        <f>VLOOKUP(Table14113[[#This Row],[Man. Number]],Articles!A:J,COLUMN(Articles!$J$1)-COLUMN(Articles!$A$1)+1,FALSE)*Table14113[[#This Row],[Quantity]]</f>
        <v>0.1</v>
      </c>
      <c r="I19" s="38">
        <f>Table14113[[#This Row],[Quantity]]*$M$1</f>
        <v>2</v>
      </c>
      <c r="J19" s="38" t="str">
        <f>IF(Table14113[[#This Row],[In stock]] &gt;= Table14113[[#This Row],[Total quantity]],"YES","NO")</f>
        <v>YES</v>
      </c>
    </row>
    <row r="20" spans="1:10" x14ac:dyDescent="0.25">
      <c r="A20" s="47" t="s">
        <v>930</v>
      </c>
      <c r="B20" s="4" t="str">
        <f>VLOOKUP(Table14113[[#This Row],[Man. Number]],Articles!A:F,COLUMN(Articles!$D$1)-COLUMN(Articles!$A$1)+1,FALSE)</f>
        <v>RES SMD 10M OHM 5% 1/8W 0805</v>
      </c>
      <c r="C20" s="4" t="str">
        <f>VLOOKUP(Table14113[[#This Row],[Man. Number]],Articles!A:F,COLUMN(Articles!$C$1)-COLUMN(Articles!$A$1)+1,FALSE)</f>
        <v>D101-012</v>
      </c>
      <c r="D20" s="4" t="s">
        <v>1204</v>
      </c>
      <c r="E20" s="38">
        <v>1</v>
      </c>
      <c r="F20" s="4">
        <f>VLOOKUP(Table14113[[#This Row],[Man. Number]],Articles!A:F,COLUMN(Articles!$F$1)-COLUMN(Articles!$A$1)+1,FALSE)</f>
        <v>2</v>
      </c>
      <c r="G20" s="4" t="str">
        <f>IF(Table14113[[#This Row],[In stock]] &gt;= Table14113[[#This Row],[Quantity]],"YES","NO")</f>
        <v>YES</v>
      </c>
      <c r="H20" s="4">
        <f>VLOOKUP(Table14113[[#This Row],[Man. Number]],Articles!A:J,COLUMN(Articles!$J$1)-COLUMN(Articles!$A$1)+1,FALSE)*Table14113[[#This Row],[Quantity]]</f>
        <v>0.15</v>
      </c>
      <c r="I20" s="4">
        <f>Table14113[[#This Row],[Quantity]]*$M$1</f>
        <v>2</v>
      </c>
      <c r="J20" s="4" t="str">
        <f>IF(Table14113[[#This Row],[In stock]] &gt;= Table14113[[#This Row],[Total quantity]],"YES","NO")</f>
        <v>YES</v>
      </c>
    </row>
    <row r="21" spans="1:10" x14ac:dyDescent="0.25">
      <c r="A21" s="3">
        <v>1004068</v>
      </c>
      <c r="B21" s="4" t="e">
        <f>VLOOKUP(Table14113[[#This Row],[Man. Number]],Articles!A:F,COLUMN(Articles!$D$1)-COLUMN(Articles!$A$1)+1,FALSE)</f>
        <v>#N/A</v>
      </c>
      <c r="C21" s="4" t="e">
        <f>VLOOKUP(Table14113[[#This Row],[Man. Number]],Articles!A:F,COLUMN(Articles!$C$1)-COLUMN(Articles!$A$1)+1,FALSE)</f>
        <v>#N/A</v>
      </c>
      <c r="D21" s="4" t="s">
        <v>291</v>
      </c>
      <c r="E21" s="38">
        <v>1</v>
      </c>
      <c r="F21" s="4" t="e">
        <f>VLOOKUP(Table14113[[#This Row],[Man. Number]],Articles!A:F,COLUMN(Articles!$F$1)-COLUMN(Articles!$A$1)+1,FALSE)</f>
        <v>#N/A</v>
      </c>
      <c r="G21" s="4" t="e">
        <f>IF(Table14113[[#This Row],[In stock]] &gt;= Table14113[[#This Row],[Quantity]],"YES","NO")</f>
        <v>#N/A</v>
      </c>
      <c r="H21" s="4" t="e">
        <f>VLOOKUP(Table14113[[#This Row],[Man. Number]],Articles!A:J,COLUMN(Articles!$J$1)-COLUMN(Articles!$A$1)+1,FALSE)*Table14113[[#This Row],[Quantity]]</f>
        <v>#N/A</v>
      </c>
      <c r="I21" s="4">
        <f>Table14113[[#This Row],[Quantity]]*$M$1</f>
        <v>2</v>
      </c>
      <c r="J21" s="4" t="e">
        <f>IF(Table14113[[#This Row],[In stock]] &gt;= Table14113[[#This Row],[Total quantity]],"YES","NO")</f>
        <v>#N/A</v>
      </c>
    </row>
    <row r="22" spans="1:10" x14ac:dyDescent="0.25">
      <c r="A22" s="3" t="s">
        <v>39</v>
      </c>
      <c r="B22" s="4" t="str">
        <f>VLOOKUP(Table14113[[#This Row],[Man. Number]],Articles!A:F,COLUMN(Articles!$D$1)-COLUMN(Articles!$A$1)+1,FALSE)</f>
        <v>Transistor MOSFET, Canal P, -7.1 A, -12 V, 28.5 mohm, -4.5 V, -400 mV</v>
      </c>
      <c r="C22" s="4" t="str">
        <f>VLOOKUP(Table14113[[#This Row],[Man. Number]],Articles!A:F,COLUMN(Articles!$C$1)-COLUMN(Articles!$A$1)+1,FALSE)</f>
        <v>D001-001</v>
      </c>
      <c r="D22" s="4" t="s">
        <v>280</v>
      </c>
      <c r="E22" s="38">
        <v>2</v>
      </c>
      <c r="F22" s="4">
        <f>VLOOKUP(Table14113[[#This Row],[Man. Number]],Articles!A:F,COLUMN(Articles!$F$1)-COLUMN(Articles!$A$1)+1,FALSE)</f>
        <v>22</v>
      </c>
      <c r="G22" s="4" t="str">
        <f>IF(Table14113[[#This Row],[In stock]] &gt;= Table14113[[#This Row],[Quantity]],"YES","NO")</f>
        <v>YES</v>
      </c>
      <c r="H22" s="4">
        <f>VLOOKUP(Table14113[[#This Row],[Man. Number]],Articles!A:J,COLUMN(Articles!$J$1)-COLUMN(Articles!$A$1)+1,FALSE)*Table14113[[#This Row],[Quantity]]</f>
        <v>1.1399999999999999</v>
      </c>
      <c r="I22" s="4">
        <f>Table14113[[#This Row],[Quantity]]*$M$1</f>
        <v>4</v>
      </c>
      <c r="J22" s="4" t="str">
        <f>IF(Table14113[[#This Row],[In stock]] &gt;= Table14113[[#This Row],[Total quantity]],"YES","NO")</f>
        <v>YES</v>
      </c>
    </row>
    <row r="23" spans="1:10" x14ac:dyDescent="0.25">
      <c r="A23" s="3" t="s">
        <v>42</v>
      </c>
      <c r="B23" s="4" t="str">
        <f>VLOOKUP(Table14113[[#This Row],[Man. Number]],Articles!A:F,COLUMN(Articles!$D$1)-COLUMN(Articles!$A$1)+1,FALSE)</f>
        <v>Transistor MOSFET, Canal N, 2.2 A, 30 V, 65 mohm, 4.5 V, 700 mV</v>
      </c>
      <c r="C23" s="4" t="str">
        <f>VLOOKUP(Table14113[[#This Row],[Man. Number]],Articles!A:F,COLUMN(Articles!$C$1)-COLUMN(Articles!$A$1)+1,FALSE)</f>
        <v>D001-000</v>
      </c>
      <c r="D23" s="4" t="s">
        <v>1132</v>
      </c>
      <c r="E23" s="38">
        <v>1</v>
      </c>
      <c r="F23" s="4">
        <f>VLOOKUP(Table14113[[#This Row],[Man. Number]],Articles!A:F,COLUMN(Articles!$F$1)-COLUMN(Articles!$A$1)+1,FALSE)</f>
        <v>14</v>
      </c>
      <c r="G23" s="4" t="str">
        <f>IF(Table14113[[#This Row],[In stock]] &gt;= Table14113[[#This Row],[Quantity]],"YES","NO")</f>
        <v>YES</v>
      </c>
      <c r="H23" s="4">
        <f>VLOOKUP(Table14113[[#This Row],[Man. Number]],Articles!A:J,COLUMN(Articles!$J$1)-COLUMN(Articles!$A$1)+1,FALSE)*Table14113[[#This Row],[Quantity]]</f>
        <v>0.55000000000000004</v>
      </c>
      <c r="I23" s="4">
        <f>Table14113[[#This Row],[Quantity]]*$M$1</f>
        <v>2</v>
      </c>
      <c r="J23" s="4" t="str">
        <f>IF(Table14113[[#This Row],[In stock]] &gt;= Table14113[[#This Row],[Total quantity]],"YES","NO")</f>
        <v>YES</v>
      </c>
    </row>
    <row r="24" spans="1:10" x14ac:dyDescent="0.25">
      <c r="A24" s="3" t="s">
        <v>20</v>
      </c>
      <c r="B24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VLOOKUP(Table14113[[#This Row],[Man. Number]],Articles!A:F,COLUMN(Articles!$C$1)-COLUMN(Articles!$A$1)+1,FALSE)</f>
        <v>D001-014</v>
      </c>
      <c r="D24" s="4" t="s">
        <v>274</v>
      </c>
      <c r="E24" s="38">
        <v>1</v>
      </c>
      <c r="F24" s="4">
        <f>VLOOKUP(Table14113[[#This Row],[Man. Number]],Articles!A:F,COLUMN(Articles!$F$1)-COLUMN(Articles!$A$1)+1,FALSE)</f>
        <v>8</v>
      </c>
      <c r="G24" s="4" t="str">
        <f>IF(Table14113[[#This Row],[In stock]] &gt;= Table14113[[#This Row],[Quantity]],"YES","NO")</f>
        <v>YES</v>
      </c>
      <c r="H24" s="4">
        <f>VLOOKUP(Table14113[[#This Row],[Man. Number]],Articles!A:J,COLUMN(Articles!$J$1)-COLUMN(Articles!$A$1)+1,FALSE)*Table14113[[#This Row],[Quantity]]</f>
        <v>0.57499999999999996</v>
      </c>
      <c r="I24" s="4">
        <f>Table14113[[#This Row],[Quantity]]*$M$1</f>
        <v>2</v>
      </c>
      <c r="J24" s="4" t="str">
        <f>IF(Table14113[[#This Row],[In stock]] &gt;= Table14113[[#This Row],[Total quantity]],"YES","NO")</f>
        <v>YES</v>
      </c>
    </row>
    <row r="25" spans="1:10" x14ac:dyDescent="0.25">
      <c r="A25" s="3" t="s">
        <v>22</v>
      </c>
      <c r="B25" s="4" t="str">
        <f>VLOOKUP(Table14113[[#This Row],[Man. Number]],Articles!A:F,COLUMN(Articles!$D$1)-COLUMN(Articles!$A$1)+1,FALSE)</f>
        <v>Superviseur, Reset drain ouvert, actif à l'état bas, 1V-5.5Vin</v>
      </c>
      <c r="C25" s="4" t="str">
        <f>VLOOKUP(Table14113[[#This Row],[Man. Number]],Articles!A:F,COLUMN(Articles!$C$1)-COLUMN(Articles!$A$1)+1,FALSE)</f>
        <v>D001-013</v>
      </c>
      <c r="D25" s="4" t="s">
        <v>276</v>
      </c>
      <c r="E25" s="38">
        <v>1</v>
      </c>
      <c r="F25" s="4">
        <f>VLOOKUP(Table14113[[#This Row],[Man. Number]],Articles!A:F,COLUMN(Articles!$F$1)-COLUMN(Articles!$A$1)+1,FALSE)</f>
        <v>3</v>
      </c>
      <c r="G25" s="4" t="str">
        <f>IF(Table14113[[#This Row],[In stock]] &gt;= Table14113[[#This Row],[Quantity]],"YES","NO")</f>
        <v>YES</v>
      </c>
      <c r="H25" s="4">
        <f>VLOOKUP(Table14113[[#This Row],[Man. Number]],Articles!A:J,COLUMN(Articles!$J$1)-COLUMN(Articles!$A$1)+1,FALSE)*Table14113[[#This Row],[Quantity]]</f>
        <v>0.52</v>
      </c>
      <c r="I25" s="4">
        <f>Table14113[[#This Row],[Quantity]]*$M$1</f>
        <v>2</v>
      </c>
      <c r="J25" s="4" t="str">
        <f>IF(Table14113[[#This Row],[In stock]] &gt;= Table14113[[#This Row],[Total quantity]],"YES","NO")</f>
        <v>YES</v>
      </c>
    </row>
    <row r="26" spans="1:10" x14ac:dyDescent="0.25">
      <c r="A26" s="3" t="s">
        <v>24</v>
      </c>
      <c r="B26" s="4" t="str">
        <f>VLOOKUP(Table14113[[#This Row],[Man. Number]],Articles!A:F,COLUMN(Articles!$D$1)-COLUMN(Articles!$A$1)+1,FALSE)</f>
        <v>Régulateur LDO, Fixe, Entrée 1.7 V à 5,5 V, Sortie 3.3 V/300 mA, Chute de 150 mV</v>
      </c>
      <c r="C26" s="4" t="str">
        <f>VLOOKUP(Table14113[[#This Row],[Man. Number]],Articles!A:F,COLUMN(Articles!$C$1)-COLUMN(Articles!$A$1)+1,FALSE)</f>
        <v>D001-015</v>
      </c>
      <c r="D26" s="4" t="s">
        <v>277</v>
      </c>
      <c r="E26" s="38">
        <v>1</v>
      </c>
      <c r="F26" s="4">
        <f>VLOOKUP(Table14113[[#This Row],[Man. Number]],Articles!A:F,COLUMN(Articles!$F$1)-COLUMN(Articles!$A$1)+1,FALSE)</f>
        <v>16</v>
      </c>
      <c r="G26" s="4" t="str">
        <f>IF(Table14113[[#This Row],[In stock]] &gt;= Table14113[[#This Row],[Quantity]],"YES","NO")</f>
        <v>YES</v>
      </c>
      <c r="H26" s="4">
        <f>VLOOKUP(Table14113[[#This Row],[Man. Number]],Articles!A:J,COLUMN(Articles!$J$1)-COLUMN(Articles!$A$1)+1,FALSE)*Table14113[[#This Row],[Quantity]]</f>
        <v>0.35</v>
      </c>
      <c r="I26" s="4">
        <f>Table14113[[#This Row],[Quantity]]*$M$1</f>
        <v>2</v>
      </c>
      <c r="J26" s="4" t="str">
        <f>IF(Table14113[[#This Row],[In stock]] &gt;= Table14113[[#This Row],[Total quantity]],"YES","NO")</f>
        <v>YES</v>
      </c>
    </row>
    <row r="27" spans="1:10" x14ac:dyDescent="0.25">
      <c r="A27" s="3" t="s">
        <v>466</v>
      </c>
      <c r="B27" s="4" t="str">
        <f>VLOOKUP(Table14113[[#This Row],[Man. Number]],Articles!A:F,COLUMN(Articles!$D$1)-COLUMN(Articles!$A$1)+1,FALSE)</f>
        <v>General ISM &lt; 1GHz  Transceiver Module 868MHz Integrated, Trace Surface Mount</v>
      </c>
      <c r="C27" s="4" t="str">
        <f>VLOOKUP(Table14113[[#This Row],[Man. Number]],Articles!A:F,COLUMN(Articles!$C$1)-COLUMN(Articles!$A$1)+1,FALSE)</f>
        <v>None</v>
      </c>
      <c r="D27" s="4" t="s">
        <v>293</v>
      </c>
      <c r="E27" s="38">
        <v>1</v>
      </c>
      <c r="F27" s="4">
        <f>VLOOKUP(Table14113[[#This Row],[Man. Number]],Articles!A:F,COLUMN(Articles!$F$1)-COLUMN(Articles!$A$1)+1,FALSE)</f>
        <v>0</v>
      </c>
      <c r="G27" s="4" t="str">
        <f>IF(Table14113[[#This Row],[In stock]] &gt;= Table14113[[#This Row],[Quantity]],"YES","NO")</f>
        <v>NO</v>
      </c>
      <c r="H27" s="4">
        <f>VLOOKUP(Table14113[[#This Row],[Man. Number]],Articles!A:J,COLUMN(Articles!$J$1)-COLUMN(Articles!$A$1)+1,FALSE)*Table14113[[#This Row],[Quantity]]</f>
        <v>8.19</v>
      </c>
      <c r="I27" s="4">
        <f>Table14113[[#This Row],[Quantity]]*$M$1</f>
        <v>2</v>
      </c>
      <c r="J27" s="4" t="str">
        <f>IF(Table14113[[#This Row],[In stock]] &gt;= Table14113[[#This Row],[Total quantity]],"YES","NO")</f>
        <v>NO</v>
      </c>
    </row>
    <row r="28" spans="1:10" x14ac:dyDescent="0.25">
      <c r="A28" s="47" t="s">
        <v>133</v>
      </c>
      <c r="B28" s="4" t="str">
        <f>VLOOKUP(Table14113[[#This Row],[Man. Number]],Articles!A:F,COLUMN(Articles!$D$1)-COLUMN(Articles!$A$1)+1,FALSE)</f>
        <v>IC MCU 8BIT 7KB FLASH 20SSOP</v>
      </c>
      <c r="C28" s="4" t="str">
        <f>VLOOKUP(Table14113[[#This Row],[Man. Number]],Articles!A:F,COLUMN(Articles!$C$1)-COLUMN(Articles!$A$1)+1,FALSE)</f>
        <v>D001-025</v>
      </c>
      <c r="D28" s="4" t="s">
        <v>290</v>
      </c>
      <c r="E28" s="38">
        <v>1</v>
      </c>
      <c r="F28" s="4">
        <f>VLOOKUP(Table14113[[#This Row],[Man. Number]],Articles!A:F,COLUMN(Articles!$F$1)-COLUMN(Articles!$A$1)+1,FALSE)</f>
        <v>2</v>
      </c>
      <c r="G28" s="4" t="str">
        <f>IF(Table14113[[#This Row],[In stock]] &gt;= Table14113[[#This Row],[Quantity]],"YES","NO")</f>
        <v>YES</v>
      </c>
      <c r="H28" s="4">
        <f>VLOOKUP(Table14113[[#This Row],[Man. Number]],Articles!A:J,COLUMN(Articles!$J$1)-COLUMN(Articles!$A$1)+1,FALSE)*Table14113[[#This Row],[Quantity]]</f>
        <v>1.47</v>
      </c>
      <c r="I28" s="4">
        <f>Table14113[[#This Row],[Quantity]]*$M$1</f>
        <v>2</v>
      </c>
      <c r="J28" s="4" t="str">
        <f>IF(Table14113[[#This Row],[In stock]] &gt;= Table14113[[#This Row],[Total quantity]],"YES","NO")</f>
        <v>YES</v>
      </c>
    </row>
    <row r="29" spans="1:10" x14ac:dyDescent="0.25">
      <c r="A29" s="3" t="s">
        <v>1124</v>
      </c>
      <c r="B29" s="4" t="str">
        <f>VLOOKUP(Table14113[[#This Row],[Man. Number]],Articles!A:F,COLUMN(Articles!$D$1)-COLUMN(Articles!$A$1)+1,FALSE)</f>
        <v>Temperature Sensor Analog, Local -40°C ~ 125°C 10mV/°C SOT-23-3</v>
      </c>
      <c r="C29" s="4" t="str">
        <f>VLOOKUP(Table14113[[#This Row],[Man. Number]],Articles!A:F,COLUMN(Articles!$C$1)-COLUMN(Articles!$A$1)+1,FALSE)</f>
        <v>D001-020</v>
      </c>
      <c r="D29" s="4" t="s">
        <v>273</v>
      </c>
      <c r="E29" s="38">
        <v>1</v>
      </c>
      <c r="F29" s="4">
        <f>VLOOKUP(Table14113[[#This Row],[Man. Number]],Articles!A:F,COLUMN(Articles!$F$1)-COLUMN(Articles!$A$1)+1,FALSE)</f>
        <v>2</v>
      </c>
      <c r="G29" s="4" t="str">
        <f>IF(Table14113[[#This Row],[In stock]] &gt;= Table14113[[#This Row],[Quantity]],"YES","NO")</f>
        <v>YES</v>
      </c>
      <c r="H29" s="4">
        <f>VLOOKUP(Table14113[[#This Row],[Man. Number]],Articles!A:J,COLUMN(Articles!$J$1)-COLUMN(Articles!$A$1)+1,FALSE)*Table14113[[#This Row],[Quantity]]</f>
        <v>0.32</v>
      </c>
      <c r="I29" s="4">
        <f>Table14113[[#This Row],[Quantity]]*$M$1</f>
        <v>2</v>
      </c>
      <c r="J29" s="4" t="str">
        <f>IF(Table14113[[#This Row],[In stock]] &gt;= Table14113[[#This Row],[Total quantity]],"YES","NO")</f>
        <v>YES</v>
      </c>
    </row>
    <row r="30" spans="1:10" x14ac:dyDescent="0.25">
      <c r="A30" s="47" t="s">
        <v>1116</v>
      </c>
      <c r="B30" s="4" t="str">
        <f>VLOOKUP(Table14113[[#This Row],[Man. Number]],Articles!A:F,COLUMN(Articles!$D$1)-COLUMN(Articles!$A$1)+1,FALSE)</f>
        <v>Linear Voltage Regulator IC Positive Fixed 1 Output  2A 6-DFN (3x3)</v>
      </c>
      <c r="C30" s="4" t="str">
        <f>VLOOKUP(Table14113[[#This Row],[Man. Number]],Articles!A:F,COLUMN(Articles!$C$1)-COLUMN(Articles!$A$1)+1,FALSE)</f>
        <v>D001-023</v>
      </c>
      <c r="D30" s="4" t="s">
        <v>1133</v>
      </c>
      <c r="E30" s="38">
        <v>1</v>
      </c>
      <c r="F30" s="4">
        <f>VLOOKUP(Table14113[[#This Row],[Man. Number]],Articles!A:F,COLUMN(Articles!$F$1)-COLUMN(Articles!$A$1)+1,FALSE)</f>
        <v>2</v>
      </c>
      <c r="G30" s="4" t="str">
        <f>IF(Table14113[[#This Row],[In stock]] &gt;= Table14113[[#This Row],[Quantity]],"YES","NO")</f>
        <v>YES</v>
      </c>
      <c r="H30" s="4">
        <f>VLOOKUP(Table14113[[#This Row],[Man. Number]],Articles!A:J,COLUMN(Articles!$J$1)-COLUMN(Articles!$A$1)+1,FALSE)*Table14113[[#This Row],[Quantity]]</f>
        <v>0.9</v>
      </c>
      <c r="I30" s="4">
        <f>Table14113[[#This Row],[Quantity]]*$M$1</f>
        <v>2</v>
      </c>
      <c r="J30" s="4" t="str">
        <f>IF(Table14113[[#This Row],[In stock]] &gt;= Table14113[[#This Row],[Total quantity]],"YES","NO")</f>
        <v>YES</v>
      </c>
    </row>
    <row r="31" spans="1:10" x14ac:dyDescent="0.25">
      <c r="A31" s="3">
        <v>965083</v>
      </c>
      <c r="B31" s="4" t="e">
        <f>VLOOKUP(Table14113[[#This Row],[Man. Number]],Articles!A:F,COLUMN(Articles!$D$1)-COLUMN(Articles!$A$1)+1,FALSE)</f>
        <v>#N/A</v>
      </c>
      <c r="C31" s="4" t="e">
        <f>VLOOKUP(Table14113[[#This Row],[Man. Number]],Articles!A:F,COLUMN(Articles!$C$1)-COLUMN(Articles!$A$1)+1,FALSE)</f>
        <v>#N/A</v>
      </c>
      <c r="D31" s="4" t="s">
        <v>292</v>
      </c>
      <c r="E31" s="38">
        <f>1/5</f>
        <v>0.2</v>
      </c>
      <c r="F31" s="4" t="e">
        <f>VLOOKUP(Table14113[[#This Row],[Man. Number]],Articles!A:F,COLUMN(Articles!$F$1)-COLUMN(Articles!$A$1)+1,FALSE)</f>
        <v>#N/A</v>
      </c>
      <c r="G31" s="4" t="e">
        <f>IF(Table14113[[#This Row],[In stock]] &gt;= Table14113[[#This Row],[Quantity]],"YES","NO")</f>
        <v>#N/A</v>
      </c>
      <c r="H31" s="4" t="e">
        <f>VLOOKUP(Table14113[[#This Row],[Man. Number]],Articles!A:J,COLUMN(Articles!$J$1)-COLUMN(Articles!$A$1)+1,FALSE)*Table14113[[#This Row],[Quantity]]</f>
        <v>#N/A</v>
      </c>
      <c r="I31" s="4">
        <f>Table14113[[#This Row],[Quantity]]*$M$1</f>
        <v>0.4</v>
      </c>
      <c r="J31" s="4" t="e">
        <f>IF(Table14113[[#This Row],[In stock]] &gt;= Table14113[[#This Row],[Total quantity]],"YES","NO")</f>
        <v>#N/A</v>
      </c>
    </row>
    <row r="32" spans="1:10" x14ac:dyDescent="0.25">
      <c r="A32" s="3">
        <v>90990</v>
      </c>
      <c r="B32" s="4" t="e">
        <f>VLOOKUP(Table14113[[#This Row],[Man. Number]],Articles!A:F,COLUMN(Articles!$D$1)-COLUMN(Articles!$A$1)+1,FALSE)</f>
        <v>#N/A</v>
      </c>
      <c r="C32" s="4" t="e">
        <f>VLOOKUP(Table14113[[#This Row],[Man. Number]],Articles!A:F,COLUMN(Articles!$C$1)-COLUMN(Articles!$A$1)+1,FALSE)</f>
        <v>#N/A</v>
      </c>
      <c r="D32" s="4" t="s">
        <v>292</v>
      </c>
      <c r="E32" s="38">
        <f>1/2</f>
        <v>0.5</v>
      </c>
      <c r="F32" s="4" t="e">
        <f>VLOOKUP(Table14113[[#This Row],[Man. Number]],Articles!A:F,COLUMN(Articles!$F$1)-COLUMN(Articles!$A$1)+1,FALSE)</f>
        <v>#N/A</v>
      </c>
      <c r="G32" s="4" t="e">
        <f>IF(Table14113[[#This Row],[In stock]] &gt;= Table14113[[#This Row],[Quantity]],"YES","NO")</f>
        <v>#N/A</v>
      </c>
      <c r="H32" s="4" t="e">
        <f>VLOOKUP(Table14113[[#This Row],[Man. Number]],Articles!A:J,COLUMN(Articles!$J$1)-COLUMN(Articles!$A$1)+1,FALSE)*Table14113[[#This Row],[Quantity]]</f>
        <v>#N/A</v>
      </c>
      <c r="I32" s="4">
        <f>Table14113[[#This Row],[Quantity]]*$M$1</f>
        <v>1</v>
      </c>
      <c r="J32" s="4" t="e">
        <f>IF(Table14113[[#This Row],[In stock]] &gt;= Table14113[[#This Row],[Total quantity]],"YES","NO")</f>
        <v>#N/A</v>
      </c>
    </row>
    <row r="33" spans="1:10" x14ac:dyDescent="0.25">
      <c r="A33" s="47" t="s">
        <v>542</v>
      </c>
      <c r="B33" s="38" t="str">
        <f>VLOOKUP(Table14113[[#This Row],[Man. Number]],Articles!A:F,COLUMN(Articles!$D$1)-COLUMN(Articles!$A$1)+1,FALSE)</f>
        <v>Connector Header Through Hole, male, 36 position 0.100" (2.54mm)</v>
      </c>
      <c r="C33" s="38" t="str">
        <f>VLOOKUP(Table14113[[#This Row],[Man. Number]],Articles!A:F,COLUMN(Articles!$C$1)-COLUMN(Articles!$A$1)+1,FALSE)</f>
        <v>None</v>
      </c>
      <c r="D33" s="4" t="s">
        <v>1206</v>
      </c>
      <c r="E33" s="38">
        <f>(3*2+5)/36</f>
        <v>0.30555555555555558</v>
      </c>
      <c r="F33" s="38">
        <f>VLOOKUP(Table14113[[#This Row],[Man. Number]],Articles!A:F,COLUMN(Articles!$F$1)-COLUMN(Articles!$A$1)+1,FALSE)</f>
        <v>2.5</v>
      </c>
      <c r="G33" s="38" t="str">
        <f>IF(Table14113[[#This Row],[In stock]] &gt;= Table14113[[#This Row],[Quantity]],"YES","NO")</f>
        <v>YES</v>
      </c>
      <c r="H33" s="38">
        <f>VLOOKUP(Table14113[[#This Row],[Man. Number]],Articles!A:J,COLUMN(Articles!$J$1)-COLUMN(Articles!$A$1)+1,FALSE)*Table14113[[#This Row],[Quantity]]</f>
        <v>0.3116666666666667</v>
      </c>
      <c r="I33" s="38">
        <f>Table14113[[#This Row],[Quantity]]*$M$1</f>
        <v>0.61111111111111116</v>
      </c>
      <c r="J33" s="38" t="str">
        <f>IF(Table14113[[#This Row],[In stock]] &gt;= Table14113[[#This Row],[Total quantity]],"YES","NO")</f>
        <v>YES</v>
      </c>
    </row>
    <row r="34" spans="1:10" x14ac:dyDescent="0.25">
      <c r="A34" s="4" t="s">
        <v>70</v>
      </c>
      <c r="B34" s="4" t="str">
        <f>VLOOKUP(Table14113[[#This Row],[Man. Number]],Articles!A:F,COLUMN(Articles!$D$1)-COLUMN(Articles!$A$1)+1,FALSE)</f>
        <v>AUDIO PIEZO INDICATOR 2-5V TH</v>
      </c>
      <c r="C34" s="4" t="str">
        <f>VLOOKUP(Table14113[[#This Row],[Man. Number]],Articles!A:F,COLUMN(Articles!$C$1)-COLUMN(Articles!$A$1)+1,FALSE)</f>
        <v>None</v>
      </c>
      <c r="D34" s="4" t="s">
        <v>289</v>
      </c>
      <c r="E34" s="38">
        <v>1</v>
      </c>
      <c r="F34" s="4">
        <f>VLOOKUP(Table14113[[#This Row],[Man. Number]],Articles!A:F,COLUMN(Articles!$F$1)-COLUMN(Articles!$A$1)+1,FALSE)</f>
        <v>1</v>
      </c>
      <c r="G34" s="4" t="str">
        <f>IF(Table14113[[#This Row],[In stock]] &gt;= Table14113[[#This Row],[Quantity]],"YES","NO")</f>
        <v>YES</v>
      </c>
      <c r="H34" s="4">
        <f>VLOOKUP(Table14113[[#This Row],[Man. Number]],Articles!A:J,COLUMN(Articles!$J$1)-COLUMN(Articles!$A$1)+1,FALSE)*Table14113[[#This Row],[Quantity]]</f>
        <v>2.98</v>
      </c>
      <c r="I34" s="4">
        <f>Table14113[[#This Row],[Quantity]]*$M$1</f>
        <v>2</v>
      </c>
      <c r="J34" s="4" t="str">
        <f>IF(Table14113[[#This Row],[In stock]] &gt;= Table14113[[#This Row],[Total quantity]],"YES","NO")</f>
        <v>NO</v>
      </c>
    </row>
    <row r="35" spans="1:10" x14ac:dyDescent="0.25">
      <c r="A35" s="4" t="s">
        <v>448</v>
      </c>
      <c r="G35" s="4"/>
      <c r="H35" s="4" t="e">
        <f>SUBTOTAL(109,Table14113[Unit Price])</f>
        <v>#N/A</v>
      </c>
      <c r="I35" s="4"/>
      <c r="J35" s="4"/>
    </row>
  </sheetData>
  <sheetProtection sheet="1" objects="1" scenarios="1"/>
  <conditionalFormatting sqref="A1:A5 A7:A12 A14:A1048576">
    <cfRule type="duplicateValues" dxfId="33" priority="5"/>
  </conditionalFormatting>
  <conditionalFormatting sqref="G1:H1048576 J1:J1048576">
    <cfRule type="containsText" dxfId="32" priority="6" operator="containsText" text="NO">
      <formula>NOT(ISERROR(SEARCH("NO",G1)))</formula>
    </cfRule>
  </conditionalFormatting>
  <conditionalFormatting sqref="N1">
    <cfRule type="cellIs" dxfId="31" priority="3" stopIfTrue="1" operator="equal">
      <formula>"Locked"</formula>
    </cfRule>
    <cfRule type="cellIs" dxfId="30" priority="4" stopIfTrue="1" operator="equal">
      <formula>"Unlocked"</formula>
    </cfRule>
  </conditionalFormatting>
  <conditionalFormatting sqref="A13">
    <cfRule type="duplicateValues" dxfId="29" priority="1"/>
  </conditionalFormatting>
  <dataValidations count="1">
    <dataValidation type="whole" errorStyle="warning" operator="greaterThan" showErrorMessage="1" errorTitle="Invalid value" error="The multiplier has to be a whole number greater than 0." sqref="M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638175</xdr:colOff>
                    <xdr:row>1</xdr:row>
                    <xdr:rowOff>180975</xdr:rowOff>
                  </from>
                  <to>
                    <xdr:col>13</xdr:col>
                    <xdr:colOff>590550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638175</xdr:colOff>
                    <xdr:row>4</xdr:row>
                    <xdr:rowOff>180975</xdr:rowOff>
                  </from>
                  <to>
                    <xdr:col>13</xdr:col>
                    <xdr:colOff>590550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N45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1</v>
      </c>
      <c r="N1" t="s">
        <v>1107</v>
      </c>
    </row>
    <row r="2" spans="1:14" x14ac:dyDescent="0.25">
      <c r="A2" s="4" t="s">
        <v>144</v>
      </c>
      <c r="B2" s="4" t="str">
        <f>VLOOKUP(Table1411[[#This Row],[Man. Number]],Articles!A:F,COLUMN(Articles!$D$1)-COLUMN(Articles!$A$1)+1,FALSE)</f>
        <v>BOX PLASTIC GRY/CLR 4.9"LX4.92"W</v>
      </c>
      <c r="C2" s="4" t="str">
        <f>VLOOKUP(Table1411[[#This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VLOOKUP(Table1411[[#This Row],[Man. Number]],Articles!A:F,COLUMN(Articles!$F$1)-COLUMN(Articles!$A$1)+1,FALSE)</f>
        <v>1</v>
      </c>
      <c r="G2" s="4" t="str">
        <f>IF(Table1411[[#This Row],[In stock]] &gt;= Table1411[[#This Row],[Quantity]],"YES","NO")</f>
        <v>YES</v>
      </c>
      <c r="H2" s="4">
        <f>VLOOKUP(Table1411[[#This Row],[Man. Number]],Articles!A:J,COLUMN(Articles!$J$1)-COLUMN(Articles!$A$1)+1,FALSE)*Table1411[[#This Row],[Quantity]]</f>
        <v>15.9</v>
      </c>
      <c r="I2" s="4">
        <f>Table1411[[#This Row],[Quantity]]*$M$1</f>
        <v>1</v>
      </c>
      <c r="J2" s="4" t="str">
        <f>IF(Table1411[[#This Row],[In stock]] &gt;= Table1411[[#This Row],[Total quantity]],"YES","NO")</f>
        <v>YES</v>
      </c>
    </row>
    <row r="3" spans="1:14" x14ac:dyDescent="0.25">
      <c r="A3" s="3" t="s">
        <v>104</v>
      </c>
      <c r="B3" s="4" t="str">
        <f>VLOOKUP(Table1411[[#This Row],[Man. Number]],Articles!A:F,COLUMN(Articles!$D$1)-COLUMN(Articles!$A$1)+1,FALSE)</f>
        <v>Cavalier (barre bus), Shunt, Shunt, Embases au pas de 0.100", 2 Voies, 2.54 mm</v>
      </c>
      <c r="C3" s="4" t="str">
        <f>VLOOKUP(Table1411[[#This Row],[Man. Number]],Articles!A:F,COLUMN(Articles!$C$1)-COLUMN(Articles!$A$1)+1,FALSE)</f>
        <v>D200-007</v>
      </c>
      <c r="D3" s="4" t="s">
        <v>58</v>
      </c>
      <c r="E3" s="4">
        <v>19</v>
      </c>
      <c r="F3" s="4">
        <f>VLOOKUP(Table1411[[#This Row],[Man. Number]],Articles!A:F,COLUMN(Articles!$F$1)-COLUMN(Articles!$A$1)+1,FALSE)</f>
        <v>100</v>
      </c>
      <c r="G3" s="4" t="str">
        <f>IF(Table1411[[#This Row],[In stock]] &gt;= Table1411[[#This Row],[Quantity]],"YES","NO")</f>
        <v>YES</v>
      </c>
      <c r="H3" s="4">
        <f>VLOOKUP(Table1411[[#This Row],[Man. Number]],Articles!A:J,COLUMN(Articles!$J$1)-COLUMN(Articles!$A$1)+1,FALSE)*Table1411[[#This Row],[Quantity]]</f>
        <v>4.9400000000000004</v>
      </c>
      <c r="I3" s="4">
        <f>Table1411[[#This Row],[Quantity]]*$M$1</f>
        <v>19</v>
      </c>
      <c r="J3" s="4" t="str">
        <f>IF(Table1411[[#This Row],[In stock]] &gt;= Table1411[[#This Row],[Total quantity]],"YES","NO")</f>
        <v>YES</v>
      </c>
    </row>
    <row r="4" spans="1:14" x14ac:dyDescent="0.25">
      <c r="A4" s="3" t="s">
        <v>428</v>
      </c>
      <c r="B4" s="4" t="str">
        <f>VLOOKUP(Table1411[[#This Row],[Man. Number]],Articles!A:F,COLUMN(Articles!$D$1)-COLUMN(Articles!$A$1)+1,FALSE)</f>
        <v>Connecteur carte-à-carte, femelle, 2.54 mm, 36 Contact(s), Embase</v>
      </c>
      <c r="C4" s="4" t="str">
        <f>VLOOKUP(Table1411[[#This Row],[Man. Number]],Articles!A:F,COLUMN(Articles!$C$1)-COLUMN(Articles!$A$1)+1,FALSE)</f>
        <v>D200-011</v>
      </c>
      <c r="D4" s="4" t="s">
        <v>58</v>
      </c>
      <c r="E4" s="4">
        <v>0.63888888888888884</v>
      </c>
      <c r="F4" s="4">
        <f>VLOOKUP(Table1411[[#This Row],[Man. Number]],Articles!A:F,COLUMN(Articles!$F$1)-COLUMN(Articles!$A$1)+1,FALSE)</f>
        <v>2.3050000000000002</v>
      </c>
      <c r="G4" s="4" t="str">
        <f>IF(Table1411[[#This Row],[In stock]] &gt;= Table1411[[#This Row],[Quantity]],"YES","NO")</f>
        <v>YES</v>
      </c>
      <c r="H4" s="4">
        <f>VLOOKUP(Table1411[[#This Row],[Man. Number]],Articles!A:J,COLUMN(Articles!$J$1)-COLUMN(Articles!$A$1)+1,FALSE)*Table1411[[#This Row],[Quantity]]</f>
        <v>1.9933333333333332</v>
      </c>
      <c r="I4" s="4">
        <f>Table1411[[#This Row],[Quantity]]*$M$1</f>
        <v>0.63888888888888884</v>
      </c>
      <c r="J4" s="4" t="str">
        <f>IF(Table1411[[#This Row],[In stock]] &gt;= Table1411[[#This Row],[Total quantity]],"YES","NO")</f>
        <v>YES</v>
      </c>
    </row>
    <row r="5" spans="1:14" x14ac:dyDescent="0.25">
      <c r="A5" s="3" t="s">
        <v>1127</v>
      </c>
      <c r="B5" s="4" t="str">
        <f>VLOOKUP(Table1411[[#This Row],[Man. Number]],Articles!A:F,COLUMN(Articles!$D$1)-COLUMN(Articles!$A$1)+1,FALSE)</f>
        <v>PCB Lampe solaire v5</v>
      </c>
      <c r="C5" s="4" t="str">
        <f>VLOOKUP(Table1411[[#This Row],[Man. Number]],Articles!A:F,COLUMN(Articles!$C$1)-COLUMN(Articles!$A$1)+1,FALSE)</f>
        <v>None</v>
      </c>
      <c r="D5" s="4" t="s">
        <v>58</v>
      </c>
      <c r="E5" s="4">
        <v>1</v>
      </c>
      <c r="F5" s="4">
        <f>VLOOKUP(Table1411[[#This Row],[Man. Number]],Articles!A:F,COLUMN(Articles!$F$1)-COLUMN(Articles!$A$1)+1,FALSE)</f>
        <v>5</v>
      </c>
      <c r="G5" s="4" t="str">
        <f>IF(Table1411[[#This Row],[In stock]] &gt;= Table1411[[#This Row],[Quantity]],"YES","NO")</f>
        <v>YES</v>
      </c>
      <c r="H5" s="4">
        <f>VLOOKUP(Table1411[[#This Row],[Man. Number]],Articles!A:J,COLUMN(Articles!$J$1)-COLUMN(Articles!$A$1)+1,FALSE)*Table1411[[#This Row],[Quantity]]</f>
        <v>0</v>
      </c>
      <c r="I5" s="4">
        <f>Table1411[[#This Row],[Quantity]]*$M$1</f>
        <v>1</v>
      </c>
      <c r="J5" s="4" t="str">
        <f>IF(Table1411[[#This Row],[In stock]] &gt;= Table1411[[#This Row],[Total quantity]],"YES","NO")</f>
        <v>YES</v>
      </c>
    </row>
    <row r="6" spans="1:14" x14ac:dyDescent="0.25">
      <c r="A6" s="3" t="s">
        <v>12</v>
      </c>
      <c r="B6" s="4" t="str">
        <f>VLOOKUP(Table1411[[#This Row],[Man. Number]],Articles!A:F,COLUMN(Articles!$D$1)-COLUMN(Articles!$A$1)+1,FALSE)</f>
        <v>Condensateur électrolytique, 4.7 µF, 35 V, Série MCGPR, ± 20%, À sorties radiales, 5 mm</v>
      </c>
      <c r="C6" s="4" t="str">
        <f>VLOOKUP(Table1411[[#This Row],[Man. Number]],Articles!A:F,COLUMN(Articles!$C$1)-COLUMN(Articles!$A$1)+1,FALSE)</f>
        <v>D200-000</v>
      </c>
      <c r="D6" s="4" t="s">
        <v>1061</v>
      </c>
      <c r="E6" s="4">
        <v>2</v>
      </c>
      <c r="F6" s="4">
        <f>VLOOKUP(Table1411[[#This Row],[Man. Number]],Articles!A:F,COLUMN(Articles!$F$1)-COLUMN(Articles!$A$1)+1,FALSE)</f>
        <v>48</v>
      </c>
      <c r="G6" s="4" t="str">
        <f>IF(Table1411[[#This Row],[In stock]] &gt;= Table1411[[#This Row],[Quantity]],"YES","NO")</f>
        <v>YES</v>
      </c>
      <c r="H6" s="4">
        <f>VLOOKUP(Table1411[[#This Row],[Man. Number]],Articles!A:J,COLUMN(Articles!$J$1)-COLUMN(Articles!$A$1)+1,FALSE)*Table1411[[#This Row],[Quantity]]</f>
        <v>0.1018</v>
      </c>
      <c r="I6" s="4">
        <f>Table1411[[#This Row],[Quantity]]*$M$1</f>
        <v>2</v>
      </c>
      <c r="J6" s="4" t="str">
        <f>IF(Table1411[[#This Row],[In stock]] &gt;= Table1411[[#This Row],[Total quantity]],"YES","NO")</f>
        <v>YES</v>
      </c>
    </row>
    <row r="7" spans="1:14" x14ac:dyDescent="0.25">
      <c r="A7" s="3" t="s">
        <v>14</v>
      </c>
      <c r="B7" s="4" t="str">
        <f>VLOOKUP(Table1411[[#This Row],[Man. Number]],Articles!A:F,COLUMN(Articles!$D$1)-COLUMN(Articles!$A$1)+1,FALSE)</f>
        <v>Condensateur électrolytique, 10 µF, 35 V, Série MCGPR, ± 20%, À sorties radiales, 5 mm</v>
      </c>
      <c r="C7" s="4" t="str">
        <f>VLOOKUP(Table1411[[#This Row],[Man. Number]],Articles!A:F,COLUMN(Articles!$C$1)-COLUMN(Articles!$A$1)+1,FALSE)</f>
        <v>D200-001</v>
      </c>
      <c r="D7" s="4" t="s">
        <v>272</v>
      </c>
      <c r="E7" s="4">
        <v>1</v>
      </c>
      <c r="F7" s="4">
        <f>VLOOKUP(Table1411[[#This Row],[Man. Number]],Articles!A:F,COLUMN(Articles!$F$1)-COLUMN(Articles!$A$1)+1,FALSE)</f>
        <v>48</v>
      </c>
      <c r="G7" s="4" t="str">
        <f>IF(Table1411[[#This Row],[In stock]] &gt;= Table1411[[#This Row],[Quantity]],"YES","NO")</f>
        <v>YES</v>
      </c>
      <c r="H7" s="4">
        <f>VLOOKUP(Table1411[[#This Row],[Man. Number]],Articles!A:J,COLUMN(Articles!$J$1)-COLUMN(Articles!$A$1)+1,FALSE)*Table1411[[#This Row],[Quantity]]</f>
        <v>5.1700000000000003E-2</v>
      </c>
      <c r="I7" s="4">
        <f>Table1411[[#This Row],[Quantity]]*$M$1</f>
        <v>1</v>
      </c>
      <c r="J7" s="4" t="str">
        <f>IF(Table1411[[#This Row],[In stock]] &gt;= Table1411[[#This Row],[Total quantity]],"YES","NO")</f>
        <v>YES</v>
      </c>
    </row>
    <row r="8" spans="1:14" x14ac:dyDescent="0.25">
      <c r="A8" s="3" t="s">
        <v>33</v>
      </c>
      <c r="B8" s="4" t="str">
        <f>VLOOKUP(Table1411[[#This Row],[Man. Number]],Articles!A:F,COLUMN(Articles!$D$1)-COLUMN(Articles!$A$1)+1,FALSE)</f>
        <v>Condensateur céramique multicouche CMS, 1206 [3216 Metric], 0.1 µF, 25 V, ± 10%, X7R</v>
      </c>
      <c r="C8" s="4" t="str">
        <f>VLOOKUP(Table1411[[#This Row],[Man. Number]],Articles!A:F,COLUMN(Articles!$C$1)-COLUMN(Articles!$A$1)+1,FALSE)</f>
        <v>D100-148</v>
      </c>
      <c r="D8" s="4" t="s">
        <v>1060</v>
      </c>
      <c r="E8" s="4">
        <v>5</v>
      </c>
      <c r="F8" s="4">
        <f>VLOOKUP(Table1411[[#This Row],[Man. Number]],Articles!A:F,COLUMN(Articles!$F$1)-COLUMN(Articles!$A$1)+1,FALSE)</f>
        <v>83</v>
      </c>
      <c r="G8" s="4" t="str">
        <f>IF(Table1411[[#This Row],[In stock]] &gt;= Table1411[[#This Row],[Quantity]],"YES","NO")</f>
        <v>YES</v>
      </c>
      <c r="H8" s="4">
        <f>VLOOKUP(Table1411[[#This Row],[Man. Number]],Articles!A:J,COLUMN(Articles!$J$1)-COLUMN(Articles!$A$1)+1,FALSE)*Table1411[[#This Row],[Quantity]]</f>
        <v>2.1</v>
      </c>
      <c r="I8" s="4">
        <f>Table1411[[#This Row],[Quantity]]*$M$1</f>
        <v>5</v>
      </c>
      <c r="J8" s="4" t="str">
        <f>IF(Table1411[[#This Row],[In stock]] &gt;= Table1411[[#This Row],[Total quantity]],"YES","NO")</f>
        <v>YES</v>
      </c>
    </row>
    <row r="9" spans="1:14" x14ac:dyDescent="0.25">
      <c r="A9" s="3" t="s">
        <v>267</v>
      </c>
      <c r="B9" s="4" t="str">
        <f>VLOOKUP(Table1411[[#This Row],[Man. Number]],Articles!A:F,COLUMN(Articles!$D$1)-COLUMN(Articles!$A$1)+1,FALSE)</f>
        <v>FUSE BOARD MNT 630MA 63VDC 1206</v>
      </c>
      <c r="C9" s="4" t="str">
        <f>VLOOKUP(Table1411[[#This Row],[Man. Number]],Articles!A:F,COLUMN(Articles!$C$1)-COLUMN(Articles!$A$1)+1,FALSE)</f>
        <v>D100-138</v>
      </c>
      <c r="D9" s="4" t="s">
        <v>269</v>
      </c>
      <c r="E9" s="4">
        <v>1</v>
      </c>
      <c r="F9" s="4">
        <f>VLOOKUP(Table1411[[#This Row],[Man. Number]],Articles!A:F,COLUMN(Articles!$F$1)-COLUMN(Articles!$A$1)+1,FALSE)</f>
        <v>3</v>
      </c>
      <c r="G9" s="4" t="str">
        <f>IF(Table1411[[#This Row],[In stock]] &gt;= Table1411[[#This Row],[Quantity]],"YES","NO")</f>
        <v>YES</v>
      </c>
      <c r="H9" s="4">
        <f>VLOOKUP(Table1411[[#This Row],[Man. Number]],Articles!A:J,COLUMN(Articles!$J$1)-COLUMN(Articles!$A$1)+1,FALSE)*Table1411[[#This Row],[Quantity]]</f>
        <v>0.97</v>
      </c>
      <c r="I9" s="4">
        <f>Table1411[[#This Row],[Quantity]]*$M$1</f>
        <v>1</v>
      </c>
      <c r="J9" s="4" t="str">
        <f>IF(Table1411[[#This Row],[In stock]] &gt;= Table1411[[#This Row],[Total quantity]],"YES","NO")</f>
        <v>YES</v>
      </c>
    </row>
    <row r="10" spans="1:14" x14ac:dyDescent="0.25">
      <c r="A10" s="47" t="s">
        <v>1085</v>
      </c>
      <c r="B10" s="38" t="str">
        <f>VLOOKUP(Table1411[[#This Row],[Man. Number]],Articles!A:F,COLUMN(Articles!$D$1)-COLUMN(Articles!$A$1)+1,FALSE)</f>
        <v>Telecom Relay DPDT (2 Form C) Through Hole 2A 3V</v>
      </c>
      <c r="C10" s="38" t="str">
        <f>VLOOKUP(Table1411[[#This Row],[Man. Number]],Articles!A:F,COLUMN(Articles!$C$1)-COLUMN(Articles!$A$1)+1,FALSE)</f>
        <v>D200-021</v>
      </c>
      <c r="D10" s="4" t="s">
        <v>288</v>
      </c>
      <c r="E10" s="4">
        <v>1</v>
      </c>
      <c r="F10" s="38">
        <f>VLOOKUP(Table1411[[#This Row],[Man. Number]],Articles!A:F,COLUMN(Articles!$F$1)-COLUMN(Articles!$A$1)+1,FALSE)</f>
        <v>1</v>
      </c>
      <c r="G10" s="38" t="str">
        <f>IF(Table1411[[#This Row],[In stock]] &gt;= Table1411[[#This Row],[Quantity]],"YES","NO")</f>
        <v>YES</v>
      </c>
      <c r="H10" s="38">
        <f>VLOOKUP(Table1411[[#This Row],[Man. Number]],Articles!A:J,COLUMN(Articles!$J$1)-COLUMN(Articles!$A$1)+1,FALSE)*Table1411[[#This Row],[Quantity]]</f>
        <v>3.72</v>
      </c>
      <c r="I10" s="38">
        <f>Table1411[[#This Row],[Quantity]]*$M$1</f>
        <v>1</v>
      </c>
      <c r="J10" s="38" t="str">
        <f>IF(Table1411[[#This Row],[In stock]] &gt;= Table1411[[#This Row],[Total quantity]],"YES","NO")</f>
        <v>YES</v>
      </c>
    </row>
    <row r="11" spans="1:14" x14ac:dyDescent="0.25">
      <c r="A11" s="4" t="s">
        <v>125</v>
      </c>
      <c r="B11" s="4" t="str">
        <f>VLOOKUP(Table1411[[#This Row],[Man. Number]],Articles!A:F,COLUMN(Articles!$D$1)-COLUMN(Articles!$A$1)+1,FALSE)</f>
        <v>RELAY TELECOM DPDT 5A 2.4V</v>
      </c>
      <c r="C11" s="4" t="str">
        <f>VLOOKUP(Table1411[[#This Row],[Man. Number]],Articles!A:F,COLUMN(Articles!$C$1)-COLUMN(Articles!$A$1)+1,FALSE)</f>
        <v>D001-037</v>
      </c>
      <c r="D11" s="4" t="s">
        <v>288</v>
      </c>
      <c r="E11" s="4">
        <v>0</v>
      </c>
      <c r="F11" s="4">
        <f>VLOOKUP(Table1411[[#This Row],[Man. Number]],Articles!A:F,COLUMN(Articles!$F$1)-COLUMN(Articles!$A$1)+1,FALSE)</f>
        <v>1</v>
      </c>
      <c r="G11" s="4" t="str">
        <f>IF(Table1411[[#This Row],[In stock]] &gt;= Table1411[[#This Row],[Quantity]],"YES","NO")</f>
        <v>YES</v>
      </c>
      <c r="H11" s="4">
        <f>VLOOKUP(Table1411[[#This Row],[Man. Number]],Articles!A:J,COLUMN(Articles!$J$1)-COLUMN(Articles!$A$1)+1,FALSE)*Table1411[[#This Row],[Quantity]]</f>
        <v>0</v>
      </c>
      <c r="I11" s="4">
        <f>Table1411[[#This Row],[Quantity]]*$M$1</f>
        <v>0</v>
      </c>
      <c r="J11" s="4" t="str">
        <f>IF(Table1411[[#This Row],[In stock]] &gt;= Table1411[[#This Row],[Total quantity]],"YES","NO")</f>
        <v>YES</v>
      </c>
    </row>
    <row r="12" spans="1:14" x14ac:dyDescent="0.25">
      <c r="A12" s="47" t="s">
        <v>1088</v>
      </c>
      <c r="B12" s="38" t="str">
        <f>VLOOKUP(Table1411[[#This Row],[Man. Number]],Articles!A:F,COLUMN(Articles!$D$1)-COLUMN(Articles!$A$1)+1,FALSE)</f>
        <v>Telecom Relay DPDT (2 Form C) Surface Mount 2A 3V</v>
      </c>
      <c r="C12" s="38" t="str">
        <f>VLOOKUP(Table1411[[#This Row],[Man. Number]],Articles!A:F,COLUMN(Articles!$C$1)-COLUMN(Articles!$A$1)+1,FALSE)</f>
        <v>D200-021</v>
      </c>
      <c r="D12" s="4" t="s">
        <v>288</v>
      </c>
      <c r="E12" s="4">
        <v>0</v>
      </c>
      <c r="F12" s="38">
        <f>VLOOKUP(Table1411[[#This Row],[Man. Number]],Articles!A:F,COLUMN(Articles!$F$1)-COLUMN(Articles!$A$1)+1,FALSE)</f>
        <v>1</v>
      </c>
      <c r="G12" s="38" t="str">
        <f>IF(Table1411[[#This Row],[In stock]] &gt;= Table1411[[#This Row],[Quantity]],"YES","NO")</f>
        <v>YES</v>
      </c>
      <c r="H12" s="38">
        <f>VLOOKUP(Table1411[[#This Row],[Man. Number]],Articles!A:J,COLUMN(Articles!$J$1)-COLUMN(Articles!$A$1)+1,FALSE)*Table1411[[#This Row],[Quantity]]</f>
        <v>0</v>
      </c>
      <c r="I12" s="38">
        <f>Table1411[[#This Row],[Quantity]]*$M$1</f>
        <v>0</v>
      </c>
      <c r="J12" s="38" t="str">
        <f>IF(Table1411[[#This Row],[In stock]] &gt;= Table1411[[#This Row],[Total quantity]],"YES","NO")</f>
        <v>YES</v>
      </c>
    </row>
    <row r="13" spans="1:14" x14ac:dyDescent="0.25">
      <c r="A13" s="3" t="s">
        <v>31</v>
      </c>
      <c r="B13" s="4" t="str">
        <f>VLOOKUP(Table1411[[#This Row],[Man. Number]],Articles!A:F,COLUMN(Articles!$D$1)-COLUMN(Articles!$A$1)+1,FALSE)</f>
        <v>LED, Rouge, Traversant, 3mm, 20 mA, 1.8 V, 643 nm</v>
      </c>
      <c r="C13" s="4" t="str">
        <f>VLOOKUP(Table1411[[#This Row],[Man. Number]],Articles!A:F,COLUMN(Articles!$C$1)-COLUMN(Articles!$A$1)+1,FALSE)</f>
        <v>D200-008</v>
      </c>
      <c r="D13" s="4" t="s">
        <v>275</v>
      </c>
      <c r="E13" s="4">
        <v>1</v>
      </c>
      <c r="F13" s="4">
        <f>VLOOKUP(Table1411[[#This Row],[Man. Number]],Articles!A:F,COLUMN(Articles!$F$1)-COLUMN(Articles!$A$1)+1,FALSE)</f>
        <v>3</v>
      </c>
      <c r="G13" s="4" t="str">
        <f>IF(Table1411[[#This Row],[In stock]] &gt;= Table1411[[#This Row],[Quantity]],"YES","NO")</f>
        <v>YES</v>
      </c>
      <c r="H13" s="4">
        <f>VLOOKUP(Table1411[[#This Row],[Man. Number]],Articles!A:J,COLUMN(Articles!$J$1)-COLUMN(Articles!$A$1)+1,FALSE)*Table1411[[#This Row],[Quantity]]</f>
        <v>0.28999999999999998</v>
      </c>
      <c r="I13" s="4">
        <f>Table1411[[#This Row],[Quantity]]*$M$1</f>
        <v>1</v>
      </c>
      <c r="J13" s="4" t="str">
        <f>IF(Table1411[[#This Row],[In stock]] &gt;= Table1411[[#This Row],[Total quantity]],"YES","NO")</f>
        <v>YES</v>
      </c>
    </row>
    <row r="14" spans="1:14" x14ac:dyDescent="0.25">
      <c r="A14" s="3" t="s">
        <v>299</v>
      </c>
      <c r="B14" s="4" t="str">
        <f>VLOOKUP(Table1411[[#This Row],[Man. Number]],Articles!A:F,COLUMN(Articles!$D$1)-COLUMN(Articles!$A$1)+1,FALSE)</f>
        <v>PCB Led adaptateur v1</v>
      </c>
      <c r="C14" s="4" t="str">
        <f>VLOOKUP(Table1411[[#This Row],[Man. Number]],Articles!A:F,COLUMN(Articles!$C$1)-COLUMN(Articles!$A$1)+1,FALSE)</f>
        <v>None</v>
      </c>
      <c r="D14" s="4" t="s">
        <v>278</v>
      </c>
      <c r="E14" s="4">
        <v>1</v>
      </c>
      <c r="F14" s="4">
        <f>VLOOKUP(Table1411[[#This Row],[Man. Number]],Articles!A:F,COLUMN(Articles!$F$1)-COLUMN(Articles!$A$1)+1,FALSE)</f>
        <v>8</v>
      </c>
      <c r="G14" s="4" t="str">
        <f>IF(Table1411[[#This Row],[In stock]] &gt;= Table1411[[#This Row],[Quantity]],"YES","NO")</f>
        <v>YES</v>
      </c>
      <c r="H14" s="4">
        <f>VLOOKUP(Table1411[[#This Row],[Man. Number]],Articles!A:J,COLUMN(Articles!$J$1)-COLUMN(Articles!$A$1)+1,FALSE)*Table1411[[#This Row],[Quantity]]</f>
        <v>0</v>
      </c>
      <c r="I14" s="4">
        <f>Table1411[[#This Row],[Quantity]]*$M$1</f>
        <v>1</v>
      </c>
      <c r="J14" s="4" t="str">
        <f>IF(Table1411[[#This Row],[In stock]] &gt;= Table1411[[#This Row],[Total quantity]],"YES","NO")</f>
        <v>YES</v>
      </c>
    </row>
    <row r="15" spans="1:14" x14ac:dyDescent="0.25">
      <c r="A15" s="47" t="s">
        <v>211</v>
      </c>
      <c r="B15" s="38" t="str">
        <f>VLOOKUP(Table1411[[#This Row],[Man. Number]],Articles!A:F,COLUMN(Articles!$D$1)-COLUMN(Articles!$A$1)+1,FALSE)</f>
        <v>Red 628nm LED Indication - Discrete 1.8V 0603 (1608 Metric)</v>
      </c>
      <c r="C15" s="38" t="str">
        <f>VLOOKUP(Table1411[[#This Row],[Man. Number]],Articles!A:F,COLUMN(Articles!$C$1)-COLUMN(Articles!$A$1)+1,FALSE)</f>
        <v>D001-049</v>
      </c>
      <c r="D15" s="4" t="s">
        <v>1062</v>
      </c>
      <c r="E15" s="4">
        <v>1</v>
      </c>
      <c r="F15" s="38">
        <f>VLOOKUP(Table1411[[#This Row],[Man. Number]],Articles!A:F,COLUMN(Articles!$F$1)-COLUMN(Articles!$A$1)+1,FALSE)</f>
        <v>6</v>
      </c>
      <c r="G15" s="38" t="str">
        <f>IF(Table1411[[#This Row],[In stock]] &gt;= Table1411[[#This Row],[Quantity]],"YES","NO")</f>
        <v>YES</v>
      </c>
      <c r="H15" s="38">
        <f>VLOOKUP(Table1411[[#This Row],[Man. Number]],Articles!A:J,COLUMN(Articles!$J$1)-COLUMN(Articles!$A$1)+1,FALSE)*Table1411[[#This Row],[Quantity]]</f>
        <v>0.52</v>
      </c>
      <c r="I15" s="38">
        <f>Table1411[[#This Row],[Quantity]]*$M$1</f>
        <v>1</v>
      </c>
      <c r="J15" s="38" t="str">
        <f>IF(Table1411[[#This Row],[In stock]] &gt;= Table1411[[#This Row],[Total quantity]],"YES","NO")</f>
        <v>YES</v>
      </c>
    </row>
    <row r="16" spans="1:14" x14ac:dyDescent="0.25">
      <c r="A16" s="3" t="s">
        <v>295</v>
      </c>
      <c r="B16" s="4" t="e">
        <f>VLOOKUP(Table1411[[#This Row],[Man. Number]],Articles!A:F,COLUMN(Articles!$D$1)-COLUMN(Articles!$A$1)+1,FALSE)</f>
        <v>#N/A</v>
      </c>
      <c r="C16" s="4" t="e">
        <f>VLOOKUP(Table1411[[#This Row],[Man. Number]],Articles!A:F,COLUMN(Articles!$C$1)-COLUMN(Articles!$A$1)+1,FALSE)</f>
        <v>#N/A</v>
      </c>
      <c r="D16" s="4" t="s">
        <v>294</v>
      </c>
      <c r="E16" s="4">
        <v>1</v>
      </c>
      <c r="F16" s="4" t="e">
        <f>VLOOKUP(Table1411[[#This Row],[Man. Number]],Articles!A:F,COLUMN(Articles!$F$1)-COLUMN(Articles!$A$1)+1,FALSE)</f>
        <v>#N/A</v>
      </c>
      <c r="G16" s="4" t="e">
        <f>IF(Table1411[[#This Row],[In stock]] &gt;= Table1411[[#This Row],[Quantity]],"YES","NO")</f>
        <v>#N/A</v>
      </c>
      <c r="H16" s="4" t="e">
        <f>VLOOKUP(Table1411[[#This Row],[Man. Number]],Articles!A:J,COLUMN(Articles!$J$1)-COLUMN(Articles!$A$1)+1,FALSE)*Table1411[[#This Row],[Quantity]]</f>
        <v>#N/A</v>
      </c>
      <c r="I16" s="4">
        <f>Table1411[[#This Row],[Quantity]]*$M$1</f>
        <v>1</v>
      </c>
      <c r="J16" s="4" t="e">
        <f>IF(Table1411[[#This Row],[In stock]] &gt;= Table1411[[#This Row],[Total quantity]],"YES","NO")</f>
        <v>#N/A</v>
      </c>
    </row>
    <row r="17" spans="1:10" x14ac:dyDescent="0.25">
      <c r="A17" s="47" t="s">
        <v>995</v>
      </c>
      <c r="B17" s="4" t="str">
        <f>VLOOKUP(Table1411[[#This Row],[Man. Number]],Articles!A:F,COLUMN(Articles!$D$1)-COLUMN(Articles!$A$1)+1,FALSE)</f>
        <v>RES SMD 22 OHM 5% 0.4W 0805</v>
      </c>
      <c r="C17" s="4" t="str">
        <f>VLOOKUP(Table1411[[#This Row],[Man. Number]],Articles!A:F,COLUMN(Articles!$C$1)-COLUMN(Articles!$A$1)+1,FALSE)</f>
        <v>D101-008</v>
      </c>
      <c r="D17" s="4" t="s">
        <v>285</v>
      </c>
      <c r="E17" s="4">
        <v>1</v>
      </c>
      <c r="F17" s="4">
        <f>VLOOKUP(Table1411[[#This Row],[Man. Number]],Articles!A:F,COLUMN(Articles!$F$1)-COLUMN(Articles!$A$1)+1,FALSE)</f>
        <v>10</v>
      </c>
      <c r="G17" s="4" t="str">
        <f>IF(Table1411[[#This Row],[In stock]] &gt;= Table1411[[#This Row],[Quantity]],"YES","NO")</f>
        <v>YES</v>
      </c>
      <c r="H17" s="4">
        <f>VLOOKUP(Table1411[[#This Row],[Man. Number]],Articles!A:J,COLUMN(Articles!$J$1)-COLUMN(Articles!$A$1)+1,FALSE)*Table1411[[#This Row],[Quantity]]</f>
        <v>0.1</v>
      </c>
      <c r="I17" s="4">
        <f>Table1411[[#This Row],[Quantity]]*$M$1</f>
        <v>1</v>
      </c>
      <c r="J17" s="4" t="str">
        <f>IF(Table1411[[#This Row],[In stock]] &gt;= Table1411[[#This Row],[Total quantity]],"YES","NO")</f>
        <v>YES</v>
      </c>
    </row>
    <row r="18" spans="1:10" x14ac:dyDescent="0.25">
      <c r="A18" s="48" t="s">
        <v>1083</v>
      </c>
      <c r="B18" s="4" t="str">
        <f>VLOOKUP(Table1411[[#This Row],[Man. Number]],Articles!A:F,COLUMN(Articles!$D$1)-COLUMN(Articles!$A$1)+1,FALSE)</f>
        <v>RES SMD 5.1 OHM 5% 3/4W 1206</v>
      </c>
      <c r="C18" s="4" t="str">
        <f>VLOOKUP(Table1411[[#This Row],[Man. Number]],Articles!A:F,COLUMN(Articles!$C$1)-COLUMN(Articles!$A$1)+1,FALSE)</f>
        <v>D100-124</v>
      </c>
      <c r="D18" s="4" t="s">
        <v>279</v>
      </c>
      <c r="E18" s="4">
        <v>2</v>
      </c>
      <c r="F18" s="4">
        <f>VLOOKUP(Table1411[[#This Row],[Man. Number]],Articles!A:F,COLUMN(Articles!$F$1)-COLUMN(Articles!$A$1)+1,FALSE)</f>
        <v>10</v>
      </c>
      <c r="G18" s="4" t="str">
        <f>IF(Table1411[[#This Row],[In stock]] &gt;= Table1411[[#This Row],[Quantity]],"YES","NO")</f>
        <v>YES</v>
      </c>
      <c r="H18" s="4">
        <f>VLOOKUP(Table1411[[#This Row],[Man. Number]],Articles!A:J,COLUMN(Articles!$J$1)-COLUMN(Articles!$A$1)+1,FALSE)*Table1411[[#This Row],[Quantity]]</f>
        <v>0.84</v>
      </c>
      <c r="I18" s="4">
        <f>Table1411[[#This Row],[Quantity]]*$M$1</f>
        <v>2</v>
      </c>
      <c r="J18" s="4" t="str">
        <f>IF(Table1411[[#This Row],[In stock]] &gt;= Table1411[[#This Row],[Total quantity]],"YES","NO")</f>
        <v>YES</v>
      </c>
    </row>
    <row r="19" spans="1:10" x14ac:dyDescent="0.25">
      <c r="A19" s="47" t="s">
        <v>1015</v>
      </c>
      <c r="B19" s="4" t="str">
        <f>VLOOKUP(Table1411[[#This Row],[Man. Number]],Articles!A:F,COLUMN(Articles!$D$1)-COLUMN(Articles!$A$1)+1,FALSE)</f>
        <v>RES SMD 3.9K OHM 5% 0.4W 0805</v>
      </c>
      <c r="C19" s="4" t="str">
        <f>VLOOKUP(Table1411[[#This Row],[Man. Number]],Articles!A:F,COLUMN(Articles!$C$1)-COLUMN(Articles!$A$1)+1,FALSE)</f>
        <v>D101-014</v>
      </c>
      <c r="D19" s="4" t="s">
        <v>282</v>
      </c>
      <c r="E19" s="4">
        <v>1</v>
      </c>
      <c r="F19" s="4">
        <f>VLOOKUP(Table1411[[#This Row],[Man. Number]],Articles!A:F,COLUMN(Articles!$F$1)-COLUMN(Articles!$A$1)+1,FALSE)</f>
        <v>9</v>
      </c>
      <c r="G19" s="4" t="str">
        <f>IF(Table1411[[#This Row],[In stock]] &gt;= Table1411[[#This Row],[Quantity]],"YES","NO")</f>
        <v>YES</v>
      </c>
      <c r="H19" s="4">
        <f>VLOOKUP(Table1411[[#This Row],[Man. Number]],Articles!A:J,COLUMN(Articles!$J$1)-COLUMN(Articles!$A$1)+1,FALSE)*Table1411[[#This Row],[Quantity]]</f>
        <v>0.1</v>
      </c>
      <c r="I19" s="4">
        <f>Table1411[[#This Row],[Quantity]]*$M$1</f>
        <v>1</v>
      </c>
      <c r="J19" s="4" t="str">
        <f>IF(Table1411[[#This Row],[In stock]] &gt;= Table1411[[#This Row],[Total quantity]],"YES","NO")</f>
        <v>YES</v>
      </c>
    </row>
    <row r="20" spans="1:10" x14ac:dyDescent="0.25">
      <c r="A20" s="3" t="s">
        <v>171</v>
      </c>
      <c r="B20" s="4" t="str">
        <f>VLOOKUP(Table1411[[#This Row],[Man. Number]],Articles!A:F,COLUMN(Articles!$D$1)-COLUMN(Articles!$A$1)+1,FALSE)</f>
        <v>RES SMD 4.7K OHM 1% 1/8W 0805 vishay</v>
      </c>
      <c r="C20" s="4" t="str">
        <f>VLOOKUP(Table1411[[#This Row],[Man. Number]],Articles!A:F,COLUMN(Articles!$C$1)-COLUMN(Articles!$A$1)+1,FALSE)</f>
        <v>D101-000</v>
      </c>
      <c r="D20" s="4" t="s">
        <v>1063</v>
      </c>
      <c r="E20" s="4">
        <v>2</v>
      </c>
      <c r="F20" s="4">
        <f>VLOOKUP(Table1411[[#This Row],[Man. Number]],Articles!A:F,COLUMN(Articles!$F$1)-COLUMN(Articles!$A$1)+1,FALSE)</f>
        <v>95</v>
      </c>
      <c r="G20" s="4" t="str">
        <f>IF(Table1411[[#This Row],[In stock]] &gt;= Table1411[[#This Row],[Quantity]],"YES","NO")</f>
        <v>YES</v>
      </c>
      <c r="H20" s="4">
        <f>VLOOKUP(Table1411[[#This Row],[Man. Number]],Articles!A:J,COLUMN(Articles!$J$1)-COLUMN(Articles!$A$1)+1,FALSE)*Table1411[[#This Row],[Quantity]]</f>
        <v>3.9E-2</v>
      </c>
      <c r="I20" s="4">
        <f>Table1411[[#This Row],[Quantity]]*$M$1</f>
        <v>2</v>
      </c>
      <c r="J20" s="4" t="str">
        <f>IF(Table1411[[#This Row],[In stock]] &gt;= Table1411[[#This Row],[Total quantity]],"YES","NO")</f>
        <v>YES</v>
      </c>
    </row>
    <row r="21" spans="1:10" x14ac:dyDescent="0.25">
      <c r="A21" s="47" t="s">
        <v>1024</v>
      </c>
      <c r="B21" s="38" t="str">
        <f>VLOOKUP(Table1411[[#This Row],[Man. Number]],Articles!A:F,COLUMN(Articles!$D$1)-COLUMN(Articles!$A$1)+1,FALSE)</f>
        <v>RES SMD 100K OHM 5% 0.4W 0805</v>
      </c>
      <c r="C21" s="38" t="str">
        <f>VLOOKUP(Table1411[[#This Row],[Man. Number]],Articles!A:F,COLUMN(Articles!$C$1)-COLUMN(Articles!$A$1)+1,FALSE)</f>
        <v>D101-011</v>
      </c>
      <c r="D21" s="4" t="s">
        <v>1066</v>
      </c>
      <c r="E21" s="4">
        <v>2</v>
      </c>
      <c r="F21" s="38">
        <f>VLOOKUP(Table1411[[#This Row],[Man. Number]],Articles!A:F,COLUMN(Articles!$F$1)-COLUMN(Articles!$A$1)+1,FALSE)</f>
        <v>8</v>
      </c>
      <c r="G21" s="38" t="str">
        <f>IF(Table1411[[#This Row],[In stock]] &gt;= Table1411[[#This Row],[Quantity]],"YES","NO")</f>
        <v>YES</v>
      </c>
      <c r="H21" s="38">
        <f>VLOOKUP(Table1411[[#This Row],[Man. Number]],Articles!A:J,COLUMN(Articles!$J$1)-COLUMN(Articles!$A$1)+1,FALSE)*Table1411[[#This Row],[Quantity]]</f>
        <v>0.2</v>
      </c>
      <c r="I21" s="38">
        <f>Table1411[[#This Row],[Quantity]]*$M$1</f>
        <v>2</v>
      </c>
      <c r="J21" s="38" t="str">
        <f>IF(Table1411[[#This Row],[In stock]] &gt;= Table1411[[#This Row],[Total quantity]],"YES","NO")</f>
        <v>YES</v>
      </c>
    </row>
    <row r="22" spans="1:10" x14ac:dyDescent="0.25">
      <c r="A22" s="47" t="s">
        <v>712</v>
      </c>
      <c r="B22" s="4" t="str">
        <f>VLOOKUP(Table1411[[#This Row],[Man. Number]],Articles!A:F,COLUMN(Articles!$D$1)-COLUMN(Articles!$A$1)+1,FALSE)</f>
        <v>RES SMD 1K OHM 5% 1/8W 0805</v>
      </c>
      <c r="C22" s="4" t="str">
        <f>VLOOKUP(Table1411[[#This Row],[Man. Number]],Articles!A:F,COLUMN(Articles!$C$1)-COLUMN(Articles!$A$1)+1,FALSE)</f>
        <v>D101-010</v>
      </c>
      <c r="D22" s="4" t="s">
        <v>1064</v>
      </c>
      <c r="E22" s="4">
        <v>3</v>
      </c>
      <c r="F22" s="4">
        <f>VLOOKUP(Table1411[[#This Row],[Man. Number]],Articles!A:F,COLUMN(Articles!$F$1)-COLUMN(Articles!$A$1)+1,FALSE)</f>
        <v>10</v>
      </c>
      <c r="G22" s="4" t="str">
        <f>IF(Table1411[[#This Row],[In stock]] &gt;= Table1411[[#This Row],[Quantity]],"YES","NO")</f>
        <v>YES</v>
      </c>
      <c r="H22" s="4">
        <f>VLOOKUP(Table1411[[#This Row],[Man. Number]],Articles!A:J,COLUMN(Articles!$J$1)-COLUMN(Articles!$A$1)+1,FALSE)*Table1411[[#This Row],[Quantity]]</f>
        <v>0.44999999999999996</v>
      </c>
      <c r="I22" s="4">
        <f>Table1411[[#This Row],[Quantity]]*$M$1</f>
        <v>3</v>
      </c>
      <c r="J22" s="4" t="str">
        <f>IF(Table1411[[#This Row],[In stock]] &gt;= Table1411[[#This Row],[Total quantity]],"YES","NO")</f>
        <v>YES</v>
      </c>
    </row>
    <row r="23" spans="1:10" x14ac:dyDescent="0.25">
      <c r="A23" s="47" t="s">
        <v>1018</v>
      </c>
      <c r="B23" s="38" t="str">
        <f>VLOOKUP(Table1411[[#This Row],[Man. Number]],Articles!A:F,COLUMN(Articles!$D$1)-COLUMN(Articles!$A$1)+1,FALSE)</f>
        <v>RES SMD 330 OHM 5% 0.4W 0805</v>
      </c>
      <c r="C23" s="38" t="str">
        <f>VLOOKUP(Table1411[[#This Row],[Man. Number]],Articles!A:F,COLUMN(Articles!$C$1)-COLUMN(Articles!$A$1)+1,FALSE)</f>
        <v>D101-009</v>
      </c>
      <c r="D23" s="4" t="s">
        <v>1065</v>
      </c>
      <c r="E23" s="4">
        <v>1</v>
      </c>
      <c r="F23" s="38">
        <f>VLOOKUP(Table1411[[#This Row],[Man. Number]],Articles!A:F,COLUMN(Articles!$F$1)-COLUMN(Articles!$A$1)+1,FALSE)</f>
        <v>9</v>
      </c>
      <c r="G23" s="38" t="str">
        <f>IF(Table1411[[#This Row],[In stock]] &gt;= Table1411[[#This Row],[Quantity]],"YES","NO")</f>
        <v>YES</v>
      </c>
      <c r="H23" s="38">
        <f>VLOOKUP(Table1411[[#This Row],[Man. Number]],Articles!A:J,COLUMN(Articles!$J$1)-COLUMN(Articles!$A$1)+1,FALSE)*Table1411[[#This Row],[Quantity]]</f>
        <v>0.1</v>
      </c>
      <c r="I23" s="38">
        <f>Table1411[[#This Row],[Quantity]]*$M$1</f>
        <v>1</v>
      </c>
      <c r="J23" s="38" t="str">
        <f>IF(Table1411[[#This Row],[In stock]] &gt;= Table1411[[#This Row],[Total quantity]],"YES","NO")</f>
        <v>YES</v>
      </c>
    </row>
    <row r="24" spans="1:10" x14ac:dyDescent="0.25">
      <c r="A24" s="3">
        <v>1004068</v>
      </c>
      <c r="B24" s="4" t="e">
        <f>VLOOKUP(Table1411[[#This Row],[Man. Number]],Articles!A:F,COLUMN(Articles!$D$1)-COLUMN(Articles!$A$1)+1,FALSE)</f>
        <v>#N/A</v>
      </c>
      <c r="C24" s="4" t="e">
        <f>VLOOKUP(Table1411[[#This Row],[Man. Number]],Articles!A:F,COLUMN(Articles!$C$1)-COLUMN(Articles!$A$1)+1,FALSE)</f>
        <v>#N/A</v>
      </c>
      <c r="D24" s="4" t="s">
        <v>291</v>
      </c>
      <c r="E24" s="4">
        <v>1</v>
      </c>
      <c r="F24" s="4" t="e">
        <f>VLOOKUP(Table1411[[#This Row],[Man. Number]],Articles!A:F,COLUMN(Articles!$F$1)-COLUMN(Articles!$A$1)+1,FALSE)</f>
        <v>#N/A</v>
      </c>
      <c r="G24" s="4" t="e">
        <f>IF(Table1411[[#This Row],[In stock]] &gt;= Table1411[[#This Row],[Quantity]],"YES","NO")</f>
        <v>#N/A</v>
      </c>
      <c r="H24" s="4" t="e">
        <f>VLOOKUP(Table1411[[#This Row],[Man. Number]],Articles!A:J,COLUMN(Articles!$J$1)-COLUMN(Articles!$A$1)+1,FALSE)*Table1411[[#This Row],[Quantity]]</f>
        <v>#N/A</v>
      </c>
      <c r="I24" s="4">
        <f>Table1411[[#This Row],[Quantity]]*$M$1</f>
        <v>1</v>
      </c>
      <c r="J24" s="4" t="e">
        <f>IF(Table1411[[#This Row],[In stock]] &gt;= Table1411[[#This Row],[Total quantity]],"YES","NO")</f>
        <v>#N/A</v>
      </c>
    </row>
    <row r="25" spans="1:10" x14ac:dyDescent="0.25">
      <c r="A25" s="3" t="s">
        <v>39</v>
      </c>
      <c r="B25" s="4" t="str">
        <f>VLOOKUP(Table1411[[#This Row],[Man. Number]],Articles!A:F,COLUMN(Articles!$D$1)-COLUMN(Articles!$A$1)+1,FALSE)</f>
        <v>Transistor MOSFET, Canal P, -7.1 A, -12 V, 28.5 mohm, -4.5 V, -400 mV</v>
      </c>
      <c r="C25" s="4" t="str">
        <f>VLOOKUP(Table1411[[#This Row],[Man. Number]],Articles!A:F,COLUMN(Articles!$C$1)-COLUMN(Articles!$A$1)+1,FALSE)</f>
        <v>D001-001</v>
      </c>
      <c r="D25" s="4" t="s">
        <v>280</v>
      </c>
      <c r="E25" s="4">
        <v>2</v>
      </c>
      <c r="F25" s="4">
        <f>VLOOKUP(Table1411[[#This Row],[Man. Number]],Articles!A:F,COLUMN(Articles!$F$1)-COLUMN(Articles!$A$1)+1,FALSE)</f>
        <v>22</v>
      </c>
      <c r="G25" s="4" t="str">
        <f>IF(Table1411[[#This Row],[In stock]] &gt;= Table1411[[#This Row],[Quantity]],"YES","NO")</f>
        <v>YES</v>
      </c>
      <c r="H25" s="4">
        <f>VLOOKUP(Table1411[[#This Row],[Man. Number]],Articles!A:J,COLUMN(Articles!$J$1)-COLUMN(Articles!$A$1)+1,FALSE)*Table1411[[#This Row],[Quantity]]</f>
        <v>1.1399999999999999</v>
      </c>
      <c r="I25" s="4">
        <f>Table1411[[#This Row],[Quantity]]*$M$1</f>
        <v>2</v>
      </c>
      <c r="J25" s="4" t="str">
        <f>IF(Table1411[[#This Row],[In stock]] &gt;= Table1411[[#This Row],[Total quantity]],"YES","NO")</f>
        <v>YES</v>
      </c>
    </row>
    <row r="26" spans="1:10" x14ac:dyDescent="0.25">
      <c r="A26" s="3" t="s">
        <v>42</v>
      </c>
      <c r="B26" s="4" t="str">
        <f>VLOOKUP(Table1411[[#This Row],[Man. Number]],Articles!A:F,COLUMN(Articles!$D$1)-COLUMN(Articles!$A$1)+1,FALSE)</f>
        <v>Transistor MOSFET, Canal N, 2.2 A, 30 V, 65 mohm, 4.5 V, 700 mV</v>
      </c>
      <c r="C26" s="4" t="str">
        <f>VLOOKUP(Table1411[[#This Row],[Man. Number]],Articles!A:F,COLUMN(Articles!$C$1)-COLUMN(Articles!$A$1)+1,FALSE)</f>
        <v>D001-000</v>
      </c>
      <c r="D26" s="4" t="s">
        <v>281</v>
      </c>
      <c r="E26" s="4">
        <v>5</v>
      </c>
      <c r="F26" s="4">
        <f>VLOOKUP(Table1411[[#This Row],[Man. Number]],Articles!A:F,COLUMN(Articles!$F$1)-COLUMN(Articles!$A$1)+1,FALSE)</f>
        <v>14</v>
      </c>
      <c r="G26" s="4" t="str">
        <f>IF(Table1411[[#This Row],[In stock]] &gt;= Table1411[[#This Row],[Quantity]],"YES","NO")</f>
        <v>YES</v>
      </c>
      <c r="H26" s="4">
        <f>VLOOKUP(Table1411[[#This Row],[Man. Number]],Articles!A:J,COLUMN(Articles!$J$1)-COLUMN(Articles!$A$1)+1,FALSE)*Table1411[[#This Row],[Quantity]]</f>
        <v>2.75</v>
      </c>
      <c r="I26" s="4">
        <f>Table1411[[#This Row],[Quantity]]*$M$1</f>
        <v>5</v>
      </c>
      <c r="J26" s="4" t="str">
        <f>IF(Table1411[[#This Row],[In stock]] &gt;= Table1411[[#This Row],[Total quantity]],"YES","NO")</f>
        <v>YES</v>
      </c>
    </row>
    <row r="27" spans="1:10" x14ac:dyDescent="0.25">
      <c r="A27" s="3" t="s">
        <v>20</v>
      </c>
      <c r="B27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7" s="4" t="str">
        <f>VLOOKUP(Table1411[[#This Row],[Man. Number]],Articles!A:F,COLUMN(Articles!$C$1)-COLUMN(Articles!$A$1)+1,FALSE)</f>
        <v>D001-014</v>
      </c>
      <c r="D27" s="4" t="s">
        <v>274</v>
      </c>
      <c r="E27" s="4">
        <v>1</v>
      </c>
      <c r="F27" s="4">
        <f>VLOOKUP(Table1411[[#This Row],[Man. Number]],Articles!A:F,COLUMN(Articles!$F$1)-COLUMN(Articles!$A$1)+1,FALSE)</f>
        <v>8</v>
      </c>
      <c r="G27" s="4" t="str">
        <f>IF(Table1411[[#This Row],[In stock]] &gt;= Table1411[[#This Row],[Quantity]],"YES","NO")</f>
        <v>YES</v>
      </c>
      <c r="H27" s="4">
        <f>VLOOKUP(Table1411[[#This Row],[Man. Number]],Articles!A:J,COLUMN(Articles!$J$1)-COLUMN(Articles!$A$1)+1,FALSE)*Table1411[[#This Row],[Quantity]]</f>
        <v>0.57499999999999996</v>
      </c>
      <c r="I27" s="4">
        <f>Table1411[[#This Row],[Quantity]]*$M$1</f>
        <v>1</v>
      </c>
      <c r="J27" s="4" t="str">
        <f>IF(Table1411[[#This Row],[In stock]] &gt;= Table1411[[#This Row],[Total quantity]],"YES","NO")</f>
        <v>YES</v>
      </c>
    </row>
    <row r="28" spans="1:10" x14ac:dyDescent="0.25">
      <c r="A28" s="3" t="s">
        <v>22</v>
      </c>
      <c r="B28" s="4" t="str">
        <f>VLOOKUP(Table1411[[#This Row],[Man. Number]],Articles!A:F,COLUMN(Articles!$D$1)-COLUMN(Articles!$A$1)+1,FALSE)</f>
        <v>Superviseur, Reset drain ouvert, actif à l'état bas, 1V-5.5Vin</v>
      </c>
      <c r="C28" s="4" t="str">
        <f>VLOOKUP(Table1411[[#This Row],[Man. Number]],Articles!A:F,COLUMN(Articles!$C$1)-COLUMN(Articles!$A$1)+1,FALSE)</f>
        <v>D001-013</v>
      </c>
      <c r="D28" s="4" t="s">
        <v>276</v>
      </c>
      <c r="E28" s="4">
        <v>1</v>
      </c>
      <c r="F28" s="4">
        <f>VLOOKUP(Table1411[[#This Row],[Man. Number]],Articles!A:F,COLUMN(Articles!$F$1)-COLUMN(Articles!$A$1)+1,FALSE)</f>
        <v>3</v>
      </c>
      <c r="G28" s="4" t="str">
        <f>IF(Table1411[[#This Row],[In stock]] &gt;= Table1411[[#This Row],[Quantity]],"YES","NO")</f>
        <v>YES</v>
      </c>
      <c r="H28" s="4">
        <f>VLOOKUP(Table1411[[#This Row],[Man. Number]],Articles!A:J,COLUMN(Articles!$J$1)-COLUMN(Articles!$A$1)+1,FALSE)*Table1411[[#This Row],[Quantity]]</f>
        <v>0.52</v>
      </c>
      <c r="I28" s="4">
        <f>Table1411[[#This Row],[Quantity]]*$M$1</f>
        <v>1</v>
      </c>
      <c r="J28" s="4" t="str">
        <f>IF(Table1411[[#This Row],[In stock]] &gt;= Table1411[[#This Row],[Total quantity]],"YES","NO")</f>
        <v>YES</v>
      </c>
    </row>
    <row r="29" spans="1:10" x14ac:dyDescent="0.25">
      <c r="A29" s="3" t="s">
        <v>24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tr">
        <f>VLOOKUP(Table1411[[#This Row],[Man. Number]],Articles!A:F,COLUMN(Articles!$C$1)-COLUMN(Articles!$A$1)+1,FALSE)</f>
        <v>D001-015</v>
      </c>
      <c r="D29" s="4" t="s">
        <v>277</v>
      </c>
      <c r="E29" s="4">
        <v>1</v>
      </c>
      <c r="F29" s="4">
        <f>VLOOKUP(Table1411[[#This Row],[Man. Number]],Articles!A:F,COLUMN(Articles!$F$1)-COLUMN(Articles!$A$1)+1,FALSE)</f>
        <v>16</v>
      </c>
      <c r="G29" s="4" t="str">
        <f>IF(Table1411[[#This Row],[In stock]] &gt;= Table1411[[#This Row],[Quantity]],"YES","NO")</f>
        <v>YES</v>
      </c>
      <c r="H29" s="4">
        <f>VLOOKUP(Table1411[[#This Row],[Man. Number]],Articles!A:J,COLUMN(Articles!$J$1)-COLUMN(Articles!$A$1)+1,FALSE)*Table1411[[#This Row],[Quantity]]</f>
        <v>0.35</v>
      </c>
      <c r="I29" s="4">
        <f>Table1411[[#This Row],[Quantity]]*$M$1</f>
        <v>1</v>
      </c>
      <c r="J29" s="4" t="str">
        <f>IF(Table1411[[#This Row],[In stock]] &gt;= Table1411[[#This Row],[Total quantity]],"YES","NO")</f>
        <v>YES</v>
      </c>
    </row>
    <row r="30" spans="1:10" x14ac:dyDescent="0.25">
      <c r="A30" s="3" t="s">
        <v>466</v>
      </c>
      <c r="B30" s="4" t="str">
        <f>VLOOKUP(Table1411[[#This Row],[Man. Number]],Articles!A:F,COLUMN(Articles!$D$1)-COLUMN(Articles!$A$1)+1,FALSE)</f>
        <v>General ISM &lt; 1GHz  Transceiver Module 868MHz Integrated, Trace Surface Mount</v>
      </c>
      <c r="C30" s="4" t="str">
        <f>VLOOKUP(Table1411[[#This Row],[Man. Number]],Articles!A:F,COLUMN(Articles!$C$1)-COLUMN(Articles!$A$1)+1,FALSE)</f>
        <v>None</v>
      </c>
      <c r="D30" s="4" t="s">
        <v>293</v>
      </c>
      <c r="E30" s="4">
        <v>1</v>
      </c>
      <c r="F30" s="4">
        <f>VLOOKUP(Table1411[[#This Row],[Man. Number]],Articles!A:F,COLUMN(Articles!$F$1)-COLUMN(Articles!$A$1)+1,FALSE)</f>
        <v>0</v>
      </c>
      <c r="G30" s="4" t="str">
        <f>IF(Table1411[[#This Row],[In stock]] &gt;= Table1411[[#This Row],[Quantity]],"YES","NO")</f>
        <v>NO</v>
      </c>
      <c r="H30" s="4">
        <f>VLOOKUP(Table1411[[#This Row],[Man. Number]],Articles!A:J,COLUMN(Articles!$J$1)-COLUMN(Articles!$A$1)+1,FALSE)*Table1411[[#This Row],[Quantity]]</f>
        <v>8.19</v>
      </c>
      <c r="I30" s="4">
        <f>Table1411[[#This Row],[Quantity]]*$M$1</f>
        <v>1</v>
      </c>
      <c r="J30" s="4" t="str">
        <f>IF(Table1411[[#This Row],[In stock]] &gt;= Table1411[[#This Row],[Total quantity]],"YES","NO")</f>
        <v>NO</v>
      </c>
    </row>
    <row r="31" spans="1:10" x14ac:dyDescent="0.25">
      <c r="A31" s="47" t="s">
        <v>133</v>
      </c>
      <c r="B31" s="4" t="str">
        <f>VLOOKUP(Table1411[[#This Row],[Man. Number]],Articles!A:F,COLUMN(Articles!$D$1)-COLUMN(Articles!$A$1)+1,FALSE)</f>
        <v>IC MCU 8BIT 7KB FLASH 20SSOP</v>
      </c>
      <c r="C31" s="4" t="str">
        <f>VLOOKUP(Table1411[[#This Row],[Man. Number]],Articles!A:F,COLUMN(Articles!$C$1)-COLUMN(Articles!$A$1)+1,FALSE)</f>
        <v>D001-025</v>
      </c>
      <c r="D31" s="4" t="s">
        <v>290</v>
      </c>
      <c r="E31" s="4">
        <v>1</v>
      </c>
      <c r="F31" s="4">
        <f>VLOOKUP(Table1411[[#This Row],[Man. Number]],Articles!A:F,COLUMN(Articles!$F$1)-COLUMN(Articles!$A$1)+1,FALSE)</f>
        <v>2</v>
      </c>
      <c r="G31" s="4" t="str">
        <f>IF(Table1411[[#This Row],[In stock]] &gt;= Table1411[[#This Row],[Quantity]],"YES","NO")</f>
        <v>YES</v>
      </c>
      <c r="H31" s="4">
        <f>VLOOKUP(Table1411[[#This Row],[Man. Number]],Articles!A:J,COLUMN(Articles!$J$1)-COLUMN(Articles!$A$1)+1,FALSE)*Table1411[[#This Row],[Quantity]]</f>
        <v>1.47</v>
      </c>
      <c r="I31" s="4">
        <f>Table1411[[#This Row],[Quantity]]*$M$1</f>
        <v>1</v>
      </c>
      <c r="J31" s="4" t="str">
        <f>IF(Table1411[[#This Row],[In stock]] &gt;= Table1411[[#This Row],[Total quantity]],"YES","NO")</f>
        <v>YES</v>
      </c>
    </row>
    <row r="32" spans="1:10" x14ac:dyDescent="0.25">
      <c r="A32" s="3" t="s">
        <v>9</v>
      </c>
      <c r="B32" s="4" t="str">
        <f>VLOOKUP(Table1411[[#This Row],[Man. Number]],Articles!A:F,COLUMN(Articles!$D$1)-COLUMN(Articles!$A$1)+1,FALSE)</f>
        <v>Porte Logique NON-ET, 4 Portes, 2 entrées, 12 mA, 2V à 5.5V</v>
      </c>
      <c r="C32" s="4" t="str">
        <f>VLOOKUP(Table1411[[#This Row],[Man. Number]],Articles!A:F,COLUMN(Articles!$C$1)-COLUMN(Articles!$A$1)+1,FALSE)</f>
        <v>D001-012</v>
      </c>
      <c r="D32" s="4" t="s">
        <v>273</v>
      </c>
      <c r="E32" s="4">
        <v>1</v>
      </c>
      <c r="F32" s="4">
        <f>VLOOKUP(Table1411[[#This Row],[Man. Number]],Articles!A:F,COLUMN(Articles!$F$1)-COLUMN(Articles!$A$1)+1,FALSE)</f>
        <v>4</v>
      </c>
      <c r="G32" s="4" t="str">
        <f>IF(Table1411[[#This Row],[In stock]] &gt;= Table1411[[#This Row],[Quantity]],"YES","NO")</f>
        <v>YES</v>
      </c>
      <c r="H32" s="4">
        <f>VLOOKUP(Table1411[[#This Row],[Man. Number]],Articles!A:J,COLUMN(Articles!$J$1)-COLUMN(Articles!$A$1)+1,FALSE)*Table1411[[#This Row],[Quantity]]</f>
        <v>0.33100000000000002</v>
      </c>
      <c r="I32" s="4">
        <f>Table1411[[#This Row],[Quantity]]*$M$1</f>
        <v>1</v>
      </c>
      <c r="J32" s="4" t="str">
        <f>IF(Table1411[[#This Row],[In stock]] &gt;= Table1411[[#This Row],[Total quantity]],"YES","NO")</f>
        <v>YES</v>
      </c>
    </row>
    <row r="33" spans="1:10" x14ac:dyDescent="0.25">
      <c r="A33" s="3">
        <v>90990</v>
      </c>
      <c r="B33" s="4" t="e">
        <f>VLOOKUP(Table1411[[#This Row],[Man. Number]],Articles!A:F,COLUMN(Articles!$D$1)-COLUMN(Articles!$A$1)+1,FALSE)</f>
        <v>#N/A</v>
      </c>
      <c r="C33" s="4" t="e">
        <f>VLOOKUP(Table1411[[#This Row],[Man. Number]],Articles!A:F,COLUMN(Articles!$C$1)-COLUMN(Articles!$A$1)+1,FALSE)</f>
        <v>#N/A</v>
      </c>
      <c r="D33" s="4" t="s">
        <v>292</v>
      </c>
      <c r="E33" s="4">
        <f>1/2</f>
        <v>0.5</v>
      </c>
      <c r="F33" s="4" t="e">
        <f>VLOOKUP(Table1411[[#This Row],[Man. Number]],Articles!A:F,COLUMN(Articles!$F$1)-COLUMN(Articles!$A$1)+1,FALSE)</f>
        <v>#N/A</v>
      </c>
      <c r="G33" s="4" t="e">
        <f>IF(Table1411[[#This Row],[In stock]] &gt;= Table1411[[#This Row],[Quantity]],"YES","NO")</f>
        <v>#N/A</v>
      </c>
      <c r="H33" s="4" t="e">
        <f>VLOOKUP(Table1411[[#This Row],[Man. Number]],Articles!A:J,COLUMN(Articles!$J$1)-COLUMN(Articles!$A$1)+1,FALSE)*Table1411[[#This Row],[Quantity]]</f>
        <v>#N/A</v>
      </c>
      <c r="I33" s="4">
        <f>Table1411[[#This Row],[Quantity]]*$M$1</f>
        <v>0.5</v>
      </c>
      <c r="J33" s="4" t="e">
        <f>IF(Table1411[[#This Row],[In stock]] &gt;= Table1411[[#This Row],[Total quantity]],"YES","NO")</f>
        <v>#N/A</v>
      </c>
    </row>
    <row r="34" spans="1:10" x14ac:dyDescent="0.25">
      <c r="A34" s="3">
        <v>965083</v>
      </c>
      <c r="B34" s="4" t="e">
        <f>VLOOKUP(Table1411[[#This Row],[Man. Number]],Articles!A:F,COLUMN(Articles!$D$1)-COLUMN(Articles!$A$1)+1,FALSE)</f>
        <v>#N/A</v>
      </c>
      <c r="C34" s="4" t="e">
        <f>VLOOKUP(Table1411[[#This Row],[Man. Number]],Articles!A:F,COLUMN(Articles!$C$1)-COLUMN(Articles!$A$1)+1,FALSE)</f>
        <v>#N/A</v>
      </c>
      <c r="D34" s="4" t="s">
        <v>292</v>
      </c>
      <c r="E34" s="4">
        <v>1</v>
      </c>
      <c r="F34" s="4" t="e">
        <f>VLOOKUP(Table1411[[#This Row],[Man. Number]],Articles!A:F,COLUMN(Articles!$F$1)-COLUMN(Articles!$A$1)+1,FALSE)</f>
        <v>#N/A</v>
      </c>
      <c r="G34" s="4" t="e">
        <f>IF(Table1411[[#This Row],[In stock]] &gt;= Table1411[[#This Row],[Quantity]],"YES","NO")</f>
        <v>#N/A</v>
      </c>
      <c r="H34" s="4" t="e">
        <f>VLOOKUP(Table1411[[#This Row],[Man. Number]],Articles!A:J,COLUMN(Articles!$J$1)-COLUMN(Articles!$A$1)+1,FALSE)*Table1411[[#This Row],[Quantity]]</f>
        <v>#N/A</v>
      </c>
      <c r="I34" s="4">
        <f>Table1411[[#This Row],[Quantity]]*$M$1</f>
        <v>1</v>
      </c>
      <c r="J34" s="4" t="e">
        <f>IF(Table1411[[#This Row],[In stock]] &gt;= Table1411[[#This Row],[Total quantity]],"YES","NO")</f>
        <v>#N/A</v>
      </c>
    </row>
    <row r="35" spans="1:10" x14ac:dyDescent="0.25">
      <c r="A35" s="47" t="s">
        <v>1033</v>
      </c>
      <c r="B35" s="38" t="e">
        <f>VLOOKUP(Table1411[[#This Row],[Man. Number]],Articles!A:F,COLUMN(Articles!$D$1)-COLUMN(Articles!$A$1)+1,FALSE)</f>
        <v>#N/A</v>
      </c>
      <c r="C35" s="38" t="e">
        <f>VLOOKUP(Table1411[[#This Row],[Man. Number]],Articles!A:F,COLUMN(Articles!$C$1)-COLUMN(Articles!$A$1)+1,FALSE)</f>
        <v>#N/A</v>
      </c>
      <c r="D35" s="4" t="s">
        <v>292</v>
      </c>
      <c r="E35" s="4">
        <v>1</v>
      </c>
      <c r="F35" s="38" t="e">
        <f>VLOOKUP(Table1411[[#This Row],[Man. Number]],Articles!A:F,COLUMN(Articles!$F$1)-COLUMN(Articles!$A$1)+1,FALSE)</f>
        <v>#N/A</v>
      </c>
      <c r="G35" s="38" t="e">
        <f>IF(Table1411[[#This Row],[In stock]] &gt;= Table1411[[#This Row],[Quantity]],"YES","NO")</f>
        <v>#N/A</v>
      </c>
      <c r="H35" s="38" t="e">
        <f>VLOOKUP(Table1411[[#This Row],[Man. Number]],Articles!A:J,COLUMN(Articles!$J$1)-COLUMN(Articles!$A$1)+1,FALSE)*Table1411[[#This Row],[Quantity]]</f>
        <v>#N/A</v>
      </c>
      <c r="I35" s="38">
        <f>Table1411[[#This Row],[Quantity]]*$M$1</f>
        <v>1</v>
      </c>
      <c r="J35" s="38" t="e">
        <f>IF(Table1411[[#This Row],[In stock]] &gt;= Table1411[[#This Row],[Total quantity]],"YES","NO")</f>
        <v>#N/A</v>
      </c>
    </row>
    <row r="36" spans="1:10" x14ac:dyDescent="0.25">
      <c r="A36" s="47" t="s">
        <v>1042</v>
      </c>
      <c r="B36" s="38" t="e">
        <f>VLOOKUP(Table1411[[#This Row],[Man. Number]],Articles!A:F,COLUMN(Articles!$D$1)-COLUMN(Articles!$A$1)+1,FALSE)</f>
        <v>#N/A</v>
      </c>
      <c r="C36" s="38" t="e">
        <f>VLOOKUP(Table1411[[#This Row],[Man. Number]],Articles!A:F,COLUMN(Articles!$C$1)-COLUMN(Articles!$A$1)+1,FALSE)</f>
        <v>#N/A</v>
      </c>
      <c r="D36" s="4" t="s">
        <v>292</v>
      </c>
      <c r="E36" s="4">
        <v>1</v>
      </c>
      <c r="F36" s="38" t="e">
        <f>VLOOKUP(Table1411[[#This Row],[Man. Number]],Articles!A:F,COLUMN(Articles!$F$1)-COLUMN(Articles!$A$1)+1,FALSE)</f>
        <v>#N/A</v>
      </c>
      <c r="G36" s="38" t="e">
        <f>IF(Table1411[[#This Row],[In stock]] &gt;= Table1411[[#This Row],[Quantity]],"YES","NO")</f>
        <v>#N/A</v>
      </c>
      <c r="H36" s="38" t="e">
        <f>VLOOKUP(Table1411[[#This Row],[Man. Number]],Articles!A:J,COLUMN(Articles!$J$1)-COLUMN(Articles!$A$1)+1,FALSE)*Table1411[[#This Row],[Quantity]]</f>
        <v>#N/A</v>
      </c>
      <c r="I36" s="38">
        <f>Table1411[[#This Row],[Quantity]]*$M$1</f>
        <v>1</v>
      </c>
      <c r="J36" s="38" t="e">
        <f>IF(Table1411[[#This Row],[In stock]] &gt;= Table1411[[#This Row],[Total quantity]],"YES","NO")</f>
        <v>#N/A</v>
      </c>
    </row>
    <row r="37" spans="1:10" x14ac:dyDescent="0.25">
      <c r="A37" s="47" t="s">
        <v>542</v>
      </c>
      <c r="B37" s="38" t="str">
        <f>VLOOKUP(Table1411[[#This Row],[Man. Number]],Articles!A:F,COLUMN(Articles!$D$1)-COLUMN(Articles!$A$1)+1,FALSE)</f>
        <v>Connector Header Through Hole, male, 36 position 0.100" (2.54mm)</v>
      </c>
      <c r="C37" s="38" t="str">
        <f>VLOOKUP(Table1411[[#This Row],[Man. Number]],Articles!A:F,COLUMN(Articles!$C$1)-COLUMN(Articles!$A$1)+1,FALSE)</f>
        <v>None</v>
      </c>
      <c r="D37" s="4" t="s">
        <v>1075</v>
      </c>
      <c r="E37" s="4">
        <f>10/36</f>
        <v>0.27777777777777779</v>
      </c>
      <c r="F37" s="38">
        <f>VLOOKUP(Table1411[[#This Row],[Man. Number]],Articles!A:F,COLUMN(Articles!$F$1)-COLUMN(Articles!$A$1)+1,FALSE)</f>
        <v>2.5</v>
      </c>
      <c r="G37" s="38" t="str">
        <f>IF(Table1411[[#This Row],[In stock]] &gt;= Table1411[[#This Row],[Quantity]],"YES","NO")</f>
        <v>YES</v>
      </c>
      <c r="H37" s="38">
        <f>VLOOKUP(Table1411[[#This Row],[Man. Number]],Articles!A:J,COLUMN(Articles!$J$1)-COLUMN(Articles!$A$1)+1,FALSE)*Table1411[[#This Row],[Quantity]]</f>
        <v>0.28333333333333333</v>
      </c>
      <c r="I37" s="38">
        <f>Table1411[[#This Row],[Quantity]]*$M$1</f>
        <v>0.27777777777777779</v>
      </c>
      <c r="J37" s="38" t="str">
        <f>IF(Table1411[[#This Row],[In stock]] &gt;= Table1411[[#This Row],[Total quantity]],"YES","NO")</f>
        <v>YES</v>
      </c>
    </row>
    <row r="38" spans="1:10" x14ac:dyDescent="0.25">
      <c r="A38" s="47" t="s">
        <v>1031</v>
      </c>
      <c r="B38" s="38" t="e">
        <f>VLOOKUP(Table1411[[#This Row],[Man. Number]],Articles!A:F,COLUMN(Articles!$D$1)-COLUMN(Articles!$A$1)+1,FALSE)</f>
        <v>#N/A</v>
      </c>
      <c r="C38" s="38" t="e">
        <f>VLOOKUP(Table1411[[#This Row],[Man. Number]],Articles!A:F,COLUMN(Articles!$C$1)-COLUMN(Articles!$A$1)+1,FALSE)</f>
        <v>#N/A</v>
      </c>
      <c r="D38" s="4" t="s">
        <v>1059</v>
      </c>
      <c r="E38" s="4">
        <v>19</v>
      </c>
      <c r="F38" s="38" t="e">
        <f>VLOOKUP(Table1411[[#This Row],[Man. Number]],Articles!A:F,COLUMN(Articles!$F$1)-COLUMN(Articles!$A$1)+1,FALSE)</f>
        <v>#N/A</v>
      </c>
      <c r="G38" s="38" t="e">
        <f>IF(Table1411[[#This Row],[In stock]] &gt;= Table1411[[#This Row],[Quantity]],"YES","NO")</f>
        <v>#N/A</v>
      </c>
      <c r="H38" s="38" t="e">
        <f>VLOOKUP(Table1411[[#This Row],[Man. Number]],Articles!A:J,COLUMN(Articles!$J$1)-COLUMN(Articles!$A$1)+1,FALSE)*Table1411[[#This Row],[Quantity]]</f>
        <v>#N/A</v>
      </c>
      <c r="I38" s="38">
        <f>Table1411[[#This Row],[Quantity]]*$M$1</f>
        <v>19</v>
      </c>
      <c r="J38" s="38" t="e">
        <f>IF(Table1411[[#This Row],[In stock]] &gt;= Table1411[[#This Row],[Total quantity]],"YES","NO")</f>
        <v>#N/A</v>
      </c>
    </row>
    <row r="39" spans="1:10" x14ac:dyDescent="0.25">
      <c r="A39" s="47" t="s">
        <v>1032</v>
      </c>
      <c r="B39" s="38" t="e">
        <f>VLOOKUP(Table1411[[#This Row],[Man. Number]],Articles!A:F,COLUMN(Articles!$D$1)-COLUMN(Articles!$A$1)+1,FALSE)</f>
        <v>#N/A</v>
      </c>
      <c r="C39" s="38" t="e">
        <f>VLOOKUP(Table1411[[#This Row],[Man. Number]],Articles!A:F,COLUMN(Articles!$C$1)-COLUMN(Articles!$A$1)+1,FALSE)</f>
        <v>#N/A</v>
      </c>
      <c r="D39" s="4" t="s">
        <v>1058</v>
      </c>
      <c r="E39" s="4">
        <v>4</v>
      </c>
      <c r="F39" s="38" t="e">
        <f>VLOOKUP(Table1411[[#This Row],[Man. Number]],Articles!A:F,COLUMN(Articles!$F$1)-COLUMN(Articles!$A$1)+1,FALSE)</f>
        <v>#N/A</v>
      </c>
      <c r="G39" s="38" t="e">
        <f>IF(Table1411[[#This Row],[In stock]] &gt;= Table1411[[#This Row],[Quantity]],"YES","NO")</f>
        <v>#N/A</v>
      </c>
      <c r="H39" s="38" t="e">
        <f>VLOOKUP(Table1411[[#This Row],[Man. Number]],Articles!A:J,COLUMN(Articles!$J$1)-COLUMN(Articles!$A$1)+1,FALSE)*Table1411[[#This Row],[Quantity]]</f>
        <v>#N/A</v>
      </c>
      <c r="I39" s="38">
        <f>Table1411[[#This Row],[Quantity]]*$M$1</f>
        <v>4</v>
      </c>
      <c r="J39" s="38" t="e">
        <f>IF(Table1411[[#This Row],[In stock]] &gt;= Table1411[[#This Row],[Total quantity]],"YES","NO")</f>
        <v>#N/A</v>
      </c>
    </row>
    <row r="40" spans="1:10" x14ac:dyDescent="0.25">
      <c r="A40" s="47" t="s">
        <v>1040</v>
      </c>
      <c r="B40" s="38" t="e">
        <f>VLOOKUP(Table1411[[#This Row],[Man. Number]],Articles!A:F,COLUMN(Articles!$D$1)-COLUMN(Articles!$A$1)+1,FALSE)</f>
        <v>#N/A</v>
      </c>
      <c r="C40" s="38" t="e">
        <f>VLOOKUP(Table1411[[#This Row],[Man. Number]],Articles!A:F,COLUMN(Articles!$C$1)-COLUMN(Articles!$A$1)+1,FALSE)</f>
        <v>#N/A</v>
      </c>
      <c r="D40" s="4" t="s">
        <v>1058</v>
      </c>
      <c r="E40" s="4">
        <v>4</v>
      </c>
      <c r="F40" s="38" t="e">
        <f>VLOOKUP(Table1411[[#This Row],[Man. Number]],Articles!A:F,COLUMN(Articles!$F$1)-COLUMN(Articles!$A$1)+1,FALSE)</f>
        <v>#N/A</v>
      </c>
      <c r="G40" s="38" t="e">
        <f>IF(Table1411[[#This Row],[In stock]] &gt;= Table1411[[#This Row],[Quantity]],"YES","NO")</f>
        <v>#N/A</v>
      </c>
      <c r="H40" s="38" t="e">
        <f>VLOOKUP(Table1411[[#This Row],[Man. Number]],Articles!A:J,COLUMN(Articles!$J$1)-COLUMN(Articles!$A$1)+1,FALSE)*Table1411[[#This Row],[Quantity]]</f>
        <v>#N/A</v>
      </c>
      <c r="I40" s="38">
        <f>Table1411[[#This Row],[Quantity]]*$M$1</f>
        <v>4</v>
      </c>
      <c r="J40" s="38" t="e">
        <f>IF(Table1411[[#This Row],[In stock]] &gt;= Table1411[[#This Row],[Total quantity]],"YES","NO")</f>
        <v>#N/A</v>
      </c>
    </row>
    <row r="41" spans="1:10" x14ac:dyDescent="0.25">
      <c r="A41" s="47" t="s">
        <v>1038</v>
      </c>
      <c r="B41" s="38" t="e">
        <f>VLOOKUP(Table1411[[#This Row],[Man. Number]],Articles!A:F,COLUMN(Articles!$D$1)-COLUMN(Articles!$A$1)+1,FALSE)</f>
        <v>#N/A</v>
      </c>
      <c r="C41" s="38" t="e">
        <f>VLOOKUP(Table1411[[#This Row],[Man. Number]],Articles!A:F,COLUMN(Articles!$C$1)-COLUMN(Articles!$A$1)+1,FALSE)</f>
        <v>#N/A</v>
      </c>
      <c r="D41" s="4" t="s">
        <v>1057</v>
      </c>
      <c r="E41" s="4">
        <v>1</v>
      </c>
      <c r="F41" s="38" t="e">
        <f>VLOOKUP(Table1411[[#This Row],[Man. Number]],Articles!A:F,COLUMN(Articles!$F$1)-COLUMN(Articles!$A$1)+1,FALSE)</f>
        <v>#N/A</v>
      </c>
      <c r="G41" s="38" t="e">
        <f>IF(Table1411[[#This Row],[In stock]] &gt;= Table1411[[#This Row],[Quantity]],"YES","NO")</f>
        <v>#N/A</v>
      </c>
      <c r="H41" s="38" t="e">
        <f>VLOOKUP(Table1411[[#This Row],[Man. Number]],Articles!A:J,COLUMN(Articles!$J$1)-COLUMN(Articles!$A$1)+1,FALSE)*Table1411[[#This Row],[Quantity]]</f>
        <v>#N/A</v>
      </c>
      <c r="I41" s="38">
        <f>Table1411[[#This Row],[Quantity]]*$M$1</f>
        <v>1</v>
      </c>
      <c r="J41" s="38" t="e">
        <f>IF(Table1411[[#This Row],[In stock]] &gt;= Table1411[[#This Row],[Total quantity]],"YES","NO")</f>
        <v>#N/A</v>
      </c>
    </row>
    <row r="42" spans="1:10" x14ac:dyDescent="0.25">
      <c r="A42" s="47" t="s">
        <v>1045</v>
      </c>
      <c r="B42" s="38" t="e">
        <f>VLOOKUP(Table1411[[#This Row],[Man. Number]],Articles!A:F,COLUMN(Articles!$D$1)-COLUMN(Articles!$A$1)+1,FALSE)</f>
        <v>#N/A</v>
      </c>
      <c r="C42" s="38" t="e">
        <f>VLOOKUP(Table1411[[#This Row],[Man. Number]],Articles!A:F,COLUMN(Articles!$C$1)-COLUMN(Articles!$A$1)+1,FALSE)</f>
        <v>#N/A</v>
      </c>
      <c r="D42" s="4" t="s">
        <v>1057</v>
      </c>
      <c r="E42" s="4">
        <v>1</v>
      </c>
      <c r="F42" s="38" t="e">
        <f>VLOOKUP(Table1411[[#This Row],[Man. Number]],Articles!A:F,COLUMN(Articles!$F$1)-COLUMN(Articles!$A$1)+1,FALSE)</f>
        <v>#N/A</v>
      </c>
      <c r="G42" s="38" t="e">
        <f>IF(Table1411[[#This Row],[In stock]] &gt;= Table1411[[#This Row],[Quantity]],"YES","NO")</f>
        <v>#N/A</v>
      </c>
      <c r="H42" s="38" t="e">
        <f>VLOOKUP(Table1411[[#This Row],[Man. Number]],Articles!A:J,COLUMN(Articles!$J$1)-COLUMN(Articles!$A$1)+1,FALSE)*Table1411[[#This Row],[Quantity]]</f>
        <v>#N/A</v>
      </c>
      <c r="I42" s="38">
        <f>Table1411[[#This Row],[Quantity]]*$M$1</f>
        <v>1</v>
      </c>
      <c r="J42" s="38" t="e">
        <f>IF(Table1411[[#This Row],[In stock]] &gt;= Table1411[[#This Row],[Total quantity]],"YES","NO")</f>
        <v>#N/A</v>
      </c>
    </row>
    <row r="43" spans="1:10" x14ac:dyDescent="0.25">
      <c r="A43" s="4" t="s">
        <v>70</v>
      </c>
      <c r="B43" s="4" t="str">
        <f>VLOOKUP(Table1411[[#This Row],[Man. Number]],Articles!A:F,COLUMN(Articles!$D$1)-COLUMN(Articles!$A$1)+1,FALSE)</f>
        <v>AUDIO PIEZO INDICATOR 2-5V TH</v>
      </c>
      <c r="C43" s="4" t="str">
        <f>VLOOKUP(Table1411[[#This Row],[Man. Number]],Articles!A:F,COLUMN(Articles!$C$1)-COLUMN(Articles!$A$1)+1,FALSE)</f>
        <v>None</v>
      </c>
      <c r="D43" s="4" t="s">
        <v>289</v>
      </c>
      <c r="E43" s="4">
        <v>1</v>
      </c>
      <c r="F43" s="4">
        <f>VLOOKUP(Table1411[[#This Row],[Man. Number]],Articles!A:F,COLUMN(Articles!$F$1)-COLUMN(Articles!$A$1)+1,FALSE)</f>
        <v>1</v>
      </c>
      <c r="G43" s="4" t="str">
        <f>IF(Table1411[[#This Row],[In stock]] &gt;= Table1411[[#This Row],[Quantity]],"YES","NO")</f>
        <v>YES</v>
      </c>
      <c r="H43" s="4">
        <f>VLOOKUP(Table1411[[#This Row],[Man. Number]],Articles!A:J,COLUMN(Articles!$J$1)-COLUMN(Articles!$A$1)+1,FALSE)*Table1411[[#This Row],[Quantity]]</f>
        <v>2.98</v>
      </c>
      <c r="I43" s="4">
        <f>Table1411[[#This Row],[Quantity]]*$M$1</f>
        <v>1</v>
      </c>
      <c r="J43" s="4" t="str">
        <f>IF(Table1411[[#This Row],[In stock]] &gt;= Table1411[[#This Row],[Total quantity]],"YES","NO")</f>
        <v>YES</v>
      </c>
    </row>
    <row r="44" spans="1:10" x14ac:dyDescent="0.25">
      <c r="A44" s="3">
        <v>1181876</v>
      </c>
      <c r="B44" s="4" t="e">
        <f>VLOOKUP(Table1411[[#This Row],[Man. Number]],Articles!A:F,COLUMN(Articles!$D$1)-COLUMN(Articles!$A$1)+1,FALSE)</f>
        <v>#N/A</v>
      </c>
      <c r="C44" s="4" t="e">
        <f>VLOOKUP(Table1411[[#This Row],[Man. Number]],Articles!A:F,COLUMN(Articles!$C$1)-COLUMN(Articles!$A$1)+1,FALSE)</f>
        <v>#N/A</v>
      </c>
      <c r="E44" s="4">
        <v>0</v>
      </c>
      <c r="F44" s="4" t="e">
        <f>VLOOKUP(Table1411[[#This Row],[Man. Number]],Articles!A:F,COLUMN(Articles!$F$1)-COLUMN(Articles!$A$1)+1,FALSE)</f>
        <v>#N/A</v>
      </c>
      <c r="G44" s="4" t="e">
        <f>IF(Table1411[[#This Row],[In stock]] &gt;= Table1411[[#This Row],[Quantity]],"YES","NO")</f>
        <v>#N/A</v>
      </c>
      <c r="H44" s="4" t="e">
        <f>VLOOKUP(Table1411[[#This Row],[Man. Number]],Articles!A:J,COLUMN(Articles!$J$1)-COLUMN(Articles!$A$1)+1,FALSE)*Table1411[[#This Row],[Quantity]]</f>
        <v>#N/A</v>
      </c>
      <c r="I44" s="4">
        <f>Table1411[[#This Row],[Quantity]]*$M$1</f>
        <v>0</v>
      </c>
      <c r="J44" s="4" t="e">
        <f>IF(Table1411[[#This Row],[In stock]] &gt;= Table1411[[#This Row],[Total quantity]],"YES","NO")</f>
        <v>#N/A</v>
      </c>
    </row>
    <row r="45" spans="1:10" x14ac:dyDescent="0.25">
      <c r="A45" s="4" t="s">
        <v>448</v>
      </c>
      <c r="G45" s="4"/>
      <c r="H45" s="4" t="e">
        <f>SUBTOTAL(109,Table1411[Unit Price])</f>
        <v>#N/A</v>
      </c>
      <c r="I45" s="4"/>
      <c r="J45" s="4"/>
    </row>
  </sheetData>
  <sheetProtection sheet="1" objects="1" scenarios="1"/>
  <conditionalFormatting sqref="A1:A1048576">
    <cfRule type="duplicateValues" dxfId="28" priority="5"/>
  </conditionalFormatting>
  <conditionalFormatting sqref="G1:H1048576 J1:J1048576">
    <cfRule type="containsText" dxfId="27" priority="6" operator="containsText" text="NO">
      <formula>NOT(ISERROR(SEARCH("NO",G1)))</formula>
    </cfRule>
  </conditionalFormatting>
  <conditionalFormatting sqref="N1">
    <cfRule type="cellIs" dxfId="26" priority="1" stopIfTrue="1" operator="equal">
      <formula>"Locked"</formula>
    </cfRule>
    <cfRule type="cellIs" dxfId="25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0</xdr:rowOff>
                  </from>
                  <to>
                    <xdr:col>13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4</xdr:row>
                    <xdr:rowOff>171450</xdr:rowOff>
                  </from>
                  <to>
                    <xdr:col>13</xdr:col>
                    <xdr:colOff>600075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N41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1107</v>
      </c>
    </row>
    <row r="2" spans="1:14" x14ac:dyDescent="0.25">
      <c r="A2" s="3" t="s">
        <v>144</v>
      </c>
      <c r="B2" s="4" t="str">
        <f>VLOOKUP(Table14[[#This Row],[Man. Number]],Articles!A:F,COLUMN(Articles!$D$1)-COLUMN(Articles!$A$1)+1,FALSE)</f>
        <v>BOX PLASTIC GRY/CLR 4.9"LX4.92"W</v>
      </c>
      <c r="C2" s="4" t="str">
        <f>VLOOKUP(Table14[[#This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VLOOKUP(Table14[[#This Row],[Man. Number]],Articles!A:F,COLUMN(Articles!$F$1)-COLUMN(Articles!$A$1)+1,FALSE)</f>
        <v>1</v>
      </c>
      <c r="G2" s="4" t="str">
        <f>IF(Table14[[#This Row],[In stock]] &gt;= Table14[[#This Row],[Quantity]],"YES","NO")</f>
        <v>YES</v>
      </c>
      <c r="H2" s="3">
        <f>VLOOKUP(Table14[[#This Row],[Man. Number]],Articles!A:J,COLUMN(Articles!$J$1)-COLUMN(Articles!$A$1)+1,FALSE)*Table14[[#This Row],[Quantity]]</f>
        <v>15.9</v>
      </c>
      <c r="I2" s="4">
        <f>Table14[[#This Row],[Quantity]]*$M$1</f>
        <v>1</v>
      </c>
      <c r="J2" s="4" t="str">
        <f>IF(Table14[[#This Row],[In stock]] &gt;= Table14[[#This Row],[Total quantity]],"YES","NO")</f>
        <v>YES</v>
      </c>
    </row>
    <row r="3" spans="1:14" x14ac:dyDescent="0.25">
      <c r="A3" s="3" t="s">
        <v>104</v>
      </c>
      <c r="B3" s="4" t="str">
        <f>VLOOKUP(Table14[[#This Row],[Man. Number]],Articles!A:F,COLUMN(Articles!$D$1)-COLUMN(Articles!$A$1)+1,FALSE)</f>
        <v>Cavalier (barre bus), Shunt, Shunt, Embases au pas de 0.100", 2 Voies, 2.54 mm</v>
      </c>
      <c r="C3" s="4" t="str">
        <f>VLOOKUP(Table14[[#This Row],[Man. Number]],Articles!A:F,COLUMN(Articles!$C$1)-COLUMN(Articles!$A$1)+1,FALSE)</f>
        <v>D200-007</v>
      </c>
      <c r="D3" s="4" t="s">
        <v>58</v>
      </c>
      <c r="E3" s="4">
        <v>19</v>
      </c>
      <c r="F3" s="4">
        <f>VLOOKUP(Table14[[#This Row],[Man. Number]],Articles!A:F,COLUMN(Articles!$F$1)-COLUMN(Articles!$A$1)+1,FALSE)</f>
        <v>100</v>
      </c>
      <c r="G3" s="4" t="str">
        <f>IF(Table14[[#This Row],[In stock]] &gt;= Table14[[#This Row],[Quantity]],"YES","NO")</f>
        <v>YES</v>
      </c>
      <c r="H3" s="3">
        <f>VLOOKUP(Table14[[#This Row],[Man. Number]],Articles!A:J,COLUMN(Articles!$J$1)-COLUMN(Articles!$A$1)+1,FALSE)*Table14[[#This Row],[Quantity]]</f>
        <v>4.9400000000000004</v>
      </c>
      <c r="I3" s="4">
        <f>Table14[[#This Row],[Quantity]]*$M$1</f>
        <v>19</v>
      </c>
      <c r="J3" s="4" t="str">
        <f>IF(Table14[[#This Row],[In stock]] &gt;= Table14[[#This Row],[Total quantity]],"YES","NO")</f>
        <v>YES</v>
      </c>
    </row>
    <row r="4" spans="1:14" x14ac:dyDescent="0.25">
      <c r="A4" s="3" t="s">
        <v>428</v>
      </c>
      <c r="B4" s="4" t="str">
        <f>VLOOKUP(Table14[[#This Row],[Man. Number]],Articles!A:F,COLUMN(Articles!$D$1)-COLUMN(Articles!$A$1)+1,FALSE)</f>
        <v>Connecteur carte-à-carte, femelle, 2.54 mm, 36 Contact(s), Embase</v>
      </c>
      <c r="C4" s="4" t="str">
        <f>VLOOKUP(Table14[[#This Row],[Man. Number]],Articles!A:F,COLUMN(Articles!$C$1)-COLUMN(Articles!$A$1)+1,FALSE)</f>
        <v>D200-011</v>
      </c>
      <c r="D4" s="4" t="s">
        <v>58</v>
      </c>
      <c r="E4" s="4">
        <v>0.63888888888888884</v>
      </c>
      <c r="F4" s="4">
        <f>VLOOKUP(Table14[[#This Row],[Man. Number]],Articles!A:F,COLUMN(Articles!$F$1)-COLUMN(Articles!$A$1)+1,FALSE)</f>
        <v>2.3050000000000002</v>
      </c>
      <c r="G4" s="4" t="str">
        <f>IF(Table14[[#This Row],[In stock]] &gt;= Table14[[#This Row],[Quantity]],"YES","NO")</f>
        <v>YES</v>
      </c>
      <c r="H4" s="3">
        <f>VLOOKUP(Table14[[#This Row],[Man. Number]],Articles!A:J,COLUMN(Articles!$J$1)-COLUMN(Articles!$A$1)+1,FALSE)*Table14[[#This Row],[Quantity]]</f>
        <v>1.9933333333333332</v>
      </c>
      <c r="I4" s="4">
        <f>Table14[[#This Row],[Quantity]]*$M$1</f>
        <v>0.63888888888888884</v>
      </c>
      <c r="J4" s="4" t="str">
        <f>IF(Table14[[#This Row],[In stock]] &gt;= Table14[[#This Row],[Total quantity]],"YES","NO")</f>
        <v>YES</v>
      </c>
    </row>
    <row r="5" spans="1:14" x14ac:dyDescent="0.25">
      <c r="A5" s="3" t="s">
        <v>301</v>
      </c>
      <c r="B5" s="4" t="str">
        <f>VLOOKUP(Table14[[#This Row],[Man. Number]],Articles!A:F,COLUMN(Articles!$D$1)-COLUMN(Articles!$A$1)+1,FALSE)</f>
        <v>PCB Lampe solaire v4</v>
      </c>
      <c r="C5" s="4" t="str">
        <f>VLOOKUP(Table14[[#This Row],[Man. Number]],Articles!A:F,COLUMN(Articles!$C$1)-COLUMN(Articles!$A$1)+1,FALSE)</f>
        <v>None</v>
      </c>
      <c r="D5" s="4" t="s">
        <v>58</v>
      </c>
      <c r="E5" s="4">
        <v>1</v>
      </c>
      <c r="F5" s="4">
        <f>VLOOKUP(Table14[[#This Row],[Man. Number]],Articles!A:F,COLUMN(Articles!$F$1)-COLUMN(Articles!$A$1)+1,FALSE)</f>
        <v>10</v>
      </c>
      <c r="G5" s="4" t="str">
        <f>IF(Table14[[#This Row],[In stock]] &gt;= Table14[[#This Row],[Quantity]],"YES","NO")</f>
        <v>YES</v>
      </c>
      <c r="H5" s="3">
        <f>VLOOKUP(Table14[[#This Row],[Man. Number]],Articles!A:J,COLUMN(Articles!$J$1)-COLUMN(Articles!$A$1)+1,FALSE)*Table14[[#This Row],[Quantity]]</f>
        <v>0</v>
      </c>
      <c r="I5" s="4">
        <f>Table14[[#This Row],[Quantity]]*$M$1</f>
        <v>1</v>
      </c>
      <c r="J5" s="4" t="str">
        <f>IF(Table14[[#This Row],[In stock]] &gt;= Table14[[#This Row],[Total quantity]],"YES","NO")</f>
        <v>YES</v>
      </c>
    </row>
    <row r="6" spans="1:14" x14ac:dyDescent="0.25">
      <c r="A6" s="3" t="s">
        <v>12</v>
      </c>
      <c r="B6" s="4" t="str">
        <f>VLOOKUP(Table14[[#This Row],[Man. Number]],Articles!A:F,COLUMN(Articles!$D$1)-COLUMN(Articles!$A$1)+1,FALSE)</f>
        <v>Condensateur électrolytique, 4.7 µF, 35 V, Série MCGPR, ± 20%, À sorties radiales, 5 mm</v>
      </c>
      <c r="C6" s="4" t="str">
        <f>VLOOKUP(Table14[[#This Row],[Man. Number]],Articles!A:F,COLUMN(Articles!$C$1)-COLUMN(Articles!$A$1)+1,FALSE)</f>
        <v>D200-000</v>
      </c>
      <c r="D6" s="4" t="s">
        <v>271</v>
      </c>
      <c r="E6" s="4">
        <v>1</v>
      </c>
      <c r="F6" s="4">
        <f>VLOOKUP(Table14[[#This Row],[Man. Number]],Articles!A:F,COLUMN(Articles!$F$1)-COLUMN(Articles!$A$1)+1,FALSE)</f>
        <v>48</v>
      </c>
      <c r="G6" s="4" t="str">
        <f>IF(Table14[[#This Row],[In stock]] &gt;= Table14[[#This Row],[Quantity]],"YES","NO")</f>
        <v>YES</v>
      </c>
      <c r="H6" s="3">
        <f>VLOOKUP(Table14[[#This Row],[Man. Number]],Articles!A:J,COLUMN(Articles!$J$1)-COLUMN(Articles!$A$1)+1,FALSE)*Table14[[#This Row],[Quantity]]</f>
        <v>5.0900000000000001E-2</v>
      </c>
      <c r="I6" s="4">
        <f>Table14[[#This Row],[Quantity]]*$M$1</f>
        <v>1</v>
      </c>
      <c r="J6" s="4" t="str">
        <f>IF(Table14[[#This Row],[In stock]] &gt;= Table14[[#This Row],[Total quantity]],"YES","NO")</f>
        <v>YES</v>
      </c>
    </row>
    <row r="7" spans="1:14" x14ac:dyDescent="0.25">
      <c r="A7" s="3" t="s">
        <v>14</v>
      </c>
      <c r="B7" s="4" t="str">
        <f>VLOOKUP(Table14[[#This Row],[Man. Number]],Articles!A:F,COLUMN(Articles!$D$1)-COLUMN(Articles!$A$1)+1,FALSE)</f>
        <v>Condensateur électrolytique, 10 µF, 35 V, Série MCGPR, ± 20%, À sorties radiales, 5 mm</v>
      </c>
      <c r="C7" s="4" t="str">
        <f>VLOOKUP(Table14[[#This Row],[Man. Number]],Articles!A:F,COLUMN(Articles!$C$1)-COLUMN(Articles!$A$1)+1,FALSE)</f>
        <v>D200-001</v>
      </c>
      <c r="D7" s="4" t="s">
        <v>272</v>
      </c>
      <c r="E7" s="4">
        <v>1</v>
      </c>
      <c r="F7" s="4">
        <f>VLOOKUP(Table14[[#This Row],[Man. Number]],Articles!A:F,COLUMN(Articles!$F$1)-COLUMN(Articles!$A$1)+1,FALSE)</f>
        <v>48</v>
      </c>
      <c r="G7" s="4" t="str">
        <f>IF(Table14[[#This Row],[In stock]] &gt;= Table14[[#This Row],[Quantity]],"YES","NO")</f>
        <v>YES</v>
      </c>
      <c r="H7" s="3">
        <f>VLOOKUP(Table14[[#This Row],[Man. Number]],Articles!A:J,COLUMN(Articles!$J$1)-COLUMN(Articles!$A$1)+1,FALSE)*Table14[[#This Row],[Quantity]]</f>
        <v>5.1700000000000003E-2</v>
      </c>
      <c r="I7" s="4">
        <f>Table14[[#This Row],[Quantity]]*$M$1</f>
        <v>1</v>
      </c>
      <c r="J7" s="4" t="str">
        <f>IF(Table14[[#This Row],[In stock]] &gt;= Table14[[#This Row],[Total quantity]],"YES","NO")</f>
        <v>YES</v>
      </c>
    </row>
    <row r="8" spans="1:14" x14ac:dyDescent="0.25">
      <c r="A8" s="3" t="s">
        <v>33</v>
      </c>
      <c r="B8" s="4" t="str">
        <f>VLOOKUP(Table14[[#This Row],[Man. Number]],Articles!A:F,COLUMN(Articles!$D$1)-COLUMN(Articles!$A$1)+1,FALSE)</f>
        <v>Condensateur céramique multicouche CMS, 1206 [3216 Metric], 0.1 µF, 25 V, ± 10%, X7R</v>
      </c>
      <c r="C8" s="4" t="str">
        <f>VLOOKUP(Table14[[#This Row],[Man. Number]],Articles!A:F,COLUMN(Articles!$C$1)-COLUMN(Articles!$A$1)+1,FALSE)</f>
        <v>D100-148</v>
      </c>
      <c r="D8" s="4" t="s">
        <v>270</v>
      </c>
      <c r="E8" s="4">
        <v>4</v>
      </c>
      <c r="F8" s="4">
        <f>VLOOKUP(Table14[[#This Row],[Man. Number]],Articles!A:F,COLUMN(Articles!$F$1)-COLUMN(Articles!$A$1)+1,FALSE)</f>
        <v>83</v>
      </c>
      <c r="G8" s="4" t="str">
        <f>IF(Table14[[#This Row],[In stock]] &gt;= Table14[[#This Row],[Quantity]],"YES","NO")</f>
        <v>YES</v>
      </c>
      <c r="H8" s="3">
        <f>VLOOKUP(Table14[[#This Row],[Man. Number]],Articles!A:J,COLUMN(Articles!$J$1)-COLUMN(Articles!$A$1)+1,FALSE)*Table14[[#This Row],[Quantity]]</f>
        <v>1.68</v>
      </c>
      <c r="I8" s="4">
        <f>Table14[[#This Row],[Quantity]]*$M$1</f>
        <v>4</v>
      </c>
      <c r="J8" s="4" t="str">
        <f>IF(Table14[[#This Row],[In stock]] &gt;= Table14[[#This Row],[Total quantity]],"YES","NO")</f>
        <v>YES</v>
      </c>
    </row>
    <row r="9" spans="1:14" x14ac:dyDescent="0.25">
      <c r="A9" s="3" t="s">
        <v>267</v>
      </c>
      <c r="B9" s="4" t="str">
        <f>VLOOKUP(Table14[[#This Row],[Man. Number]],Articles!A:F,COLUMN(Articles!$D$1)-COLUMN(Articles!$A$1)+1,FALSE)</f>
        <v>FUSE BOARD MNT 630MA 63VDC 1206</v>
      </c>
      <c r="C9" s="4" t="str">
        <f>VLOOKUP(Table14[[#This Row],[Man. Number]],Articles!A:F,COLUMN(Articles!$C$1)-COLUMN(Articles!$A$1)+1,FALSE)</f>
        <v>D100-138</v>
      </c>
      <c r="D9" s="4" t="s">
        <v>269</v>
      </c>
      <c r="E9" s="4">
        <v>1</v>
      </c>
      <c r="F9" s="4">
        <f>VLOOKUP(Table14[[#This Row],[Man. Number]],Articles!A:F,COLUMN(Articles!$F$1)-COLUMN(Articles!$A$1)+1,FALSE)</f>
        <v>3</v>
      </c>
      <c r="G9" s="4" t="str">
        <f>IF(Table14[[#This Row],[In stock]] &gt;= Table14[[#This Row],[Quantity]],"YES","NO")</f>
        <v>YES</v>
      </c>
      <c r="H9" s="3">
        <f>VLOOKUP(Table14[[#This Row],[Man. Number]],Articles!A:J,COLUMN(Articles!$J$1)-COLUMN(Articles!$A$1)+1,FALSE)*Table14[[#This Row],[Quantity]]</f>
        <v>0.97</v>
      </c>
      <c r="I9" s="4">
        <f>Table14[[#This Row],[Quantity]]*$M$1</f>
        <v>1</v>
      </c>
      <c r="J9" s="4" t="str">
        <f>IF(Table14[[#This Row],[In stock]] &gt;= Table14[[#This Row],[Total quantity]],"YES","NO")</f>
        <v>YES</v>
      </c>
    </row>
    <row r="10" spans="1:14" x14ac:dyDescent="0.25">
      <c r="A10" s="3" t="s">
        <v>125</v>
      </c>
      <c r="B10" s="4" t="str">
        <f>VLOOKUP(Table14[[#This Row],[Man. Number]],Articles!A:F,COLUMN(Articles!$D$1)-COLUMN(Articles!$A$1)+1,FALSE)</f>
        <v>RELAY TELECOM DPDT 5A 2.4V</v>
      </c>
      <c r="C10" s="4" t="str">
        <f>VLOOKUP(Table14[[#This Row],[Man. Number]],Articles!A:F,COLUMN(Articles!$C$1)-COLUMN(Articles!$A$1)+1,FALSE)</f>
        <v>D001-037</v>
      </c>
      <c r="D10" s="4" t="s">
        <v>288</v>
      </c>
      <c r="E10" s="4">
        <v>1</v>
      </c>
      <c r="F10" s="4">
        <f>VLOOKUP(Table14[[#This Row],[Man. Number]],Articles!A:F,COLUMN(Articles!$F$1)-COLUMN(Articles!$A$1)+1,FALSE)</f>
        <v>1</v>
      </c>
      <c r="G10" s="4" t="str">
        <f>IF(Table14[[#This Row],[In stock]] &gt;= Table14[[#This Row],[Quantity]],"YES","NO")</f>
        <v>YES</v>
      </c>
      <c r="H10" s="3">
        <f>VLOOKUP(Table14[[#This Row],[Man. Number]],Articles!A:J,COLUMN(Articles!$J$1)-COLUMN(Articles!$A$1)+1,FALSE)*Table14[[#This Row],[Quantity]]</f>
        <v>4.88</v>
      </c>
      <c r="I10" s="4">
        <f>Table14[[#This Row],[Quantity]]*$M$1</f>
        <v>1</v>
      </c>
      <c r="J10" s="4" t="str">
        <f>IF(Table14[[#This Row],[In stock]] &gt;= Table14[[#This Row],[Total quantity]],"YES","NO")</f>
        <v>YES</v>
      </c>
    </row>
    <row r="11" spans="1:14" x14ac:dyDescent="0.25">
      <c r="A11" s="3" t="s">
        <v>31</v>
      </c>
      <c r="B11" s="4" t="str">
        <f>VLOOKUP(Table14[[#This Row],[Man. Number]],Articles!A:F,COLUMN(Articles!$D$1)-COLUMN(Articles!$A$1)+1,FALSE)</f>
        <v>LED, Rouge, Traversant, 3mm, 20 mA, 1.8 V, 643 nm</v>
      </c>
      <c r="C11" s="4" t="str">
        <f>VLOOKUP(Table14[[#This Row],[Man. Number]],Articles!A:F,COLUMN(Articles!$C$1)-COLUMN(Articles!$A$1)+1,FALSE)</f>
        <v>D200-008</v>
      </c>
      <c r="D11" s="4" t="s">
        <v>275</v>
      </c>
      <c r="E11" s="4">
        <v>1</v>
      </c>
      <c r="F11" s="4">
        <f>VLOOKUP(Table14[[#This Row],[Man. Number]],Articles!A:F,COLUMN(Articles!$F$1)-COLUMN(Articles!$A$1)+1,FALSE)</f>
        <v>3</v>
      </c>
      <c r="G11" s="4" t="str">
        <f>IF(Table14[[#This Row],[In stock]] &gt;= Table14[[#This Row],[Quantity]],"YES","NO")</f>
        <v>YES</v>
      </c>
      <c r="H11" s="3">
        <f>VLOOKUP(Table14[[#This Row],[Man. Number]],Articles!A:J,COLUMN(Articles!$J$1)-COLUMN(Articles!$A$1)+1,FALSE)*Table14[[#This Row],[Quantity]]</f>
        <v>0.28999999999999998</v>
      </c>
      <c r="I11" s="4">
        <f>Table14[[#This Row],[Quantity]]*$M$1</f>
        <v>1</v>
      </c>
      <c r="J11" s="4" t="str">
        <f>IF(Table14[[#This Row],[In stock]] &gt;= Table14[[#This Row],[Total quantity]],"YES","NO")</f>
        <v>YES</v>
      </c>
    </row>
    <row r="12" spans="1:14" x14ac:dyDescent="0.25">
      <c r="A12" s="3" t="s">
        <v>299</v>
      </c>
      <c r="B12" s="4" t="str">
        <f>VLOOKUP(Table14[[#This Row],[Man. Number]],Articles!A:F,COLUMN(Articles!$D$1)-COLUMN(Articles!$A$1)+1,FALSE)</f>
        <v>PCB Led adaptateur v1</v>
      </c>
      <c r="C12" s="4" t="str">
        <f>VLOOKUP(Table14[[#This Row],[Man. Number]],Articles!A:F,COLUMN(Articles!$C$1)-COLUMN(Articles!$A$1)+1,FALSE)</f>
        <v>None</v>
      </c>
      <c r="D12" s="4" t="s">
        <v>278</v>
      </c>
      <c r="E12" s="4">
        <v>1</v>
      </c>
      <c r="F12" s="4">
        <f>VLOOKUP(Table14[[#This Row],[Man. Number]],Articles!A:F,COLUMN(Articles!$F$1)-COLUMN(Articles!$A$1)+1,FALSE)</f>
        <v>8</v>
      </c>
      <c r="G12" s="4" t="str">
        <f>IF(Table14[[#This Row],[In stock]] &gt;= Table14[[#This Row],[Quantity]],"YES","NO")</f>
        <v>YES</v>
      </c>
      <c r="H12" s="3">
        <f>VLOOKUP(Table14[[#This Row],[Man. Number]],Articles!A:J,COLUMN(Articles!$J$1)-COLUMN(Articles!$A$1)+1,FALSE)*Table14[[#This Row],[Quantity]]</f>
        <v>0</v>
      </c>
      <c r="I12" s="4">
        <f>Table14[[#This Row],[Quantity]]*$M$1</f>
        <v>1</v>
      </c>
      <c r="J12" s="4" t="str">
        <f>IF(Table14[[#This Row],[In stock]] &gt;= Table14[[#This Row],[Total quantity]],"YES","NO")</f>
        <v>YES</v>
      </c>
    </row>
    <row r="13" spans="1:14" x14ac:dyDescent="0.25">
      <c r="A13" s="3" t="s">
        <v>295</v>
      </c>
      <c r="B13" s="4" t="e">
        <f>VLOOKUP(Table14[[#This Row],[Man. Number]],Articles!A:F,COLUMN(Articles!$D$1)-COLUMN(Articles!$A$1)+1,FALSE)</f>
        <v>#N/A</v>
      </c>
      <c r="C13" s="4" t="e">
        <f>VLOOKUP(Table14[[#This Row],[Man. Number]],Articles!A:F,COLUMN(Articles!$C$1)-COLUMN(Articles!$A$1)+1,FALSE)</f>
        <v>#N/A</v>
      </c>
      <c r="D13" s="4" t="s">
        <v>294</v>
      </c>
      <c r="E13" s="4">
        <v>1</v>
      </c>
      <c r="F13" s="4" t="e">
        <f>VLOOKUP(Table14[[#This Row],[Man. Number]],Articles!A:F,COLUMN(Articles!$F$1)-COLUMN(Articles!$A$1)+1,FALSE)</f>
        <v>#N/A</v>
      </c>
      <c r="G13" s="4" t="e">
        <f>IF(Table14[[#This Row],[In stock]] &gt;= Table14[[#This Row],[Quantity]],"YES","NO")</f>
        <v>#N/A</v>
      </c>
      <c r="H13" s="3" t="e">
        <f>VLOOKUP(Table14[[#This Row],[Man. Number]],Articles!A:J,COLUMN(Articles!$J$1)-COLUMN(Articles!$A$1)+1,FALSE)*Table14[[#This Row],[Quantity]]</f>
        <v>#N/A</v>
      </c>
      <c r="I13" s="4">
        <f>Table14[[#This Row],[Quantity]]*$M$1</f>
        <v>1</v>
      </c>
      <c r="J13" s="4" t="e">
        <f>IF(Table14[[#This Row],[In stock]] &gt;= Table14[[#This Row],[Total quantity]],"YES","NO")</f>
        <v>#N/A</v>
      </c>
    </row>
    <row r="14" spans="1:14" x14ac:dyDescent="0.25">
      <c r="A14" s="3" t="s">
        <v>55</v>
      </c>
      <c r="B14" s="4" t="str">
        <f>VLOOKUP(Table14[[#This Row],[Man. Number]],Articles!A:F,COLUMN(Articles!$D$1)-COLUMN(Articles!$A$1)+1,FALSE)</f>
        <v>Résistance à puce CMS, Couche épaisse, 1 Mohm</v>
      </c>
      <c r="C14" s="4" t="str">
        <f>VLOOKUP(Table14[[#This Row],[Man. Number]],Articles!A:F,COLUMN(Articles!$C$1)-COLUMN(Articles!$A$1)+1,FALSE)</f>
        <v>D101-005</v>
      </c>
      <c r="D14" s="4" t="s">
        <v>286</v>
      </c>
      <c r="E14" s="4">
        <v>1</v>
      </c>
      <c r="F14" s="4">
        <f>VLOOKUP(Table14[[#This Row],[Man. Number]],Articles!A:F,COLUMN(Articles!$F$1)-COLUMN(Articles!$A$1)+1,FALSE)</f>
        <v>9</v>
      </c>
      <c r="G14" s="4" t="str">
        <f>IF(Table14[[#This Row],[In stock]] &gt;= Table14[[#This Row],[Quantity]],"YES","NO")</f>
        <v>YES</v>
      </c>
      <c r="H14" s="3">
        <f>VLOOKUP(Table14[[#This Row],[Man. Number]],Articles!A:J,COLUMN(Articles!$J$1)-COLUMN(Articles!$A$1)+1,FALSE)*Table14[[#This Row],[Quantity]]</f>
        <v>4.4499999999999998E-2</v>
      </c>
      <c r="I14" s="4">
        <f>Table14[[#This Row],[Quantity]]*$M$1</f>
        <v>1</v>
      </c>
      <c r="J14" s="4" t="str">
        <f>IF(Table14[[#This Row],[In stock]] &gt;= Table14[[#This Row],[Total quantity]],"YES","NO")</f>
        <v>YES</v>
      </c>
    </row>
    <row r="15" spans="1:14" x14ac:dyDescent="0.25">
      <c r="A15" s="3" t="s">
        <v>50</v>
      </c>
      <c r="B15" s="4" t="str">
        <f>VLOOKUP(Table14[[#This Row],[Man. Number]],Articles!A:F,COLUMN(Articles!$D$1)-COLUMN(Articles!$A$1)+1,FALSE)</f>
        <v>Résistance à puce CMS, Céramique, 22 ohm, 0805</v>
      </c>
      <c r="C15" s="4" t="str">
        <f>VLOOKUP(Table14[[#This Row],[Man. Number]],Articles!A:F,COLUMN(Articles!$C$1)-COLUMN(Articles!$A$1)+1,FALSE)</f>
        <v>D101-003</v>
      </c>
      <c r="D15" s="4" t="s">
        <v>285</v>
      </c>
      <c r="E15" s="4">
        <v>1</v>
      </c>
      <c r="F15" s="4">
        <f>VLOOKUP(Table14[[#This Row],[Man. Number]],Articles!A:F,COLUMN(Articles!$F$1)-COLUMN(Articles!$A$1)+1,FALSE)</f>
        <v>9</v>
      </c>
      <c r="G15" s="4" t="str">
        <f>IF(Table14[[#This Row],[In stock]] &gt;= Table14[[#This Row],[Quantity]],"YES","NO")</f>
        <v>YES</v>
      </c>
      <c r="H15" s="3">
        <f>VLOOKUP(Table14[[#This Row],[Man. Number]],Articles!A:J,COLUMN(Articles!$J$1)-COLUMN(Articles!$A$1)+1,FALSE)*Table14[[#This Row],[Quantity]]</f>
        <v>1.55E-2</v>
      </c>
      <c r="I15" s="4">
        <f>Table14[[#This Row],[Quantity]]*$M$1</f>
        <v>1</v>
      </c>
      <c r="J15" s="4" t="str">
        <f>IF(Table14[[#This Row],[In stock]] &gt;= Table14[[#This Row],[Total quantity]],"YES","NO")</f>
        <v>YES</v>
      </c>
    </row>
    <row r="16" spans="1:14" x14ac:dyDescent="0.25">
      <c r="A16" s="3" t="s">
        <v>35</v>
      </c>
      <c r="B16" s="4" t="str">
        <f>VLOOKUP(Table14[[#This Row],[Man. Number]],Articles!A:F,COLUMN(Articles!$D$1)-COLUMN(Articles!$A$1)+1,FALSE)</f>
        <v>Potentiomètres variables, 10 ohm, 15 Tour(s), Traversant</v>
      </c>
      <c r="C16" s="4" t="str">
        <f>VLOOKUP(Table14[[#This Row],[Man. Number]],Articles!A:F,COLUMN(Articles!$C$1)-COLUMN(Articles!$A$1)+1,FALSE)</f>
        <v>D200-020</v>
      </c>
      <c r="D16" s="4" t="s">
        <v>279</v>
      </c>
      <c r="E16" s="4">
        <v>2</v>
      </c>
      <c r="F16" s="4">
        <f>VLOOKUP(Table14[[#This Row],[Man. Number]],Articles!A:F,COLUMN(Articles!$F$1)-COLUMN(Articles!$A$1)+1,FALSE)</f>
        <v>2</v>
      </c>
      <c r="G16" s="4" t="str">
        <f>IF(Table14[[#This Row],[In stock]] &gt;= Table14[[#This Row],[Quantity]],"YES","NO")</f>
        <v>YES</v>
      </c>
      <c r="H16" s="3">
        <f>VLOOKUP(Table14[[#This Row],[Man. Number]],Articles!A:J,COLUMN(Articles!$J$1)-COLUMN(Articles!$A$1)+1,FALSE)*Table14[[#This Row],[Quantity]]</f>
        <v>4.16</v>
      </c>
      <c r="I16" s="4">
        <f>Table14[[#This Row],[Quantity]]*$M$1</f>
        <v>2</v>
      </c>
      <c r="J16" s="4" t="str">
        <f>IF(Table14[[#This Row],[In stock]] &gt;= Table14[[#This Row],[Total quantity]],"YES","NO")</f>
        <v>YES</v>
      </c>
    </row>
    <row r="17" spans="1:10" x14ac:dyDescent="0.25">
      <c r="A17" s="3" t="s">
        <v>45</v>
      </c>
      <c r="B17" s="4" t="str">
        <f>VLOOKUP(Table14[[#This Row],[Man. Number]],Articles!A:F,COLUMN(Articles!$D$1)-COLUMN(Articles!$A$1)+1,FALSE)</f>
        <v>Potentiomètres variables, 100 kohm, 23 Tour(s), Traversant</v>
      </c>
      <c r="C17" s="4" t="str">
        <f>VLOOKUP(Table14[[#This Row],[Man. Number]],Articles!A:F,COLUMN(Articles!$C$1)-COLUMN(Articles!$A$1)+1,FALSE)</f>
        <v>D200-020</v>
      </c>
      <c r="D17" s="4" t="s">
        <v>282</v>
      </c>
      <c r="E17" s="4">
        <v>1</v>
      </c>
      <c r="F17" s="4">
        <f>VLOOKUP(Table14[[#This Row],[Man. Number]],Articles!A:F,COLUMN(Articles!$F$1)-COLUMN(Articles!$A$1)+1,FALSE)</f>
        <v>2</v>
      </c>
      <c r="G17" s="4" t="str">
        <f>IF(Table14[[#This Row],[In stock]] &gt;= Table14[[#This Row],[Quantity]],"YES","NO")</f>
        <v>YES</v>
      </c>
      <c r="H17" s="3">
        <f>VLOOKUP(Table14[[#This Row],[Man. Number]],Articles!A:J,COLUMN(Articles!$J$1)-COLUMN(Articles!$A$1)+1,FALSE)*Table14[[#This Row],[Quantity]]</f>
        <v>1.81</v>
      </c>
      <c r="I17" s="4">
        <f>Table14[[#This Row],[Quantity]]*$M$1</f>
        <v>1</v>
      </c>
      <c r="J17" s="4" t="str">
        <f>IF(Table14[[#This Row],[In stock]] &gt;= Table14[[#This Row],[Total quantity]],"YES","NO")</f>
        <v>YES</v>
      </c>
    </row>
    <row r="18" spans="1:10" x14ac:dyDescent="0.25">
      <c r="A18" s="3" t="s">
        <v>56</v>
      </c>
      <c r="B18" s="4" t="str">
        <f>VLOOKUP(Table14[[#This Row],[Man. Number]],Articles!A:F,COLUMN(Articles!$D$1)-COLUMN(Articles!$A$1)+1,FALSE)</f>
        <v>Résistance à puce CMS, 100 kohm, 0805</v>
      </c>
      <c r="C18" s="4" t="str">
        <f>VLOOKUP(Table14[[#This Row],[Man. Number]],Articles!A:F,COLUMN(Articles!$C$1)-COLUMN(Articles!$A$1)+1,FALSE)</f>
        <v>D101-002</v>
      </c>
      <c r="D18" s="4" t="s">
        <v>287</v>
      </c>
      <c r="E18" s="4">
        <v>2</v>
      </c>
      <c r="F18" s="4">
        <f>VLOOKUP(Table14[[#This Row],[Man. Number]],Articles!A:F,COLUMN(Articles!$F$1)-COLUMN(Articles!$A$1)+1,FALSE)</f>
        <v>7</v>
      </c>
      <c r="G18" s="4" t="str">
        <f>IF(Table14[[#This Row],[In stock]] &gt;= Table14[[#This Row],[Quantity]],"YES","NO")</f>
        <v>YES</v>
      </c>
      <c r="H18" s="3">
        <f>VLOOKUP(Table14[[#This Row],[Man. Number]],Articles!A:J,COLUMN(Articles!$J$1)-COLUMN(Articles!$A$1)+1,FALSE)*Table14[[#This Row],[Quantity]]</f>
        <v>4.7800000000000002E-2</v>
      </c>
      <c r="I18" s="4">
        <f>Table14[[#This Row],[Quantity]]*$M$1</f>
        <v>2</v>
      </c>
      <c r="J18" s="4" t="str">
        <f>IF(Table14[[#This Row],[In stock]] &gt;= Table14[[#This Row],[Total quantity]],"YES","NO")</f>
        <v>YES</v>
      </c>
    </row>
    <row r="19" spans="1:10" x14ac:dyDescent="0.25">
      <c r="A19" s="3" t="s">
        <v>171</v>
      </c>
      <c r="B19" s="4" t="str">
        <f>VLOOKUP(Table14[[#This Row],[Man. Number]],Articles!A:F,COLUMN(Articles!$D$1)-COLUMN(Articles!$A$1)+1,FALSE)</f>
        <v>RES SMD 4.7K OHM 1% 1/8W 0805 vishay</v>
      </c>
      <c r="C19" s="4" t="str">
        <f>VLOOKUP(Table14[[#This Row],[Man. Number]],Articles!A:F,COLUMN(Articles!$C$1)-COLUMN(Articles!$A$1)+1,FALSE)</f>
        <v>D101-000</v>
      </c>
      <c r="D19" s="4" t="s">
        <v>283</v>
      </c>
      <c r="E19" s="4">
        <v>3</v>
      </c>
      <c r="F19" s="4">
        <f>VLOOKUP(Table14[[#This Row],[Man. Number]],Articles!A:F,COLUMN(Articles!$F$1)-COLUMN(Articles!$A$1)+1,FALSE)</f>
        <v>95</v>
      </c>
      <c r="G19" s="4" t="str">
        <f>IF(Table14[[#This Row],[In stock]] &gt;= Table14[[#This Row],[Quantity]],"YES","NO")</f>
        <v>YES</v>
      </c>
      <c r="H19" s="3">
        <f>VLOOKUP(Table14[[#This Row],[Man. Number]],Articles!A:J,COLUMN(Articles!$J$1)-COLUMN(Articles!$A$1)+1,FALSE)*Table14[[#This Row],[Quantity]]</f>
        <v>5.8499999999999996E-2</v>
      </c>
      <c r="I19" s="4">
        <f>Table14[[#This Row],[Quantity]]*$M$1</f>
        <v>3</v>
      </c>
      <c r="J19" s="4" t="str">
        <f>IF(Table14[[#This Row],[In stock]] &gt;= Table14[[#This Row],[Total quantity]],"YES","NO")</f>
        <v>YES</v>
      </c>
    </row>
    <row r="20" spans="1:10" x14ac:dyDescent="0.25">
      <c r="A20" s="3" t="s">
        <v>296</v>
      </c>
      <c r="B20" s="4" t="e">
        <f>VLOOKUP(Table14[[#This Row],[Man. Number]],Articles!A:F,COLUMN(Articles!$D$1)-COLUMN(Articles!$A$1)+1,FALSE)</f>
        <v>#N/A</v>
      </c>
      <c r="C20" s="4" t="e">
        <f>VLOOKUP(Table14[[#This Row],[Man. Number]],Articles!A:F,COLUMN(Articles!$C$1)-COLUMN(Articles!$A$1)+1,FALSE)</f>
        <v>#N/A</v>
      </c>
      <c r="D20" s="4" t="s">
        <v>284</v>
      </c>
      <c r="E20" s="4">
        <v>4</v>
      </c>
      <c r="F20" s="4" t="e">
        <f>VLOOKUP(Table14[[#This Row],[Man. Number]],Articles!A:F,COLUMN(Articles!$F$1)-COLUMN(Articles!$A$1)+1,FALSE)</f>
        <v>#N/A</v>
      </c>
      <c r="G20" s="4" t="e">
        <f>IF(Table14[[#This Row],[In stock]] &gt;= Table14[[#This Row],[Quantity]],"YES","NO")</f>
        <v>#N/A</v>
      </c>
      <c r="H20" s="3" t="e">
        <f>VLOOKUP(Table14[[#This Row],[Man. Number]],Articles!A:J,COLUMN(Articles!$J$1)-COLUMN(Articles!$A$1)+1,FALSE)*Table14[[#This Row],[Quantity]]</f>
        <v>#N/A</v>
      </c>
      <c r="I20" s="4">
        <f>Table14[[#This Row],[Quantity]]*$M$1</f>
        <v>4</v>
      </c>
      <c r="J20" s="4" t="e">
        <f>IF(Table14[[#This Row],[In stock]] &gt;= Table14[[#This Row],[Total quantity]],"YES","NO")</f>
        <v>#N/A</v>
      </c>
    </row>
    <row r="21" spans="1:10" x14ac:dyDescent="0.25">
      <c r="A21" s="3">
        <v>1004068</v>
      </c>
      <c r="B21" s="4" t="e">
        <f>VLOOKUP(Table14[[#This Row],[Man. Number]],Articles!A:F,COLUMN(Articles!$D$1)-COLUMN(Articles!$A$1)+1,FALSE)</f>
        <v>#N/A</v>
      </c>
      <c r="C21" s="4" t="e">
        <f>VLOOKUP(Table14[[#This Row],[Man. Number]],Articles!A:F,COLUMN(Articles!$C$1)-COLUMN(Articles!$A$1)+1,FALSE)</f>
        <v>#N/A</v>
      </c>
      <c r="D21" s="4" t="s">
        <v>291</v>
      </c>
      <c r="E21" s="4">
        <v>1</v>
      </c>
      <c r="F21" s="4" t="e">
        <f>VLOOKUP(Table14[[#This Row],[Man. Number]],Articles!A:F,COLUMN(Articles!$F$1)-COLUMN(Articles!$A$1)+1,FALSE)</f>
        <v>#N/A</v>
      </c>
      <c r="G21" s="4" t="e">
        <f>IF(Table14[[#This Row],[In stock]] &gt;= Table14[[#This Row],[Quantity]],"YES","NO")</f>
        <v>#N/A</v>
      </c>
      <c r="H21" s="3" t="e">
        <f>VLOOKUP(Table14[[#This Row],[Man. Number]],Articles!A:J,COLUMN(Articles!$J$1)-COLUMN(Articles!$A$1)+1,FALSE)*Table14[[#This Row],[Quantity]]</f>
        <v>#N/A</v>
      </c>
      <c r="I21" s="4">
        <f>Table14[[#This Row],[Quantity]]*$M$1</f>
        <v>1</v>
      </c>
      <c r="J21" s="4" t="e">
        <f>IF(Table14[[#This Row],[In stock]] &gt;= Table14[[#This Row],[Total quantity]],"YES","NO")</f>
        <v>#N/A</v>
      </c>
    </row>
    <row r="22" spans="1:10" x14ac:dyDescent="0.25">
      <c r="A22" s="3" t="s">
        <v>39</v>
      </c>
      <c r="B22" s="4" t="str">
        <f>VLOOKUP(Table14[[#This Row],[Man. Number]],Articles!A:F,COLUMN(Articles!$D$1)-COLUMN(Articles!$A$1)+1,FALSE)</f>
        <v>Transistor MOSFET, Canal P, -7.1 A, -12 V, 28.5 mohm, -4.5 V, -400 mV</v>
      </c>
      <c r="C22" s="4" t="str">
        <f>VLOOKUP(Table14[[#This Row],[Man. Number]],Articles!A:F,COLUMN(Articles!$C$1)-COLUMN(Articles!$A$1)+1,FALSE)</f>
        <v>D001-001</v>
      </c>
      <c r="D22" s="4" t="s">
        <v>280</v>
      </c>
      <c r="E22" s="4">
        <v>2</v>
      </c>
      <c r="F22" s="4">
        <f>VLOOKUP(Table14[[#This Row],[Man. Number]],Articles!A:F,COLUMN(Articles!$F$1)-COLUMN(Articles!$A$1)+1,FALSE)</f>
        <v>22</v>
      </c>
      <c r="G22" s="4" t="str">
        <f>IF(Table14[[#This Row],[In stock]] &gt;= Table14[[#This Row],[Quantity]],"YES","NO")</f>
        <v>YES</v>
      </c>
      <c r="H22" s="3">
        <f>VLOOKUP(Table14[[#This Row],[Man. Number]],Articles!A:J,COLUMN(Articles!$J$1)-COLUMN(Articles!$A$1)+1,FALSE)*Table14[[#This Row],[Quantity]]</f>
        <v>1.1399999999999999</v>
      </c>
      <c r="I22" s="4">
        <f>Table14[[#This Row],[Quantity]]*$M$1</f>
        <v>2</v>
      </c>
      <c r="J22" s="4" t="str">
        <f>IF(Table14[[#This Row],[In stock]] &gt;= Table14[[#This Row],[Total quantity]],"YES","NO")</f>
        <v>YES</v>
      </c>
    </row>
    <row r="23" spans="1:10" x14ac:dyDescent="0.25">
      <c r="A23" s="3" t="s">
        <v>42</v>
      </c>
      <c r="B23" s="4" t="str">
        <f>VLOOKUP(Table14[[#This Row],[Man. Number]],Articles!A:F,COLUMN(Articles!$D$1)-COLUMN(Articles!$A$1)+1,FALSE)</f>
        <v>Transistor MOSFET, Canal N, 2.2 A, 30 V, 65 mohm, 4.5 V, 700 mV</v>
      </c>
      <c r="C23" s="4" t="str">
        <f>VLOOKUP(Table14[[#This Row],[Man. Number]],Articles!A:F,COLUMN(Articles!$C$1)-COLUMN(Articles!$A$1)+1,FALSE)</f>
        <v>D001-000</v>
      </c>
      <c r="D23" s="4" t="s">
        <v>281</v>
      </c>
      <c r="E23" s="4">
        <v>5</v>
      </c>
      <c r="F23" s="4">
        <f>VLOOKUP(Table14[[#This Row],[Man. Number]],Articles!A:F,COLUMN(Articles!$F$1)-COLUMN(Articles!$A$1)+1,FALSE)</f>
        <v>14</v>
      </c>
      <c r="G23" s="4" t="str">
        <f>IF(Table14[[#This Row],[In stock]] &gt;= Table14[[#This Row],[Quantity]],"YES","NO")</f>
        <v>YES</v>
      </c>
      <c r="H23" s="3">
        <f>VLOOKUP(Table14[[#This Row],[Man. Number]],Articles!A:J,COLUMN(Articles!$J$1)-COLUMN(Articles!$A$1)+1,FALSE)*Table14[[#This Row],[Quantity]]</f>
        <v>2.75</v>
      </c>
      <c r="I23" s="4">
        <f>Table14[[#This Row],[Quantity]]*$M$1</f>
        <v>5</v>
      </c>
      <c r="J23" s="4" t="str">
        <f>IF(Table14[[#This Row],[In stock]] &gt;= Table14[[#This Row],[Total quantity]],"YES","NO")</f>
        <v>YES</v>
      </c>
    </row>
    <row r="24" spans="1:10" x14ac:dyDescent="0.25">
      <c r="A24" s="3" t="s">
        <v>20</v>
      </c>
      <c r="B24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24" s="4" t="str">
        <f>VLOOKUP(Table14[[#This Row],[Man. Number]],Articles!A:F,COLUMN(Articles!$C$1)-COLUMN(Articles!$A$1)+1,FALSE)</f>
        <v>D001-014</v>
      </c>
      <c r="D24" s="4" t="s">
        <v>274</v>
      </c>
      <c r="E24" s="4">
        <v>1</v>
      </c>
      <c r="F24" s="4">
        <f>VLOOKUP(Table14[[#This Row],[Man. Number]],Articles!A:F,COLUMN(Articles!$F$1)-COLUMN(Articles!$A$1)+1,FALSE)</f>
        <v>8</v>
      </c>
      <c r="G24" s="4" t="str">
        <f>IF(Table14[[#This Row],[In stock]] &gt;= Table14[[#This Row],[Quantity]],"YES","NO")</f>
        <v>YES</v>
      </c>
      <c r="H24" s="3">
        <f>VLOOKUP(Table14[[#This Row],[Man. Number]],Articles!A:J,COLUMN(Articles!$J$1)-COLUMN(Articles!$A$1)+1,FALSE)*Table14[[#This Row],[Quantity]]</f>
        <v>0.57499999999999996</v>
      </c>
      <c r="I24" s="4">
        <f>Table14[[#This Row],[Quantity]]*$M$1</f>
        <v>1</v>
      </c>
      <c r="J24" s="4" t="str">
        <f>IF(Table14[[#This Row],[In stock]] &gt;= Table14[[#This Row],[Total quantity]],"YES","NO")</f>
        <v>YES</v>
      </c>
    </row>
    <row r="25" spans="1:10" x14ac:dyDescent="0.25">
      <c r="A25" s="3" t="s">
        <v>22</v>
      </c>
      <c r="B25" s="4" t="str">
        <f>VLOOKUP(Table14[[#This Row],[Man. Number]],Articles!A:F,COLUMN(Articles!$D$1)-COLUMN(Articles!$A$1)+1,FALSE)</f>
        <v>Superviseur, Reset drain ouvert, actif à l'état bas, 1V-5.5Vin</v>
      </c>
      <c r="C25" s="4" t="str">
        <f>VLOOKUP(Table14[[#This Row],[Man. Number]],Articles!A:F,COLUMN(Articles!$C$1)-COLUMN(Articles!$A$1)+1,FALSE)</f>
        <v>D001-013</v>
      </c>
      <c r="D25" s="4" t="s">
        <v>276</v>
      </c>
      <c r="E25" s="4">
        <v>1</v>
      </c>
      <c r="F25" s="4">
        <f>VLOOKUP(Table14[[#This Row],[Man. Number]],Articles!A:F,COLUMN(Articles!$F$1)-COLUMN(Articles!$A$1)+1,FALSE)</f>
        <v>3</v>
      </c>
      <c r="G25" s="4" t="str">
        <f>IF(Table14[[#This Row],[In stock]] &gt;= Table14[[#This Row],[Quantity]],"YES","NO")</f>
        <v>YES</v>
      </c>
      <c r="H25" s="3">
        <f>VLOOKUP(Table14[[#This Row],[Man. Number]],Articles!A:J,COLUMN(Articles!$J$1)-COLUMN(Articles!$A$1)+1,FALSE)*Table14[[#This Row],[Quantity]]</f>
        <v>0.52</v>
      </c>
      <c r="I25" s="4">
        <f>Table14[[#This Row],[Quantity]]*$M$1</f>
        <v>1</v>
      </c>
      <c r="J25" s="4" t="str">
        <f>IF(Table14[[#This Row],[In stock]] &gt;= Table14[[#This Row],[Total quantity]],"YES","NO")</f>
        <v>YES</v>
      </c>
    </row>
    <row r="26" spans="1:10" x14ac:dyDescent="0.25">
      <c r="A26" s="3" t="s">
        <v>24</v>
      </c>
      <c r="B26" s="4" t="str">
        <f>VLOOKUP(Table14[[#This Row],[Man. Number]],Articles!A:F,COLUMN(Articles!$D$1)-COLUMN(Articles!$A$1)+1,FALSE)</f>
        <v>Régulateur LDO, Fixe, Entrée 1.7 V à 5,5 V, Sortie 3.3 V/300 mA, Chute de 150 mV</v>
      </c>
      <c r="C26" s="4" t="str">
        <f>VLOOKUP(Table14[[#This Row],[Man. Number]],Articles!A:F,COLUMN(Articles!$C$1)-COLUMN(Articles!$A$1)+1,FALSE)</f>
        <v>D001-015</v>
      </c>
      <c r="D26" s="4" t="s">
        <v>277</v>
      </c>
      <c r="E26" s="4">
        <v>1</v>
      </c>
      <c r="F26" s="4">
        <f>VLOOKUP(Table14[[#This Row],[Man. Number]],Articles!A:F,COLUMN(Articles!$F$1)-COLUMN(Articles!$A$1)+1,FALSE)</f>
        <v>16</v>
      </c>
      <c r="G26" s="4" t="str">
        <f>IF(Table14[[#This Row],[In stock]] &gt;= Table14[[#This Row],[Quantity]],"YES","NO")</f>
        <v>YES</v>
      </c>
      <c r="H26" s="3">
        <f>VLOOKUP(Table14[[#This Row],[Man. Number]],Articles!A:J,COLUMN(Articles!$J$1)-COLUMN(Articles!$A$1)+1,FALSE)*Table14[[#This Row],[Quantity]]</f>
        <v>0.35</v>
      </c>
      <c r="I26" s="4">
        <f>Table14[[#This Row],[Quantity]]*$M$1</f>
        <v>1</v>
      </c>
      <c r="J26" s="4" t="str">
        <f>IF(Table14[[#This Row],[In stock]] &gt;= Table14[[#This Row],[Total quantity]],"YES","NO")</f>
        <v>YES</v>
      </c>
    </row>
    <row r="27" spans="1:10" x14ac:dyDescent="0.25">
      <c r="A27" s="3">
        <v>912951</v>
      </c>
      <c r="B27" s="4" t="str">
        <f>VLOOKUP(Table14[[#This Row],[Man. Number]],Articles!A:F,COLUMN(Articles!$D$1)-COLUMN(Articles!$A$1)+1,FALSE)</f>
        <v>Communication RF</v>
      </c>
      <c r="C27" s="4" t="str">
        <f>VLOOKUP(Table14[[#This Row],[Man. Number]],Articles!A:F,COLUMN(Articles!$C$1)-COLUMN(Articles!$A$1)+1,FALSE)</f>
        <v>None</v>
      </c>
      <c r="D27" s="4" t="s">
        <v>293</v>
      </c>
      <c r="E27" s="4">
        <v>1</v>
      </c>
      <c r="F27" s="4">
        <f>VLOOKUP(Table14[[#This Row],[Man. Number]],Articles!A:F,COLUMN(Articles!$F$1)-COLUMN(Articles!$A$1)+1,FALSE)</f>
        <v>0</v>
      </c>
      <c r="G27" s="4" t="str">
        <f>IF(Table14[[#This Row],[In stock]] &gt;= Table14[[#This Row],[Quantity]],"YES","NO")</f>
        <v>NO</v>
      </c>
      <c r="H27" s="3">
        <f>VLOOKUP(Table14[[#This Row],[Man. Number]],Articles!A:J,COLUMN(Articles!$J$1)-COLUMN(Articles!$A$1)+1,FALSE)*Table14[[#This Row],[Quantity]]</f>
        <v>3.43</v>
      </c>
      <c r="I27" s="4">
        <f>Table14[[#This Row],[Quantity]]*$M$1</f>
        <v>1</v>
      </c>
      <c r="J27" s="4" t="str">
        <f>IF(Table14[[#This Row],[In stock]] &gt;= Table14[[#This Row],[Total quantity]],"YES","NO")</f>
        <v>NO</v>
      </c>
    </row>
    <row r="28" spans="1:10" x14ac:dyDescent="0.25">
      <c r="A28" s="3" t="s">
        <v>74</v>
      </c>
      <c r="B28" s="4" t="str">
        <f>VLOOKUP(Table14[[#This Row],[Man. Number]],Articles!A:F,COLUMN(Articles!$D$1)-COLUMN(Articles!$A$1)+1,FALSE)</f>
        <v>IC MCU 8BIT 7KB FLASH 18DIP</v>
      </c>
      <c r="C28" s="4" t="str">
        <f>VLOOKUP(Table14[[#This Row],[Man. Number]],Articles!A:F,COLUMN(Articles!$C$1)-COLUMN(Articles!$A$1)+1,FALSE)</f>
        <v>D200-015</v>
      </c>
      <c r="D28" s="4" t="s">
        <v>290</v>
      </c>
      <c r="E28" s="4">
        <v>1</v>
      </c>
      <c r="F28" s="4">
        <f>VLOOKUP(Table14[[#This Row],[Man. Number]],Articles!A:F,COLUMN(Articles!$F$1)-COLUMN(Articles!$A$1)+1,FALSE)</f>
        <v>2</v>
      </c>
      <c r="G28" s="4" t="str">
        <f>IF(Table14[[#This Row],[In stock]] &gt;= Table14[[#This Row],[Quantity]],"YES","NO")</f>
        <v>YES</v>
      </c>
      <c r="H28" s="3">
        <f>VLOOKUP(Table14[[#This Row],[Man. Number]],Articles!A:J,COLUMN(Articles!$J$1)-COLUMN(Articles!$A$1)+1,FALSE)*Table14[[#This Row],[Quantity]]</f>
        <v>1.57</v>
      </c>
      <c r="I28" s="4">
        <f>Table14[[#This Row],[Quantity]]*$M$1</f>
        <v>1</v>
      </c>
      <c r="J28" s="4" t="str">
        <f>IF(Table14[[#This Row],[In stock]] &gt;= Table14[[#This Row],[Total quantity]],"YES","NO")</f>
        <v>YES</v>
      </c>
    </row>
    <row r="29" spans="1:10" x14ac:dyDescent="0.25">
      <c r="A29" s="3" t="s">
        <v>9</v>
      </c>
      <c r="B29" s="4" t="str">
        <f>VLOOKUP(Table14[[#This Row],[Man. Number]],Articles!A:F,COLUMN(Articles!$D$1)-COLUMN(Articles!$A$1)+1,FALSE)</f>
        <v>Porte Logique NON-ET, 4 Portes, 2 entrées, 12 mA, 2V à 5.5V</v>
      </c>
      <c r="C29" s="4" t="str">
        <f>VLOOKUP(Table14[[#This Row],[Man. Number]],Articles!A:F,COLUMN(Articles!$C$1)-COLUMN(Articles!$A$1)+1,FALSE)</f>
        <v>D001-012</v>
      </c>
      <c r="D29" s="4" t="s">
        <v>273</v>
      </c>
      <c r="E29" s="4">
        <v>1</v>
      </c>
      <c r="F29" s="4">
        <f>VLOOKUP(Table14[[#This Row],[Man. Number]],Articles!A:F,COLUMN(Articles!$F$1)-COLUMN(Articles!$A$1)+1,FALSE)</f>
        <v>4</v>
      </c>
      <c r="G29" s="4" t="str">
        <f>IF(Table14[[#This Row],[In stock]] &gt;= Table14[[#This Row],[Quantity]],"YES","NO")</f>
        <v>YES</v>
      </c>
      <c r="H29" s="3">
        <f>VLOOKUP(Table14[[#This Row],[Man. Number]],Articles!A:J,COLUMN(Articles!$J$1)-COLUMN(Articles!$A$1)+1,FALSE)*Table14[[#This Row],[Quantity]]</f>
        <v>0.33100000000000002</v>
      </c>
      <c r="I29" s="4">
        <f>Table14[[#This Row],[Quantity]]*$M$1</f>
        <v>1</v>
      </c>
      <c r="J29" s="4" t="str">
        <f>IF(Table14[[#This Row],[In stock]] &gt;= Table14[[#This Row],[Total quantity]],"YES","NO")</f>
        <v>YES</v>
      </c>
    </row>
    <row r="30" spans="1:10" x14ac:dyDescent="0.25">
      <c r="A30" s="3">
        <v>90990</v>
      </c>
      <c r="B30" s="4" t="e">
        <f>VLOOKUP(Table14[[#This Row],[Man. Number]],Articles!A:F,COLUMN(Articles!$D$1)-COLUMN(Articles!$A$1)+1,FALSE)</f>
        <v>#N/A</v>
      </c>
      <c r="C30" s="4" t="e">
        <f>VLOOKUP(Table14[[#This Row],[Man. Number]],Articles!A:F,COLUMN(Articles!$C$1)-COLUMN(Articles!$A$1)+1,FALSE)</f>
        <v>#N/A</v>
      </c>
      <c r="D30" s="4" t="s">
        <v>292</v>
      </c>
      <c r="E30" s="4">
        <v>1</v>
      </c>
      <c r="F30" s="4" t="e">
        <f>VLOOKUP(Table14[[#This Row],[Man. Number]],Articles!A:F,COLUMN(Articles!$F$1)-COLUMN(Articles!$A$1)+1,FALSE)</f>
        <v>#N/A</v>
      </c>
      <c r="G30" s="4" t="e">
        <f>IF(Table14[[#This Row],[In stock]] &gt;= Table14[[#This Row],[Quantity]],"YES","NO")</f>
        <v>#N/A</v>
      </c>
      <c r="H30" s="3" t="e">
        <f>VLOOKUP(Table14[[#This Row],[Man. Number]],Articles!A:J,COLUMN(Articles!$J$1)-COLUMN(Articles!$A$1)+1,FALSE)*Table14[[#This Row],[Quantity]]</f>
        <v>#N/A</v>
      </c>
      <c r="I30" s="4">
        <f>Table14[[#This Row],[Quantity]]*$M$1</f>
        <v>1</v>
      </c>
      <c r="J30" s="4" t="e">
        <f>IF(Table14[[#This Row],[In stock]] &gt;= Table14[[#This Row],[Total quantity]],"YES","NO")</f>
        <v>#N/A</v>
      </c>
    </row>
    <row r="31" spans="1:10" x14ac:dyDescent="0.25">
      <c r="A31" s="3">
        <v>965083</v>
      </c>
      <c r="B31" s="4" t="e">
        <f>VLOOKUP(Table14[[#This Row],[Man. Number]],Articles!A:F,COLUMN(Articles!$D$1)-COLUMN(Articles!$A$1)+1,FALSE)</f>
        <v>#N/A</v>
      </c>
      <c r="C31" s="4" t="e">
        <f>VLOOKUP(Table14[[#This Row],[Man. Number]],Articles!A:F,COLUMN(Articles!$C$1)-COLUMN(Articles!$A$1)+1,FALSE)</f>
        <v>#N/A</v>
      </c>
      <c r="D31" s="4" t="s">
        <v>292</v>
      </c>
      <c r="E31" s="4">
        <v>1</v>
      </c>
      <c r="F31" s="4" t="e">
        <f>VLOOKUP(Table14[[#This Row],[Man. Number]],Articles!A:F,COLUMN(Articles!$F$1)-COLUMN(Articles!$A$1)+1,FALSE)</f>
        <v>#N/A</v>
      </c>
      <c r="G31" s="4" t="e">
        <f>IF(Table14[[#This Row],[In stock]] &gt;= Table14[[#This Row],[Quantity]],"YES","NO")</f>
        <v>#N/A</v>
      </c>
      <c r="H31" s="3" t="e">
        <f>VLOOKUP(Table14[[#This Row],[Man. Number]],Articles!A:J,COLUMN(Articles!$J$1)-COLUMN(Articles!$A$1)+1,FALSE)*Table14[[#This Row],[Quantity]]</f>
        <v>#N/A</v>
      </c>
      <c r="I31" s="4">
        <f>Table14[[#This Row],[Quantity]]*$M$1</f>
        <v>1</v>
      </c>
      <c r="J31" s="4" t="e">
        <f>IF(Table14[[#This Row],[In stock]] &gt;= Table14[[#This Row],[Total quantity]],"YES","NO")</f>
        <v>#N/A</v>
      </c>
    </row>
    <row r="32" spans="1:10" x14ac:dyDescent="0.25">
      <c r="A32" s="3" t="s">
        <v>70</v>
      </c>
      <c r="B32" s="4" t="str">
        <f>VLOOKUP(Table14[[#This Row],[Man. Number]],Articles!A:F,COLUMN(Articles!$D$1)-COLUMN(Articles!$A$1)+1,FALSE)</f>
        <v>AUDIO PIEZO INDICATOR 2-5V TH</v>
      </c>
      <c r="C32" s="4" t="str">
        <f>VLOOKUP(Table14[[#This Row],[Man. Number]],Articles!A:F,COLUMN(Articles!$C$1)-COLUMN(Articles!$A$1)+1,FALSE)</f>
        <v>None</v>
      </c>
      <c r="D32" s="4" t="s">
        <v>289</v>
      </c>
      <c r="E32" s="4">
        <v>1</v>
      </c>
      <c r="F32" s="4">
        <f>VLOOKUP(Table14[[#This Row],[Man. Number]],Articles!A:F,COLUMN(Articles!$F$1)-COLUMN(Articles!$A$1)+1,FALSE)</f>
        <v>1</v>
      </c>
      <c r="G32" s="4" t="str">
        <f>IF(Table14[[#This Row],[In stock]] &gt;= Table14[[#This Row],[Quantity]],"YES","NO")</f>
        <v>YES</v>
      </c>
      <c r="H32" s="3">
        <f>VLOOKUP(Table14[[#This Row],[Man. Number]],Articles!A:J,COLUMN(Articles!$J$1)-COLUMN(Articles!$A$1)+1,FALSE)*Table14[[#This Row],[Quantity]]</f>
        <v>2.98</v>
      </c>
      <c r="I32" s="4">
        <f>Table14[[#This Row],[Quantity]]*$M$1</f>
        <v>1</v>
      </c>
      <c r="J32" s="4" t="str">
        <f>IF(Table14[[#This Row],[In stock]] &gt;= Table14[[#This Row],[Total quantity]],"YES","NO")</f>
        <v>YES</v>
      </c>
    </row>
    <row r="33" spans="1:10" x14ac:dyDescent="0.25">
      <c r="A33" s="3" t="s">
        <v>16</v>
      </c>
      <c r="B33" s="4" t="str">
        <f>VLOOKUP(Table14[[#This Row],[Man. Number]],Articles!A:F,COLUMN(Articles!$D$1)-COLUMN(Articles!$A$1)+1,FALSE)</f>
        <v>Fusible à cartouche, Action rapide, 630 mA, 250 V</v>
      </c>
      <c r="C33" s="4" t="str">
        <f>VLOOKUP(Table14[[#This Row],[Man. Number]],Articles!A:F,COLUMN(Articles!$C$1)-COLUMN(Articles!$A$1)+1,FALSE)</f>
        <v>D200-026</v>
      </c>
      <c r="E33" s="4">
        <v>0</v>
      </c>
      <c r="F33" s="4">
        <f>VLOOKUP(Table14[[#This Row],[Man. Number]],Articles!A:F,COLUMN(Articles!$F$1)-COLUMN(Articles!$A$1)+1,FALSE)</f>
        <v>14</v>
      </c>
      <c r="G33" s="4" t="str">
        <f>IF(Table14[[#This Row],[In stock]] &gt;= Table14[[#This Row],[Quantity]],"YES","NO")</f>
        <v>YES</v>
      </c>
      <c r="H33" s="3">
        <f>VLOOKUP(Table14[[#This Row],[Man. Number]],Articles!A:J,COLUMN(Articles!$J$1)-COLUMN(Articles!$A$1)+1,FALSE)*Table14[[#This Row],[Quantity]]</f>
        <v>0</v>
      </c>
      <c r="I33" s="4">
        <f>Table14[[#This Row],[Quantity]]*$M$1</f>
        <v>0</v>
      </c>
      <c r="J33" s="4" t="str">
        <f>IF(Table14[[#This Row],[In stock]] &gt;= Table14[[#This Row],[Total quantity]],"YES","NO")</f>
        <v>YES</v>
      </c>
    </row>
    <row r="34" spans="1:10" x14ac:dyDescent="0.25">
      <c r="A34" s="3" t="s">
        <v>18</v>
      </c>
      <c r="B34" s="4" t="str">
        <f>VLOOKUP(Table14[[#This Row],[Man. Number]],Articles!A:F,COLUMN(Articles!$D$1)-COLUMN(Articles!$A$1)+1,FALSE)</f>
        <v>Amplificateur opérationnel, Simple, 1 amplificateur, 1 MHz, 0.6 V/µs, 1.8V à 6V</v>
      </c>
      <c r="C34" s="4" t="str">
        <f>VLOOKUP(Table14[[#This Row],[Man. Number]],Articles!A:F,COLUMN(Articles!$C$1)-COLUMN(Articles!$A$1)+1,FALSE)</f>
        <v>D001-003</v>
      </c>
      <c r="E34" s="4">
        <v>0</v>
      </c>
      <c r="F34" s="4">
        <f>VLOOKUP(Table14[[#This Row],[Man. Number]],Articles!A:F,COLUMN(Articles!$F$1)-COLUMN(Articles!$A$1)+1,FALSE)</f>
        <v>19</v>
      </c>
      <c r="G34" s="4" t="str">
        <f>IF(Table14[[#This Row],[In stock]] &gt;= Table14[[#This Row],[Quantity]],"YES","NO")</f>
        <v>YES</v>
      </c>
      <c r="H34" s="3">
        <f>VLOOKUP(Table14[[#This Row],[Man. Number]],Articles!A:J,COLUMN(Articles!$J$1)-COLUMN(Articles!$A$1)+1,FALSE)*Table14[[#This Row],[Quantity]]</f>
        <v>0</v>
      </c>
      <c r="I34" s="4">
        <f>Table14[[#This Row],[Quantity]]*$M$1</f>
        <v>0</v>
      </c>
      <c r="J34" s="4" t="str">
        <f>IF(Table14[[#This Row],[In stock]] &gt;= Table14[[#This Row],[Total quantity]],"YES","NO")</f>
        <v>YES</v>
      </c>
    </row>
    <row r="35" spans="1:10" x14ac:dyDescent="0.25">
      <c r="A35" s="3" t="s">
        <v>19</v>
      </c>
      <c r="B35" s="4" t="str">
        <f>VLOOKUP(Table14[[#This Row],[Man. Number]],Articles!A:F,COLUMN(Articles!$D$1)-COLUMN(Articles!$A$1)+1,FALSE)</f>
        <v>LED Lighting Little Star® White, Cool  3.5V 350mA 120° 2424 (6060 Metric)</v>
      </c>
      <c r="C35" s="4" t="str">
        <f>VLOOKUP(Table14[[#This Row],[Man. Number]],Articles!A:F,COLUMN(Articles!$C$1)-COLUMN(Articles!$A$1)+1,FALSE)</f>
        <v>D001-036</v>
      </c>
      <c r="E35" s="4">
        <v>0</v>
      </c>
      <c r="F35" s="4">
        <f>VLOOKUP(Table14[[#This Row],[Man. Number]],Articles!A:F,COLUMN(Articles!$F$1)-COLUMN(Articles!$A$1)+1,FALSE)</f>
        <v>0</v>
      </c>
      <c r="G35" s="4" t="str">
        <f>IF(Table14[[#This Row],[In stock]] &gt;= Table14[[#This Row],[Quantity]],"YES","NO")</f>
        <v>YES</v>
      </c>
      <c r="H35" s="3">
        <f>VLOOKUP(Table14[[#This Row],[Man. Number]],Articles!A:J,COLUMN(Articles!$J$1)-COLUMN(Articles!$A$1)+1,FALSE)*Table14[[#This Row],[Quantity]]</f>
        <v>0</v>
      </c>
      <c r="I35" s="4">
        <f>Table14[[#This Row],[Quantity]]*$M$1</f>
        <v>0</v>
      </c>
      <c r="J35" s="4" t="str">
        <f>IF(Table14[[#This Row],[In stock]] &gt;= Table14[[#This Row],[Total quantity]],"YES","NO")</f>
        <v>YES</v>
      </c>
    </row>
    <row r="36" spans="1:10" x14ac:dyDescent="0.25">
      <c r="A36" s="3" t="s">
        <v>103</v>
      </c>
      <c r="B36" s="4" t="str">
        <f>VLOOKUP(Table14[[#This Row],[Man. Number]],Articles!A:F,COLUMN(Articles!$D$1)-COLUMN(Articles!$A$1)+1,FALSE)</f>
        <v>Porte fusible, Design ouvert, 500V, 10A, 5 x 20mm, traversant, noir</v>
      </c>
      <c r="C36" s="4" t="str">
        <f>VLOOKUP(Table14[[#This Row],[Man. Number]],Articles!A:F,COLUMN(Articles!$C$1)-COLUMN(Articles!$A$1)+1,FALSE)</f>
        <v>D200-025</v>
      </c>
      <c r="E36" s="4">
        <v>0</v>
      </c>
      <c r="F36" s="4">
        <f>VLOOKUP(Table14[[#This Row],[Man. Number]],Articles!A:F,COLUMN(Articles!$F$1)-COLUMN(Articles!$A$1)+1,FALSE)</f>
        <v>4</v>
      </c>
      <c r="G36" s="4" t="str">
        <f>IF(Table14[[#This Row],[In stock]] &gt;= Table14[[#This Row],[Quantity]],"YES","NO")</f>
        <v>YES</v>
      </c>
      <c r="H36" s="3">
        <f>VLOOKUP(Table14[[#This Row],[Man. Number]],Articles!A:J,COLUMN(Articles!$J$1)-COLUMN(Articles!$A$1)+1,FALSE)*Table14[[#This Row],[Quantity]]</f>
        <v>0</v>
      </c>
      <c r="I36" s="4">
        <f>Table14[[#This Row],[Quantity]]*$M$1</f>
        <v>0</v>
      </c>
      <c r="J36" s="4" t="str">
        <f>IF(Table14[[#This Row],[In stock]] &gt;= Table14[[#This Row],[Total quantity]],"YES","NO")</f>
        <v>YES</v>
      </c>
    </row>
    <row r="37" spans="1:10" x14ac:dyDescent="0.25">
      <c r="A37" s="3" t="s">
        <v>28</v>
      </c>
      <c r="B37" s="4" t="str">
        <f>VLOOKUP(Table14[[#This Row],[Man. Number]],Articles!A:F,COLUMN(Articles!$D$1)-COLUMN(Articles!$A$1)+1,FALSE)</f>
        <v>Accessoire de fusible, Fusible cartouche, 5 x 20mm, OGN et OGN-SMD, Noir, Poignée</v>
      </c>
      <c r="C37" s="4" t="str">
        <f>VLOOKUP(Table14[[#This Row],[Man. Number]],Articles!A:F,COLUMN(Articles!$C$1)-COLUMN(Articles!$A$1)+1,FALSE)</f>
        <v>D200-025</v>
      </c>
      <c r="E37" s="4">
        <v>0</v>
      </c>
      <c r="F37" s="4">
        <f>VLOOKUP(Table14[[#This Row],[Man. Number]],Articles!A:F,COLUMN(Articles!$F$1)-COLUMN(Articles!$A$1)+1,FALSE)</f>
        <v>4</v>
      </c>
      <c r="G37" s="4" t="str">
        <f>IF(Table14[[#This Row],[In stock]] &gt;= Table14[[#This Row],[Quantity]],"YES","NO")</f>
        <v>YES</v>
      </c>
      <c r="H37" s="3">
        <f>VLOOKUP(Table14[[#This Row],[Man. Number]],Articles!A:J,COLUMN(Articles!$J$1)-COLUMN(Articles!$A$1)+1,FALSE)*Table14[[#This Row],[Quantity]]</f>
        <v>0</v>
      </c>
      <c r="I37" s="4">
        <f>Table14[[#This Row],[Quantity]]*$M$1</f>
        <v>0</v>
      </c>
      <c r="J37" s="4" t="str">
        <f>IF(Table14[[#This Row],[In stock]] &gt;= Table14[[#This Row],[Total quantity]],"YES","NO")</f>
        <v>YES</v>
      </c>
    </row>
    <row r="38" spans="1:10" x14ac:dyDescent="0.25">
      <c r="A38" s="3" t="s">
        <v>47</v>
      </c>
      <c r="B38" s="4" t="str">
        <f>VLOOKUP(Table14[[#This Row],[Man. Number]],Articles!A:F,COLUMN(Articles!$D$1)-COLUMN(Articles!$A$1)+1,FALSE)</f>
        <v>Résistance à puce CMS, Couche épaisse, 150 kohm, 0805</v>
      </c>
      <c r="C38" s="4" t="str">
        <f>VLOOKUP(Table14[[#This Row],[Man. Number]],Articles!A:F,COLUMN(Articles!$C$1)-COLUMN(Articles!$A$1)+1,FALSE)</f>
        <v>D101-001</v>
      </c>
      <c r="E38" s="4">
        <v>0</v>
      </c>
      <c r="F38" s="4">
        <f>VLOOKUP(Table14[[#This Row],[Man. Number]],Articles!A:F,COLUMN(Articles!$F$1)-COLUMN(Articles!$A$1)+1,FALSE)</f>
        <v>9</v>
      </c>
      <c r="G38" s="4" t="str">
        <f>IF(Table14[[#This Row],[In stock]] &gt;= Table14[[#This Row],[Quantity]],"YES","NO")</f>
        <v>YES</v>
      </c>
      <c r="H38" s="3">
        <f>VLOOKUP(Table14[[#This Row],[Man. Number]],Articles!A:J,COLUMN(Articles!$J$1)-COLUMN(Articles!$A$1)+1,FALSE)*Table14[[#This Row],[Quantity]]</f>
        <v>0</v>
      </c>
      <c r="I38" s="4">
        <f>Table14[[#This Row],[Quantity]]*$M$1</f>
        <v>0</v>
      </c>
      <c r="J38" s="4" t="str">
        <f>IF(Table14[[#This Row],[In stock]] &gt;= Table14[[#This Row],[Total quantity]],"YES","NO")</f>
        <v>YES</v>
      </c>
    </row>
    <row r="39" spans="1:10" x14ac:dyDescent="0.25">
      <c r="A39" s="3" t="s">
        <v>53</v>
      </c>
      <c r="B39" s="4" t="str">
        <f>VLOOKUP(Table14[[#This Row],[Man. Number]],Articles!A:F,COLUMN(Articles!$D$1)-COLUMN(Articles!$A$1)+1,FALSE)</f>
        <v>Résistance à puce CMS, Couche épaisse, 110 kohm</v>
      </c>
      <c r="C39" s="4" t="str">
        <f>VLOOKUP(Table14[[#This Row],[Man. Number]],Articles!A:F,COLUMN(Articles!$C$1)-COLUMN(Articles!$A$1)+1,FALSE)</f>
        <v>D101-004</v>
      </c>
      <c r="E39" s="4">
        <v>0</v>
      </c>
      <c r="F39" s="4">
        <f>VLOOKUP(Table14[[#This Row],[Man. Number]],Articles!A:F,COLUMN(Articles!$F$1)-COLUMN(Articles!$A$1)+1,FALSE)</f>
        <v>19</v>
      </c>
      <c r="G39" s="4" t="str">
        <f>IF(Table14[[#This Row],[In stock]] &gt;= Table14[[#This Row],[Quantity]],"YES","NO")</f>
        <v>YES</v>
      </c>
      <c r="H39" s="3">
        <f>VLOOKUP(Table14[[#This Row],[Man. Number]],Articles!A:J,COLUMN(Articles!$J$1)-COLUMN(Articles!$A$1)+1,FALSE)*Table14[[#This Row],[Quantity]]</f>
        <v>0</v>
      </c>
      <c r="I39" s="4">
        <f>Table14[[#This Row],[Quantity]]*$M$1</f>
        <v>0</v>
      </c>
      <c r="J39" s="4" t="str">
        <f>IF(Table14[[#This Row],[In stock]] &gt;= Table14[[#This Row],[Total quantity]],"YES","NO")</f>
        <v>YES</v>
      </c>
    </row>
    <row r="40" spans="1:10" x14ac:dyDescent="0.25">
      <c r="A40" s="3">
        <v>1181876</v>
      </c>
      <c r="B40" s="4" t="e">
        <f>VLOOKUP(Table14[[#This Row],[Man. Number]],Articles!A:F,COLUMN(Articles!$D$1)-COLUMN(Articles!$A$1)+1,FALSE)</f>
        <v>#N/A</v>
      </c>
      <c r="C40" s="4" t="e">
        <f>VLOOKUP(Table14[[#This Row],[Man. Number]],Articles!A:F,COLUMN(Articles!$C$1)-COLUMN(Articles!$A$1)+1,FALSE)</f>
        <v>#N/A</v>
      </c>
      <c r="E40" s="4">
        <v>0</v>
      </c>
      <c r="F40" s="4" t="e">
        <f>VLOOKUP(Table14[[#This Row],[Man. Number]],Articles!A:F,COLUMN(Articles!$F$1)-COLUMN(Articles!$A$1)+1,FALSE)</f>
        <v>#N/A</v>
      </c>
      <c r="G40" s="4" t="e">
        <f>IF(Table14[[#This Row],[In stock]] &gt;= Table14[[#This Row],[Quantity]],"YES","NO")</f>
        <v>#N/A</v>
      </c>
      <c r="H40" s="3" t="e">
        <f>VLOOKUP(Table14[[#This Row],[Man. Number]],Articles!A:J,COLUMN(Articles!$J$1)-COLUMN(Articles!$A$1)+1,FALSE)*Table14[[#This Row],[Quantity]]</f>
        <v>#N/A</v>
      </c>
      <c r="I40" s="4">
        <f>Table14[[#This Row],[Quantity]]*$M$1</f>
        <v>0</v>
      </c>
      <c r="J40" s="4" t="e">
        <f>IF(Table14[[#This Row],[In stock]] &gt;= Table14[[#This Row],[Total quantity]],"YES","NO")</f>
        <v>#N/A</v>
      </c>
    </row>
    <row r="41" spans="1:10" x14ac:dyDescent="0.25">
      <c r="A41" s="4" t="s">
        <v>448</v>
      </c>
      <c r="G41" s="4"/>
      <c r="H41" s="38" t="e">
        <f>SUBTOTAL(109,Table14[Unit Price])</f>
        <v>#N/A</v>
      </c>
      <c r="I41" s="4"/>
      <c r="J41" s="4"/>
    </row>
  </sheetData>
  <sheetProtection sheet="1" objects="1" scenarios="1"/>
  <dataConsolidate/>
  <conditionalFormatting sqref="A1:A1048576">
    <cfRule type="duplicateValues" dxfId="24" priority="3"/>
  </conditionalFormatting>
  <conditionalFormatting sqref="G1:H1048576 J1:J1048576">
    <cfRule type="containsText" dxfId="23" priority="4" operator="containsText" text="NO">
      <formula>NOT(ISERROR(SEARCH("NO",G1)))</formula>
    </cfRule>
  </conditionalFormatting>
  <conditionalFormatting sqref="N1">
    <cfRule type="cellIs" dxfId="22" priority="1" stopIfTrue="1" operator="equal">
      <formula>"Locked"</formula>
    </cfRule>
    <cfRule type="cellIs" dxfId="21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647700</xdr:colOff>
                    <xdr:row>2</xdr:row>
                    <xdr:rowOff>9525</xdr:rowOff>
                  </from>
                  <to>
                    <xdr:col>13</xdr:col>
                    <xdr:colOff>600075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11</xdr:col>
                    <xdr:colOff>9525</xdr:colOff>
                    <xdr:row>4</xdr:row>
                    <xdr:rowOff>180975</xdr:rowOff>
                  </from>
                  <to>
                    <xdr:col>14</xdr:col>
                    <xdr:colOff>9525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N16"/>
  <sheetViews>
    <sheetView workbookViewId="0">
      <pane ySplit="1" topLeftCell="A2" activePane="bottomLeft" state="frozen"/>
      <selection pane="bottomLeft" activeCell="L12" sqref="L12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1107</v>
      </c>
    </row>
    <row r="2" spans="1:14" x14ac:dyDescent="0.25">
      <c r="A2" s="3" t="s">
        <v>196</v>
      </c>
      <c r="B2" s="4" t="str">
        <f>VLOOKUP(Table146[[#This Row],[Man. Number]],Articles!A:F,COLUMN(Articles!$D$1)-COLUMN(Articles!$A$1)+1,FALSE)</f>
        <v>IC MCU 8BIT 7KB FLASH 14SOIC</v>
      </c>
      <c r="C2" s="4" t="str">
        <f>VLOOKUP(Table146[[#This Row],[Man. Number]],Articles!A:F,COLUMN(Articles!$C$1)-COLUMN(Articles!$A$1)+1,FALSE)</f>
        <v>D001-026</v>
      </c>
      <c r="E2" s="4">
        <v>1</v>
      </c>
      <c r="F2" s="4">
        <f>VLOOKUP(Table146[[#This Row],[Man. Number]],Articles!A:F,COLUMN(Articles!$F$1)-COLUMN(Articles!$A$1)+1,FALSE)</f>
        <v>4</v>
      </c>
      <c r="G2" s="4" t="str">
        <f>IF(Table146[[#This Row],[In stock]] &gt;= Table146[[#This Row],[Quantity]],"YES","NO")</f>
        <v>YES</v>
      </c>
      <c r="H2" s="3">
        <f>VLOOKUP(Table146[[#This Row],[Man. Number]],Articles!A:J,COLUMN(Articles!$J$1)-COLUMN(Articles!$A$1)+1,FALSE)*Table146[[#This Row],[Quantity]]</f>
        <v>0.92</v>
      </c>
      <c r="I2" s="4">
        <f>Table146[[#This Row],[Quantity]]*$M$1</f>
        <v>1</v>
      </c>
      <c r="J2" s="4" t="str">
        <f>IF(Table146[[#This Row],[In stock]] &gt;= Table146[[#This Row],[Total quantity]],"YES","NO")</f>
        <v>YES</v>
      </c>
    </row>
    <row r="3" spans="1:14" x14ac:dyDescent="0.25">
      <c r="A3" s="3" t="s">
        <v>197</v>
      </c>
      <c r="B3" s="4" t="str">
        <f>VLOOKUP(Table146[[#This Row],[Man. Number]],Articles!A:F,COLUMN(Articles!$D$1)-COLUMN(Articles!$A$1)+1,FALSE)</f>
        <v>ACCELEROMETER 2-8G I2C 16QFN</v>
      </c>
      <c r="C3" s="4" t="str">
        <f>VLOOKUP(Table146[[#This Row],[Man. Number]],Articles!A:F,COLUMN(Articles!$C$1)-COLUMN(Articles!$A$1)+1,FALSE)</f>
        <v>D001-027</v>
      </c>
      <c r="E3" s="4">
        <v>1</v>
      </c>
      <c r="F3" s="4">
        <f>VLOOKUP(Table146[[#This Row],[Man. Number]],Articles!A:F,COLUMN(Articles!$F$1)-COLUMN(Articles!$A$1)+1,FALSE)</f>
        <v>4</v>
      </c>
      <c r="G3" s="4" t="str">
        <f>IF(Table146[[#This Row],[In stock]] &gt;= Table146[[#This Row],[Quantity]],"YES","NO")</f>
        <v>YES</v>
      </c>
      <c r="H3" s="3">
        <f>VLOOKUP(Table146[[#This Row],[Man. Number]],Articles!A:J,COLUMN(Articles!$J$1)-COLUMN(Articles!$A$1)+1,FALSE)*Table146[[#This Row],[Quantity]]</f>
        <v>2.64</v>
      </c>
      <c r="I3" s="4">
        <f>Table146[[#This Row],[Quantity]]*$M$1</f>
        <v>1</v>
      </c>
      <c r="J3" s="4" t="str">
        <f>IF(Table146[[#This Row],[In stock]] &gt;= Table146[[#This Row],[Total quantity]],"YES","NO")</f>
        <v>YES</v>
      </c>
    </row>
    <row r="4" spans="1:14" x14ac:dyDescent="0.25">
      <c r="A4" s="3" t="s">
        <v>202</v>
      </c>
      <c r="B4" s="4" t="str">
        <f>VLOOKUP(Table146[[#This Row],[Man. Number]],Articles!A:F,COLUMN(Articles!$D$1)-COLUMN(Articles!$A$1)+1,FALSE)</f>
        <v>IC REG LINEAR 2.5V 300MA SOT23-5</v>
      </c>
      <c r="C4" s="4" t="str">
        <f>VLOOKUP(Table146[[#This Row],[Man. Number]],Articles!A:F,COLUMN(Articles!$C$1)-COLUMN(Articles!$A$1)+1,FALSE)</f>
        <v>D001-017</v>
      </c>
      <c r="E4" s="4">
        <v>1</v>
      </c>
      <c r="F4" s="4">
        <f>VLOOKUP(Table146[[#This Row],[Man. Number]],Articles!A:F,COLUMN(Articles!$F$1)-COLUMN(Articles!$A$1)+1,FALSE)</f>
        <v>24</v>
      </c>
      <c r="G4" s="4" t="str">
        <f>IF(Table146[[#This Row],[In stock]] &gt;= Table146[[#This Row],[Quantity]],"YES","NO")</f>
        <v>YES</v>
      </c>
      <c r="H4" s="3">
        <f>VLOOKUP(Table146[[#This Row],[Man. Number]],Articles!A:J,COLUMN(Articles!$J$1)-COLUMN(Articles!$A$1)+1,FALSE)*Table146[[#This Row],[Quantity]]</f>
        <v>0.11</v>
      </c>
      <c r="I4" s="4">
        <f>Table146[[#This Row],[Quantity]]*$M$1</f>
        <v>1</v>
      </c>
      <c r="J4" s="4" t="str">
        <f>IF(Table146[[#This Row],[In stock]] &gt;= Table146[[#This Row],[Total quantity]],"YES","NO")</f>
        <v>YES</v>
      </c>
    </row>
    <row r="5" spans="1:14" x14ac:dyDescent="0.25">
      <c r="A5" s="3" t="s">
        <v>206</v>
      </c>
      <c r="B5" s="4" t="str">
        <f>VLOOKUP(Table146[[#This Row],[Man. Number]],Articles!A:F,COLUMN(Articles!$D$1)-COLUMN(Articles!$A$1)+1,FALSE)</f>
        <v>BATTERY HOLDER COIN 20MM SMD</v>
      </c>
      <c r="C5" s="4" t="str">
        <f>VLOOKUP(Table146[[#This Row],[Man. Number]],Articles!A:F,COLUMN(Articles!$C$1)-COLUMN(Articles!$A$1)+1,FALSE)</f>
        <v>D200-010</v>
      </c>
      <c r="E5" s="4">
        <v>1</v>
      </c>
      <c r="F5" s="4">
        <f>VLOOKUP(Table146[[#This Row],[Man. Number]],Articles!A:F,COLUMN(Articles!$F$1)-COLUMN(Articles!$A$1)+1,FALSE)</f>
        <v>4</v>
      </c>
      <c r="G5" s="4" t="str">
        <f>IF(Table146[[#This Row],[In stock]] &gt;= Table146[[#This Row],[Quantity]],"YES","NO")</f>
        <v>YES</v>
      </c>
      <c r="H5" s="3">
        <f>VLOOKUP(Table146[[#This Row],[Man. Number]],Articles!A:J,COLUMN(Articles!$J$1)-COLUMN(Articles!$A$1)+1,FALSE)*Table146[[#This Row],[Quantity]]</f>
        <v>1.21</v>
      </c>
      <c r="I5" s="4">
        <f>Table146[[#This Row],[Quantity]]*$M$1</f>
        <v>1</v>
      </c>
      <c r="J5" s="4" t="str">
        <f>IF(Table146[[#This Row],[In stock]] &gt;= Table146[[#This Row],[Total quantity]],"YES","NO")</f>
        <v>YES</v>
      </c>
    </row>
    <row r="6" spans="1:14" x14ac:dyDescent="0.25">
      <c r="A6" s="3" t="s">
        <v>210</v>
      </c>
      <c r="B6" s="4" t="str">
        <f>VLOOKUP(Table146[[#This Row],[Man. Number]],Articles!A:F,COLUMN(Articles!$D$1)-COLUMN(Articles!$A$1)+1,FALSE)</f>
        <v>Green 570nm LED Indication - Discrete 2V 0603 (1608 Metric)</v>
      </c>
      <c r="C6" s="4" t="str">
        <f>VLOOKUP(Table146[[#This Row],[Man. Number]],Articles!A:F,COLUMN(Articles!$C$1)-COLUMN(Articles!$A$1)+1,FALSE)</f>
        <v>D001-048</v>
      </c>
      <c r="E6" s="4">
        <v>1</v>
      </c>
      <c r="F6" s="4">
        <f>VLOOKUP(Table146[[#This Row],[Man. Number]],Articles!A:F,COLUMN(Articles!$F$1)-COLUMN(Articles!$A$1)+1,FALSE)</f>
        <v>14</v>
      </c>
      <c r="G6" s="4" t="str">
        <f>IF(Table146[[#This Row],[In stock]] &gt;= Table146[[#This Row],[Quantity]],"YES","NO")</f>
        <v>YES</v>
      </c>
      <c r="H6" s="3">
        <f>VLOOKUP(Table146[[#This Row],[Man. Number]],Articles!A:J,COLUMN(Articles!$J$1)-COLUMN(Articles!$A$1)+1,FALSE)*Table146[[#This Row],[Quantity]]</f>
        <v>0.14000000000000001</v>
      </c>
      <c r="I6" s="4">
        <f>Table146[[#This Row],[Quantity]]*$M$1</f>
        <v>1</v>
      </c>
      <c r="J6" s="4" t="str">
        <f>IF(Table146[[#This Row],[In stock]] &gt;= Table146[[#This Row],[Total quantity]],"YES","NO")</f>
        <v>YES</v>
      </c>
    </row>
    <row r="7" spans="1:14" x14ac:dyDescent="0.25">
      <c r="A7" s="3" t="s">
        <v>211</v>
      </c>
      <c r="B7" s="4" t="str">
        <f>VLOOKUP(Table146[[#This Row],[Man. Number]],Articles!A:F,COLUMN(Articles!$D$1)-COLUMN(Articles!$A$1)+1,FALSE)</f>
        <v>Red 628nm LED Indication - Discrete 1.8V 0603 (1608 Metric)</v>
      </c>
      <c r="C7" s="4" t="str">
        <f>VLOOKUP(Table146[[#This Row],[Man. Number]],Articles!A:F,COLUMN(Articles!$C$1)-COLUMN(Articles!$A$1)+1,FALSE)</f>
        <v>D001-049</v>
      </c>
      <c r="E7" s="4">
        <v>1</v>
      </c>
      <c r="F7" s="4">
        <f>VLOOKUP(Table146[[#This Row],[Man. Number]],Articles!A:F,COLUMN(Articles!$F$1)-COLUMN(Articles!$A$1)+1,FALSE)</f>
        <v>6</v>
      </c>
      <c r="G7" s="4" t="str">
        <f>IF(Table146[[#This Row],[In stock]] &gt;= Table146[[#This Row],[Quantity]],"YES","NO")</f>
        <v>YES</v>
      </c>
      <c r="H7" s="3">
        <f>VLOOKUP(Table146[[#This Row],[Man. Number]],Articles!A:J,COLUMN(Articles!$J$1)-COLUMN(Articles!$A$1)+1,FALSE)*Table146[[#This Row],[Quantity]]</f>
        <v>0.52</v>
      </c>
      <c r="I7" s="4">
        <f>Table146[[#This Row],[Quantity]]*$M$1</f>
        <v>1</v>
      </c>
      <c r="J7" s="4" t="str">
        <f>IF(Table146[[#This Row],[In stock]] &gt;= Table146[[#This Row],[Total quantity]],"YES","NO")</f>
        <v>YES</v>
      </c>
    </row>
    <row r="8" spans="1:14" x14ac:dyDescent="0.25">
      <c r="A8" s="3" t="s">
        <v>213</v>
      </c>
      <c r="B8" s="4" t="str">
        <f>VLOOKUP(Table146[[#This Row],[Man. Number]],Articles!A:F,COLUMN(Articles!$D$1)-COLUMN(Articles!$A$1)+1,FALSE)</f>
        <v>SWITCH SLIDE SPDT 300MA 125V</v>
      </c>
      <c r="C8" s="4" t="str">
        <f>VLOOKUP(Table146[[#This Row],[Man. Number]],Articles!A:F,COLUMN(Articles!$C$1)-COLUMN(Articles!$A$1)+1,FALSE)</f>
        <v>D200-020</v>
      </c>
      <c r="E8" s="4">
        <v>1</v>
      </c>
      <c r="F8" s="4">
        <f>VLOOKUP(Table146[[#This Row],[Man. Number]],Articles!A:F,COLUMN(Articles!$F$1)-COLUMN(Articles!$A$1)+1,FALSE)</f>
        <v>2</v>
      </c>
      <c r="G8" s="4" t="str">
        <f>IF(Table146[[#This Row],[In stock]] &gt;= Table146[[#This Row],[Quantity]],"YES","NO")</f>
        <v>YES</v>
      </c>
      <c r="H8" s="3">
        <f>VLOOKUP(Table146[[#This Row],[Man. Number]],Articles!A:J,COLUMN(Articles!$J$1)-COLUMN(Articles!$A$1)+1,FALSE)*Table146[[#This Row],[Quantity]]</f>
        <v>1.39</v>
      </c>
      <c r="I8" s="4">
        <f>Table146[[#This Row],[Quantity]]*$M$1</f>
        <v>1</v>
      </c>
      <c r="J8" s="4" t="str">
        <f>IF(Table146[[#This Row],[In stock]] &gt;= Table146[[#This Row],[Total quantity]],"YES","NO")</f>
        <v>YES</v>
      </c>
    </row>
    <row r="9" spans="1:14" x14ac:dyDescent="0.25">
      <c r="A9" s="3" t="s">
        <v>217</v>
      </c>
      <c r="B9" s="4" t="str">
        <f>VLOOKUP(Table146[[#This Row],[Man. Number]],Articles!A:F,COLUMN(Articles!$D$1)-COLUMN(Articles!$A$1)+1,FALSE)</f>
        <v>SWITCH SLIDE DIP SPST 100MA 24V</v>
      </c>
      <c r="C9" s="4" t="str">
        <f>VLOOKUP(Table146[[#This Row],[Man. Number]],Articles!A:F,COLUMN(Articles!$C$1)-COLUMN(Articles!$A$1)+1,FALSE)</f>
        <v>D200-020</v>
      </c>
      <c r="E9" s="4">
        <v>1</v>
      </c>
      <c r="F9" s="4">
        <f>VLOOKUP(Table146[[#This Row],[Man. Number]],Articles!A:F,COLUMN(Articles!$F$1)-COLUMN(Articles!$A$1)+1,FALSE)</f>
        <v>4</v>
      </c>
      <c r="G9" s="4" t="str">
        <f>IF(Table146[[#This Row],[In stock]] &gt;= Table146[[#This Row],[Quantity]],"YES","NO")</f>
        <v>YES</v>
      </c>
      <c r="H9" s="3">
        <f>VLOOKUP(Table146[[#This Row],[Man. Number]],Articles!A:J,COLUMN(Articles!$J$1)-COLUMN(Articles!$A$1)+1,FALSE)*Table146[[#This Row],[Quantity]]</f>
        <v>0.85</v>
      </c>
      <c r="I9" s="4">
        <f>Table146[[#This Row],[Quantity]]*$M$1</f>
        <v>1</v>
      </c>
      <c r="J9" s="4" t="str">
        <f>IF(Table146[[#This Row],[In stock]] &gt;= Table146[[#This Row],[Total quantity]],"YES","NO")</f>
        <v>YES</v>
      </c>
    </row>
    <row r="10" spans="1:14" x14ac:dyDescent="0.25">
      <c r="A10" s="3" t="s">
        <v>221</v>
      </c>
      <c r="B10" s="4" t="str">
        <f>VLOOKUP(Table146[[#This Row],[Man. Number]],Articles!A:F,COLUMN(Articles!$D$1)-COLUMN(Articles!$A$1)+1,FALSE)</f>
        <v>4.7µF ±10% 25V Ceramic Capacitor X7R 1206 (3216 Metric)</v>
      </c>
      <c r="C10" s="4" t="str">
        <f>VLOOKUP(Table146[[#This Row],[Man. Number]],Articles!A:F,COLUMN(Articles!$C$1)-COLUMN(Articles!$A$1)+1,FALSE)</f>
        <v>D100-149</v>
      </c>
      <c r="E10" s="4">
        <v>3</v>
      </c>
      <c r="F10" s="4">
        <f>VLOOKUP(Table146[[#This Row],[Man. Number]],Articles!A:F,COLUMN(Articles!$F$1)-COLUMN(Articles!$A$1)+1,FALSE)</f>
        <v>16</v>
      </c>
      <c r="G10" s="4" t="str">
        <f>IF(Table146[[#This Row],[In stock]] &gt;= Table146[[#This Row],[Quantity]],"YES","NO")</f>
        <v>YES</v>
      </c>
      <c r="H10" s="3">
        <f>VLOOKUP(Table146[[#This Row],[Man. Number]],Articles!A:J,COLUMN(Articles!$J$1)-COLUMN(Articles!$A$1)+1,FALSE)*Table146[[#This Row],[Quantity]]</f>
        <v>0.81</v>
      </c>
      <c r="I10" s="4">
        <f>Table146[[#This Row],[Quantity]]*$M$1</f>
        <v>3</v>
      </c>
      <c r="J10" s="4" t="str">
        <f>IF(Table146[[#This Row],[In stock]] &gt;= Table146[[#This Row],[Total quantity]],"YES","NO")</f>
        <v>YES</v>
      </c>
    </row>
    <row r="11" spans="1:14" x14ac:dyDescent="0.25">
      <c r="A11" s="3" t="s">
        <v>171</v>
      </c>
      <c r="B11" s="4" t="str">
        <f>VLOOKUP(Table146[[#This Row],[Man. Number]],Articles!A:F,COLUMN(Articles!$D$1)-COLUMN(Articles!$A$1)+1,FALSE)</f>
        <v>RES SMD 4.7K OHM 1% 1/8W 0805 vishay</v>
      </c>
      <c r="C11" s="4" t="str">
        <f>VLOOKUP(Table146[[#This Row],[Man. Number]],Articles!A:F,COLUMN(Articles!$C$1)-COLUMN(Articles!$A$1)+1,FALSE)</f>
        <v>D101-000</v>
      </c>
      <c r="E11" s="4">
        <v>4</v>
      </c>
      <c r="F11" s="4">
        <f>VLOOKUP(Table146[[#This Row],[Man. Number]],Articles!A:F,COLUMN(Articles!$F$1)-COLUMN(Articles!$A$1)+1,FALSE)</f>
        <v>95</v>
      </c>
      <c r="G11" s="4" t="str">
        <f>IF(Table146[[#This Row],[In stock]] &gt;= Table146[[#This Row],[Quantity]],"YES","NO")</f>
        <v>YES</v>
      </c>
      <c r="H11" s="3">
        <f>VLOOKUP(Table146[[#This Row],[Man. Number]],Articles!A:J,COLUMN(Articles!$J$1)-COLUMN(Articles!$A$1)+1,FALSE)*Table146[[#This Row],[Quantity]]</f>
        <v>7.8E-2</v>
      </c>
      <c r="I11" s="4">
        <f>Table146[[#This Row],[Quantity]]*$M$1</f>
        <v>4</v>
      </c>
      <c r="J11" s="4" t="str">
        <f>IF(Table146[[#This Row],[In stock]] &gt;= Table146[[#This Row],[Total quantity]],"YES","NO")</f>
        <v>YES</v>
      </c>
    </row>
    <row r="12" spans="1:14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C12" s="4" t="str">
        <f>VLOOKUP(Table146[[#This Row],[Man. Number]],Articles!A:F,COLUMN(Articles!$C$1)-COLUMN(Articles!$A$1)+1,FALSE)</f>
        <v>D100-148</v>
      </c>
      <c r="E12" s="4">
        <v>2</v>
      </c>
      <c r="F12" s="4">
        <f>VLOOKUP(Table146[[#This Row],[Man. Number]],Articles!A:F,COLUMN(Articles!$F$1)-COLUMN(Articles!$A$1)+1,FALSE)</f>
        <v>83</v>
      </c>
      <c r="G12" s="4" t="str">
        <f>IF(Table146[[#This Row],[In stock]] &gt;= Table146[[#This Row],[Quantity]],"YES","NO")</f>
        <v>YES</v>
      </c>
      <c r="H12" s="3">
        <f>VLOOKUP(Table146[[#This Row],[Man. Number]],Articles!A:J,COLUMN(Articles!$J$1)-COLUMN(Articles!$A$1)+1,FALSE)*Table146[[#This Row],[Quantity]]</f>
        <v>0.84</v>
      </c>
      <c r="I12" s="4">
        <f>Table146[[#This Row],[Quantity]]*$M$1</f>
        <v>2</v>
      </c>
      <c r="J12" s="4" t="str">
        <f>IF(Table146[[#This Row],[In stock]] &gt;= Table146[[#This Row],[Total quantity]],"YES","NO")</f>
        <v>YES</v>
      </c>
    </row>
    <row r="13" spans="1:14" x14ac:dyDescent="0.25">
      <c r="A13" s="3" t="s">
        <v>224</v>
      </c>
      <c r="B13" s="4" t="str">
        <f>VLOOKUP(Table146[[#This Row],[Man. Number]],Articles!A:F,COLUMN(Articles!$D$1)-COLUMN(Articles!$A$1)+1,FALSE)</f>
        <v>RES SMD 150 OHM 1% 1/8W 0805 panasonic</v>
      </c>
      <c r="C13" s="4" t="str">
        <f>VLOOKUP(Table146[[#This Row],[Man. Number]],Articles!A:F,COLUMN(Articles!$C$1)-COLUMN(Articles!$A$1)+1,FALSE)</f>
        <v>D101-007</v>
      </c>
      <c r="E13" s="4">
        <v>1</v>
      </c>
      <c r="F13" s="4">
        <f>VLOOKUP(Table146[[#This Row],[Man. Number]],Articles!A:F,COLUMN(Articles!$F$1)-COLUMN(Articles!$A$1)+1,FALSE)</f>
        <v>99</v>
      </c>
      <c r="G13" s="4" t="str">
        <f>IF(Table146[[#This Row],[In stock]] &gt;= Table146[[#This Row],[Quantity]],"YES","NO")</f>
        <v>YES</v>
      </c>
      <c r="H13" s="3">
        <f>VLOOKUP(Table146[[#This Row],[Man. Number]],Articles!A:J,COLUMN(Articles!$J$1)-COLUMN(Articles!$A$1)+1,FALSE)*Table146[[#This Row],[Quantity]]</f>
        <v>8.1000000000000003E-2</v>
      </c>
      <c r="I13" s="4">
        <f>Table146[[#This Row],[Quantity]]*$M$1</f>
        <v>1</v>
      </c>
      <c r="J13" s="4" t="str">
        <f>IF(Table146[[#This Row],[In stock]] &gt;= Table146[[#This Row],[Total quantity]],"YES","NO")</f>
        <v>YES</v>
      </c>
    </row>
    <row r="14" spans="1:14" x14ac:dyDescent="0.25">
      <c r="A14" s="3" t="s">
        <v>227</v>
      </c>
      <c r="B14" s="4" t="str">
        <f>VLOOKUP(Table146[[#This Row],[Man. Number]],Articles!A:F,COLUMN(Articles!$D$1)-COLUMN(Articles!$A$1)+1,FALSE)</f>
        <v>RES SMD 100 OHM 1% 1/8W 0805</v>
      </c>
      <c r="C14" s="4" t="str">
        <f>VLOOKUP(Table146[[#This Row],[Man. Number]],Articles!A:F,COLUMN(Articles!$C$1)-COLUMN(Articles!$A$1)+1,FALSE)</f>
        <v>D101-006</v>
      </c>
      <c r="E14" s="4">
        <v>1</v>
      </c>
      <c r="F14" s="4">
        <f>VLOOKUP(Table146[[#This Row],[Man. Number]],Articles!A:F,COLUMN(Articles!$F$1)-COLUMN(Articles!$A$1)+1,FALSE)</f>
        <v>99</v>
      </c>
      <c r="G14" s="4" t="str">
        <f>IF(Table146[[#This Row],[In stock]] &gt;= Table146[[#This Row],[Quantity]],"YES","NO")</f>
        <v>YES</v>
      </c>
      <c r="H14" s="3">
        <f>VLOOKUP(Table146[[#This Row],[Man. Number]],Articles!A:J,COLUMN(Articles!$J$1)-COLUMN(Articles!$A$1)+1,FALSE)*Table146[[#This Row],[Quantity]]</f>
        <v>4.8000000000000001E-2</v>
      </c>
      <c r="I14" s="4">
        <f>Table146[[#This Row],[Quantity]]*$M$1</f>
        <v>1</v>
      </c>
      <c r="J14" s="4" t="str">
        <f>IF(Table146[[#This Row],[In stock]] &gt;= Table146[[#This Row],[Total quantity]],"YES","NO")</f>
        <v>YES</v>
      </c>
    </row>
    <row r="15" spans="1:14" x14ac:dyDescent="0.25">
      <c r="A15" s="3" t="s">
        <v>300</v>
      </c>
      <c r="B15" s="4" t="str">
        <f>VLOOKUP(Table146[[#This Row],[Man. Number]],Articles!A:F,COLUMN(Articles!$D$1)-COLUMN(Articles!$A$1)+1,FALSE)</f>
        <v>PCB TempoMetter v1</v>
      </c>
      <c r="C15" s="4" t="str">
        <f>VLOOKUP(Table146[[#This Row],[Man. Number]],Articles!A:F,COLUMN(Articles!$C$1)-COLUMN(Articles!$A$1)+1,FALSE)</f>
        <v>None</v>
      </c>
      <c r="E15" s="4">
        <v>1</v>
      </c>
      <c r="F15" s="4">
        <f>VLOOKUP(Table146[[#This Row],[Man. Number]],Articles!A:F,COLUMN(Articles!$F$1)-COLUMN(Articles!$A$1)+1,FALSE)</f>
        <v>9</v>
      </c>
      <c r="G15" s="4" t="str">
        <f>IF(Table146[[#This Row],[In stock]] &gt;= Table146[[#This Row],[Quantity]],"YES","NO")</f>
        <v>YES</v>
      </c>
      <c r="H15" s="3">
        <f>VLOOKUP(Table146[[#This Row],[Man. Number]],Articles!A:J,COLUMN(Articles!$J$1)-COLUMN(Articles!$A$1)+1,FALSE)*Table146[[#This Row],[Quantity]]</f>
        <v>0</v>
      </c>
      <c r="I15" s="4">
        <f>Table146[[#This Row],[Quantity]]*$M$1</f>
        <v>1</v>
      </c>
      <c r="J15" s="4" t="str">
        <f>IF(Table146[[#This Row],[In stock]] &gt;= Table146[[#This Row],[Total quantity]],"YES","NO")</f>
        <v>YES</v>
      </c>
    </row>
    <row r="16" spans="1:14" x14ac:dyDescent="0.25">
      <c r="A16" s="47"/>
      <c r="G16" s="4"/>
      <c r="H16" s="38">
        <f>SUBTOTAL(109,Table146[Unit Price])</f>
        <v>9.6369999999999969</v>
      </c>
      <c r="I16" s="4"/>
      <c r="J16" s="4"/>
    </row>
  </sheetData>
  <sheetProtection sheet="1" objects="1" scenarios="1"/>
  <conditionalFormatting sqref="G1:H1048576 J1:J1048576">
    <cfRule type="containsText" dxfId="20" priority="5" operator="containsText" text="NO">
      <formula>NOT(ISERROR(SEARCH("NO",G1)))</formula>
    </cfRule>
  </conditionalFormatting>
  <conditionalFormatting sqref="A1:A1048576">
    <cfRule type="duplicateValues" dxfId="19" priority="3"/>
  </conditionalFormatting>
  <conditionalFormatting sqref="N1">
    <cfRule type="cellIs" dxfId="18" priority="1" stopIfTrue="1" operator="equal">
      <formula>"Locked"</formula>
    </cfRule>
    <cfRule type="cellIs" dxfId="17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1</xdr:row>
                    <xdr:rowOff>171450</xdr:rowOff>
                  </from>
                  <to>
                    <xdr:col>14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161925</xdr:rowOff>
                  </from>
                  <to>
                    <xdr:col>14</xdr:col>
                    <xdr:colOff>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A7986-972D-4414-9BFF-FA2F799B7343}">
  <sheetPr codeName="Sheet16"/>
  <dimension ref="A1:N31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0.140625" style="4" bestFit="1" customWidth="1"/>
    <col min="4" max="4" width="23.140625" style="4" bestFit="1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1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2</v>
      </c>
      <c r="N1" t="s">
        <v>1094</v>
      </c>
    </row>
    <row r="2" spans="1:14" x14ac:dyDescent="0.25">
      <c r="A2" s="3" t="s">
        <v>1172</v>
      </c>
      <c r="B2" s="38" t="str">
        <f>VLOOKUP(Table14681012[[#This Row],[Man. Number]],Articles!A:F,COLUMN(Articles!$D$1)-COLUMN(Articles!$A$1)+1,FALSE)</f>
        <v>Hex Standoff Threaded M4 Nylon 0.394" (10.00mm) Natural</v>
      </c>
      <c r="C2" s="38" t="str">
        <f>VLOOKUP(Table14681012[[#This Row],[Man. Number]],Articles!A:F,COLUMN(Articles!$C$1)-COLUMN(Articles!$A$1)+1,FALSE)</f>
        <v>D200-009</v>
      </c>
      <c r="D2" s="4" t="s">
        <v>58</v>
      </c>
      <c r="E2" s="4">
        <v>4</v>
      </c>
      <c r="F2" s="4">
        <f>VLOOKUP(Table14681012[[#This Row],[Man. Number]],Articles!A:F,COLUMN(Articles!$F$1)-COLUMN(Articles!$A$1)+1,FALSE)</f>
        <v>6</v>
      </c>
      <c r="G2" s="38" t="str">
        <f>IF(Table14681012[[#This Row],[In stock]] &gt;= Table14681012[[#This Row],[Quantity]],"YES","NO")</f>
        <v>YES</v>
      </c>
      <c r="H2" s="3">
        <f>VLOOKUP(Table14681012[[#This Row],[Man. Number]],Articles!A:J,COLUMN(Articles!$J$1)-COLUMN(Articles!$A$1)+1,FALSE)*Table14681012[[#This Row],[Quantity]]</f>
        <v>1.88</v>
      </c>
      <c r="I2" s="38">
        <f>Table14681012[[#This Row],[Quantity]]*$M$1</f>
        <v>8</v>
      </c>
      <c r="J2" s="38" t="str">
        <f>IF(Table14681012[[#This Row],[In stock]] &gt;= Table14681012[[#This Row],[Total quantity]],"YES","NO")</f>
        <v>NO</v>
      </c>
    </row>
    <row r="3" spans="1:14" x14ac:dyDescent="0.25">
      <c r="A3" s="3" t="s">
        <v>1182</v>
      </c>
      <c r="B3" s="38" t="str">
        <f>VLOOKUP(Table14681012[[#This Row],[Man. Number]],Articles!A:F,COLUMN(Articles!$D$1)-COLUMN(Articles!$A$1)+1,FALSE)</f>
        <v>M4x0.7 Hex Nut 0.275" (7.00mm) Nylon</v>
      </c>
      <c r="C3" s="38" t="str">
        <f>VLOOKUP(Table14681012[[#This Row],[Man. Number]],Articles!A:F,COLUMN(Articles!$C$1)-COLUMN(Articles!$A$1)+1,FALSE)</f>
        <v>D200-009</v>
      </c>
      <c r="D3" s="4" t="s">
        <v>58</v>
      </c>
      <c r="E3" s="4">
        <v>4</v>
      </c>
      <c r="F3" s="4">
        <f>VLOOKUP(Table14681012[[#This Row],[Man. Number]],Articles!A:F,COLUMN(Articles!$F$1)-COLUMN(Articles!$A$1)+1,FALSE)</f>
        <v>6</v>
      </c>
      <c r="G3" s="38" t="str">
        <f>IF(Table14681012[[#This Row],[In stock]] &gt;= Table14681012[[#This Row],[Quantity]],"YES","NO")</f>
        <v>YES</v>
      </c>
      <c r="H3" s="3">
        <f>VLOOKUP(Table14681012[[#This Row],[Man. Number]],Articles!A:J,COLUMN(Articles!$J$1)-COLUMN(Articles!$A$1)+1,FALSE)*Table14681012[[#This Row],[Quantity]]</f>
        <v>0.6</v>
      </c>
      <c r="I3" s="38">
        <f>Table14681012[[#This Row],[Quantity]]*$M$1</f>
        <v>8</v>
      </c>
      <c r="J3" s="38" t="str">
        <f>IF(Table14681012[[#This Row],[In stock]] &gt;= Table14681012[[#This Row],[Total quantity]],"YES","NO")</f>
        <v>NO</v>
      </c>
    </row>
    <row r="4" spans="1:14" x14ac:dyDescent="0.25">
      <c r="A4" s="3" t="s">
        <v>1390</v>
      </c>
      <c r="B4" s="38" t="str">
        <f>VLOOKUP(Table14681012[[#This Row],[Man. Number]],Articles!A:F,COLUMN(Articles!$D$1)-COLUMN(Articles!$A$1)+1,FALSE)</f>
        <v>PCB USB Tool v4</v>
      </c>
      <c r="C4" s="38" t="str">
        <f>VLOOKUP(Table14681012[[#This Row],[Man. Number]],Articles!A:F,COLUMN(Articles!$C$1)-COLUMN(Articles!$A$1)+1,FALSE)</f>
        <v>None</v>
      </c>
      <c r="D4" s="4" t="s">
        <v>58</v>
      </c>
      <c r="E4" s="4">
        <v>1</v>
      </c>
      <c r="F4" s="4">
        <f>VLOOKUP(Table14681012[[#This Row],[Man. Number]],Articles!A:F,COLUMN(Articles!$F$1)-COLUMN(Articles!$A$1)+1,FALSE)</f>
        <v>4</v>
      </c>
      <c r="G4" s="38" t="str">
        <f>IF(Table14681012[[#This Row],[In stock]] &gt;= Table14681012[[#This Row],[Quantity]],"YES","NO")</f>
        <v>YES</v>
      </c>
      <c r="H4" s="3">
        <f>VLOOKUP(Table14681012[[#This Row],[Man. Number]],Articles!A:J,COLUMN(Articles!$J$1)-COLUMN(Articles!$A$1)+1,FALSE)*Table14681012[[#This Row],[Quantity]]</f>
        <v>0</v>
      </c>
      <c r="I4" s="38">
        <f>Table14681012[[#This Row],[Quantity]]*$M$1</f>
        <v>2</v>
      </c>
      <c r="J4" s="38" t="str">
        <f>IF(Table14681012[[#This Row],[In stock]] &gt;= Table14681012[[#This Row],[Total quantity]],"YES","NO")</f>
        <v>YES</v>
      </c>
    </row>
    <row r="5" spans="1:14" x14ac:dyDescent="0.25">
      <c r="A5" s="3" t="s">
        <v>537</v>
      </c>
      <c r="B5" s="38" t="str">
        <f>VLOOKUP(Table14681012[[#This Row],[Man. Number]],Articles!A:F,COLUMN(Articles!$D$1)-COLUMN(Articles!$A$1)+1,FALSE)</f>
        <v>4700pF ±10% 25V Ceramic Capacitor X7R 0805 (2012 Metric)</v>
      </c>
      <c r="C5" s="38" t="str">
        <f>VLOOKUP(Table14681012[[#This Row],[Man. Number]],Articles!A:F,COLUMN(Articles!$C$1)-COLUMN(Articles!$A$1)+1,FALSE)</f>
        <v>D101-153</v>
      </c>
      <c r="D5" s="4" t="s">
        <v>271</v>
      </c>
      <c r="E5" s="4">
        <v>1</v>
      </c>
      <c r="F5" s="4">
        <f>VLOOKUP(Table14681012[[#This Row],[Man. Number]],Articles!A:F,COLUMN(Articles!$F$1)-COLUMN(Articles!$A$1)+1,FALSE)</f>
        <v>8</v>
      </c>
      <c r="G5" s="38" t="str">
        <f>IF(Table14681012[[#This Row],[In stock]] &gt;= Table14681012[[#This Row],[Quantity]],"YES","NO")</f>
        <v>YES</v>
      </c>
      <c r="H5" s="3">
        <f>VLOOKUP(Table14681012[[#This Row],[Man. Number]],Articles!A:J,COLUMN(Articles!$J$1)-COLUMN(Articles!$A$1)+1,FALSE)*Table14681012[[#This Row],[Quantity]]</f>
        <v>3.5999999999999997E-2</v>
      </c>
      <c r="I5" s="38">
        <f>Table14681012[[#This Row],[Quantity]]*$M$1</f>
        <v>2</v>
      </c>
      <c r="J5" s="38" t="str">
        <f>IF(Table14681012[[#This Row],[In stock]] &gt;= Table14681012[[#This Row],[Total quantity]],"YES","NO")</f>
        <v>YES</v>
      </c>
    </row>
    <row r="6" spans="1:14" x14ac:dyDescent="0.25">
      <c r="A6" s="3" t="s">
        <v>1152</v>
      </c>
      <c r="B6" s="38" t="str">
        <f>VLOOKUP(Table14681012[[#This Row],[Man. Number]],Articles!A:F,COLUMN(Articles!$D$1)-COLUMN(Articles!$A$1)+1,FALSE)</f>
        <v>10µF ±20% 10V Ceramic Capacitor X5R 0805 (2012 Metric)</v>
      </c>
      <c r="C6" s="38" t="str">
        <f>VLOOKUP(Table14681012[[#This Row],[Man. Number]],Articles!A:F,COLUMN(Articles!$C$1)-COLUMN(Articles!$A$1)+1,FALSE)</f>
        <v>D101-150</v>
      </c>
      <c r="D6" s="4" t="s">
        <v>272</v>
      </c>
      <c r="E6" s="4">
        <v>1</v>
      </c>
      <c r="F6" s="4">
        <f>VLOOKUP(Table14681012[[#This Row],[Man. Number]],Articles!A:F,COLUMN(Articles!$F$1)-COLUMN(Articles!$A$1)+1,FALSE)</f>
        <v>8</v>
      </c>
      <c r="G6" s="38" t="str">
        <f>IF(Table14681012[[#This Row],[In stock]] &gt;= Table14681012[[#This Row],[Quantity]],"YES","NO")</f>
        <v>YES</v>
      </c>
      <c r="H6" s="3">
        <f>VLOOKUP(Table14681012[[#This Row],[Man. Number]],Articles!A:J,COLUMN(Articles!$J$1)-COLUMN(Articles!$A$1)+1,FALSE)*Table14681012[[#This Row],[Quantity]]</f>
        <v>0.18</v>
      </c>
      <c r="I6" s="38">
        <f>Table14681012[[#This Row],[Quantity]]*$M$1</f>
        <v>2</v>
      </c>
      <c r="J6" s="38" t="str">
        <f>IF(Table14681012[[#This Row],[In stock]] &gt;= Table14681012[[#This Row],[Total quantity]],"YES","NO")</f>
        <v>YES</v>
      </c>
    </row>
    <row r="7" spans="1:14" x14ac:dyDescent="0.25">
      <c r="A7" s="3" t="s">
        <v>33</v>
      </c>
      <c r="B7" s="38" t="str">
        <f>VLOOKUP(Table14681012[[#This Row],[Man. Number]],Articles!A:F,COLUMN(Articles!$D$1)-COLUMN(Articles!$A$1)+1,FALSE)</f>
        <v>Condensateur céramique multicouche CMS, 1206 [3216 Metric], 0.1 µF, 25 V, ± 10%, X7R</v>
      </c>
      <c r="C7" s="38" t="str">
        <f>VLOOKUP(Table14681012[[#This Row],[Man. Number]],Articles!A:F,COLUMN(Articles!$C$1)-COLUMN(Articles!$A$1)+1,FALSE)</f>
        <v>D100-148</v>
      </c>
      <c r="D7" s="4" t="s">
        <v>1226</v>
      </c>
      <c r="E7" s="4">
        <v>4</v>
      </c>
      <c r="F7" s="4">
        <f>VLOOKUP(Table14681012[[#This Row],[Man. Number]],Articles!A:F,COLUMN(Articles!$F$1)-COLUMN(Articles!$A$1)+1,FALSE)</f>
        <v>83</v>
      </c>
      <c r="G7" s="38" t="str">
        <f>IF(Table14681012[[#This Row],[In stock]] &gt;= Table14681012[[#This Row],[Quantity]],"YES","NO")</f>
        <v>YES</v>
      </c>
      <c r="H7" s="3">
        <f>VLOOKUP(Table14681012[[#This Row],[Man. Number]],Articles!A:J,COLUMN(Articles!$J$1)-COLUMN(Articles!$A$1)+1,FALSE)*Table14681012[[#This Row],[Quantity]]</f>
        <v>1.68</v>
      </c>
      <c r="I7" s="38">
        <f>Table14681012[[#This Row],[Quantity]]*$M$1</f>
        <v>8</v>
      </c>
      <c r="J7" s="38" t="str">
        <f>IF(Table14681012[[#This Row],[In stock]] &gt;= Table14681012[[#This Row],[Total quantity]],"YES","NO")</f>
        <v>YES</v>
      </c>
    </row>
    <row r="8" spans="1:14" x14ac:dyDescent="0.25">
      <c r="A8" s="3" t="s">
        <v>535</v>
      </c>
      <c r="B8" s="38" t="str">
        <f>VLOOKUP(Table14681012[[#This Row],[Man. Number]],Articles!A:F,COLUMN(Articles!$D$1)-COLUMN(Articles!$A$1)+1,FALSE)</f>
        <v>4.7µF ±20% 25V Ceramic Capacitor X5R 0805 (2012 Metric)</v>
      </c>
      <c r="C8" s="38" t="str">
        <f>VLOOKUP(Table14681012[[#This Row],[Man. Number]],Articles!A:F,COLUMN(Articles!$C$1)-COLUMN(Articles!$A$1)+1,FALSE)</f>
        <v>D101-151</v>
      </c>
      <c r="D8" s="4" t="s">
        <v>528</v>
      </c>
      <c r="E8" s="4">
        <v>1</v>
      </c>
      <c r="F8" s="4">
        <f>VLOOKUP(Table14681012[[#This Row],[Man. Number]],Articles!A:F,COLUMN(Articles!$F$1)-COLUMN(Articles!$A$1)+1,FALSE)</f>
        <v>15</v>
      </c>
      <c r="G8" s="38" t="str">
        <f>IF(Table14681012[[#This Row],[In stock]] &gt;= Table14681012[[#This Row],[Quantity]],"YES","NO")</f>
        <v>YES</v>
      </c>
      <c r="H8" s="3">
        <f>VLOOKUP(Table14681012[[#This Row],[Man. Number]],Articles!A:J,COLUMN(Articles!$J$1)-COLUMN(Articles!$A$1)+1,FALSE)*Table14681012[[#This Row],[Quantity]]</f>
        <v>0.151</v>
      </c>
      <c r="I8" s="38">
        <f>Table14681012[[#This Row],[Quantity]]*$M$1</f>
        <v>2</v>
      </c>
      <c r="J8" s="38" t="str">
        <f>IF(Table14681012[[#This Row],[In stock]] &gt;= Table14681012[[#This Row],[Total quantity]],"YES","NO")</f>
        <v>YES</v>
      </c>
    </row>
    <row r="9" spans="1:14" x14ac:dyDescent="0.25">
      <c r="A9" s="3" t="s">
        <v>536</v>
      </c>
      <c r="B9" s="38" t="str">
        <f>VLOOKUP(Table14681012[[#This Row],[Man. Number]],Articles!A:F,COLUMN(Articles!$D$1)-COLUMN(Articles!$A$1)+1,FALSE)</f>
        <v>1µF ±10% 25V Ceramic Capacitor X7R 0805 (2012 Metric)</v>
      </c>
      <c r="C9" s="38" t="str">
        <f>VLOOKUP(Table14681012[[#This Row],[Man. Number]],Articles!A:F,COLUMN(Articles!$C$1)-COLUMN(Articles!$A$1)+1,FALSE)</f>
        <v>D101-149</v>
      </c>
      <c r="D9" s="4" t="s">
        <v>1227</v>
      </c>
      <c r="E9" s="4">
        <v>1</v>
      </c>
      <c r="F9" s="4">
        <f>VLOOKUP(Table14681012[[#This Row],[Man. Number]],Articles!A:F,COLUMN(Articles!$F$1)-COLUMN(Articles!$A$1)+1,FALSE)</f>
        <v>27</v>
      </c>
      <c r="G9" s="38" t="str">
        <f>IF(Table14681012[[#This Row],[In stock]] &gt;= Table14681012[[#This Row],[Quantity]],"YES","NO")</f>
        <v>YES</v>
      </c>
      <c r="H9" s="3">
        <f>VLOOKUP(Table14681012[[#This Row],[Man. Number]],Articles!A:J,COLUMN(Articles!$J$1)-COLUMN(Articles!$A$1)+1,FALSE)*Table14681012[[#This Row],[Quantity]]</f>
        <v>0.08</v>
      </c>
      <c r="I9" s="38">
        <f>Table14681012[[#This Row],[Quantity]]*$M$1</f>
        <v>2</v>
      </c>
      <c r="J9" s="38" t="str">
        <f>IF(Table14681012[[#This Row],[In stock]] &gt;= Table14681012[[#This Row],[Total quantity]],"YES","NO")</f>
        <v>YES</v>
      </c>
    </row>
    <row r="10" spans="1:14" x14ac:dyDescent="0.25">
      <c r="A10" s="3" t="s">
        <v>1238</v>
      </c>
      <c r="B10" s="38" t="str">
        <f>VLOOKUP(Table14681012[[#This Row],[Man. Number]],Articles!A:F,COLUMN(Articles!$D$1)-COLUMN(Articles!$A$1)+1,FALSE)</f>
        <v>250mA 350V AC 72V DC Fuse Board Mount (Cartridge Style Excluded) Surface Mount 2410 (6125 Metric)</v>
      </c>
      <c r="C10" s="38" t="str">
        <f>VLOOKUP(Table14681012[[#This Row],[Man. Number]],Articles!A:F,COLUMN(Articles!$C$1)-COLUMN(Articles!$A$1)+1,FALSE)</f>
        <v>D100-137</v>
      </c>
      <c r="D10" s="4" t="s">
        <v>269</v>
      </c>
      <c r="E10" s="4">
        <v>1</v>
      </c>
      <c r="F10" s="4">
        <f>VLOOKUP(Table14681012[[#This Row],[Man. Number]],Articles!A:F,COLUMN(Articles!$F$1)-COLUMN(Articles!$A$1)+1,FALSE)</f>
        <v>4</v>
      </c>
      <c r="G10" s="38" t="str">
        <f>IF(Table14681012[[#This Row],[In stock]] &gt;= Table14681012[[#This Row],[Quantity]],"YES","NO")</f>
        <v>YES</v>
      </c>
      <c r="H10" s="3">
        <f>VLOOKUP(Table14681012[[#This Row],[Man. Number]],Articles!A:J,COLUMN(Articles!$J$1)-COLUMN(Articles!$A$1)+1,FALSE)*Table14681012[[#This Row],[Quantity]]</f>
        <v>0.44</v>
      </c>
      <c r="I10" s="38">
        <f>Table14681012[[#This Row],[Quantity]]*$M$1</f>
        <v>2</v>
      </c>
      <c r="J10" s="38" t="str">
        <f>IF(Table14681012[[#This Row],[In stock]] &gt;= Table14681012[[#This Row],[Total quantity]],"YES","NO")</f>
        <v>YES</v>
      </c>
    </row>
    <row r="11" spans="1:14" x14ac:dyDescent="0.25">
      <c r="A11" s="3" t="s">
        <v>142</v>
      </c>
      <c r="B11" s="38" t="str">
        <f>VLOOKUP(Table14681012[[#This Row],[Man. Number]],Articles!A:F,COLUMN(Articles!$D$1)-COLUMN(Articles!$A$1)+1,FALSE)</f>
        <v>CONN RCPT STD MICRO USB TYPE B</v>
      </c>
      <c r="C11" s="38" t="str">
        <f>VLOOKUP(Table14681012[[#This Row],[Man. Number]],Articles!A:F,COLUMN(Articles!$C$1)-COLUMN(Articles!$A$1)+1,FALSE)</f>
        <v>D200-010</v>
      </c>
      <c r="D11" s="4" t="s">
        <v>529</v>
      </c>
      <c r="E11" s="4">
        <v>1</v>
      </c>
      <c r="F11" s="4">
        <f>VLOOKUP(Table14681012[[#This Row],[Man. Number]],Articles!A:F,COLUMN(Articles!$F$1)-COLUMN(Articles!$A$1)+1,FALSE)</f>
        <v>8</v>
      </c>
      <c r="G11" s="38" t="str">
        <f>IF(Table14681012[[#This Row],[In stock]] &gt;= Table14681012[[#This Row],[Quantity]],"YES","NO")</f>
        <v>YES</v>
      </c>
      <c r="H11" s="3">
        <f>VLOOKUP(Table14681012[[#This Row],[Man. Number]],Articles!A:J,COLUMN(Articles!$J$1)-COLUMN(Articles!$A$1)+1,FALSE)*Table14681012[[#This Row],[Quantity]]</f>
        <v>0.66500000000000004</v>
      </c>
      <c r="I11" s="38">
        <f>Table14681012[[#This Row],[Quantity]]*$M$1</f>
        <v>2</v>
      </c>
      <c r="J11" s="38" t="str">
        <f>IF(Table14681012[[#This Row],[In stock]] &gt;= Table14681012[[#This Row],[Total quantity]],"YES","NO")</f>
        <v>YES</v>
      </c>
    </row>
    <row r="12" spans="1:14" x14ac:dyDescent="0.25">
      <c r="A12" s="3" t="s">
        <v>211</v>
      </c>
      <c r="B12" s="38" t="str">
        <f>VLOOKUP(Table14681012[[#This Row],[Man. Number]],Articles!A:F,COLUMN(Articles!$D$1)-COLUMN(Articles!$A$1)+1,FALSE)</f>
        <v>Red 628nm LED Indication - Discrete 1.8V 0603 (1608 Metric)</v>
      </c>
      <c r="C12" s="38" t="str">
        <f>VLOOKUP(Table14681012[[#This Row],[Man. Number]],Articles!A:F,COLUMN(Articles!$C$1)-COLUMN(Articles!$A$1)+1,FALSE)</f>
        <v>D001-049</v>
      </c>
      <c r="D12" s="4" t="s">
        <v>275</v>
      </c>
      <c r="E12" s="4">
        <v>1</v>
      </c>
      <c r="F12" s="38">
        <f>VLOOKUP(Table14681012[[#This Row],[Man. Number]],Articles!A:F,COLUMN(Articles!$F$1)-COLUMN(Articles!$A$1)+1,FALSE)</f>
        <v>6</v>
      </c>
      <c r="G12" s="38" t="str">
        <f>IF(Table14681012[[#This Row],[In stock]] &gt;= Table14681012[[#This Row],[Quantity]],"YES","NO")</f>
        <v>YES</v>
      </c>
      <c r="H12" s="3">
        <f>VLOOKUP(Table14681012[[#This Row],[Man. Number]],Articles!A:J,COLUMN(Articles!$J$1)-COLUMN(Articles!$A$1)+1,FALSE)*Table14681012[[#This Row],[Quantity]]</f>
        <v>0.52</v>
      </c>
      <c r="I12" s="38">
        <f>Table14681012[[#This Row],[Quantity]]*$M$1</f>
        <v>2</v>
      </c>
      <c r="J12" s="38" t="str">
        <f>IF(Table14681012[[#This Row],[In stock]] &gt;= Table14681012[[#This Row],[Total quantity]],"YES","NO")</f>
        <v>YES</v>
      </c>
    </row>
    <row r="13" spans="1:14" x14ac:dyDescent="0.25">
      <c r="A13" s="3" t="s">
        <v>127</v>
      </c>
      <c r="B13" s="38" t="str">
        <f>VLOOKUP(Table14681012[[#This Row],[Man. Number]],Articles!A:F,COLUMN(Articles!$D$1)-COLUMN(Articles!$A$1)+1,FALSE)</f>
        <v>LED RGB CLEAR 3528 SMD</v>
      </c>
      <c r="C13" s="38" t="str">
        <f>VLOOKUP(Table14681012[[#This Row],[Man. Number]],Articles!A:F,COLUMN(Articles!$C$1)-COLUMN(Articles!$A$1)+1,FALSE)</f>
        <v>D001-051</v>
      </c>
      <c r="D13" s="4" t="s">
        <v>592</v>
      </c>
      <c r="E13" s="4">
        <v>1</v>
      </c>
      <c r="F13" s="38">
        <f>VLOOKUP(Table14681012[[#This Row],[Man. Number]],Articles!A:F,COLUMN(Articles!$F$1)-COLUMN(Articles!$A$1)+1,FALSE)</f>
        <v>6</v>
      </c>
      <c r="G13" s="38" t="str">
        <f>IF(Table14681012[[#This Row],[In stock]] &gt;= Table14681012[[#This Row],[Quantity]],"YES","NO")</f>
        <v>YES</v>
      </c>
      <c r="H13" s="3">
        <f>VLOOKUP(Table14681012[[#This Row],[Man. Number]],Articles!A:J,COLUMN(Articles!$J$1)-COLUMN(Articles!$A$1)+1,FALSE)*Table14681012[[#This Row],[Quantity]]</f>
        <v>0.45</v>
      </c>
      <c r="I13" s="38">
        <f>Table14681012[[#This Row],[Quantity]]*$M$1</f>
        <v>2</v>
      </c>
      <c r="J13" s="38" t="str">
        <f>IF(Table14681012[[#This Row],[In stock]] &gt;= Table14681012[[#This Row],[Total quantity]],"YES","NO")</f>
        <v>YES</v>
      </c>
    </row>
    <row r="14" spans="1:14" x14ac:dyDescent="0.25">
      <c r="A14" s="3" t="s">
        <v>210</v>
      </c>
      <c r="B14" s="38" t="str">
        <f>VLOOKUP(Table14681012[[#This Row],[Man. Number]],Articles!A:F,COLUMN(Articles!$D$1)-COLUMN(Articles!$A$1)+1,FALSE)</f>
        <v>Green 570nm LED Indication - Discrete 2V 0603 (1608 Metric)</v>
      </c>
      <c r="C14" s="38" t="str">
        <f>VLOOKUP(Table14681012[[#This Row],[Man. Number]],Articles!A:F,COLUMN(Articles!$C$1)-COLUMN(Articles!$A$1)+1,FALSE)</f>
        <v>D001-048</v>
      </c>
      <c r="D14" s="4" t="s">
        <v>1228</v>
      </c>
      <c r="E14" s="4">
        <v>4</v>
      </c>
      <c r="F14" s="4">
        <f>VLOOKUP(Table14681012[[#This Row],[Man. Number]],Articles!A:F,COLUMN(Articles!$F$1)-COLUMN(Articles!$A$1)+1,FALSE)</f>
        <v>14</v>
      </c>
      <c r="G14" s="38" t="str">
        <f>IF(Table14681012[[#This Row],[In stock]] &gt;= Table14681012[[#This Row],[Quantity]],"YES","NO")</f>
        <v>YES</v>
      </c>
      <c r="H14" s="3">
        <f>VLOOKUP(Table14681012[[#This Row],[Man. Number]],Articles!A:J,COLUMN(Articles!$J$1)-COLUMN(Articles!$A$1)+1,FALSE)*Table14681012[[#This Row],[Quantity]]</f>
        <v>0.56000000000000005</v>
      </c>
      <c r="I14" s="38">
        <f>Table14681012[[#This Row],[Quantity]]*$M$1</f>
        <v>8</v>
      </c>
      <c r="J14" s="38" t="str">
        <f>IF(Table14681012[[#This Row],[In stock]] &gt;= Table14681012[[#This Row],[Total quantity]],"YES","NO")</f>
        <v>YES</v>
      </c>
    </row>
    <row r="15" spans="1:14" x14ac:dyDescent="0.25">
      <c r="A15" s="3" t="s">
        <v>1217</v>
      </c>
      <c r="B15" s="38" t="str">
        <f>VLOOKUP(Table14681012[[#This Row],[Man. Number]],Articles!A:F,COLUMN(Articles!$D$1)-COLUMN(Articles!$A$1)+1,FALSE)</f>
        <v>Blue 470nm LED Indication - Discrete 3.2V 0805 (2012 Metric)</v>
      </c>
      <c r="C15" s="38" t="str">
        <f>VLOOKUP(Table14681012[[#This Row],[Man. Number]],Articles!A:F,COLUMN(Articles!$C$1)-COLUMN(Articles!$A$1)+1,FALSE)</f>
        <v>D001-050</v>
      </c>
      <c r="D15" s="4" t="s">
        <v>1229</v>
      </c>
      <c r="E15" s="4">
        <v>2</v>
      </c>
      <c r="F15" s="4">
        <f>VLOOKUP(Table14681012[[#This Row],[Man. Number]],Articles!A:F,COLUMN(Articles!$F$1)-COLUMN(Articles!$A$1)+1,FALSE)</f>
        <v>8</v>
      </c>
      <c r="G15" s="38" t="str">
        <f>IF(Table14681012[[#This Row],[In stock]] &gt;= Table14681012[[#This Row],[Quantity]],"YES","NO")</f>
        <v>YES</v>
      </c>
      <c r="H15" s="3">
        <f>VLOOKUP(Table14681012[[#This Row],[Man. Number]],Articles!A:J,COLUMN(Articles!$J$1)-COLUMN(Articles!$A$1)+1,FALSE)*Table14681012[[#This Row],[Quantity]]</f>
        <v>0.34</v>
      </c>
      <c r="I15" s="38">
        <f>Table14681012[[#This Row],[Quantity]]*$M$1</f>
        <v>4</v>
      </c>
      <c r="J15" s="38" t="str">
        <f>IF(Table14681012[[#This Row],[In stock]] &gt;= Table14681012[[#This Row],[Total quantity]],"YES","NO")</f>
        <v>YES</v>
      </c>
    </row>
    <row r="16" spans="1:14" x14ac:dyDescent="0.25">
      <c r="A16" s="3" t="s">
        <v>1012</v>
      </c>
      <c r="B16" s="38" t="str">
        <f>VLOOKUP(Table14681012[[#This Row],[Man. Number]],Articles!A:F,COLUMN(Articles!$D$1)-COLUMN(Articles!$A$1)+1,FALSE)</f>
        <v>RES SMD 1M OHM 5% 1/4W 0603</v>
      </c>
      <c r="C16" s="38" t="str">
        <f>VLOOKUP(Table14681012[[#This Row],[Man. Number]],Articles!A:F,COLUMN(Articles!$C$1)-COLUMN(Articles!$A$1)+1,FALSE)</f>
        <v>D100-007</v>
      </c>
      <c r="D16" s="4" t="s">
        <v>294</v>
      </c>
      <c r="E16" s="4">
        <v>1</v>
      </c>
      <c r="F16" s="4">
        <f>VLOOKUP(Table14681012[[#This Row],[Man. Number]],Articles!A:F,COLUMN(Articles!$F$1)-COLUMN(Articles!$A$1)+1,FALSE)</f>
        <v>8</v>
      </c>
      <c r="G16" s="38" t="str">
        <f>IF(Table14681012[[#This Row],[In stock]] &gt;= Table14681012[[#This Row],[Quantity]],"YES","NO")</f>
        <v>YES</v>
      </c>
      <c r="H16" s="3">
        <f>VLOOKUP(Table14681012[[#This Row],[Man. Number]],Articles!A:J,COLUMN(Articles!$J$1)-COLUMN(Articles!$A$1)+1,FALSE)*Table14681012[[#This Row],[Quantity]]</f>
        <v>0.1</v>
      </c>
      <c r="I16" s="38">
        <f>Table14681012[[#This Row],[Quantity]]*$M$1</f>
        <v>2</v>
      </c>
      <c r="J16" s="38" t="str">
        <f>IF(Table14681012[[#This Row],[In stock]] &gt;= Table14681012[[#This Row],[Total quantity]],"YES","NO")</f>
        <v>YES</v>
      </c>
    </row>
    <row r="17" spans="1:10" x14ac:dyDescent="0.25">
      <c r="A17" s="3" t="s">
        <v>1001</v>
      </c>
      <c r="B17" s="38" t="str">
        <f>VLOOKUP(Table14681012[[#This Row],[Man. Number]],Articles!A:F,COLUMN(Articles!$D$1)-COLUMN(Articles!$A$1)+1,FALSE)</f>
        <v>RES SMD 27K OHM 5% 1/4W 0603</v>
      </c>
      <c r="C17" s="38" t="str">
        <f>VLOOKUP(Table14681012[[#This Row],[Man. Number]],Articles!A:F,COLUMN(Articles!$C$1)-COLUMN(Articles!$A$1)+1,FALSE)</f>
        <v>D100-001</v>
      </c>
      <c r="D17" s="38" t="s">
        <v>286</v>
      </c>
      <c r="E17" s="4">
        <v>1</v>
      </c>
      <c r="F17" s="4">
        <f>VLOOKUP(Table14681012[[#This Row],[Man. Number]],Articles!A:F,COLUMN(Articles!$F$1)-COLUMN(Articles!$A$1)+1,FALSE)</f>
        <v>7</v>
      </c>
      <c r="G17" s="38" t="str">
        <f>IF(Table14681012[[#This Row],[In stock]] &gt;= Table14681012[[#This Row],[Quantity]],"YES","NO")</f>
        <v>YES</v>
      </c>
      <c r="H17" s="3">
        <f>VLOOKUP(Table14681012[[#This Row],[Man. Number]],Articles!A:J,COLUMN(Articles!$J$1)-COLUMN(Articles!$A$1)+1,FALSE)*Table14681012[[#This Row],[Quantity]]</f>
        <v>0.1</v>
      </c>
      <c r="I17" s="38">
        <f>Table14681012[[#This Row],[Quantity]]*$M$1</f>
        <v>2</v>
      </c>
      <c r="J17" s="38" t="str">
        <f>IF(Table14681012[[#This Row],[In stock]] &gt;= Table14681012[[#This Row],[Total quantity]],"YES","NO")</f>
        <v>YES</v>
      </c>
    </row>
    <row r="18" spans="1:10" x14ac:dyDescent="0.25">
      <c r="A18" s="3" t="s">
        <v>1006</v>
      </c>
      <c r="B18" s="38" t="str">
        <f>VLOOKUP(Table14681012[[#This Row],[Man. Number]],Articles!A:F,COLUMN(Articles!$D$1)-COLUMN(Articles!$A$1)+1,FALSE)</f>
        <v>RES SMD 270 OHM 5% 1/4W 0603</v>
      </c>
      <c r="C18" s="38" t="str">
        <f>VLOOKUP(Table14681012[[#This Row],[Man. Number]],Articles!A:F,COLUMN(Articles!$C$1)-COLUMN(Articles!$A$1)+1,FALSE)</f>
        <v>D100-009</v>
      </c>
      <c r="D18" s="4" t="s">
        <v>1234</v>
      </c>
      <c r="E18" s="4">
        <v>2</v>
      </c>
      <c r="F18" s="38">
        <f>VLOOKUP(Table14681012[[#This Row],[Man. Number]],Articles!A:F,COLUMN(Articles!$F$1)-COLUMN(Articles!$A$1)+1,FALSE)</f>
        <v>7</v>
      </c>
      <c r="G18" s="38" t="str">
        <f>IF(Table14681012[[#This Row],[In stock]] &gt;= Table14681012[[#This Row],[Quantity]],"YES","NO")</f>
        <v>YES</v>
      </c>
      <c r="H18" s="3">
        <f>VLOOKUP(Table14681012[[#This Row],[Man. Number]],Articles!A:J,COLUMN(Articles!$J$1)-COLUMN(Articles!$A$1)+1,FALSE)*Table14681012[[#This Row],[Quantity]]</f>
        <v>0.2</v>
      </c>
      <c r="I18" s="38">
        <f>Table14681012[[#This Row],[Quantity]]*$M$1</f>
        <v>4</v>
      </c>
      <c r="J18" s="38" t="str">
        <f>IF(Table14681012[[#This Row],[In stock]] &gt;= Table14681012[[#This Row],[Total quantity]],"YES","NO")</f>
        <v>YES</v>
      </c>
    </row>
    <row r="19" spans="1:10" x14ac:dyDescent="0.25">
      <c r="A19" s="3" t="s">
        <v>986</v>
      </c>
      <c r="B19" s="38" t="str">
        <f>VLOOKUP(Table14681012[[#This Row],[Man. Number]],Articles!A:F,COLUMN(Articles!$D$1)-COLUMN(Articles!$A$1)+1,FALSE)</f>
        <v>RES SMD 120 OHM 5% 1/4W 0603</v>
      </c>
      <c r="C19" s="38" t="str">
        <f>VLOOKUP(Table14681012[[#This Row],[Man. Number]],Articles!A:F,COLUMN(Articles!$C$1)-COLUMN(Articles!$A$1)+1,FALSE)</f>
        <v>D100-010</v>
      </c>
      <c r="D19" s="4" t="s">
        <v>1233</v>
      </c>
      <c r="E19" s="4">
        <v>2</v>
      </c>
      <c r="F19" s="4">
        <f>VLOOKUP(Table14681012[[#This Row],[Man. Number]],Articles!A:F,COLUMN(Articles!$F$1)-COLUMN(Articles!$A$1)+1,FALSE)</f>
        <v>8</v>
      </c>
      <c r="G19" s="38" t="str">
        <f>IF(Table14681012[[#This Row],[In stock]] &gt;= Table14681012[[#This Row],[Quantity]],"YES","NO")</f>
        <v>YES</v>
      </c>
      <c r="H19" s="3">
        <f>VLOOKUP(Table14681012[[#This Row],[Man. Number]],Articles!A:J,COLUMN(Articles!$J$1)-COLUMN(Articles!$A$1)+1,FALSE)*Table14681012[[#This Row],[Quantity]]</f>
        <v>0.2</v>
      </c>
      <c r="I19" s="38">
        <f>Table14681012[[#This Row],[Quantity]]*$M$1</f>
        <v>4</v>
      </c>
      <c r="J19" s="38" t="str">
        <f>IF(Table14681012[[#This Row],[In stock]] &gt;= Table14681012[[#This Row],[Total quantity]],"YES","NO")</f>
        <v>YES</v>
      </c>
    </row>
    <row r="20" spans="1:10" x14ac:dyDescent="0.25">
      <c r="A20" s="3" t="s">
        <v>989</v>
      </c>
      <c r="B20" s="38" t="str">
        <f>VLOOKUP(Table14681012[[#This Row],[Man. Number]],Articles!A:F,COLUMN(Articles!$D$1)-COLUMN(Articles!$A$1)+1,FALSE)</f>
        <v>RES SMD 150 OHM 5% 1/4W 0603</v>
      </c>
      <c r="C20" s="38" t="str">
        <f>VLOOKUP(Table14681012[[#This Row],[Man. Number]],Articles!A:F,COLUMN(Articles!$C$1)-COLUMN(Articles!$A$1)+1,FALSE)</f>
        <v>D100-000</v>
      </c>
      <c r="D20" s="4" t="s">
        <v>1230</v>
      </c>
      <c r="E20" s="4">
        <v>3</v>
      </c>
      <c r="F20" s="4">
        <f>VLOOKUP(Table14681012[[#This Row],[Man. Number]],Articles!A:F,COLUMN(Articles!$F$1)-COLUMN(Articles!$A$1)+1,FALSE)</f>
        <v>16</v>
      </c>
      <c r="G20" s="38" t="str">
        <f>IF(Table14681012[[#This Row],[In stock]] &gt;= Table14681012[[#This Row],[Quantity]],"YES","NO")</f>
        <v>YES</v>
      </c>
      <c r="H20" s="3">
        <f>VLOOKUP(Table14681012[[#This Row],[Man. Number]],Articles!A:J,COLUMN(Articles!$J$1)-COLUMN(Articles!$A$1)+1,FALSE)*Table14681012[[#This Row],[Quantity]]</f>
        <v>0.30000000000000004</v>
      </c>
      <c r="I20" s="38">
        <f>Table14681012[[#This Row],[Quantity]]*$M$1</f>
        <v>6</v>
      </c>
      <c r="J20" s="38" t="str">
        <f>IF(Table14681012[[#This Row],[In stock]] &gt;= Table14681012[[#This Row],[Total quantity]],"YES","NO")</f>
        <v>YES</v>
      </c>
    </row>
    <row r="21" spans="1:10" x14ac:dyDescent="0.25">
      <c r="A21" s="3" t="s">
        <v>980</v>
      </c>
      <c r="B21" s="38" t="str">
        <f>VLOOKUP(Table14681012[[#This Row],[Man. Number]],Articles!A:F,COLUMN(Articles!$D$1)-COLUMN(Articles!$A$1)+1,FALSE)</f>
        <v>RES SMD 10K OHM 5% 1/4W 0603</v>
      </c>
      <c r="C21" s="38" t="str">
        <f>VLOOKUP(Table14681012[[#This Row],[Man. Number]],Articles!A:F,COLUMN(Articles!$C$1)-COLUMN(Articles!$A$1)+1,FALSE)</f>
        <v>D100-006</v>
      </c>
      <c r="D21" s="4" t="s">
        <v>1231</v>
      </c>
      <c r="E21" s="4">
        <v>1</v>
      </c>
      <c r="F21" s="38">
        <f>VLOOKUP(Table14681012[[#This Row],[Man. Number]],Articles!A:F,COLUMN(Articles!$F$1)-COLUMN(Articles!$A$1)+1,FALSE)</f>
        <v>9</v>
      </c>
      <c r="G21" s="38" t="str">
        <f>IF(Table14681012[[#This Row],[In stock]] &gt;= Table14681012[[#This Row],[Quantity]],"YES","NO")</f>
        <v>YES</v>
      </c>
      <c r="H21" s="3">
        <f>VLOOKUP(Table14681012[[#This Row],[Man. Number]],Articles!A:J,COLUMN(Articles!$J$1)-COLUMN(Articles!$A$1)+1,FALSE)*Table14681012[[#This Row],[Quantity]]</f>
        <v>8.4000000000000005E-2</v>
      </c>
      <c r="I21" s="38">
        <f>Table14681012[[#This Row],[Quantity]]*$M$1</f>
        <v>2</v>
      </c>
      <c r="J21" s="38" t="str">
        <f>IF(Table14681012[[#This Row],[In stock]] &gt;= Table14681012[[#This Row],[Total quantity]],"YES","NO")</f>
        <v>YES</v>
      </c>
    </row>
    <row r="22" spans="1:10" x14ac:dyDescent="0.25">
      <c r="A22" s="61" t="s">
        <v>992</v>
      </c>
      <c r="B22" s="59" t="str">
        <f>VLOOKUP(Table14681012[[#This Row],[Man. Number]],Articles!A:F,COLUMN(Articles!$D$1)-COLUMN(Articles!$A$1)+1,FALSE)</f>
        <v>RES SMD 4.7K OHM 5% 1/4W 0603</v>
      </c>
      <c r="C22" s="59" t="str">
        <f>VLOOKUP(Table14681012[[#This Row],[Man. Number]],Articles!A:F,COLUMN(Articles!$C$1)-COLUMN(Articles!$A$1)+1,FALSE)</f>
        <v>D100-005</v>
      </c>
      <c r="D22" s="60" t="s">
        <v>1237</v>
      </c>
      <c r="E22" s="60">
        <v>10</v>
      </c>
      <c r="F22" s="60">
        <f>VLOOKUP(Table14681012[[#This Row],[Man. Number]],Articles!A:F,COLUMN(Articles!$F$1)-COLUMN(Articles!$A$1)+1,FALSE)</f>
        <v>10</v>
      </c>
      <c r="G22" s="59" t="str">
        <f>IF(Table14681012[[#This Row],[In stock]] &gt;= Table14681012[[#This Row],[Quantity]],"YES","NO")</f>
        <v>YES</v>
      </c>
      <c r="H22" s="61">
        <f>VLOOKUP(Table14681012[[#This Row],[Man. Number]],Articles!A:J,COLUMN(Articles!$J$1)-COLUMN(Articles!$A$1)+1,FALSE)*Table14681012[[#This Row],[Quantity]]</f>
        <v>1</v>
      </c>
      <c r="I22" s="59">
        <f>Table14681012[[#This Row],[Quantity]]*$M$1</f>
        <v>20</v>
      </c>
      <c r="J22" s="59" t="str">
        <f>IF(Table14681012[[#This Row],[In stock]] &gt;= Table14681012[[#This Row],[Total quantity]],"YES","NO")</f>
        <v>NO</v>
      </c>
    </row>
    <row r="23" spans="1:10" x14ac:dyDescent="0.25">
      <c r="A23" s="3" t="s">
        <v>983</v>
      </c>
      <c r="B23" s="38" t="str">
        <f>VLOOKUP(Table14681012[[#This Row],[Man. Number]],Articles!A:F,COLUMN(Articles!$D$1)-COLUMN(Articles!$A$1)+1,FALSE)</f>
        <v>RES SMD 330 OHM 5% 1/4W 0603</v>
      </c>
      <c r="C23" s="38" t="str">
        <f>VLOOKUP(Table14681012[[#This Row],[Man. Number]],Articles!A:F,COLUMN(Articles!$C$1)-COLUMN(Articles!$A$1)+1,FALSE)</f>
        <v>D100-004</v>
      </c>
      <c r="D23" s="4" t="s">
        <v>1232</v>
      </c>
      <c r="E23" s="4">
        <v>2</v>
      </c>
      <c r="F23" s="38">
        <f>VLOOKUP(Table14681012[[#This Row],[Man. Number]],Articles!A:F,COLUMN(Articles!$F$1)-COLUMN(Articles!$A$1)+1,FALSE)</f>
        <v>8</v>
      </c>
      <c r="G23" s="38" t="str">
        <f>IF(Table14681012[[#This Row],[In stock]] &gt;= Table14681012[[#This Row],[Quantity]],"YES","NO")</f>
        <v>YES</v>
      </c>
      <c r="H23" s="3">
        <f>VLOOKUP(Table14681012[[#This Row],[Man. Number]],Articles!A:J,COLUMN(Articles!$J$1)-COLUMN(Articles!$A$1)+1,FALSE)*Table14681012[[#This Row],[Quantity]]</f>
        <v>0.2</v>
      </c>
      <c r="I23" s="38">
        <f>Table14681012[[#This Row],[Quantity]]*$M$1</f>
        <v>4</v>
      </c>
      <c r="J23" s="38" t="str">
        <f>IF(Table14681012[[#This Row],[In stock]] &gt;= Table14681012[[#This Row],[Total quantity]],"YES","NO")</f>
        <v>YES</v>
      </c>
    </row>
    <row r="24" spans="1:10" x14ac:dyDescent="0.25">
      <c r="A24" s="3" t="s">
        <v>1021</v>
      </c>
      <c r="B24" s="38" t="str">
        <f>VLOOKUP(Table14681012[[#This Row],[Man. Number]],Articles!A:F,COLUMN(Articles!$D$1)-COLUMN(Articles!$A$1)+1,FALSE)</f>
        <v>RES SMD 560 OHM 5% 1/4W 0603</v>
      </c>
      <c r="C24" s="38" t="str">
        <f>VLOOKUP(Table14681012[[#This Row],[Man. Number]],Articles!A:F,COLUMN(Articles!$C$1)-COLUMN(Articles!$A$1)+1,FALSE)</f>
        <v>D100-003</v>
      </c>
      <c r="D24" s="4" t="s">
        <v>969</v>
      </c>
      <c r="E24" s="4">
        <v>1</v>
      </c>
      <c r="F24" s="38">
        <f>VLOOKUP(Table14681012[[#This Row],[Man. Number]],Articles!A:F,COLUMN(Articles!$F$1)-COLUMN(Articles!$A$1)+1,FALSE)</f>
        <v>9</v>
      </c>
      <c r="G24" s="38" t="str">
        <f>IF(Table14681012[[#This Row],[In stock]] &gt;= Table14681012[[#This Row],[Quantity]],"YES","NO")</f>
        <v>YES</v>
      </c>
      <c r="H24" s="3">
        <f>VLOOKUP(Table14681012[[#This Row],[Man. Number]],Articles!A:J,COLUMN(Articles!$J$1)-COLUMN(Articles!$A$1)+1,FALSE)*Table14681012[[#This Row],[Quantity]]</f>
        <v>0.1</v>
      </c>
      <c r="I24" s="38">
        <f>Table14681012[[#This Row],[Quantity]]*$M$1</f>
        <v>2</v>
      </c>
      <c r="J24" s="38" t="str">
        <f>IF(Table14681012[[#This Row],[In stock]] &gt;= Table14681012[[#This Row],[Total quantity]],"YES","NO")</f>
        <v>YES</v>
      </c>
    </row>
    <row r="25" spans="1:10" x14ac:dyDescent="0.25">
      <c r="A25" s="3" t="s">
        <v>213</v>
      </c>
      <c r="B25" s="38" t="str">
        <f>VLOOKUP(Table14681012[[#This Row],[Man. Number]],Articles!A:F,COLUMN(Articles!$D$1)-COLUMN(Articles!$A$1)+1,FALSE)</f>
        <v>SWITCH SLIDE SPDT 300MA 125V</v>
      </c>
      <c r="C25" s="38" t="str">
        <f>VLOOKUP(Table14681012[[#This Row],[Man. Number]],Articles!A:F,COLUMN(Articles!$C$1)-COLUMN(Articles!$A$1)+1,FALSE)</f>
        <v>D200-020</v>
      </c>
      <c r="D25" s="4" t="s">
        <v>591</v>
      </c>
      <c r="E25" s="4">
        <v>1</v>
      </c>
      <c r="F25" s="38">
        <f>VLOOKUP(Table14681012[[#This Row],[Man. Number]],Articles!A:F,COLUMN(Articles!$F$1)-COLUMN(Articles!$A$1)+1,FALSE)</f>
        <v>2</v>
      </c>
      <c r="G25" s="38" t="str">
        <f>IF(Table14681012[[#This Row],[In stock]] &gt;= Table14681012[[#This Row],[Quantity]],"YES","NO")</f>
        <v>YES</v>
      </c>
      <c r="H25" s="3">
        <f>VLOOKUP(Table14681012[[#This Row],[Man. Number]],Articles!A:J,COLUMN(Articles!$J$1)-COLUMN(Articles!$A$1)+1,FALSE)*Table14681012[[#This Row],[Quantity]]</f>
        <v>1.39</v>
      </c>
      <c r="I25" s="38">
        <f>Table14681012[[#This Row],[Quantity]]*$M$1</f>
        <v>2</v>
      </c>
      <c r="J25" s="38" t="str">
        <f>IF(Table14681012[[#This Row],[In stock]] &gt;= Table14681012[[#This Row],[Total quantity]],"YES","NO")</f>
        <v>YES</v>
      </c>
    </row>
    <row r="26" spans="1:10" x14ac:dyDescent="0.25">
      <c r="A26" s="3" t="s">
        <v>466</v>
      </c>
      <c r="B26" s="38" t="str">
        <f>VLOOKUP(Table14681012[[#This Row],[Man. Number]],Articles!A:F,COLUMN(Articles!$D$1)-COLUMN(Articles!$A$1)+1,FALSE)</f>
        <v>General ISM &lt; 1GHz  Transceiver Module 868MHz Integrated, Trace Surface Mount</v>
      </c>
      <c r="C26" s="38" t="str">
        <f>VLOOKUP(Table14681012[[#This Row],[Man. Number]],Articles!A:F,COLUMN(Articles!$C$1)-COLUMN(Articles!$A$1)+1,FALSE)</f>
        <v>None</v>
      </c>
      <c r="D26" s="4" t="s">
        <v>274</v>
      </c>
      <c r="E26" s="4">
        <v>1</v>
      </c>
      <c r="F26" s="4">
        <f>VLOOKUP(Table14681012[[#This Row],[Man. Number]],Articles!A:F,COLUMN(Articles!$F$1)-COLUMN(Articles!$A$1)+1,FALSE)</f>
        <v>0</v>
      </c>
      <c r="G26" s="38" t="str">
        <f>IF(Table14681012[[#This Row],[In stock]] &gt;= Table14681012[[#This Row],[Quantity]],"YES","NO")</f>
        <v>NO</v>
      </c>
      <c r="H26" s="3">
        <f>VLOOKUP(Table14681012[[#This Row],[Man. Number]],Articles!A:J,COLUMN(Articles!$J$1)-COLUMN(Articles!$A$1)+1,FALSE)*Table14681012[[#This Row],[Quantity]]</f>
        <v>8.19</v>
      </c>
      <c r="I26" s="38">
        <f>Table14681012[[#This Row],[Quantity]]*$M$1</f>
        <v>2</v>
      </c>
      <c r="J26" s="38" t="str">
        <f>IF(Table14681012[[#This Row],[In stock]] &gt;= Table14681012[[#This Row],[Total quantity]],"YES","NO")</f>
        <v>NO</v>
      </c>
    </row>
    <row r="27" spans="1:10" x14ac:dyDescent="0.25">
      <c r="A27" s="3" t="s">
        <v>24</v>
      </c>
      <c r="B27" s="38" t="str">
        <f>VLOOKUP(Table14681012[[#This Row],[Man. Number]],Articles!A:F,COLUMN(Articles!$D$1)-COLUMN(Articles!$A$1)+1,FALSE)</f>
        <v>Régulateur LDO, Fixe, Entrée 1.7 V à 5,5 V, Sortie 3.3 V/300 mA, Chute de 150 mV</v>
      </c>
      <c r="C27" s="38" t="str">
        <f>VLOOKUP(Table14681012[[#This Row],[Man. Number]],Articles!A:F,COLUMN(Articles!$C$1)-COLUMN(Articles!$A$1)+1,FALSE)</f>
        <v>D001-015</v>
      </c>
      <c r="D27" s="4" t="s">
        <v>276</v>
      </c>
      <c r="E27" s="4">
        <v>1</v>
      </c>
      <c r="F27" s="4">
        <f>VLOOKUP(Table14681012[[#This Row],[Man. Number]],Articles!A:F,COLUMN(Articles!$F$1)-COLUMN(Articles!$A$1)+1,FALSE)</f>
        <v>16</v>
      </c>
      <c r="G27" s="38" t="str">
        <f>IF(Table14681012[[#This Row],[In stock]] &gt;= Table14681012[[#This Row],[Quantity]],"YES","NO")</f>
        <v>YES</v>
      </c>
      <c r="H27" s="3">
        <f>VLOOKUP(Table14681012[[#This Row],[Man. Number]],Articles!A:J,COLUMN(Articles!$J$1)-COLUMN(Articles!$A$1)+1,FALSE)*Table14681012[[#This Row],[Quantity]]</f>
        <v>0.35</v>
      </c>
      <c r="I27" s="38">
        <f>Table14681012[[#This Row],[Quantity]]*$M$1</f>
        <v>2</v>
      </c>
      <c r="J27" s="38" t="str">
        <f>IF(Table14681012[[#This Row],[In stock]] &gt;= Table14681012[[#This Row],[Total quantity]],"YES","NO")</f>
        <v>YES</v>
      </c>
    </row>
    <row r="28" spans="1:10" x14ac:dyDescent="0.25">
      <c r="A28" s="3" t="s">
        <v>1223</v>
      </c>
      <c r="B28" s="4" t="str">
        <f>VLOOKUP(Table14681012[[#This Row],[Man. Number]],Articles!A:F,COLUMN(Articles!$D$1)-COLUMN(Articles!$A$1)+1,FALSE)</f>
        <v>USB Bridge, USB to I²C/UART USB 2.0 I²C, UART Interface 14-TSSOP</v>
      </c>
      <c r="C28" s="4" t="str">
        <f>VLOOKUP(Table14681012[[#This Row],[Man. Number]],Articles!A:F,COLUMN(Articles!$C$1)-COLUMN(Articles!$A$1)+1,FALSE)</f>
        <v>D001-022</v>
      </c>
      <c r="D28" s="4" t="s">
        <v>277</v>
      </c>
      <c r="E28" s="4">
        <v>1</v>
      </c>
      <c r="F28" s="4">
        <f>VLOOKUP(Table14681012[[#This Row],[Man. Number]],Articles!A:F,COLUMN(Articles!$F$1)-COLUMN(Articles!$A$1)+1,FALSE)</f>
        <v>2</v>
      </c>
      <c r="G28" s="4" t="str">
        <f>IF(Table14681012[[#This Row],[In stock]] &gt;= Table14681012[[#This Row],[Quantity]],"YES","NO")</f>
        <v>YES</v>
      </c>
      <c r="H28" s="3">
        <f>VLOOKUP(Table14681012[[#This Row],[Man. Number]],Articles!A:J,COLUMN(Articles!$J$1)-COLUMN(Articles!$A$1)+1,FALSE)*Table14681012[[#This Row],[Quantity]]</f>
        <v>2.16</v>
      </c>
      <c r="I28" s="4">
        <f>Table14681012[[#This Row],[Quantity]]*$M$1</f>
        <v>2</v>
      </c>
      <c r="J28" s="4" t="str">
        <f>IF(Table14681012[[#This Row],[In stock]] &gt;= Table14681012[[#This Row],[Total quantity]],"YES","NO")</f>
        <v>YES</v>
      </c>
    </row>
    <row r="29" spans="1:10" x14ac:dyDescent="0.25">
      <c r="A29" s="3" t="s">
        <v>1386</v>
      </c>
      <c r="B29" s="38" t="str">
        <f>VLOOKUP(Table14681012[[#This Row],[Man. Number]],Articles!A:F,COLUMN(Articles!$D$1)-COLUMN(Articles!$A$1)+1,FALSE)</f>
        <v>IC MCU 8BIT 64KB FLASH 44TQFP</v>
      </c>
      <c r="C29" s="38" t="str">
        <f>VLOOKUP(Table14681012[[#This Row],[Man. Number]],Articles!A:F,COLUMN(Articles!$C$1)-COLUMN(Articles!$A$1)+1,FALSE)</f>
        <v>None</v>
      </c>
      <c r="D29" s="4" t="s">
        <v>293</v>
      </c>
      <c r="E29" s="4">
        <v>1</v>
      </c>
      <c r="F29" s="4">
        <f>VLOOKUP(Table14681012[[#This Row],[Man. Number]],Articles!A:F,COLUMN(Articles!$F$1)-COLUMN(Articles!$A$1)+1,FALSE)</f>
        <v>0</v>
      </c>
      <c r="G29" s="38" t="str">
        <f>IF(Table14681012[[#This Row],[In stock]] &gt;= Table14681012[[#This Row],[Quantity]],"YES","NO")</f>
        <v>NO</v>
      </c>
      <c r="H29" s="3">
        <f>VLOOKUP(Table14681012[[#This Row],[Man. Number]],Articles!A:J,COLUMN(Articles!$J$1)-COLUMN(Articles!$A$1)+1,FALSE)*Table14681012[[#This Row],[Quantity]]</f>
        <v>1.8</v>
      </c>
      <c r="I29" s="38">
        <f>Table14681012[[#This Row],[Quantity]]*$M$1</f>
        <v>2</v>
      </c>
      <c r="J29" s="38" t="str">
        <f>IF(Table14681012[[#This Row],[In stock]] &gt;= Table14681012[[#This Row],[Total quantity]],"YES","NO")</f>
        <v>NO</v>
      </c>
    </row>
    <row r="30" spans="1:10" x14ac:dyDescent="0.25">
      <c r="A30" s="3" t="s">
        <v>428</v>
      </c>
      <c r="B30" s="38" t="str">
        <f>VLOOKUP(Table14681012[[#This Row],[Man. Number]],Articles!A:F,COLUMN(Articles!$D$1)-COLUMN(Articles!$A$1)+1,FALSE)</f>
        <v>Connecteur carte-à-carte, femelle, 2.54 mm, 36 Contact(s), Embase</v>
      </c>
      <c r="C30" s="38" t="str">
        <f>VLOOKUP(Table14681012[[#This Row],[Man. Number]],Articles!A:F,COLUMN(Articles!$C$1)-COLUMN(Articles!$A$1)+1,FALSE)</f>
        <v>D200-011</v>
      </c>
      <c r="D30" s="4" t="s">
        <v>1235</v>
      </c>
      <c r="E30" s="4">
        <f>(5+2*9)/36</f>
        <v>0.63888888888888884</v>
      </c>
      <c r="F30" s="4">
        <f>VLOOKUP(Table14681012[[#This Row],[Man. Number]],Articles!A:F,COLUMN(Articles!$F$1)-COLUMN(Articles!$A$1)+1,FALSE)</f>
        <v>2.3050000000000002</v>
      </c>
      <c r="G30" s="38" t="str">
        <f>IF(Table14681012[[#This Row],[In stock]] &gt;= Table14681012[[#This Row],[Quantity]],"YES","NO")</f>
        <v>YES</v>
      </c>
      <c r="H30" s="3">
        <f>VLOOKUP(Table14681012[[#This Row],[Man. Number]],Articles!A:J,COLUMN(Articles!$J$1)-COLUMN(Articles!$A$1)+1,FALSE)*Table14681012[[#This Row],[Quantity]]</f>
        <v>1.9933333333333332</v>
      </c>
      <c r="I30" s="38">
        <f>Table14681012[[#This Row],[Quantity]]*$M$1</f>
        <v>1.2777777777777777</v>
      </c>
      <c r="J30" s="38" t="str">
        <f>IF(Table14681012[[#This Row],[In stock]] &gt;= Table14681012[[#This Row],[Total quantity]],"YES","NO")</f>
        <v>YES</v>
      </c>
    </row>
    <row r="31" spans="1:10" x14ac:dyDescent="0.25">
      <c r="A31" s="3" t="s">
        <v>448</v>
      </c>
      <c r="G31" s="4"/>
      <c r="H31" s="4">
        <f>SUBTOTAL(109,Table14681012[Unit Price])</f>
        <v>25.749333333333333</v>
      </c>
      <c r="I31" s="4"/>
      <c r="J31" s="4"/>
    </row>
  </sheetData>
  <conditionalFormatting sqref="G1:H1048576 J1:J1048576">
    <cfRule type="containsText" dxfId="16" priority="4" operator="containsText" text="NO">
      <formula>NOT(ISERROR(SEARCH("NO",G1)))</formula>
    </cfRule>
  </conditionalFormatting>
  <conditionalFormatting sqref="A1:A1048576">
    <cfRule type="duplicateValues" dxfId="15" priority="3"/>
  </conditionalFormatting>
  <conditionalFormatting sqref="N1">
    <cfRule type="cellIs" dxfId="14" priority="1" stopIfTrue="1" operator="equal">
      <formula>"Locked"</formula>
    </cfRule>
    <cfRule type="cellIs" dxfId="13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B5AC22AC-A07B-42BD-A669-881DA131C5F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N27"/>
  <sheetViews>
    <sheetView workbookViewId="0">
      <pane ySplit="1" topLeftCell="A2" activePane="bottomLeft" state="frozen"/>
      <selection pane="bottomLeft" activeCell="J28" sqref="J28"/>
    </sheetView>
  </sheetViews>
  <sheetFormatPr defaultRowHeight="15" x14ac:dyDescent="0.25"/>
  <cols>
    <col min="1" max="1" width="25.7109375" style="38" bestFit="1" customWidth="1"/>
    <col min="2" max="2" width="80.85546875" style="4" bestFit="1" customWidth="1"/>
    <col min="3" max="3" width="9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9">
        <v>1</v>
      </c>
      <c r="N1" t="s">
        <v>1107</v>
      </c>
    </row>
    <row r="2" spans="1:14" x14ac:dyDescent="0.25">
      <c r="A2" s="38" t="s">
        <v>1048</v>
      </c>
      <c r="B2" s="38" t="str">
        <f>VLOOKUP(Table146810[[#This Row],[Man. Number]],Articles!A:F,COLUMN(Articles!$D$1)-COLUMN(Articles!$A$1)+1,FALSE)</f>
        <v>PCB USB Tool v1</v>
      </c>
      <c r="C2" s="38" t="str">
        <f>VLOOKUP(Table146810[[#This Row],[Man. Number]],Articles!A:F,COLUMN(Articles!$C$1)-COLUMN(Articles!$A$1)+1,FALSE)</f>
        <v>None</v>
      </c>
      <c r="D2" s="4" t="s">
        <v>58</v>
      </c>
      <c r="E2" s="4">
        <v>1</v>
      </c>
      <c r="F2" s="4">
        <f>VLOOKUP(Table146810[[#This Row],[Man. Number]],Articles!A:F,COLUMN(Articles!$F$1)-COLUMN(Articles!$A$1)+1,FALSE)</f>
        <v>5</v>
      </c>
      <c r="G2" s="38" t="str">
        <f>IF(Table146810[[#This Row],[In stock]] &gt;= Table146810[[#This Row],[Quantity]],"YES","NO")</f>
        <v>YES</v>
      </c>
      <c r="H2" s="3">
        <f>VLOOKUP(Table146810[[#This Row],[Man. Number]],Articles!A:J,COLUMN(Articles!$J$1)-COLUMN(Articles!$A$1)+1,FALSE)*Table146810[[#This Row],[Quantity]]</f>
        <v>0</v>
      </c>
      <c r="I2" s="38">
        <f>Table146810[[#This Row],[Quantity]]*$M$1</f>
        <v>1</v>
      </c>
      <c r="J2" s="38" t="str">
        <f>IF(Table146810[[#This Row],[In stock]] &gt;= Table146810[[#This Row],[Total quantity]],"YES","NO")</f>
        <v>YES</v>
      </c>
    </row>
    <row r="3" spans="1:14" x14ac:dyDescent="0.25">
      <c r="A3" s="38" t="s">
        <v>537</v>
      </c>
      <c r="B3" s="38" t="str">
        <f>VLOOKUP(Table146810[[#This Row],[Man. Number]],Articles!A:F,COLUMN(Articles!$D$1)-COLUMN(Articles!$A$1)+1,FALSE)</f>
        <v>4700pF ±10% 25V Ceramic Capacitor X7R 0805 (2012 Metric)</v>
      </c>
      <c r="C3" s="38" t="str">
        <f>VLOOKUP(Table146810[[#This Row],[Man. Number]],Articles!A:F,COLUMN(Articles!$C$1)-COLUMN(Articles!$A$1)+1,FALSE)</f>
        <v>D101-153</v>
      </c>
      <c r="D3" s="4" t="s">
        <v>271</v>
      </c>
      <c r="E3" s="4">
        <v>1</v>
      </c>
      <c r="F3" s="4">
        <f>VLOOKUP(Table146810[[#This Row],[Man. Number]],Articles!A:F,COLUMN(Articles!$F$1)-COLUMN(Articles!$A$1)+1,FALSE)</f>
        <v>8</v>
      </c>
      <c r="G3" s="38" t="str">
        <f>IF(Table146810[[#This Row],[In stock]] &gt;= Table146810[[#This Row],[Quantity]],"YES","NO")</f>
        <v>YES</v>
      </c>
      <c r="H3" s="3">
        <f>VLOOKUP(Table146810[[#This Row],[Man. Number]],Articles!A:J,COLUMN(Articles!$J$1)-COLUMN(Articles!$A$1)+1,FALSE)*Table146810[[#This Row],[Quantity]]</f>
        <v>3.5999999999999997E-2</v>
      </c>
      <c r="I3" s="38">
        <f>Table146810[[#This Row],[Quantity]]*$M$1</f>
        <v>1</v>
      </c>
      <c r="J3" s="38" t="str">
        <f>IF(Table146810[[#This Row],[In stock]] &gt;= Table146810[[#This Row],[Total quantity]],"YES","NO")</f>
        <v>YES</v>
      </c>
    </row>
    <row r="4" spans="1:14" x14ac:dyDescent="0.25">
      <c r="A4" s="38" t="s">
        <v>14</v>
      </c>
      <c r="B4" s="38" t="str">
        <f>VLOOKUP(Table146810[[#This Row],[Man. Number]],Articles!A:F,COLUMN(Articles!$D$1)-COLUMN(Articles!$A$1)+1,FALSE)</f>
        <v>Condensateur électrolytique, 10 µF, 35 V, Série MCGPR, ± 20%, À sorties radiales, 5 mm</v>
      </c>
      <c r="C4" s="38" t="str">
        <f>VLOOKUP(Table146810[[#This Row],[Man. Number]],Articles!A:F,COLUMN(Articles!$C$1)-COLUMN(Articles!$A$1)+1,FALSE)</f>
        <v>D200-001</v>
      </c>
      <c r="D4" s="4" t="s">
        <v>272</v>
      </c>
      <c r="E4" s="4">
        <v>1</v>
      </c>
      <c r="F4" s="4">
        <f>VLOOKUP(Table146810[[#This Row],[Man. Number]],Articles!A:F,COLUMN(Articles!$F$1)-COLUMN(Articles!$A$1)+1,FALSE)</f>
        <v>48</v>
      </c>
      <c r="G4" s="38" t="str">
        <f>IF(Table146810[[#This Row],[In stock]] &gt;= Table146810[[#This Row],[Quantity]],"YES","NO")</f>
        <v>YES</v>
      </c>
      <c r="H4" s="3">
        <f>VLOOKUP(Table146810[[#This Row],[Man. Number]],Articles!A:J,COLUMN(Articles!$J$1)-COLUMN(Articles!$A$1)+1,FALSE)*Table146810[[#This Row],[Quantity]]</f>
        <v>5.1700000000000003E-2</v>
      </c>
      <c r="I4" s="38">
        <f>Table146810[[#This Row],[Quantity]]*$M$1</f>
        <v>1</v>
      </c>
      <c r="J4" s="38" t="str">
        <f>IF(Table146810[[#This Row],[In stock]] &gt;= Table146810[[#This Row],[Total quantity]],"YES","NO")</f>
        <v>YES</v>
      </c>
    </row>
    <row r="5" spans="1:14" x14ac:dyDescent="0.25">
      <c r="A5" s="38" t="s">
        <v>33</v>
      </c>
      <c r="B5" s="38" t="str">
        <f>VLOOKUP(Table146810[[#This Row],[Man. Number]],Articles!A:F,COLUMN(Articles!$D$1)-COLUMN(Articles!$A$1)+1,FALSE)</f>
        <v>Condensateur céramique multicouche CMS, 1206 [3216 Metric], 0.1 µF, 25 V, ± 10%, X7R</v>
      </c>
      <c r="C5" s="38" t="str">
        <f>VLOOKUP(Table146810[[#This Row],[Man. Number]],Articles!A:F,COLUMN(Articles!$C$1)-COLUMN(Articles!$A$1)+1,FALSE)</f>
        <v>D100-148</v>
      </c>
      <c r="D5" s="4" t="s">
        <v>1053</v>
      </c>
      <c r="E5" s="4">
        <v>3</v>
      </c>
      <c r="F5" s="4">
        <f>VLOOKUP(Table146810[[#This Row],[Man. Number]],Articles!A:F,COLUMN(Articles!$F$1)-COLUMN(Articles!$A$1)+1,FALSE)</f>
        <v>83</v>
      </c>
      <c r="G5" s="38" t="str">
        <f>IF(Table146810[[#This Row],[In stock]] &gt;= Table146810[[#This Row],[Quantity]],"YES","NO")</f>
        <v>YES</v>
      </c>
      <c r="H5" s="3">
        <f>VLOOKUP(Table146810[[#This Row],[Man. Number]],Articles!A:J,COLUMN(Articles!$J$1)-COLUMN(Articles!$A$1)+1,FALSE)*Table146810[[#This Row],[Quantity]]</f>
        <v>1.26</v>
      </c>
      <c r="I5" s="38">
        <f>Table146810[[#This Row],[Quantity]]*$M$1</f>
        <v>3</v>
      </c>
      <c r="J5" s="38" t="str">
        <f>IF(Table146810[[#This Row],[In stock]] &gt;= Table146810[[#This Row],[Total quantity]],"YES","NO")</f>
        <v>YES</v>
      </c>
    </row>
    <row r="6" spans="1:14" x14ac:dyDescent="0.25">
      <c r="A6" s="38" t="s">
        <v>536</v>
      </c>
      <c r="B6" s="38" t="str">
        <f>VLOOKUP(Table146810[[#This Row],[Man. Number]],Articles!A:F,COLUMN(Articles!$D$1)-COLUMN(Articles!$A$1)+1,FALSE)</f>
        <v>1µF ±10% 25V Ceramic Capacitor X7R 0805 (2012 Metric)</v>
      </c>
      <c r="C6" s="38" t="str">
        <f>VLOOKUP(Table146810[[#This Row],[Man. Number]],Articles!A:F,COLUMN(Articles!$C$1)-COLUMN(Articles!$A$1)+1,FALSE)</f>
        <v>D101-149</v>
      </c>
      <c r="D6" s="4" t="s">
        <v>532</v>
      </c>
      <c r="E6" s="4">
        <v>2</v>
      </c>
      <c r="F6" s="4">
        <f>VLOOKUP(Table146810[[#This Row],[Man. Number]],Articles!A:F,COLUMN(Articles!$F$1)-COLUMN(Articles!$A$1)+1,FALSE)</f>
        <v>27</v>
      </c>
      <c r="G6" s="38" t="str">
        <f>IF(Table146810[[#This Row],[In stock]] &gt;= Table146810[[#This Row],[Quantity]],"YES","NO")</f>
        <v>YES</v>
      </c>
      <c r="H6" s="3">
        <f>VLOOKUP(Table146810[[#This Row],[Man. Number]],Articles!A:J,COLUMN(Articles!$J$1)-COLUMN(Articles!$A$1)+1,FALSE)*Table146810[[#This Row],[Quantity]]</f>
        <v>0.16</v>
      </c>
      <c r="I6" s="38">
        <f>Table146810[[#This Row],[Quantity]]*$M$1</f>
        <v>2</v>
      </c>
      <c r="J6" s="38" t="str">
        <f>IF(Table146810[[#This Row],[In stock]] &gt;= Table146810[[#This Row],[Total quantity]],"YES","NO")</f>
        <v>YES</v>
      </c>
    </row>
    <row r="7" spans="1:14" x14ac:dyDescent="0.25">
      <c r="A7" s="38" t="s">
        <v>534</v>
      </c>
      <c r="B7" s="38" t="str">
        <f>VLOOKUP(Table146810[[#This Row],[Man. Number]],Articles!A:F,COLUMN(Articles!$D$1)-COLUMN(Articles!$A$1)+1,FALSE)</f>
        <v>0.47µF ±10% 25V Ceramic Capacitor X7R 0805 (2012 Metric)</v>
      </c>
      <c r="C7" s="38" t="str">
        <f>VLOOKUP(Table146810[[#This Row],[Man. Number]],Articles!A:F,COLUMN(Articles!$C$1)-COLUMN(Articles!$A$1)+1,FALSE)</f>
        <v>D101-152</v>
      </c>
      <c r="D7" s="4" t="s">
        <v>533</v>
      </c>
      <c r="E7" s="4">
        <v>1</v>
      </c>
      <c r="F7" s="4">
        <f>VLOOKUP(Table146810[[#This Row],[Man. Number]],Articles!A:F,COLUMN(Articles!$F$1)-COLUMN(Articles!$A$1)+1,FALSE)</f>
        <v>9</v>
      </c>
      <c r="G7" s="38" t="str">
        <f>IF(Table146810[[#This Row],[In stock]] &gt;= Table146810[[#This Row],[Quantity]],"YES","NO")</f>
        <v>YES</v>
      </c>
      <c r="H7" s="3">
        <f>VLOOKUP(Table146810[[#This Row],[Man. Number]],Articles!A:J,COLUMN(Articles!$J$1)-COLUMN(Articles!$A$1)+1,FALSE)*Table146810[[#This Row],[Quantity]]</f>
        <v>0.10199999999999999</v>
      </c>
      <c r="I7" s="38">
        <f>Table146810[[#This Row],[Quantity]]*$M$1</f>
        <v>1</v>
      </c>
      <c r="J7" s="38" t="str">
        <f>IF(Table146810[[#This Row],[In stock]] &gt;= Table146810[[#This Row],[Total quantity]],"YES","NO")</f>
        <v>YES</v>
      </c>
    </row>
    <row r="8" spans="1:14" x14ac:dyDescent="0.25">
      <c r="A8" s="38" t="s">
        <v>221</v>
      </c>
      <c r="B8" s="38" t="str">
        <f>VLOOKUP(Table146810[[#This Row],[Man. Number]],Articles!A:F,COLUMN(Articles!$D$1)-COLUMN(Articles!$A$1)+1,FALSE)</f>
        <v>4.7µF ±10% 25V Ceramic Capacitor X7R 1206 (3216 Metric)</v>
      </c>
      <c r="C8" s="38" t="str">
        <f>VLOOKUP(Table146810[[#This Row],[Man. Number]],Articles!A:F,COLUMN(Articles!$C$1)-COLUMN(Articles!$A$1)+1,FALSE)</f>
        <v>D100-149</v>
      </c>
      <c r="D8" s="4" t="s">
        <v>528</v>
      </c>
      <c r="E8" s="4">
        <v>1</v>
      </c>
      <c r="F8" s="4">
        <f>VLOOKUP(Table146810[[#This Row],[Man. Number]],Articles!A:F,COLUMN(Articles!$F$1)-COLUMN(Articles!$A$1)+1,FALSE)</f>
        <v>16</v>
      </c>
      <c r="G8" s="38" t="str">
        <f>IF(Table146810[[#This Row],[In stock]] &gt;= Table146810[[#This Row],[Quantity]],"YES","NO")</f>
        <v>YES</v>
      </c>
      <c r="H8" s="3">
        <f>VLOOKUP(Table146810[[#This Row],[Man. Number]],Articles!A:J,COLUMN(Articles!$J$1)-COLUMN(Articles!$A$1)+1,FALSE)*Table146810[[#This Row],[Quantity]]</f>
        <v>0.27</v>
      </c>
      <c r="I8" s="38">
        <f>Table146810[[#This Row],[Quantity]]*$M$1</f>
        <v>1</v>
      </c>
      <c r="J8" s="38" t="str">
        <f>IF(Table146810[[#This Row],[In stock]] &gt;= Table146810[[#This Row],[Total quantity]],"YES","NO")</f>
        <v>YES</v>
      </c>
    </row>
    <row r="9" spans="1:14" x14ac:dyDescent="0.25">
      <c r="A9" s="38" t="s">
        <v>535</v>
      </c>
      <c r="B9" s="38" t="str">
        <f>VLOOKUP(Table146810[[#This Row],[Man. Number]],Articles!A:F,COLUMN(Articles!$D$1)-COLUMN(Articles!$A$1)+1,FALSE)</f>
        <v>4.7µF ±20% 25V Ceramic Capacitor X5R 0805 (2012 Metric)</v>
      </c>
      <c r="C9" s="38" t="str">
        <f>VLOOKUP(Table146810[[#This Row],[Man. Number]],Articles!A:F,COLUMN(Articles!$C$1)-COLUMN(Articles!$A$1)+1,FALSE)</f>
        <v>D101-151</v>
      </c>
      <c r="D9" s="4" t="s">
        <v>528</v>
      </c>
      <c r="E9" s="4">
        <v>0</v>
      </c>
      <c r="F9" s="4">
        <f>VLOOKUP(Table146810[[#This Row],[Man. Number]],Articles!A:F,COLUMN(Articles!$F$1)-COLUMN(Articles!$A$1)+1,FALSE)</f>
        <v>15</v>
      </c>
      <c r="G9" s="38" t="str">
        <f>IF(Table146810[[#This Row],[In stock]] &gt;= Table146810[[#This Row],[Quantity]],"YES","NO")</f>
        <v>YES</v>
      </c>
      <c r="H9" s="3">
        <f>VLOOKUP(Table146810[[#This Row],[Man. Number]],Articles!A:J,COLUMN(Articles!$J$1)-COLUMN(Articles!$A$1)+1,FALSE)*Table146810[[#This Row],[Quantity]]</f>
        <v>0</v>
      </c>
      <c r="I9" s="38">
        <f>Table146810[[#This Row],[Quantity]]*$M$1</f>
        <v>0</v>
      </c>
      <c r="J9" s="38" t="str">
        <f>IF(Table146810[[#This Row],[In stock]] &gt;= Table146810[[#This Row],[Total quantity]],"YES","NO")</f>
        <v>YES</v>
      </c>
    </row>
    <row r="10" spans="1:14" x14ac:dyDescent="0.25">
      <c r="A10" s="38" t="s">
        <v>471</v>
      </c>
      <c r="B10" s="38" t="str">
        <f>VLOOKUP(Table146810[[#This Row],[Man. Number]],Articles!A:F,COLUMN(Articles!$D$1)-COLUMN(Articles!$A$1)+1,FALSE)</f>
        <v>FUSE BRD MNT 500MA 350VAC 72VDC</v>
      </c>
      <c r="C10" s="38" t="str">
        <f>VLOOKUP(Table146810[[#This Row],[Man. Number]],Articles!A:F,COLUMN(Articles!$C$1)-COLUMN(Articles!$A$1)+1,FALSE)</f>
        <v>D100-136</v>
      </c>
      <c r="D10" s="4" t="s">
        <v>269</v>
      </c>
      <c r="E10" s="4">
        <v>1</v>
      </c>
      <c r="F10" s="4">
        <f>VLOOKUP(Table146810[[#This Row],[Man. Number]],Articles!A:F,COLUMN(Articles!$F$1)-COLUMN(Articles!$A$1)+1,FALSE)</f>
        <v>9</v>
      </c>
      <c r="G10" s="38" t="str">
        <f>IF(Table146810[[#This Row],[In stock]] &gt;= Table146810[[#This Row],[Quantity]],"YES","NO")</f>
        <v>YES</v>
      </c>
      <c r="H10" s="3">
        <f>VLOOKUP(Table146810[[#This Row],[Man. Number]],Articles!A:J,COLUMN(Articles!$J$1)-COLUMN(Articles!$A$1)+1,FALSE)*Table146810[[#This Row],[Quantity]]</f>
        <v>0.34</v>
      </c>
      <c r="I10" s="38">
        <f>Table146810[[#This Row],[Quantity]]*$M$1</f>
        <v>1</v>
      </c>
      <c r="J10" s="38" t="str">
        <f>IF(Table146810[[#This Row],[In stock]] &gt;= Table146810[[#This Row],[Total quantity]],"YES","NO")</f>
        <v>YES</v>
      </c>
    </row>
    <row r="11" spans="1:14" x14ac:dyDescent="0.25">
      <c r="A11" s="38" t="s">
        <v>142</v>
      </c>
      <c r="B11" s="38" t="str">
        <f>VLOOKUP(Table146810[[#This Row],[Man. Number]],Articles!A:F,COLUMN(Articles!$D$1)-COLUMN(Articles!$A$1)+1,FALSE)</f>
        <v>CONN RCPT STD MICRO USB TYPE B</v>
      </c>
      <c r="C11" s="38" t="str">
        <f>VLOOKUP(Table146810[[#This Row],[Man. Number]],Articles!A:F,COLUMN(Articles!$C$1)-COLUMN(Articles!$A$1)+1,FALSE)</f>
        <v>D200-010</v>
      </c>
      <c r="D11" s="4" t="s">
        <v>529</v>
      </c>
      <c r="E11" s="4">
        <v>1</v>
      </c>
      <c r="F11" s="4">
        <f>VLOOKUP(Table146810[[#This Row],[Man. Number]],Articles!A:F,COLUMN(Articles!$F$1)-COLUMN(Articles!$A$1)+1,FALSE)</f>
        <v>8</v>
      </c>
      <c r="G11" s="38" t="str">
        <f>IF(Table146810[[#This Row],[In stock]] &gt;= Table146810[[#This Row],[Quantity]],"YES","NO")</f>
        <v>YES</v>
      </c>
      <c r="H11" s="3">
        <f>VLOOKUP(Table146810[[#This Row],[Man. Number]],Articles!A:J,COLUMN(Articles!$J$1)-COLUMN(Articles!$A$1)+1,FALSE)*Table146810[[#This Row],[Quantity]]</f>
        <v>0.66500000000000004</v>
      </c>
      <c r="I11" s="38">
        <f>Table146810[[#This Row],[Quantity]]*$M$1</f>
        <v>1</v>
      </c>
      <c r="J11" s="38" t="str">
        <f>IF(Table146810[[#This Row],[In stock]] &gt;= Table146810[[#This Row],[Total quantity]],"YES","NO")</f>
        <v>YES</v>
      </c>
    </row>
    <row r="12" spans="1:14" x14ac:dyDescent="0.25">
      <c r="A12" s="38" t="s">
        <v>543</v>
      </c>
      <c r="B12" s="38" t="str">
        <f>VLOOKUP(Table146810[[#This Row],[Man. Number]],Articles!A:F,COLUMN(Articles!$D$1)-COLUMN(Articles!$A$1)+1,FALSE)</f>
        <v>Connecteur carte-à-carte, male, Angle Droit, 2.54 mm, 40 Contact(s)</v>
      </c>
      <c r="C12" s="38" t="str">
        <f>VLOOKUP(Table146810[[#This Row],[Man. Number]],Articles!A:F,COLUMN(Articles!$C$1)-COLUMN(Articles!$A$1)+1,FALSE)</f>
        <v>None</v>
      </c>
      <c r="D12" s="4" t="s">
        <v>1027</v>
      </c>
      <c r="E12" s="4">
        <f>8/40</f>
        <v>0.2</v>
      </c>
      <c r="F12" s="38">
        <f>VLOOKUP(Table146810[[#This Row],[Man. Number]],Articles!A:F,COLUMN(Articles!$F$1)-COLUMN(Articles!$A$1)+1,FALSE)</f>
        <v>9.65</v>
      </c>
      <c r="G12" s="38" t="str">
        <f>IF(Table146810[[#This Row],[In stock]] &gt;= Table146810[[#This Row],[Quantity]],"YES","NO")</f>
        <v>YES</v>
      </c>
      <c r="H12" s="3">
        <f>VLOOKUP(Table146810[[#This Row],[Man. Number]],Articles!A:J,COLUMN(Articles!$J$1)-COLUMN(Articles!$A$1)+1,FALSE)*Table146810[[#This Row],[Quantity]]</f>
        <v>0.28799999999999998</v>
      </c>
      <c r="I12" s="38">
        <f>Table146810[[#This Row],[Quantity]]*$M$1</f>
        <v>0.2</v>
      </c>
      <c r="J12" s="38" t="str">
        <f>IF(Table146810[[#This Row],[In stock]] &gt;= Table146810[[#This Row],[Total quantity]],"YES","NO")</f>
        <v>YES</v>
      </c>
    </row>
    <row r="13" spans="1:14" x14ac:dyDescent="0.25">
      <c r="A13" s="38" t="s">
        <v>211</v>
      </c>
      <c r="B13" s="38" t="str">
        <f>VLOOKUP(Table146810[[#This Row],[Man. Number]],Articles!A:F,COLUMN(Articles!$D$1)-COLUMN(Articles!$A$1)+1,FALSE)</f>
        <v>Red 628nm LED Indication - Discrete 1.8V 0603 (1608 Metric)</v>
      </c>
      <c r="C13" s="38" t="str">
        <f>VLOOKUP(Table146810[[#This Row],[Man. Number]],Articles!A:F,COLUMN(Articles!$C$1)-COLUMN(Articles!$A$1)+1,FALSE)</f>
        <v>D001-049</v>
      </c>
      <c r="D13" s="4" t="s">
        <v>275</v>
      </c>
      <c r="E13" s="4">
        <v>1</v>
      </c>
      <c r="F13" s="38">
        <f>VLOOKUP(Table146810[[#This Row],[Man. Number]],Articles!A:F,COLUMN(Articles!$F$1)-COLUMN(Articles!$A$1)+1,FALSE)</f>
        <v>6</v>
      </c>
      <c r="G13" s="38" t="str">
        <f>IF(Table146810[[#This Row],[In stock]] &gt;= Table146810[[#This Row],[Quantity]],"YES","NO")</f>
        <v>YES</v>
      </c>
      <c r="H13" s="3">
        <f>VLOOKUP(Table146810[[#This Row],[Man. Number]],Articles!A:J,COLUMN(Articles!$J$1)-COLUMN(Articles!$A$1)+1,FALSE)*Table146810[[#This Row],[Quantity]]</f>
        <v>0.52</v>
      </c>
      <c r="I13" s="38">
        <f>Table146810[[#This Row],[Quantity]]*$M$1</f>
        <v>1</v>
      </c>
      <c r="J13" s="38" t="str">
        <f>IF(Table146810[[#This Row],[In stock]] &gt;= Table146810[[#This Row],[Total quantity]],"YES","NO")</f>
        <v>YES</v>
      </c>
    </row>
    <row r="14" spans="1:14" x14ac:dyDescent="0.25">
      <c r="A14" s="38" t="s">
        <v>127</v>
      </c>
      <c r="B14" s="38" t="str">
        <f>VLOOKUP(Table146810[[#This Row],[Man. Number]],Articles!A:F,COLUMN(Articles!$D$1)-COLUMN(Articles!$A$1)+1,FALSE)</f>
        <v>LED RGB CLEAR 3528 SMD</v>
      </c>
      <c r="C14" s="38" t="str">
        <f>VLOOKUP(Table146810[[#This Row],[Man. Number]],Articles!A:F,COLUMN(Articles!$C$1)-COLUMN(Articles!$A$1)+1,FALSE)</f>
        <v>D001-051</v>
      </c>
      <c r="D14" s="4" t="s">
        <v>592</v>
      </c>
      <c r="E14" s="4">
        <v>1</v>
      </c>
      <c r="F14" s="38">
        <f>VLOOKUP(Table146810[[#This Row],[Man. Number]],Articles!A:F,COLUMN(Articles!$F$1)-COLUMN(Articles!$A$1)+1,FALSE)</f>
        <v>6</v>
      </c>
      <c r="G14" s="38" t="str">
        <f>IF(Table146810[[#This Row],[In stock]] &gt;= Table146810[[#This Row],[Quantity]],"YES","NO")</f>
        <v>YES</v>
      </c>
      <c r="H14" s="3">
        <f>VLOOKUP(Table146810[[#This Row],[Man. Number]],Articles!A:J,COLUMN(Articles!$J$1)-COLUMN(Articles!$A$1)+1,FALSE)*Table146810[[#This Row],[Quantity]]</f>
        <v>0.45</v>
      </c>
      <c r="I14" s="38">
        <f>Table146810[[#This Row],[Quantity]]*$M$1</f>
        <v>1</v>
      </c>
      <c r="J14" s="38" t="str">
        <f>IF(Table146810[[#This Row],[In stock]] &gt;= Table146810[[#This Row],[Total quantity]],"YES","NO")</f>
        <v>YES</v>
      </c>
    </row>
    <row r="15" spans="1:14" x14ac:dyDescent="0.25">
      <c r="A15" s="38" t="s">
        <v>1012</v>
      </c>
      <c r="B15" s="38" t="str">
        <f>VLOOKUP(Table146810[[#This Row],[Man. Number]],Articles!A:F,COLUMN(Articles!$D$1)-COLUMN(Articles!$A$1)+1,FALSE)</f>
        <v>RES SMD 1M OHM 5% 1/4W 0603</v>
      </c>
      <c r="C15" s="38" t="str">
        <f>VLOOKUP(Table146810[[#This Row],[Man. Number]],Articles!A:F,COLUMN(Articles!$C$1)-COLUMN(Articles!$A$1)+1,FALSE)</f>
        <v>D100-007</v>
      </c>
      <c r="D15" s="4" t="s">
        <v>294</v>
      </c>
      <c r="E15" s="4">
        <v>1</v>
      </c>
      <c r="F15" s="4">
        <f>VLOOKUP(Table146810[[#This Row],[Man. Number]],Articles!A:F,COLUMN(Articles!$F$1)-COLUMN(Articles!$A$1)+1,FALSE)</f>
        <v>8</v>
      </c>
      <c r="G15" s="38" t="str">
        <f>IF(Table146810[[#This Row],[In stock]] &gt;= Table146810[[#This Row],[Quantity]],"YES","NO")</f>
        <v>YES</v>
      </c>
      <c r="H15" s="3">
        <f>VLOOKUP(Table146810[[#This Row],[Man. Number]],Articles!A:J,COLUMN(Articles!$J$1)-COLUMN(Articles!$A$1)+1,FALSE)*Table146810[[#This Row],[Quantity]]</f>
        <v>0.1</v>
      </c>
      <c r="I15" s="38">
        <f>Table146810[[#This Row],[Quantity]]*$M$1</f>
        <v>1</v>
      </c>
      <c r="J15" s="38" t="str">
        <f>IF(Table146810[[#This Row],[In stock]] &gt;= Table146810[[#This Row],[Total quantity]],"YES","NO")</f>
        <v>YES</v>
      </c>
    </row>
    <row r="16" spans="1:14" x14ac:dyDescent="0.25">
      <c r="A16" s="38" t="s">
        <v>1001</v>
      </c>
      <c r="B16" s="38" t="str">
        <f>VLOOKUP(Table146810[[#This Row],[Man. Number]],Articles!A:F,COLUMN(Articles!$D$1)-COLUMN(Articles!$A$1)+1,FALSE)</f>
        <v>RES SMD 27K OHM 5% 1/4W 0603</v>
      </c>
      <c r="C16" s="38" t="str">
        <f>VLOOKUP(Table146810[[#This Row],[Man. Number]],Articles!A:F,COLUMN(Articles!$C$1)-COLUMN(Articles!$A$1)+1,FALSE)</f>
        <v>D100-001</v>
      </c>
      <c r="D16" s="4" t="s">
        <v>286</v>
      </c>
      <c r="E16" s="4">
        <v>1</v>
      </c>
      <c r="F16" s="4">
        <f>VLOOKUP(Table146810[[#This Row],[Man. Number]],Articles!A:F,COLUMN(Articles!$F$1)-COLUMN(Articles!$A$1)+1,FALSE)</f>
        <v>7</v>
      </c>
      <c r="G16" s="38" t="str">
        <f>IF(Table146810[[#This Row],[In stock]] &gt;= Table146810[[#This Row],[Quantity]],"YES","NO")</f>
        <v>YES</v>
      </c>
      <c r="H16" s="3">
        <f>VLOOKUP(Table146810[[#This Row],[Man. Number]],Articles!A:J,COLUMN(Articles!$J$1)-COLUMN(Articles!$A$1)+1,FALSE)*Table146810[[#This Row],[Quantity]]</f>
        <v>0.1</v>
      </c>
      <c r="I16" s="38">
        <f>Table146810[[#This Row],[Quantity]]*$M$1</f>
        <v>1</v>
      </c>
      <c r="J16" s="38" t="str">
        <f>IF(Table146810[[#This Row],[In stock]] &gt;= Table146810[[#This Row],[Total quantity]],"YES","NO")</f>
        <v>YES</v>
      </c>
    </row>
    <row r="17" spans="1:10" x14ac:dyDescent="0.25">
      <c r="A17" s="38" t="s">
        <v>1009</v>
      </c>
      <c r="B17" s="38" t="str">
        <f>VLOOKUP(Table146810[[#This Row],[Man. Number]],Articles!A:F,COLUMN(Articles!$D$1)-COLUMN(Articles!$A$1)+1,FALSE)</f>
        <v>RES SMD 180 OHM 5% 1/4W 0603</v>
      </c>
      <c r="C17" s="38" t="str">
        <f>VLOOKUP(Table146810[[#This Row],[Man. Number]],Articles!A:F,COLUMN(Articles!$C$1)-COLUMN(Articles!$A$1)+1,FALSE)</f>
        <v>D100-008</v>
      </c>
      <c r="D17" s="4" t="s">
        <v>596</v>
      </c>
      <c r="E17" s="4">
        <v>3</v>
      </c>
      <c r="F17" s="4">
        <f>VLOOKUP(Table146810[[#This Row],[Man. Number]],Articles!A:F,COLUMN(Articles!$F$1)-COLUMN(Articles!$A$1)+1,FALSE)</f>
        <v>17</v>
      </c>
      <c r="G17" s="38" t="str">
        <f>IF(Table146810[[#This Row],[In stock]] &gt;= Table146810[[#This Row],[Quantity]],"YES","NO")</f>
        <v>YES</v>
      </c>
      <c r="H17" s="3">
        <f>VLOOKUP(Table146810[[#This Row],[Man. Number]],Articles!A:J,COLUMN(Articles!$J$1)-COLUMN(Articles!$A$1)+1,FALSE)*Table146810[[#This Row],[Quantity]]</f>
        <v>0.30000000000000004</v>
      </c>
      <c r="I17" s="38">
        <f>Table146810[[#This Row],[Quantity]]*$M$1</f>
        <v>3</v>
      </c>
      <c r="J17" s="38" t="str">
        <f>IF(Table146810[[#This Row],[In stock]] &gt;= Table146810[[#This Row],[Total quantity]],"YES","NO")</f>
        <v>YES</v>
      </c>
    </row>
    <row r="18" spans="1:10" x14ac:dyDescent="0.25">
      <c r="A18" s="38" t="s">
        <v>971</v>
      </c>
      <c r="B18" s="38" t="str">
        <f>VLOOKUP(Table146810[[#This Row],[Man. Number]],Articles!A:F,COLUMN(Articles!$D$1)-COLUMN(Articles!$A$1)+1,FALSE)</f>
        <v>RES SMD 1K OHM 5% 1/4W 0603</v>
      </c>
      <c r="C18" s="38" t="str">
        <f>VLOOKUP(Table146810[[#This Row],[Man. Number]],Articles!A:F,COLUMN(Articles!$C$1)-COLUMN(Articles!$A$1)+1,FALSE)</f>
        <v>D100-002</v>
      </c>
      <c r="D18" s="4" t="s">
        <v>531</v>
      </c>
      <c r="E18" s="4">
        <v>5</v>
      </c>
      <c r="F18" s="4">
        <f>VLOOKUP(Table146810[[#This Row],[Man. Number]],Articles!A:F,COLUMN(Articles!$F$1)-COLUMN(Articles!$A$1)+1,FALSE)</f>
        <v>90</v>
      </c>
      <c r="G18" s="38" t="str">
        <f>IF(Table146810[[#This Row],[In stock]] &gt;= Table146810[[#This Row],[Quantity]],"YES","NO")</f>
        <v>YES</v>
      </c>
      <c r="H18" s="3">
        <f>VLOOKUP(Table146810[[#This Row],[Man. Number]],Articles!A:J,COLUMN(Articles!$J$1)-COLUMN(Articles!$A$1)+1,FALSE)*Table146810[[#This Row],[Quantity]]</f>
        <v>0.5</v>
      </c>
      <c r="I18" s="38">
        <f>Table146810[[#This Row],[Quantity]]*$M$1</f>
        <v>5</v>
      </c>
      <c r="J18" s="38" t="str">
        <f>IF(Table146810[[#This Row],[In stock]] &gt;= Table146810[[#This Row],[Total quantity]],"YES","NO")</f>
        <v>YES</v>
      </c>
    </row>
    <row r="19" spans="1:10" x14ac:dyDescent="0.25">
      <c r="A19" s="38" t="s">
        <v>1006</v>
      </c>
      <c r="B19" s="38" t="str">
        <f>VLOOKUP(Table146810[[#This Row],[Man. Number]],Articles!A:F,COLUMN(Articles!$D$1)-COLUMN(Articles!$A$1)+1,FALSE)</f>
        <v>RES SMD 270 OHM 5% 1/4W 0603</v>
      </c>
      <c r="C19" s="38" t="str">
        <f>VLOOKUP(Table146810[[#This Row],[Man. Number]],Articles!A:F,COLUMN(Articles!$C$1)-COLUMN(Articles!$A$1)+1,FALSE)</f>
        <v>D100-009</v>
      </c>
      <c r="D19" s="4" t="s">
        <v>969</v>
      </c>
      <c r="E19" s="4">
        <v>1</v>
      </c>
      <c r="F19" s="38">
        <f>VLOOKUP(Table146810[[#This Row],[Man. Number]],Articles!A:F,COLUMN(Articles!$F$1)-COLUMN(Articles!$A$1)+1,FALSE)</f>
        <v>7</v>
      </c>
      <c r="G19" s="38" t="str">
        <f>IF(Table146810[[#This Row],[In stock]] &gt;= Table146810[[#This Row],[Quantity]],"YES","NO")</f>
        <v>YES</v>
      </c>
      <c r="H19" s="3">
        <f>VLOOKUP(Table146810[[#This Row],[Man. Number]],Articles!A:J,COLUMN(Articles!$J$1)-COLUMN(Articles!$A$1)+1,FALSE)*Table146810[[#This Row],[Quantity]]</f>
        <v>0.1</v>
      </c>
      <c r="I19" s="38">
        <f>Table146810[[#This Row],[Quantity]]*$M$1</f>
        <v>1</v>
      </c>
      <c r="J19" s="38" t="str">
        <f>IF(Table146810[[#This Row],[In stock]] &gt;= Table146810[[#This Row],[Total quantity]],"YES","NO")</f>
        <v>YES</v>
      </c>
    </row>
    <row r="20" spans="1:10" x14ac:dyDescent="0.25">
      <c r="A20" s="38" t="s">
        <v>213</v>
      </c>
      <c r="B20" s="38" t="str">
        <f>VLOOKUP(Table146810[[#This Row],[Man. Number]],Articles!A:F,COLUMN(Articles!$D$1)-COLUMN(Articles!$A$1)+1,FALSE)</f>
        <v>SWITCH SLIDE SPDT 300MA 125V</v>
      </c>
      <c r="C20" s="38" t="str">
        <f>VLOOKUP(Table146810[[#This Row],[Man. Number]],Articles!A:F,COLUMN(Articles!$C$1)-COLUMN(Articles!$A$1)+1,FALSE)</f>
        <v>D200-020</v>
      </c>
      <c r="D20" s="4" t="s">
        <v>591</v>
      </c>
      <c r="E20" s="4">
        <v>1</v>
      </c>
      <c r="F20" s="38">
        <f>VLOOKUP(Table146810[[#This Row],[Man. Number]],Articles!A:F,COLUMN(Articles!$F$1)-COLUMN(Articles!$A$1)+1,FALSE)</f>
        <v>2</v>
      </c>
      <c r="G20" s="38" t="str">
        <f>IF(Table146810[[#This Row],[In stock]] &gt;= Table146810[[#This Row],[Quantity]],"YES","NO")</f>
        <v>YES</v>
      </c>
      <c r="H20" s="3">
        <f>VLOOKUP(Table146810[[#This Row],[Man. Number]],Articles!A:J,COLUMN(Articles!$J$1)-COLUMN(Articles!$A$1)+1,FALSE)*Table146810[[#This Row],[Quantity]]</f>
        <v>1.39</v>
      </c>
      <c r="I20" s="38">
        <f>Table146810[[#This Row],[Quantity]]*$M$1</f>
        <v>1</v>
      </c>
      <c r="J20" s="38" t="str">
        <f>IF(Table146810[[#This Row],[In stock]] &gt;= Table146810[[#This Row],[Total quantity]],"YES","NO")</f>
        <v>YES</v>
      </c>
    </row>
    <row r="21" spans="1:10" x14ac:dyDescent="0.25">
      <c r="A21" s="38" t="s">
        <v>466</v>
      </c>
      <c r="B21" s="38" t="str">
        <f>VLOOKUP(Table146810[[#This Row],[Man. Number]],Articles!A:F,COLUMN(Articles!$D$1)-COLUMN(Articles!$A$1)+1,FALSE)</f>
        <v>General ISM &lt; 1GHz  Transceiver Module 868MHz Integrated, Trace Surface Mount</v>
      </c>
      <c r="C21" s="38" t="str">
        <f>VLOOKUP(Table146810[[#This Row],[Man. Number]],Articles!A:F,COLUMN(Articles!$C$1)-COLUMN(Articles!$A$1)+1,FALSE)</f>
        <v>None</v>
      </c>
      <c r="D21" s="4" t="s">
        <v>274</v>
      </c>
      <c r="E21" s="4">
        <v>1</v>
      </c>
      <c r="F21" s="4">
        <f>VLOOKUP(Table146810[[#This Row],[Man. Number]],Articles!A:F,COLUMN(Articles!$F$1)-COLUMN(Articles!$A$1)+1,FALSE)</f>
        <v>0</v>
      </c>
      <c r="G21" s="38" t="str">
        <f>IF(Table146810[[#This Row],[In stock]] &gt;= Table146810[[#This Row],[Quantity]],"YES","NO")</f>
        <v>NO</v>
      </c>
      <c r="H21" s="3">
        <f>VLOOKUP(Table146810[[#This Row],[Man. Number]],Articles!A:J,COLUMN(Articles!$J$1)-COLUMN(Articles!$A$1)+1,FALSE)*Table146810[[#This Row],[Quantity]]</f>
        <v>8.19</v>
      </c>
      <c r="I21" s="38">
        <f>Table146810[[#This Row],[Quantity]]*$M$1</f>
        <v>1</v>
      </c>
      <c r="J21" s="38" t="str">
        <f>IF(Table146810[[#This Row],[In stock]] &gt;= Table146810[[#This Row],[Total quantity]],"YES","NO")</f>
        <v>NO</v>
      </c>
    </row>
    <row r="22" spans="1:10" x14ac:dyDescent="0.25">
      <c r="A22" s="38" t="s">
        <v>24</v>
      </c>
      <c r="B22" s="38" t="str">
        <f>VLOOKUP(Table146810[[#This Row],[Man. Number]],Articles!A:F,COLUMN(Articles!$D$1)-COLUMN(Articles!$A$1)+1,FALSE)</f>
        <v>Régulateur LDO, Fixe, Entrée 1.7 V à 5,5 V, Sortie 3.3 V/300 mA, Chute de 150 mV</v>
      </c>
      <c r="C22" s="38" t="str">
        <f>VLOOKUP(Table146810[[#This Row],[Man. Number]],Articles!A:F,COLUMN(Articles!$C$1)-COLUMN(Articles!$A$1)+1,FALSE)</f>
        <v>D001-015</v>
      </c>
      <c r="D22" s="4" t="s">
        <v>276</v>
      </c>
      <c r="E22" s="4">
        <v>1</v>
      </c>
      <c r="F22" s="4">
        <f>VLOOKUP(Table146810[[#This Row],[Man. Number]],Articles!A:F,COLUMN(Articles!$F$1)-COLUMN(Articles!$A$1)+1,FALSE)</f>
        <v>16</v>
      </c>
      <c r="G22" s="38" t="str">
        <f>IF(Table146810[[#This Row],[In stock]] &gt;= Table146810[[#This Row],[Quantity]],"YES","NO")</f>
        <v>YES</v>
      </c>
      <c r="H22" s="3">
        <f>VLOOKUP(Table146810[[#This Row],[Man. Number]],Articles!A:J,COLUMN(Articles!$J$1)-COLUMN(Articles!$A$1)+1,FALSE)*Table146810[[#This Row],[Quantity]]</f>
        <v>0.35</v>
      </c>
      <c r="I22" s="38">
        <f>Table146810[[#This Row],[Quantity]]*$M$1</f>
        <v>1</v>
      </c>
      <c r="J22" s="38" t="str">
        <f>IF(Table146810[[#This Row],[In stock]] &gt;= Table146810[[#This Row],[Total quantity]],"YES","NO")</f>
        <v>YES</v>
      </c>
    </row>
    <row r="23" spans="1:10" x14ac:dyDescent="0.25">
      <c r="A23" s="38" t="s">
        <v>460</v>
      </c>
      <c r="B23" s="4" t="str">
        <f>VLOOKUP(Table146810[[#This Row],[Man. Number]],Articles!A:F,COLUMN(Articles!$D$1)-COLUMN(Articles!$A$1)+1,FALSE)</f>
        <v>IC CONVERTER USB-SPI 20-SSOP</v>
      </c>
      <c r="C23" s="4" t="str">
        <f>VLOOKUP(Table146810[[#This Row],[Man. Number]],Articles!A:F,COLUMN(Articles!$C$1)-COLUMN(Articles!$A$1)+1,FALSE)</f>
        <v>D001-021</v>
      </c>
      <c r="D23" s="4" t="s">
        <v>277</v>
      </c>
      <c r="E23" s="4">
        <v>1</v>
      </c>
      <c r="F23" s="4">
        <f>VLOOKUP(Table146810[[#This Row],[Man. Number]],Articles!A:F,COLUMN(Articles!$F$1)-COLUMN(Articles!$A$1)+1,FALSE)</f>
        <v>1</v>
      </c>
      <c r="G23" s="4" t="str">
        <f>IF(Table146810[[#This Row],[In stock]] &gt;= Table146810[[#This Row],[Quantity]],"YES","NO")</f>
        <v>YES</v>
      </c>
      <c r="H23" s="3">
        <f>VLOOKUP(Table146810[[#This Row],[Man. Number]],Articles!A:J,COLUMN(Articles!$J$1)-COLUMN(Articles!$A$1)+1,FALSE)*Table146810[[#This Row],[Quantity]]</f>
        <v>2</v>
      </c>
      <c r="I23" s="4">
        <f>Table146810[[#This Row],[Quantity]]*$M$1</f>
        <v>1</v>
      </c>
      <c r="J23" s="4" t="str">
        <f>IF(Table146810[[#This Row],[In stock]] &gt;= Table146810[[#This Row],[Total quantity]],"YES","NO")</f>
        <v>YES</v>
      </c>
    </row>
    <row r="24" spans="1:10" x14ac:dyDescent="0.25">
      <c r="A24" s="38" t="s">
        <v>468</v>
      </c>
      <c r="B24" s="38" t="str">
        <f>VLOOKUP(Table146810[[#This Row],[Man. Number]],Articles!A:F,COLUMN(Articles!$D$1)-COLUMN(Articles!$A$1)+1,FALSE)</f>
        <v>IC MCU 8BIT 64KB FLASH 44TQFP</v>
      </c>
      <c r="C24" s="38" t="str">
        <f>VLOOKUP(Table146810[[#This Row],[Man. Number]],Articles!A:F,COLUMN(Articles!$C$1)-COLUMN(Articles!$A$1)+1,FALSE)</f>
        <v>D001-028</v>
      </c>
      <c r="D24" s="4" t="s">
        <v>293</v>
      </c>
      <c r="E24" s="4">
        <v>1</v>
      </c>
      <c r="F24" s="4">
        <f>VLOOKUP(Table146810[[#This Row],[Man. Number]],Articles!A:F,COLUMN(Articles!$F$1)-COLUMN(Articles!$A$1)+1,FALSE)</f>
        <v>1</v>
      </c>
      <c r="G24" s="38" t="str">
        <f>IF(Table146810[[#This Row],[In stock]] &gt;= Table146810[[#This Row],[Quantity]],"YES","NO")</f>
        <v>YES</v>
      </c>
      <c r="H24" s="3">
        <f>VLOOKUP(Table146810[[#This Row],[Man. Number]],Articles!A:J,COLUMN(Articles!$J$1)-COLUMN(Articles!$A$1)+1,FALSE)*Table146810[[#This Row],[Quantity]]</f>
        <v>1.78</v>
      </c>
      <c r="I24" s="38">
        <f>Table146810[[#This Row],[Quantity]]*$M$1</f>
        <v>1</v>
      </c>
      <c r="J24" s="38" t="str">
        <f>IF(Table146810[[#This Row],[In stock]] &gt;= Table146810[[#This Row],[Total quantity]],"YES","NO")</f>
        <v>YES</v>
      </c>
    </row>
    <row r="25" spans="1:10" x14ac:dyDescent="0.25">
      <c r="A25" s="38" t="s">
        <v>115</v>
      </c>
      <c r="B25" s="38" t="str">
        <f>VLOOKUP(Table146810[[#This Row],[Man. Number]],Articles!A:F,COLUMN(Articles!$D$1)-COLUMN(Articles!$A$1)+1,FALSE)</f>
        <v>Réseau de transistors bipolaires, NPN, 50 V, 500 mA</v>
      </c>
      <c r="C25" s="38" t="str">
        <f>VLOOKUP(Table146810[[#This Row],[Man. Number]],Articles!A:F,COLUMN(Articles!$C$1)-COLUMN(Articles!$A$1)+1,FALSE)</f>
        <v>D001-002</v>
      </c>
      <c r="D25" s="4" t="s">
        <v>290</v>
      </c>
      <c r="E25" s="4">
        <v>1</v>
      </c>
      <c r="F25" s="38">
        <f>VLOOKUP(Table146810[[#This Row],[Man. Number]],Articles!A:F,COLUMN(Articles!$F$1)-COLUMN(Articles!$A$1)+1,FALSE)</f>
        <v>10</v>
      </c>
      <c r="G25" s="38" t="str">
        <f>IF(Table146810[[#This Row],[In stock]] &gt;= Table146810[[#This Row],[Quantity]],"YES","NO")</f>
        <v>YES</v>
      </c>
      <c r="H25" s="3">
        <f>VLOOKUP(Table146810[[#This Row],[Man. Number]],Articles!A:J,COLUMN(Articles!$J$1)-COLUMN(Articles!$A$1)+1,FALSE)*Table146810[[#This Row],[Quantity]]</f>
        <v>0.54600000000000004</v>
      </c>
      <c r="I25" s="38">
        <f>Table146810[[#This Row],[Quantity]]*$M$1</f>
        <v>1</v>
      </c>
      <c r="J25" s="38" t="str">
        <f>IF(Table146810[[#This Row],[In stock]] &gt;= Table146810[[#This Row],[Total quantity]],"YES","NO")</f>
        <v>YES</v>
      </c>
    </row>
    <row r="26" spans="1:10" x14ac:dyDescent="0.25">
      <c r="A26" s="38" t="s">
        <v>463</v>
      </c>
      <c r="B26" s="38" t="str">
        <f>VLOOKUP(Table146810[[#This Row],[Man. Number]],Articles!A:F,COLUMN(Articles!$D$1)-COLUMN(Articles!$A$1)+1,FALSE)</f>
        <v>MEMS OSC XO 12.0000MHZ CMOS SMD</v>
      </c>
      <c r="C26" s="38" t="str">
        <f>VLOOKUP(Table146810[[#This Row],[Man. Number]],Articles!A:F,COLUMN(Articles!$C$1)-COLUMN(Articles!$A$1)+1,FALSE)</f>
        <v>D001-006</v>
      </c>
      <c r="D26" s="4" t="s">
        <v>530</v>
      </c>
      <c r="E26" s="4">
        <v>1</v>
      </c>
      <c r="F26" s="4">
        <f>VLOOKUP(Table146810[[#This Row],[Man. Number]],Articles!A:F,COLUMN(Articles!$F$1)-COLUMN(Articles!$A$1)+1,FALSE)</f>
        <v>3</v>
      </c>
      <c r="G26" s="38" t="str">
        <f>IF(Table146810[[#This Row],[In stock]] &gt;= Table146810[[#This Row],[Quantity]],"YES","NO")</f>
        <v>YES</v>
      </c>
      <c r="H26" s="3">
        <f>VLOOKUP(Table146810[[#This Row],[Man. Number]],Articles!A:J,COLUMN(Articles!$J$1)-COLUMN(Articles!$A$1)+1,FALSE)*Table146810[[#This Row],[Quantity]]</f>
        <v>0.93</v>
      </c>
      <c r="I26" s="38">
        <f>Table146810[[#This Row],[Quantity]]*$M$1</f>
        <v>1</v>
      </c>
      <c r="J26" s="38" t="str">
        <f>IF(Table146810[[#This Row],[In stock]] &gt;= Table146810[[#This Row],[Total quantity]],"YES","NO")</f>
        <v>YES</v>
      </c>
    </row>
    <row r="27" spans="1:10" x14ac:dyDescent="0.25">
      <c r="A27" s="38" t="s">
        <v>448</v>
      </c>
      <c r="G27" s="4"/>
      <c r="H27" s="4">
        <f>SUBTOTAL(109,Table146810[Unit Price])</f>
        <v>20.428699999999999</v>
      </c>
      <c r="I27" s="4"/>
      <c r="J27" s="4"/>
    </row>
  </sheetData>
  <sheetProtection sheet="1" objects="1" scenarios="1"/>
  <conditionalFormatting sqref="G1:H1048576 J1:J1048576">
    <cfRule type="containsText" dxfId="12" priority="7" operator="containsText" text="NO">
      <formula>NOT(ISERROR(SEARCH("NO",G1)))</formula>
    </cfRule>
  </conditionalFormatting>
  <conditionalFormatting sqref="A1:A1048576">
    <cfRule type="duplicateValues" dxfId="11" priority="5"/>
  </conditionalFormatting>
  <conditionalFormatting sqref="N1">
    <cfRule type="cellIs" dxfId="10" priority="2" stopIfTrue="1" operator="equal">
      <formula>"Locked"</formula>
    </cfRule>
    <cfRule type="cellIs" dxfId="9" priority="3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M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28547-A608-4B2C-B716-03529B617F63}">
  <sheetPr codeName="Sheet17"/>
  <dimension ref="A1:N11"/>
  <sheetViews>
    <sheetView zoomScaleNormal="100" workbookViewId="0">
      <pane ySplit="1" topLeftCell="A2" activePane="bottomLeft" state="frozen"/>
      <selection pane="bottomLeft" activeCell="D36" sqref="D36"/>
    </sheetView>
  </sheetViews>
  <sheetFormatPr defaultRowHeight="15" x14ac:dyDescent="0.25"/>
  <cols>
    <col min="1" max="1" width="25.7109375" style="38" customWidth="1"/>
    <col min="2" max="2" width="80.85546875" style="4" bestFit="1" customWidth="1"/>
    <col min="3" max="3" width="10.140625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5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">
        <v>1</v>
      </c>
      <c r="N1" t="s">
        <v>1107</v>
      </c>
    </row>
    <row r="2" spans="1:14" x14ac:dyDescent="0.25">
      <c r="A2" s="38" t="s">
        <v>33</v>
      </c>
      <c r="B2" s="4" t="str">
        <f>VLOOKUP(Table146813[[#This Row],[Man. Number]],Articles!A:F,COLUMN(Articles!$D$1)-COLUMN(Articles!$A$1)+1,FALSE)</f>
        <v>Condensateur céramique multicouche CMS, 1206 [3216 Metric], 0.1 µF, 25 V, ± 10%, X7R</v>
      </c>
      <c r="C2" s="4" t="str">
        <f>VLOOKUP(Table146813[[#This Row],[Man. Number]],Articles!A:F,COLUMN(Articles!$C$1)-COLUMN(Articles!$A$1)+1,FALSE)</f>
        <v>D100-148</v>
      </c>
      <c r="D2" s="4" t="s">
        <v>1213</v>
      </c>
      <c r="E2" s="4">
        <v>2</v>
      </c>
      <c r="F2" s="4">
        <f>VLOOKUP(Table146813[[#This Row],[Man. Number]],Articles!A:F,COLUMN(Articles!$F$1)-COLUMN(Articles!$A$1)+1,FALSE)</f>
        <v>83</v>
      </c>
      <c r="G2" s="4" t="str">
        <f>IF(Table146813[[#This Row],[In stock]] &gt;= Table146813[[#This Row],[Quantity]],"YES","NO")</f>
        <v>YES</v>
      </c>
      <c r="H2" s="3">
        <f>VLOOKUP(Table146813[[#This Row],[Man. Number]],Articles!A:J,COLUMN(Articles!$J$1)-COLUMN(Articles!$A$1)+1,FALSE)*Table146813[[#This Row],[Quantity]]</f>
        <v>0.84</v>
      </c>
      <c r="I2" s="4">
        <f>Table146813[[#This Row],[Quantity]]*$M$1</f>
        <v>2</v>
      </c>
      <c r="J2" s="4" t="str">
        <f>IF(Table146813[[#This Row],[In stock]] &gt;= Table146813[[#This Row],[Total quantity]],"YES","NO")</f>
        <v>YES</v>
      </c>
    </row>
    <row r="3" spans="1:14" x14ac:dyDescent="0.25">
      <c r="A3" s="38" t="s">
        <v>211</v>
      </c>
      <c r="B3" s="4" t="str">
        <f>VLOOKUP(Table146813[[#This Row],[Man. Number]],Articles!A:F,COLUMN(Articles!$D$1)-COLUMN(Articles!$A$1)+1,FALSE)</f>
        <v>Red 628nm LED Indication - Discrete 1.8V 0603 (1608 Metric)</v>
      </c>
      <c r="C3" s="4" t="str">
        <f>VLOOKUP(Table146813[[#This Row],[Man. Number]],Articles!A:F,COLUMN(Articles!$C$1)-COLUMN(Articles!$A$1)+1,FALSE)</f>
        <v>D001-049</v>
      </c>
      <c r="D3" s="4" t="s">
        <v>275</v>
      </c>
      <c r="E3" s="4">
        <v>1</v>
      </c>
      <c r="F3" s="4">
        <f>VLOOKUP(Table146813[[#This Row],[Man. Number]],Articles!A:F,COLUMN(Articles!$F$1)-COLUMN(Articles!$A$1)+1,FALSE)</f>
        <v>6</v>
      </c>
      <c r="G3" s="4" t="str">
        <f>IF(Table146813[[#This Row],[In stock]] &gt;= Table146813[[#This Row],[Quantity]],"YES","NO")</f>
        <v>YES</v>
      </c>
      <c r="H3" s="3">
        <f>VLOOKUP(Table146813[[#This Row],[Man. Number]],Articles!A:J,COLUMN(Articles!$J$1)-COLUMN(Articles!$A$1)+1,FALSE)*Table146813[[#This Row],[Quantity]]</f>
        <v>0.52</v>
      </c>
      <c r="I3" s="4">
        <f>Table146813[[#This Row],[Quantity]]*$M$1</f>
        <v>1</v>
      </c>
      <c r="J3" s="4" t="str">
        <f>IF(Table146813[[#This Row],[In stock]] &gt;= Table146813[[#This Row],[Total quantity]],"YES","NO")</f>
        <v>YES</v>
      </c>
    </row>
    <row r="4" spans="1:14" x14ac:dyDescent="0.25">
      <c r="A4" s="38" t="s">
        <v>1001</v>
      </c>
      <c r="B4" s="4" t="str">
        <f>VLOOKUP(Table146813[[#This Row],[Man. Number]],Articles!A:F,COLUMN(Articles!$D$1)-COLUMN(Articles!$A$1)+1,FALSE)</f>
        <v>RES SMD 27K OHM 5% 1/4W 0603</v>
      </c>
      <c r="C4" s="4" t="str">
        <f>VLOOKUP(Table146813[[#This Row],[Man. Number]],Articles!A:F,COLUMN(Articles!$C$1)-COLUMN(Articles!$A$1)+1,FALSE)</f>
        <v>D100-001</v>
      </c>
      <c r="D4" s="4" t="s">
        <v>294</v>
      </c>
      <c r="E4" s="4">
        <v>1</v>
      </c>
      <c r="F4" s="4">
        <f>VLOOKUP(Table146813[[#This Row],[Man. Number]],Articles!A:F,COLUMN(Articles!$F$1)-COLUMN(Articles!$A$1)+1,FALSE)</f>
        <v>7</v>
      </c>
      <c r="G4" s="4" t="str">
        <f>IF(Table146813[[#This Row],[In stock]] &gt;= Table146813[[#This Row],[Quantity]],"YES","NO")</f>
        <v>YES</v>
      </c>
      <c r="H4" s="3">
        <f>VLOOKUP(Table146813[[#This Row],[Man. Number]],Articles!A:J,COLUMN(Articles!$J$1)-COLUMN(Articles!$A$1)+1,FALSE)*Table146813[[#This Row],[Quantity]]</f>
        <v>0.1</v>
      </c>
      <c r="I4" s="4">
        <f>Table146813[[#This Row],[Quantity]]*$M$1</f>
        <v>1</v>
      </c>
      <c r="J4" s="4" t="str">
        <f>IF(Table146813[[#This Row],[In stock]] &gt;= Table146813[[#This Row],[Total quantity]],"YES","NO")</f>
        <v>YES</v>
      </c>
    </row>
    <row r="5" spans="1:14" x14ac:dyDescent="0.25">
      <c r="A5" s="38" t="s">
        <v>971</v>
      </c>
      <c r="B5" s="4" t="str">
        <f>VLOOKUP(Table146813[[#This Row],[Man. Number]],Articles!A:F,COLUMN(Articles!$D$1)-COLUMN(Articles!$A$1)+1,FALSE)</f>
        <v>RES SMD 1K OHM 5% 1/4W 0603</v>
      </c>
      <c r="C5" s="4" t="str">
        <f>VLOOKUP(Table146813[[#This Row],[Man. Number]],Articles!A:F,COLUMN(Articles!$C$1)-COLUMN(Articles!$A$1)+1,FALSE)</f>
        <v>D100-002</v>
      </c>
      <c r="D5" s="4" t="s">
        <v>1212</v>
      </c>
      <c r="E5" s="4">
        <v>5</v>
      </c>
      <c r="F5" s="4">
        <f>VLOOKUP(Table146813[[#This Row],[Man. Number]],Articles!A:F,COLUMN(Articles!$F$1)-COLUMN(Articles!$A$1)+1,FALSE)</f>
        <v>90</v>
      </c>
      <c r="G5" s="4" t="str">
        <f>IF(Table146813[[#This Row],[In stock]] &gt;= Table146813[[#This Row],[Quantity]],"YES","NO")</f>
        <v>YES</v>
      </c>
      <c r="H5" s="3">
        <f>VLOOKUP(Table146813[[#This Row],[Man. Number]],Articles!A:J,COLUMN(Articles!$J$1)-COLUMN(Articles!$A$1)+1,FALSE)*Table146813[[#This Row],[Quantity]]</f>
        <v>0.5</v>
      </c>
      <c r="I5" s="4">
        <f>Table146813[[#This Row],[Quantity]]*$M$1</f>
        <v>5</v>
      </c>
      <c r="J5" s="4" t="str">
        <f>IF(Table146813[[#This Row],[In stock]] &gt;= Table146813[[#This Row],[Total quantity]],"YES","NO")</f>
        <v>YES</v>
      </c>
    </row>
    <row r="6" spans="1:14" x14ac:dyDescent="0.25">
      <c r="A6" s="38" t="s">
        <v>989</v>
      </c>
      <c r="B6" s="4" t="str">
        <f>VLOOKUP(Table146813[[#This Row],[Man. Number]],Articles!A:F,COLUMN(Articles!$D$1)-COLUMN(Articles!$A$1)+1,FALSE)</f>
        <v>RES SMD 150 OHM 5% 1/4W 0603</v>
      </c>
      <c r="C6" s="4" t="str">
        <f>VLOOKUP(Table146813[[#This Row],[Man. Number]],Articles!A:F,COLUMN(Articles!$C$1)-COLUMN(Articles!$A$1)+1,FALSE)</f>
        <v>D100-000</v>
      </c>
      <c r="D6" s="4" t="s">
        <v>1204</v>
      </c>
      <c r="E6" s="4">
        <v>1</v>
      </c>
      <c r="F6" s="4">
        <f>VLOOKUP(Table146813[[#This Row],[Man. Number]],Articles!A:F,COLUMN(Articles!$F$1)-COLUMN(Articles!$A$1)+1,FALSE)</f>
        <v>16</v>
      </c>
      <c r="G6" s="4" t="str">
        <f>IF(Table146813[[#This Row],[In stock]] &gt;= Table146813[[#This Row],[Quantity]],"YES","NO")</f>
        <v>YES</v>
      </c>
      <c r="H6" s="3">
        <f>VLOOKUP(Table146813[[#This Row],[Man. Number]],Articles!A:J,COLUMN(Articles!$J$1)-COLUMN(Articles!$A$1)+1,FALSE)*Table146813[[#This Row],[Quantity]]</f>
        <v>0.1</v>
      </c>
      <c r="I6" s="4">
        <f>Table146813[[#This Row],[Quantity]]*$M$1</f>
        <v>1</v>
      </c>
      <c r="J6" s="4" t="str">
        <f>IF(Table146813[[#This Row],[In stock]] &gt;= Table146813[[#This Row],[Total quantity]],"YES","NO")</f>
        <v>YES</v>
      </c>
    </row>
    <row r="7" spans="1:14" x14ac:dyDescent="0.25">
      <c r="A7" s="38" t="s">
        <v>1214</v>
      </c>
      <c r="B7" s="4" t="str">
        <f>VLOOKUP(Table146813[[#This Row],[Man. Number]],Articles!A:F,COLUMN(Articles!$D$1)-COLUMN(Articles!$A$1)+1,FALSE)</f>
        <v>PIC PIC® XLP™ 16F Microcontroller IC 8-Bit 32MHz 3.5KB (2K x 14) FLASH 14-SOIC</v>
      </c>
      <c r="C7" s="4" t="str">
        <f>VLOOKUP(Table146813[[#This Row],[Man. Number]],Articles!A:F,COLUMN(Articles!$C$1)-COLUMN(Articles!$A$1)+1,FALSE)</f>
        <v>D001-029</v>
      </c>
      <c r="D7" s="4" t="s">
        <v>274</v>
      </c>
      <c r="E7" s="4">
        <v>1</v>
      </c>
      <c r="F7" s="4">
        <f>VLOOKUP(Table146813[[#This Row],[Man. Number]],Articles!A:F,COLUMN(Articles!$F$1)-COLUMN(Articles!$A$1)+1,FALSE)</f>
        <v>1</v>
      </c>
      <c r="G7" s="4" t="str">
        <f>IF(Table146813[[#This Row],[In stock]] &gt;= Table146813[[#This Row],[Quantity]],"YES","NO")</f>
        <v>YES</v>
      </c>
      <c r="H7" s="3">
        <f>VLOOKUP(Table146813[[#This Row],[Man. Number]],Articles!A:J,COLUMN(Articles!$J$1)-COLUMN(Articles!$A$1)+1,FALSE)*Table146813[[#This Row],[Quantity]]</f>
        <v>0.74</v>
      </c>
      <c r="I7" s="4">
        <f>Table146813[[#This Row],[Quantity]]*$M$1</f>
        <v>1</v>
      </c>
      <c r="J7" s="4" t="str">
        <f>IF(Table146813[[#This Row],[In stock]] &gt;= Table146813[[#This Row],[Total quantity]],"YES","NO")</f>
        <v>YES</v>
      </c>
    </row>
    <row r="8" spans="1:14" x14ac:dyDescent="0.25">
      <c r="A8" s="38">
        <v>912951</v>
      </c>
      <c r="B8" s="4" t="str">
        <f>VLOOKUP(Table146813[[#This Row],[Man. Number]],Articles!A:F,COLUMN(Articles!$D$1)-COLUMN(Articles!$A$1)+1,FALSE)</f>
        <v>Communication RF</v>
      </c>
      <c r="C8" s="4" t="str">
        <f>VLOOKUP(Table146813[[#This Row],[Man. Number]],Articles!A:F,COLUMN(Articles!$C$1)-COLUMN(Articles!$A$1)+1,FALSE)</f>
        <v>None</v>
      </c>
      <c r="D8" s="4" t="s">
        <v>276</v>
      </c>
      <c r="E8" s="4">
        <v>1</v>
      </c>
      <c r="F8" s="4">
        <f>VLOOKUP(Table146813[[#This Row],[Man. Number]],Articles!A:F,COLUMN(Articles!$F$1)-COLUMN(Articles!$A$1)+1,FALSE)</f>
        <v>0</v>
      </c>
      <c r="G8" s="4" t="str">
        <f>IF(Table146813[[#This Row],[In stock]] &gt;= Table146813[[#This Row],[Quantity]],"YES","NO")</f>
        <v>NO</v>
      </c>
      <c r="H8" s="3">
        <f>VLOOKUP(Table146813[[#This Row],[Man. Number]],Articles!A:J,COLUMN(Articles!$J$1)-COLUMN(Articles!$A$1)+1,FALSE)*Table146813[[#This Row],[Quantity]]</f>
        <v>3.43</v>
      </c>
      <c r="I8" s="4">
        <f>Table146813[[#This Row],[Quantity]]*$M$1</f>
        <v>1</v>
      </c>
      <c r="J8" s="4" t="str">
        <f>IF(Table146813[[#This Row],[In stock]] &gt;= Table146813[[#This Row],[Total quantity]],"YES","NO")</f>
        <v>NO</v>
      </c>
    </row>
    <row r="9" spans="1:14" x14ac:dyDescent="0.25">
      <c r="A9" s="38" t="s">
        <v>428</v>
      </c>
      <c r="B9" s="4" t="str">
        <f>VLOOKUP(Table146813[[#This Row],[Man. Number]],Articles!A:F,COLUMN(Articles!$D$1)-COLUMN(Articles!$A$1)+1,FALSE)</f>
        <v>Connecteur carte-à-carte, femelle, 2.54 mm, 36 Contact(s), Embase</v>
      </c>
      <c r="C9" s="4" t="str">
        <f>VLOOKUP(Table146813[[#This Row],[Man. Number]],Articles!A:F,COLUMN(Articles!$C$1)-COLUMN(Articles!$A$1)+1,FALSE)</f>
        <v>D200-011</v>
      </c>
      <c r="D9" s="4" t="s">
        <v>1236</v>
      </c>
      <c r="E9" s="4">
        <f>(2*9)/36</f>
        <v>0.5</v>
      </c>
      <c r="F9" s="4">
        <f>VLOOKUP(Table146813[[#This Row],[Man. Number]],Articles!A:F,COLUMN(Articles!$F$1)-COLUMN(Articles!$A$1)+1,FALSE)</f>
        <v>2.3050000000000002</v>
      </c>
      <c r="G9" s="4" t="str">
        <f>IF(Table146813[[#This Row],[In stock]] &gt;= Table146813[[#This Row],[Quantity]],"YES","NO")</f>
        <v>YES</v>
      </c>
      <c r="H9" s="3">
        <f>VLOOKUP(Table146813[[#This Row],[Man. Number]],Articles!A:J,COLUMN(Articles!$J$1)-COLUMN(Articles!$A$1)+1,FALSE)*Table146813[[#This Row],[Quantity]]</f>
        <v>1.56</v>
      </c>
      <c r="I9" s="4">
        <f>Table146813[[#This Row],[Quantity]]*$M$1</f>
        <v>0.5</v>
      </c>
      <c r="J9" s="4" t="str">
        <f>IF(Table146813[[#This Row],[In stock]] &gt;= Table146813[[#This Row],[Total quantity]],"YES","NO")</f>
        <v>YES</v>
      </c>
    </row>
    <row r="10" spans="1:14" x14ac:dyDescent="0.25">
      <c r="A10" s="38" t="s">
        <v>1098</v>
      </c>
      <c r="B10" s="4" t="str">
        <f>VLOOKUP(Table146813[[#This Row],[Man. Number]],Articles!A:F,COLUMN(Articles!$D$1)-COLUMN(Articles!$A$1)+1,FALSE)</f>
        <v>Connector Header Through Hole 36 position 0.100" (2.54mm)</v>
      </c>
      <c r="C10" s="4" t="str">
        <f>VLOOKUP(Table146813[[#This Row],[Man. Number]],Articles!A:F,COLUMN(Articles!$C$1)-COLUMN(Articles!$A$1)+1,FALSE)</f>
        <v>D200-011</v>
      </c>
      <c r="D10" s="4" t="s">
        <v>1211</v>
      </c>
      <c r="E10" s="4">
        <f>(5+2*9)/36</f>
        <v>0.63888888888888884</v>
      </c>
      <c r="F10" s="4">
        <f>VLOOKUP(Table146813[[#This Row],[Man. Number]],Articles!A:F,COLUMN(Articles!$F$1)-COLUMN(Articles!$A$1)+1,FALSE)</f>
        <v>3.3610000000000002</v>
      </c>
      <c r="G10" s="4" t="str">
        <f>IF(Table146813[[#This Row],[In stock]] &gt;= Table146813[[#This Row],[Quantity]],"YES","NO")</f>
        <v>YES</v>
      </c>
      <c r="H10" s="3">
        <f>VLOOKUP(Table146813[[#This Row],[Man. Number]],Articles!A:J,COLUMN(Articles!$J$1)-COLUMN(Articles!$A$1)+1,FALSE)*Table146813[[#This Row],[Quantity]]</f>
        <v>0.50472222222222218</v>
      </c>
      <c r="I10" s="4">
        <f>Table146813[[#This Row],[Quantity]]*$M$1</f>
        <v>0.63888888888888884</v>
      </c>
      <c r="J10" s="4" t="str">
        <f>IF(Table146813[[#This Row],[In stock]] &gt;= Table146813[[#This Row],[Total quantity]],"YES","NO")</f>
        <v>YES</v>
      </c>
    </row>
    <row r="11" spans="1:14" x14ac:dyDescent="0.25">
      <c r="A11" s="38" t="s">
        <v>448</v>
      </c>
      <c r="G11" s="4"/>
      <c r="H11" s="38">
        <f>SUBTOTAL(109,Table146813[Unit Price])</f>
        <v>8.294722222222223</v>
      </c>
      <c r="I11" s="4"/>
      <c r="J11" s="4"/>
    </row>
  </sheetData>
  <sheetProtection sheet="1" objects="1" scenarios="1"/>
  <conditionalFormatting sqref="G1:H1048576 J1:J1048576">
    <cfRule type="containsText" dxfId="8" priority="8" operator="containsText" text="NO">
      <formula>NOT(ISERROR(SEARCH("NO",G1)))</formula>
    </cfRule>
  </conditionalFormatting>
  <conditionalFormatting sqref="A11:A1048576 A1 A4:A5 A7:A8">
    <cfRule type="duplicateValues" dxfId="7" priority="7"/>
  </conditionalFormatting>
  <conditionalFormatting sqref="N1">
    <cfRule type="cellIs" dxfId="6" priority="5" stopIfTrue="1" operator="equal">
      <formula>"Locked"</formula>
    </cfRule>
    <cfRule type="cellIs" dxfId="5" priority="6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6CA9D796-B0E5-4CA2-A9D7-4A47E3075F5A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1]!ToggleLock_Click">
                <anchor>
                  <from>
                    <xdr:col>11</xdr:col>
                    <xdr:colOff>9525</xdr:colOff>
                    <xdr:row>1</xdr:row>
                    <xdr:rowOff>180975</xdr:rowOff>
                  </from>
                  <to>
                    <xdr:col>14</xdr:col>
                    <xdr:colOff>9525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1]!btn_insertRowProduct">
                <anchor>
                  <from>
                    <xdr:col>10</xdr:col>
                    <xdr:colOff>647700</xdr:colOff>
                    <xdr:row>5</xdr:row>
                    <xdr:rowOff>0</xdr:rowOff>
                  </from>
                  <to>
                    <xdr:col>13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N3"/>
  <sheetViews>
    <sheetView zoomScaleNormal="100" workbookViewId="0">
      <pane ySplit="1" topLeftCell="A2" activePane="bottomLeft" state="frozen"/>
      <selection pane="bottomLeft" activeCell="Q4" sqref="Q4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8" style="4" bestFit="1" customWidth="1"/>
    <col min="4" max="4" width="15.7109375" style="4" customWidth="1"/>
    <col min="5" max="5" width="11" style="4" bestFit="1" customWidth="1"/>
    <col min="6" max="6" width="10" style="4" bestFit="1" customWidth="1"/>
    <col min="7" max="7" width="11.5703125" bestFit="1" customWidth="1"/>
    <col min="8" max="8" width="12" bestFit="1" customWidth="1"/>
    <col min="9" max="9" width="15.7109375" customWidth="1"/>
    <col min="10" max="10" width="16.28515625" customWidth="1"/>
    <col min="11" max="12" width="9.85546875" customWidth="1"/>
    <col min="13" max="13" width="4" customWidth="1"/>
    <col min="14" max="14" width="9.140625" customWidth="1"/>
  </cols>
  <sheetData>
    <row r="1" spans="1:14" ht="15.75" thickBot="1" x14ac:dyDescent="0.3">
      <c r="A1" s="2" t="s">
        <v>0</v>
      </c>
      <c r="B1" s="2" t="s">
        <v>2</v>
      </c>
      <c r="C1" s="2" t="s">
        <v>326</v>
      </c>
      <c r="D1" s="2" t="s">
        <v>332</v>
      </c>
      <c r="E1" s="2" t="s">
        <v>124</v>
      </c>
      <c r="F1" s="2" t="s">
        <v>3</v>
      </c>
      <c r="G1" s="6" t="s">
        <v>151</v>
      </c>
      <c r="H1" s="6" t="s">
        <v>1102</v>
      </c>
      <c r="I1" s="6" t="s">
        <v>153</v>
      </c>
      <c r="J1" s="6" t="s">
        <v>160</v>
      </c>
      <c r="L1" s="8" t="s">
        <v>152</v>
      </c>
      <c r="M1" s="4">
        <v>1</v>
      </c>
      <c r="N1" t="s">
        <v>1094</v>
      </c>
    </row>
    <row r="2" spans="1:14" x14ac:dyDescent="0.25">
      <c r="A2" s="3" t="s">
        <v>330</v>
      </c>
      <c r="B2" s="4" t="e">
        <f>VLOOKUP(Table1468[[#This Row],[Man. Number]],Articles!A:F,COLUMN(Articles!$D$1)-COLUMN(Articles!$A$1)+1,FALSE)</f>
        <v>#N/A</v>
      </c>
      <c r="C2" s="4" t="e">
        <f>VLOOKUP(Table1468[[#This Row],[Man. Number]],Articles!A:F,COLUMN(Articles!$C$1)-COLUMN(Articles!$A$1)+1,FALSE)</f>
        <v>#N/A</v>
      </c>
      <c r="D2" s="4" t="s">
        <v>331</v>
      </c>
      <c r="E2" s="4" t="s">
        <v>329</v>
      </c>
      <c r="F2" s="4" t="e">
        <f>VLOOKUP(Table1468[[#This Row],[Man. Number]],Articles!A:F,COLUMN(Articles!$F$1)-COLUMN(Articles!$A$1)+1,FALSE)</f>
        <v>#N/A</v>
      </c>
      <c r="G2" s="4" t="e">
        <f>IF(Table1468[[#This Row],[In stock]] &gt;= Table1468[[#This Row],[Quantity]],"YES","NO")</f>
        <v>#N/A</v>
      </c>
      <c r="H2" s="3" t="e">
        <f>VLOOKUP(Table1468[[#This Row],[Man. Number]],Articles!A:J,COLUMN(Articles!$J$1)-COLUMN(Articles!$A$1)+1,FALSE)*Table1468[[#This Row],[Quantity]]</f>
        <v>#N/A</v>
      </c>
      <c r="I2" s="4" t="e">
        <f>Table1468[[#This Row],[Quantity]]*$M$1</f>
        <v>#VALUE!</v>
      </c>
      <c r="J2" s="4" t="e">
        <f>IF(Table1468[[#This Row],[In stock]] &gt;= Table1468[[#This Row],[Total quantity]],"YES","NO")</f>
        <v>#N/A</v>
      </c>
    </row>
    <row r="3" spans="1:14" x14ac:dyDescent="0.25">
      <c r="A3" s="4" t="s">
        <v>448</v>
      </c>
      <c r="G3" s="4"/>
      <c r="H3" s="38" t="e">
        <f>SUBTOTAL(109,Table1468[Unit Price])</f>
        <v>#N/A</v>
      </c>
      <c r="I3" s="4"/>
      <c r="J3" s="4"/>
    </row>
  </sheetData>
  <conditionalFormatting sqref="G1:H1048576 J1:J1048576">
    <cfRule type="containsText" dxfId="4" priority="5" operator="containsText" text="NO">
      <formula>NOT(ISERROR(SEARCH("NO",G1)))</formula>
    </cfRule>
  </conditionalFormatting>
  <conditionalFormatting sqref="A1:A1048576">
    <cfRule type="duplicateValues" dxfId="3" priority="3"/>
  </conditionalFormatting>
  <conditionalFormatting sqref="N1">
    <cfRule type="cellIs" dxfId="2" priority="1" stopIfTrue="1" operator="equal">
      <formula>"Locked"</formula>
    </cfRule>
    <cfRule type="cellIs" dxfId="1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M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14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H14"/>
  <sheetViews>
    <sheetView workbookViewId="0">
      <selection activeCell="E5" sqref="E5"/>
    </sheetView>
  </sheetViews>
  <sheetFormatPr defaultRowHeight="15" x14ac:dyDescent="0.25"/>
  <cols>
    <col min="1" max="1" width="8.28515625" bestFit="1" customWidth="1"/>
    <col min="2" max="2" width="17.7109375" bestFit="1" customWidth="1"/>
    <col min="3" max="3" width="17.5703125" bestFit="1" customWidth="1"/>
  </cols>
  <sheetData>
    <row r="1" spans="1:8" x14ac:dyDescent="0.25">
      <c r="A1" t="s">
        <v>1396</v>
      </c>
      <c r="B1" t="s">
        <v>1135</v>
      </c>
      <c r="C1" t="s">
        <v>546</v>
      </c>
      <c r="D1" t="s">
        <v>334</v>
      </c>
      <c r="E1" t="s">
        <v>194</v>
      </c>
      <c r="F1" t="s">
        <v>1184</v>
      </c>
      <c r="G1" t="s">
        <v>418</v>
      </c>
      <c r="H1" t="s">
        <v>1207</v>
      </c>
    </row>
    <row r="3" spans="1:8" s="37" customFormat="1" ht="15" customHeight="1" x14ac:dyDescent="0.35"/>
    <row r="6" spans="1:8" x14ac:dyDescent="0.25">
      <c r="A6" t="s">
        <v>190</v>
      </c>
      <c r="B6" t="s">
        <v>191</v>
      </c>
      <c r="C6" t="s">
        <v>192</v>
      </c>
    </row>
    <row r="7" spans="1:8" x14ac:dyDescent="0.25">
      <c r="A7" s="51">
        <v>196</v>
      </c>
      <c r="B7" t="s">
        <v>1395</v>
      </c>
      <c r="C7" t="s">
        <v>1396</v>
      </c>
    </row>
    <row r="8" spans="1:8" x14ac:dyDescent="0.25">
      <c r="A8" s="51">
        <v>197</v>
      </c>
      <c r="B8" t="s">
        <v>1134</v>
      </c>
      <c r="C8" t="s">
        <v>1135</v>
      </c>
    </row>
    <row r="9" spans="1:8" x14ac:dyDescent="0.25">
      <c r="A9">
        <v>198</v>
      </c>
      <c r="B9" t="s">
        <v>545</v>
      </c>
      <c r="C9" t="s">
        <v>546</v>
      </c>
    </row>
    <row r="10" spans="1:8" x14ac:dyDescent="0.25">
      <c r="A10">
        <v>199</v>
      </c>
      <c r="B10" t="s">
        <v>333</v>
      </c>
      <c r="C10" t="s">
        <v>334</v>
      </c>
    </row>
    <row r="11" spans="1:8" x14ac:dyDescent="0.25">
      <c r="A11">
        <v>299</v>
      </c>
      <c r="B11" t="s">
        <v>193</v>
      </c>
      <c r="C11" t="s">
        <v>194</v>
      </c>
    </row>
    <row r="12" spans="1:8" x14ac:dyDescent="0.25">
      <c r="A12" s="51">
        <v>398</v>
      </c>
      <c r="B12" t="s">
        <v>1183</v>
      </c>
      <c r="C12" t="s">
        <v>1184</v>
      </c>
    </row>
    <row r="13" spans="1:8" x14ac:dyDescent="0.25">
      <c r="A13">
        <v>399</v>
      </c>
      <c r="B13" t="s">
        <v>417</v>
      </c>
      <c r="C13" t="s">
        <v>418</v>
      </c>
    </row>
    <row r="14" spans="1:8" x14ac:dyDescent="0.25">
      <c r="A14" s="51">
        <v>499</v>
      </c>
      <c r="B14" t="s">
        <v>1208</v>
      </c>
      <c r="C14" t="s">
        <v>1207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5"/>
  <sheetViews>
    <sheetView workbookViewId="0">
      <selection activeCell="K14" sqref="K14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75" t="s">
        <v>328</v>
      </c>
      <c r="B2" s="75"/>
      <c r="C2" s="75"/>
      <c r="D2" s="75"/>
      <c r="F2" s="76" t="str">
        <f>IF(ISNUMBER(C5),"","Man. Number must be set")</f>
        <v/>
      </c>
      <c r="G2" s="76"/>
      <c r="H2" s="76"/>
    </row>
    <row r="4" spans="1:23" x14ac:dyDescent="0.25">
      <c r="A4" s="15" t="s">
        <v>124</v>
      </c>
      <c r="B4" s="15" t="s">
        <v>237</v>
      </c>
      <c r="C4" s="15" t="s">
        <v>966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236</v>
      </c>
      <c r="O4" s="14" t="s">
        <v>325</v>
      </c>
      <c r="P4" t="s">
        <v>124</v>
      </c>
      <c r="Q4" t="s">
        <v>237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236</v>
      </c>
    </row>
    <row r="5" spans="1:23" x14ac:dyDescent="0.25">
      <c r="A5" s="13" t="s">
        <v>967</v>
      </c>
      <c r="B5" s="13">
        <v>4</v>
      </c>
      <c r="C5" s="13">
        <v>3</v>
      </c>
      <c r="D5" s="13">
        <v>5</v>
      </c>
      <c r="E5" s="13" t="s">
        <v>75</v>
      </c>
      <c r="F5" s="13">
        <v>6</v>
      </c>
      <c r="G5" s="13">
        <v>9</v>
      </c>
      <c r="H5" s="13">
        <v>2</v>
      </c>
      <c r="O5" s="7"/>
      <c r="P5" s="7">
        <v>2</v>
      </c>
      <c r="Q5" s="7">
        <v>4</v>
      </c>
      <c r="R5" s="7">
        <v>3</v>
      </c>
      <c r="S5" s="7" t="s">
        <v>235</v>
      </c>
      <c r="T5" s="7" t="s">
        <v>75</v>
      </c>
      <c r="U5" s="7">
        <v>5</v>
      </c>
      <c r="V5" s="7">
        <v>8</v>
      </c>
      <c r="W5" s="7">
        <v>2</v>
      </c>
    </row>
    <row r="8" spans="1:23" x14ac:dyDescent="0.25">
      <c r="O8" s="14" t="s">
        <v>435</v>
      </c>
      <c r="P8" t="s">
        <v>124</v>
      </c>
      <c r="Q8" t="s">
        <v>237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236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75</v>
      </c>
      <c r="U9" s="21">
        <v>13</v>
      </c>
      <c r="V9" s="21">
        <v>9</v>
      </c>
      <c r="W9" s="21">
        <v>2</v>
      </c>
    </row>
    <row r="11" spans="1:23" x14ac:dyDescent="0.25">
      <c r="O11" s="14" t="s">
        <v>968</v>
      </c>
      <c r="P11" s="46" t="s">
        <v>124</v>
      </c>
      <c r="Q11" s="46" t="s">
        <v>237</v>
      </c>
      <c r="R11" s="46" t="s">
        <v>0</v>
      </c>
      <c r="S11" s="46" t="s">
        <v>6</v>
      </c>
      <c r="T11" s="46" t="s">
        <v>4</v>
      </c>
      <c r="U11" s="46" t="s">
        <v>2</v>
      </c>
      <c r="V11" s="46" t="s">
        <v>8</v>
      </c>
      <c r="W11" s="46" t="s">
        <v>236</v>
      </c>
    </row>
    <row r="12" spans="1:23" x14ac:dyDescent="0.25">
      <c r="P12" s="46" t="s">
        <v>967</v>
      </c>
      <c r="Q12" s="46">
        <v>4</v>
      </c>
      <c r="R12" s="46">
        <v>3</v>
      </c>
      <c r="S12" s="46">
        <v>5</v>
      </c>
      <c r="T12" s="46" t="s">
        <v>75</v>
      </c>
      <c r="U12" s="46">
        <v>6</v>
      </c>
      <c r="V12" s="46">
        <v>9</v>
      </c>
      <c r="W12" s="46">
        <v>2</v>
      </c>
    </row>
    <row r="14" spans="1:23" x14ac:dyDescent="0.25">
      <c r="O14" s="14" t="s">
        <v>1462</v>
      </c>
      <c r="P14" s="68" t="s">
        <v>124</v>
      </c>
      <c r="Q14" s="68" t="s">
        <v>237</v>
      </c>
      <c r="R14" s="68" t="s">
        <v>0</v>
      </c>
      <c r="S14" s="68" t="s">
        <v>6</v>
      </c>
      <c r="T14" s="68" t="s">
        <v>4</v>
      </c>
      <c r="U14" s="68" t="s">
        <v>2</v>
      </c>
      <c r="V14" s="68" t="s">
        <v>8</v>
      </c>
      <c r="W14" s="68" t="s">
        <v>236</v>
      </c>
    </row>
    <row r="15" spans="1:23" x14ac:dyDescent="0.25">
      <c r="P15" s="68" t="s">
        <v>967</v>
      </c>
      <c r="Q15" s="68">
        <v>4</v>
      </c>
      <c r="R15" s="68">
        <v>3</v>
      </c>
      <c r="S15" s="68">
        <v>5</v>
      </c>
      <c r="T15" s="68" t="s">
        <v>75</v>
      </c>
      <c r="U15" s="68">
        <v>6</v>
      </c>
      <c r="V15" s="68">
        <v>9</v>
      </c>
      <c r="W15" s="68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AA163"/>
  <sheetViews>
    <sheetView workbookViewId="0">
      <selection activeCell="E24" sqref="E24"/>
    </sheetView>
  </sheetViews>
  <sheetFormatPr defaultColWidth="20.7109375" defaultRowHeight="15" x14ac:dyDescent="0.25"/>
  <cols>
    <col min="2" max="4" width="20.7109375" style="16"/>
    <col min="5" max="5" width="35.42578125" style="16" bestFit="1" customWidth="1"/>
    <col min="6" max="12" width="20.7109375" style="16"/>
    <col min="14" max="16384" width="20.7109375" style="16"/>
  </cols>
  <sheetData>
    <row r="1" spans="1:27" x14ac:dyDescent="0.25">
      <c r="A1" t="s">
        <v>1463</v>
      </c>
      <c r="B1" t="s">
        <v>1464</v>
      </c>
      <c r="C1" t="s">
        <v>1457</v>
      </c>
      <c r="D1" t="s">
        <v>1385</v>
      </c>
      <c r="E1" t="s">
        <v>6</v>
      </c>
      <c r="F1" t="s">
        <v>2</v>
      </c>
      <c r="G1" t="s">
        <v>1465</v>
      </c>
      <c r="H1" t="s">
        <v>1466</v>
      </c>
      <c r="I1" t="s">
        <v>1458</v>
      </c>
      <c r="J1" t="s">
        <v>1467</v>
      </c>
      <c r="K1" t="s">
        <v>1468</v>
      </c>
      <c r="L1" t="s">
        <v>1469</v>
      </c>
      <c r="M1" t="s">
        <v>1470</v>
      </c>
      <c r="N1" t="s">
        <v>1471</v>
      </c>
      <c r="O1" t="s">
        <v>1472</v>
      </c>
      <c r="P1" t="s">
        <v>1473</v>
      </c>
      <c r="Q1" t="s">
        <v>1474</v>
      </c>
      <c r="R1" t="s">
        <v>1475</v>
      </c>
      <c r="S1" t="s">
        <v>1476</v>
      </c>
      <c r="T1" t="s">
        <v>1477</v>
      </c>
      <c r="U1" t="s">
        <v>1478</v>
      </c>
      <c r="V1" t="s">
        <v>1479</v>
      </c>
      <c r="W1" t="s">
        <v>1480</v>
      </c>
      <c r="X1" t="s">
        <v>1481</v>
      </c>
      <c r="Y1" t="s">
        <v>1482</v>
      </c>
      <c r="Z1" t="s">
        <v>1483</v>
      </c>
      <c r="AA1" t="s">
        <v>1484</v>
      </c>
    </row>
    <row r="2" spans="1:27" x14ac:dyDescent="0.25">
      <c r="A2" t="s">
        <v>1485</v>
      </c>
      <c r="B2" t="s">
        <v>1486</v>
      </c>
      <c r="C2" t="s">
        <v>970</v>
      </c>
      <c r="D2" t="s">
        <v>971</v>
      </c>
      <c r="E2" t="s">
        <v>593</v>
      </c>
      <c r="F2" t="s">
        <v>972</v>
      </c>
      <c r="G2">
        <v>400546</v>
      </c>
      <c r="H2">
        <v>0</v>
      </c>
      <c r="I2" t="s">
        <v>1459</v>
      </c>
      <c r="J2">
        <v>0</v>
      </c>
      <c r="K2">
        <v>1</v>
      </c>
      <c r="L2" t="s">
        <v>1487</v>
      </c>
      <c r="M2" t="s">
        <v>1488</v>
      </c>
      <c r="N2" t="s">
        <v>1489</v>
      </c>
      <c r="O2" t="s">
        <v>1502</v>
      </c>
      <c r="P2" t="s">
        <v>1491</v>
      </c>
      <c r="Q2" t="s">
        <v>1709</v>
      </c>
      <c r="R2" t="s">
        <v>1492</v>
      </c>
      <c r="S2" t="s">
        <v>1493</v>
      </c>
      <c r="T2" t="s">
        <v>1494</v>
      </c>
      <c r="U2" t="s">
        <v>1495</v>
      </c>
      <c r="V2" t="s">
        <v>1710</v>
      </c>
      <c r="W2">
        <v>603</v>
      </c>
      <c r="X2" t="s">
        <v>1711</v>
      </c>
      <c r="Y2" t="s">
        <v>1712</v>
      </c>
      <c r="Z2">
        <v>2</v>
      </c>
      <c r="AA2" t="s">
        <v>58</v>
      </c>
    </row>
    <row r="3" spans="1:27" x14ac:dyDescent="0.25">
      <c r="A3" t="s">
        <v>1485</v>
      </c>
      <c r="B3" t="s">
        <v>1486</v>
      </c>
      <c r="C3" t="s">
        <v>1713</v>
      </c>
      <c r="D3" t="s">
        <v>1714</v>
      </c>
      <c r="E3" t="s">
        <v>593</v>
      </c>
      <c r="F3" t="s">
        <v>1715</v>
      </c>
      <c r="G3">
        <v>200665</v>
      </c>
      <c r="H3">
        <v>0</v>
      </c>
      <c r="I3" t="s">
        <v>1459</v>
      </c>
      <c r="J3">
        <v>0</v>
      </c>
      <c r="K3">
        <v>1</v>
      </c>
      <c r="L3" t="s">
        <v>1487</v>
      </c>
      <c r="M3" t="s">
        <v>1488</v>
      </c>
      <c r="N3" t="s">
        <v>1489</v>
      </c>
      <c r="O3" t="s">
        <v>1503</v>
      </c>
      <c r="P3" t="s">
        <v>1491</v>
      </c>
      <c r="Q3" t="s">
        <v>1709</v>
      </c>
      <c r="R3" t="s">
        <v>1492</v>
      </c>
      <c r="S3" t="s">
        <v>1493</v>
      </c>
      <c r="T3" t="s">
        <v>1494</v>
      </c>
      <c r="U3" t="s">
        <v>1495</v>
      </c>
      <c r="V3" t="s">
        <v>1710</v>
      </c>
      <c r="W3">
        <v>603</v>
      </c>
      <c r="X3" t="s">
        <v>1711</v>
      </c>
      <c r="Y3" t="s">
        <v>1712</v>
      </c>
      <c r="Z3">
        <v>2</v>
      </c>
      <c r="AA3" t="s">
        <v>58</v>
      </c>
    </row>
    <row r="4" spans="1:27" x14ac:dyDescent="0.25">
      <c r="A4" t="s">
        <v>1485</v>
      </c>
      <c r="B4" t="s">
        <v>1486</v>
      </c>
      <c r="C4" t="s">
        <v>979</v>
      </c>
      <c r="D4" t="s">
        <v>980</v>
      </c>
      <c r="E4" t="s">
        <v>593</v>
      </c>
      <c r="F4" t="s">
        <v>981</v>
      </c>
      <c r="G4">
        <v>265228</v>
      </c>
      <c r="H4">
        <v>0</v>
      </c>
      <c r="I4" t="s">
        <v>1459</v>
      </c>
      <c r="J4">
        <v>0</v>
      </c>
      <c r="K4">
        <v>1</v>
      </c>
      <c r="L4" t="s">
        <v>1487</v>
      </c>
      <c r="M4" t="s">
        <v>1488</v>
      </c>
      <c r="N4" t="s">
        <v>1489</v>
      </c>
      <c r="O4" t="s">
        <v>1497</v>
      </c>
      <c r="P4" t="s">
        <v>1491</v>
      </c>
      <c r="Q4" t="s">
        <v>1709</v>
      </c>
      <c r="R4" t="s">
        <v>1492</v>
      </c>
      <c r="S4" t="s">
        <v>1493</v>
      </c>
      <c r="T4" t="s">
        <v>1494</v>
      </c>
      <c r="U4" t="s">
        <v>1495</v>
      </c>
      <c r="V4" t="s">
        <v>1710</v>
      </c>
      <c r="W4">
        <v>603</v>
      </c>
      <c r="X4" t="s">
        <v>1711</v>
      </c>
      <c r="Y4" t="s">
        <v>1712</v>
      </c>
      <c r="Z4">
        <v>2</v>
      </c>
      <c r="AA4" t="s">
        <v>58</v>
      </c>
    </row>
    <row r="5" spans="1:27" x14ac:dyDescent="0.25">
      <c r="A5" t="s">
        <v>1485</v>
      </c>
      <c r="B5" t="s">
        <v>1486</v>
      </c>
      <c r="C5" t="s">
        <v>1716</v>
      </c>
      <c r="D5" t="s">
        <v>1717</v>
      </c>
      <c r="E5" t="s">
        <v>593</v>
      </c>
      <c r="F5" t="s">
        <v>1718</v>
      </c>
      <c r="G5">
        <v>140671</v>
      </c>
      <c r="H5">
        <v>0</v>
      </c>
      <c r="I5" t="s">
        <v>1459</v>
      </c>
      <c r="J5">
        <v>0</v>
      </c>
      <c r="K5">
        <v>1</v>
      </c>
      <c r="L5" t="s">
        <v>1487</v>
      </c>
      <c r="M5" t="s">
        <v>1488</v>
      </c>
      <c r="N5" t="s">
        <v>1489</v>
      </c>
      <c r="O5" t="s">
        <v>1499</v>
      </c>
      <c r="P5" t="s">
        <v>1491</v>
      </c>
      <c r="Q5" t="s">
        <v>1709</v>
      </c>
      <c r="R5" t="s">
        <v>1492</v>
      </c>
      <c r="S5" t="s">
        <v>1493</v>
      </c>
      <c r="T5" t="s">
        <v>1494</v>
      </c>
      <c r="U5" t="s">
        <v>1495</v>
      </c>
      <c r="V5" t="s">
        <v>1710</v>
      </c>
      <c r="W5">
        <v>603</v>
      </c>
      <c r="X5" t="s">
        <v>1711</v>
      </c>
      <c r="Y5" t="s">
        <v>1712</v>
      </c>
      <c r="Z5">
        <v>2</v>
      </c>
      <c r="AA5" t="s">
        <v>58</v>
      </c>
    </row>
    <row r="6" spans="1:27" x14ac:dyDescent="0.25">
      <c r="A6" t="s">
        <v>1485</v>
      </c>
      <c r="B6" t="s">
        <v>1486</v>
      </c>
      <c r="C6" t="s">
        <v>1719</v>
      </c>
      <c r="D6" t="s">
        <v>1720</v>
      </c>
      <c r="E6" t="s">
        <v>593</v>
      </c>
      <c r="F6" t="s">
        <v>1721</v>
      </c>
      <c r="G6">
        <v>127630</v>
      </c>
      <c r="H6">
        <v>0</v>
      </c>
      <c r="I6" t="s">
        <v>1459</v>
      </c>
      <c r="J6">
        <v>0</v>
      </c>
      <c r="K6">
        <v>1</v>
      </c>
      <c r="L6" t="s">
        <v>1487</v>
      </c>
      <c r="M6" t="s">
        <v>1488</v>
      </c>
      <c r="N6" t="s">
        <v>1489</v>
      </c>
      <c r="O6" t="s">
        <v>1513</v>
      </c>
      <c r="P6" t="s">
        <v>1491</v>
      </c>
      <c r="Q6" t="s">
        <v>1709</v>
      </c>
      <c r="R6" t="s">
        <v>1492</v>
      </c>
      <c r="S6" t="s">
        <v>1493</v>
      </c>
      <c r="T6" t="s">
        <v>1494</v>
      </c>
      <c r="U6" t="s">
        <v>1495</v>
      </c>
      <c r="V6" t="s">
        <v>1710</v>
      </c>
      <c r="W6">
        <v>603</v>
      </c>
      <c r="X6" t="s">
        <v>1711</v>
      </c>
      <c r="Y6" t="s">
        <v>1712</v>
      </c>
      <c r="Z6">
        <v>2</v>
      </c>
      <c r="AA6" t="s">
        <v>58</v>
      </c>
    </row>
    <row r="7" spans="1:27" x14ac:dyDescent="0.25">
      <c r="A7" t="s">
        <v>1485</v>
      </c>
      <c r="B7" t="s">
        <v>1486</v>
      </c>
      <c r="C7" t="s">
        <v>1722</v>
      </c>
      <c r="D7" t="s">
        <v>1723</v>
      </c>
      <c r="E7" t="s">
        <v>593</v>
      </c>
      <c r="F7" t="s">
        <v>1724</v>
      </c>
      <c r="G7">
        <v>113107</v>
      </c>
      <c r="H7">
        <v>0</v>
      </c>
      <c r="I7" t="s">
        <v>1459</v>
      </c>
      <c r="J7">
        <v>0</v>
      </c>
      <c r="K7">
        <v>1</v>
      </c>
      <c r="L7" t="s">
        <v>1487</v>
      </c>
      <c r="M7" t="s">
        <v>1488</v>
      </c>
      <c r="N7" t="s">
        <v>1489</v>
      </c>
      <c r="O7" t="s">
        <v>1515</v>
      </c>
      <c r="P7" t="s">
        <v>1491</v>
      </c>
      <c r="Q7" t="s">
        <v>1709</v>
      </c>
      <c r="R7" t="s">
        <v>1492</v>
      </c>
      <c r="S7" t="s">
        <v>1493</v>
      </c>
      <c r="T7" t="s">
        <v>1494</v>
      </c>
      <c r="U7" t="s">
        <v>1495</v>
      </c>
      <c r="V7" t="s">
        <v>1710</v>
      </c>
      <c r="W7">
        <v>603</v>
      </c>
      <c r="X7" t="s">
        <v>1711</v>
      </c>
      <c r="Y7" t="s">
        <v>1712</v>
      </c>
      <c r="Z7">
        <v>2</v>
      </c>
      <c r="AA7" t="s">
        <v>58</v>
      </c>
    </row>
    <row r="8" spans="1:27" x14ac:dyDescent="0.25">
      <c r="A8" t="s">
        <v>1485</v>
      </c>
      <c r="B8" t="s">
        <v>1486</v>
      </c>
      <c r="C8" t="s">
        <v>982</v>
      </c>
      <c r="D8" t="s">
        <v>983</v>
      </c>
      <c r="E8" t="s">
        <v>593</v>
      </c>
      <c r="F8" t="s">
        <v>984</v>
      </c>
      <c r="G8">
        <v>88624</v>
      </c>
      <c r="H8">
        <v>0</v>
      </c>
      <c r="I8" t="s">
        <v>1459</v>
      </c>
      <c r="J8">
        <v>0</v>
      </c>
      <c r="K8">
        <v>1</v>
      </c>
      <c r="L8" t="s">
        <v>1487</v>
      </c>
      <c r="M8" t="s">
        <v>1488</v>
      </c>
      <c r="N8" t="s">
        <v>1489</v>
      </c>
      <c r="O8" t="s">
        <v>1629</v>
      </c>
      <c r="P8" t="s">
        <v>1491</v>
      </c>
      <c r="Q8" t="s">
        <v>1709</v>
      </c>
      <c r="R8" t="s">
        <v>1492</v>
      </c>
      <c r="S8" t="s">
        <v>1493</v>
      </c>
      <c r="T8" t="s">
        <v>1494</v>
      </c>
      <c r="U8" t="s">
        <v>1495</v>
      </c>
      <c r="V8" t="s">
        <v>1710</v>
      </c>
      <c r="W8">
        <v>603</v>
      </c>
      <c r="X8" t="s">
        <v>1711</v>
      </c>
      <c r="Y8" t="s">
        <v>1712</v>
      </c>
      <c r="Z8">
        <v>2</v>
      </c>
      <c r="AA8" t="s">
        <v>58</v>
      </c>
    </row>
    <row r="9" spans="1:27" x14ac:dyDescent="0.25">
      <c r="A9" t="s">
        <v>1485</v>
      </c>
      <c r="B9" t="s">
        <v>1486</v>
      </c>
      <c r="C9" t="s">
        <v>1725</v>
      </c>
      <c r="D9" t="s">
        <v>1726</v>
      </c>
      <c r="E9" t="s">
        <v>593</v>
      </c>
      <c r="F9" t="s">
        <v>1727</v>
      </c>
      <c r="G9">
        <v>70846</v>
      </c>
      <c r="H9">
        <v>0</v>
      </c>
      <c r="I9" t="s">
        <v>1459</v>
      </c>
      <c r="J9">
        <v>0</v>
      </c>
      <c r="K9">
        <v>1</v>
      </c>
      <c r="L9" t="s">
        <v>1487</v>
      </c>
      <c r="M9" t="s">
        <v>1488</v>
      </c>
      <c r="N9" t="s">
        <v>1489</v>
      </c>
      <c r="O9" t="s">
        <v>1549</v>
      </c>
      <c r="P9" t="s">
        <v>1491</v>
      </c>
      <c r="Q9" t="s">
        <v>1709</v>
      </c>
      <c r="R9" t="s">
        <v>1492</v>
      </c>
      <c r="S9" t="s">
        <v>1493</v>
      </c>
      <c r="T9" t="s">
        <v>1494</v>
      </c>
      <c r="U9" t="s">
        <v>1495</v>
      </c>
      <c r="V9" t="s">
        <v>1710</v>
      </c>
      <c r="W9">
        <v>603</v>
      </c>
      <c r="X9" t="s">
        <v>1711</v>
      </c>
      <c r="Y9" t="s">
        <v>1712</v>
      </c>
      <c r="Z9">
        <v>2</v>
      </c>
      <c r="AA9" t="s">
        <v>58</v>
      </c>
    </row>
    <row r="10" spans="1:27" x14ac:dyDescent="0.25">
      <c r="A10" t="s">
        <v>1485</v>
      </c>
      <c r="B10" t="s">
        <v>1486</v>
      </c>
      <c r="C10" t="s">
        <v>1728</v>
      </c>
      <c r="D10" t="s">
        <v>1729</v>
      </c>
      <c r="E10" t="s">
        <v>593</v>
      </c>
      <c r="F10" t="s">
        <v>1730</v>
      </c>
      <c r="G10">
        <v>54131</v>
      </c>
      <c r="H10">
        <v>0</v>
      </c>
      <c r="I10" t="s">
        <v>1459</v>
      </c>
      <c r="J10">
        <v>0</v>
      </c>
      <c r="K10">
        <v>1</v>
      </c>
      <c r="L10" t="s">
        <v>1487</v>
      </c>
      <c r="M10" t="s">
        <v>1488</v>
      </c>
      <c r="N10" t="s">
        <v>1489</v>
      </c>
      <c r="O10" t="s">
        <v>1520</v>
      </c>
      <c r="P10" t="s">
        <v>1491</v>
      </c>
      <c r="Q10" t="s">
        <v>1709</v>
      </c>
      <c r="R10" t="s">
        <v>1492</v>
      </c>
      <c r="S10" t="s">
        <v>1493</v>
      </c>
      <c r="T10" t="s">
        <v>1494</v>
      </c>
      <c r="U10" t="s">
        <v>1495</v>
      </c>
      <c r="V10" t="s">
        <v>1710</v>
      </c>
      <c r="W10">
        <v>603</v>
      </c>
      <c r="X10" t="s">
        <v>1711</v>
      </c>
      <c r="Y10" t="s">
        <v>1712</v>
      </c>
      <c r="Z10">
        <v>2</v>
      </c>
      <c r="AA10" t="s">
        <v>58</v>
      </c>
    </row>
    <row r="11" spans="1:27" x14ac:dyDescent="0.25">
      <c r="A11" t="s">
        <v>1485</v>
      </c>
      <c r="B11" t="s">
        <v>1486</v>
      </c>
      <c r="C11" t="s">
        <v>1731</v>
      </c>
      <c r="D11" t="s">
        <v>1732</v>
      </c>
      <c r="E11" t="s">
        <v>593</v>
      </c>
      <c r="F11" t="s">
        <v>1733</v>
      </c>
      <c r="G11">
        <v>53960</v>
      </c>
      <c r="H11">
        <v>0</v>
      </c>
      <c r="I11" t="s">
        <v>1459</v>
      </c>
      <c r="J11">
        <v>0</v>
      </c>
      <c r="K11">
        <v>1</v>
      </c>
      <c r="L11" t="s">
        <v>1487</v>
      </c>
      <c r="M11" t="s">
        <v>1488</v>
      </c>
      <c r="N11" t="s">
        <v>1489</v>
      </c>
      <c r="O11" t="s">
        <v>1506</v>
      </c>
      <c r="P11" t="s">
        <v>1491</v>
      </c>
      <c r="Q11" t="s">
        <v>1709</v>
      </c>
      <c r="R11" t="s">
        <v>1492</v>
      </c>
      <c r="S11" t="s">
        <v>1493</v>
      </c>
      <c r="T11" t="s">
        <v>1494</v>
      </c>
      <c r="U11" t="s">
        <v>1495</v>
      </c>
      <c r="V11" t="s">
        <v>1710</v>
      </c>
      <c r="W11">
        <v>603</v>
      </c>
      <c r="X11" t="s">
        <v>1711</v>
      </c>
      <c r="Y11" t="s">
        <v>1712</v>
      </c>
      <c r="Z11">
        <v>2</v>
      </c>
      <c r="AA11" t="s">
        <v>58</v>
      </c>
    </row>
    <row r="12" spans="1:27" x14ac:dyDescent="0.25">
      <c r="A12" t="s">
        <v>1485</v>
      </c>
      <c r="B12" t="s">
        <v>1486</v>
      </c>
      <c r="C12" t="s">
        <v>1734</v>
      </c>
      <c r="D12" t="s">
        <v>1735</v>
      </c>
      <c r="E12" t="s">
        <v>593</v>
      </c>
      <c r="F12" t="s">
        <v>1736</v>
      </c>
      <c r="G12">
        <v>48683</v>
      </c>
      <c r="H12">
        <v>0</v>
      </c>
      <c r="I12" t="s">
        <v>1459</v>
      </c>
      <c r="J12">
        <v>0</v>
      </c>
      <c r="K12">
        <v>1</v>
      </c>
      <c r="L12" t="s">
        <v>1487</v>
      </c>
      <c r="M12" t="s">
        <v>1488</v>
      </c>
      <c r="N12" t="s">
        <v>1489</v>
      </c>
      <c r="O12" t="s">
        <v>1545</v>
      </c>
      <c r="P12" t="s">
        <v>1491</v>
      </c>
      <c r="Q12" t="s">
        <v>1709</v>
      </c>
      <c r="R12" t="s">
        <v>1492</v>
      </c>
      <c r="S12" t="s">
        <v>1493</v>
      </c>
      <c r="T12" t="s">
        <v>1494</v>
      </c>
      <c r="U12" t="s">
        <v>1495</v>
      </c>
      <c r="V12" t="s">
        <v>1710</v>
      </c>
      <c r="W12">
        <v>603</v>
      </c>
      <c r="X12" t="s">
        <v>1711</v>
      </c>
      <c r="Y12" t="s">
        <v>1712</v>
      </c>
      <c r="Z12">
        <v>2</v>
      </c>
      <c r="AA12" t="s">
        <v>58</v>
      </c>
    </row>
    <row r="13" spans="1:27" x14ac:dyDescent="0.25">
      <c r="A13" t="s">
        <v>1485</v>
      </c>
      <c r="B13" t="s">
        <v>1486</v>
      </c>
      <c r="C13" t="s">
        <v>1737</v>
      </c>
      <c r="D13" t="s">
        <v>1738</v>
      </c>
      <c r="E13" t="s">
        <v>593</v>
      </c>
      <c r="F13" t="s">
        <v>1739</v>
      </c>
      <c r="G13">
        <v>46251</v>
      </c>
      <c r="H13">
        <v>0</v>
      </c>
      <c r="I13" t="s">
        <v>1459</v>
      </c>
      <c r="J13">
        <v>0</v>
      </c>
      <c r="K13">
        <v>1</v>
      </c>
      <c r="L13" t="s">
        <v>1487</v>
      </c>
      <c r="M13" t="s">
        <v>1488</v>
      </c>
      <c r="N13" t="s">
        <v>1489</v>
      </c>
      <c r="O13" t="s">
        <v>1591</v>
      </c>
      <c r="P13" t="s">
        <v>1491</v>
      </c>
      <c r="Q13" t="s">
        <v>1709</v>
      </c>
      <c r="R13" t="s">
        <v>1492</v>
      </c>
      <c r="S13" t="s">
        <v>1493</v>
      </c>
      <c r="T13" t="s">
        <v>1494</v>
      </c>
      <c r="U13" t="s">
        <v>1495</v>
      </c>
      <c r="V13" t="s">
        <v>1710</v>
      </c>
      <c r="W13">
        <v>603</v>
      </c>
      <c r="X13" t="s">
        <v>1711</v>
      </c>
      <c r="Y13" t="s">
        <v>1712</v>
      </c>
      <c r="Z13">
        <v>2</v>
      </c>
      <c r="AA13" t="s">
        <v>58</v>
      </c>
    </row>
    <row r="14" spans="1:27" x14ac:dyDescent="0.25">
      <c r="A14" t="s">
        <v>1485</v>
      </c>
      <c r="B14" t="s">
        <v>1486</v>
      </c>
      <c r="C14" t="s">
        <v>1740</v>
      </c>
      <c r="D14" t="s">
        <v>1741</v>
      </c>
      <c r="E14" t="s">
        <v>593</v>
      </c>
      <c r="F14" t="s">
        <v>1742</v>
      </c>
      <c r="G14">
        <v>39576</v>
      </c>
      <c r="H14">
        <v>0</v>
      </c>
      <c r="I14" t="s">
        <v>1459</v>
      </c>
      <c r="J14">
        <v>0</v>
      </c>
      <c r="K14">
        <v>1</v>
      </c>
      <c r="L14" t="s">
        <v>1487</v>
      </c>
      <c r="M14" t="s">
        <v>1488</v>
      </c>
      <c r="N14" t="s">
        <v>1489</v>
      </c>
      <c r="O14" t="s">
        <v>1565</v>
      </c>
      <c r="P14" t="s">
        <v>1491</v>
      </c>
      <c r="Q14" t="s">
        <v>1709</v>
      </c>
      <c r="R14" t="s">
        <v>1492</v>
      </c>
      <c r="S14" t="s">
        <v>1493</v>
      </c>
      <c r="T14" t="s">
        <v>1494</v>
      </c>
      <c r="U14" t="s">
        <v>1495</v>
      </c>
      <c r="V14" t="s">
        <v>1710</v>
      </c>
      <c r="W14">
        <v>603</v>
      </c>
      <c r="X14" t="s">
        <v>1711</v>
      </c>
      <c r="Y14" t="s">
        <v>1712</v>
      </c>
      <c r="Z14">
        <v>2</v>
      </c>
      <c r="AA14" t="s">
        <v>58</v>
      </c>
    </row>
    <row r="15" spans="1:27" x14ac:dyDescent="0.25">
      <c r="A15" t="s">
        <v>1485</v>
      </c>
      <c r="B15" t="s">
        <v>1486</v>
      </c>
      <c r="C15" t="s">
        <v>1743</v>
      </c>
      <c r="D15" t="s">
        <v>1744</v>
      </c>
      <c r="E15" t="s">
        <v>593</v>
      </c>
      <c r="F15" t="s">
        <v>1745</v>
      </c>
      <c r="G15">
        <v>38067</v>
      </c>
      <c r="H15">
        <v>0</v>
      </c>
      <c r="I15" t="s">
        <v>1459</v>
      </c>
      <c r="J15">
        <v>0</v>
      </c>
      <c r="K15">
        <v>1</v>
      </c>
      <c r="L15" t="s">
        <v>1487</v>
      </c>
      <c r="M15" t="s">
        <v>1488</v>
      </c>
      <c r="N15" t="s">
        <v>1489</v>
      </c>
      <c r="O15" t="s">
        <v>1519</v>
      </c>
      <c r="P15" t="s">
        <v>1491</v>
      </c>
      <c r="Q15" t="s">
        <v>1709</v>
      </c>
      <c r="R15" t="s">
        <v>1492</v>
      </c>
      <c r="S15" t="s">
        <v>1493</v>
      </c>
      <c r="T15" t="s">
        <v>1494</v>
      </c>
      <c r="U15" t="s">
        <v>1495</v>
      </c>
      <c r="V15" t="s">
        <v>1710</v>
      </c>
      <c r="W15">
        <v>603</v>
      </c>
      <c r="X15" t="s">
        <v>1711</v>
      </c>
      <c r="Y15" t="s">
        <v>1712</v>
      </c>
      <c r="Z15">
        <v>2</v>
      </c>
      <c r="AA15" t="s">
        <v>58</v>
      </c>
    </row>
    <row r="16" spans="1:27" x14ac:dyDescent="0.25">
      <c r="A16" t="s">
        <v>1485</v>
      </c>
      <c r="B16" t="s">
        <v>1486</v>
      </c>
      <c r="C16" t="s">
        <v>1746</v>
      </c>
      <c r="D16" t="s">
        <v>1747</v>
      </c>
      <c r="E16" t="s">
        <v>593</v>
      </c>
      <c r="F16" t="s">
        <v>1748</v>
      </c>
      <c r="G16">
        <v>38823</v>
      </c>
      <c r="H16">
        <v>0</v>
      </c>
      <c r="I16" t="s">
        <v>1459</v>
      </c>
      <c r="J16">
        <v>0</v>
      </c>
      <c r="K16">
        <v>1</v>
      </c>
      <c r="L16" t="s">
        <v>1487</v>
      </c>
      <c r="M16" t="s">
        <v>1488</v>
      </c>
      <c r="N16" t="s">
        <v>1489</v>
      </c>
      <c r="O16" t="s">
        <v>1501</v>
      </c>
      <c r="P16" t="s">
        <v>1491</v>
      </c>
      <c r="Q16" t="s">
        <v>1709</v>
      </c>
      <c r="R16" t="s">
        <v>1492</v>
      </c>
      <c r="S16" t="s">
        <v>1493</v>
      </c>
      <c r="T16" t="s">
        <v>1494</v>
      </c>
      <c r="U16" t="s">
        <v>1495</v>
      </c>
      <c r="V16" t="s">
        <v>1710</v>
      </c>
      <c r="W16">
        <v>603</v>
      </c>
      <c r="X16" t="s">
        <v>1711</v>
      </c>
      <c r="Y16" t="s">
        <v>1712</v>
      </c>
      <c r="Z16">
        <v>2</v>
      </c>
      <c r="AA16" t="s">
        <v>58</v>
      </c>
    </row>
    <row r="17" spans="1:27" x14ac:dyDescent="0.25">
      <c r="A17" t="s">
        <v>1485</v>
      </c>
      <c r="B17" t="s">
        <v>1486</v>
      </c>
      <c r="C17" t="s">
        <v>988</v>
      </c>
      <c r="D17" t="s">
        <v>989</v>
      </c>
      <c r="E17" t="s">
        <v>593</v>
      </c>
      <c r="F17" t="s">
        <v>990</v>
      </c>
      <c r="G17">
        <v>30826</v>
      </c>
      <c r="H17">
        <v>0</v>
      </c>
      <c r="I17" t="s">
        <v>1459</v>
      </c>
      <c r="J17">
        <v>0</v>
      </c>
      <c r="K17">
        <v>1</v>
      </c>
      <c r="L17" t="s">
        <v>1487</v>
      </c>
      <c r="M17" t="s">
        <v>1488</v>
      </c>
      <c r="N17" t="s">
        <v>1489</v>
      </c>
      <c r="O17" t="s">
        <v>1510</v>
      </c>
      <c r="P17" t="s">
        <v>1491</v>
      </c>
      <c r="Q17" t="s">
        <v>1709</v>
      </c>
      <c r="R17" t="s">
        <v>1492</v>
      </c>
      <c r="S17" t="s">
        <v>1493</v>
      </c>
      <c r="T17" t="s">
        <v>1494</v>
      </c>
      <c r="U17" t="s">
        <v>1495</v>
      </c>
      <c r="V17" t="s">
        <v>1710</v>
      </c>
      <c r="W17">
        <v>603</v>
      </c>
      <c r="X17" t="s">
        <v>1711</v>
      </c>
      <c r="Y17" t="s">
        <v>1712</v>
      </c>
      <c r="Z17">
        <v>2</v>
      </c>
      <c r="AA17" t="s">
        <v>58</v>
      </c>
    </row>
    <row r="18" spans="1:27" x14ac:dyDescent="0.25">
      <c r="A18" t="s">
        <v>1485</v>
      </c>
      <c r="B18" t="s">
        <v>1486</v>
      </c>
      <c r="C18" t="s">
        <v>1749</v>
      </c>
      <c r="D18" t="s">
        <v>1750</v>
      </c>
      <c r="E18" t="s">
        <v>593</v>
      </c>
      <c r="F18" t="s">
        <v>1751</v>
      </c>
      <c r="G18">
        <v>34288</v>
      </c>
      <c r="H18">
        <v>0</v>
      </c>
      <c r="I18" t="s">
        <v>1459</v>
      </c>
      <c r="J18">
        <v>0</v>
      </c>
      <c r="K18">
        <v>1</v>
      </c>
      <c r="L18" t="s">
        <v>1487</v>
      </c>
      <c r="M18" t="s">
        <v>1488</v>
      </c>
      <c r="N18" t="s">
        <v>1489</v>
      </c>
      <c r="O18" t="s">
        <v>1596</v>
      </c>
      <c r="P18" t="s">
        <v>1491</v>
      </c>
      <c r="Q18" t="s">
        <v>1709</v>
      </c>
      <c r="R18" t="s">
        <v>1492</v>
      </c>
      <c r="S18" t="s">
        <v>1493</v>
      </c>
      <c r="T18" t="s">
        <v>1494</v>
      </c>
      <c r="U18" t="s">
        <v>1495</v>
      </c>
      <c r="V18" t="s">
        <v>1710</v>
      </c>
      <c r="W18">
        <v>603</v>
      </c>
      <c r="X18" t="s">
        <v>1711</v>
      </c>
      <c r="Y18" t="s">
        <v>1712</v>
      </c>
      <c r="Z18">
        <v>2</v>
      </c>
      <c r="AA18" t="s">
        <v>58</v>
      </c>
    </row>
    <row r="19" spans="1:27" x14ac:dyDescent="0.25">
      <c r="A19" t="s">
        <v>1485</v>
      </c>
      <c r="B19" t="s">
        <v>1486</v>
      </c>
      <c r="C19" t="s">
        <v>1752</v>
      </c>
      <c r="D19" t="s">
        <v>1753</v>
      </c>
      <c r="E19" t="s">
        <v>593</v>
      </c>
      <c r="F19" t="s">
        <v>1754</v>
      </c>
      <c r="G19">
        <v>33521</v>
      </c>
      <c r="H19">
        <v>0</v>
      </c>
      <c r="I19" t="s">
        <v>1459</v>
      </c>
      <c r="J19">
        <v>0</v>
      </c>
      <c r="K19">
        <v>1</v>
      </c>
      <c r="L19" t="s">
        <v>1487</v>
      </c>
      <c r="M19" t="s">
        <v>1488</v>
      </c>
      <c r="N19" t="s">
        <v>1489</v>
      </c>
      <c r="O19" t="s">
        <v>1500</v>
      </c>
      <c r="P19" t="s">
        <v>1491</v>
      </c>
      <c r="Q19" t="s">
        <v>1709</v>
      </c>
      <c r="R19" t="s">
        <v>1492</v>
      </c>
      <c r="S19" t="s">
        <v>1493</v>
      </c>
      <c r="T19" t="s">
        <v>1494</v>
      </c>
      <c r="U19" t="s">
        <v>1495</v>
      </c>
      <c r="V19" t="s">
        <v>1710</v>
      </c>
      <c r="W19">
        <v>603</v>
      </c>
      <c r="X19" t="s">
        <v>1711</v>
      </c>
      <c r="Y19" t="s">
        <v>1712</v>
      </c>
      <c r="Z19">
        <v>2</v>
      </c>
      <c r="AA19" t="s">
        <v>58</v>
      </c>
    </row>
    <row r="20" spans="1:27" x14ac:dyDescent="0.25">
      <c r="A20" t="s">
        <v>1485</v>
      </c>
      <c r="B20" t="s">
        <v>1486</v>
      </c>
      <c r="C20" t="s">
        <v>1755</v>
      </c>
      <c r="D20" t="s">
        <v>1756</v>
      </c>
      <c r="E20" t="s">
        <v>593</v>
      </c>
      <c r="F20" t="s">
        <v>1757</v>
      </c>
      <c r="G20">
        <v>26989</v>
      </c>
      <c r="H20">
        <v>0</v>
      </c>
      <c r="I20" t="s">
        <v>1459</v>
      </c>
      <c r="J20">
        <v>0</v>
      </c>
      <c r="K20">
        <v>1</v>
      </c>
      <c r="L20" t="s">
        <v>1487</v>
      </c>
      <c r="M20" t="s">
        <v>1488</v>
      </c>
      <c r="N20" t="s">
        <v>1489</v>
      </c>
      <c r="O20" t="s">
        <v>1561</v>
      </c>
      <c r="P20" t="s">
        <v>1491</v>
      </c>
      <c r="Q20" t="s">
        <v>1709</v>
      </c>
      <c r="R20" t="s">
        <v>1492</v>
      </c>
      <c r="S20" t="s">
        <v>1493</v>
      </c>
      <c r="T20" t="s">
        <v>1494</v>
      </c>
      <c r="U20" t="s">
        <v>1495</v>
      </c>
      <c r="V20" t="s">
        <v>1710</v>
      </c>
      <c r="W20">
        <v>603</v>
      </c>
      <c r="X20" t="s">
        <v>1711</v>
      </c>
      <c r="Y20" t="s">
        <v>1712</v>
      </c>
      <c r="Z20">
        <v>2</v>
      </c>
      <c r="AA20" t="s">
        <v>58</v>
      </c>
    </row>
    <row r="21" spans="1:27" x14ac:dyDescent="0.25">
      <c r="A21" t="s">
        <v>1485</v>
      </c>
      <c r="B21" t="s">
        <v>1486</v>
      </c>
      <c r="C21" t="s">
        <v>1758</v>
      </c>
      <c r="D21" t="s">
        <v>1759</v>
      </c>
      <c r="E21" t="s">
        <v>593</v>
      </c>
      <c r="F21" t="s">
        <v>1760</v>
      </c>
      <c r="G21">
        <v>25895</v>
      </c>
      <c r="H21">
        <v>0</v>
      </c>
      <c r="I21" t="s">
        <v>1459</v>
      </c>
      <c r="J21">
        <v>0</v>
      </c>
      <c r="K21">
        <v>1</v>
      </c>
      <c r="L21" t="s">
        <v>1487</v>
      </c>
      <c r="M21" t="s">
        <v>1488</v>
      </c>
      <c r="N21" t="s">
        <v>1489</v>
      </c>
      <c r="O21" t="s">
        <v>1554</v>
      </c>
      <c r="P21" t="s">
        <v>1491</v>
      </c>
      <c r="Q21" t="s">
        <v>1709</v>
      </c>
      <c r="R21" t="s">
        <v>1492</v>
      </c>
      <c r="S21" t="s">
        <v>1493</v>
      </c>
      <c r="T21" t="s">
        <v>1494</v>
      </c>
      <c r="U21" t="s">
        <v>1495</v>
      </c>
      <c r="V21" t="s">
        <v>1710</v>
      </c>
      <c r="W21">
        <v>603</v>
      </c>
      <c r="X21" t="s">
        <v>1711</v>
      </c>
      <c r="Y21" t="s">
        <v>1712</v>
      </c>
      <c r="Z21">
        <v>2</v>
      </c>
      <c r="AA21" t="s">
        <v>58</v>
      </c>
    </row>
    <row r="22" spans="1:27" x14ac:dyDescent="0.25">
      <c r="A22" t="s">
        <v>1485</v>
      </c>
      <c r="B22" t="s">
        <v>1486</v>
      </c>
      <c r="C22" t="s">
        <v>1761</v>
      </c>
      <c r="D22" t="s">
        <v>1762</v>
      </c>
      <c r="E22" t="s">
        <v>593</v>
      </c>
      <c r="F22" t="s">
        <v>1763</v>
      </c>
      <c r="G22">
        <v>21891</v>
      </c>
      <c r="H22">
        <v>0</v>
      </c>
      <c r="I22" t="s">
        <v>1459</v>
      </c>
      <c r="J22">
        <v>0</v>
      </c>
      <c r="K22">
        <v>1</v>
      </c>
      <c r="L22" t="s">
        <v>1487</v>
      </c>
      <c r="M22" t="s">
        <v>1488</v>
      </c>
      <c r="N22" t="s">
        <v>1489</v>
      </c>
      <c r="O22" t="s">
        <v>1627</v>
      </c>
      <c r="P22" t="s">
        <v>1491</v>
      </c>
      <c r="Q22" t="s">
        <v>1709</v>
      </c>
      <c r="R22" t="s">
        <v>1492</v>
      </c>
      <c r="S22" t="s">
        <v>1493</v>
      </c>
      <c r="T22" t="s">
        <v>1494</v>
      </c>
      <c r="U22" t="s">
        <v>1495</v>
      </c>
      <c r="V22" t="s">
        <v>1710</v>
      </c>
      <c r="W22">
        <v>603</v>
      </c>
      <c r="X22" t="s">
        <v>1711</v>
      </c>
      <c r="Y22" t="s">
        <v>1712</v>
      </c>
      <c r="Z22">
        <v>2</v>
      </c>
      <c r="AA22" t="s">
        <v>58</v>
      </c>
    </row>
    <row r="23" spans="1:27" x14ac:dyDescent="0.25">
      <c r="A23" t="s">
        <v>1485</v>
      </c>
      <c r="B23" t="s">
        <v>1486</v>
      </c>
      <c r="C23" t="s">
        <v>991</v>
      </c>
      <c r="D23" t="s">
        <v>992</v>
      </c>
      <c r="E23" t="s">
        <v>593</v>
      </c>
      <c r="F23" t="s">
        <v>993</v>
      </c>
      <c r="G23">
        <v>24696</v>
      </c>
      <c r="H23">
        <v>0</v>
      </c>
      <c r="I23" t="s">
        <v>1459</v>
      </c>
      <c r="J23">
        <v>0</v>
      </c>
      <c r="K23">
        <v>1</v>
      </c>
      <c r="L23" t="s">
        <v>1487</v>
      </c>
      <c r="M23" t="s">
        <v>1488</v>
      </c>
      <c r="N23" t="s">
        <v>1489</v>
      </c>
      <c r="O23" t="s">
        <v>1517</v>
      </c>
      <c r="P23" t="s">
        <v>1491</v>
      </c>
      <c r="Q23" t="s">
        <v>1709</v>
      </c>
      <c r="R23" t="s">
        <v>1492</v>
      </c>
      <c r="S23" t="s">
        <v>1493</v>
      </c>
      <c r="T23" t="s">
        <v>1494</v>
      </c>
      <c r="U23" t="s">
        <v>1495</v>
      </c>
      <c r="V23" t="s">
        <v>1710</v>
      </c>
      <c r="W23">
        <v>603</v>
      </c>
      <c r="X23" t="s">
        <v>1711</v>
      </c>
      <c r="Y23" t="s">
        <v>1712</v>
      </c>
      <c r="Z23">
        <v>2</v>
      </c>
      <c r="AA23" t="s">
        <v>58</v>
      </c>
    </row>
    <row r="24" spans="1:27" x14ac:dyDescent="0.25">
      <c r="A24" t="s">
        <v>1485</v>
      </c>
      <c r="B24" t="s">
        <v>1486</v>
      </c>
      <c r="C24" t="s">
        <v>1764</v>
      </c>
      <c r="D24" t="s">
        <v>1765</v>
      </c>
      <c r="E24" t="s">
        <v>593</v>
      </c>
      <c r="F24" t="s">
        <v>1766</v>
      </c>
      <c r="G24">
        <v>22659</v>
      </c>
      <c r="H24">
        <v>0</v>
      </c>
      <c r="I24" t="s">
        <v>1459</v>
      </c>
      <c r="J24">
        <v>0</v>
      </c>
      <c r="K24">
        <v>1</v>
      </c>
      <c r="L24" t="s">
        <v>1487</v>
      </c>
      <c r="M24" t="s">
        <v>1488</v>
      </c>
      <c r="N24" t="s">
        <v>1489</v>
      </c>
      <c r="O24" t="s">
        <v>1548</v>
      </c>
      <c r="P24" t="s">
        <v>1491</v>
      </c>
      <c r="Q24" t="s">
        <v>1709</v>
      </c>
      <c r="R24" t="s">
        <v>1492</v>
      </c>
      <c r="S24" t="s">
        <v>1493</v>
      </c>
      <c r="T24" t="s">
        <v>1494</v>
      </c>
      <c r="U24" t="s">
        <v>1495</v>
      </c>
      <c r="V24" t="s">
        <v>1710</v>
      </c>
      <c r="W24">
        <v>603</v>
      </c>
      <c r="X24" t="s">
        <v>1711</v>
      </c>
      <c r="Y24" t="s">
        <v>1712</v>
      </c>
      <c r="Z24">
        <v>2</v>
      </c>
      <c r="AA24" t="s">
        <v>58</v>
      </c>
    </row>
    <row r="25" spans="1:27" x14ac:dyDescent="0.25">
      <c r="A25" t="s">
        <v>1485</v>
      </c>
      <c r="B25" t="s">
        <v>1486</v>
      </c>
      <c r="C25" t="s">
        <v>1767</v>
      </c>
      <c r="D25" t="s">
        <v>1768</v>
      </c>
      <c r="E25" t="s">
        <v>593</v>
      </c>
      <c r="F25" t="s">
        <v>1769</v>
      </c>
      <c r="G25">
        <v>20369</v>
      </c>
      <c r="H25">
        <v>0</v>
      </c>
      <c r="I25" t="s">
        <v>1459</v>
      </c>
      <c r="J25">
        <v>0</v>
      </c>
      <c r="K25">
        <v>1</v>
      </c>
      <c r="L25" t="s">
        <v>1487</v>
      </c>
      <c r="M25" t="s">
        <v>1488</v>
      </c>
      <c r="N25" t="s">
        <v>1489</v>
      </c>
      <c r="O25" t="s">
        <v>1509</v>
      </c>
      <c r="P25" t="s">
        <v>1491</v>
      </c>
      <c r="Q25" t="s">
        <v>1709</v>
      </c>
      <c r="R25" t="s">
        <v>1492</v>
      </c>
      <c r="S25" t="s">
        <v>1493</v>
      </c>
      <c r="T25" t="s">
        <v>1494</v>
      </c>
      <c r="U25" t="s">
        <v>1495</v>
      </c>
      <c r="V25" t="s">
        <v>1710</v>
      </c>
      <c r="W25">
        <v>603</v>
      </c>
      <c r="X25" t="s">
        <v>1711</v>
      </c>
      <c r="Y25" t="s">
        <v>1712</v>
      </c>
      <c r="Z25">
        <v>2</v>
      </c>
      <c r="AA25" t="s">
        <v>58</v>
      </c>
    </row>
    <row r="26" spans="1:27" x14ac:dyDescent="0.25">
      <c r="A26" t="s">
        <v>1485</v>
      </c>
      <c r="B26" t="s">
        <v>1486</v>
      </c>
      <c r="C26" t="s">
        <v>1770</v>
      </c>
      <c r="D26" t="s">
        <v>1771</v>
      </c>
      <c r="E26" t="s">
        <v>593</v>
      </c>
      <c r="F26" t="s">
        <v>1772</v>
      </c>
      <c r="G26">
        <v>15504</v>
      </c>
      <c r="H26">
        <v>0</v>
      </c>
      <c r="I26" t="s">
        <v>1459</v>
      </c>
      <c r="J26">
        <v>0</v>
      </c>
      <c r="K26">
        <v>1</v>
      </c>
      <c r="L26" t="s">
        <v>1487</v>
      </c>
      <c r="M26" t="s">
        <v>1488</v>
      </c>
      <c r="N26" t="s">
        <v>1489</v>
      </c>
      <c r="O26" t="s">
        <v>1539</v>
      </c>
      <c r="P26" t="s">
        <v>1491</v>
      </c>
      <c r="Q26" t="s">
        <v>1709</v>
      </c>
      <c r="R26" t="s">
        <v>1492</v>
      </c>
      <c r="S26" t="s">
        <v>1493</v>
      </c>
      <c r="T26" t="s">
        <v>1494</v>
      </c>
      <c r="U26" t="s">
        <v>1495</v>
      </c>
      <c r="V26" t="s">
        <v>1710</v>
      </c>
      <c r="W26">
        <v>603</v>
      </c>
      <c r="X26" t="s">
        <v>1711</v>
      </c>
      <c r="Y26" t="s">
        <v>1712</v>
      </c>
      <c r="Z26">
        <v>2</v>
      </c>
      <c r="AA26" t="s">
        <v>58</v>
      </c>
    </row>
    <row r="27" spans="1:27" x14ac:dyDescent="0.25">
      <c r="A27" t="s">
        <v>1485</v>
      </c>
      <c r="B27" t="s">
        <v>1486</v>
      </c>
      <c r="C27" t="s">
        <v>985</v>
      </c>
      <c r="D27" t="s">
        <v>986</v>
      </c>
      <c r="E27" t="s">
        <v>593</v>
      </c>
      <c r="F27" t="s">
        <v>987</v>
      </c>
      <c r="G27">
        <v>19509</v>
      </c>
      <c r="H27">
        <v>0</v>
      </c>
      <c r="I27" t="s">
        <v>1459</v>
      </c>
      <c r="J27">
        <v>0</v>
      </c>
      <c r="K27">
        <v>1</v>
      </c>
      <c r="L27" t="s">
        <v>1487</v>
      </c>
      <c r="M27" t="s">
        <v>1488</v>
      </c>
      <c r="N27" t="s">
        <v>1489</v>
      </c>
      <c r="O27" t="s">
        <v>1507</v>
      </c>
      <c r="P27" t="s">
        <v>1491</v>
      </c>
      <c r="Q27" t="s">
        <v>1709</v>
      </c>
      <c r="R27" t="s">
        <v>1492</v>
      </c>
      <c r="S27" t="s">
        <v>1493</v>
      </c>
      <c r="T27" t="s">
        <v>1494</v>
      </c>
      <c r="U27" t="s">
        <v>1495</v>
      </c>
      <c r="V27" t="s">
        <v>1710</v>
      </c>
      <c r="W27">
        <v>603</v>
      </c>
      <c r="X27" t="s">
        <v>1711</v>
      </c>
      <c r="Y27" t="s">
        <v>1712</v>
      </c>
      <c r="Z27">
        <v>2</v>
      </c>
      <c r="AA27" t="s">
        <v>58</v>
      </c>
    </row>
    <row r="28" spans="1:27" x14ac:dyDescent="0.25">
      <c r="A28" t="s">
        <v>1485</v>
      </c>
      <c r="B28" t="s">
        <v>1486</v>
      </c>
      <c r="C28" t="s">
        <v>1773</v>
      </c>
      <c r="D28" t="s">
        <v>1774</v>
      </c>
      <c r="E28" t="s">
        <v>593</v>
      </c>
      <c r="F28" t="s">
        <v>1775</v>
      </c>
      <c r="G28">
        <v>18270</v>
      </c>
      <c r="H28">
        <v>0</v>
      </c>
      <c r="I28" t="s">
        <v>1459</v>
      </c>
      <c r="J28">
        <v>0</v>
      </c>
      <c r="K28">
        <v>1</v>
      </c>
      <c r="L28" t="s">
        <v>1487</v>
      </c>
      <c r="M28" t="s">
        <v>1488</v>
      </c>
      <c r="N28" t="s">
        <v>1489</v>
      </c>
      <c r="O28" t="s">
        <v>1531</v>
      </c>
      <c r="P28" t="s">
        <v>1491</v>
      </c>
      <c r="Q28" t="s">
        <v>1709</v>
      </c>
      <c r="R28" t="s">
        <v>1492</v>
      </c>
      <c r="S28" t="s">
        <v>1493</v>
      </c>
      <c r="T28" t="s">
        <v>1494</v>
      </c>
      <c r="U28" t="s">
        <v>1495</v>
      </c>
      <c r="V28" t="s">
        <v>1710</v>
      </c>
      <c r="W28">
        <v>603</v>
      </c>
      <c r="X28" t="s">
        <v>1711</v>
      </c>
      <c r="Y28" t="s">
        <v>1712</v>
      </c>
      <c r="Z28">
        <v>2</v>
      </c>
      <c r="AA28" t="s">
        <v>58</v>
      </c>
    </row>
    <row r="29" spans="1:27" x14ac:dyDescent="0.25">
      <c r="A29" t="s">
        <v>1485</v>
      </c>
      <c r="B29" t="s">
        <v>1486</v>
      </c>
      <c r="C29" t="s">
        <v>1776</v>
      </c>
      <c r="D29" t="s">
        <v>1777</v>
      </c>
      <c r="E29" t="s">
        <v>593</v>
      </c>
      <c r="F29" t="s">
        <v>1778</v>
      </c>
      <c r="G29">
        <v>16725</v>
      </c>
      <c r="H29">
        <v>0</v>
      </c>
      <c r="I29" t="s">
        <v>1459</v>
      </c>
      <c r="J29">
        <v>0</v>
      </c>
      <c r="K29">
        <v>1</v>
      </c>
      <c r="L29" t="s">
        <v>1487</v>
      </c>
      <c r="M29" t="s">
        <v>1488</v>
      </c>
      <c r="N29" t="s">
        <v>1489</v>
      </c>
      <c r="O29" t="s">
        <v>1537</v>
      </c>
      <c r="P29" t="s">
        <v>1491</v>
      </c>
      <c r="Q29" t="s">
        <v>1709</v>
      </c>
      <c r="R29" t="s">
        <v>1492</v>
      </c>
      <c r="S29" t="s">
        <v>1493</v>
      </c>
      <c r="T29" t="s">
        <v>1494</v>
      </c>
      <c r="U29" t="s">
        <v>1495</v>
      </c>
      <c r="V29" t="s">
        <v>1710</v>
      </c>
      <c r="W29">
        <v>603</v>
      </c>
      <c r="X29" t="s">
        <v>1711</v>
      </c>
      <c r="Y29" t="s">
        <v>1712</v>
      </c>
      <c r="Z29">
        <v>2</v>
      </c>
      <c r="AA29" t="s">
        <v>58</v>
      </c>
    </row>
    <row r="30" spans="1:27" x14ac:dyDescent="0.25">
      <c r="A30" t="s">
        <v>1485</v>
      </c>
      <c r="B30" t="s">
        <v>1486</v>
      </c>
      <c r="C30" t="s">
        <v>1779</v>
      </c>
      <c r="D30" t="s">
        <v>1780</v>
      </c>
      <c r="E30" t="s">
        <v>593</v>
      </c>
      <c r="F30" t="s">
        <v>1781</v>
      </c>
      <c r="G30">
        <v>17351</v>
      </c>
      <c r="H30">
        <v>0</v>
      </c>
      <c r="I30" t="s">
        <v>1459</v>
      </c>
      <c r="J30">
        <v>0</v>
      </c>
      <c r="K30">
        <v>1</v>
      </c>
      <c r="L30" t="s">
        <v>1487</v>
      </c>
      <c r="M30" t="s">
        <v>1488</v>
      </c>
      <c r="N30" t="s">
        <v>1489</v>
      </c>
      <c r="O30" t="s">
        <v>1512</v>
      </c>
      <c r="P30" t="s">
        <v>1491</v>
      </c>
      <c r="Q30" t="s">
        <v>1709</v>
      </c>
      <c r="R30" t="s">
        <v>1492</v>
      </c>
      <c r="S30" t="s">
        <v>1493</v>
      </c>
      <c r="T30" t="s">
        <v>1494</v>
      </c>
      <c r="U30" t="s">
        <v>1495</v>
      </c>
      <c r="V30" t="s">
        <v>1710</v>
      </c>
      <c r="W30">
        <v>603</v>
      </c>
      <c r="X30" t="s">
        <v>1711</v>
      </c>
      <c r="Y30" t="s">
        <v>1712</v>
      </c>
      <c r="Z30">
        <v>2</v>
      </c>
      <c r="AA30" t="s">
        <v>58</v>
      </c>
    </row>
    <row r="31" spans="1:27" x14ac:dyDescent="0.25">
      <c r="A31" t="s">
        <v>1485</v>
      </c>
      <c r="B31" t="s">
        <v>1486</v>
      </c>
      <c r="C31" t="s">
        <v>1782</v>
      </c>
      <c r="D31" t="s">
        <v>1783</v>
      </c>
      <c r="E31" t="s">
        <v>593</v>
      </c>
      <c r="F31" t="s">
        <v>1784</v>
      </c>
      <c r="G31">
        <v>16484</v>
      </c>
      <c r="H31">
        <v>0</v>
      </c>
      <c r="I31" t="s">
        <v>1459</v>
      </c>
      <c r="J31">
        <v>0</v>
      </c>
      <c r="K31">
        <v>1</v>
      </c>
      <c r="L31" t="s">
        <v>1487</v>
      </c>
      <c r="M31" t="s">
        <v>1488</v>
      </c>
      <c r="N31" t="s">
        <v>1489</v>
      </c>
      <c r="O31" t="s">
        <v>1609</v>
      </c>
      <c r="P31" t="s">
        <v>1491</v>
      </c>
      <c r="Q31" t="s">
        <v>1709</v>
      </c>
      <c r="R31" t="s">
        <v>1492</v>
      </c>
      <c r="S31" t="s">
        <v>1493</v>
      </c>
      <c r="T31" t="s">
        <v>1494</v>
      </c>
      <c r="U31" t="s">
        <v>1495</v>
      </c>
      <c r="V31" t="s">
        <v>1710</v>
      </c>
      <c r="W31">
        <v>603</v>
      </c>
      <c r="X31" t="s">
        <v>1711</v>
      </c>
      <c r="Y31" t="s">
        <v>1712</v>
      </c>
      <c r="Z31">
        <v>2</v>
      </c>
      <c r="AA31" t="s">
        <v>58</v>
      </c>
    </row>
    <row r="32" spans="1:27" x14ac:dyDescent="0.25">
      <c r="A32" t="s">
        <v>1485</v>
      </c>
      <c r="B32" t="s">
        <v>1486</v>
      </c>
      <c r="C32" t="s">
        <v>1785</v>
      </c>
      <c r="D32" t="s">
        <v>1786</v>
      </c>
      <c r="E32" t="s">
        <v>593</v>
      </c>
      <c r="F32" t="s">
        <v>1787</v>
      </c>
      <c r="G32">
        <v>17201</v>
      </c>
      <c r="H32">
        <v>0</v>
      </c>
      <c r="I32" t="s">
        <v>1459</v>
      </c>
      <c r="J32">
        <v>0</v>
      </c>
      <c r="K32">
        <v>1</v>
      </c>
      <c r="L32" t="s">
        <v>1487</v>
      </c>
      <c r="M32" t="s">
        <v>1488</v>
      </c>
      <c r="N32" t="s">
        <v>1489</v>
      </c>
      <c r="O32" t="s">
        <v>1788</v>
      </c>
      <c r="P32" t="s">
        <v>1491</v>
      </c>
      <c r="Q32" t="s">
        <v>1709</v>
      </c>
      <c r="R32" t="s">
        <v>1492</v>
      </c>
      <c r="S32" t="s">
        <v>1493</v>
      </c>
      <c r="T32" t="s">
        <v>1494</v>
      </c>
      <c r="U32" t="s">
        <v>1495</v>
      </c>
      <c r="V32" t="s">
        <v>1710</v>
      </c>
      <c r="W32">
        <v>603</v>
      </c>
      <c r="X32" t="s">
        <v>1711</v>
      </c>
      <c r="Y32" t="s">
        <v>1712</v>
      </c>
      <c r="Z32">
        <v>2</v>
      </c>
      <c r="AA32" t="s">
        <v>58</v>
      </c>
    </row>
    <row r="33" spans="1:27" x14ac:dyDescent="0.25">
      <c r="A33" t="s">
        <v>1485</v>
      </c>
      <c r="B33" t="s">
        <v>1486</v>
      </c>
      <c r="C33" t="s">
        <v>1000</v>
      </c>
      <c r="D33" t="s">
        <v>1001</v>
      </c>
      <c r="E33" t="s">
        <v>593</v>
      </c>
      <c r="F33" t="s">
        <v>1002</v>
      </c>
      <c r="G33">
        <v>45213</v>
      </c>
      <c r="H33">
        <v>0</v>
      </c>
      <c r="I33" t="s">
        <v>1459</v>
      </c>
      <c r="J33">
        <v>0</v>
      </c>
      <c r="K33">
        <v>1</v>
      </c>
      <c r="L33" t="s">
        <v>1487</v>
      </c>
      <c r="M33" t="s">
        <v>1488</v>
      </c>
      <c r="N33" t="s">
        <v>1489</v>
      </c>
      <c r="O33" t="s">
        <v>1527</v>
      </c>
      <c r="P33" t="s">
        <v>1491</v>
      </c>
      <c r="Q33" t="s">
        <v>1709</v>
      </c>
      <c r="R33" t="s">
        <v>1492</v>
      </c>
      <c r="S33" t="s">
        <v>1493</v>
      </c>
      <c r="T33" t="s">
        <v>1494</v>
      </c>
      <c r="U33" t="s">
        <v>1495</v>
      </c>
      <c r="V33" t="s">
        <v>1710</v>
      </c>
      <c r="W33">
        <v>603</v>
      </c>
      <c r="X33" t="s">
        <v>1711</v>
      </c>
      <c r="Y33" t="s">
        <v>1712</v>
      </c>
      <c r="Z33">
        <v>2</v>
      </c>
      <c r="AA33" t="s">
        <v>58</v>
      </c>
    </row>
    <row r="34" spans="1:27" x14ac:dyDescent="0.25">
      <c r="A34" t="s">
        <v>1485</v>
      </c>
      <c r="B34" t="s">
        <v>1486</v>
      </c>
      <c r="C34" t="s">
        <v>1789</v>
      </c>
      <c r="D34" t="s">
        <v>1790</v>
      </c>
      <c r="E34" t="s">
        <v>593</v>
      </c>
      <c r="F34" t="s">
        <v>1791</v>
      </c>
      <c r="G34">
        <v>23673</v>
      </c>
      <c r="H34">
        <v>0</v>
      </c>
      <c r="I34" t="s">
        <v>1459</v>
      </c>
      <c r="J34">
        <v>0</v>
      </c>
      <c r="K34">
        <v>1</v>
      </c>
      <c r="L34" t="s">
        <v>1487</v>
      </c>
      <c r="M34" t="s">
        <v>1488</v>
      </c>
      <c r="N34" t="s">
        <v>1489</v>
      </c>
      <c r="O34" t="s">
        <v>1792</v>
      </c>
      <c r="P34" t="s">
        <v>1491</v>
      </c>
      <c r="Q34" t="s">
        <v>1709</v>
      </c>
      <c r="R34" t="s">
        <v>1492</v>
      </c>
      <c r="S34" t="s">
        <v>1493</v>
      </c>
      <c r="T34" t="s">
        <v>1494</v>
      </c>
      <c r="U34" t="s">
        <v>1495</v>
      </c>
      <c r="V34" t="s">
        <v>1710</v>
      </c>
      <c r="W34">
        <v>603</v>
      </c>
      <c r="X34" t="s">
        <v>1711</v>
      </c>
      <c r="Y34" t="s">
        <v>1712</v>
      </c>
      <c r="Z34">
        <v>2</v>
      </c>
      <c r="AA34" t="s">
        <v>58</v>
      </c>
    </row>
    <row r="35" spans="1:27" x14ac:dyDescent="0.25">
      <c r="A35" t="s">
        <v>1485</v>
      </c>
      <c r="B35" t="s">
        <v>1486</v>
      </c>
      <c r="C35" t="s">
        <v>1793</v>
      </c>
      <c r="D35" t="s">
        <v>1794</v>
      </c>
      <c r="E35" t="s">
        <v>593</v>
      </c>
      <c r="F35" t="s">
        <v>1795</v>
      </c>
      <c r="G35">
        <v>17699</v>
      </c>
      <c r="H35">
        <v>0</v>
      </c>
      <c r="I35" t="s">
        <v>1459</v>
      </c>
      <c r="J35">
        <v>0</v>
      </c>
      <c r="K35">
        <v>1</v>
      </c>
      <c r="L35" t="s">
        <v>1487</v>
      </c>
      <c r="M35" t="s">
        <v>1488</v>
      </c>
      <c r="N35" t="s">
        <v>1489</v>
      </c>
      <c r="O35" t="s">
        <v>1504</v>
      </c>
      <c r="P35" t="s">
        <v>1491</v>
      </c>
      <c r="Q35" t="s">
        <v>1709</v>
      </c>
      <c r="R35" t="s">
        <v>1492</v>
      </c>
      <c r="S35" t="s">
        <v>1493</v>
      </c>
      <c r="T35" t="s">
        <v>1494</v>
      </c>
      <c r="U35" t="s">
        <v>1495</v>
      </c>
      <c r="V35" t="s">
        <v>1710</v>
      </c>
      <c r="W35">
        <v>603</v>
      </c>
      <c r="X35" t="s">
        <v>1711</v>
      </c>
      <c r="Y35" t="s">
        <v>1712</v>
      </c>
      <c r="Z35">
        <v>2</v>
      </c>
      <c r="AA35" t="s">
        <v>58</v>
      </c>
    </row>
    <row r="36" spans="1:27" x14ac:dyDescent="0.25">
      <c r="A36" t="s">
        <v>1485</v>
      </c>
      <c r="B36" t="s">
        <v>1486</v>
      </c>
      <c r="C36" t="s">
        <v>1796</v>
      </c>
      <c r="D36" t="s">
        <v>1797</v>
      </c>
      <c r="E36" t="s">
        <v>593</v>
      </c>
      <c r="F36" t="s">
        <v>1798</v>
      </c>
      <c r="G36">
        <v>14685</v>
      </c>
      <c r="H36">
        <v>0</v>
      </c>
      <c r="I36" t="s">
        <v>1459</v>
      </c>
      <c r="J36">
        <v>0</v>
      </c>
      <c r="K36">
        <v>1</v>
      </c>
      <c r="L36" t="s">
        <v>1487</v>
      </c>
      <c r="M36" t="s">
        <v>1488</v>
      </c>
      <c r="N36" t="s">
        <v>1489</v>
      </c>
      <c r="O36" t="s">
        <v>1595</v>
      </c>
      <c r="P36" t="s">
        <v>1491</v>
      </c>
      <c r="Q36" t="s">
        <v>1709</v>
      </c>
      <c r="R36" t="s">
        <v>1492</v>
      </c>
      <c r="S36" t="s">
        <v>1493</v>
      </c>
      <c r="T36" t="s">
        <v>1494</v>
      </c>
      <c r="U36" t="s">
        <v>1495</v>
      </c>
      <c r="V36" t="s">
        <v>1710</v>
      </c>
      <c r="W36">
        <v>603</v>
      </c>
      <c r="X36" t="s">
        <v>1711</v>
      </c>
      <c r="Y36" t="s">
        <v>1712</v>
      </c>
      <c r="Z36">
        <v>2</v>
      </c>
      <c r="AA36" t="s">
        <v>58</v>
      </c>
    </row>
    <row r="37" spans="1:27" x14ac:dyDescent="0.25">
      <c r="A37" t="s">
        <v>1485</v>
      </c>
      <c r="B37" t="s">
        <v>1486</v>
      </c>
      <c r="C37" t="s">
        <v>1799</v>
      </c>
      <c r="D37" t="s">
        <v>1800</v>
      </c>
      <c r="E37" t="s">
        <v>593</v>
      </c>
      <c r="F37" t="s">
        <v>1801</v>
      </c>
      <c r="G37">
        <v>14093</v>
      </c>
      <c r="H37">
        <v>0</v>
      </c>
      <c r="I37" t="s">
        <v>1459</v>
      </c>
      <c r="J37">
        <v>0</v>
      </c>
      <c r="K37">
        <v>1</v>
      </c>
      <c r="L37" t="s">
        <v>1487</v>
      </c>
      <c r="M37" t="s">
        <v>1488</v>
      </c>
      <c r="N37" t="s">
        <v>1489</v>
      </c>
      <c r="O37" t="s">
        <v>1538</v>
      </c>
      <c r="P37" t="s">
        <v>1491</v>
      </c>
      <c r="Q37" t="s">
        <v>1709</v>
      </c>
      <c r="R37" t="s">
        <v>1492</v>
      </c>
      <c r="S37" t="s">
        <v>1493</v>
      </c>
      <c r="T37" t="s">
        <v>1494</v>
      </c>
      <c r="U37" t="s">
        <v>1495</v>
      </c>
      <c r="V37" t="s">
        <v>1710</v>
      </c>
      <c r="W37">
        <v>603</v>
      </c>
      <c r="X37" t="s">
        <v>1711</v>
      </c>
      <c r="Y37" t="s">
        <v>1712</v>
      </c>
      <c r="Z37">
        <v>2</v>
      </c>
      <c r="AA37" t="s">
        <v>58</v>
      </c>
    </row>
    <row r="38" spans="1:27" x14ac:dyDescent="0.25">
      <c r="A38" t="s">
        <v>1485</v>
      </c>
      <c r="B38" t="s">
        <v>1486</v>
      </c>
      <c r="C38" t="s">
        <v>1005</v>
      </c>
      <c r="D38" t="s">
        <v>1006</v>
      </c>
      <c r="E38" t="s">
        <v>593</v>
      </c>
      <c r="F38" t="s">
        <v>1007</v>
      </c>
      <c r="G38">
        <v>13858</v>
      </c>
      <c r="H38">
        <v>0</v>
      </c>
      <c r="I38" t="s">
        <v>1459</v>
      </c>
      <c r="J38">
        <v>0</v>
      </c>
      <c r="K38">
        <v>1</v>
      </c>
      <c r="L38" t="s">
        <v>1487</v>
      </c>
      <c r="M38" t="s">
        <v>1488</v>
      </c>
      <c r="N38" t="s">
        <v>1489</v>
      </c>
      <c r="O38" t="s">
        <v>1505</v>
      </c>
      <c r="P38" t="s">
        <v>1491</v>
      </c>
      <c r="Q38" t="s">
        <v>1709</v>
      </c>
      <c r="R38" t="s">
        <v>1492</v>
      </c>
      <c r="S38" t="s">
        <v>1493</v>
      </c>
      <c r="T38" t="s">
        <v>1494</v>
      </c>
      <c r="U38" t="s">
        <v>1495</v>
      </c>
      <c r="V38" t="s">
        <v>1710</v>
      </c>
      <c r="W38">
        <v>603</v>
      </c>
      <c r="X38" t="s">
        <v>1711</v>
      </c>
      <c r="Y38" t="s">
        <v>1712</v>
      </c>
      <c r="Z38">
        <v>2</v>
      </c>
      <c r="AA38" t="s">
        <v>58</v>
      </c>
    </row>
    <row r="39" spans="1:27" x14ac:dyDescent="0.25">
      <c r="A39" t="s">
        <v>1485</v>
      </c>
      <c r="B39" t="s">
        <v>1486</v>
      </c>
      <c r="C39" t="s">
        <v>1802</v>
      </c>
      <c r="D39" t="s">
        <v>1803</v>
      </c>
      <c r="E39" t="s">
        <v>593</v>
      </c>
      <c r="F39" t="s">
        <v>1804</v>
      </c>
      <c r="G39">
        <v>13525</v>
      </c>
      <c r="H39">
        <v>0</v>
      </c>
      <c r="I39" t="s">
        <v>1459</v>
      </c>
      <c r="J39">
        <v>0</v>
      </c>
      <c r="K39">
        <v>1</v>
      </c>
      <c r="L39" t="s">
        <v>1487</v>
      </c>
      <c r="M39" t="s">
        <v>1488</v>
      </c>
      <c r="N39" t="s">
        <v>1489</v>
      </c>
      <c r="O39" t="s">
        <v>1518</v>
      </c>
      <c r="P39" t="s">
        <v>1491</v>
      </c>
      <c r="Q39" t="s">
        <v>1709</v>
      </c>
      <c r="R39" t="s">
        <v>1492</v>
      </c>
      <c r="S39" t="s">
        <v>1493</v>
      </c>
      <c r="T39" t="s">
        <v>1494</v>
      </c>
      <c r="U39" t="s">
        <v>1495</v>
      </c>
      <c r="V39" t="s">
        <v>1710</v>
      </c>
      <c r="W39">
        <v>603</v>
      </c>
      <c r="X39" t="s">
        <v>1711</v>
      </c>
      <c r="Y39" t="s">
        <v>1712</v>
      </c>
      <c r="Z39">
        <v>2</v>
      </c>
      <c r="AA39" t="s">
        <v>58</v>
      </c>
    </row>
    <row r="40" spans="1:27" x14ac:dyDescent="0.25">
      <c r="A40" t="s">
        <v>1485</v>
      </c>
      <c r="B40" t="s">
        <v>1486</v>
      </c>
      <c r="C40" t="s">
        <v>1805</v>
      </c>
      <c r="D40" t="s">
        <v>1806</v>
      </c>
      <c r="E40" t="s">
        <v>593</v>
      </c>
      <c r="F40" t="s">
        <v>1807</v>
      </c>
      <c r="G40">
        <v>13249</v>
      </c>
      <c r="H40">
        <v>0</v>
      </c>
      <c r="I40" t="s">
        <v>1459</v>
      </c>
      <c r="J40">
        <v>0</v>
      </c>
      <c r="K40">
        <v>1</v>
      </c>
      <c r="L40" t="s">
        <v>1487</v>
      </c>
      <c r="M40" t="s">
        <v>1488</v>
      </c>
      <c r="N40" t="s">
        <v>1489</v>
      </c>
      <c r="O40" t="s">
        <v>1604</v>
      </c>
      <c r="P40" t="s">
        <v>1491</v>
      </c>
      <c r="Q40" t="s">
        <v>1709</v>
      </c>
      <c r="R40" t="s">
        <v>1492</v>
      </c>
      <c r="S40" t="s">
        <v>1493</v>
      </c>
      <c r="T40" t="s">
        <v>1494</v>
      </c>
      <c r="U40" t="s">
        <v>1495</v>
      </c>
      <c r="V40" t="s">
        <v>1710</v>
      </c>
      <c r="W40">
        <v>603</v>
      </c>
      <c r="X40" t="s">
        <v>1711</v>
      </c>
      <c r="Y40" t="s">
        <v>1712</v>
      </c>
      <c r="Z40">
        <v>2</v>
      </c>
      <c r="AA40" t="s">
        <v>58</v>
      </c>
    </row>
    <row r="41" spans="1:27" x14ac:dyDescent="0.25">
      <c r="A41" t="s">
        <v>1485</v>
      </c>
      <c r="B41" t="s">
        <v>1486</v>
      </c>
      <c r="C41" t="s">
        <v>1808</v>
      </c>
      <c r="D41" t="s">
        <v>1809</v>
      </c>
      <c r="E41" t="s">
        <v>593</v>
      </c>
      <c r="F41" t="s">
        <v>1810</v>
      </c>
      <c r="G41">
        <v>12936</v>
      </c>
      <c r="H41">
        <v>0</v>
      </c>
      <c r="I41" t="s">
        <v>1459</v>
      </c>
      <c r="J41">
        <v>0</v>
      </c>
      <c r="K41">
        <v>1</v>
      </c>
      <c r="L41" t="s">
        <v>1487</v>
      </c>
      <c r="M41" t="s">
        <v>1488</v>
      </c>
      <c r="N41" t="s">
        <v>1489</v>
      </c>
      <c r="O41" t="s">
        <v>1508</v>
      </c>
      <c r="P41" t="s">
        <v>1491</v>
      </c>
      <c r="Q41" t="s">
        <v>1709</v>
      </c>
      <c r="R41" t="s">
        <v>1492</v>
      </c>
      <c r="S41" t="s">
        <v>1493</v>
      </c>
      <c r="T41" t="s">
        <v>1494</v>
      </c>
      <c r="U41" t="s">
        <v>1495</v>
      </c>
      <c r="V41" t="s">
        <v>1710</v>
      </c>
      <c r="W41">
        <v>603</v>
      </c>
      <c r="X41" t="s">
        <v>1711</v>
      </c>
      <c r="Y41" t="s">
        <v>1712</v>
      </c>
      <c r="Z41">
        <v>2</v>
      </c>
      <c r="AA41" t="s">
        <v>58</v>
      </c>
    </row>
    <row r="42" spans="1:27" x14ac:dyDescent="0.25">
      <c r="A42" t="s">
        <v>1485</v>
      </c>
      <c r="B42" t="s">
        <v>1486</v>
      </c>
      <c r="C42" t="s">
        <v>1811</v>
      </c>
      <c r="D42" t="s">
        <v>1812</v>
      </c>
      <c r="E42" t="s">
        <v>593</v>
      </c>
      <c r="F42" t="s">
        <v>1813</v>
      </c>
      <c r="G42">
        <v>12525</v>
      </c>
      <c r="H42">
        <v>0</v>
      </c>
      <c r="I42" t="s">
        <v>1459</v>
      </c>
      <c r="J42">
        <v>0</v>
      </c>
      <c r="K42">
        <v>1</v>
      </c>
      <c r="L42" t="s">
        <v>1487</v>
      </c>
      <c r="M42" t="s">
        <v>1488</v>
      </c>
      <c r="N42" t="s">
        <v>1489</v>
      </c>
      <c r="O42" t="s">
        <v>1540</v>
      </c>
      <c r="P42" t="s">
        <v>1491</v>
      </c>
      <c r="Q42" t="s">
        <v>1709</v>
      </c>
      <c r="R42" t="s">
        <v>1492</v>
      </c>
      <c r="S42" t="s">
        <v>1493</v>
      </c>
      <c r="T42" t="s">
        <v>1494</v>
      </c>
      <c r="U42" t="s">
        <v>1495</v>
      </c>
      <c r="V42" t="s">
        <v>1710</v>
      </c>
      <c r="W42">
        <v>603</v>
      </c>
      <c r="X42" t="s">
        <v>1711</v>
      </c>
      <c r="Y42" t="s">
        <v>1712</v>
      </c>
      <c r="Z42">
        <v>2</v>
      </c>
      <c r="AA42" t="s">
        <v>58</v>
      </c>
    </row>
    <row r="43" spans="1:27" x14ac:dyDescent="0.25">
      <c r="A43" t="s">
        <v>1485</v>
      </c>
      <c r="B43" t="s">
        <v>1486</v>
      </c>
      <c r="C43" t="s">
        <v>1814</v>
      </c>
      <c r="D43" t="s">
        <v>1815</v>
      </c>
      <c r="E43" t="s">
        <v>593</v>
      </c>
      <c r="F43" t="s">
        <v>1816</v>
      </c>
      <c r="G43">
        <v>12497</v>
      </c>
      <c r="H43">
        <v>0</v>
      </c>
      <c r="I43" t="s">
        <v>1459</v>
      </c>
      <c r="J43">
        <v>0</v>
      </c>
      <c r="K43">
        <v>1</v>
      </c>
      <c r="L43" t="s">
        <v>1487</v>
      </c>
      <c r="M43" t="s">
        <v>1488</v>
      </c>
      <c r="N43" t="s">
        <v>1489</v>
      </c>
      <c r="O43" t="s">
        <v>1593</v>
      </c>
      <c r="P43" t="s">
        <v>1491</v>
      </c>
      <c r="Q43" t="s">
        <v>1709</v>
      </c>
      <c r="R43" t="s">
        <v>1492</v>
      </c>
      <c r="S43" t="s">
        <v>1493</v>
      </c>
      <c r="T43" t="s">
        <v>1494</v>
      </c>
      <c r="U43" t="s">
        <v>1495</v>
      </c>
      <c r="V43" t="s">
        <v>1710</v>
      </c>
      <c r="W43">
        <v>603</v>
      </c>
      <c r="X43" t="s">
        <v>1711</v>
      </c>
      <c r="Y43" t="s">
        <v>1712</v>
      </c>
      <c r="Z43">
        <v>2</v>
      </c>
      <c r="AA43" t="s">
        <v>58</v>
      </c>
    </row>
    <row r="44" spans="1:27" x14ac:dyDescent="0.25">
      <c r="A44" t="s">
        <v>1485</v>
      </c>
      <c r="B44" t="s">
        <v>1486</v>
      </c>
      <c r="C44" t="s">
        <v>1817</v>
      </c>
      <c r="D44" t="s">
        <v>1818</v>
      </c>
      <c r="E44" t="s">
        <v>593</v>
      </c>
      <c r="F44" t="s">
        <v>1819</v>
      </c>
      <c r="G44">
        <v>11433</v>
      </c>
      <c r="H44">
        <v>0</v>
      </c>
      <c r="I44" t="s">
        <v>1459</v>
      </c>
      <c r="J44">
        <v>0</v>
      </c>
      <c r="K44">
        <v>1</v>
      </c>
      <c r="L44" t="s">
        <v>1487</v>
      </c>
      <c r="M44" t="s">
        <v>1488</v>
      </c>
      <c r="N44" t="s">
        <v>1489</v>
      </c>
      <c r="O44" t="s">
        <v>1553</v>
      </c>
      <c r="P44" t="s">
        <v>1491</v>
      </c>
      <c r="Q44" t="s">
        <v>1709</v>
      </c>
      <c r="R44" t="s">
        <v>1492</v>
      </c>
      <c r="S44" t="s">
        <v>1493</v>
      </c>
      <c r="T44" t="s">
        <v>1494</v>
      </c>
      <c r="U44" t="s">
        <v>1495</v>
      </c>
      <c r="V44" t="s">
        <v>1710</v>
      </c>
      <c r="W44">
        <v>603</v>
      </c>
      <c r="X44" t="s">
        <v>1711</v>
      </c>
      <c r="Y44" t="s">
        <v>1712</v>
      </c>
      <c r="Z44">
        <v>2</v>
      </c>
      <c r="AA44" t="s">
        <v>58</v>
      </c>
    </row>
    <row r="45" spans="1:27" x14ac:dyDescent="0.25">
      <c r="A45" t="s">
        <v>1485</v>
      </c>
      <c r="B45" t="s">
        <v>1486</v>
      </c>
      <c r="C45" t="s">
        <v>1820</v>
      </c>
      <c r="D45" t="s">
        <v>1821</v>
      </c>
      <c r="E45" t="s">
        <v>593</v>
      </c>
      <c r="F45" t="s">
        <v>1822</v>
      </c>
      <c r="G45">
        <v>10294</v>
      </c>
      <c r="H45">
        <v>0</v>
      </c>
      <c r="I45" t="s">
        <v>1459</v>
      </c>
      <c r="J45">
        <v>0</v>
      </c>
      <c r="K45">
        <v>1</v>
      </c>
      <c r="L45" t="s">
        <v>1487</v>
      </c>
      <c r="M45" t="s">
        <v>1488</v>
      </c>
      <c r="N45" t="s">
        <v>1489</v>
      </c>
      <c r="O45" t="s">
        <v>1543</v>
      </c>
      <c r="P45" t="s">
        <v>1491</v>
      </c>
      <c r="Q45" t="s">
        <v>1709</v>
      </c>
      <c r="R45" t="s">
        <v>1492</v>
      </c>
      <c r="S45" t="s">
        <v>1493</v>
      </c>
      <c r="T45" t="s">
        <v>1494</v>
      </c>
      <c r="U45" t="s">
        <v>1495</v>
      </c>
      <c r="V45" t="s">
        <v>1710</v>
      </c>
      <c r="W45">
        <v>603</v>
      </c>
      <c r="X45" t="s">
        <v>1711</v>
      </c>
      <c r="Y45" t="s">
        <v>1712</v>
      </c>
      <c r="Z45">
        <v>2</v>
      </c>
      <c r="AA45" t="s">
        <v>58</v>
      </c>
    </row>
    <row r="46" spans="1:27" x14ac:dyDescent="0.25">
      <c r="A46" t="s">
        <v>1485</v>
      </c>
      <c r="B46" t="s">
        <v>1486</v>
      </c>
      <c r="C46" t="s">
        <v>1823</v>
      </c>
      <c r="D46" t="s">
        <v>1824</v>
      </c>
      <c r="E46" t="s">
        <v>593</v>
      </c>
      <c r="F46" t="s">
        <v>1825</v>
      </c>
      <c r="G46">
        <v>10176</v>
      </c>
      <c r="H46">
        <v>0</v>
      </c>
      <c r="I46" t="s">
        <v>1459</v>
      </c>
      <c r="J46">
        <v>0</v>
      </c>
      <c r="K46">
        <v>1</v>
      </c>
      <c r="L46" t="s">
        <v>1487</v>
      </c>
      <c r="M46" t="s">
        <v>1488</v>
      </c>
      <c r="N46" t="s">
        <v>1489</v>
      </c>
      <c r="O46" t="s">
        <v>1614</v>
      </c>
      <c r="P46" t="s">
        <v>1491</v>
      </c>
      <c r="Q46" t="s">
        <v>1709</v>
      </c>
      <c r="R46" t="s">
        <v>1492</v>
      </c>
      <c r="S46" t="s">
        <v>1493</v>
      </c>
      <c r="T46" t="s">
        <v>1494</v>
      </c>
      <c r="U46" t="s">
        <v>1495</v>
      </c>
      <c r="V46" t="s">
        <v>1710</v>
      </c>
      <c r="W46">
        <v>603</v>
      </c>
      <c r="X46" t="s">
        <v>1711</v>
      </c>
      <c r="Y46" t="s">
        <v>1712</v>
      </c>
      <c r="Z46">
        <v>2</v>
      </c>
      <c r="AA46" t="s">
        <v>58</v>
      </c>
    </row>
    <row r="47" spans="1:27" x14ac:dyDescent="0.25">
      <c r="A47" t="s">
        <v>1485</v>
      </c>
      <c r="B47" t="s">
        <v>1486</v>
      </c>
      <c r="C47" t="s">
        <v>1826</v>
      </c>
      <c r="D47" t="s">
        <v>1827</v>
      </c>
      <c r="E47" t="s">
        <v>593</v>
      </c>
      <c r="F47" t="s">
        <v>1828</v>
      </c>
      <c r="G47">
        <v>5991</v>
      </c>
      <c r="H47">
        <v>0</v>
      </c>
      <c r="I47" t="s">
        <v>1459</v>
      </c>
      <c r="J47">
        <v>0</v>
      </c>
      <c r="K47">
        <v>1</v>
      </c>
      <c r="L47" t="s">
        <v>1487</v>
      </c>
      <c r="M47" t="s">
        <v>1488</v>
      </c>
      <c r="N47" t="s">
        <v>1489</v>
      </c>
      <c r="O47" t="s">
        <v>1559</v>
      </c>
      <c r="P47" t="s">
        <v>1491</v>
      </c>
      <c r="Q47" t="s">
        <v>1709</v>
      </c>
      <c r="R47" t="s">
        <v>1492</v>
      </c>
      <c r="S47" t="s">
        <v>1493</v>
      </c>
      <c r="T47" t="s">
        <v>1494</v>
      </c>
      <c r="U47" t="s">
        <v>1495</v>
      </c>
      <c r="V47" t="s">
        <v>1710</v>
      </c>
      <c r="W47">
        <v>603</v>
      </c>
      <c r="X47" t="s">
        <v>1711</v>
      </c>
      <c r="Y47" t="s">
        <v>1712</v>
      </c>
      <c r="Z47">
        <v>2</v>
      </c>
      <c r="AA47" t="s">
        <v>58</v>
      </c>
    </row>
    <row r="48" spans="1:27" x14ac:dyDescent="0.25">
      <c r="A48" t="s">
        <v>1485</v>
      </c>
      <c r="B48" t="s">
        <v>1486</v>
      </c>
      <c r="C48" t="s">
        <v>1829</v>
      </c>
      <c r="D48" t="s">
        <v>1830</v>
      </c>
      <c r="E48" t="s">
        <v>593</v>
      </c>
      <c r="F48" t="s">
        <v>1831</v>
      </c>
      <c r="G48">
        <v>9567</v>
      </c>
      <c r="H48">
        <v>0</v>
      </c>
      <c r="I48" t="s">
        <v>1459</v>
      </c>
      <c r="J48">
        <v>0</v>
      </c>
      <c r="K48">
        <v>1</v>
      </c>
      <c r="L48" t="s">
        <v>1487</v>
      </c>
      <c r="M48" t="s">
        <v>1488</v>
      </c>
      <c r="N48" t="s">
        <v>1489</v>
      </c>
      <c r="O48" t="s">
        <v>1523</v>
      </c>
      <c r="P48" t="s">
        <v>1491</v>
      </c>
      <c r="Q48" t="s">
        <v>1709</v>
      </c>
      <c r="R48" t="s">
        <v>1492</v>
      </c>
      <c r="S48" t="s">
        <v>1493</v>
      </c>
      <c r="T48" t="s">
        <v>1494</v>
      </c>
      <c r="U48" t="s">
        <v>1495</v>
      </c>
      <c r="V48" t="s">
        <v>1710</v>
      </c>
      <c r="W48">
        <v>603</v>
      </c>
      <c r="X48" t="s">
        <v>1711</v>
      </c>
      <c r="Y48" t="s">
        <v>1712</v>
      </c>
      <c r="Z48">
        <v>2</v>
      </c>
      <c r="AA48" t="s">
        <v>58</v>
      </c>
    </row>
    <row r="49" spans="1:27" x14ac:dyDescent="0.25">
      <c r="A49" t="s">
        <v>1485</v>
      </c>
      <c r="B49" t="s">
        <v>1486</v>
      </c>
      <c r="C49" t="s">
        <v>1832</v>
      </c>
      <c r="D49" t="s">
        <v>1833</v>
      </c>
      <c r="E49" t="s">
        <v>593</v>
      </c>
      <c r="F49" t="s">
        <v>1834</v>
      </c>
      <c r="G49">
        <v>5468</v>
      </c>
      <c r="H49">
        <v>0</v>
      </c>
      <c r="I49" t="s">
        <v>1459</v>
      </c>
      <c r="J49">
        <v>0</v>
      </c>
      <c r="K49">
        <v>1</v>
      </c>
      <c r="L49" t="s">
        <v>1487</v>
      </c>
      <c r="M49" t="s">
        <v>1488</v>
      </c>
      <c r="N49" t="s">
        <v>1489</v>
      </c>
      <c r="O49" t="s">
        <v>1552</v>
      </c>
      <c r="P49" t="s">
        <v>1491</v>
      </c>
      <c r="Q49" t="s">
        <v>1709</v>
      </c>
      <c r="R49" t="s">
        <v>1492</v>
      </c>
      <c r="S49" t="s">
        <v>1493</v>
      </c>
      <c r="T49" t="s">
        <v>1494</v>
      </c>
      <c r="U49" t="s">
        <v>1495</v>
      </c>
      <c r="V49" t="s">
        <v>1710</v>
      </c>
      <c r="W49">
        <v>603</v>
      </c>
      <c r="X49" t="s">
        <v>1711</v>
      </c>
      <c r="Y49" t="s">
        <v>1712</v>
      </c>
      <c r="Z49">
        <v>2</v>
      </c>
      <c r="AA49" t="s">
        <v>58</v>
      </c>
    </row>
    <row r="50" spans="1:27" x14ac:dyDescent="0.25">
      <c r="A50" t="s">
        <v>1485</v>
      </c>
      <c r="B50" t="s">
        <v>1486</v>
      </c>
      <c r="C50" t="s">
        <v>1835</v>
      </c>
      <c r="D50" t="s">
        <v>1836</v>
      </c>
      <c r="E50" t="s">
        <v>593</v>
      </c>
      <c r="F50" t="s">
        <v>1837</v>
      </c>
      <c r="G50">
        <v>9990</v>
      </c>
      <c r="H50">
        <v>0</v>
      </c>
      <c r="I50" t="s">
        <v>1459</v>
      </c>
      <c r="J50">
        <v>0</v>
      </c>
      <c r="K50">
        <v>1</v>
      </c>
      <c r="L50" t="s">
        <v>1487</v>
      </c>
      <c r="M50" t="s">
        <v>1488</v>
      </c>
      <c r="N50" t="s">
        <v>1489</v>
      </c>
      <c r="O50" t="s">
        <v>1602</v>
      </c>
      <c r="P50" t="s">
        <v>1491</v>
      </c>
      <c r="Q50" t="s">
        <v>1709</v>
      </c>
      <c r="R50" t="s">
        <v>1492</v>
      </c>
      <c r="S50" t="s">
        <v>1493</v>
      </c>
      <c r="T50" t="s">
        <v>1494</v>
      </c>
      <c r="U50" t="s">
        <v>1495</v>
      </c>
      <c r="V50" t="s">
        <v>1710</v>
      </c>
      <c r="W50">
        <v>603</v>
      </c>
      <c r="X50" t="s">
        <v>1711</v>
      </c>
      <c r="Y50" t="s">
        <v>1712</v>
      </c>
      <c r="Z50">
        <v>2</v>
      </c>
      <c r="AA50" t="s">
        <v>58</v>
      </c>
    </row>
    <row r="51" spans="1:27" x14ac:dyDescent="0.25">
      <c r="A51" t="s">
        <v>1485</v>
      </c>
      <c r="B51" t="s">
        <v>1486</v>
      </c>
      <c r="C51" t="s">
        <v>1838</v>
      </c>
      <c r="D51" t="s">
        <v>1839</v>
      </c>
      <c r="E51" t="s">
        <v>593</v>
      </c>
      <c r="F51" t="s">
        <v>1840</v>
      </c>
      <c r="G51">
        <v>7638</v>
      </c>
      <c r="H51">
        <v>0</v>
      </c>
      <c r="I51" t="s">
        <v>1459</v>
      </c>
      <c r="J51">
        <v>0</v>
      </c>
      <c r="K51">
        <v>1</v>
      </c>
      <c r="L51" t="s">
        <v>1487</v>
      </c>
      <c r="M51" t="s">
        <v>1488</v>
      </c>
      <c r="N51" t="s">
        <v>1489</v>
      </c>
      <c r="O51" t="s">
        <v>1606</v>
      </c>
      <c r="P51" t="s">
        <v>1491</v>
      </c>
      <c r="Q51" t="s">
        <v>1709</v>
      </c>
      <c r="R51" t="s">
        <v>1492</v>
      </c>
      <c r="S51" t="s">
        <v>1493</v>
      </c>
      <c r="T51" t="s">
        <v>1494</v>
      </c>
      <c r="U51" t="s">
        <v>1495</v>
      </c>
      <c r="V51" t="s">
        <v>1710</v>
      </c>
      <c r="W51">
        <v>603</v>
      </c>
      <c r="X51" t="s">
        <v>1711</v>
      </c>
      <c r="Y51" t="s">
        <v>1712</v>
      </c>
      <c r="Z51">
        <v>2</v>
      </c>
      <c r="AA51" t="s">
        <v>58</v>
      </c>
    </row>
    <row r="52" spans="1:27" x14ac:dyDescent="0.25">
      <c r="A52" t="s">
        <v>1485</v>
      </c>
      <c r="B52" t="s">
        <v>1486</v>
      </c>
      <c r="C52" t="s">
        <v>1841</v>
      </c>
      <c r="D52" t="s">
        <v>1842</v>
      </c>
      <c r="E52" t="s">
        <v>593</v>
      </c>
      <c r="F52" t="s">
        <v>1843</v>
      </c>
      <c r="G52">
        <v>7259</v>
      </c>
      <c r="H52">
        <v>0</v>
      </c>
      <c r="I52" t="s">
        <v>1459</v>
      </c>
      <c r="J52">
        <v>0</v>
      </c>
      <c r="K52">
        <v>1</v>
      </c>
      <c r="L52" t="s">
        <v>1487</v>
      </c>
      <c r="M52" t="s">
        <v>1488</v>
      </c>
      <c r="N52" t="s">
        <v>1489</v>
      </c>
      <c r="O52" t="s">
        <v>1496</v>
      </c>
      <c r="P52" t="s">
        <v>1491</v>
      </c>
      <c r="Q52" t="s">
        <v>1709</v>
      </c>
      <c r="R52" t="s">
        <v>1492</v>
      </c>
      <c r="S52" t="s">
        <v>1493</v>
      </c>
      <c r="T52" t="s">
        <v>1494</v>
      </c>
      <c r="U52" t="s">
        <v>1495</v>
      </c>
      <c r="V52" t="s">
        <v>1710</v>
      </c>
      <c r="W52">
        <v>603</v>
      </c>
      <c r="X52" t="s">
        <v>1711</v>
      </c>
      <c r="Y52" t="s">
        <v>1712</v>
      </c>
      <c r="Z52">
        <v>2</v>
      </c>
      <c r="AA52" t="s">
        <v>58</v>
      </c>
    </row>
    <row r="53" spans="1:27" x14ac:dyDescent="0.25">
      <c r="A53" t="s">
        <v>1485</v>
      </c>
      <c r="B53" t="s">
        <v>1486</v>
      </c>
      <c r="C53" t="s">
        <v>1844</v>
      </c>
      <c r="D53" t="s">
        <v>1845</v>
      </c>
      <c r="E53" t="s">
        <v>593</v>
      </c>
      <c r="F53" t="s">
        <v>1846</v>
      </c>
      <c r="G53">
        <v>5860</v>
      </c>
      <c r="H53">
        <v>0</v>
      </c>
      <c r="I53" t="s">
        <v>1459</v>
      </c>
      <c r="J53">
        <v>0</v>
      </c>
      <c r="K53">
        <v>1</v>
      </c>
      <c r="L53" t="s">
        <v>1487</v>
      </c>
      <c r="M53" t="s">
        <v>1488</v>
      </c>
      <c r="N53" t="s">
        <v>1489</v>
      </c>
      <c r="O53" t="s">
        <v>1619</v>
      </c>
      <c r="P53" t="s">
        <v>1491</v>
      </c>
      <c r="Q53" t="s">
        <v>1709</v>
      </c>
      <c r="R53" t="s">
        <v>1492</v>
      </c>
      <c r="S53" t="s">
        <v>1493</v>
      </c>
      <c r="T53" t="s">
        <v>1494</v>
      </c>
      <c r="U53" t="s">
        <v>1495</v>
      </c>
      <c r="V53" t="s">
        <v>1710</v>
      </c>
      <c r="W53">
        <v>603</v>
      </c>
      <c r="X53" t="s">
        <v>1711</v>
      </c>
      <c r="Y53" t="s">
        <v>1712</v>
      </c>
      <c r="Z53">
        <v>2</v>
      </c>
      <c r="AA53" t="s">
        <v>58</v>
      </c>
    </row>
    <row r="54" spans="1:27" x14ac:dyDescent="0.25">
      <c r="A54" t="s">
        <v>1485</v>
      </c>
      <c r="B54" t="s">
        <v>1486</v>
      </c>
      <c r="C54" t="s">
        <v>1847</v>
      </c>
      <c r="D54" t="s">
        <v>1848</v>
      </c>
      <c r="E54" t="s">
        <v>593</v>
      </c>
      <c r="F54" t="s">
        <v>1849</v>
      </c>
      <c r="G54">
        <v>7300</v>
      </c>
      <c r="H54">
        <v>0</v>
      </c>
      <c r="I54" t="s">
        <v>1459</v>
      </c>
      <c r="J54">
        <v>0</v>
      </c>
      <c r="K54">
        <v>1</v>
      </c>
      <c r="L54" t="s">
        <v>1487</v>
      </c>
      <c r="M54" t="s">
        <v>1488</v>
      </c>
      <c r="N54" t="s">
        <v>1489</v>
      </c>
      <c r="O54" t="s">
        <v>1556</v>
      </c>
      <c r="P54" t="s">
        <v>1491</v>
      </c>
      <c r="Q54" t="s">
        <v>1709</v>
      </c>
      <c r="R54" t="s">
        <v>1492</v>
      </c>
      <c r="S54" t="s">
        <v>1493</v>
      </c>
      <c r="T54" t="s">
        <v>1494</v>
      </c>
      <c r="U54" t="s">
        <v>1495</v>
      </c>
      <c r="V54" t="s">
        <v>1710</v>
      </c>
      <c r="W54">
        <v>603</v>
      </c>
      <c r="X54" t="s">
        <v>1711</v>
      </c>
      <c r="Y54" t="s">
        <v>1712</v>
      </c>
      <c r="Z54">
        <v>2</v>
      </c>
      <c r="AA54" t="s">
        <v>58</v>
      </c>
    </row>
    <row r="55" spans="1:27" x14ac:dyDescent="0.25">
      <c r="A55" t="s">
        <v>1485</v>
      </c>
      <c r="B55" t="s">
        <v>1486</v>
      </c>
      <c r="C55" t="s">
        <v>1850</v>
      </c>
      <c r="D55" t="s">
        <v>1851</v>
      </c>
      <c r="E55" t="s">
        <v>593</v>
      </c>
      <c r="F55" t="s">
        <v>1852</v>
      </c>
      <c r="G55">
        <v>8022</v>
      </c>
      <c r="H55">
        <v>0</v>
      </c>
      <c r="I55" t="s">
        <v>1459</v>
      </c>
      <c r="J55">
        <v>0</v>
      </c>
      <c r="K55">
        <v>1</v>
      </c>
      <c r="L55" t="s">
        <v>1487</v>
      </c>
      <c r="M55" t="s">
        <v>1488</v>
      </c>
      <c r="N55" t="s">
        <v>1489</v>
      </c>
      <c r="O55" t="s">
        <v>1532</v>
      </c>
      <c r="P55" t="s">
        <v>1491</v>
      </c>
      <c r="Q55" t="s">
        <v>1709</v>
      </c>
      <c r="R55" t="s">
        <v>1492</v>
      </c>
      <c r="S55" t="s">
        <v>1493</v>
      </c>
      <c r="T55" t="s">
        <v>1494</v>
      </c>
      <c r="U55" t="s">
        <v>1495</v>
      </c>
      <c r="V55" t="s">
        <v>1710</v>
      </c>
      <c r="W55">
        <v>603</v>
      </c>
      <c r="X55" t="s">
        <v>1711</v>
      </c>
      <c r="Y55" t="s">
        <v>1712</v>
      </c>
      <c r="Z55">
        <v>2</v>
      </c>
      <c r="AA55" t="s">
        <v>58</v>
      </c>
    </row>
    <row r="56" spans="1:27" x14ac:dyDescent="0.25">
      <c r="A56" t="s">
        <v>1485</v>
      </c>
      <c r="B56" t="s">
        <v>1486</v>
      </c>
      <c r="C56" t="s">
        <v>1853</v>
      </c>
      <c r="D56" t="s">
        <v>1854</v>
      </c>
      <c r="E56" t="s">
        <v>593</v>
      </c>
      <c r="F56" t="s">
        <v>1855</v>
      </c>
      <c r="G56">
        <v>6536</v>
      </c>
      <c r="H56">
        <v>0</v>
      </c>
      <c r="I56" t="s">
        <v>1459</v>
      </c>
      <c r="J56">
        <v>0</v>
      </c>
      <c r="K56">
        <v>1</v>
      </c>
      <c r="L56" t="s">
        <v>1487</v>
      </c>
      <c r="M56" t="s">
        <v>1488</v>
      </c>
      <c r="N56" t="s">
        <v>1489</v>
      </c>
      <c r="O56" t="s">
        <v>1521</v>
      </c>
      <c r="P56" t="s">
        <v>1491</v>
      </c>
      <c r="Q56" t="s">
        <v>1709</v>
      </c>
      <c r="R56" t="s">
        <v>1492</v>
      </c>
      <c r="S56" t="s">
        <v>1493</v>
      </c>
      <c r="T56" t="s">
        <v>1494</v>
      </c>
      <c r="U56" t="s">
        <v>1495</v>
      </c>
      <c r="V56" t="s">
        <v>1710</v>
      </c>
      <c r="W56">
        <v>603</v>
      </c>
      <c r="X56" t="s">
        <v>1711</v>
      </c>
      <c r="Y56" t="s">
        <v>1712</v>
      </c>
      <c r="Z56">
        <v>2</v>
      </c>
      <c r="AA56" t="s">
        <v>58</v>
      </c>
    </row>
    <row r="57" spans="1:27" x14ac:dyDescent="0.25">
      <c r="A57" t="s">
        <v>1485</v>
      </c>
      <c r="B57" t="s">
        <v>1486</v>
      </c>
      <c r="C57" t="s">
        <v>1856</v>
      </c>
      <c r="D57" t="s">
        <v>1857</v>
      </c>
      <c r="E57" t="s">
        <v>593</v>
      </c>
      <c r="F57" t="s">
        <v>1858</v>
      </c>
      <c r="G57">
        <v>7274</v>
      </c>
      <c r="H57">
        <v>0</v>
      </c>
      <c r="I57" t="s">
        <v>1459</v>
      </c>
      <c r="J57">
        <v>0</v>
      </c>
      <c r="K57">
        <v>1</v>
      </c>
      <c r="L57" t="s">
        <v>1487</v>
      </c>
      <c r="M57" t="s">
        <v>1488</v>
      </c>
      <c r="N57" t="s">
        <v>1489</v>
      </c>
      <c r="O57" t="s">
        <v>1859</v>
      </c>
      <c r="P57" t="s">
        <v>1491</v>
      </c>
      <c r="Q57" t="s">
        <v>1709</v>
      </c>
      <c r="R57" t="s">
        <v>1492</v>
      </c>
      <c r="S57" t="s">
        <v>1493</v>
      </c>
      <c r="T57" t="s">
        <v>1494</v>
      </c>
      <c r="U57" t="s">
        <v>1495</v>
      </c>
      <c r="V57" t="s">
        <v>1710</v>
      </c>
      <c r="W57">
        <v>603</v>
      </c>
      <c r="X57" t="s">
        <v>1711</v>
      </c>
      <c r="Y57" t="s">
        <v>1712</v>
      </c>
      <c r="Z57">
        <v>2</v>
      </c>
      <c r="AA57" t="s">
        <v>58</v>
      </c>
    </row>
    <row r="58" spans="1:27" x14ac:dyDescent="0.25">
      <c r="A58" t="s">
        <v>1485</v>
      </c>
      <c r="B58" t="s">
        <v>1486</v>
      </c>
      <c r="C58" t="s">
        <v>1860</v>
      </c>
      <c r="D58" t="s">
        <v>1861</v>
      </c>
      <c r="E58" t="s">
        <v>593</v>
      </c>
      <c r="F58" t="s">
        <v>1862</v>
      </c>
      <c r="G58">
        <v>6425</v>
      </c>
      <c r="H58">
        <v>0</v>
      </c>
      <c r="I58" t="s">
        <v>1459</v>
      </c>
      <c r="J58">
        <v>0</v>
      </c>
      <c r="K58">
        <v>1</v>
      </c>
      <c r="L58" t="s">
        <v>1487</v>
      </c>
      <c r="M58" t="s">
        <v>1488</v>
      </c>
      <c r="N58" t="s">
        <v>1489</v>
      </c>
      <c r="O58" t="s">
        <v>1572</v>
      </c>
      <c r="P58" t="s">
        <v>1491</v>
      </c>
      <c r="Q58" t="s">
        <v>1709</v>
      </c>
      <c r="R58" t="s">
        <v>1492</v>
      </c>
      <c r="S58" t="s">
        <v>1493</v>
      </c>
      <c r="T58" t="s">
        <v>1494</v>
      </c>
      <c r="U58" t="s">
        <v>1495</v>
      </c>
      <c r="V58" t="s">
        <v>1710</v>
      </c>
      <c r="W58">
        <v>603</v>
      </c>
      <c r="X58" t="s">
        <v>1711</v>
      </c>
      <c r="Y58" t="s">
        <v>1712</v>
      </c>
      <c r="Z58">
        <v>2</v>
      </c>
      <c r="AA58" t="s">
        <v>58</v>
      </c>
    </row>
    <row r="59" spans="1:27" x14ac:dyDescent="0.25">
      <c r="A59" t="s">
        <v>1485</v>
      </c>
      <c r="B59" t="s">
        <v>1486</v>
      </c>
      <c r="C59" t="s">
        <v>1863</v>
      </c>
      <c r="D59" t="s">
        <v>1864</v>
      </c>
      <c r="E59" t="s">
        <v>593</v>
      </c>
      <c r="F59" t="s">
        <v>1865</v>
      </c>
      <c r="G59">
        <v>7075</v>
      </c>
      <c r="H59">
        <v>0</v>
      </c>
      <c r="I59" t="s">
        <v>1459</v>
      </c>
      <c r="J59">
        <v>0</v>
      </c>
      <c r="K59">
        <v>1</v>
      </c>
      <c r="L59" t="s">
        <v>1487</v>
      </c>
      <c r="M59" t="s">
        <v>1488</v>
      </c>
      <c r="N59" t="s">
        <v>1489</v>
      </c>
      <c r="O59" t="s">
        <v>1550</v>
      </c>
      <c r="P59" t="s">
        <v>1491</v>
      </c>
      <c r="Q59" t="s">
        <v>1709</v>
      </c>
      <c r="R59" t="s">
        <v>1492</v>
      </c>
      <c r="S59" t="s">
        <v>1493</v>
      </c>
      <c r="T59" t="s">
        <v>1494</v>
      </c>
      <c r="U59" t="s">
        <v>1495</v>
      </c>
      <c r="V59" t="s">
        <v>1710</v>
      </c>
      <c r="W59">
        <v>603</v>
      </c>
      <c r="X59" t="s">
        <v>1711</v>
      </c>
      <c r="Y59" t="s">
        <v>1712</v>
      </c>
      <c r="Z59">
        <v>2</v>
      </c>
      <c r="AA59" t="s">
        <v>58</v>
      </c>
    </row>
    <row r="60" spans="1:27" x14ac:dyDescent="0.25">
      <c r="A60" t="s">
        <v>1485</v>
      </c>
      <c r="B60" t="s">
        <v>1486</v>
      </c>
      <c r="C60" t="s">
        <v>1866</v>
      </c>
      <c r="D60" t="s">
        <v>1867</v>
      </c>
      <c r="E60" t="s">
        <v>593</v>
      </c>
      <c r="F60" t="s">
        <v>1868</v>
      </c>
      <c r="G60">
        <v>6206</v>
      </c>
      <c r="H60">
        <v>0</v>
      </c>
      <c r="I60" t="s">
        <v>1459</v>
      </c>
      <c r="J60">
        <v>0</v>
      </c>
      <c r="K60">
        <v>1</v>
      </c>
      <c r="L60" t="s">
        <v>1487</v>
      </c>
      <c r="M60" t="s">
        <v>1488</v>
      </c>
      <c r="N60" t="s">
        <v>1489</v>
      </c>
      <c r="O60" t="s">
        <v>1568</v>
      </c>
      <c r="P60" t="s">
        <v>1491</v>
      </c>
      <c r="Q60" t="s">
        <v>1709</v>
      </c>
      <c r="R60" t="s">
        <v>1492</v>
      </c>
      <c r="S60" t="s">
        <v>1493</v>
      </c>
      <c r="T60" t="s">
        <v>1494</v>
      </c>
      <c r="U60" t="s">
        <v>1495</v>
      </c>
      <c r="V60" t="s">
        <v>1710</v>
      </c>
      <c r="W60">
        <v>603</v>
      </c>
      <c r="X60" t="s">
        <v>1711</v>
      </c>
      <c r="Y60" t="s">
        <v>1712</v>
      </c>
      <c r="Z60">
        <v>2</v>
      </c>
      <c r="AA60" t="s">
        <v>58</v>
      </c>
    </row>
    <row r="61" spans="1:27" x14ac:dyDescent="0.25">
      <c r="A61" t="s">
        <v>1485</v>
      </c>
      <c r="B61" t="s">
        <v>1486</v>
      </c>
      <c r="C61" t="s">
        <v>1869</v>
      </c>
      <c r="D61" t="s">
        <v>1870</v>
      </c>
      <c r="E61" t="s">
        <v>593</v>
      </c>
      <c r="F61" t="s">
        <v>1871</v>
      </c>
      <c r="G61">
        <v>9562</v>
      </c>
      <c r="H61">
        <v>0</v>
      </c>
      <c r="I61" t="s">
        <v>1459</v>
      </c>
      <c r="J61">
        <v>0</v>
      </c>
      <c r="K61">
        <v>1</v>
      </c>
      <c r="L61" t="s">
        <v>1487</v>
      </c>
      <c r="M61" t="s">
        <v>1488</v>
      </c>
      <c r="N61" t="s">
        <v>1489</v>
      </c>
      <c r="O61" t="s">
        <v>1528</v>
      </c>
      <c r="P61" t="s">
        <v>1491</v>
      </c>
      <c r="Q61" t="s">
        <v>1709</v>
      </c>
      <c r="R61" t="s">
        <v>1492</v>
      </c>
      <c r="S61" t="s">
        <v>1493</v>
      </c>
      <c r="T61" t="s">
        <v>1494</v>
      </c>
      <c r="U61" t="s">
        <v>1495</v>
      </c>
      <c r="V61" t="s">
        <v>1710</v>
      </c>
      <c r="W61">
        <v>603</v>
      </c>
      <c r="X61" t="s">
        <v>1711</v>
      </c>
      <c r="Y61" t="s">
        <v>1712</v>
      </c>
      <c r="Z61">
        <v>2</v>
      </c>
      <c r="AA61" t="s">
        <v>58</v>
      </c>
    </row>
    <row r="62" spans="1:27" x14ac:dyDescent="0.25">
      <c r="A62" t="s">
        <v>1485</v>
      </c>
      <c r="B62" t="s">
        <v>1486</v>
      </c>
      <c r="C62" t="s">
        <v>1872</v>
      </c>
      <c r="D62" t="s">
        <v>1873</v>
      </c>
      <c r="E62" t="s">
        <v>593</v>
      </c>
      <c r="F62" t="s">
        <v>1874</v>
      </c>
      <c r="G62">
        <v>7089</v>
      </c>
      <c r="H62">
        <v>0</v>
      </c>
      <c r="I62" t="s">
        <v>1459</v>
      </c>
      <c r="J62">
        <v>0</v>
      </c>
      <c r="K62">
        <v>1</v>
      </c>
      <c r="L62" t="s">
        <v>1487</v>
      </c>
      <c r="M62" t="s">
        <v>1488</v>
      </c>
      <c r="N62" t="s">
        <v>1489</v>
      </c>
      <c r="O62" t="s">
        <v>1533</v>
      </c>
      <c r="P62" t="s">
        <v>1491</v>
      </c>
      <c r="Q62" t="s">
        <v>1709</v>
      </c>
      <c r="R62" t="s">
        <v>1492</v>
      </c>
      <c r="S62" t="s">
        <v>1493</v>
      </c>
      <c r="T62" t="s">
        <v>1494</v>
      </c>
      <c r="U62" t="s">
        <v>1495</v>
      </c>
      <c r="V62" t="s">
        <v>1710</v>
      </c>
      <c r="W62">
        <v>603</v>
      </c>
      <c r="X62" t="s">
        <v>1711</v>
      </c>
      <c r="Y62" t="s">
        <v>1712</v>
      </c>
      <c r="Z62">
        <v>2</v>
      </c>
      <c r="AA62" t="s">
        <v>58</v>
      </c>
    </row>
    <row r="63" spans="1:27" x14ac:dyDescent="0.25">
      <c r="A63" t="s">
        <v>1485</v>
      </c>
      <c r="B63" t="s">
        <v>1486</v>
      </c>
      <c r="C63" t="s">
        <v>1875</v>
      </c>
      <c r="D63" t="s">
        <v>1876</v>
      </c>
      <c r="E63" t="s">
        <v>593</v>
      </c>
      <c r="F63" t="s">
        <v>1877</v>
      </c>
      <c r="G63">
        <v>9173</v>
      </c>
      <c r="H63">
        <v>0</v>
      </c>
      <c r="I63" t="s">
        <v>1459</v>
      </c>
      <c r="J63">
        <v>0</v>
      </c>
      <c r="K63">
        <v>1</v>
      </c>
      <c r="L63" t="s">
        <v>1487</v>
      </c>
      <c r="M63" t="s">
        <v>1488</v>
      </c>
      <c r="N63" t="s">
        <v>1489</v>
      </c>
      <c r="O63" t="s">
        <v>1594</v>
      </c>
      <c r="P63" t="s">
        <v>1491</v>
      </c>
      <c r="Q63" t="s">
        <v>1709</v>
      </c>
      <c r="R63" t="s">
        <v>1492</v>
      </c>
      <c r="S63" t="s">
        <v>1493</v>
      </c>
      <c r="T63" t="s">
        <v>1494</v>
      </c>
      <c r="U63" t="s">
        <v>1495</v>
      </c>
      <c r="V63" t="s">
        <v>1710</v>
      </c>
      <c r="W63">
        <v>603</v>
      </c>
      <c r="X63" t="s">
        <v>1711</v>
      </c>
      <c r="Y63" t="s">
        <v>1712</v>
      </c>
      <c r="Z63">
        <v>2</v>
      </c>
      <c r="AA63" t="s">
        <v>58</v>
      </c>
    </row>
    <row r="64" spans="1:27" x14ac:dyDescent="0.25">
      <c r="A64" t="s">
        <v>1485</v>
      </c>
      <c r="B64" t="s">
        <v>1486</v>
      </c>
      <c r="C64" t="s">
        <v>1878</v>
      </c>
      <c r="D64" t="s">
        <v>1879</v>
      </c>
      <c r="E64" t="s">
        <v>593</v>
      </c>
      <c r="F64" t="s">
        <v>1880</v>
      </c>
      <c r="G64">
        <v>5566</v>
      </c>
      <c r="H64">
        <v>0</v>
      </c>
      <c r="I64" t="s">
        <v>1459</v>
      </c>
      <c r="J64">
        <v>0</v>
      </c>
      <c r="K64">
        <v>1</v>
      </c>
      <c r="L64" t="s">
        <v>1487</v>
      </c>
      <c r="M64" t="s">
        <v>1488</v>
      </c>
      <c r="N64" t="s">
        <v>1489</v>
      </c>
      <c r="O64" t="s">
        <v>1601</v>
      </c>
      <c r="P64" t="s">
        <v>1491</v>
      </c>
      <c r="Q64" t="s">
        <v>1709</v>
      </c>
      <c r="R64" t="s">
        <v>1492</v>
      </c>
      <c r="S64" t="s">
        <v>1493</v>
      </c>
      <c r="T64" t="s">
        <v>1494</v>
      </c>
      <c r="U64" t="s">
        <v>1495</v>
      </c>
      <c r="V64" t="s">
        <v>1710</v>
      </c>
      <c r="W64">
        <v>603</v>
      </c>
      <c r="X64" t="s">
        <v>1711</v>
      </c>
      <c r="Y64" t="s">
        <v>1712</v>
      </c>
      <c r="Z64">
        <v>2</v>
      </c>
      <c r="AA64" t="s">
        <v>58</v>
      </c>
    </row>
    <row r="65" spans="1:27" x14ac:dyDescent="0.25">
      <c r="A65" t="s">
        <v>1485</v>
      </c>
      <c r="B65" t="s">
        <v>1486</v>
      </c>
      <c r="C65" t="s">
        <v>1881</v>
      </c>
      <c r="D65" t="s">
        <v>1882</v>
      </c>
      <c r="E65" t="s">
        <v>593</v>
      </c>
      <c r="F65" t="s">
        <v>1883</v>
      </c>
      <c r="G65">
        <v>5356</v>
      </c>
      <c r="H65">
        <v>0</v>
      </c>
      <c r="I65" t="s">
        <v>1459</v>
      </c>
      <c r="J65">
        <v>0</v>
      </c>
      <c r="K65">
        <v>1</v>
      </c>
      <c r="L65" t="s">
        <v>1487</v>
      </c>
      <c r="M65" t="s">
        <v>1488</v>
      </c>
      <c r="N65" t="s">
        <v>1489</v>
      </c>
      <c r="O65" t="s">
        <v>1616</v>
      </c>
      <c r="P65" t="s">
        <v>1491</v>
      </c>
      <c r="Q65" t="s">
        <v>1709</v>
      </c>
      <c r="R65" t="s">
        <v>1492</v>
      </c>
      <c r="S65" t="s">
        <v>1493</v>
      </c>
      <c r="T65" t="s">
        <v>1494</v>
      </c>
      <c r="U65" t="s">
        <v>1495</v>
      </c>
      <c r="V65" t="s">
        <v>1710</v>
      </c>
      <c r="W65">
        <v>603</v>
      </c>
      <c r="X65" t="s">
        <v>1711</v>
      </c>
      <c r="Y65" t="s">
        <v>1712</v>
      </c>
      <c r="Z65">
        <v>2</v>
      </c>
      <c r="AA65" t="s">
        <v>58</v>
      </c>
    </row>
    <row r="66" spans="1:27" x14ac:dyDescent="0.25">
      <c r="A66" t="s">
        <v>1485</v>
      </c>
      <c r="B66" t="s">
        <v>1486</v>
      </c>
      <c r="C66" t="s">
        <v>1884</v>
      </c>
      <c r="D66" t="s">
        <v>1885</v>
      </c>
      <c r="E66" t="s">
        <v>593</v>
      </c>
      <c r="F66" t="s">
        <v>1886</v>
      </c>
      <c r="G66">
        <v>5911</v>
      </c>
      <c r="H66">
        <v>0</v>
      </c>
      <c r="I66" t="s">
        <v>1459</v>
      </c>
      <c r="J66">
        <v>0</v>
      </c>
      <c r="K66">
        <v>1</v>
      </c>
      <c r="L66" t="s">
        <v>1487</v>
      </c>
      <c r="M66" t="s">
        <v>1488</v>
      </c>
      <c r="N66" t="s">
        <v>1489</v>
      </c>
      <c r="O66" t="s">
        <v>1580</v>
      </c>
      <c r="P66" t="s">
        <v>1491</v>
      </c>
      <c r="Q66" t="s">
        <v>1709</v>
      </c>
      <c r="R66" t="s">
        <v>1492</v>
      </c>
      <c r="S66" t="s">
        <v>1493</v>
      </c>
      <c r="T66" t="s">
        <v>1494</v>
      </c>
      <c r="U66" t="s">
        <v>1495</v>
      </c>
      <c r="V66" t="s">
        <v>1710</v>
      </c>
      <c r="W66">
        <v>603</v>
      </c>
      <c r="X66" t="s">
        <v>1711</v>
      </c>
      <c r="Y66" t="s">
        <v>1712</v>
      </c>
      <c r="Z66">
        <v>2</v>
      </c>
      <c r="AA66" t="s">
        <v>58</v>
      </c>
    </row>
    <row r="67" spans="1:27" x14ac:dyDescent="0.25">
      <c r="A67" t="s">
        <v>1485</v>
      </c>
      <c r="B67" t="s">
        <v>1486</v>
      </c>
      <c r="C67" t="s">
        <v>1887</v>
      </c>
      <c r="D67" t="s">
        <v>1888</v>
      </c>
      <c r="E67" t="s">
        <v>593</v>
      </c>
      <c r="F67" t="s">
        <v>1889</v>
      </c>
      <c r="G67">
        <v>5465</v>
      </c>
      <c r="H67">
        <v>0</v>
      </c>
      <c r="I67" t="s">
        <v>1459</v>
      </c>
      <c r="J67">
        <v>0</v>
      </c>
      <c r="K67">
        <v>1</v>
      </c>
      <c r="L67" t="s">
        <v>1487</v>
      </c>
      <c r="M67" t="s">
        <v>1488</v>
      </c>
      <c r="N67" t="s">
        <v>1489</v>
      </c>
      <c r="O67" t="s">
        <v>1547</v>
      </c>
      <c r="P67" t="s">
        <v>1491</v>
      </c>
      <c r="Q67" t="s">
        <v>1709</v>
      </c>
      <c r="R67" t="s">
        <v>1492</v>
      </c>
      <c r="S67" t="s">
        <v>1493</v>
      </c>
      <c r="T67" t="s">
        <v>1494</v>
      </c>
      <c r="U67" t="s">
        <v>1495</v>
      </c>
      <c r="V67" t="s">
        <v>1710</v>
      </c>
      <c r="W67">
        <v>603</v>
      </c>
      <c r="X67" t="s">
        <v>1711</v>
      </c>
      <c r="Y67" t="s">
        <v>1712</v>
      </c>
      <c r="Z67">
        <v>2</v>
      </c>
      <c r="AA67" t="s">
        <v>58</v>
      </c>
    </row>
    <row r="68" spans="1:27" x14ac:dyDescent="0.25">
      <c r="A68" t="s">
        <v>1485</v>
      </c>
      <c r="B68" t="s">
        <v>1486</v>
      </c>
      <c r="C68" t="s">
        <v>1890</v>
      </c>
      <c r="D68" t="s">
        <v>1891</v>
      </c>
      <c r="E68" t="s">
        <v>593</v>
      </c>
      <c r="F68" t="s">
        <v>1892</v>
      </c>
      <c r="G68">
        <v>6840</v>
      </c>
      <c r="H68">
        <v>0</v>
      </c>
      <c r="I68" t="s">
        <v>1459</v>
      </c>
      <c r="J68">
        <v>0</v>
      </c>
      <c r="K68">
        <v>1</v>
      </c>
      <c r="L68" t="s">
        <v>1487</v>
      </c>
      <c r="M68" t="s">
        <v>1488</v>
      </c>
      <c r="N68" t="s">
        <v>1489</v>
      </c>
      <c r="O68" t="s">
        <v>1893</v>
      </c>
      <c r="P68" t="s">
        <v>1491</v>
      </c>
      <c r="Q68" t="s">
        <v>1709</v>
      </c>
      <c r="R68" t="s">
        <v>1492</v>
      </c>
      <c r="S68" t="s">
        <v>1493</v>
      </c>
      <c r="T68" t="s">
        <v>1494</v>
      </c>
      <c r="U68" t="s">
        <v>1495</v>
      </c>
      <c r="V68" t="s">
        <v>1710</v>
      </c>
      <c r="W68">
        <v>603</v>
      </c>
      <c r="X68" t="s">
        <v>1711</v>
      </c>
      <c r="Y68" t="s">
        <v>1712</v>
      </c>
      <c r="Z68">
        <v>2</v>
      </c>
      <c r="AA68" t="s">
        <v>58</v>
      </c>
    </row>
    <row r="69" spans="1:27" x14ac:dyDescent="0.25">
      <c r="A69" t="s">
        <v>1485</v>
      </c>
      <c r="B69" t="s">
        <v>1486</v>
      </c>
      <c r="C69" t="s">
        <v>1894</v>
      </c>
      <c r="D69" t="s">
        <v>1895</v>
      </c>
      <c r="E69" t="s">
        <v>593</v>
      </c>
      <c r="F69" t="s">
        <v>1896</v>
      </c>
      <c r="G69">
        <v>6624</v>
      </c>
      <c r="H69">
        <v>0</v>
      </c>
      <c r="I69" t="s">
        <v>1459</v>
      </c>
      <c r="J69">
        <v>0</v>
      </c>
      <c r="K69">
        <v>1</v>
      </c>
      <c r="L69" t="s">
        <v>1487</v>
      </c>
      <c r="M69" t="s">
        <v>1488</v>
      </c>
      <c r="N69" t="s">
        <v>1489</v>
      </c>
      <c r="O69" t="s">
        <v>1897</v>
      </c>
      <c r="P69" t="s">
        <v>1491</v>
      </c>
      <c r="Q69" t="s">
        <v>1709</v>
      </c>
      <c r="R69" t="s">
        <v>1492</v>
      </c>
      <c r="S69" t="s">
        <v>1493</v>
      </c>
      <c r="T69" t="s">
        <v>1494</v>
      </c>
      <c r="U69" t="s">
        <v>1495</v>
      </c>
      <c r="V69" t="s">
        <v>1710</v>
      </c>
      <c r="W69">
        <v>603</v>
      </c>
      <c r="X69" t="s">
        <v>1711</v>
      </c>
      <c r="Y69" t="s">
        <v>1712</v>
      </c>
      <c r="Z69">
        <v>2</v>
      </c>
      <c r="AA69" t="s">
        <v>58</v>
      </c>
    </row>
    <row r="70" spans="1:27" x14ac:dyDescent="0.25">
      <c r="A70" t="s">
        <v>1485</v>
      </c>
      <c r="B70" t="s">
        <v>1486</v>
      </c>
      <c r="C70" t="s">
        <v>1898</v>
      </c>
      <c r="D70" t="s">
        <v>1899</v>
      </c>
      <c r="E70" t="s">
        <v>593</v>
      </c>
      <c r="F70" t="s">
        <v>1900</v>
      </c>
      <c r="G70">
        <v>7721</v>
      </c>
      <c r="H70">
        <v>0</v>
      </c>
      <c r="I70" t="s">
        <v>1459</v>
      </c>
      <c r="J70">
        <v>0</v>
      </c>
      <c r="K70">
        <v>1</v>
      </c>
      <c r="L70" t="s">
        <v>1487</v>
      </c>
      <c r="M70" t="s">
        <v>1488</v>
      </c>
      <c r="N70" t="s">
        <v>1489</v>
      </c>
      <c r="O70" t="s">
        <v>1630</v>
      </c>
      <c r="P70" t="s">
        <v>1491</v>
      </c>
      <c r="Q70" t="s">
        <v>1709</v>
      </c>
      <c r="R70" t="s">
        <v>1492</v>
      </c>
      <c r="S70" t="s">
        <v>1493</v>
      </c>
      <c r="T70" t="s">
        <v>1494</v>
      </c>
      <c r="U70" t="s">
        <v>1495</v>
      </c>
      <c r="V70" t="s">
        <v>1710</v>
      </c>
      <c r="W70">
        <v>603</v>
      </c>
      <c r="X70" t="s">
        <v>1711</v>
      </c>
      <c r="Y70" t="s">
        <v>1712</v>
      </c>
      <c r="Z70">
        <v>2</v>
      </c>
      <c r="AA70" t="s">
        <v>58</v>
      </c>
    </row>
    <row r="71" spans="1:27" x14ac:dyDescent="0.25">
      <c r="A71" t="s">
        <v>1485</v>
      </c>
      <c r="B71" t="s">
        <v>1486</v>
      </c>
      <c r="C71" t="s">
        <v>1901</v>
      </c>
      <c r="D71" t="s">
        <v>1902</v>
      </c>
      <c r="E71" t="s">
        <v>593</v>
      </c>
      <c r="F71" t="s">
        <v>1903</v>
      </c>
      <c r="G71">
        <v>9315</v>
      </c>
      <c r="H71">
        <v>0</v>
      </c>
      <c r="I71" t="s">
        <v>1459</v>
      </c>
      <c r="J71">
        <v>0</v>
      </c>
      <c r="K71">
        <v>1</v>
      </c>
      <c r="L71" t="s">
        <v>1487</v>
      </c>
      <c r="M71" t="s">
        <v>1488</v>
      </c>
      <c r="N71" t="s">
        <v>1489</v>
      </c>
      <c r="O71" t="s">
        <v>1904</v>
      </c>
      <c r="P71" t="s">
        <v>1491</v>
      </c>
      <c r="Q71" t="s">
        <v>1709</v>
      </c>
      <c r="R71" t="s">
        <v>1492</v>
      </c>
      <c r="S71" t="s">
        <v>1493</v>
      </c>
      <c r="T71" t="s">
        <v>1494</v>
      </c>
      <c r="U71" t="s">
        <v>1495</v>
      </c>
      <c r="V71" t="s">
        <v>1710</v>
      </c>
      <c r="W71">
        <v>603</v>
      </c>
      <c r="X71" t="s">
        <v>1711</v>
      </c>
      <c r="Y71" t="s">
        <v>1712</v>
      </c>
      <c r="Z71">
        <v>2</v>
      </c>
      <c r="AA71" t="s">
        <v>58</v>
      </c>
    </row>
    <row r="72" spans="1:27" x14ac:dyDescent="0.25">
      <c r="A72" t="s">
        <v>1485</v>
      </c>
      <c r="B72" t="s">
        <v>1486</v>
      </c>
      <c r="C72" t="s">
        <v>1905</v>
      </c>
      <c r="D72" t="s">
        <v>1906</v>
      </c>
      <c r="E72" t="s">
        <v>593</v>
      </c>
      <c r="F72" t="s">
        <v>1907</v>
      </c>
      <c r="G72">
        <v>8030</v>
      </c>
      <c r="H72">
        <v>0</v>
      </c>
      <c r="I72" t="s">
        <v>1459</v>
      </c>
      <c r="J72">
        <v>0</v>
      </c>
      <c r="K72">
        <v>1</v>
      </c>
      <c r="L72" t="s">
        <v>1487</v>
      </c>
      <c r="M72" t="s">
        <v>1488</v>
      </c>
      <c r="N72" t="s">
        <v>1489</v>
      </c>
      <c r="O72" t="s">
        <v>1600</v>
      </c>
      <c r="P72" t="s">
        <v>1491</v>
      </c>
      <c r="Q72" t="s">
        <v>1709</v>
      </c>
      <c r="R72" t="s">
        <v>1492</v>
      </c>
      <c r="S72" t="s">
        <v>1493</v>
      </c>
      <c r="T72" t="s">
        <v>1494</v>
      </c>
      <c r="U72" t="s">
        <v>1495</v>
      </c>
      <c r="V72" t="s">
        <v>1710</v>
      </c>
      <c r="W72">
        <v>603</v>
      </c>
      <c r="X72" t="s">
        <v>1711</v>
      </c>
      <c r="Y72" t="s">
        <v>1712</v>
      </c>
      <c r="Z72">
        <v>2</v>
      </c>
      <c r="AA72" t="s">
        <v>58</v>
      </c>
    </row>
    <row r="73" spans="1:27" x14ac:dyDescent="0.25">
      <c r="A73" t="s">
        <v>1485</v>
      </c>
      <c r="B73" t="s">
        <v>1486</v>
      </c>
      <c r="C73" t="s">
        <v>1908</v>
      </c>
      <c r="D73" t="s">
        <v>1909</v>
      </c>
      <c r="E73" t="s">
        <v>593</v>
      </c>
      <c r="F73" t="s">
        <v>1910</v>
      </c>
      <c r="G73">
        <v>8130</v>
      </c>
      <c r="H73">
        <v>0</v>
      </c>
      <c r="I73" t="s">
        <v>1459</v>
      </c>
      <c r="J73">
        <v>0</v>
      </c>
      <c r="K73">
        <v>1</v>
      </c>
      <c r="L73" t="s">
        <v>1487</v>
      </c>
      <c r="M73" t="s">
        <v>1488</v>
      </c>
      <c r="N73" t="s">
        <v>1489</v>
      </c>
      <c r="O73" t="s">
        <v>1911</v>
      </c>
      <c r="P73" t="s">
        <v>1491</v>
      </c>
      <c r="Q73" t="s">
        <v>1709</v>
      </c>
      <c r="R73" t="s">
        <v>1492</v>
      </c>
      <c r="S73" t="s">
        <v>1493</v>
      </c>
      <c r="T73" t="s">
        <v>1494</v>
      </c>
      <c r="U73" t="s">
        <v>1495</v>
      </c>
      <c r="V73" t="s">
        <v>1710</v>
      </c>
      <c r="W73">
        <v>603</v>
      </c>
      <c r="X73" t="s">
        <v>1711</v>
      </c>
      <c r="Y73" t="s">
        <v>1712</v>
      </c>
      <c r="Z73">
        <v>2</v>
      </c>
      <c r="AA73" t="s">
        <v>58</v>
      </c>
    </row>
    <row r="74" spans="1:27" x14ac:dyDescent="0.25">
      <c r="A74" t="s">
        <v>1485</v>
      </c>
      <c r="B74" t="s">
        <v>1486</v>
      </c>
      <c r="C74" t="s">
        <v>1912</v>
      </c>
      <c r="D74" t="s">
        <v>1913</v>
      </c>
      <c r="E74" t="s">
        <v>593</v>
      </c>
      <c r="F74" t="s">
        <v>1914</v>
      </c>
      <c r="G74">
        <v>6683</v>
      </c>
      <c r="H74">
        <v>0</v>
      </c>
      <c r="I74" t="s">
        <v>1459</v>
      </c>
      <c r="J74">
        <v>0</v>
      </c>
      <c r="K74">
        <v>1</v>
      </c>
      <c r="L74" t="s">
        <v>1487</v>
      </c>
      <c r="M74" t="s">
        <v>1488</v>
      </c>
      <c r="N74" t="s">
        <v>1489</v>
      </c>
      <c r="O74" t="s">
        <v>1511</v>
      </c>
      <c r="P74" t="s">
        <v>1491</v>
      </c>
      <c r="Q74" t="s">
        <v>1709</v>
      </c>
      <c r="R74" t="s">
        <v>1492</v>
      </c>
      <c r="S74" t="s">
        <v>1493</v>
      </c>
      <c r="T74" t="s">
        <v>1494</v>
      </c>
      <c r="U74" t="s">
        <v>1495</v>
      </c>
      <c r="V74" t="s">
        <v>1710</v>
      </c>
      <c r="W74">
        <v>603</v>
      </c>
      <c r="X74" t="s">
        <v>1711</v>
      </c>
      <c r="Y74" t="s">
        <v>1712</v>
      </c>
      <c r="Z74">
        <v>2</v>
      </c>
      <c r="AA74" t="s">
        <v>58</v>
      </c>
    </row>
    <row r="75" spans="1:27" x14ac:dyDescent="0.25">
      <c r="A75" t="s">
        <v>1485</v>
      </c>
      <c r="B75" t="s">
        <v>1486</v>
      </c>
      <c r="C75" t="s">
        <v>1915</v>
      </c>
      <c r="D75" t="s">
        <v>1916</v>
      </c>
      <c r="E75" t="s">
        <v>593</v>
      </c>
      <c r="F75" t="s">
        <v>1917</v>
      </c>
      <c r="G75">
        <v>6645</v>
      </c>
      <c r="H75">
        <v>0</v>
      </c>
      <c r="I75" t="s">
        <v>1459</v>
      </c>
      <c r="J75">
        <v>0</v>
      </c>
      <c r="K75">
        <v>1</v>
      </c>
      <c r="L75" t="s">
        <v>1487</v>
      </c>
      <c r="M75" t="s">
        <v>1488</v>
      </c>
      <c r="N75" t="s">
        <v>1489</v>
      </c>
      <c r="O75" t="s">
        <v>1558</v>
      </c>
      <c r="P75" t="s">
        <v>1491</v>
      </c>
      <c r="Q75" t="s">
        <v>1709</v>
      </c>
      <c r="R75" t="s">
        <v>1492</v>
      </c>
      <c r="S75" t="s">
        <v>1493</v>
      </c>
      <c r="T75" t="s">
        <v>1494</v>
      </c>
      <c r="U75" t="s">
        <v>1495</v>
      </c>
      <c r="V75" t="s">
        <v>1710</v>
      </c>
      <c r="W75">
        <v>603</v>
      </c>
      <c r="X75" t="s">
        <v>1711</v>
      </c>
      <c r="Y75" t="s">
        <v>1712</v>
      </c>
      <c r="Z75">
        <v>2</v>
      </c>
      <c r="AA75" t="s">
        <v>58</v>
      </c>
    </row>
    <row r="76" spans="1:27" x14ac:dyDescent="0.25">
      <c r="A76" t="s">
        <v>1485</v>
      </c>
      <c r="B76" t="s">
        <v>1486</v>
      </c>
      <c r="C76" t="s">
        <v>1918</v>
      </c>
      <c r="D76" t="s">
        <v>1919</v>
      </c>
      <c r="E76" t="s">
        <v>593</v>
      </c>
      <c r="F76" t="s">
        <v>1920</v>
      </c>
      <c r="G76">
        <v>6902</v>
      </c>
      <c r="H76">
        <v>0</v>
      </c>
      <c r="I76" t="s">
        <v>1459</v>
      </c>
      <c r="J76">
        <v>0</v>
      </c>
      <c r="K76">
        <v>1</v>
      </c>
      <c r="L76" t="s">
        <v>1487</v>
      </c>
      <c r="M76" t="s">
        <v>1488</v>
      </c>
      <c r="N76" t="s">
        <v>1489</v>
      </c>
      <c r="O76" t="s">
        <v>1524</v>
      </c>
      <c r="P76" t="s">
        <v>1491</v>
      </c>
      <c r="Q76" t="s">
        <v>1709</v>
      </c>
      <c r="R76" t="s">
        <v>1492</v>
      </c>
      <c r="S76" t="s">
        <v>1493</v>
      </c>
      <c r="T76" t="s">
        <v>1494</v>
      </c>
      <c r="U76" t="s">
        <v>1495</v>
      </c>
      <c r="V76" t="s">
        <v>1710</v>
      </c>
      <c r="W76">
        <v>603</v>
      </c>
      <c r="X76" t="s">
        <v>1711</v>
      </c>
      <c r="Y76" t="s">
        <v>1712</v>
      </c>
      <c r="Z76">
        <v>2</v>
      </c>
      <c r="AA76" t="s">
        <v>58</v>
      </c>
    </row>
    <row r="77" spans="1:27" x14ac:dyDescent="0.25">
      <c r="A77" t="s">
        <v>1485</v>
      </c>
      <c r="B77" t="s">
        <v>1486</v>
      </c>
      <c r="C77" t="s">
        <v>1921</v>
      </c>
      <c r="D77" t="s">
        <v>1922</v>
      </c>
      <c r="E77" t="s">
        <v>593</v>
      </c>
      <c r="F77" t="s">
        <v>1923</v>
      </c>
      <c r="G77">
        <v>5000</v>
      </c>
      <c r="H77">
        <v>0</v>
      </c>
      <c r="I77" t="s">
        <v>1459</v>
      </c>
      <c r="J77">
        <v>0</v>
      </c>
      <c r="K77">
        <v>1</v>
      </c>
      <c r="L77" t="s">
        <v>1487</v>
      </c>
      <c r="M77" t="s">
        <v>1488</v>
      </c>
      <c r="N77" t="s">
        <v>1489</v>
      </c>
      <c r="O77" t="s">
        <v>1924</v>
      </c>
      <c r="P77" t="s">
        <v>1491</v>
      </c>
      <c r="Q77" t="s">
        <v>1709</v>
      </c>
      <c r="R77" t="s">
        <v>1492</v>
      </c>
      <c r="S77" t="s">
        <v>1493</v>
      </c>
      <c r="T77" t="s">
        <v>1494</v>
      </c>
      <c r="U77" t="s">
        <v>1495</v>
      </c>
      <c r="V77" t="s">
        <v>1710</v>
      </c>
      <c r="W77">
        <v>603</v>
      </c>
      <c r="X77" t="s">
        <v>1711</v>
      </c>
      <c r="Y77" t="s">
        <v>1712</v>
      </c>
      <c r="Z77">
        <v>2</v>
      </c>
      <c r="AA77" t="s">
        <v>58</v>
      </c>
    </row>
    <row r="78" spans="1:27" x14ac:dyDescent="0.25">
      <c r="A78" t="s">
        <v>1485</v>
      </c>
      <c r="B78" t="s">
        <v>1486</v>
      </c>
      <c r="C78" t="s">
        <v>1925</v>
      </c>
      <c r="D78" t="s">
        <v>1926</v>
      </c>
      <c r="E78" t="s">
        <v>593</v>
      </c>
      <c r="F78" t="s">
        <v>1927</v>
      </c>
      <c r="G78">
        <v>6115</v>
      </c>
      <c r="H78">
        <v>0</v>
      </c>
      <c r="I78" t="s">
        <v>1459</v>
      </c>
      <c r="J78">
        <v>0</v>
      </c>
      <c r="K78">
        <v>1</v>
      </c>
      <c r="L78" t="s">
        <v>1487</v>
      </c>
      <c r="M78" t="s">
        <v>1488</v>
      </c>
      <c r="N78" t="s">
        <v>1489</v>
      </c>
      <c r="O78" t="s">
        <v>1622</v>
      </c>
      <c r="P78" t="s">
        <v>1491</v>
      </c>
      <c r="Q78" t="s">
        <v>1709</v>
      </c>
      <c r="R78" t="s">
        <v>1492</v>
      </c>
      <c r="S78" t="s">
        <v>1493</v>
      </c>
      <c r="T78" t="s">
        <v>1494</v>
      </c>
      <c r="U78" t="s">
        <v>1495</v>
      </c>
      <c r="V78" t="s">
        <v>1710</v>
      </c>
      <c r="W78">
        <v>603</v>
      </c>
      <c r="X78" t="s">
        <v>1711</v>
      </c>
      <c r="Y78" t="s">
        <v>1712</v>
      </c>
      <c r="Z78">
        <v>2</v>
      </c>
      <c r="AA78" t="s">
        <v>58</v>
      </c>
    </row>
    <row r="79" spans="1:27" x14ac:dyDescent="0.25">
      <c r="A79" t="s">
        <v>1485</v>
      </c>
      <c r="B79" t="s">
        <v>1486</v>
      </c>
      <c r="C79" t="s">
        <v>1928</v>
      </c>
      <c r="D79" t="s">
        <v>1929</v>
      </c>
      <c r="E79" t="s">
        <v>593</v>
      </c>
      <c r="F79" t="s">
        <v>1930</v>
      </c>
      <c r="G79">
        <v>5503</v>
      </c>
      <c r="H79">
        <v>0</v>
      </c>
      <c r="I79" t="s">
        <v>1459</v>
      </c>
      <c r="J79">
        <v>0</v>
      </c>
      <c r="K79">
        <v>1</v>
      </c>
      <c r="L79" t="s">
        <v>1487</v>
      </c>
      <c r="M79" t="s">
        <v>1488</v>
      </c>
      <c r="N79" t="s">
        <v>1489</v>
      </c>
      <c r="O79" t="s">
        <v>1620</v>
      </c>
      <c r="P79" t="s">
        <v>1491</v>
      </c>
      <c r="Q79" t="s">
        <v>1709</v>
      </c>
      <c r="R79" t="s">
        <v>1492</v>
      </c>
      <c r="S79" t="s">
        <v>1493</v>
      </c>
      <c r="T79" t="s">
        <v>1494</v>
      </c>
      <c r="U79" t="s">
        <v>1495</v>
      </c>
      <c r="V79" t="s">
        <v>1710</v>
      </c>
      <c r="W79">
        <v>603</v>
      </c>
      <c r="X79" t="s">
        <v>1711</v>
      </c>
      <c r="Y79" t="s">
        <v>1712</v>
      </c>
      <c r="Z79">
        <v>2</v>
      </c>
      <c r="AA79" t="s">
        <v>58</v>
      </c>
    </row>
    <row r="80" spans="1:27" x14ac:dyDescent="0.25">
      <c r="A80" t="s">
        <v>1485</v>
      </c>
      <c r="B80" t="s">
        <v>1486</v>
      </c>
      <c r="C80" t="s">
        <v>1931</v>
      </c>
      <c r="D80" t="s">
        <v>1932</v>
      </c>
      <c r="E80" t="s">
        <v>593</v>
      </c>
      <c r="F80" t="s">
        <v>1933</v>
      </c>
      <c r="G80">
        <v>7680</v>
      </c>
      <c r="H80">
        <v>0</v>
      </c>
      <c r="I80" t="s">
        <v>1459</v>
      </c>
      <c r="J80">
        <v>0</v>
      </c>
      <c r="K80">
        <v>1</v>
      </c>
      <c r="L80" t="s">
        <v>1487</v>
      </c>
      <c r="M80" t="s">
        <v>1488</v>
      </c>
      <c r="N80" t="s">
        <v>1489</v>
      </c>
      <c r="O80" t="s">
        <v>1563</v>
      </c>
      <c r="P80" t="s">
        <v>1491</v>
      </c>
      <c r="Q80" t="s">
        <v>1709</v>
      </c>
      <c r="R80" t="s">
        <v>1492</v>
      </c>
      <c r="S80" t="s">
        <v>1493</v>
      </c>
      <c r="T80" t="s">
        <v>1494</v>
      </c>
      <c r="U80" t="s">
        <v>1495</v>
      </c>
      <c r="V80" t="s">
        <v>1710</v>
      </c>
      <c r="W80">
        <v>603</v>
      </c>
      <c r="X80" t="s">
        <v>1711</v>
      </c>
      <c r="Y80" t="s">
        <v>1712</v>
      </c>
      <c r="Z80">
        <v>2</v>
      </c>
      <c r="AA80" t="s">
        <v>58</v>
      </c>
    </row>
    <row r="81" spans="1:27" x14ac:dyDescent="0.25">
      <c r="A81" t="s">
        <v>1485</v>
      </c>
      <c r="B81" t="s">
        <v>1486</v>
      </c>
      <c r="C81" t="s">
        <v>1934</v>
      </c>
      <c r="D81" t="s">
        <v>1935</v>
      </c>
      <c r="E81" t="s">
        <v>593</v>
      </c>
      <c r="F81" t="s">
        <v>1936</v>
      </c>
      <c r="G81">
        <v>5168</v>
      </c>
      <c r="H81">
        <v>0</v>
      </c>
      <c r="I81" t="s">
        <v>1459</v>
      </c>
      <c r="J81">
        <v>0</v>
      </c>
      <c r="K81">
        <v>1</v>
      </c>
      <c r="L81" t="s">
        <v>1487</v>
      </c>
      <c r="M81" t="s">
        <v>1488</v>
      </c>
      <c r="N81" t="s">
        <v>1489</v>
      </c>
      <c r="O81" t="s">
        <v>1937</v>
      </c>
      <c r="P81" t="s">
        <v>1491</v>
      </c>
      <c r="Q81" t="s">
        <v>1709</v>
      </c>
      <c r="R81" t="s">
        <v>1492</v>
      </c>
      <c r="S81" t="s">
        <v>1493</v>
      </c>
      <c r="T81" t="s">
        <v>1494</v>
      </c>
      <c r="U81" t="s">
        <v>1495</v>
      </c>
      <c r="V81" t="s">
        <v>1710</v>
      </c>
      <c r="W81">
        <v>603</v>
      </c>
      <c r="X81" t="s">
        <v>1711</v>
      </c>
      <c r="Y81" t="s">
        <v>1712</v>
      </c>
      <c r="Z81">
        <v>2</v>
      </c>
      <c r="AA81" t="s">
        <v>58</v>
      </c>
    </row>
    <row r="82" spans="1:27" x14ac:dyDescent="0.25">
      <c r="A82" t="s">
        <v>1485</v>
      </c>
      <c r="B82" t="s">
        <v>1486</v>
      </c>
      <c r="C82" t="s">
        <v>1938</v>
      </c>
      <c r="D82" t="s">
        <v>1939</v>
      </c>
      <c r="E82" t="s">
        <v>593</v>
      </c>
      <c r="F82" t="s">
        <v>1940</v>
      </c>
      <c r="G82">
        <v>9713</v>
      </c>
      <c r="H82">
        <v>0</v>
      </c>
      <c r="I82" t="s">
        <v>1459</v>
      </c>
      <c r="J82">
        <v>0</v>
      </c>
      <c r="K82">
        <v>1</v>
      </c>
      <c r="L82" t="s">
        <v>1487</v>
      </c>
      <c r="M82" t="s">
        <v>1488</v>
      </c>
      <c r="N82" t="s">
        <v>1489</v>
      </c>
      <c r="O82" t="s">
        <v>1628</v>
      </c>
      <c r="P82" t="s">
        <v>1491</v>
      </c>
      <c r="Q82" t="s">
        <v>1709</v>
      </c>
      <c r="R82" t="s">
        <v>1492</v>
      </c>
      <c r="S82" t="s">
        <v>1493</v>
      </c>
      <c r="T82" t="s">
        <v>1494</v>
      </c>
      <c r="U82" t="s">
        <v>1495</v>
      </c>
      <c r="V82" t="s">
        <v>1710</v>
      </c>
      <c r="W82">
        <v>603</v>
      </c>
      <c r="X82" t="s">
        <v>1711</v>
      </c>
      <c r="Y82" t="s">
        <v>1712</v>
      </c>
      <c r="Z82">
        <v>2</v>
      </c>
      <c r="AA82" t="s">
        <v>58</v>
      </c>
    </row>
    <row r="83" spans="1:27" x14ac:dyDescent="0.25">
      <c r="A83" t="s">
        <v>1485</v>
      </c>
      <c r="B83" t="s">
        <v>1486</v>
      </c>
      <c r="C83" t="s">
        <v>1941</v>
      </c>
      <c r="D83" t="s">
        <v>1942</v>
      </c>
      <c r="E83" t="s">
        <v>593</v>
      </c>
      <c r="F83" t="s">
        <v>1943</v>
      </c>
      <c r="G83">
        <v>6769</v>
      </c>
      <c r="H83">
        <v>0</v>
      </c>
      <c r="I83" t="s">
        <v>1459</v>
      </c>
      <c r="J83">
        <v>0</v>
      </c>
      <c r="K83">
        <v>1</v>
      </c>
      <c r="L83" t="s">
        <v>1487</v>
      </c>
      <c r="M83" t="s">
        <v>1488</v>
      </c>
      <c r="N83" t="s">
        <v>1489</v>
      </c>
      <c r="O83" t="s">
        <v>1612</v>
      </c>
      <c r="P83" t="s">
        <v>1491</v>
      </c>
      <c r="Q83" t="s">
        <v>1709</v>
      </c>
      <c r="R83" t="s">
        <v>1492</v>
      </c>
      <c r="S83" t="s">
        <v>1493</v>
      </c>
      <c r="T83" t="s">
        <v>1494</v>
      </c>
      <c r="U83" t="s">
        <v>1495</v>
      </c>
      <c r="V83" t="s">
        <v>1710</v>
      </c>
      <c r="W83">
        <v>603</v>
      </c>
      <c r="X83" t="s">
        <v>1711</v>
      </c>
      <c r="Y83" t="s">
        <v>1712</v>
      </c>
      <c r="Z83">
        <v>2</v>
      </c>
      <c r="AA83" t="s">
        <v>58</v>
      </c>
    </row>
    <row r="84" spans="1:27" x14ac:dyDescent="0.25">
      <c r="A84" t="s">
        <v>1485</v>
      </c>
      <c r="B84" t="s">
        <v>1486</v>
      </c>
      <c r="C84" t="s">
        <v>1944</v>
      </c>
      <c r="D84" t="s">
        <v>1945</v>
      </c>
      <c r="E84" t="s">
        <v>593</v>
      </c>
      <c r="F84" t="s">
        <v>1946</v>
      </c>
      <c r="G84">
        <v>5549</v>
      </c>
      <c r="H84">
        <v>0</v>
      </c>
      <c r="I84" t="s">
        <v>1459</v>
      </c>
      <c r="J84">
        <v>0</v>
      </c>
      <c r="K84">
        <v>1</v>
      </c>
      <c r="L84" t="s">
        <v>1487</v>
      </c>
      <c r="M84" t="s">
        <v>1488</v>
      </c>
      <c r="N84" t="s">
        <v>1489</v>
      </c>
      <c r="O84" t="s">
        <v>1625</v>
      </c>
      <c r="P84" t="s">
        <v>1491</v>
      </c>
      <c r="Q84" t="s">
        <v>1709</v>
      </c>
      <c r="R84" t="s">
        <v>1492</v>
      </c>
      <c r="S84" t="s">
        <v>1493</v>
      </c>
      <c r="T84" t="s">
        <v>1494</v>
      </c>
      <c r="U84" t="s">
        <v>1495</v>
      </c>
      <c r="V84" t="s">
        <v>1710</v>
      </c>
      <c r="W84">
        <v>603</v>
      </c>
      <c r="X84" t="s">
        <v>1711</v>
      </c>
      <c r="Y84" t="s">
        <v>1712</v>
      </c>
      <c r="Z84">
        <v>2</v>
      </c>
      <c r="AA84" t="s">
        <v>58</v>
      </c>
    </row>
    <row r="85" spans="1:27" x14ac:dyDescent="0.25">
      <c r="A85" t="s">
        <v>1485</v>
      </c>
      <c r="B85" t="s">
        <v>1486</v>
      </c>
      <c r="C85" t="s">
        <v>1947</v>
      </c>
      <c r="D85" t="s">
        <v>1948</v>
      </c>
      <c r="E85" t="s">
        <v>593</v>
      </c>
      <c r="F85" t="s">
        <v>1949</v>
      </c>
      <c r="G85">
        <v>8013</v>
      </c>
      <c r="H85">
        <v>0</v>
      </c>
      <c r="I85" t="s">
        <v>1459</v>
      </c>
      <c r="J85">
        <v>0</v>
      </c>
      <c r="K85">
        <v>1</v>
      </c>
      <c r="L85" t="s">
        <v>1487</v>
      </c>
      <c r="M85" t="s">
        <v>1488</v>
      </c>
      <c r="N85" t="s">
        <v>1489</v>
      </c>
      <c r="O85" t="s">
        <v>1950</v>
      </c>
      <c r="P85" t="s">
        <v>1491</v>
      </c>
      <c r="Q85" t="s">
        <v>1709</v>
      </c>
      <c r="R85" t="s">
        <v>1492</v>
      </c>
      <c r="S85" t="s">
        <v>1493</v>
      </c>
      <c r="T85" t="s">
        <v>1494</v>
      </c>
      <c r="U85" t="s">
        <v>1495</v>
      </c>
      <c r="V85" t="s">
        <v>1710</v>
      </c>
      <c r="W85">
        <v>603</v>
      </c>
      <c r="X85" t="s">
        <v>1711</v>
      </c>
      <c r="Y85" t="s">
        <v>1712</v>
      </c>
      <c r="Z85">
        <v>2</v>
      </c>
      <c r="AA85" t="s">
        <v>58</v>
      </c>
    </row>
    <row r="86" spans="1:27" x14ac:dyDescent="0.25">
      <c r="A86" t="s">
        <v>1485</v>
      </c>
      <c r="B86" t="s">
        <v>1486</v>
      </c>
      <c r="C86" t="s">
        <v>1951</v>
      </c>
      <c r="D86" t="s">
        <v>1952</v>
      </c>
      <c r="E86" t="s">
        <v>593</v>
      </c>
      <c r="F86" t="s">
        <v>1953</v>
      </c>
      <c r="G86">
        <v>6170</v>
      </c>
      <c r="H86">
        <v>0</v>
      </c>
      <c r="I86" t="s">
        <v>1459</v>
      </c>
      <c r="J86">
        <v>0</v>
      </c>
      <c r="K86">
        <v>1</v>
      </c>
      <c r="L86" t="s">
        <v>1487</v>
      </c>
      <c r="M86" t="s">
        <v>1488</v>
      </c>
      <c r="N86" t="s">
        <v>1489</v>
      </c>
      <c r="O86" t="s">
        <v>1566</v>
      </c>
      <c r="P86" t="s">
        <v>1491</v>
      </c>
      <c r="Q86" t="s">
        <v>1709</v>
      </c>
      <c r="R86" t="s">
        <v>1492</v>
      </c>
      <c r="S86" t="s">
        <v>1493</v>
      </c>
      <c r="T86" t="s">
        <v>1494</v>
      </c>
      <c r="U86" t="s">
        <v>1495</v>
      </c>
      <c r="V86" t="s">
        <v>1710</v>
      </c>
      <c r="W86">
        <v>603</v>
      </c>
      <c r="X86" t="s">
        <v>1711</v>
      </c>
      <c r="Y86" t="s">
        <v>1712</v>
      </c>
      <c r="Z86">
        <v>2</v>
      </c>
      <c r="AA86" t="s">
        <v>58</v>
      </c>
    </row>
    <row r="87" spans="1:27" x14ac:dyDescent="0.25">
      <c r="A87" t="s">
        <v>1485</v>
      </c>
      <c r="B87" t="s">
        <v>1486</v>
      </c>
      <c r="C87" t="s">
        <v>1954</v>
      </c>
      <c r="D87" t="s">
        <v>1955</v>
      </c>
      <c r="E87" t="s">
        <v>593</v>
      </c>
      <c r="F87" t="s">
        <v>1956</v>
      </c>
      <c r="G87">
        <v>5989</v>
      </c>
      <c r="H87">
        <v>0</v>
      </c>
      <c r="I87" t="s">
        <v>1459</v>
      </c>
      <c r="J87">
        <v>0</v>
      </c>
      <c r="K87">
        <v>1</v>
      </c>
      <c r="L87" t="s">
        <v>1487</v>
      </c>
      <c r="M87" t="s">
        <v>1488</v>
      </c>
      <c r="N87" t="s">
        <v>1489</v>
      </c>
      <c r="O87" t="s">
        <v>1567</v>
      </c>
      <c r="P87" t="s">
        <v>1491</v>
      </c>
      <c r="Q87" t="s">
        <v>1709</v>
      </c>
      <c r="R87" t="s">
        <v>1492</v>
      </c>
      <c r="S87" t="s">
        <v>1493</v>
      </c>
      <c r="T87" t="s">
        <v>1494</v>
      </c>
      <c r="U87" t="s">
        <v>1495</v>
      </c>
      <c r="V87" t="s">
        <v>1710</v>
      </c>
      <c r="W87">
        <v>603</v>
      </c>
      <c r="X87" t="s">
        <v>1711</v>
      </c>
      <c r="Y87" t="s">
        <v>1712</v>
      </c>
      <c r="Z87">
        <v>2</v>
      </c>
      <c r="AA87" t="s">
        <v>58</v>
      </c>
    </row>
    <row r="88" spans="1:27" x14ac:dyDescent="0.25">
      <c r="A88" t="s">
        <v>1485</v>
      </c>
      <c r="B88" t="s">
        <v>1486</v>
      </c>
      <c r="C88" t="s">
        <v>1957</v>
      </c>
      <c r="D88" t="s">
        <v>1958</v>
      </c>
      <c r="E88" t="s">
        <v>593</v>
      </c>
      <c r="F88" t="s">
        <v>1959</v>
      </c>
      <c r="G88">
        <v>5473</v>
      </c>
      <c r="H88">
        <v>0</v>
      </c>
      <c r="I88" t="s">
        <v>1459</v>
      </c>
      <c r="J88">
        <v>0</v>
      </c>
      <c r="K88">
        <v>1</v>
      </c>
      <c r="L88" t="s">
        <v>1487</v>
      </c>
      <c r="M88" t="s">
        <v>1488</v>
      </c>
      <c r="N88" t="s">
        <v>1489</v>
      </c>
      <c r="O88" t="s">
        <v>1592</v>
      </c>
      <c r="P88" t="s">
        <v>1491</v>
      </c>
      <c r="Q88" t="s">
        <v>1709</v>
      </c>
      <c r="R88" t="s">
        <v>1492</v>
      </c>
      <c r="S88" t="s">
        <v>1493</v>
      </c>
      <c r="T88" t="s">
        <v>1494</v>
      </c>
      <c r="U88" t="s">
        <v>1495</v>
      </c>
      <c r="V88" t="s">
        <v>1710</v>
      </c>
      <c r="W88">
        <v>603</v>
      </c>
      <c r="X88" t="s">
        <v>1711</v>
      </c>
      <c r="Y88" t="s">
        <v>1712</v>
      </c>
      <c r="Z88">
        <v>2</v>
      </c>
      <c r="AA88" t="s">
        <v>58</v>
      </c>
    </row>
    <row r="89" spans="1:27" x14ac:dyDescent="0.25">
      <c r="A89" t="s">
        <v>1485</v>
      </c>
      <c r="B89" t="s">
        <v>1486</v>
      </c>
      <c r="C89" t="s">
        <v>1960</v>
      </c>
      <c r="D89" t="s">
        <v>1961</v>
      </c>
      <c r="E89" t="s">
        <v>593</v>
      </c>
      <c r="F89" t="s">
        <v>1962</v>
      </c>
      <c r="G89">
        <v>6397</v>
      </c>
      <c r="H89">
        <v>0</v>
      </c>
      <c r="I89" t="s">
        <v>1459</v>
      </c>
      <c r="J89">
        <v>0</v>
      </c>
      <c r="K89">
        <v>1</v>
      </c>
      <c r="L89" t="s">
        <v>1487</v>
      </c>
      <c r="M89" t="s">
        <v>1488</v>
      </c>
      <c r="N89" t="s">
        <v>1489</v>
      </c>
      <c r="O89" t="s">
        <v>1624</v>
      </c>
      <c r="P89" t="s">
        <v>1491</v>
      </c>
      <c r="Q89" t="s">
        <v>1709</v>
      </c>
      <c r="R89" t="s">
        <v>1492</v>
      </c>
      <c r="S89" t="s">
        <v>1493</v>
      </c>
      <c r="T89" t="s">
        <v>1494</v>
      </c>
      <c r="U89" t="s">
        <v>1495</v>
      </c>
      <c r="V89" t="s">
        <v>1710</v>
      </c>
      <c r="W89">
        <v>603</v>
      </c>
      <c r="X89" t="s">
        <v>1711</v>
      </c>
      <c r="Y89" t="s">
        <v>1712</v>
      </c>
      <c r="Z89">
        <v>2</v>
      </c>
      <c r="AA89" t="s">
        <v>58</v>
      </c>
    </row>
    <row r="90" spans="1:27" x14ac:dyDescent="0.25">
      <c r="A90" t="s">
        <v>1485</v>
      </c>
      <c r="B90" t="s">
        <v>1486</v>
      </c>
      <c r="C90" t="s">
        <v>1963</v>
      </c>
      <c r="D90" t="s">
        <v>1964</v>
      </c>
      <c r="E90" t="s">
        <v>593</v>
      </c>
      <c r="F90" t="s">
        <v>1965</v>
      </c>
      <c r="G90">
        <v>9425</v>
      </c>
      <c r="H90">
        <v>0</v>
      </c>
      <c r="I90" t="s">
        <v>1459</v>
      </c>
      <c r="J90">
        <v>0</v>
      </c>
      <c r="K90">
        <v>1</v>
      </c>
      <c r="L90" t="s">
        <v>1487</v>
      </c>
      <c r="M90" t="s">
        <v>1488</v>
      </c>
      <c r="N90" t="s">
        <v>1489</v>
      </c>
      <c r="O90" t="s">
        <v>1585</v>
      </c>
      <c r="P90" t="s">
        <v>1491</v>
      </c>
      <c r="Q90" t="s">
        <v>1709</v>
      </c>
      <c r="R90" t="s">
        <v>1492</v>
      </c>
      <c r="S90" t="s">
        <v>1493</v>
      </c>
      <c r="T90" t="s">
        <v>1494</v>
      </c>
      <c r="U90" t="s">
        <v>1495</v>
      </c>
      <c r="V90" t="s">
        <v>1710</v>
      </c>
      <c r="W90">
        <v>603</v>
      </c>
      <c r="X90" t="s">
        <v>1711</v>
      </c>
      <c r="Y90" t="s">
        <v>1712</v>
      </c>
      <c r="Z90">
        <v>2</v>
      </c>
      <c r="AA90" t="s">
        <v>58</v>
      </c>
    </row>
    <row r="91" spans="1:27" x14ac:dyDescent="0.25">
      <c r="A91" t="s">
        <v>1485</v>
      </c>
      <c r="B91" t="s">
        <v>1486</v>
      </c>
      <c r="C91" t="s">
        <v>1966</v>
      </c>
      <c r="D91" t="s">
        <v>1967</v>
      </c>
      <c r="E91" t="s">
        <v>593</v>
      </c>
      <c r="F91" t="s">
        <v>1968</v>
      </c>
      <c r="G91">
        <v>7473</v>
      </c>
      <c r="H91">
        <v>0</v>
      </c>
      <c r="I91" t="s">
        <v>1459</v>
      </c>
      <c r="J91">
        <v>0</v>
      </c>
      <c r="K91">
        <v>1</v>
      </c>
      <c r="L91" t="s">
        <v>1487</v>
      </c>
      <c r="M91" t="s">
        <v>1488</v>
      </c>
      <c r="N91" t="s">
        <v>1489</v>
      </c>
      <c r="O91" t="s">
        <v>1969</v>
      </c>
      <c r="P91" t="s">
        <v>1491</v>
      </c>
      <c r="Q91" t="s">
        <v>1709</v>
      </c>
      <c r="R91" t="s">
        <v>1492</v>
      </c>
      <c r="S91" t="s">
        <v>1493</v>
      </c>
      <c r="T91" t="s">
        <v>1494</v>
      </c>
      <c r="U91" t="s">
        <v>1495</v>
      </c>
      <c r="V91" t="s">
        <v>1710</v>
      </c>
      <c r="W91">
        <v>603</v>
      </c>
      <c r="X91" t="s">
        <v>1711</v>
      </c>
      <c r="Y91" t="s">
        <v>1712</v>
      </c>
      <c r="Z91">
        <v>2</v>
      </c>
      <c r="AA91" t="s">
        <v>58</v>
      </c>
    </row>
    <row r="92" spans="1:27" x14ac:dyDescent="0.25">
      <c r="A92" t="s">
        <v>1485</v>
      </c>
      <c r="B92" t="s">
        <v>1486</v>
      </c>
      <c r="C92" t="s">
        <v>1970</v>
      </c>
      <c r="D92" t="s">
        <v>1971</v>
      </c>
      <c r="E92" t="s">
        <v>593</v>
      </c>
      <c r="F92" t="s">
        <v>1972</v>
      </c>
      <c r="G92">
        <v>9517</v>
      </c>
      <c r="H92">
        <v>0</v>
      </c>
      <c r="I92" t="s">
        <v>1459</v>
      </c>
      <c r="J92">
        <v>0</v>
      </c>
      <c r="K92">
        <v>1</v>
      </c>
      <c r="L92" t="s">
        <v>1487</v>
      </c>
      <c r="M92" t="s">
        <v>1488</v>
      </c>
      <c r="N92" t="s">
        <v>1489</v>
      </c>
      <c r="O92" t="s">
        <v>1973</v>
      </c>
      <c r="P92" t="s">
        <v>1491</v>
      </c>
      <c r="Q92" t="s">
        <v>1709</v>
      </c>
      <c r="R92" t="s">
        <v>1492</v>
      </c>
      <c r="S92" t="s">
        <v>1493</v>
      </c>
      <c r="T92" t="s">
        <v>1494</v>
      </c>
      <c r="U92" t="s">
        <v>1495</v>
      </c>
      <c r="V92" t="s">
        <v>1710</v>
      </c>
      <c r="W92">
        <v>603</v>
      </c>
      <c r="X92" t="s">
        <v>1711</v>
      </c>
      <c r="Y92" t="s">
        <v>1712</v>
      </c>
      <c r="Z92">
        <v>2</v>
      </c>
      <c r="AA92" t="s">
        <v>58</v>
      </c>
    </row>
    <row r="93" spans="1:27" x14ac:dyDescent="0.25">
      <c r="A93" t="s">
        <v>1485</v>
      </c>
      <c r="B93" t="s">
        <v>1486</v>
      </c>
      <c r="C93" t="s">
        <v>1974</v>
      </c>
      <c r="D93" t="s">
        <v>1975</v>
      </c>
      <c r="E93" t="s">
        <v>593</v>
      </c>
      <c r="F93" t="s">
        <v>1976</v>
      </c>
      <c r="G93">
        <v>9821</v>
      </c>
      <c r="H93">
        <v>0</v>
      </c>
      <c r="I93" t="s">
        <v>1459</v>
      </c>
      <c r="J93">
        <v>0</v>
      </c>
      <c r="K93">
        <v>1</v>
      </c>
      <c r="L93" t="s">
        <v>1487</v>
      </c>
      <c r="M93" t="s">
        <v>1488</v>
      </c>
      <c r="N93" t="s">
        <v>1489</v>
      </c>
      <c r="O93" t="s">
        <v>1977</v>
      </c>
      <c r="P93" t="s">
        <v>1491</v>
      </c>
      <c r="Q93" t="s">
        <v>1709</v>
      </c>
      <c r="R93" t="s">
        <v>1492</v>
      </c>
      <c r="S93" t="s">
        <v>1493</v>
      </c>
      <c r="T93" t="s">
        <v>1494</v>
      </c>
      <c r="U93" t="s">
        <v>1495</v>
      </c>
      <c r="V93" t="s">
        <v>1710</v>
      </c>
      <c r="W93">
        <v>603</v>
      </c>
      <c r="X93" t="s">
        <v>1711</v>
      </c>
      <c r="Y93" t="s">
        <v>1712</v>
      </c>
      <c r="Z93">
        <v>2</v>
      </c>
      <c r="AA93" t="s">
        <v>58</v>
      </c>
    </row>
    <row r="94" spans="1:27" x14ac:dyDescent="0.25">
      <c r="A94" t="s">
        <v>1485</v>
      </c>
      <c r="B94" t="s">
        <v>1486</v>
      </c>
      <c r="C94" t="s">
        <v>1978</v>
      </c>
      <c r="D94" t="s">
        <v>1979</v>
      </c>
      <c r="E94" t="s">
        <v>593</v>
      </c>
      <c r="F94" t="s">
        <v>1980</v>
      </c>
      <c r="G94">
        <v>9327</v>
      </c>
      <c r="H94">
        <v>0</v>
      </c>
      <c r="I94" t="s">
        <v>1459</v>
      </c>
      <c r="J94">
        <v>0</v>
      </c>
      <c r="K94">
        <v>1</v>
      </c>
      <c r="L94" t="s">
        <v>1487</v>
      </c>
      <c r="M94" t="s">
        <v>1488</v>
      </c>
      <c r="N94" t="s">
        <v>1489</v>
      </c>
      <c r="O94" t="s">
        <v>1579</v>
      </c>
      <c r="P94" t="s">
        <v>1491</v>
      </c>
      <c r="Q94" t="s">
        <v>1709</v>
      </c>
      <c r="R94" t="s">
        <v>1492</v>
      </c>
      <c r="S94" t="s">
        <v>1493</v>
      </c>
      <c r="T94" t="s">
        <v>1494</v>
      </c>
      <c r="U94" t="s">
        <v>1495</v>
      </c>
      <c r="V94" t="s">
        <v>1710</v>
      </c>
      <c r="W94">
        <v>603</v>
      </c>
      <c r="X94" t="s">
        <v>1711</v>
      </c>
      <c r="Y94" t="s">
        <v>1712</v>
      </c>
      <c r="Z94">
        <v>2</v>
      </c>
      <c r="AA94" t="s">
        <v>58</v>
      </c>
    </row>
    <row r="95" spans="1:27" x14ac:dyDescent="0.25">
      <c r="A95" t="s">
        <v>1485</v>
      </c>
      <c r="B95" t="s">
        <v>1486</v>
      </c>
      <c r="C95" t="s">
        <v>1981</v>
      </c>
      <c r="D95" t="s">
        <v>1982</v>
      </c>
      <c r="E95" t="s">
        <v>593</v>
      </c>
      <c r="F95" t="s">
        <v>1983</v>
      </c>
      <c r="G95">
        <v>8569</v>
      </c>
      <c r="H95">
        <v>0</v>
      </c>
      <c r="I95" t="s">
        <v>1459</v>
      </c>
      <c r="J95">
        <v>0</v>
      </c>
      <c r="K95">
        <v>1</v>
      </c>
      <c r="L95" t="s">
        <v>1487</v>
      </c>
      <c r="M95" t="s">
        <v>1488</v>
      </c>
      <c r="N95" t="s">
        <v>1489</v>
      </c>
      <c r="O95" t="s">
        <v>1626</v>
      </c>
      <c r="P95" t="s">
        <v>1491</v>
      </c>
      <c r="Q95" t="s">
        <v>1709</v>
      </c>
      <c r="R95" t="s">
        <v>1492</v>
      </c>
      <c r="S95" t="s">
        <v>1493</v>
      </c>
      <c r="T95" t="s">
        <v>1494</v>
      </c>
      <c r="U95" t="s">
        <v>1495</v>
      </c>
      <c r="V95" t="s">
        <v>1710</v>
      </c>
      <c r="W95">
        <v>603</v>
      </c>
      <c r="X95" t="s">
        <v>1711</v>
      </c>
      <c r="Y95" t="s">
        <v>1712</v>
      </c>
      <c r="Z95">
        <v>2</v>
      </c>
      <c r="AA95" t="s">
        <v>58</v>
      </c>
    </row>
    <row r="96" spans="1:27" x14ac:dyDescent="0.25">
      <c r="A96" t="s">
        <v>1485</v>
      </c>
      <c r="B96" t="s">
        <v>1486</v>
      </c>
      <c r="C96" t="s">
        <v>1984</v>
      </c>
      <c r="D96" t="s">
        <v>1985</v>
      </c>
      <c r="E96" t="s">
        <v>593</v>
      </c>
      <c r="F96" t="s">
        <v>1986</v>
      </c>
      <c r="G96">
        <v>5811</v>
      </c>
      <c r="H96">
        <v>0</v>
      </c>
      <c r="I96" t="s">
        <v>1459</v>
      </c>
      <c r="J96">
        <v>0</v>
      </c>
      <c r="K96">
        <v>1</v>
      </c>
      <c r="L96" t="s">
        <v>1487</v>
      </c>
      <c r="M96" t="s">
        <v>1488</v>
      </c>
      <c r="N96" t="s">
        <v>1489</v>
      </c>
      <c r="O96" t="s">
        <v>1581</v>
      </c>
      <c r="P96" t="s">
        <v>1491</v>
      </c>
      <c r="Q96" t="s">
        <v>1709</v>
      </c>
      <c r="R96" t="s">
        <v>1492</v>
      </c>
      <c r="S96" t="s">
        <v>1493</v>
      </c>
      <c r="T96" t="s">
        <v>1494</v>
      </c>
      <c r="U96" t="s">
        <v>1495</v>
      </c>
      <c r="V96" t="s">
        <v>1710</v>
      </c>
      <c r="W96">
        <v>603</v>
      </c>
      <c r="X96" t="s">
        <v>1711</v>
      </c>
      <c r="Y96" t="s">
        <v>1712</v>
      </c>
      <c r="Z96">
        <v>2</v>
      </c>
      <c r="AA96" t="s">
        <v>58</v>
      </c>
    </row>
    <row r="97" spans="1:27" x14ac:dyDescent="0.25">
      <c r="A97" t="s">
        <v>1485</v>
      </c>
      <c r="B97" t="s">
        <v>1486</v>
      </c>
      <c r="C97" t="s">
        <v>1987</v>
      </c>
      <c r="D97" t="s">
        <v>1988</v>
      </c>
      <c r="E97" t="s">
        <v>593</v>
      </c>
      <c r="F97" t="s">
        <v>1989</v>
      </c>
      <c r="G97">
        <v>9656</v>
      </c>
      <c r="H97">
        <v>0</v>
      </c>
      <c r="I97" t="s">
        <v>1459</v>
      </c>
      <c r="J97">
        <v>0</v>
      </c>
      <c r="K97">
        <v>1</v>
      </c>
      <c r="L97" t="s">
        <v>1487</v>
      </c>
      <c r="M97" t="s">
        <v>1488</v>
      </c>
      <c r="N97" t="s">
        <v>1489</v>
      </c>
      <c r="O97" t="s">
        <v>1598</v>
      </c>
      <c r="P97" t="s">
        <v>1491</v>
      </c>
      <c r="Q97" t="s">
        <v>1709</v>
      </c>
      <c r="R97" t="s">
        <v>1492</v>
      </c>
      <c r="S97" t="s">
        <v>1493</v>
      </c>
      <c r="T97" t="s">
        <v>1494</v>
      </c>
      <c r="U97" t="s">
        <v>1495</v>
      </c>
      <c r="V97" t="s">
        <v>1710</v>
      </c>
      <c r="W97">
        <v>603</v>
      </c>
      <c r="X97" t="s">
        <v>1711</v>
      </c>
      <c r="Y97" t="s">
        <v>1712</v>
      </c>
      <c r="Z97">
        <v>2</v>
      </c>
      <c r="AA97" t="s">
        <v>58</v>
      </c>
    </row>
    <row r="98" spans="1:27" x14ac:dyDescent="0.25">
      <c r="A98" t="s">
        <v>1485</v>
      </c>
      <c r="B98" t="s">
        <v>1486</v>
      </c>
      <c r="C98" t="s">
        <v>1990</v>
      </c>
      <c r="D98" t="s">
        <v>1991</v>
      </c>
      <c r="E98" t="s">
        <v>593</v>
      </c>
      <c r="F98" t="s">
        <v>1992</v>
      </c>
      <c r="G98">
        <v>9670</v>
      </c>
      <c r="H98">
        <v>0</v>
      </c>
      <c r="I98" t="s">
        <v>1459</v>
      </c>
      <c r="J98">
        <v>0</v>
      </c>
      <c r="K98">
        <v>1</v>
      </c>
      <c r="L98" t="s">
        <v>1487</v>
      </c>
      <c r="M98" t="s">
        <v>1488</v>
      </c>
      <c r="N98" t="s">
        <v>1489</v>
      </c>
      <c r="O98" t="s">
        <v>1993</v>
      </c>
      <c r="P98" t="s">
        <v>1491</v>
      </c>
      <c r="Q98" t="s">
        <v>1709</v>
      </c>
      <c r="R98" t="s">
        <v>1492</v>
      </c>
      <c r="S98" t="s">
        <v>1493</v>
      </c>
      <c r="T98" t="s">
        <v>1494</v>
      </c>
      <c r="U98" t="s">
        <v>1495</v>
      </c>
      <c r="V98" t="s">
        <v>1710</v>
      </c>
      <c r="W98">
        <v>603</v>
      </c>
      <c r="X98" t="s">
        <v>1711</v>
      </c>
      <c r="Y98" t="s">
        <v>1712</v>
      </c>
      <c r="Z98">
        <v>2</v>
      </c>
      <c r="AA98" t="s">
        <v>58</v>
      </c>
    </row>
    <row r="99" spans="1:27" x14ac:dyDescent="0.25">
      <c r="A99" t="s">
        <v>1485</v>
      </c>
      <c r="B99" t="s">
        <v>1486</v>
      </c>
      <c r="C99" t="s">
        <v>1994</v>
      </c>
      <c r="D99" t="s">
        <v>1995</v>
      </c>
      <c r="E99" t="s">
        <v>593</v>
      </c>
      <c r="F99" t="s">
        <v>1996</v>
      </c>
      <c r="G99">
        <v>5020</v>
      </c>
      <c r="H99">
        <v>0</v>
      </c>
      <c r="I99" t="s">
        <v>1459</v>
      </c>
      <c r="J99">
        <v>0</v>
      </c>
      <c r="K99">
        <v>1</v>
      </c>
      <c r="L99" t="s">
        <v>1487</v>
      </c>
      <c r="M99" t="s">
        <v>1488</v>
      </c>
      <c r="N99" t="s">
        <v>1489</v>
      </c>
      <c r="O99" t="s">
        <v>1997</v>
      </c>
      <c r="P99" t="s">
        <v>1491</v>
      </c>
      <c r="Q99" t="s">
        <v>1709</v>
      </c>
      <c r="R99" t="s">
        <v>1492</v>
      </c>
      <c r="S99" t="s">
        <v>1493</v>
      </c>
      <c r="T99" t="s">
        <v>1494</v>
      </c>
      <c r="U99" t="s">
        <v>1495</v>
      </c>
      <c r="V99" t="s">
        <v>1710</v>
      </c>
      <c r="W99">
        <v>603</v>
      </c>
      <c r="X99" t="s">
        <v>1711</v>
      </c>
      <c r="Y99" t="s">
        <v>1712</v>
      </c>
      <c r="Z99">
        <v>2</v>
      </c>
      <c r="AA99" t="s">
        <v>58</v>
      </c>
    </row>
    <row r="100" spans="1:27" x14ac:dyDescent="0.25">
      <c r="A100" t="s">
        <v>1485</v>
      </c>
      <c r="B100" t="s">
        <v>1486</v>
      </c>
      <c r="C100" t="s">
        <v>1998</v>
      </c>
      <c r="D100" t="s">
        <v>1999</v>
      </c>
      <c r="E100" t="s">
        <v>593</v>
      </c>
      <c r="F100" t="s">
        <v>2000</v>
      </c>
      <c r="G100">
        <v>6596</v>
      </c>
      <c r="H100">
        <v>0</v>
      </c>
      <c r="I100" t="s">
        <v>1459</v>
      </c>
      <c r="J100">
        <v>0</v>
      </c>
      <c r="K100">
        <v>1</v>
      </c>
      <c r="L100" t="s">
        <v>1487</v>
      </c>
      <c r="M100" t="s">
        <v>1488</v>
      </c>
      <c r="N100" t="s">
        <v>1489</v>
      </c>
      <c r="O100" t="s">
        <v>1582</v>
      </c>
      <c r="P100" t="s">
        <v>1491</v>
      </c>
      <c r="Q100" t="s">
        <v>1709</v>
      </c>
      <c r="R100" t="s">
        <v>1492</v>
      </c>
      <c r="S100" t="s">
        <v>1493</v>
      </c>
      <c r="T100" t="s">
        <v>1494</v>
      </c>
      <c r="U100" t="s">
        <v>1495</v>
      </c>
      <c r="V100" t="s">
        <v>1710</v>
      </c>
      <c r="W100">
        <v>603</v>
      </c>
      <c r="X100" t="s">
        <v>1711</v>
      </c>
      <c r="Y100" t="s">
        <v>1712</v>
      </c>
      <c r="Z100">
        <v>2</v>
      </c>
      <c r="AA100" t="s">
        <v>58</v>
      </c>
    </row>
    <row r="101" spans="1:27" x14ac:dyDescent="0.25">
      <c r="A101" t="s">
        <v>1485</v>
      </c>
      <c r="B101" t="s">
        <v>1486</v>
      </c>
      <c r="C101" t="s">
        <v>2001</v>
      </c>
      <c r="D101" t="s">
        <v>2002</v>
      </c>
      <c r="E101" t="s">
        <v>593</v>
      </c>
      <c r="F101" t="s">
        <v>2003</v>
      </c>
      <c r="G101">
        <v>6701</v>
      </c>
      <c r="H101">
        <v>0</v>
      </c>
      <c r="I101" t="s">
        <v>1459</v>
      </c>
      <c r="J101">
        <v>0</v>
      </c>
      <c r="K101">
        <v>1</v>
      </c>
      <c r="L101" t="s">
        <v>1487</v>
      </c>
      <c r="M101" t="s">
        <v>1488</v>
      </c>
      <c r="N101" t="s">
        <v>1489</v>
      </c>
      <c r="O101" t="s">
        <v>1633</v>
      </c>
      <c r="P101" t="s">
        <v>1491</v>
      </c>
      <c r="Q101" t="s">
        <v>1709</v>
      </c>
      <c r="R101" t="s">
        <v>1492</v>
      </c>
      <c r="S101" t="s">
        <v>1493</v>
      </c>
      <c r="T101" t="s">
        <v>1494</v>
      </c>
      <c r="U101" t="s">
        <v>1495</v>
      </c>
      <c r="V101" t="s">
        <v>1710</v>
      </c>
      <c r="W101">
        <v>603</v>
      </c>
      <c r="X101" t="s">
        <v>1711</v>
      </c>
      <c r="Y101" t="s">
        <v>1712</v>
      </c>
      <c r="Z101">
        <v>2</v>
      </c>
      <c r="AA101" t="s">
        <v>58</v>
      </c>
    </row>
    <row r="102" spans="1:27" x14ac:dyDescent="0.25">
      <c r="A102" t="s">
        <v>1485</v>
      </c>
      <c r="B102" t="s">
        <v>1486</v>
      </c>
      <c r="C102" t="s">
        <v>2004</v>
      </c>
      <c r="D102" t="s">
        <v>2005</v>
      </c>
      <c r="E102" t="s">
        <v>593</v>
      </c>
      <c r="F102" t="s">
        <v>2006</v>
      </c>
      <c r="G102">
        <v>9570</v>
      </c>
      <c r="H102">
        <v>0</v>
      </c>
      <c r="I102" t="s">
        <v>1459</v>
      </c>
      <c r="J102">
        <v>0</v>
      </c>
      <c r="K102">
        <v>1</v>
      </c>
      <c r="L102" t="s">
        <v>1487</v>
      </c>
      <c r="M102" t="s">
        <v>1488</v>
      </c>
      <c r="N102" t="s">
        <v>1489</v>
      </c>
      <c r="O102" t="s">
        <v>1583</v>
      </c>
      <c r="P102" t="s">
        <v>1491</v>
      </c>
      <c r="Q102" t="s">
        <v>1709</v>
      </c>
      <c r="R102" t="s">
        <v>1492</v>
      </c>
      <c r="S102" t="s">
        <v>1493</v>
      </c>
      <c r="T102" t="s">
        <v>1494</v>
      </c>
      <c r="U102" t="s">
        <v>1495</v>
      </c>
      <c r="V102" t="s">
        <v>1710</v>
      </c>
      <c r="W102">
        <v>603</v>
      </c>
      <c r="X102" t="s">
        <v>1711</v>
      </c>
      <c r="Y102" t="s">
        <v>1712</v>
      </c>
      <c r="Z102">
        <v>2</v>
      </c>
      <c r="AA102" t="s">
        <v>58</v>
      </c>
    </row>
    <row r="103" spans="1:27" x14ac:dyDescent="0.25">
      <c r="A103" t="s">
        <v>1485</v>
      </c>
      <c r="B103" t="s">
        <v>1486</v>
      </c>
      <c r="C103" t="s">
        <v>2007</v>
      </c>
      <c r="D103" t="s">
        <v>2008</v>
      </c>
      <c r="E103" t="s">
        <v>593</v>
      </c>
      <c r="F103" t="s">
        <v>2009</v>
      </c>
      <c r="G103">
        <v>9443</v>
      </c>
      <c r="H103">
        <v>0</v>
      </c>
      <c r="I103" t="s">
        <v>1459</v>
      </c>
      <c r="J103">
        <v>0</v>
      </c>
      <c r="K103">
        <v>1</v>
      </c>
      <c r="L103" t="s">
        <v>1487</v>
      </c>
      <c r="M103" t="s">
        <v>1488</v>
      </c>
      <c r="N103" t="s">
        <v>1489</v>
      </c>
      <c r="O103" t="s">
        <v>2010</v>
      </c>
      <c r="P103" t="s">
        <v>1491</v>
      </c>
      <c r="Q103" t="s">
        <v>1709</v>
      </c>
      <c r="R103" t="s">
        <v>1492</v>
      </c>
      <c r="S103" t="s">
        <v>1493</v>
      </c>
      <c r="T103" t="s">
        <v>1494</v>
      </c>
      <c r="U103" t="s">
        <v>1495</v>
      </c>
      <c r="V103" t="s">
        <v>1710</v>
      </c>
      <c r="W103">
        <v>603</v>
      </c>
      <c r="X103" t="s">
        <v>1711</v>
      </c>
      <c r="Y103" t="s">
        <v>1712</v>
      </c>
      <c r="Z103">
        <v>2</v>
      </c>
      <c r="AA103" t="s">
        <v>58</v>
      </c>
    </row>
    <row r="104" spans="1:27" x14ac:dyDescent="0.25">
      <c r="A104" t="s">
        <v>1485</v>
      </c>
      <c r="B104" t="s">
        <v>1486</v>
      </c>
      <c r="C104" t="s">
        <v>2011</v>
      </c>
      <c r="D104" t="s">
        <v>2012</v>
      </c>
      <c r="E104" t="s">
        <v>593</v>
      </c>
      <c r="F104" t="s">
        <v>2013</v>
      </c>
      <c r="G104">
        <v>9770</v>
      </c>
      <c r="H104">
        <v>0</v>
      </c>
      <c r="I104" t="s">
        <v>1459</v>
      </c>
      <c r="J104">
        <v>0</v>
      </c>
      <c r="K104">
        <v>1</v>
      </c>
      <c r="L104" t="s">
        <v>1487</v>
      </c>
      <c r="M104" t="s">
        <v>1488</v>
      </c>
      <c r="N104" t="s">
        <v>1489</v>
      </c>
      <c r="O104" t="s">
        <v>1584</v>
      </c>
      <c r="P104" t="s">
        <v>1491</v>
      </c>
      <c r="Q104" t="s">
        <v>1709</v>
      </c>
      <c r="R104" t="s">
        <v>1492</v>
      </c>
      <c r="S104" t="s">
        <v>1493</v>
      </c>
      <c r="T104" t="s">
        <v>1494</v>
      </c>
      <c r="U104" t="s">
        <v>1495</v>
      </c>
      <c r="V104" t="s">
        <v>1710</v>
      </c>
      <c r="W104">
        <v>603</v>
      </c>
      <c r="X104" t="s">
        <v>1711</v>
      </c>
      <c r="Y104" t="s">
        <v>1712</v>
      </c>
      <c r="Z104">
        <v>2</v>
      </c>
      <c r="AA104" t="s">
        <v>58</v>
      </c>
    </row>
    <row r="105" spans="1:27" x14ac:dyDescent="0.25">
      <c r="A105" t="s">
        <v>1485</v>
      </c>
      <c r="B105" t="s">
        <v>1486</v>
      </c>
      <c r="C105" t="s">
        <v>2014</v>
      </c>
      <c r="D105" t="s">
        <v>2015</v>
      </c>
      <c r="E105" t="s">
        <v>593</v>
      </c>
      <c r="F105" t="s">
        <v>2016</v>
      </c>
      <c r="G105">
        <v>9715</v>
      </c>
      <c r="H105">
        <v>0</v>
      </c>
      <c r="I105" t="s">
        <v>1459</v>
      </c>
      <c r="J105">
        <v>0</v>
      </c>
      <c r="K105">
        <v>1</v>
      </c>
      <c r="L105" t="s">
        <v>1487</v>
      </c>
      <c r="M105" t="s">
        <v>1488</v>
      </c>
      <c r="N105" t="s">
        <v>1489</v>
      </c>
      <c r="O105" t="s">
        <v>2017</v>
      </c>
      <c r="P105" t="s">
        <v>1491</v>
      </c>
      <c r="Q105" t="s">
        <v>1709</v>
      </c>
      <c r="R105" t="s">
        <v>1492</v>
      </c>
      <c r="S105" t="s">
        <v>1493</v>
      </c>
      <c r="T105" t="s">
        <v>1494</v>
      </c>
      <c r="U105" t="s">
        <v>1495</v>
      </c>
      <c r="V105" t="s">
        <v>1710</v>
      </c>
      <c r="W105">
        <v>603</v>
      </c>
      <c r="X105" t="s">
        <v>1711</v>
      </c>
      <c r="Y105" t="s">
        <v>1712</v>
      </c>
      <c r="Z105">
        <v>2</v>
      </c>
      <c r="AA105" t="s">
        <v>58</v>
      </c>
    </row>
    <row r="106" spans="1:27" x14ac:dyDescent="0.25">
      <c r="A106" t="s">
        <v>1485</v>
      </c>
      <c r="B106" t="s">
        <v>1486</v>
      </c>
      <c r="C106" t="s">
        <v>2018</v>
      </c>
      <c r="D106" t="s">
        <v>2019</v>
      </c>
      <c r="E106" t="s">
        <v>593</v>
      </c>
      <c r="F106" t="s">
        <v>2020</v>
      </c>
      <c r="G106">
        <v>9111</v>
      </c>
      <c r="H106">
        <v>0</v>
      </c>
      <c r="I106" t="s">
        <v>1459</v>
      </c>
      <c r="J106">
        <v>0</v>
      </c>
      <c r="K106">
        <v>1</v>
      </c>
      <c r="L106" t="s">
        <v>1487</v>
      </c>
      <c r="M106" t="s">
        <v>1488</v>
      </c>
      <c r="N106" t="s">
        <v>1489</v>
      </c>
      <c r="O106" t="s">
        <v>1597</v>
      </c>
      <c r="P106" t="s">
        <v>1491</v>
      </c>
      <c r="Q106" t="s">
        <v>1709</v>
      </c>
      <c r="R106" t="s">
        <v>1492</v>
      </c>
      <c r="S106" t="s">
        <v>1493</v>
      </c>
      <c r="T106" t="s">
        <v>1494</v>
      </c>
      <c r="U106" t="s">
        <v>1495</v>
      </c>
      <c r="V106" t="s">
        <v>1710</v>
      </c>
      <c r="W106">
        <v>603</v>
      </c>
      <c r="X106" t="s">
        <v>1711</v>
      </c>
      <c r="Y106" t="s">
        <v>1712</v>
      </c>
      <c r="Z106">
        <v>2</v>
      </c>
      <c r="AA106" t="s">
        <v>58</v>
      </c>
    </row>
    <row r="107" spans="1:27" x14ac:dyDescent="0.25">
      <c r="A107" t="s">
        <v>1485</v>
      </c>
      <c r="B107" t="s">
        <v>1486</v>
      </c>
      <c r="C107" t="s">
        <v>2021</v>
      </c>
      <c r="D107" t="s">
        <v>2022</v>
      </c>
      <c r="E107" t="s">
        <v>593</v>
      </c>
      <c r="F107" t="s">
        <v>2023</v>
      </c>
      <c r="G107">
        <v>8682</v>
      </c>
      <c r="H107">
        <v>0</v>
      </c>
      <c r="I107" t="s">
        <v>1459</v>
      </c>
      <c r="J107">
        <v>0</v>
      </c>
      <c r="K107">
        <v>1</v>
      </c>
      <c r="L107" t="s">
        <v>1487</v>
      </c>
      <c r="M107" t="s">
        <v>1488</v>
      </c>
      <c r="N107" t="s">
        <v>1489</v>
      </c>
      <c r="O107" t="s">
        <v>1577</v>
      </c>
      <c r="P107" t="s">
        <v>1491</v>
      </c>
      <c r="Q107" t="s">
        <v>1709</v>
      </c>
      <c r="R107" t="s">
        <v>1492</v>
      </c>
      <c r="S107" t="s">
        <v>1493</v>
      </c>
      <c r="T107" t="s">
        <v>1494</v>
      </c>
      <c r="U107" t="s">
        <v>1495</v>
      </c>
      <c r="V107" t="s">
        <v>1710</v>
      </c>
      <c r="W107">
        <v>603</v>
      </c>
      <c r="X107" t="s">
        <v>1711</v>
      </c>
      <c r="Y107" t="s">
        <v>1712</v>
      </c>
      <c r="Z107">
        <v>2</v>
      </c>
      <c r="AA107" t="s">
        <v>58</v>
      </c>
    </row>
    <row r="108" spans="1:27" x14ac:dyDescent="0.25">
      <c r="A108" t="s">
        <v>1485</v>
      </c>
      <c r="B108" t="s">
        <v>1486</v>
      </c>
      <c r="C108" t="s">
        <v>2024</v>
      </c>
      <c r="D108" t="s">
        <v>2025</v>
      </c>
      <c r="E108" t="s">
        <v>593</v>
      </c>
      <c r="F108" t="s">
        <v>2026</v>
      </c>
      <c r="G108">
        <v>8618</v>
      </c>
      <c r="H108">
        <v>0</v>
      </c>
      <c r="I108" t="s">
        <v>1459</v>
      </c>
      <c r="J108">
        <v>0</v>
      </c>
      <c r="K108">
        <v>1</v>
      </c>
      <c r="L108" t="s">
        <v>1487</v>
      </c>
      <c r="M108" t="s">
        <v>1488</v>
      </c>
      <c r="N108" t="s">
        <v>1489</v>
      </c>
      <c r="O108" t="s">
        <v>2027</v>
      </c>
      <c r="P108" t="s">
        <v>1491</v>
      </c>
      <c r="Q108" t="s">
        <v>1709</v>
      </c>
      <c r="R108" t="s">
        <v>1492</v>
      </c>
      <c r="S108" t="s">
        <v>1493</v>
      </c>
      <c r="T108" t="s">
        <v>1494</v>
      </c>
      <c r="U108" t="s">
        <v>1495</v>
      </c>
      <c r="V108" t="s">
        <v>1710</v>
      </c>
      <c r="W108">
        <v>603</v>
      </c>
      <c r="X108" t="s">
        <v>1711</v>
      </c>
      <c r="Y108" t="s">
        <v>1712</v>
      </c>
      <c r="Z108">
        <v>2</v>
      </c>
      <c r="AA108" t="s">
        <v>58</v>
      </c>
    </row>
    <row r="109" spans="1:27" x14ac:dyDescent="0.25">
      <c r="A109" t="s">
        <v>1485</v>
      </c>
      <c r="B109" t="s">
        <v>1486</v>
      </c>
      <c r="C109" t="s">
        <v>2028</v>
      </c>
      <c r="D109" t="s">
        <v>2029</v>
      </c>
      <c r="E109" t="s">
        <v>593</v>
      </c>
      <c r="F109" t="s">
        <v>2030</v>
      </c>
      <c r="G109">
        <v>8275</v>
      </c>
      <c r="H109">
        <v>0</v>
      </c>
      <c r="I109" t="s">
        <v>1459</v>
      </c>
      <c r="J109">
        <v>0</v>
      </c>
      <c r="K109">
        <v>1</v>
      </c>
      <c r="L109" t="s">
        <v>1487</v>
      </c>
      <c r="M109" t="s">
        <v>1488</v>
      </c>
      <c r="N109" t="s">
        <v>1489</v>
      </c>
      <c r="O109" t="s">
        <v>1613</v>
      </c>
      <c r="P109" t="s">
        <v>1491</v>
      </c>
      <c r="Q109" t="s">
        <v>1709</v>
      </c>
      <c r="R109" t="s">
        <v>1492</v>
      </c>
      <c r="S109" t="s">
        <v>1493</v>
      </c>
      <c r="T109" t="s">
        <v>1494</v>
      </c>
      <c r="U109" t="s">
        <v>1495</v>
      </c>
      <c r="V109" t="s">
        <v>1710</v>
      </c>
      <c r="W109">
        <v>603</v>
      </c>
      <c r="X109" t="s">
        <v>1711</v>
      </c>
      <c r="Y109" t="s">
        <v>1712</v>
      </c>
      <c r="Z109">
        <v>2</v>
      </c>
      <c r="AA109" t="s">
        <v>58</v>
      </c>
    </row>
    <row r="110" spans="1:27" x14ac:dyDescent="0.25">
      <c r="A110" t="s">
        <v>1485</v>
      </c>
      <c r="B110" t="s">
        <v>1486</v>
      </c>
      <c r="C110" t="s">
        <v>2031</v>
      </c>
      <c r="D110" t="s">
        <v>2032</v>
      </c>
      <c r="E110" t="s">
        <v>593</v>
      </c>
      <c r="F110" t="s">
        <v>2033</v>
      </c>
      <c r="G110">
        <v>8134</v>
      </c>
      <c r="H110">
        <v>0</v>
      </c>
      <c r="I110" t="s">
        <v>1459</v>
      </c>
      <c r="J110">
        <v>0</v>
      </c>
      <c r="K110">
        <v>1</v>
      </c>
      <c r="L110" t="s">
        <v>1487</v>
      </c>
      <c r="M110" t="s">
        <v>1488</v>
      </c>
      <c r="N110" t="s">
        <v>1489</v>
      </c>
      <c r="O110" t="s">
        <v>1605</v>
      </c>
      <c r="P110" t="s">
        <v>1491</v>
      </c>
      <c r="Q110" t="s">
        <v>1709</v>
      </c>
      <c r="R110" t="s">
        <v>1492</v>
      </c>
      <c r="S110" t="s">
        <v>1493</v>
      </c>
      <c r="T110" t="s">
        <v>1494</v>
      </c>
      <c r="U110" t="s">
        <v>1495</v>
      </c>
      <c r="V110" t="s">
        <v>1710</v>
      </c>
      <c r="W110">
        <v>603</v>
      </c>
      <c r="X110" t="s">
        <v>1711</v>
      </c>
      <c r="Y110" t="s">
        <v>1712</v>
      </c>
      <c r="Z110">
        <v>2</v>
      </c>
      <c r="AA110" t="s">
        <v>58</v>
      </c>
    </row>
    <row r="111" spans="1:27" x14ac:dyDescent="0.25">
      <c r="A111" t="s">
        <v>1485</v>
      </c>
      <c r="B111" t="s">
        <v>1486</v>
      </c>
      <c r="C111" t="s">
        <v>2034</v>
      </c>
      <c r="D111" t="s">
        <v>2035</v>
      </c>
      <c r="E111" t="s">
        <v>593</v>
      </c>
      <c r="F111" t="s">
        <v>2036</v>
      </c>
      <c r="G111">
        <v>6511</v>
      </c>
      <c r="H111">
        <v>0</v>
      </c>
      <c r="I111" t="s">
        <v>1459</v>
      </c>
      <c r="J111">
        <v>0</v>
      </c>
      <c r="K111">
        <v>1</v>
      </c>
      <c r="L111" t="s">
        <v>1487</v>
      </c>
      <c r="M111" t="s">
        <v>1488</v>
      </c>
      <c r="N111" t="s">
        <v>1489</v>
      </c>
      <c r="O111" t="s">
        <v>2037</v>
      </c>
      <c r="P111" t="s">
        <v>1491</v>
      </c>
      <c r="Q111" t="s">
        <v>1709</v>
      </c>
      <c r="R111" t="s">
        <v>1492</v>
      </c>
      <c r="S111" t="s">
        <v>1493</v>
      </c>
      <c r="T111" t="s">
        <v>1494</v>
      </c>
      <c r="U111" t="s">
        <v>1495</v>
      </c>
      <c r="V111" t="s">
        <v>1710</v>
      </c>
      <c r="W111">
        <v>603</v>
      </c>
      <c r="X111" t="s">
        <v>1711</v>
      </c>
      <c r="Y111" t="s">
        <v>1712</v>
      </c>
      <c r="Z111">
        <v>2</v>
      </c>
      <c r="AA111" t="s">
        <v>58</v>
      </c>
    </row>
    <row r="112" spans="1:27" x14ac:dyDescent="0.25">
      <c r="A112" t="s">
        <v>1485</v>
      </c>
      <c r="B112" t="s">
        <v>1486</v>
      </c>
      <c r="C112" t="s">
        <v>2038</v>
      </c>
      <c r="D112" t="s">
        <v>2039</v>
      </c>
      <c r="E112" t="s">
        <v>593</v>
      </c>
      <c r="F112" t="s">
        <v>2040</v>
      </c>
      <c r="G112">
        <v>6506</v>
      </c>
      <c r="H112">
        <v>0</v>
      </c>
      <c r="I112" t="s">
        <v>1459</v>
      </c>
      <c r="J112">
        <v>0</v>
      </c>
      <c r="K112">
        <v>1</v>
      </c>
      <c r="L112" t="s">
        <v>1487</v>
      </c>
      <c r="M112" t="s">
        <v>1488</v>
      </c>
      <c r="N112" t="s">
        <v>1489</v>
      </c>
      <c r="O112" t="s">
        <v>1574</v>
      </c>
      <c r="P112" t="s">
        <v>1491</v>
      </c>
      <c r="Q112" t="s">
        <v>1709</v>
      </c>
      <c r="R112" t="s">
        <v>1492</v>
      </c>
      <c r="S112" t="s">
        <v>1493</v>
      </c>
      <c r="T112" t="s">
        <v>1494</v>
      </c>
      <c r="U112" t="s">
        <v>1495</v>
      </c>
      <c r="V112" t="s">
        <v>1710</v>
      </c>
      <c r="W112">
        <v>603</v>
      </c>
      <c r="X112" t="s">
        <v>1711</v>
      </c>
      <c r="Y112" t="s">
        <v>1712</v>
      </c>
      <c r="Z112">
        <v>2</v>
      </c>
      <c r="AA112" t="s">
        <v>58</v>
      </c>
    </row>
    <row r="113" spans="1:27" x14ac:dyDescent="0.25">
      <c r="A113" t="s">
        <v>1485</v>
      </c>
      <c r="B113" t="s">
        <v>1486</v>
      </c>
      <c r="C113" t="s">
        <v>2041</v>
      </c>
      <c r="D113" t="s">
        <v>2042</v>
      </c>
      <c r="E113" t="s">
        <v>593</v>
      </c>
      <c r="F113" t="s">
        <v>2043</v>
      </c>
      <c r="G113">
        <v>6178</v>
      </c>
      <c r="H113">
        <v>0</v>
      </c>
      <c r="I113" t="s">
        <v>1459</v>
      </c>
      <c r="J113">
        <v>0</v>
      </c>
      <c r="K113">
        <v>1</v>
      </c>
      <c r="L113" t="s">
        <v>1487</v>
      </c>
      <c r="M113" t="s">
        <v>1488</v>
      </c>
      <c r="N113" t="s">
        <v>1489</v>
      </c>
      <c r="O113" t="s">
        <v>1603</v>
      </c>
      <c r="P113" t="s">
        <v>1491</v>
      </c>
      <c r="Q113" t="s">
        <v>1709</v>
      </c>
      <c r="R113" t="s">
        <v>1492</v>
      </c>
      <c r="S113" t="s">
        <v>1493</v>
      </c>
      <c r="T113" t="s">
        <v>1494</v>
      </c>
      <c r="U113" t="s">
        <v>1495</v>
      </c>
      <c r="V113" t="s">
        <v>1710</v>
      </c>
      <c r="W113">
        <v>603</v>
      </c>
      <c r="X113" t="s">
        <v>1711</v>
      </c>
      <c r="Y113" t="s">
        <v>1712</v>
      </c>
      <c r="Z113">
        <v>2</v>
      </c>
      <c r="AA113" t="s">
        <v>58</v>
      </c>
    </row>
    <row r="114" spans="1:27" x14ac:dyDescent="0.25">
      <c r="A114" t="s">
        <v>1485</v>
      </c>
      <c r="B114" t="s">
        <v>1486</v>
      </c>
      <c r="C114" t="s">
        <v>1011</v>
      </c>
      <c r="D114" t="s">
        <v>1012</v>
      </c>
      <c r="E114" t="s">
        <v>593</v>
      </c>
      <c r="F114" t="s">
        <v>1013</v>
      </c>
      <c r="G114">
        <v>5997</v>
      </c>
      <c r="H114">
        <v>0</v>
      </c>
      <c r="I114" t="s">
        <v>1459</v>
      </c>
      <c r="J114">
        <v>0</v>
      </c>
      <c r="K114">
        <v>1</v>
      </c>
      <c r="L114" t="s">
        <v>1487</v>
      </c>
      <c r="M114" t="s">
        <v>1488</v>
      </c>
      <c r="N114" t="s">
        <v>1489</v>
      </c>
      <c r="O114" t="s">
        <v>1551</v>
      </c>
      <c r="P114" t="s">
        <v>1491</v>
      </c>
      <c r="Q114" t="s">
        <v>1709</v>
      </c>
      <c r="R114" t="s">
        <v>1492</v>
      </c>
      <c r="S114" t="s">
        <v>1493</v>
      </c>
      <c r="T114" t="s">
        <v>1494</v>
      </c>
      <c r="U114" t="s">
        <v>1495</v>
      </c>
      <c r="V114" t="s">
        <v>1710</v>
      </c>
      <c r="W114">
        <v>603</v>
      </c>
      <c r="X114" t="s">
        <v>1711</v>
      </c>
      <c r="Y114" t="s">
        <v>1712</v>
      </c>
      <c r="Z114">
        <v>2</v>
      </c>
      <c r="AA114" t="s">
        <v>58</v>
      </c>
    </row>
    <row r="115" spans="1:27" x14ac:dyDescent="0.25">
      <c r="A115" t="s">
        <v>1485</v>
      </c>
      <c r="B115" t="s">
        <v>1486</v>
      </c>
      <c r="C115" t="s">
        <v>2044</v>
      </c>
      <c r="D115" t="s">
        <v>2045</v>
      </c>
      <c r="E115" t="s">
        <v>593</v>
      </c>
      <c r="F115" t="s">
        <v>2046</v>
      </c>
      <c r="G115">
        <v>5868</v>
      </c>
      <c r="H115">
        <v>0</v>
      </c>
      <c r="I115" t="s">
        <v>1459</v>
      </c>
      <c r="J115">
        <v>0</v>
      </c>
      <c r="K115">
        <v>1</v>
      </c>
      <c r="L115" t="s">
        <v>1487</v>
      </c>
      <c r="M115" t="s">
        <v>1488</v>
      </c>
      <c r="N115" t="s">
        <v>1489</v>
      </c>
      <c r="O115" t="s">
        <v>1576</v>
      </c>
      <c r="P115" t="s">
        <v>1491</v>
      </c>
      <c r="Q115" t="s">
        <v>1709</v>
      </c>
      <c r="R115" t="s">
        <v>1492</v>
      </c>
      <c r="S115" t="s">
        <v>1493</v>
      </c>
      <c r="T115" t="s">
        <v>1494</v>
      </c>
      <c r="U115" t="s">
        <v>1495</v>
      </c>
      <c r="V115" t="s">
        <v>1710</v>
      </c>
      <c r="W115">
        <v>603</v>
      </c>
      <c r="X115" t="s">
        <v>1711</v>
      </c>
      <c r="Y115" t="s">
        <v>1712</v>
      </c>
      <c r="Z115">
        <v>2</v>
      </c>
      <c r="AA115" t="s">
        <v>58</v>
      </c>
    </row>
    <row r="116" spans="1:27" x14ac:dyDescent="0.25">
      <c r="A116" t="s">
        <v>1485</v>
      </c>
      <c r="B116" t="s">
        <v>1486</v>
      </c>
      <c r="C116" t="s">
        <v>2047</v>
      </c>
      <c r="D116" t="s">
        <v>2048</v>
      </c>
      <c r="E116" t="s">
        <v>593</v>
      </c>
      <c r="F116" t="s">
        <v>2049</v>
      </c>
      <c r="G116">
        <v>5865</v>
      </c>
      <c r="H116">
        <v>0</v>
      </c>
      <c r="I116" t="s">
        <v>1459</v>
      </c>
      <c r="J116">
        <v>0</v>
      </c>
      <c r="K116">
        <v>1</v>
      </c>
      <c r="L116" t="s">
        <v>1487</v>
      </c>
      <c r="M116" t="s">
        <v>1488</v>
      </c>
      <c r="N116" t="s">
        <v>1489</v>
      </c>
      <c r="O116" t="s">
        <v>1557</v>
      </c>
      <c r="P116" t="s">
        <v>1491</v>
      </c>
      <c r="Q116" t="s">
        <v>1709</v>
      </c>
      <c r="R116" t="s">
        <v>1492</v>
      </c>
      <c r="S116" t="s">
        <v>1493</v>
      </c>
      <c r="T116" t="s">
        <v>1494</v>
      </c>
      <c r="U116" t="s">
        <v>1495</v>
      </c>
      <c r="V116" t="s">
        <v>1710</v>
      </c>
      <c r="W116">
        <v>603</v>
      </c>
      <c r="X116" t="s">
        <v>1711</v>
      </c>
      <c r="Y116" t="s">
        <v>1712</v>
      </c>
      <c r="Z116">
        <v>2</v>
      </c>
      <c r="AA116" t="s">
        <v>58</v>
      </c>
    </row>
    <row r="117" spans="1:27" x14ac:dyDescent="0.25">
      <c r="A117" t="s">
        <v>1485</v>
      </c>
      <c r="B117" t="s">
        <v>1486</v>
      </c>
      <c r="C117" t="s">
        <v>2050</v>
      </c>
      <c r="D117" t="s">
        <v>2051</v>
      </c>
      <c r="E117" t="s">
        <v>593</v>
      </c>
      <c r="F117" t="s">
        <v>2052</v>
      </c>
      <c r="G117">
        <v>5789</v>
      </c>
      <c r="H117">
        <v>0</v>
      </c>
      <c r="I117" t="s">
        <v>1459</v>
      </c>
      <c r="J117">
        <v>0</v>
      </c>
      <c r="K117">
        <v>1</v>
      </c>
      <c r="L117" t="s">
        <v>1487</v>
      </c>
      <c r="M117" t="s">
        <v>1488</v>
      </c>
      <c r="N117" t="s">
        <v>1489</v>
      </c>
      <c r="O117" t="s">
        <v>1546</v>
      </c>
      <c r="P117" t="s">
        <v>1491</v>
      </c>
      <c r="Q117" t="s">
        <v>1709</v>
      </c>
      <c r="R117" t="s">
        <v>1492</v>
      </c>
      <c r="S117" t="s">
        <v>1493</v>
      </c>
      <c r="T117" t="s">
        <v>1494</v>
      </c>
      <c r="U117" t="s">
        <v>1495</v>
      </c>
      <c r="V117" t="s">
        <v>1710</v>
      </c>
      <c r="W117">
        <v>603</v>
      </c>
      <c r="X117" t="s">
        <v>1711</v>
      </c>
      <c r="Y117" t="s">
        <v>1712</v>
      </c>
      <c r="Z117">
        <v>2</v>
      </c>
      <c r="AA117" t="s">
        <v>58</v>
      </c>
    </row>
    <row r="118" spans="1:27" x14ac:dyDescent="0.25">
      <c r="A118" t="s">
        <v>1485</v>
      </c>
      <c r="B118" t="s">
        <v>1486</v>
      </c>
      <c r="C118" t="s">
        <v>2053</v>
      </c>
      <c r="D118" t="s">
        <v>2054</v>
      </c>
      <c r="E118" t="s">
        <v>593</v>
      </c>
      <c r="F118" t="s">
        <v>2055</v>
      </c>
      <c r="G118">
        <v>5604</v>
      </c>
      <c r="H118">
        <v>0</v>
      </c>
      <c r="I118" t="s">
        <v>1459</v>
      </c>
      <c r="J118">
        <v>0</v>
      </c>
      <c r="K118">
        <v>1</v>
      </c>
      <c r="L118" t="s">
        <v>1487</v>
      </c>
      <c r="M118" t="s">
        <v>1488</v>
      </c>
      <c r="N118" t="s">
        <v>1489</v>
      </c>
      <c r="O118" t="s">
        <v>1570</v>
      </c>
      <c r="P118" t="s">
        <v>1491</v>
      </c>
      <c r="Q118" t="s">
        <v>1709</v>
      </c>
      <c r="R118" t="s">
        <v>1492</v>
      </c>
      <c r="S118" t="s">
        <v>1493</v>
      </c>
      <c r="T118" t="s">
        <v>1494</v>
      </c>
      <c r="U118" t="s">
        <v>1495</v>
      </c>
      <c r="V118" t="s">
        <v>1710</v>
      </c>
      <c r="W118">
        <v>603</v>
      </c>
      <c r="X118" t="s">
        <v>1711</v>
      </c>
      <c r="Y118" t="s">
        <v>1712</v>
      </c>
      <c r="Z118">
        <v>2</v>
      </c>
      <c r="AA118" t="s">
        <v>58</v>
      </c>
    </row>
    <row r="119" spans="1:27" x14ac:dyDescent="0.25">
      <c r="A119" t="s">
        <v>1485</v>
      </c>
      <c r="B119" t="s">
        <v>1486</v>
      </c>
      <c r="C119" t="s">
        <v>2056</v>
      </c>
      <c r="D119" t="s">
        <v>2057</v>
      </c>
      <c r="E119" t="s">
        <v>593</v>
      </c>
      <c r="F119" t="s">
        <v>2058</v>
      </c>
      <c r="G119">
        <v>5521</v>
      </c>
      <c r="H119">
        <v>0</v>
      </c>
      <c r="I119" t="s">
        <v>1459</v>
      </c>
      <c r="J119">
        <v>0</v>
      </c>
      <c r="K119">
        <v>1</v>
      </c>
      <c r="L119" t="s">
        <v>1487</v>
      </c>
      <c r="M119" t="s">
        <v>1488</v>
      </c>
      <c r="N119" t="s">
        <v>1489</v>
      </c>
      <c r="O119" t="s">
        <v>1578</v>
      </c>
      <c r="P119" t="s">
        <v>1491</v>
      </c>
      <c r="Q119" t="s">
        <v>1709</v>
      </c>
      <c r="R119" t="s">
        <v>1492</v>
      </c>
      <c r="S119" t="s">
        <v>1493</v>
      </c>
      <c r="T119" t="s">
        <v>1494</v>
      </c>
      <c r="U119" t="s">
        <v>1495</v>
      </c>
      <c r="V119" t="s">
        <v>1710</v>
      </c>
      <c r="W119">
        <v>603</v>
      </c>
      <c r="X119" t="s">
        <v>1711</v>
      </c>
      <c r="Y119" t="s">
        <v>1712</v>
      </c>
      <c r="Z119">
        <v>2</v>
      </c>
      <c r="AA119" t="s">
        <v>58</v>
      </c>
    </row>
    <row r="120" spans="1:27" x14ac:dyDescent="0.25">
      <c r="A120" t="s">
        <v>1485</v>
      </c>
      <c r="B120" t="s">
        <v>1486</v>
      </c>
      <c r="C120" t="s">
        <v>2059</v>
      </c>
      <c r="D120" t="s">
        <v>2060</v>
      </c>
      <c r="E120" t="s">
        <v>593</v>
      </c>
      <c r="F120" t="s">
        <v>2061</v>
      </c>
      <c r="G120">
        <v>4997</v>
      </c>
      <c r="H120">
        <v>0</v>
      </c>
      <c r="I120" t="s">
        <v>1459</v>
      </c>
      <c r="J120">
        <v>0</v>
      </c>
      <c r="K120">
        <v>1</v>
      </c>
      <c r="L120" t="s">
        <v>1487</v>
      </c>
      <c r="M120" t="s">
        <v>1488</v>
      </c>
      <c r="N120" t="s">
        <v>1489</v>
      </c>
      <c r="O120" t="s">
        <v>1564</v>
      </c>
      <c r="P120" t="s">
        <v>1491</v>
      </c>
      <c r="Q120" t="s">
        <v>1709</v>
      </c>
      <c r="R120" t="s">
        <v>1492</v>
      </c>
      <c r="S120" t="s">
        <v>1493</v>
      </c>
      <c r="T120" t="s">
        <v>1494</v>
      </c>
      <c r="U120" t="s">
        <v>1495</v>
      </c>
      <c r="V120" t="s">
        <v>1710</v>
      </c>
      <c r="W120">
        <v>603</v>
      </c>
      <c r="X120" t="s">
        <v>1711</v>
      </c>
      <c r="Y120" t="s">
        <v>1712</v>
      </c>
      <c r="Z120">
        <v>2</v>
      </c>
      <c r="AA120" t="s">
        <v>58</v>
      </c>
    </row>
    <row r="121" spans="1:27" x14ac:dyDescent="0.25">
      <c r="A121" t="s">
        <v>1485</v>
      </c>
      <c r="B121" t="s">
        <v>1486</v>
      </c>
      <c r="C121" t="s">
        <v>2062</v>
      </c>
      <c r="D121" t="s">
        <v>2063</v>
      </c>
      <c r="E121" t="s">
        <v>593</v>
      </c>
      <c r="F121" t="s">
        <v>2064</v>
      </c>
      <c r="G121">
        <v>4968</v>
      </c>
      <c r="H121">
        <v>0</v>
      </c>
      <c r="I121" t="s">
        <v>1459</v>
      </c>
      <c r="J121">
        <v>0</v>
      </c>
      <c r="K121">
        <v>1</v>
      </c>
      <c r="L121" t="s">
        <v>1487</v>
      </c>
      <c r="M121" t="s">
        <v>1488</v>
      </c>
      <c r="N121" t="s">
        <v>1489</v>
      </c>
      <c r="O121" t="s">
        <v>1621</v>
      </c>
      <c r="P121" t="s">
        <v>1491</v>
      </c>
      <c r="Q121" t="s">
        <v>1709</v>
      </c>
      <c r="R121" t="s">
        <v>1492</v>
      </c>
      <c r="S121" t="s">
        <v>1493</v>
      </c>
      <c r="T121" t="s">
        <v>1494</v>
      </c>
      <c r="U121" t="s">
        <v>1495</v>
      </c>
      <c r="V121" t="s">
        <v>1710</v>
      </c>
      <c r="W121">
        <v>603</v>
      </c>
      <c r="X121" t="s">
        <v>1711</v>
      </c>
      <c r="Y121" t="s">
        <v>1712</v>
      </c>
      <c r="Z121">
        <v>2</v>
      </c>
      <c r="AA121" t="s">
        <v>58</v>
      </c>
    </row>
    <row r="122" spans="1:27" x14ac:dyDescent="0.25">
      <c r="A122" t="s">
        <v>1485</v>
      </c>
      <c r="B122" t="s">
        <v>1486</v>
      </c>
      <c r="C122" t="s">
        <v>2065</v>
      </c>
      <c r="D122" t="s">
        <v>2066</v>
      </c>
      <c r="E122" t="s">
        <v>593</v>
      </c>
      <c r="F122" t="s">
        <v>2067</v>
      </c>
      <c r="G122">
        <v>4855</v>
      </c>
      <c r="H122">
        <v>0</v>
      </c>
      <c r="I122" t="s">
        <v>1459</v>
      </c>
      <c r="J122">
        <v>0</v>
      </c>
      <c r="K122">
        <v>1</v>
      </c>
      <c r="L122" t="s">
        <v>1487</v>
      </c>
      <c r="M122" t="s">
        <v>1488</v>
      </c>
      <c r="N122" t="s">
        <v>1489</v>
      </c>
      <c r="O122" t="s">
        <v>1569</v>
      </c>
      <c r="P122" t="s">
        <v>1491</v>
      </c>
      <c r="Q122" t="s">
        <v>1709</v>
      </c>
      <c r="R122" t="s">
        <v>1492</v>
      </c>
      <c r="S122" t="s">
        <v>1493</v>
      </c>
      <c r="T122" t="s">
        <v>1494</v>
      </c>
      <c r="U122" t="s">
        <v>1495</v>
      </c>
      <c r="V122" t="s">
        <v>1710</v>
      </c>
      <c r="W122">
        <v>603</v>
      </c>
      <c r="X122" t="s">
        <v>1711</v>
      </c>
      <c r="Y122" t="s">
        <v>1712</v>
      </c>
      <c r="Z122">
        <v>2</v>
      </c>
      <c r="AA122" t="s">
        <v>58</v>
      </c>
    </row>
    <row r="123" spans="1:27" x14ac:dyDescent="0.25">
      <c r="A123" t="s">
        <v>1485</v>
      </c>
      <c r="B123" t="s">
        <v>1486</v>
      </c>
      <c r="C123" t="s">
        <v>2068</v>
      </c>
      <c r="D123" t="s">
        <v>2069</v>
      </c>
      <c r="E123" t="s">
        <v>593</v>
      </c>
      <c r="F123" t="s">
        <v>2070</v>
      </c>
      <c r="G123">
        <v>4764</v>
      </c>
      <c r="H123">
        <v>0</v>
      </c>
      <c r="I123" t="s">
        <v>1459</v>
      </c>
      <c r="J123">
        <v>0</v>
      </c>
      <c r="K123">
        <v>1</v>
      </c>
      <c r="L123" t="s">
        <v>1487</v>
      </c>
      <c r="M123" t="s">
        <v>1488</v>
      </c>
      <c r="N123" t="s">
        <v>1489</v>
      </c>
      <c r="O123" t="s">
        <v>1529</v>
      </c>
      <c r="P123" t="s">
        <v>1491</v>
      </c>
      <c r="Q123" t="s">
        <v>1709</v>
      </c>
      <c r="R123" t="s">
        <v>1492</v>
      </c>
      <c r="S123" t="s">
        <v>1493</v>
      </c>
      <c r="T123" t="s">
        <v>1494</v>
      </c>
      <c r="U123" t="s">
        <v>1495</v>
      </c>
      <c r="V123" t="s">
        <v>1710</v>
      </c>
      <c r="W123">
        <v>603</v>
      </c>
      <c r="X123" t="s">
        <v>1711</v>
      </c>
      <c r="Y123" t="s">
        <v>1712</v>
      </c>
      <c r="Z123">
        <v>2</v>
      </c>
      <c r="AA123" t="s">
        <v>58</v>
      </c>
    </row>
    <row r="124" spans="1:27" x14ac:dyDescent="0.25">
      <c r="A124" t="s">
        <v>1485</v>
      </c>
      <c r="B124" t="s">
        <v>1486</v>
      </c>
      <c r="C124" t="s">
        <v>2071</v>
      </c>
      <c r="D124" t="s">
        <v>2072</v>
      </c>
      <c r="E124" t="s">
        <v>593</v>
      </c>
      <c r="F124" t="s">
        <v>2073</v>
      </c>
      <c r="G124">
        <v>4726</v>
      </c>
      <c r="H124">
        <v>0</v>
      </c>
      <c r="I124" t="s">
        <v>1459</v>
      </c>
      <c r="J124">
        <v>0</v>
      </c>
      <c r="K124">
        <v>1</v>
      </c>
      <c r="L124" t="s">
        <v>1487</v>
      </c>
      <c r="M124" t="s">
        <v>1488</v>
      </c>
      <c r="N124" t="s">
        <v>1489</v>
      </c>
      <c r="O124" t="s">
        <v>1632</v>
      </c>
      <c r="P124" t="s">
        <v>1491</v>
      </c>
      <c r="Q124" t="s">
        <v>1709</v>
      </c>
      <c r="R124" t="s">
        <v>1492</v>
      </c>
      <c r="S124" t="s">
        <v>1493</v>
      </c>
      <c r="T124" t="s">
        <v>1494</v>
      </c>
      <c r="U124" t="s">
        <v>1495</v>
      </c>
      <c r="V124" t="s">
        <v>1710</v>
      </c>
      <c r="W124">
        <v>603</v>
      </c>
      <c r="X124" t="s">
        <v>1711</v>
      </c>
      <c r="Y124" t="s">
        <v>1712</v>
      </c>
      <c r="Z124">
        <v>2</v>
      </c>
      <c r="AA124" t="s">
        <v>58</v>
      </c>
    </row>
    <row r="125" spans="1:27" x14ac:dyDescent="0.25">
      <c r="A125" t="s">
        <v>1485</v>
      </c>
      <c r="B125" t="s">
        <v>1486</v>
      </c>
      <c r="C125" t="s">
        <v>2074</v>
      </c>
      <c r="D125" t="s">
        <v>2075</v>
      </c>
      <c r="E125" t="s">
        <v>593</v>
      </c>
      <c r="F125" t="s">
        <v>2076</v>
      </c>
      <c r="G125">
        <v>4725</v>
      </c>
      <c r="H125">
        <v>0</v>
      </c>
      <c r="I125" t="s">
        <v>1459</v>
      </c>
      <c r="J125">
        <v>0</v>
      </c>
      <c r="K125">
        <v>1</v>
      </c>
      <c r="L125" t="s">
        <v>1487</v>
      </c>
      <c r="M125" t="s">
        <v>1488</v>
      </c>
      <c r="N125" t="s">
        <v>1489</v>
      </c>
      <c r="O125" t="s">
        <v>1608</v>
      </c>
      <c r="P125" t="s">
        <v>1491</v>
      </c>
      <c r="Q125" t="s">
        <v>1709</v>
      </c>
      <c r="R125" t="s">
        <v>1492</v>
      </c>
      <c r="S125" t="s">
        <v>1493</v>
      </c>
      <c r="T125" t="s">
        <v>1494</v>
      </c>
      <c r="U125" t="s">
        <v>1495</v>
      </c>
      <c r="V125" t="s">
        <v>1710</v>
      </c>
      <c r="W125">
        <v>603</v>
      </c>
      <c r="X125" t="s">
        <v>1711</v>
      </c>
      <c r="Y125" t="s">
        <v>1712</v>
      </c>
      <c r="Z125">
        <v>2</v>
      </c>
      <c r="AA125" t="s">
        <v>58</v>
      </c>
    </row>
    <row r="126" spans="1:27" x14ac:dyDescent="0.25">
      <c r="A126" t="s">
        <v>1485</v>
      </c>
      <c r="B126" t="s">
        <v>1486</v>
      </c>
      <c r="C126" t="s">
        <v>2077</v>
      </c>
      <c r="D126" t="s">
        <v>2078</v>
      </c>
      <c r="E126" t="s">
        <v>593</v>
      </c>
      <c r="F126" t="s">
        <v>2079</v>
      </c>
      <c r="G126">
        <v>4648</v>
      </c>
      <c r="H126">
        <v>0</v>
      </c>
      <c r="I126" t="s">
        <v>1459</v>
      </c>
      <c r="J126">
        <v>0</v>
      </c>
      <c r="K126">
        <v>1</v>
      </c>
      <c r="L126" t="s">
        <v>1487</v>
      </c>
      <c r="M126" t="s">
        <v>1488</v>
      </c>
      <c r="N126" t="s">
        <v>1489</v>
      </c>
      <c r="O126" t="s">
        <v>1562</v>
      </c>
      <c r="P126" t="s">
        <v>1491</v>
      </c>
      <c r="Q126" t="s">
        <v>1709</v>
      </c>
      <c r="R126" t="s">
        <v>1492</v>
      </c>
      <c r="S126" t="s">
        <v>1493</v>
      </c>
      <c r="T126" t="s">
        <v>1494</v>
      </c>
      <c r="U126" t="s">
        <v>1495</v>
      </c>
      <c r="V126" t="s">
        <v>1710</v>
      </c>
      <c r="W126">
        <v>603</v>
      </c>
      <c r="X126" t="s">
        <v>1711</v>
      </c>
      <c r="Y126" t="s">
        <v>1712</v>
      </c>
      <c r="Z126">
        <v>2</v>
      </c>
      <c r="AA126" t="s">
        <v>58</v>
      </c>
    </row>
    <row r="127" spans="1:27" x14ac:dyDescent="0.25">
      <c r="A127" t="s">
        <v>1485</v>
      </c>
      <c r="B127" t="s">
        <v>1486</v>
      </c>
      <c r="C127" t="s">
        <v>2080</v>
      </c>
      <c r="D127" t="s">
        <v>2081</v>
      </c>
      <c r="E127" t="s">
        <v>593</v>
      </c>
      <c r="F127" t="s">
        <v>2082</v>
      </c>
      <c r="G127">
        <v>4580</v>
      </c>
      <c r="H127">
        <v>0</v>
      </c>
      <c r="I127" t="s">
        <v>1459</v>
      </c>
      <c r="J127">
        <v>0</v>
      </c>
      <c r="K127">
        <v>1</v>
      </c>
      <c r="L127" t="s">
        <v>1487</v>
      </c>
      <c r="M127" t="s">
        <v>1488</v>
      </c>
      <c r="N127" t="s">
        <v>1489</v>
      </c>
      <c r="O127" t="s">
        <v>1599</v>
      </c>
      <c r="P127" t="s">
        <v>1491</v>
      </c>
      <c r="Q127" t="s">
        <v>1709</v>
      </c>
      <c r="R127" t="s">
        <v>1492</v>
      </c>
      <c r="S127" t="s">
        <v>1493</v>
      </c>
      <c r="T127" t="s">
        <v>1494</v>
      </c>
      <c r="U127" t="s">
        <v>1495</v>
      </c>
      <c r="V127" t="s">
        <v>1710</v>
      </c>
      <c r="W127">
        <v>603</v>
      </c>
      <c r="X127" t="s">
        <v>1711</v>
      </c>
      <c r="Y127" t="s">
        <v>1712</v>
      </c>
      <c r="Z127">
        <v>2</v>
      </c>
      <c r="AA127" t="s">
        <v>58</v>
      </c>
    </row>
    <row r="128" spans="1:27" x14ac:dyDescent="0.25">
      <c r="A128" t="s">
        <v>1485</v>
      </c>
      <c r="B128" t="s">
        <v>1486</v>
      </c>
      <c r="C128" t="s">
        <v>2083</v>
      </c>
      <c r="D128" t="s">
        <v>2084</v>
      </c>
      <c r="E128" t="s">
        <v>593</v>
      </c>
      <c r="F128" t="s">
        <v>2085</v>
      </c>
      <c r="G128">
        <v>4565</v>
      </c>
      <c r="H128">
        <v>0</v>
      </c>
      <c r="I128" t="s">
        <v>1459</v>
      </c>
      <c r="J128">
        <v>0</v>
      </c>
      <c r="K128">
        <v>1</v>
      </c>
      <c r="L128" t="s">
        <v>1487</v>
      </c>
      <c r="M128" t="s">
        <v>1488</v>
      </c>
      <c r="N128" t="s">
        <v>1489</v>
      </c>
      <c r="O128" t="s">
        <v>1526</v>
      </c>
      <c r="P128" t="s">
        <v>1491</v>
      </c>
      <c r="Q128" t="s">
        <v>1709</v>
      </c>
      <c r="R128" t="s">
        <v>1492</v>
      </c>
      <c r="S128" t="s">
        <v>1493</v>
      </c>
      <c r="T128" t="s">
        <v>1494</v>
      </c>
      <c r="U128" t="s">
        <v>1495</v>
      </c>
      <c r="V128" t="s">
        <v>1710</v>
      </c>
      <c r="W128">
        <v>603</v>
      </c>
      <c r="X128" t="s">
        <v>1711</v>
      </c>
      <c r="Y128" t="s">
        <v>1712</v>
      </c>
      <c r="Z128">
        <v>2</v>
      </c>
      <c r="AA128" t="s">
        <v>58</v>
      </c>
    </row>
    <row r="129" spans="1:27" x14ac:dyDescent="0.25">
      <c r="A129" t="s">
        <v>1485</v>
      </c>
      <c r="B129" t="s">
        <v>1486</v>
      </c>
      <c r="C129" t="s">
        <v>2086</v>
      </c>
      <c r="D129" t="s">
        <v>2087</v>
      </c>
      <c r="E129" t="s">
        <v>593</v>
      </c>
      <c r="F129" t="s">
        <v>2088</v>
      </c>
      <c r="G129">
        <v>4482</v>
      </c>
      <c r="H129">
        <v>0</v>
      </c>
      <c r="I129" t="s">
        <v>1459</v>
      </c>
      <c r="J129">
        <v>0</v>
      </c>
      <c r="K129">
        <v>1</v>
      </c>
      <c r="L129" t="s">
        <v>1487</v>
      </c>
      <c r="M129" t="s">
        <v>1488</v>
      </c>
      <c r="N129" t="s">
        <v>1489</v>
      </c>
      <c r="O129" t="s">
        <v>2089</v>
      </c>
      <c r="P129" t="s">
        <v>1491</v>
      </c>
      <c r="Q129" t="s">
        <v>1709</v>
      </c>
      <c r="R129" t="s">
        <v>1492</v>
      </c>
      <c r="S129" t="s">
        <v>1493</v>
      </c>
      <c r="T129" t="s">
        <v>1494</v>
      </c>
      <c r="U129" t="s">
        <v>1495</v>
      </c>
      <c r="V129" t="s">
        <v>1710</v>
      </c>
      <c r="W129">
        <v>603</v>
      </c>
      <c r="X129" t="s">
        <v>1711</v>
      </c>
      <c r="Y129" t="s">
        <v>1712</v>
      </c>
      <c r="Z129">
        <v>2</v>
      </c>
      <c r="AA129" t="s">
        <v>58</v>
      </c>
    </row>
    <row r="130" spans="1:27" x14ac:dyDescent="0.25">
      <c r="A130" t="s">
        <v>1485</v>
      </c>
      <c r="B130" t="s">
        <v>1486</v>
      </c>
      <c r="C130" t="s">
        <v>2090</v>
      </c>
      <c r="D130" t="s">
        <v>2091</v>
      </c>
      <c r="E130" t="s">
        <v>593</v>
      </c>
      <c r="F130" t="s">
        <v>2092</v>
      </c>
      <c r="G130">
        <v>4481</v>
      </c>
      <c r="H130">
        <v>0</v>
      </c>
      <c r="I130" t="s">
        <v>1459</v>
      </c>
      <c r="J130">
        <v>0</v>
      </c>
      <c r="K130">
        <v>1</v>
      </c>
      <c r="L130" t="s">
        <v>1487</v>
      </c>
      <c r="M130" t="s">
        <v>1488</v>
      </c>
      <c r="N130" t="s">
        <v>1489</v>
      </c>
      <c r="O130" t="s">
        <v>1588</v>
      </c>
      <c r="P130" t="s">
        <v>1491</v>
      </c>
      <c r="Q130" t="s">
        <v>1709</v>
      </c>
      <c r="R130" t="s">
        <v>1492</v>
      </c>
      <c r="S130" t="s">
        <v>1493</v>
      </c>
      <c r="T130" t="s">
        <v>1494</v>
      </c>
      <c r="U130" t="s">
        <v>1495</v>
      </c>
      <c r="V130" t="s">
        <v>1710</v>
      </c>
      <c r="W130">
        <v>603</v>
      </c>
      <c r="X130" t="s">
        <v>1711</v>
      </c>
      <c r="Y130" t="s">
        <v>1712</v>
      </c>
      <c r="Z130">
        <v>2</v>
      </c>
      <c r="AA130" t="s">
        <v>58</v>
      </c>
    </row>
    <row r="131" spans="1:27" x14ac:dyDescent="0.25">
      <c r="A131" t="s">
        <v>1485</v>
      </c>
      <c r="B131" t="s">
        <v>1486</v>
      </c>
      <c r="C131" t="s">
        <v>2093</v>
      </c>
      <c r="D131" t="s">
        <v>2094</v>
      </c>
      <c r="E131" t="s">
        <v>593</v>
      </c>
      <c r="F131" t="s">
        <v>2095</v>
      </c>
      <c r="G131">
        <v>4324</v>
      </c>
      <c r="H131">
        <v>0</v>
      </c>
      <c r="I131" t="s">
        <v>1459</v>
      </c>
      <c r="J131">
        <v>0</v>
      </c>
      <c r="K131">
        <v>1</v>
      </c>
      <c r="L131" t="s">
        <v>1487</v>
      </c>
      <c r="M131" t="s">
        <v>1488</v>
      </c>
      <c r="N131" t="s">
        <v>1489</v>
      </c>
      <c r="O131" t="s">
        <v>1525</v>
      </c>
      <c r="P131" t="s">
        <v>1491</v>
      </c>
      <c r="Q131" t="s">
        <v>1709</v>
      </c>
      <c r="R131" t="s">
        <v>1492</v>
      </c>
      <c r="S131" t="s">
        <v>1493</v>
      </c>
      <c r="T131" t="s">
        <v>1494</v>
      </c>
      <c r="U131" t="s">
        <v>1495</v>
      </c>
      <c r="V131" t="s">
        <v>1710</v>
      </c>
      <c r="W131">
        <v>603</v>
      </c>
      <c r="X131" t="s">
        <v>1711</v>
      </c>
      <c r="Y131" t="s">
        <v>1712</v>
      </c>
      <c r="Z131">
        <v>2</v>
      </c>
      <c r="AA131" t="s">
        <v>58</v>
      </c>
    </row>
    <row r="132" spans="1:27" x14ac:dyDescent="0.25">
      <c r="A132" t="s">
        <v>1485</v>
      </c>
      <c r="B132" t="s">
        <v>1486</v>
      </c>
      <c r="C132" t="s">
        <v>2096</v>
      </c>
      <c r="D132" t="s">
        <v>2097</v>
      </c>
      <c r="E132" t="s">
        <v>593</v>
      </c>
      <c r="F132" t="s">
        <v>2098</v>
      </c>
      <c r="G132">
        <v>4299</v>
      </c>
      <c r="H132">
        <v>0</v>
      </c>
      <c r="I132" t="s">
        <v>1459</v>
      </c>
      <c r="J132">
        <v>0</v>
      </c>
      <c r="K132">
        <v>1</v>
      </c>
      <c r="L132" t="s">
        <v>1487</v>
      </c>
      <c r="M132" t="s">
        <v>1488</v>
      </c>
      <c r="N132" t="s">
        <v>1489</v>
      </c>
      <c r="O132" t="s">
        <v>1617</v>
      </c>
      <c r="P132" t="s">
        <v>1491</v>
      </c>
      <c r="Q132" t="s">
        <v>1709</v>
      </c>
      <c r="R132" t="s">
        <v>1492</v>
      </c>
      <c r="S132" t="s">
        <v>1493</v>
      </c>
      <c r="T132" t="s">
        <v>1494</v>
      </c>
      <c r="U132" t="s">
        <v>1495</v>
      </c>
      <c r="V132" t="s">
        <v>1710</v>
      </c>
      <c r="W132">
        <v>603</v>
      </c>
      <c r="X132" t="s">
        <v>1711</v>
      </c>
      <c r="Y132" t="s">
        <v>1712</v>
      </c>
      <c r="Z132">
        <v>2</v>
      </c>
      <c r="AA132" t="s">
        <v>58</v>
      </c>
    </row>
    <row r="133" spans="1:27" x14ac:dyDescent="0.25">
      <c r="A133" t="s">
        <v>1485</v>
      </c>
      <c r="B133" t="s">
        <v>1486</v>
      </c>
      <c r="C133" t="s">
        <v>2099</v>
      </c>
      <c r="D133" t="s">
        <v>2100</v>
      </c>
      <c r="E133" t="s">
        <v>593</v>
      </c>
      <c r="F133" t="s">
        <v>2101</v>
      </c>
      <c r="G133">
        <v>4212</v>
      </c>
      <c r="H133">
        <v>0</v>
      </c>
      <c r="I133" t="s">
        <v>1459</v>
      </c>
      <c r="J133">
        <v>0</v>
      </c>
      <c r="K133">
        <v>1</v>
      </c>
      <c r="L133" t="s">
        <v>1487</v>
      </c>
      <c r="M133" t="s">
        <v>1488</v>
      </c>
      <c r="N133" t="s">
        <v>1489</v>
      </c>
      <c r="O133" t="s">
        <v>2102</v>
      </c>
      <c r="P133" t="s">
        <v>1491</v>
      </c>
      <c r="Q133" t="s">
        <v>1709</v>
      </c>
      <c r="R133" t="s">
        <v>1492</v>
      </c>
      <c r="S133" t="s">
        <v>1493</v>
      </c>
      <c r="T133" t="s">
        <v>1494</v>
      </c>
      <c r="U133" t="s">
        <v>1495</v>
      </c>
      <c r="V133" t="s">
        <v>1710</v>
      </c>
      <c r="W133">
        <v>603</v>
      </c>
      <c r="X133" t="s">
        <v>1711</v>
      </c>
      <c r="Y133" t="s">
        <v>1712</v>
      </c>
      <c r="Z133">
        <v>2</v>
      </c>
      <c r="AA133" t="s">
        <v>58</v>
      </c>
    </row>
    <row r="134" spans="1:27" x14ac:dyDescent="0.25">
      <c r="A134" t="s">
        <v>1485</v>
      </c>
      <c r="B134" t="s">
        <v>1486</v>
      </c>
      <c r="C134" t="s">
        <v>2103</v>
      </c>
      <c r="D134" t="s">
        <v>2104</v>
      </c>
      <c r="E134" t="s">
        <v>593</v>
      </c>
      <c r="F134" t="s">
        <v>2105</v>
      </c>
      <c r="G134">
        <v>4108</v>
      </c>
      <c r="H134">
        <v>0</v>
      </c>
      <c r="I134" t="s">
        <v>1459</v>
      </c>
      <c r="J134">
        <v>0</v>
      </c>
      <c r="K134">
        <v>1</v>
      </c>
      <c r="L134" t="s">
        <v>1487</v>
      </c>
      <c r="M134" t="s">
        <v>1488</v>
      </c>
      <c r="N134" t="s">
        <v>1489</v>
      </c>
      <c r="O134" t="s">
        <v>1522</v>
      </c>
      <c r="P134" t="s">
        <v>1491</v>
      </c>
      <c r="Q134" t="s">
        <v>1709</v>
      </c>
      <c r="R134" t="s">
        <v>1492</v>
      </c>
      <c r="S134" t="s">
        <v>1493</v>
      </c>
      <c r="T134" t="s">
        <v>1494</v>
      </c>
      <c r="U134" t="s">
        <v>1495</v>
      </c>
      <c r="V134" t="s">
        <v>1710</v>
      </c>
      <c r="W134">
        <v>603</v>
      </c>
      <c r="X134" t="s">
        <v>1711</v>
      </c>
      <c r="Y134" t="s">
        <v>1712</v>
      </c>
      <c r="Z134">
        <v>2</v>
      </c>
      <c r="AA134" t="s">
        <v>58</v>
      </c>
    </row>
    <row r="135" spans="1:27" x14ac:dyDescent="0.25">
      <c r="A135" t="s">
        <v>1485</v>
      </c>
      <c r="B135" t="s">
        <v>1486</v>
      </c>
      <c r="C135" t="s">
        <v>2106</v>
      </c>
      <c r="D135" t="s">
        <v>2107</v>
      </c>
      <c r="E135" t="s">
        <v>593</v>
      </c>
      <c r="F135" t="s">
        <v>2108</v>
      </c>
      <c r="G135">
        <v>3901</v>
      </c>
      <c r="H135">
        <v>0</v>
      </c>
      <c r="I135" t="s">
        <v>1459</v>
      </c>
      <c r="J135">
        <v>0</v>
      </c>
      <c r="K135">
        <v>1</v>
      </c>
      <c r="L135" t="s">
        <v>1487</v>
      </c>
      <c r="M135" t="s">
        <v>1488</v>
      </c>
      <c r="N135" t="s">
        <v>1489</v>
      </c>
      <c r="O135" t="s">
        <v>1536</v>
      </c>
      <c r="P135" t="s">
        <v>1491</v>
      </c>
      <c r="Q135" t="s">
        <v>1709</v>
      </c>
      <c r="R135" t="s">
        <v>1492</v>
      </c>
      <c r="S135" t="s">
        <v>1493</v>
      </c>
      <c r="T135" t="s">
        <v>1494</v>
      </c>
      <c r="U135" t="s">
        <v>1495</v>
      </c>
      <c r="V135" t="s">
        <v>1710</v>
      </c>
      <c r="W135">
        <v>603</v>
      </c>
      <c r="X135" t="s">
        <v>1711</v>
      </c>
      <c r="Y135" t="s">
        <v>1712</v>
      </c>
      <c r="Z135">
        <v>2</v>
      </c>
      <c r="AA135" t="s">
        <v>58</v>
      </c>
    </row>
    <row r="136" spans="1:27" x14ac:dyDescent="0.25">
      <c r="A136" t="s">
        <v>1485</v>
      </c>
      <c r="B136" t="s">
        <v>1486</v>
      </c>
      <c r="C136" t="s">
        <v>2109</v>
      </c>
      <c r="D136" t="s">
        <v>2110</v>
      </c>
      <c r="E136" t="s">
        <v>593</v>
      </c>
      <c r="F136" t="s">
        <v>2111</v>
      </c>
      <c r="G136">
        <v>3759</v>
      </c>
      <c r="H136">
        <v>0</v>
      </c>
      <c r="I136" t="s">
        <v>1459</v>
      </c>
      <c r="J136">
        <v>0</v>
      </c>
      <c r="K136">
        <v>1</v>
      </c>
      <c r="L136" t="s">
        <v>1487</v>
      </c>
      <c r="M136" t="s">
        <v>1488</v>
      </c>
      <c r="N136" t="s">
        <v>1489</v>
      </c>
      <c r="O136" t="s">
        <v>1498</v>
      </c>
      <c r="P136" t="s">
        <v>1491</v>
      </c>
      <c r="Q136" t="s">
        <v>1709</v>
      </c>
      <c r="R136" t="s">
        <v>1492</v>
      </c>
      <c r="S136" t="s">
        <v>1493</v>
      </c>
      <c r="T136" t="s">
        <v>1494</v>
      </c>
      <c r="U136" t="s">
        <v>1495</v>
      </c>
      <c r="V136" t="s">
        <v>1710</v>
      </c>
      <c r="W136">
        <v>603</v>
      </c>
      <c r="X136" t="s">
        <v>1711</v>
      </c>
      <c r="Y136" t="s">
        <v>1712</v>
      </c>
      <c r="Z136">
        <v>2</v>
      </c>
      <c r="AA136" t="s">
        <v>58</v>
      </c>
    </row>
    <row r="137" spans="1:27" x14ac:dyDescent="0.25">
      <c r="A137" t="s">
        <v>1485</v>
      </c>
      <c r="B137" t="s">
        <v>1486</v>
      </c>
      <c r="C137" t="s">
        <v>2112</v>
      </c>
      <c r="D137" t="s">
        <v>2113</v>
      </c>
      <c r="E137" t="s">
        <v>593</v>
      </c>
      <c r="F137" t="s">
        <v>2114</v>
      </c>
      <c r="G137">
        <v>3477</v>
      </c>
      <c r="H137">
        <v>0</v>
      </c>
      <c r="I137" t="s">
        <v>1459</v>
      </c>
      <c r="J137">
        <v>0</v>
      </c>
      <c r="K137">
        <v>1</v>
      </c>
      <c r="L137" t="s">
        <v>1487</v>
      </c>
      <c r="M137" t="s">
        <v>1488</v>
      </c>
      <c r="N137" t="s">
        <v>1489</v>
      </c>
      <c r="O137" t="s">
        <v>1534</v>
      </c>
      <c r="P137" t="s">
        <v>1491</v>
      </c>
      <c r="Q137" t="s">
        <v>1709</v>
      </c>
      <c r="R137" t="s">
        <v>1492</v>
      </c>
      <c r="S137" t="s">
        <v>1493</v>
      </c>
      <c r="T137" t="s">
        <v>1494</v>
      </c>
      <c r="U137" t="s">
        <v>1495</v>
      </c>
      <c r="V137" t="s">
        <v>1710</v>
      </c>
      <c r="W137">
        <v>603</v>
      </c>
      <c r="X137" t="s">
        <v>1711</v>
      </c>
      <c r="Y137" t="s">
        <v>1712</v>
      </c>
      <c r="Z137">
        <v>2</v>
      </c>
      <c r="AA137" t="s">
        <v>58</v>
      </c>
    </row>
    <row r="138" spans="1:27" x14ac:dyDescent="0.25">
      <c r="A138" t="s">
        <v>1485</v>
      </c>
      <c r="B138" t="s">
        <v>1486</v>
      </c>
      <c r="C138" t="s">
        <v>2115</v>
      </c>
      <c r="D138" t="s">
        <v>2116</v>
      </c>
      <c r="E138" t="s">
        <v>593</v>
      </c>
      <c r="F138" t="s">
        <v>2117</v>
      </c>
      <c r="G138">
        <v>3317</v>
      </c>
      <c r="H138">
        <v>0</v>
      </c>
      <c r="I138" t="s">
        <v>1459</v>
      </c>
      <c r="J138">
        <v>0</v>
      </c>
      <c r="K138">
        <v>1</v>
      </c>
      <c r="L138" t="s">
        <v>1487</v>
      </c>
      <c r="M138" t="s">
        <v>1488</v>
      </c>
      <c r="N138" t="s">
        <v>1489</v>
      </c>
      <c r="O138" t="s">
        <v>1573</v>
      </c>
      <c r="P138" t="s">
        <v>1491</v>
      </c>
      <c r="Q138" t="s">
        <v>1709</v>
      </c>
      <c r="R138" t="s">
        <v>1492</v>
      </c>
      <c r="S138" t="s">
        <v>1493</v>
      </c>
      <c r="T138" t="s">
        <v>1494</v>
      </c>
      <c r="U138" t="s">
        <v>1495</v>
      </c>
      <c r="V138" t="s">
        <v>1710</v>
      </c>
      <c r="W138">
        <v>603</v>
      </c>
      <c r="X138" t="s">
        <v>1711</v>
      </c>
      <c r="Y138" t="s">
        <v>1712</v>
      </c>
      <c r="Z138">
        <v>2</v>
      </c>
      <c r="AA138" t="s">
        <v>58</v>
      </c>
    </row>
    <row r="139" spans="1:27" x14ac:dyDescent="0.25">
      <c r="A139" t="s">
        <v>1485</v>
      </c>
      <c r="B139" t="s">
        <v>1486</v>
      </c>
      <c r="C139" t="s">
        <v>1449</v>
      </c>
      <c r="D139" t="s">
        <v>1447</v>
      </c>
      <c r="E139" t="s">
        <v>593</v>
      </c>
      <c r="F139" t="s">
        <v>1448</v>
      </c>
      <c r="G139">
        <v>3306</v>
      </c>
      <c r="H139">
        <v>0</v>
      </c>
      <c r="I139" t="s">
        <v>1459</v>
      </c>
      <c r="J139">
        <v>0</v>
      </c>
      <c r="K139">
        <v>1</v>
      </c>
      <c r="L139" t="s">
        <v>1487</v>
      </c>
      <c r="M139" t="s">
        <v>1488</v>
      </c>
      <c r="N139" t="s">
        <v>1489</v>
      </c>
      <c r="O139" t="s">
        <v>1544</v>
      </c>
      <c r="P139" t="s">
        <v>1491</v>
      </c>
      <c r="Q139" t="s">
        <v>1709</v>
      </c>
      <c r="R139" t="s">
        <v>1492</v>
      </c>
      <c r="S139" t="s">
        <v>1493</v>
      </c>
      <c r="T139" t="s">
        <v>1494</v>
      </c>
      <c r="U139" t="s">
        <v>1495</v>
      </c>
      <c r="V139" t="s">
        <v>1710</v>
      </c>
      <c r="W139">
        <v>603</v>
      </c>
      <c r="X139" t="s">
        <v>1711</v>
      </c>
      <c r="Y139" t="s">
        <v>1712</v>
      </c>
      <c r="Z139">
        <v>2</v>
      </c>
      <c r="AA139" t="s">
        <v>58</v>
      </c>
    </row>
    <row r="140" spans="1:27" x14ac:dyDescent="0.25">
      <c r="A140" t="s">
        <v>1485</v>
      </c>
      <c r="B140" t="s">
        <v>1486</v>
      </c>
      <c r="C140" t="s">
        <v>2118</v>
      </c>
      <c r="D140" t="s">
        <v>2119</v>
      </c>
      <c r="E140" t="s">
        <v>593</v>
      </c>
      <c r="F140" t="s">
        <v>2120</v>
      </c>
      <c r="G140">
        <v>3245</v>
      </c>
      <c r="H140">
        <v>0</v>
      </c>
      <c r="I140" t="s">
        <v>1459</v>
      </c>
      <c r="J140">
        <v>0</v>
      </c>
      <c r="K140">
        <v>1</v>
      </c>
      <c r="L140" t="s">
        <v>1487</v>
      </c>
      <c r="M140" t="s">
        <v>1488</v>
      </c>
      <c r="N140" t="s">
        <v>1489</v>
      </c>
      <c r="O140" t="s">
        <v>1571</v>
      </c>
      <c r="P140" t="s">
        <v>1491</v>
      </c>
      <c r="Q140" t="s">
        <v>1709</v>
      </c>
      <c r="R140" t="s">
        <v>1492</v>
      </c>
      <c r="S140" t="s">
        <v>1493</v>
      </c>
      <c r="T140" t="s">
        <v>1494</v>
      </c>
      <c r="U140" t="s">
        <v>1495</v>
      </c>
      <c r="V140" t="s">
        <v>1710</v>
      </c>
      <c r="W140">
        <v>603</v>
      </c>
      <c r="X140" t="s">
        <v>1711</v>
      </c>
      <c r="Y140" t="s">
        <v>1712</v>
      </c>
      <c r="Z140">
        <v>2</v>
      </c>
      <c r="AA140" t="s">
        <v>58</v>
      </c>
    </row>
    <row r="141" spans="1:27" x14ac:dyDescent="0.25">
      <c r="A141" t="s">
        <v>1485</v>
      </c>
      <c r="B141" t="s">
        <v>1486</v>
      </c>
      <c r="C141" t="s">
        <v>1008</v>
      </c>
      <c r="D141" t="s">
        <v>1009</v>
      </c>
      <c r="E141" t="s">
        <v>593</v>
      </c>
      <c r="F141" t="s">
        <v>1010</v>
      </c>
      <c r="G141">
        <v>2951</v>
      </c>
      <c r="H141">
        <v>0</v>
      </c>
      <c r="I141" t="s">
        <v>1459</v>
      </c>
      <c r="J141">
        <v>0</v>
      </c>
      <c r="K141">
        <v>1</v>
      </c>
      <c r="L141" t="s">
        <v>1487</v>
      </c>
      <c r="M141" t="s">
        <v>1488</v>
      </c>
      <c r="N141" t="s">
        <v>1489</v>
      </c>
      <c r="O141" t="s">
        <v>1618</v>
      </c>
      <c r="P141" t="s">
        <v>1491</v>
      </c>
      <c r="Q141" t="s">
        <v>1709</v>
      </c>
      <c r="R141" t="s">
        <v>1492</v>
      </c>
      <c r="S141" t="s">
        <v>1493</v>
      </c>
      <c r="T141" t="s">
        <v>1494</v>
      </c>
      <c r="U141" t="s">
        <v>1495</v>
      </c>
      <c r="V141" t="s">
        <v>1710</v>
      </c>
      <c r="W141">
        <v>603</v>
      </c>
      <c r="X141" t="s">
        <v>1711</v>
      </c>
      <c r="Y141" t="s">
        <v>1712</v>
      </c>
      <c r="Z141">
        <v>2</v>
      </c>
      <c r="AA141" t="s">
        <v>58</v>
      </c>
    </row>
    <row r="142" spans="1:27" x14ac:dyDescent="0.25">
      <c r="A142" t="s">
        <v>1485</v>
      </c>
      <c r="B142" t="s">
        <v>1486</v>
      </c>
      <c r="C142" t="s">
        <v>2121</v>
      </c>
      <c r="D142" t="s">
        <v>2122</v>
      </c>
      <c r="E142" t="s">
        <v>593</v>
      </c>
      <c r="F142" t="s">
        <v>2123</v>
      </c>
      <c r="G142">
        <v>2660</v>
      </c>
      <c r="H142">
        <v>0</v>
      </c>
      <c r="I142" t="s">
        <v>1459</v>
      </c>
      <c r="J142">
        <v>0</v>
      </c>
      <c r="K142">
        <v>1</v>
      </c>
      <c r="L142" t="s">
        <v>1487</v>
      </c>
      <c r="M142" t="s">
        <v>1488</v>
      </c>
      <c r="N142" t="s">
        <v>1489</v>
      </c>
      <c r="O142" t="s">
        <v>1610</v>
      </c>
      <c r="P142" t="s">
        <v>1491</v>
      </c>
      <c r="Q142" t="s">
        <v>1709</v>
      </c>
      <c r="R142" t="s">
        <v>1492</v>
      </c>
      <c r="S142" t="s">
        <v>1493</v>
      </c>
      <c r="T142" t="s">
        <v>1494</v>
      </c>
      <c r="U142" t="s">
        <v>1495</v>
      </c>
      <c r="V142" t="s">
        <v>1710</v>
      </c>
      <c r="W142">
        <v>603</v>
      </c>
      <c r="X142" t="s">
        <v>1711</v>
      </c>
      <c r="Y142" t="s">
        <v>1712</v>
      </c>
      <c r="Z142">
        <v>2</v>
      </c>
      <c r="AA142" t="s">
        <v>58</v>
      </c>
    </row>
    <row r="143" spans="1:27" x14ac:dyDescent="0.25">
      <c r="A143" t="s">
        <v>1485</v>
      </c>
      <c r="B143" t="s">
        <v>1486</v>
      </c>
      <c r="C143" t="s">
        <v>2124</v>
      </c>
      <c r="D143" t="s">
        <v>2125</v>
      </c>
      <c r="E143" t="s">
        <v>593</v>
      </c>
      <c r="F143" t="s">
        <v>2126</v>
      </c>
      <c r="G143">
        <v>2648</v>
      </c>
      <c r="H143">
        <v>0</v>
      </c>
      <c r="I143" t="s">
        <v>1459</v>
      </c>
      <c r="J143">
        <v>0</v>
      </c>
      <c r="K143">
        <v>1</v>
      </c>
      <c r="L143" t="s">
        <v>1487</v>
      </c>
      <c r="M143" t="s">
        <v>1488</v>
      </c>
      <c r="N143" t="s">
        <v>1489</v>
      </c>
      <c r="O143" t="s">
        <v>1555</v>
      </c>
      <c r="P143" t="s">
        <v>1491</v>
      </c>
      <c r="Q143" t="s">
        <v>1709</v>
      </c>
      <c r="R143" t="s">
        <v>1492</v>
      </c>
      <c r="S143" t="s">
        <v>1493</v>
      </c>
      <c r="T143" t="s">
        <v>1494</v>
      </c>
      <c r="U143" t="s">
        <v>1495</v>
      </c>
      <c r="V143" t="s">
        <v>1710</v>
      </c>
      <c r="W143">
        <v>603</v>
      </c>
      <c r="X143" t="s">
        <v>1711</v>
      </c>
      <c r="Y143" t="s">
        <v>1712</v>
      </c>
      <c r="Z143">
        <v>2</v>
      </c>
      <c r="AA143" t="s">
        <v>58</v>
      </c>
    </row>
    <row r="144" spans="1:27" x14ac:dyDescent="0.25">
      <c r="A144" t="s">
        <v>1485</v>
      </c>
      <c r="B144" t="s">
        <v>1486</v>
      </c>
      <c r="C144" t="s">
        <v>2127</v>
      </c>
      <c r="D144" t="s">
        <v>2128</v>
      </c>
      <c r="E144" t="s">
        <v>593</v>
      </c>
      <c r="F144" t="s">
        <v>2129</v>
      </c>
      <c r="G144">
        <v>2483</v>
      </c>
      <c r="H144">
        <v>0</v>
      </c>
      <c r="I144" t="s">
        <v>1459</v>
      </c>
      <c r="J144">
        <v>0</v>
      </c>
      <c r="K144">
        <v>1</v>
      </c>
      <c r="L144" t="s">
        <v>1487</v>
      </c>
      <c r="M144" t="s">
        <v>1488</v>
      </c>
      <c r="N144" t="s">
        <v>1489</v>
      </c>
      <c r="O144" t="s">
        <v>1514</v>
      </c>
      <c r="P144" t="s">
        <v>1491</v>
      </c>
      <c r="Q144" t="s">
        <v>1709</v>
      </c>
      <c r="R144" t="s">
        <v>1492</v>
      </c>
      <c r="S144" t="s">
        <v>1493</v>
      </c>
      <c r="T144" t="s">
        <v>1494</v>
      </c>
      <c r="U144" t="s">
        <v>1495</v>
      </c>
      <c r="V144" t="s">
        <v>1710</v>
      </c>
      <c r="W144">
        <v>603</v>
      </c>
      <c r="X144" t="s">
        <v>1711</v>
      </c>
      <c r="Y144" t="s">
        <v>1712</v>
      </c>
      <c r="Z144">
        <v>2</v>
      </c>
      <c r="AA144" t="s">
        <v>58</v>
      </c>
    </row>
    <row r="145" spans="1:27" x14ac:dyDescent="0.25">
      <c r="A145" t="s">
        <v>1485</v>
      </c>
      <c r="B145" t="s">
        <v>1486</v>
      </c>
      <c r="C145" t="s">
        <v>2130</v>
      </c>
      <c r="D145" t="s">
        <v>2131</v>
      </c>
      <c r="E145" t="s">
        <v>593</v>
      </c>
      <c r="F145" t="s">
        <v>2132</v>
      </c>
      <c r="G145">
        <v>2382</v>
      </c>
      <c r="H145">
        <v>0</v>
      </c>
      <c r="I145" t="s">
        <v>1459</v>
      </c>
      <c r="J145">
        <v>0</v>
      </c>
      <c r="K145">
        <v>1</v>
      </c>
      <c r="L145" t="s">
        <v>1487</v>
      </c>
      <c r="M145" t="s">
        <v>1488</v>
      </c>
      <c r="N145" t="s">
        <v>1489</v>
      </c>
      <c r="O145" t="s">
        <v>1611</v>
      </c>
      <c r="P145" t="s">
        <v>1491</v>
      </c>
      <c r="Q145" t="s">
        <v>1709</v>
      </c>
      <c r="R145" t="s">
        <v>1492</v>
      </c>
      <c r="S145" t="s">
        <v>1493</v>
      </c>
      <c r="T145" t="s">
        <v>1494</v>
      </c>
      <c r="U145" t="s">
        <v>1495</v>
      </c>
      <c r="V145" t="s">
        <v>1710</v>
      </c>
      <c r="W145">
        <v>603</v>
      </c>
      <c r="X145" t="s">
        <v>1711</v>
      </c>
      <c r="Y145" t="s">
        <v>1712</v>
      </c>
      <c r="Z145">
        <v>2</v>
      </c>
      <c r="AA145" t="s">
        <v>58</v>
      </c>
    </row>
    <row r="146" spans="1:27" x14ac:dyDescent="0.25">
      <c r="A146" t="s">
        <v>1485</v>
      </c>
      <c r="B146" t="s">
        <v>1486</v>
      </c>
      <c r="C146" t="s">
        <v>2133</v>
      </c>
      <c r="D146" t="s">
        <v>2134</v>
      </c>
      <c r="E146" t="s">
        <v>593</v>
      </c>
      <c r="F146" t="s">
        <v>2135</v>
      </c>
      <c r="G146">
        <v>2380</v>
      </c>
      <c r="H146">
        <v>0</v>
      </c>
      <c r="I146" t="s">
        <v>1459</v>
      </c>
      <c r="J146">
        <v>0</v>
      </c>
      <c r="K146">
        <v>1</v>
      </c>
      <c r="L146" t="s">
        <v>1487</v>
      </c>
      <c r="M146" t="s">
        <v>1488</v>
      </c>
      <c r="N146" t="s">
        <v>1489</v>
      </c>
      <c r="O146" t="s">
        <v>1607</v>
      </c>
      <c r="P146" t="s">
        <v>1491</v>
      </c>
      <c r="Q146" t="s">
        <v>1709</v>
      </c>
      <c r="R146" t="s">
        <v>1492</v>
      </c>
      <c r="S146" t="s">
        <v>1493</v>
      </c>
      <c r="T146" t="s">
        <v>1494</v>
      </c>
      <c r="U146" t="s">
        <v>1495</v>
      </c>
      <c r="V146" t="s">
        <v>1710</v>
      </c>
      <c r="W146">
        <v>603</v>
      </c>
      <c r="X146" t="s">
        <v>1711</v>
      </c>
      <c r="Y146" t="s">
        <v>1712</v>
      </c>
      <c r="Z146">
        <v>2</v>
      </c>
      <c r="AA146" t="s">
        <v>58</v>
      </c>
    </row>
    <row r="147" spans="1:27" x14ac:dyDescent="0.25">
      <c r="A147" t="s">
        <v>1485</v>
      </c>
      <c r="B147" t="s">
        <v>1486</v>
      </c>
      <c r="C147" t="s">
        <v>2136</v>
      </c>
      <c r="D147" t="s">
        <v>2137</v>
      </c>
      <c r="E147" t="s">
        <v>593</v>
      </c>
      <c r="F147" t="s">
        <v>2138</v>
      </c>
      <c r="G147">
        <v>2302</v>
      </c>
      <c r="H147">
        <v>0</v>
      </c>
      <c r="I147" t="s">
        <v>1459</v>
      </c>
      <c r="J147">
        <v>0</v>
      </c>
      <c r="K147">
        <v>1</v>
      </c>
      <c r="L147" t="s">
        <v>1487</v>
      </c>
      <c r="M147" t="s">
        <v>1488</v>
      </c>
      <c r="N147" t="s">
        <v>1489</v>
      </c>
      <c r="O147" t="s">
        <v>1590</v>
      </c>
      <c r="P147" t="s">
        <v>1491</v>
      </c>
      <c r="Q147" t="s">
        <v>1709</v>
      </c>
      <c r="R147" t="s">
        <v>1492</v>
      </c>
      <c r="S147" t="s">
        <v>1493</v>
      </c>
      <c r="T147" t="s">
        <v>1494</v>
      </c>
      <c r="U147" t="s">
        <v>1495</v>
      </c>
      <c r="V147" t="s">
        <v>1710</v>
      </c>
      <c r="W147">
        <v>603</v>
      </c>
      <c r="X147" t="s">
        <v>1711</v>
      </c>
      <c r="Y147" t="s">
        <v>1712</v>
      </c>
      <c r="Z147">
        <v>2</v>
      </c>
      <c r="AA147" t="s">
        <v>58</v>
      </c>
    </row>
    <row r="148" spans="1:27" x14ac:dyDescent="0.25">
      <c r="A148" t="s">
        <v>1485</v>
      </c>
      <c r="B148" t="s">
        <v>1486</v>
      </c>
      <c r="C148" t="s">
        <v>1020</v>
      </c>
      <c r="D148" t="s">
        <v>1021</v>
      </c>
      <c r="E148" t="s">
        <v>593</v>
      </c>
      <c r="F148" t="s">
        <v>1022</v>
      </c>
      <c r="G148">
        <v>2190</v>
      </c>
      <c r="H148">
        <v>0</v>
      </c>
      <c r="I148" t="s">
        <v>1459</v>
      </c>
      <c r="J148">
        <v>0</v>
      </c>
      <c r="K148">
        <v>1</v>
      </c>
      <c r="L148" t="s">
        <v>1487</v>
      </c>
      <c r="M148" t="s">
        <v>1488</v>
      </c>
      <c r="N148" t="s">
        <v>1489</v>
      </c>
      <c r="O148" t="s">
        <v>1541</v>
      </c>
      <c r="P148" t="s">
        <v>1491</v>
      </c>
      <c r="Q148" t="s">
        <v>1709</v>
      </c>
      <c r="R148" t="s">
        <v>1492</v>
      </c>
      <c r="S148" t="s">
        <v>1493</v>
      </c>
      <c r="T148" t="s">
        <v>1494</v>
      </c>
      <c r="U148" t="s">
        <v>1495</v>
      </c>
      <c r="V148" t="s">
        <v>1710</v>
      </c>
      <c r="W148">
        <v>603</v>
      </c>
      <c r="X148" t="s">
        <v>1711</v>
      </c>
      <c r="Y148" t="s">
        <v>1712</v>
      </c>
      <c r="Z148">
        <v>2</v>
      </c>
      <c r="AA148" t="s">
        <v>58</v>
      </c>
    </row>
    <row r="149" spans="1:27" x14ac:dyDescent="0.25">
      <c r="A149" t="s">
        <v>1485</v>
      </c>
      <c r="B149" t="s">
        <v>1486</v>
      </c>
      <c r="C149" t="s">
        <v>2139</v>
      </c>
      <c r="D149" t="s">
        <v>2140</v>
      </c>
      <c r="E149" t="s">
        <v>593</v>
      </c>
      <c r="F149" t="s">
        <v>2141</v>
      </c>
      <c r="G149">
        <v>2009</v>
      </c>
      <c r="H149">
        <v>0</v>
      </c>
      <c r="I149" t="s">
        <v>1459</v>
      </c>
      <c r="J149">
        <v>0</v>
      </c>
      <c r="K149">
        <v>1</v>
      </c>
      <c r="L149" t="s">
        <v>1487</v>
      </c>
      <c r="M149" t="s">
        <v>1488</v>
      </c>
      <c r="N149" t="s">
        <v>1489</v>
      </c>
      <c r="O149" t="s">
        <v>1586</v>
      </c>
      <c r="P149" t="s">
        <v>1491</v>
      </c>
      <c r="Q149" t="s">
        <v>1709</v>
      </c>
      <c r="R149" t="s">
        <v>1492</v>
      </c>
      <c r="S149" t="s">
        <v>1493</v>
      </c>
      <c r="T149" t="s">
        <v>1494</v>
      </c>
      <c r="U149" t="s">
        <v>1495</v>
      </c>
      <c r="V149" t="s">
        <v>1710</v>
      </c>
      <c r="W149">
        <v>603</v>
      </c>
      <c r="X149" t="s">
        <v>1711</v>
      </c>
      <c r="Y149" t="s">
        <v>1712</v>
      </c>
      <c r="Z149">
        <v>2</v>
      </c>
      <c r="AA149" t="s">
        <v>58</v>
      </c>
    </row>
    <row r="150" spans="1:27" x14ac:dyDescent="0.25">
      <c r="A150" t="s">
        <v>1485</v>
      </c>
      <c r="B150" t="s">
        <v>1486</v>
      </c>
      <c r="C150" t="s">
        <v>2142</v>
      </c>
      <c r="D150" t="s">
        <v>2143</v>
      </c>
      <c r="E150" t="s">
        <v>593</v>
      </c>
      <c r="F150" t="s">
        <v>2144</v>
      </c>
      <c r="G150">
        <v>1903</v>
      </c>
      <c r="H150">
        <v>0</v>
      </c>
      <c r="I150" t="s">
        <v>1459</v>
      </c>
      <c r="J150">
        <v>0</v>
      </c>
      <c r="K150">
        <v>1</v>
      </c>
      <c r="L150" t="s">
        <v>1487</v>
      </c>
      <c r="M150" t="s">
        <v>1488</v>
      </c>
      <c r="N150" t="s">
        <v>1489</v>
      </c>
      <c r="O150" t="s">
        <v>1631</v>
      </c>
      <c r="P150" t="s">
        <v>1491</v>
      </c>
      <c r="Q150" t="s">
        <v>1709</v>
      </c>
      <c r="R150" t="s">
        <v>1492</v>
      </c>
      <c r="S150" t="s">
        <v>1493</v>
      </c>
      <c r="T150" t="s">
        <v>1494</v>
      </c>
      <c r="U150" t="s">
        <v>1495</v>
      </c>
      <c r="V150" t="s">
        <v>1710</v>
      </c>
      <c r="W150">
        <v>603</v>
      </c>
      <c r="X150" t="s">
        <v>1711</v>
      </c>
      <c r="Y150" t="s">
        <v>1712</v>
      </c>
      <c r="Z150">
        <v>2</v>
      </c>
      <c r="AA150" t="s">
        <v>58</v>
      </c>
    </row>
    <row r="151" spans="1:27" x14ac:dyDescent="0.25">
      <c r="A151" t="s">
        <v>1485</v>
      </c>
      <c r="B151" t="s">
        <v>1486</v>
      </c>
      <c r="C151" t="s">
        <v>2145</v>
      </c>
      <c r="D151" t="s">
        <v>2146</v>
      </c>
      <c r="E151" t="s">
        <v>593</v>
      </c>
      <c r="F151" t="s">
        <v>2147</v>
      </c>
      <c r="G151">
        <v>1795</v>
      </c>
      <c r="H151">
        <v>0</v>
      </c>
      <c r="I151" t="s">
        <v>1459</v>
      </c>
      <c r="J151">
        <v>0</v>
      </c>
      <c r="K151">
        <v>1</v>
      </c>
      <c r="L151" t="s">
        <v>1487</v>
      </c>
      <c r="M151" t="s">
        <v>1488</v>
      </c>
      <c r="N151" t="s">
        <v>1489</v>
      </c>
      <c r="O151" t="s">
        <v>1587</v>
      </c>
      <c r="P151" t="s">
        <v>1491</v>
      </c>
      <c r="Q151" t="s">
        <v>1709</v>
      </c>
      <c r="R151" t="s">
        <v>1492</v>
      </c>
      <c r="S151" t="s">
        <v>1493</v>
      </c>
      <c r="T151" t="s">
        <v>1494</v>
      </c>
      <c r="U151" t="s">
        <v>1495</v>
      </c>
      <c r="V151" t="s">
        <v>1710</v>
      </c>
      <c r="W151">
        <v>603</v>
      </c>
      <c r="X151" t="s">
        <v>1711</v>
      </c>
      <c r="Y151" t="s">
        <v>1712</v>
      </c>
      <c r="Z151">
        <v>2</v>
      </c>
      <c r="AA151" t="s">
        <v>58</v>
      </c>
    </row>
    <row r="152" spans="1:27" x14ac:dyDescent="0.25">
      <c r="A152" t="s">
        <v>1485</v>
      </c>
      <c r="B152" t="s">
        <v>1486</v>
      </c>
      <c r="C152" t="s">
        <v>2148</v>
      </c>
      <c r="D152" t="s">
        <v>2149</v>
      </c>
      <c r="E152" t="s">
        <v>593</v>
      </c>
      <c r="F152" t="s">
        <v>2150</v>
      </c>
      <c r="G152">
        <v>1648</v>
      </c>
      <c r="H152">
        <v>0</v>
      </c>
      <c r="I152" t="s">
        <v>1459</v>
      </c>
      <c r="J152">
        <v>0</v>
      </c>
      <c r="K152">
        <v>1</v>
      </c>
      <c r="L152" t="s">
        <v>1487</v>
      </c>
      <c r="M152" t="s">
        <v>1488</v>
      </c>
      <c r="N152" t="s">
        <v>1489</v>
      </c>
      <c r="O152" t="s">
        <v>1490</v>
      </c>
      <c r="P152" t="s">
        <v>1491</v>
      </c>
      <c r="Q152" t="s">
        <v>1709</v>
      </c>
      <c r="R152" t="s">
        <v>1492</v>
      </c>
      <c r="S152" t="s">
        <v>1493</v>
      </c>
      <c r="T152" t="s">
        <v>1494</v>
      </c>
      <c r="U152" t="s">
        <v>1495</v>
      </c>
      <c r="V152" t="s">
        <v>1710</v>
      </c>
      <c r="W152">
        <v>603</v>
      </c>
      <c r="X152" t="s">
        <v>1711</v>
      </c>
      <c r="Y152" t="s">
        <v>1712</v>
      </c>
      <c r="Z152">
        <v>2</v>
      </c>
      <c r="AA152" t="s">
        <v>58</v>
      </c>
    </row>
    <row r="153" spans="1:27" x14ac:dyDescent="0.25">
      <c r="A153" t="s">
        <v>1485</v>
      </c>
      <c r="B153" t="s">
        <v>1486</v>
      </c>
      <c r="C153" t="s">
        <v>2151</v>
      </c>
      <c r="D153" t="s">
        <v>2152</v>
      </c>
      <c r="E153" t="s">
        <v>593</v>
      </c>
      <c r="F153" t="s">
        <v>2153</v>
      </c>
      <c r="G153">
        <v>1611</v>
      </c>
      <c r="H153">
        <v>0</v>
      </c>
      <c r="I153" t="s">
        <v>1459</v>
      </c>
      <c r="J153">
        <v>0</v>
      </c>
      <c r="K153">
        <v>1</v>
      </c>
      <c r="L153" t="s">
        <v>1487</v>
      </c>
      <c r="M153" t="s">
        <v>1488</v>
      </c>
      <c r="N153" t="s">
        <v>1489</v>
      </c>
      <c r="O153" t="s">
        <v>1615</v>
      </c>
      <c r="P153" t="s">
        <v>1491</v>
      </c>
      <c r="Q153" t="s">
        <v>1709</v>
      </c>
      <c r="R153" t="s">
        <v>1492</v>
      </c>
      <c r="S153" t="s">
        <v>1493</v>
      </c>
      <c r="T153" t="s">
        <v>1494</v>
      </c>
      <c r="U153" t="s">
        <v>1495</v>
      </c>
      <c r="V153" t="s">
        <v>1710</v>
      </c>
      <c r="W153">
        <v>603</v>
      </c>
      <c r="X153" t="s">
        <v>1711</v>
      </c>
      <c r="Y153" t="s">
        <v>1712</v>
      </c>
      <c r="Z153">
        <v>2</v>
      </c>
      <c r="AA153" t="s">
        <v>58</v>
      </c>
    </row>
    <row r="154" spans="1:27" x14ac:dyDescent="0.25">
      <c r="A154" t="s">
        <v>1485</v>
      </c>
      <c r="B154" t="s">
        <v>1486</v>
      </c>
      <c r="C154" t="s">
        <v>2154</v>
      </c>
      <c r="D154" t="s">
        <v>2155</v>
      </c>
      <c r="E154" t="s">
        <v>593</v>
      </c>
      <c r="F154" t="s">
        <v>2156</v>
      </c>
      <c r="G154">
        <v>1426</v>
      </c>
      <c r="H154">
        <v>0</v>
      </c>
      <c r="I154" t="s">
        <v>1459</v>
      </c>
      <c r="J154">
        <v>0</v>
      </c>
      <c r="K154">
        <v>1</v>
      </c>
      <c r="L154" t="s">
        <v>1487</v>
      </c>
      <c r="M154" t="s">
        <v>1488</v>
      </c>
      <c r="N154" t="s">
        <v>1489</v>
      </c>
      <c r="O154" t="s">
        <v>2157</v>
      </c>
      <c r="P154" t="s">
        <v>1491</v>
      </c>
      <c r="Q154" t="s">
        <v>1709</v>
      </c>
      <c r="R154" t="s">
        <v>1492</v>
      </c>
      <c r="S154" t="s">
        <v>1493</v>
      </c>
      <c r="T154" t="s">
        <v>1494</v>
      </c>
      <c r="U154" t="s">
        <v>1495</v>
      </c>
      <c r="V154" t="s">
        <v>1710</v>
      </c>
      <c r="W154">
        <v>603</v>
      </c>
      <c r="X154" t="s">
        <v>1711</v>
      </c>
      <c r="Y154" t="s">
        <v>1712</v>
      </c>
      <c r="Z154">
        <v>2</v>
      </c>
      <c r="AA154" t="s">
        <v>58</v>
      </c>
    </row>
    <row r="155" spans="1:27" x14ac:dyDescent="0.25">
      <c r="A155" t="s">
        <v>1485</v>
      </c>
      <c r="B155" t="s">
        <v>1486</v>
      </c>
      <c r="C155" t="s">
        <v>2158</v>
      </c>
      <c r="D155" t="s">
        <v>2159</v>
      </c>
      <c r="E155" t="s">
        <v>593</v>
      </c>
      <c r="F155" t="s">
        <v>2160</v>
      </c>
      <c r="G155">
        <v>1195</v>
      </c>
      <c r="H155">
        <v>0</v>
      </c>
      <c r="I155" t="s">
        <v>1459</v>
      </c>
      <c r="J155">
        <v>0</v>
      </c>
      <c r="K155">
        <v>1</v>
      </c>
      <c r="L155" t="s">
        <v>1487</v>
      </c>
      <c r="M155" t="s">
        <v>1488</v>
      </c>
      <c r="N155" t="s">
        <v>1489</v>
      </c>
      <c r="O155" t="s">
        <v>1516</v>
      </c>
      <c r="P155" t="s">
        <v>1491</v>
      </c>
      <c r="Q155" t="s">
        <v>1709</v>
      </c>
      <c r="R155" t="s">
        <v>1492</v>
      </c>
      <c r="S155" t="s">
        <v>1493</v>
      </c>
      <c r="T155" t="s">
        <v>1494</v>
      </c>
      <c r="U155" t="s">
        <v>1495</v>
      </c>
      <c r="V155" t="s">
        <v>1710</v>
      </c>
      <c r="W155">
        <v>603</v>
      </c>
      <c r="X155" t="s">
        <v>1711</v>
      </c>
      <c r="Y155" t="s">
        <v>1712</v>
      </c>
      <c r="Z155">
        <v>2</v>
      </c>
      <c r="AA155" t="s">
        <v>58</v>
      </c>
    </row>
    <row r="156" spans="1:27" x14ac:dyDescent="0.25">
      <c r="A156" t="s">
        <v>1485</v>
      </c>
      <c r="B156" t="s">
        <v>1486</v>
      </c>
      <c r="C156" t="s">
        <v>2161</v>
      </c>
      <c r="D156" t="s">
        <v>2162</v>
      </c>
      <c r="E156" t="s">
        <v>593</v>
      </c>
      <c r="F156" t="s">
        <v>2163</v>
      </c>
      <c r="G156">
        <v>1119</v>
      </c>
      <c r="H156">
        <v>0</v>
      </c>
      <c r="I156" t="s">
        <v>1459</v>
      </c>
      <c r="J156">
        <v>0</v>
      </c>
      <c r="K156">
        <v>1</v>
      </c>
      <c r="L156" t="s">
        <v>1487</v>
      </c>
      <c r="M156" t="s">
        <v>1488</v>
      </c>
      <c r="N156" t="s">
        <v>1489</v>
      </c>
      <c r="O156" t="s">
        <v>1535</v>
      </c>
      <c r="P156" t="s">
        <v>1491</v>
      </c>
      <c r="Q156" t="s">
        <v>1709</v>
      </c>
      <c r="R156" t="s">
        <v>1492</v>
      </c>
      <c r="S156" t="s">
        <v>1493</v>
      </c>
      <c r="T156" t="s">
        <v>1494</v>
      </c>
      <c r="U156" t="s">
        <v>1495</v>
      </c>
      <c r="V156" t="s">
        <v>1710</v>
      </c>
      <c r="W156">
        <v>603</v>
      </c>
      <c r="X156" t="s">
        <v>1711</v>
      </c>
      <c r="Y156" t="s">
        <v>1712</v>
      </c>
      <c r="Z156">
        <v>2</v>
      </c>
      <c r="AA156" t="s">
        <v>58</v>
      </c>
    </row>
    <row r="157" spans="1:27" x14ac:dyDescent="0.25">
      <c r="A157" t="s">
        <v>1485</v>
      </c>
      <c r="B157" t="s">
        <v>1486</v>
      </c>
      <c r="C157" t="s">
        <v>2164</v>
      </c>
      <c r="D157" t="s">
        <v>2165</v>
      </c>
      <c r="E157" t="s">
        <v>593</v>
      </c>
      <c r="F157" t="s">
        <v>2166</v>
      </c>
      <c r="G157">
        <v>1060</v>
      </c>
      <c r="H157">
        <v>0</v>
      </c>
      <c r="I157" t="s">
        <v>1459</v>
      </c>
      <c r="J157">
        <v>0</v>
      </c>
      <c r="K157">
        <v>1</v>
      </c>
      <c r="L157" t="s">
        <v>1487</v>
      </c>
      <c r="M157" t="s">
        <v>1488</v>
      </c>
      <c r="N157" t="s">
        <v>1489</v>
      </c>
      <c r="O157" t="s">
        <v>1542</v>
      </c>
      <c r="P157" t="s">
        <v>1491</v>
      </c>
      <c r="Q157" t="s">
        <v>1709</v>
      </c>
      <c r="R157" t="s">
        <v>1492</v>
      </c>
      <c r="S157" t="s">
        <v>1493</v>
      </c>
      <c r="T157" t="s">
        <v>1494</v>
      </c>
      <c r="U157" t="s">
        <v>1495</v>
      </c>
      <c r="V157" t="s">
        <v>1710</v>
      </c>
      <c r="W157">
        <v>603</v>
      </c>
      <c r="X157" t="s">
        <v>1711</v>
      </c>
      <c r="Y157" t="s">
        <v>1712</v>
      </c>
      <c r="Z157">
        <v>2</v>
      </c>
      <c r="AA157" t="s">
        <v>58</v>
      </c>
    </row>
    <row r="158" spans="1:27" x14ac:dyDescent="0.25">
      <c r="A158" t="s">
        <v>1485</v>
      </c>
      <c r="B158" t="s">
        <v>1486</v>
      </c>
      <c r="C158" t="s">
        <v>2167</v>
      </c>
      <c r="D158" t="s">
        <v>2168</v>
      </c>
      <c r="E158" t="s">
        <v>593</v>
      </c>
      <c r="F158" t="s">
        <v>2169</v>
      </c>
      <c r="G158">
        <v>852</v>
      </c>
      <c r="H158">
        <v>0</v>
      </c>
      <c r="I158" t="s">
        <v>1459</v>
      </c>
      <c r="J158">
        <v>0</v>
      </c>
      <c r="K158">
        <v>1</v>
      </c>
      <c r="L158" t="s">
        <v>1487</v>
      </c>
      <c r="M158" t="s">
        <v>1488</v>
      </c>
      <c r="N158" t="s">
        <v>1489</v>
      </c>
      <c r="O158" t="s">
        <v>2170</v>
      </c>
      <c r="P158" t="s">
        <v>1491</v>
      </c>
      <c r="Q158" t="s">
        <v>1709</v>
      </c>
      <c r="R158" t="s">
        <v>1492</v>
      </c>
      <c r="S158" t="s">
        <v>1493</v>
      </c>
      <c r="T158" t="s">
        <v>1494</v>
      </c>
      <c r="U158" t="s">
        <v>1495</v>
      </c>
      <c r="V158" t="s">
        <v>1710</v>
      </c>
      <c r="W158">
        <v>603</v>
      </c>
      <c r="X158" t="s">
        <v>1711</v>
      </c>
      <c r="Y158" t="s">
        <v>1712</v>
      </c>
      <c r="Z158">
        <v>2</v>
      </c>
      <c r="AA158" t="s">
        <v>58</v>
      </c>
    </row>
    <row r="159" spans="1:27" x14ac:dyDescent="0.25">
      <c r="A159" t="s">
        <v>1485</v>
      </c>
      <c r="B159" t="s">
        <v>1486</v>
      </c>
      <c r="C159" t="s">
        <v>2171</v>
      </c>
      <c r="D159" t="s">
        <v>2172</v>
      </c>
      <c r="E159" t="s">
        <v>593</v>
      </c>
      <c r="F159" t="s">
        <v>2173</v>
      </c>
      <c r="G159">
        <v>814</v>
      </c>
      <c r="H159">
        <v>0</v>
      </c>
      <c r="I159" t="s">
        <v>1459</v>
      </c>
      <c r="J159">
        <v>0</v>
      </c>
      <c r="K159">
        <v>1</v>
      </c>
      <c r="L159" t="s">
        <v>1487</v>
      </c>
      <c r="M159" t="s">
        <v>1488</v>
      </c>
      <c r="N159" t="s">
        <v>1489</v>
      </c>
      <c r="O159" t="s">
        <v>1560</v>
      </c>
      <c r="P159" t="s">
        <v>1491</v>
      </c>
      <c r="Q159" t="s">
        <v>1709</v>
      </c>
      <c r="R159" t="s">
        <v>1492</v>
      </c>
      <c r="S159" t="s">
        <v>1493</v>
      </c>
      <c r="T159" t="s">
        <v>1494</v>
      </c>
      <c r="U159" t="s">
        <v>1495</v>
      </c>
      <c r="V159" t="s">
        <v>1710</v>
      </c>
      <c r="W159">
        <v>603</v>
      </c>
      <c r="X159" t="s">
        <v>1711</v>
      </c>
      <c r="Y159" t="s">
        <v>1712</v>
      </c>
      <c r="Z159">
        <v>2</v>
      </c>
      <c r="AA159" t="s">
        <v>58</v>
      </c>
    </row>
    <row r="160" spans="1:27" x14ac:dyDescent="0.25">
      <c r="A160" t="s">
        <v>1485</v>
      </c>
      <c r="B160" t="s">
        <v>1486</v>
      </c>
      <c r="C160" t="s">
        <v>2174</v>
      </c>
      <c r="D160" t="s">
        <v>2175</v>
      </c>
      <c r="E160" t="s">
        <v>593</v>
      </c>
      <c r="F160" t="s">
        <v>2176</v>
      </c>
      <c r="G160">
        <v>609</v>
      </c>
      <c r="H160">
        <v>0</v>
      </c>
      <c r="I160" t="s">
        <v>1459</v>
      </c>
      <c r="J160">
        <v>0</v>
      </c>
      <c r="K160">
        <v>1</v>
      </c>
      <c r="L160" t="s">
        <v>1487</v>
      </c>
      <c r="M160" t="s">
        <v>1488</v>
      </c>
      <c r="N160" t="s">
        <v>1489</v>
      </c>
      <c r="O160" t="s">
        <v>1589</v>
      </c>
      <c r="P160" t="s">
        <v>1491</v>
      </c>
      <c r="Q160" t="s">
        <v>1709</v>
      </c>
      <c r="R160" t="s">
        <v>1492</v>
      </c>
      <c r="S160" t="s">
        <v>1493</v>
      </c>
      <c r="T160" t="s">
        <v>1494</v>
      </c>
      <c r="U160" t="s">
        <v>1495</v>
      </c>
      <c r="V160" t="s">
        <v>1710</v>
      </c>
      <c r="W160">
        <v>603</v>
      </c>
      <c r="X160" t="s">
        <v>1711</v>
      </c>
      <c r="Y160" t="s">
        <v>1712</v>
      </c>
      <c r="Z160">
        <v>2</v>
      </c>
      <c r="AA160" t="s">
        <v>58</v>
      </c>
    </row>
    <row r="161" spans="1:27" x14ac:dyDescent="0.25">
      <c r="A161" t="s">
        <v>1485</v>
      </c>
      <c r="B161" t="s">
        <v>1486</v>
      </c>
      <c r="C161" t="s">
        <v>2177</v>
      </c>
      <c r="D161" t="s">
        <v>2178</v>
      </c>
      <c r="E161" t="s">
        <v>593</v>
      </c>
      <c r="F161" t="s">
        <v>2179</v>
      </c>
      <c r="G161">
        <v>299</v>
      </c>
      <c r="H161">
        <v>0</v>
      </c>
      <c r="I161" t="s">
        <v>1459</v>
      </c>
      <c r="J161">
        <v>0</v>
      </c>
      <c r="K161">
        <v>1</v>
      </c>
      <c r="L161" t="s">
        <v>1487</v>
      </c>
      <c r="M161" t="s">
        <v>1488</v>
      </c>
      <c r="N161" t="s">
        <v>1489</v>
      </c>
      <c r="O161" t="s">
        <v>1530</v>
      </c>
      <c r="P161" t="s">
        <v>1491</v>
      </c>
      <c r="Q161" t="s">
        <v>1709</v>
      </c>
      <c r="R161" t="s">
        <v>1492</v>
      </c>
      <c r="S161" t="s">
        <v>1493</v>
      </c>
      <c r="T161" t="s">
        <v>1494</v>
      </c>
      <c r="U161" t="s">
        <v>1495</v>
      </c>
      <c r="V161" t="s">
        <v>1710</v>
      </c>
      <c r="W161">
        <v>603</v>
      </c>
      <c r="X161" t="s">
        <v>1711</v>
      </c>
      <c r="Y161" t="s">
        <v>1712</v>
      </c>
      <c r="Z161">
        <v>2</v>
      </c>
      <c r="AA161" t="s">
        <v>58</v>
      </c>
    </row>
    <row r="162" spans="1:27" x14ac:dyDescent="0.25">
      <c r="A162" t="s">
        <v>1485</v>
      </c>
      <c r="B162" t="s">
        <v>1486</v>
      </c>
      <c r="C162" t="s">
        <v>2180</v>
      </c>
      <c r="D162" t="s">
        <v>2181</v>
      </c>
      <c r="E162" t="s">
        <v>593</v>
      </c>
      <c r="F162" t="s">
        <v>2182</v>
      </c>
      <c r="G162">
        <v>233</v>
      </c>
      <c r="H162">
        <v>0</v>
      </c>
      <c r="I162" t="s">
        <v>1459</v>
      </c>
      <c r="J162">
        <v>0</v>
      </c>
      <c r="K162">
        <v>1</v>
      </c>
      <c r="L162" t="s">
        <v>1487</v>
      </c>
      <c r="M162" t="s">
        <v>1488</v>
      </c>
      <c r="N162" t="s">
        <v>1489</v>
      </c>
      <c r="O162" t="s">
        <v>1575</v>
      </c>
      <c r="P162" t="s">
        <v>1491</v>
      </c>
      <c r="Q162" t="s">
        <v>1709</v>
      </c>
      <c r="R162" t="s">
        <v>1492</v>
      </c>
      <c r="S162" t="s">
        <v>1493</v>
      </c>
      <c r="T162" t="s">
        <v>1494</v>
      </c>
      <c r="U162" t="s">
        <v>1495</v>
      </c>
      <c r="V162" t="s">
        <v>1710</v>
      </c>
      <c r="W162">
        <v>603</v>
      </c>
      <c r="X162" t="s">
        <v>1711</v>
      </c>
      <c r="Y162" t="s">
        <v>1712</v>
      </c>
      <c r="Z162">
        <v>2</v>
      </c>
      <c r="AA162" t="s">
        <v>58</v>
      </c>
    </row>
    <row r="163" spans="1:27" x14ac:dyDescent="0.25">
      <c r="A163" t="s">
        <v>1485</v>
      </c>
      <c r="B163" t="s">
        <v>1486</v>
      </c>
      <c r="C163" t="s">
        <v>2183</v>
      </c>
      <c r="D163" t="s">
        <v>2184</v>
      </c>
      <c r="E163" t="s">
        <v>593</v>
      </c>
      <c r="F163" t="s">
        <v>2185</v>
      </c>
      <c r="G163">
        <v>156</v>
      </c>
      <c r="H163">
        <v>0</v>
      </c>
      <c r="I163" t="s">
        <v>1459</v>
      </c>
      <c r="J163">
        <v>0</v>
      </c>
      <c r="K163">
        <v>1</v>
      </c>
      <c r="L163" t="s">
        <v>1487</v>
      </c>
      <c r="M163" t="s">
        <v>1488</v>
      </c>
      <c r="N163" t="s">
        <v>1489</v>
      </c>
      <c r="O163" t="s">
        <v>1623</v>
      </c>
      <c r="P163" t="s">
        <v>1491</v>
      </c>
      <c r="Q163" t="s">
        <v>1709</v>
      </c>
      <c r="R163" t="s">
        <v>1492</v>
      </c>
      <c r="S163" t="s">
        <v>1493</v>
      </c>
      <c r="T163" t="s">
        <v>1494</v>
      </c>
      <c r="U163" t="s">
        <v>1495</v>
      </c>
      <c r="V163" t="s">
        <v>1710</v>
      </c>
      <c r="W163">
        <v>603</v>
      </c>
      <c r="X163" t="s">
        <v>1711</v>
      </c>
      <c r="Y163" t="s">
        <v>1712</v>
      </c>
      <c r="Z163">
        <v>2</v>
      </c>
      <c r="AA163" t="s">
        <v>58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StockHistory</vt:lpstr>
      <vt:lpstr>Main</vt:lpstr>
      <vt:lpstr>Order</vt:lpstr>
      <vt:lpstr>Articles</vt:lpstr>
      <vt:lpstr>LampeSolaire_v7</vt:lpstr>
      <vt:lpstr>LampeSolaire_v6</vt:lpstr>
      <vt:lpstr>LampeSolaire_v5</vt:lpstr>
      <vt:lpstr>LampeSolaire_v4</vt:lpstr>
      <vt:lpstr>TempoMetter_v1</vt:lpstr>
      <vt:lpstr>USB_Tool_v4</vt:lpstr>
      <vt:lpstr>USB_Tool_v1</vt:lpstr>
      <vt:lpstr>EXT_RF_RX_v1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2019-08-26T12:09:54Z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