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C2B30BD5-6C3E-4E2D-B9C1-E7311EDF8F55}" xr6:coauthVersionLast="43" xr6:coauthVersionMax="43" xr10:uidLastSave="{00000000-0000-0000-0000-000000000000}"/>
  <bookViews>
    <workbookView xWindow="-120" yWindow="-120" windowWidth="29040" windowHeight="15990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Order!$A$1:$L$20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24" i="19" l="1"/>
  <c r="J324" i="19"/>
  <c r="K324" i="19"/>
  <c r="Z324" i="19"/>
  <c r="AC324" i="19"/>
  <c r="I322" i="19"/>
  <c r="J322" i="19"/>
  <c r="Z322" i="19"/>
  <c r="K322" i="19" s="1"/>
  <c r="AC322" i="19"/>
  <c r="I320" i="19"/>
  <c r="J320" i="19"/>
  <c r="K320" i="19"/>
  <c r="Z320" i="19"/>
  <c r="AC320" i="19"/>
  <c r="I327" i="19"/>
  <c r="J327" i="19"/>
  <c r="Z327" i="19"/>
  <c r="K327" i="19" s="1"/>
  <c r="AC327" i="19"/>
  <c r="I339" i="19" l="1"/>
  <c r="J339" i="19"/>
  <c r="Z339" i="19"/>
  <c r="K339" i="19" s="1"/>
  <c r="AC339" i="19"/>
  <c r="I338" i="19"/>
  <c r="J338" i="19"/>
  <c r="Z338" i="19"/>
  <c r="K338" i="19" s="1"/>
  <c r="AC338" i="19"/>
  <c r="T319" i="19" l="1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228" i="19"/>
  <c r="T227" i="19"/>
  <c r="T226" i="19"/>
  <c r="T225" i="19"/>
  <c r="T224" i="19"/>
  <c r="T223" i="19"/>
  <c r="T222" i="19"/>
  <c r="T221" i="19"/>
  <c r="T220" i="19"/>
  <c r="T219" i="19"/>
  <c r="T218" i="19"/>
  <c r="T217" i="19"/>
  <c r="T216" i="19"/>
  <c r="T215" i="19"/>
  <c r="T214" i="19"/>
  <c r="T213" i="19"/>
  <c r="T212" i="19"/>
  <c r="T211" i="19"/>
  <c r="T210" i="19"/>
  <c r="T209" i="19"/>
  <c r="T208" i="19"/>
  <c r="T207" i="19"/>
  <c r="T206" i="19"/>
  <c r="T205" i="19"/>
  <c r="T204" i="19"/>
  <c r="T203" i="19"/>
  <c r="T202" i="19"/>
  <c r="T201" i="19"/>
  <c r="T200" i="19"/>
  <c r="T199" i="19"/>
  <c r="T198" i="19"/>
  <c r="T197" i="19"/>
  <c r="T196" i="19"/>
  <c r="T195" i="19"/>
  <c r="T194" i="19"/>
  <c r="T193" i="19"/>
  <c r="T192" i="19"/>
  <c r="T191" i="19"/>
  <c r="T190" i="19"/>
  <c r="T189" i="19"/>
  <c r="T188" i="19"/>
  <c r="T187" i="19"/>
  <c r="T186" i="19"/>
  <c r="T185" i="19"/>
  <c r="T184" i="19"/>
  <c r="T183" i="19"/>
  <c r="T182" i="19"/>
  <c r="T181" i="19"/>
  <c r="T180" i="19"/>
  <c r="T179" i="19"/>
  <c r="T178" i="19"/>
  <c r="T177" i="19"/>
  <c r="T176" i="19"/>
  <c r="T175" i="19"/>
  <c r="T174" i="19"/>
  <c r="T173" i="19"/>
  <c r="T172" i="19"/>
  <c r="T171" i="19"/>
  <c r="T170" i="19"/>
  <c r="T169" i="19"/>
  <c r="T168" i="19"/>
  <c r="T167" i="19"/>
  <c r="T166" i="19"/>
  <c r="T165" i="19"/>
  <c r="T164" i="19"/>
  <c r="T163" i="19"/>
  <c r="T162" i="19"/>
  <c r="T158" i="19"/>
  <c r="T160" i="19"/>
  <c r="T159" i="19"/>
  <c r="I313" i="19"/>
  <c r="J313" i="19"/>
  <c r="Z313" i="19"/>
  <c r="AC313" i="19"/>
  <c r="I232" i="19"/>
  <c r="J232" i="19"/>
  <c r="Z232" i="19"/>
  <c r="AC232" i="19"/>
  <c r="I233" i="19"/>
  <c r="J233" i="19"/>
  <c r="Z233" i="19"/>
  <c r="AC233" i="19"/>
  <c r="I211" i="19"/>
  <c r="J211" i="19"/>
  <c r="Z211" i="19"/>
  <c r="K211" i="19" s="1"/>
  <c r="AC211" i="19"/>
  <c r="I243" i="19"/>
  <c r="J243" i="19"/>
  <c r="Z243" i="19"/>
  <c r="K243" i="19" s="1"/>
  <c r="AC243" i="19"/>
  <c r="I223" i="19"/>
  <c r="J223" i="19"/>
  <c r="Z223" i="19"/>
  <c r="AC223" i="19"/>
  <c r="I219" i="19"/>
  <c r="J219" i="19"/>
  <c r="Z219" i="19"/>
  <c r="K219" i="19" s="1"/>
  <c r="AC219" i="19"/>
  <c r="I207" i="19"/>
  <c r="J207" i="19"/>
  <c r="Z207" i="19"/>
  <c r="AC207" i="19"/>
  <c r="I221" i="19"/>
  <c r="J221" i="19"/>
  <c r="Z221" i="19"/>
  <c r="AC221" i="19"/>
  <c r="I229" i="19"/>
  <c r="J229" i="19"/>
  <c r="Z229" i="19"/>
  <c r="AC229" i="19"/>
  <c r="I265" i="19"/>
  <c r="J265" i="19"/>
  <c r="Z265" i="19"/>
  <c r="AC265" i="19"/>
  <c r="I196" i="19"/>
  <c r="J196" i="19"/>
  <c r="Z196" i="19"/>
  <c r="AC196" i="19"/>
  <c r="I309" i="19"/>
  <c r="J309" i="19"/>
  <c r="Z309" i="19"/>
  <c r="AC309" i="19"/>
  <c r="I190" i="19"/>
  <c r="J190" i="19"/>
  <c r="Z190" i="19"/>
  <c r="AC190" i="19"/>
  <c r="I212" i="19"/>
  <c r="J212" i="19"/>
  <c r="Z212" i="19"/>
  <c r="AC212" i="19"/>
  <c r="I259" i="19"/>
  <c r="J259" i="19"/>
  <c r="Z259" i="19"/>
  <c r="K259" i="19" s="1"/>
  <c r="AC259" i="19"/>
  <c r="I237" i="19"/>
  <c r="J237" i="19"/>
  <c r="Z237" i="19"/>
  <c r="AC237" i="19"/>
  <c r="I271" i="19"/>
  <c r="J271" i="19"/>
  <c r="Z271" i="19"/>
  <c r="AC271" i="19"/>
  <c r="I262" i="19"/>
  <c r="J262" i="19"/>
  <c r="Z262" i="19"/>
  <c r="K262" i="19" s="1"/>
  <c r="AC262" i="19"/>
  <c r="I188" i="19"/>
  <c r="J188" i="19"/>
  <c r="Z188" i="19"/>
  <c r="AC188" i="19"/>
  <c r="I187" i="19"/>
  <c r="J187" i="19"/>
  <c r="Z187" i="19"/>
  <c r="K187" i="19" s="1"/>
  <c r="AC187" i="19"/>
  <c r="I272" i="19"/>
  <c r="J272" i="19"/>
  <c r="Z272" i="19"/>
  <c r="AC272" i="19"/>
  <c r="I295" i="19"/>
  <c r="J295" i="19"/>
  <c r="Z295" i="19"/>
  <c r="AC295" i="19"/>
  <c r="I248" i="19"/>
  <c r="J248" i="19"/>
  <c r="Z248" i="19"/>
  <c r="AC248" i="19"/>
  <c r="I215" i="19"/>
  <c r="J215" i="19"/>
  <c r="Z215" i="19"/>
  <c r="AC215" i="19"/>
  <c r="I180" i="19"/>
  <c r="J180" i="19"/>
  <c r="Z180" i="19"/>
  <c r="AC180" i="19"/>
  <c r="I269" i="19"/>
  <c r="J269" i="19"/>
  <c r="Z269" i="19"/>
  <c r="AC269" i="19"/>
  <c r="I169" i="19"/>
  <c r="J169" i="19"/>
  <c r="Z169" i="19"/>
  <c r="AC169" i="19"/>
  <c r="I238" i="19"/>
  <c r="J238" i="19"/>
  <c r="Z238" i="19"/>
  <c r="K238" i="19" s="1"/>
  <c r="AC238" i="19"/>
  <c r="I206" i="19"/>
  <c r="J206" i="19"/>
  <c r="Z206" i="19"/>
  <c r="K206" i="19" s="1"/>
  <c r="AC206" i="19"/>
  <c r="I166" i="19"/>
  <c r="J166" i="19"/>
  <c r="Z166" i="19"/>
  <c r="K166" i="19" s="1"/>
  <c r="AC166" i="19"/>
  <c r="I303" i="19"/>
  <c r="J303" i="19"/>
  <c r="Z303" i="19"/>
  <c r="AC303" i="19"/>
  <c r="I174" i="19"/>
  <c r="J174" i="19"/>
  <c r="Z174" i="19"/>
  <c r="K174" i="19" s="1"/>
  <c r="AC174" i="19"/>
  <c r="I296" i="19"/>
  <c r="J296" i="19"/>
  <c r="Z296" i="19"/>
  <c r="AC296" i="19"/>
  <c r="I254" i="19"/>
  <c r="J254" i="19"/>
  <c r="Z254" i="19"/>
  <c r="K254" i="19" s="1"/>
  <c r="AC254" i="19"/>
  <c r="I305" i="19"/>
  <c r="J305" i="19"/>
  <c r="Z305" i="19"/>
  <c r="K305" i="19" s="1"/>
  <c r="AC305" i="19"/>
  <c r="I177" i="19"/>
  <c r="J177" i="19"/>
  <c r="Z177" i="19"/>
  <c r="AC177" i="19"/>
  <c r="I247" i="19"/>
  <c r="J247" i="19"/>
  <c r="Z247" i="19"/>
  <c r="AC247" i="19"/>
  <c r="I315" i="19"/>
  <c r="J315" i="19"/>
  <c r="Z315" i="19"/>
  <c r="K315" i="19" s="1"/>
  <c r="AC315" i="19"/>
  <c r="I270" i="19"/>
  <c r="J270" i="19"/>
  <c r="Z270" i="19"/>
  <c r="K270" i="19" s="1"/>
  <c r="AC270" i="19"/>
  <c r="I282" i="19"/>
  <c r="J282" i="19"/>
  <c r="Z282" i="19"/>
  <c r="K282" i="19" s="1"/>
  <c r="AC282" i="19"/>
  <c r="I198" i="19"/>
  <c r="J198" i="19"/>
  <c r="Z198" i="19"/>
  <c r="K198" i="19" s="1"/>
  <c r="AC198" i="19"/>
  <c r="I316" i="19"/>
  <c r="J316" i="19"/>
  <c r="Z316" i="19"/>
  <c r="AC316" i="19"/>
  <c r="I236" i="19"/>
  <c r="J236" i="19"/>
  <c r="Z236" i="19"/>
  <c r="AC236" i="19"/>
  <c r="I191" i="19"/>
  <c r="J191" i="19"/>
  <c r="Z191" i="19"/>
  <c r="AC191" i="19"/>
  <c r="I261" i="19"/>
  <c r="J261" i="19"/>
  <c r="Z261" i="19"/>
  <c r="AC261" i="19"/>
  <c r="I260" i="19"/>
  <c r="J260" i="19"/>
  <c r="Z260" i="19"/>
  <c r="AC260" i="19"/>
  <c r="I167" i="19"/>
  <c r="J167" i="19"/>
  <c r="Z167" i="19"/>
  <c r="AC167" i="19"/>
  <c r="I205" i="19"/>
  <c r="J205" i="19"/>
  <c r="Z205" i="19"/>
  <c r="AC205" i="19"/>
  <c r="I294" i="19"/>
  <c r="J294" i="19"/>
  <c r="Z294" i="19"/>
  <c r="K294" i="19" s="1"/>
  <c r="AC294" i="19"/>
  <c r="I289" i="19"/>
  <c r="J289" i="19"/>
  <c r="Z289" i="19"/>
  <c r="AC289" i="19"/>
  <c r="I317" i="19"/>
  <c r="J317" i="19"/>
  <c r="Z317" i="19"/>
  <c r="AC317" i="19"/>
  <c r="I284" i="19"/>
  <c r="J284" i="19"/>
  <c r="Z284" i="19"/>
  <c r="AC284" i="19"/>
  <c r="I246" i="19"/>
  <c r="J246" i="19"/>
  <c r="Z246" i="19"/>
  <c r="K246" i="19" s="1"/>
  <c r="AC246" i="19"/>
  <c r="I318" i="19"/>
  <c r="J318" i="19"/>
  <c r="Z318" i="19"/>
  <c r="K318" i="19" s="1"/>
  <c r="AC318" i="19"/>
  <c r="I311" i="19"/>
  <c r="J311" i="19"/>
  <c r="Z311" i="19"/>
  <c r="AC311" i="19"/>
  <c r="I310" i="19"/>
  <c r="J310" i="19"/>
  <c r="Z310" i="19"/>
  <c r="K310" i="19" s="1"/>
  <c r="AC310" i="19"/>
  <c r="I304" i="19"/>
  <c r="J304" i="19"/>
  <c r="Z304" i="19"/>
  <c r="K304" i="19" s="1"/>
  <c r="AC304" i="19"/>
  <c r="I302" i="19"/>
  <c r="J302" i="19"/>
  <c r="Z302" i="19"/>
  <c r="K302" i="19" s="1"/>
  <c r="AC302" i="19"/>
  <c r="I279" i="19"/>
  <c r="J279" i="19"/>
  <c r="Z279" i="19"/>
  <c r="AC279" i="19"/>
  <c r="I256" i="19"/>
  <c r="J256" i="19"/>
  <c r="Z256" i="19"/>
  <c r="AC256" i="19"/>
  <c r="I250" i="19"/>
  <c r="J250" i="19"/>
  <c r="Z250" i="19"/>
  <c r="K250" i="19" s="1"/>
  <c r="AC250" i="19"/>
  <c r="I249" i="19"/>
  <c r="J249" i="19"/>
  <c r="Z249" i="19"/>
  <c r="AC249" i="19"/>
  <c r="I239" i="19"/>
  <c r="J239" i="19"/>
  <c r="Z239" i="19"/>
  <c r="AC239" i="19"/>
  <c r="I201" i="19"/>
  <c r="J201" i="19"/>
  <c r="Z201" i="19"/>
  <c r="AC201" i="19"/>
  <c r="I199" i="19"/>
  <c r="J199" i="19"/>
  <c r="Z199" i="19"/>
  <c r="AC199" i="19"/>
  <c r="I182" i="19"/>
  <c r="J182" i="19"/>
  <c r="Z182" i="19"/>
  <c r="K182" i="19" s="1"/>
  <c r="AC182" i="19"/>
  <c r="I181" i="19"/>
  <c r="J181" i="19"/>
  <c r="Z181" i="19"/>
  <c r="AC181" i="19"/>
  <c r="I176" i="19"/>
  <c r="J176" i="19"/>
  <c r="Z176" i="19"/>
  <c r="AC176" i="19"/>
  <c r="I170" i="19"/>
  <c r="J170" i="19"/>
  <c r="Z170" i="19"/>
  <c r="K170" i="19" s="1"/>
  <c r="AC170" i="19"/>
  <c r="I319" i="19"/>
  <c r="J319" i="19"/>
  <c r="Z319" i="19"/>
  <c r="K319" i="19" s="1"/>
  <c r="AC319" i="19"/>
  <c r="I308" i="19"/>
  <c r="J308" i="19"/>
  <c r="Z308" i="19"/>
  <c r="AC308" i="19"/>
  <c r="I298" i="19"/>
  <c r="J298" i="19"/>
  <c r="Z298" i="19"/>
  <c r="K298" i="19" s="1"/>
  <c r="AC298" i="19"/>
  <c r="I297" i="19"/>
  <c r="J297" i="19"/>
  <c r="Z297" i="19"/>
  <c r="K297" i="19" s="1"/>
  <c r="AC297" i="19"/>
  <c r="I290" i="19"/>
  <c r="J290" i="19"/>
  <c r="Z290" i="19"/>
  <c r="K290" i="19" s="1"/>
  <c r="AC290" i="19"/>
  <c r="I286" i="19"/>
  <c r="J286" i="19"/>
  <c r="Z286" i="19"/>
  <c r="K286" i="19" s="1"/>
  <c r="AC286" i="19"/>
  <c r="I283" i="19"/>
  <c r="J283" i="19"/>
  <c r="Z283" i="19"/>
  <c r="K283" i="19" s="1"/>
  <c r="AC283" i="19"/>
  <c r="I278" i="19"/>
  <c r="J278" i="19"/>
  <c r="Z278" i="19"/>
  <c r="K278" i="19" s="1"/>
  <c r="AC278" i="19"/>
  <c r="I264" i="19"/>
  <c r="J264" i="19"/>
  <c r="Z264" i="19"/>
  <c r="AC264" i="19"/>
  <c r="I263" i="19"/>
  <c r="J263" i="19"/>
  <c r="Z263" i="19"/>
  <c r="AC263" i="19"/>
  <c r="I245" i="19"/>
  <c r="J245" i="19"/>
  <c r="Z245" i="19"/>
  <c r="AC245" i="19"/>
  <c r="I244" i="19"/>
  <c r="J244" i="19"/>
  <c r="Z244" i="19"/>
  <c r="K244" i="19" s="1"/>
  <c r="AC244" i="19"/>
  <c r="I224" i="19"/>
  <c r="J224" i="19"/>
  <c r="Z224" i="19"/>
  <c r="AC224" i="19"/>
  <c r="I222" i="19"/>
  <c r="J222" i="19"/>
  <c r="Z222" i="19"/>
  <c r="K222" i="19" s="1"/>
  <c r="AC222" i="19"/>
  <c r="I217" i="19"/>
  <c r="J217" i="19"/>
  <c r="Z217" i="19"/>
  <c r="K217" i="19" s="1"/>
  <c r="AC217" i="19"/>
  <c r="I204" i="19"/>
  <c r="J204" i="19"/>
  <c r="Z204" i="19"/>
  <c r="K204" i="19" s="1"/>
  <c r="AC204" i="19"/>
  <c r="I203" i="19"/>
  <c r="J203" i="19"/>
  <c r="Z203" i="19"/>
  <c r="K203" i="19" s="1"/>
  <c r="AC203" i="19"/>
  <c r="I202" i="19"/>
  <c r="J202" i="19"/>
  <c r="Z202" i="19"/>
  <c r="K202" i="19" s="1"/>
  <c r="AC202" i="19"/>
  <c r="I193" i="19"/>
  <c r="J193" i="19"/>
  <c r="Z193" i="19"/>
  <c r="K193" i="19" s="1"/>
  <c r="AC193" i="19"/>
  <c r="I192" i="19"/>
  <c r="J192" i="19"/>
  <c r="Z192" i="19"/>
  <c r="K192" i="19" s="1"/>
  <c r="AC192" i="19"/>
  <c r="I179" i="19"/>
  <c r="J179" i="19"/>
  <c r="Z179" i="19"/>
  <c r="K179" i="19" s="1"/>
  <c r="AC179" i="19"/>
  <c r="I168" i="19"/>
  <c r="J168" i="19"/>
  <c r="Z168" i="19"/>
  <c r="K168" i="19" s="1"/>
  <c r="AC168" i="19"/>
  <c r="I253" i="19"/>
  <c r="J253" i="19"/>
  <c r="Z253" i="19"/>
  <c r="AC253" i="19"/>
  <c r="I218" i="19"/>
  <c r="J218" i="19"/>
  <c r="Z218" i="19"/>
  <c r="K218" i="19" s="1"/>
  <c r="AC218" i="19"/>
  <c r="I314" i="19"/>
  <c r="J314" i="19"/>
  <c r="Z314" i="19"/>
  <c r="K314" i="19" s="1"/>
  <c r="AC314" i="19"/>
  <c r="I312" i="19"/>
  <c r="J312" i="19"/>
  <c r="Z312" i="19"/>
  <c r="K312" i="19" s="1"/>
  <c r="AC312" i="19"/>
  <c r="I307" i="19"/>
  <c r="J307" i="19"/>
  <c r="Z307" i="19"/>
  <c r="K307" i="19" s="1"/>
  <c r="AC307" i="19"/>
  <c r="I306" i="19"/>
  <c r="J306" i="19"/>
  <c r="Z306" i="19"/>
  <c r="K306" i="19" s="1"/>
  <c r="AC306" i="19"/>
  <c r="I301" i="19"/>
  <c r="J301" i="19"/>
  <c r="Z301" i="19"/>
  <c r="AC301" i="19"/>
  <c r="I299" i="19"/>
  <c r="J299" i="19"/>
  <c r="Z299" i="19"/>
  <c r="K299" i="19" s="1"/>
  <c r="AC299" i="19"/>
  <c r="I291" i="19"/>
  <c r="J291" i="19"/>
  <c r="Z291" i="19"/>
  <c r="K291" i="19" s="1"/>
  <c r="AC291" i="19"/>
  <c r="I288" i="19"/>
  <c r="J288" i="19"/>
  <c r="Z288" i="19"/>
  <c r="K288" i="19" s="1"/>
  <c r="AC288" i="19"/>
  <c r="I277" i="19"/>
  <c r="J277" i="19"/>
  <c r="Z277" i="19"/>
  <c r="AC277" i="19"/>
  <c r="I227" i="19"/>
  <c r="J227" i="19"/>
  <c r="Z227" i="19"/>
  <c r="K227" i="19" s="1"/>
  <c r="AC227" i="19"/>
  <c r="I210" i="19"/>
  <c r="J210" i="19"/>
  <c r="Z210" i="19"/>
  <c r="K210" i="19" s="1"/>
  <c r="AC210" i="19"/>
  <c r="I189" i="19"/>
  <c r="J189" i="19"/>
  <c r="Z189" i="19"/>
  <c r="AC189" i="19"/>
  <c r="I175" i="19"/>
  <c r="J175" i="19"/>
  <c r="Z175" i="19"/>
  <c r="K175" i="19" s="1"/>
  <c r="AC175" i="19"/>
  <c r="I214" i="19"/>
  <c r="J214" i="19"/>
  <c r="Z214" i="19"/>
  <c r="K214" i="19" s="1"/>
  <c r="AC214" i="19"/>
  <c r="I186" i="19"/>
  <c r="J186" i="19"/>
  <c r="Z186" i="19"/>
  <c r="K186" i="19" s="1"/>
  <c r="AC186" i="19"/>
  <c r="I183" i="19"/>
  <c r="J183" i="19"/>
  <c r="Z183" i="19"/>
  <c r="AC183" i="19"/>
  <c r="I164" i="19"/>
  <c r="J164" i="19"/>
  <c r="Z164" i="19"/>
  <c r="K164" i="19" s="1"/>
  <c r="AC164" i="19"/>
  <c r="I276" i="19"/>
  <c r="J276" i="19"/>
  <c r="Z276" i="19"/>
  <c r="K276" i="19" s="1"/>
  <c r="AC276" i="19"/>
  <c r="I235" i="19"/>
  <c r="J235" i="19"/>
  <c r="Z235" i="19"/>
  <c r="K235" i="19" s="1"/>
  <c r="AC235" i="19"/>
  <c r="I216" i="19"/>
  <c r="J216" i="19"/>
  <c r="Z216" i="19"/>
  <c r="K216" i="19" s="1"/>
  <c r="AC216" i="19"/>
  <c r="I162" i="19"/>
  <c r="J162" i="19"/>
  <c r="Z162" i="19"/>
  <c r="K162" i="19" s="1"/>
  <c r="AC162" i="19"/>
  <c r="I165" i="19"/>
  <c r="J165" i="19"/>
  <c r="Z165" i="19"/>
  <c r="K165" i="19" s="1"/>
  <c r="AC165" i="19"/>
  <c r="I257" i="19"/>
  <c r="J257" i="19"/>
  <c r="Z257" i="19"/>
  <c r="K257" i="19" s="1"/>
  <c r="AC257" i="19"/>
  <c r="I280" i="19"/>
  <c r="J280" i="19"/>
  <c r="Z280" i="19"/>
  <c r="K280" i="19" s="1"/>
  <c r="AC280" i="19"/>
  <c r="I275" i="19"/>
  <c r="J275" i="19"/>
  <c r="Z275" i="19"/>
  <c r="K275" i="19" s="1"/>
  <c r="AC275" i="19"/>
  <c r="I230" i="19"/>
  <c r="J230" i="19"/>
  <c r="Z230" i="19"/>
  <c r="K230" i="19" s="1"/>
  <c r="AC230" i="19"/>
  <c r="I173" i="19"/>
  <c r="J173" i="19"/>
  <c r="Z173" i="19"/>
  <c r="AC173" i="19"/>
  <c r="I267" i="19"/>
  <c r="J267" i="19"/>
  <c r="Z267" i="19"/>
  <c r="K267" i="19" s="1"/>
  <c r="AC267" i="19"/>
  <c r="I197" i="19"/>
  <c r="J197" i="19"/>
  <c r="Z197" i="19"/>
  <c r="AC197" i="19"/>
  <c r="I171" i="19"/>
  <c r="J171" i="19"/>
  <c r="Z171" i="19"/>
  <c r="K171" i="19" s="1"/>
  <c r="AC171" i="19"/>
  <c r="I255" i="19"/>
  <c r="J255" i="19"/>
  <c r="Z255" i="19"/>
  <c r="K255" i="19" s="1"/>
  <c r="AC255" i="19"/>
  <c r="I293" i="19"/>
  <c r="J293" i="19"/>
  <c r="Z293" i="19"/>
  <c r="AC293" i="19"/>
  <c r="I234" i="19"/>
  <c r="J234" i="19"/>
  <c r="Z234" i="19"/>
  <c r="K234" i="19" s="1"/>
  <c r="AC234" i="19"/>
  <c r="I225" i="19"/>
  <c r="J225" i="19"/>
  <c r="Z225" i="19"/>
  <c r="K225" i="19" s="1"/>
  <c r="AC225" i="19"/>
  <c r="I300" i="19"/>
  <c r="J300" i="19"/>
  <c r="Z300" i="19"/>
  <c r="K300" i="19" s="1"/>
  <c r="AC300" i="19"/>
  <c r="I292" i="19"/>
  <c r="J292" i="19"/>
  <c r="Z292" i="19"/>
  <c r="K292" i="19" s="1"/>
  <c r="AC292" i="19"/>
  <c r="I209" i="19"/>
  <c r="J209" i="19"/>
  <c r="Z209" i="19"/>
  <c r="K209" i="19" s="1"/>
  <c r="AC209" i="19"/>
  <c r="I285" i="19"/>
  <c r="J285" i="19"/>
  <c r="Z285" i="19"/>
  <c r="AC285" i="19"/>
  <c r="I258" i="19"/>
  <c r="J258" i="19"/>
  <c r="Z258" i="19"/>
  <c r="K258" i="19" s="1"/>
  <c r="AC258" i="19"/>
  <c r="I252" i="19"/>
  <c r="J252" i="19"/>
  <c r="Z252" i="19"/>
  <c r="K252" i="19" s="1"/>
  <c r="AC252" i="19"/>
  <c r="I178" i="19"/>
  <c r="J178" i="19"/>
  <c r="Z178" i="19"/>
  <c r="K178" i="19" s="1"/>
  <c r="AC178" i="19"/>
  <c r="I251" i="19"/>
  <c r="J251" i="19"/>
  <c r="Z251" i="19"/>
  <c r="K251" i="19" s="1"/>
  <c r="AC251" i="19"/>
  <c r="I274" i="19"/>
  <c r="J274" i="19"/>
  <c r="Z274" i="19"/>
  <c r="K274" i="19" s="1"/>
  <c r="AC274" i="19"/>
  <c r="I194" i="19"/>
  <c r="J194" i="19"/>
  <c r="Z194" i="19"/>
  <c r="K194" i="19" s="1"/>
  <c r="AC194" i="19"/>
  <c r="I273" i="19"/>
  <c r="J273" i="19"/>
  <c r="Z273" i="19"/>
  <c r="K273" i="19" s="1"/>
  <c r="AC273" i="19"/>
  <c r="I200" i="19"/>
  <c r="J200" i="19"/>
  <c r="Z200" i="19"/>
  <c r="K200" i="19" s="1"/>
  <c r="AC200" i="19"/>
  <c r="I287" i="19"/>
  <c r="J287" i="19"/>
  <c r="Z287" i="19"/>
  <c r="K287" i="19" s="1"/>
  <c r="AC287" i="19"/>
  <c r="I242" i="19"/>
  <c r="J242" i="19"/>
  <c r="Z242" i="19"/>
  <c r="K242" i="19" s="1"/>
  <c r="AC242" i="19"/>
  <c r="I220" i="19"/>
  <c r="J220" i="19"/>
  <c r="Z220" i="19"/>
  <c r="K220" i="19" s="1"/>
  <c r="AC220" i="19"/>
  <c r="I231" i="19"/>
  <c r="J231" i="19"/>
  <c r="Z231" i="19"/>
  <c r="K231" i="19" s="1"/>
  <c r="AC231" i="19"/>
  <c r="I208" i="19"/>
  <c r="J208" i="19"/>
  <c r="Z208" i="19"/>
  <c r="AC208" i="19"/>
  <c r="I266" i="19"/>
  <c r="J266" i="19"/>
  <c r="Z266" i="19"/>
  <c r="K266" i="19" s="1"/>
  <c r="AC266" i="19"/>
  <c r="I213" i="19"/>
  <c r="J213" i="19"/>
  <c r="Z213" i="19"/>
  <c r="K213" i="19" s="1"/>
  <c r="AC213" i="19"/>
  <c r="I240" i="19"/>
  <c r="J240" i="19"/>
  <c r="Z240" i="19"/>
  <c r="K240" i="19" s="1"/>
  <c r="AC240" i="19"/>
  <c r="I158" i="19"/>
  <c r="J158" i="19"/>
  <c r="Z158" i="19"/>
  <c r="K158" i="19" s="1"/>
  <c r="AC158" i="19"/>
  <c r="I159" i="19"/>
  <c r="J159" i="19"/>
  <c r="Z159" i="19"/>
  <c r="K159" i="19" s="1"/>
  <c r="AC159" i="19"/>
  <c r="T155" i="19"/>
  <c r="T329" i="19"/>
  <c r="T323" i="19"/>
  <c r="T328" i="19"/>
  <c r="T326" i="19"/>
  <c r="T325" i="19"/>
  <c r="T161" i="19"/>
  <c r="T321" i="19"/>
  <c r="T330" i="19"/>
  <c r="T157" i="19"/>
  <c r="T156" i="19"/>
  <c r="K208" i="19" l="1"/>
  <c r="K224" i="19"/>
  <c r="K264" i="19"/>
  <c r="K176" i="19"/>
  <c r="K201" i="19"/>
  <c r="K249" i="19"/>
  <c r="K289" i="19"/>
  <c r="K177" i="19"/>
  <c r="K313" i="19"/>
  <c r="K239" i="19"/>
  <c r="K167" i="19"/>
  <c r="K247" i="19"/>
  <c r="K263" i="19"/>
  <c r="K199" i="19"/>
  <c r="K279" i="19"/>
  <c r="K183" i="19"/>
  <c r="K223" i="19"/>
  <c r="K311" i="19"/>
  <c r="K303" i="19"/>
  <c r="K271" i="19"/>
  <c r="K207" i="19"/>
  <c r="K295" i="19"/>
  <c r="K191" i="19"/>
  <c r="K215" i="19"/>
  <c r="K233" i="19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6" i="19"/>
  <c r="J356" i="19"/>
  <c r="Z356" i="19"/>
  <c r="K356" i="19" s="1"/>
  <c r="AC356" i="19"/>
  <c r="I96" i="19"/>
  <c r="J96" i="19"/>
  <c r="Z96" i="19"/>
  <c r="K96" i="19" s="1"/>
  <c r="AC96" i="19"/>
  <c r="I99" i="19"/>
  <c r="J99" i="19"/>
  <c r="Z99" i="19"/>
  <c r="K99" i="19" s="1"/>
  <c r="AC99" i="19"/>
  <c r="I97" i="19"/>
  <c r="J97" i="19"/>
  <c r="Z97" i="19"/>
  <c r="K97" i="19" s="1"/>
  <c r="AC97" i="19"/>
  <c r="I5" i="19"/>
  <c r="J5" i="19"/>
  <c r="Z5" i="19"/>
  <c r="K5" i="19" s="1"/>
  <c r="AC5" i="19"/>
  <c r="J20" i="15" l="1"/>
  <c r="K20" i="15" s="1"/>
  <c r="L20" i="15"/>
  <c r="K19" i="15"/>
  <c r="K18" i="15"/>
  <c r="K17" i="15"/>
  <c r="K16" i="15"/>
  <c r="K15" i="15"/>
  <c r="L14" i="15"/>
  <c r="J13" i="15"/>
  <c r="K13" i="15" s="1"/>
  <c r="J12" i="15"/>
  <c r="K12" i="15" s="1"/>
  <c r="J11" i="15"/>
  <c r="K11" i="15" s="1"/>
  <c r="J10" i="15"/>
  <c r="K10" i="15" s="1"/>
  <c r="J9" i="15"/>
  <c r="K9" i="15" s="1"/>
  <c r="J8" i="15"/>
  <c r="K8" i="15" s="1"/>
  <c r="K7" i="15"/>
  <c r="J6" i="15"/>
  <c r="K6" i="15" s="1"/>
  <c r="J5" i="15"/>
  <c r="K5" i="15" s="1"/>
  <c r="J4" i="15"/>
  <c r="K4" i="15" s="1"/>
  <c r="J3" i="15"/>
  <c r="K3" i="15" s="1"/>
  <c r="J2" i="15"/>
  <c r="K2" i="15" s="1"/>
  <c r="L19" i="15" l="1"/>
  <c r="L18" i="15"/>
  <c r="L17" i="15"/>
  <c r="L16" i="15"/>
  <c r="L15" i="15"/>
  <c r="L11" i="15"/>
  <c r="K14" i="15"/>
  <c r="L13" i="15"/>
  <c r="L9" i="15"/>
  <c r="L12" i="15"/>
  <c r="L10" i="15"/>
  <c r="L8" i="15"/>
  <c r="L7" i="15"/>
  <c r="L6" i="15"/>
  <c r="L5" i="15"/>
  <c r="L4" i="15"/>
  <c r="K143" i="19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1" i="19"/>
  <c r="Z323" i="19"/>
  <c r="Z325" i="19"/>
  <c r="Z326" i="19"/>
  <c r="Z328" i="19"/>
  <c r="Z329" i="19"/>
  <c r="Z330" i="19"/>
  <c r="Z331" i="19"/>
  <c r="Z332" i="19"/>
  <c r="Z333" i="19"/>
  <c r="Z334" i="19"/>
  <c r="Z335" i="19"/>
  <c r="Z336" i="19"/>
  <c r="Z337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7" i="19"/>
  <c r="Z358" i="19"/>
  <c r="Z359" i="19"/>
  <c r="Z360" i="19"/>
  <c r="Z361" i="19"/>
  <c r="Z362" i="19"/>
  <c r="Z363" i="19"/>
  <c r="Z90" i="19"/>
  <c r="K90" i="19" s="1"/>
  <c r="I143" i="19"/>
  <c r="J143" i="19"/>
  <c r="AC143" i="19"/>
  <c r="I90" i="19"/>
  <c r="J90" i="19"/>
  <c r="AC90" i="19"/>
  <c r="L3" i="15" l="1"/>
  <c r="E36" i="24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C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AC131" i="19"/>
  <c r="I130" i="19"/>
  <c r="J130" i="19"/>
  <c r="K130" i="19"/>
  <c r="AC130" i="19"/>
  <c r="I136" i="19"/>
  <c r="J136" i="19"/>
  <c r="H4" i="22" s="1"/>
  <c r="K136" i="19"/>
  <c r="AC136" i="19"/>
  <c r="I115" i="19"/>
  <c r="J115" i="19"/>
  <c r="K115" i="19"/>
  <c r="AC115" i="19"/>
  <c r="I281" i="19"/>
  <c r="J281" i="19"/>
  <c r="K281" i="19"/>
  <c r="AC281" i="19"/>
  <c r="I241" i="19"/>
  <c r="J241" i="19"/>
  <c r="K241" i="19"/>
  <c r="AC241" i="19"/>
  <c r="I161" i="19"/>
  <c r="J161" i="19"/>
  <c r="K161" i="19"/>
  <c r="AC161" i="19"/>
  <c r="I172" i="19"/>
  <c r="J172" i="19"/>
  <c r="K172" i="19"/>
  <c r="AC172" i="19"/>
  <c r="I330" i="19"/>
  <c r="J330" i="19"/>
  <c r="K330" i="19"/>
  <c r="AC330" i="19"/>
  <c r="I325" i="19"/>
  <c r="J325" i="19"/>
  <c r="K325" i="19"/>
  <c r="AC325" i="19"/>
  <c r="J16" i="24" l="1"/>
  <c r="J23" i="24"/>
  <c r="J32" i="24"/>
  <c r="J4" i="22"/>
  <c r="J2" i="16"/>
  <c r="J20" i="24"/>
  <c r="I42" i="19"/>
  <c r="J42" i="19"/>
  <c r="K42" i="19"/>
  <c r="AC42" i="19"/>
  <c r="I43" i="19"/>
  <c r="J43" i="19"/>
  <c r="K43" i="19"/>
  <c r="AC43" i="19"/>
  <c r="I67" i="19" l="1"/>
  <c r="J67" i="19"/>
  <c r="K67" i="19"/>
  <c r="AC67" i="19"/>
  <c r="I19" i="19" l="1"/>
  <c r="J19" i="19"/>
  <c r="K19" i="19"/>
  <c r="AC19" i="19"/>
  <c r="I41" i="19" l="1"/>
  <c r="J41" i="19"/>
  <c r="K41" i="19"/>
  <c r="AC41" i="19"/>
  <c r="I71" i="19"/>
  <c r="J71" i="19"/>
  <c r="K71" i="19"/>
  <c r="AC71" i="19"/>
  <c r="I70" i="19"/>
  <c r="J70" i="19"/>
  <c r="K70" i="19"/>
  <c r="AC70" i="19"/>
  <c r="I129" i="19" l="1"/>
  <c r="J129" i="19"/>
  <c r="K129" i="19"/>
  <c r="AC129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AC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AC50" i="19"/>
  <c r="I51" i="19"/>
  <c r="J51" i="19"/>
  <c r="K51" i="19"/>
  <c r="AC51" i="19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63" i="19"/>
  <c r="J63" i="19"/>
  <c r="K63" i="19"/>
  <c r="AC63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64" i="19"/>
  <c r="J64" i="19"/>
  <c r="K64" i="19"/>
  <c r="AC64" i="19"/>
  <c r="I44" i="19"/>
  <c r="J44" i="19"/>
  <c r="K44" i="19"/>
  <c r="AC44" i="19"/>
  <c r="I353" i="19"/>
  <c r="J353" i="19"/>
  <c r="K353" i="19"/>
  <c r="AC353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52" i="19" l="1"/>
  <c r="J352" i="19"/>
  <c r="K352" i="19"/>
  <c r="AC352" i="19"/>
  <c r="I73" i="19" l="1"/>
  <c r="J73" i="19"/>
  <c r="K73" i="19"/>
  <c r="AC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AC83" i="19"/>
  <c r="I108" i="19" l="1"/>
  <c r="J108" i="19"/>
  <c r="K108" i="19"/>
  <c r="AC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AC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AC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AC65" i="19"/>
  <c r="I363" i="19"/>
  <c r="J363" i="19"/>
  <c r="K363" i="19"/>
  <c r="AC363" i="19"/>
  <c r="B5" i="21" l="1"/>
  <c r="F5" i="21"/>
  <c r="G5" i="21" s="1"/>
  <c r="I5" i="21"/>
  <c r="I337" i="19"/>
  <c r="J337" i="19"/>
  <c r="K337" i="19"/>
  <c r="AC337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6" i="19"/>
  <c r="J336" i="19"/>
  <c r="K336" i="19"/>
  <c r="AC336" i="19"/>
  <c r="I123" i="19"/>
  <c r="K123" i="19"/>
  <c r="AC123" i="19"/>
  <c r="I346" i="19"/>
  <c r="J346" i="19"/>
  <c r="H2" i="22" s="1"/>
  <c r="K346" i="19"/>
  <c r="AC346" i="19"/>
  <c r="I340" i="19"/>
  <c r="J340" i="19"/>
  <c r="K340" i="19"/>
  <c r="AC340" i="19"/>
  <c r="I341" i="19"/>
  <c r="J341" i="19"/>
  <c r="K341" i="19"/>
  <c r="AC341" i="19"/>
  <c r="I342" i="19"/>
  <c r="J342" i="19"/>
  <c r="K342" i="19"/>
  <c r="AC342" i="19"/>
  <c r="I345" i="19"/>
  <c r="J345" i="19"/>
  <c r="K345" i="19"/>
  <c r="AC345" i="19"/>
  <c r="I343" i="19"/>
  <c r="J343" i="19"/>
  <c r="K343" i="19"/>
  <c r="AC343" i="19"/>
  <c r="I22" i="19"/>
  <c r="J22" i="19"/>
  <c r="K22" i="19"/>
  <c r="AC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AC133" i="19"/>
  <c r="E31" i="21"/>
  <c r="B30" i="21" l="1"/>
  <c r="F30" i="21"/>
  <c r="G30" i="21" s="1"/>
  <c r="I30" i="21"/>
  <c r="I128" i="19"/>
  <c r="J128" i="19"/>
  <c r="K128" i="19"/>
  <c r="AC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AC85" i="19"/>
  <c r="I92" i="19"/>
  <c r="J92" i="19"/>
  <c r="K92" i="19"/>
  <c r="AC92" i="19"/>
  <c r="I359" i="19"/>
  <c r="J359" i="19"/>
  <c r="K359" i="19"/>
  <c r="AC359" i="19"/>
  <c r="I122" i="19"/>
  <c r="J122" i="19"/>
  <c r="K122" i="19"/>
  <c r="AC122" i="19"/>
  <c r="H30" i="21" l="1"/>
  <c r="H31" i="24"/>
  <c r="H2" i="14"/>
  <c r="H3" i="14" s="1"/>
  <c r="I91" i="19" l="1"/>
  <c r="J91" i="19"/>
  <c r="H3" i="24" s="1"/>
  <c r="K91" i="19"/>
  <c r="AC91" i="19"/>
  <c r="E33" i="20"/>
  <c r="B2" i="20"/>
  <c r="I39" i="19"/>
  <c r="J39" i="19"/>
  <c r="H10" i="23" s="1"/>
  <c r="K39" i="19"/>
  <c r="AC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7" i="19"/>
  <c r="K358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4" i="19"/>
  <c r="K331" i="19"/>
  <c r="K154" i="19"/>
  <c r="K335" i="19"/>
  <c r="K332" i="19"/>
  <c r="K333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1" i="19"/>
  <c r="K323" i="19"/>
  <c r="K326" i="19"/>
  <c r="K328" i="19"/>
  <c r="K329" i="19"/>
  <c r="K268" i="19"/>
  <c r="K347" i="19"/>
  <c r="K348" i="19"/>
  <c r="K349" i="19"/>
  <c r="K350" i="19"/>
  <c r="K351" i="19"/>
  <c r="K354" i="19"/>
  <c r="K355" i="19"/>
  <c r="K360" i="19"/>
  <c r="K361" i="19"/>
  <c r="K362" i="19"/>
  <c r="K15" i="19"/>
  <c r="K16" i="19"/>
  <c r="K148" i="19"/>
  <c r="K145" i="19"/>
  <c r="K146" i="19"/>
  <c r="I146" i="19" l="1"/>
  <c r="J146" i="19"/>
  <c r="H12" i="20" s="1"/>
  <c r="AC146" i="19"/>
  <c r="I145" i="19"/>
  <c r="J145" i="19"/>
  <c r="AC145" i="19"/>
  <c r="H10" i="20" l="1"/>
  <c r="I151" i="19"/>
  <c r="J151" i="19"/>
  <c r="AC151" i="19"/>
  <c r="I149" i="19"/>
  <c r="J149" i="19"/>
  <c r="AC149" i="19"/>
  <c r="I150" i="19"/>
  <c r="J150" i="19"/>
  <c r="AC150" i="19"/>
  <c r="H18" i="20" l="1"/>
  <c r="E37" i="20"/>
  <c r="I16" i="19"/>
  <c r="J16" i="19"/>
  <c r="AC16" i="19"/>
  <c r="I15" i="19"/>
  <c r="J15" i="19"/>
  <c r="AC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7" i="19"/>
  <c r="I27" i="19"/>
  <c r="J27" i="19"/>
  <c r="H8" i="24" s="1"/>
  <c r="AC135" i="19" l="1"/>
  <c r="I135" i="19"/>
  <c r="J135" i="19"/>
  <c r="H2" i="16" s="1"/>
  <c r="E12" i="16"/>
  <c r="I12" i="16" s="1"/>
  <c r="B12" i="16"/>
  <c r="F12" i="16"/>
  <c r="AC321" i="19"/>
  <c r="I321" i="19"/>
  <c r="J321" i="19"/>
  <c r="H19" i="24" s="1"/>
  <c r="H24" i="22"/>
  <c r="AC326" i="19"/>
  <c r="I326" i="19"/>
  <c r="J326" i="19"/>
  <c r="H21" i="24" s="1"/>
  <c r="AC328" i="19"/>
  <c r="I328" i="19"/>
  <c r="J328" i="19"/>
  <c r="H17" i="24" s="1"/>
  <c r="AC163" i="19"/>
  <c r="I163" i="19"/>
  <c r="J163" i="19"/>
  <c r="AC195" i="19"/>
  <c r="I195" i="19"/>
  <c r="J195" i="19"/>
  <c r="AC226" i="19"/>
  <c r="I226" i="19"/>
  <c r="J226" i="19"/>
  <c r="AC228" i="19"/>
  <c r="I228" i="19"/>
  <c r="J228" i="19"/>
  <c r="H4" i="23" s="1"/>
  <c r="H157" i="19"/>
  <c r="AC157" i="19" s="1"/>
  <c r="I157" i="19"/>
  <c r="J157" i="19"/>
  <c r="AC323" i="19"/>
  <c r="I323" i="19"/>
  <c r="J323" i="19"/>
  <c r="AC268" i="19"/>
  <c r="I268" i="19"/>
  <c r="J268" i="19"/>
  <c r="H22" i="22" s="1"/>
  <c r="AC184" i="19"/>
  <c r="I184" i="19"/>
  <c r="J184" i="19"/>
  <c r="H20" i="22" s="1"/>
  <c r="H23" i="22"/>
  <c r="H21" i="22"/>
  <c r="AC155" i="19"/>
  <c r="I155" i="19"/>
  <c r="J155" i="19"/>
  <c r="H156" i="19"/>
  <c r="AC156" i="19" s="1"/>
  <c r="I156" i="19"/>
  <c r="J156" i="19"/>
  <c r="AC160" i="19"/>
  <c r="I160" i="19"/>
  <c r="J160" i="19"/>
  <c r="H5" i="23" s="1"/>
  <c r="B19" i="16"/>
  <c r="F19" i="16"/>
  <c r="G19" i="16" s="1"/>
  <c r="I19" i="16"/>
  <c r="H22" i="24"/>
  <c r="AC329" i="19"/>
  <c r="I329" i="19"/>
  <c r="J329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AC25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6" i="19"/>
  <c r="J12" i="16"/>
  <c r="J19" i="16"/>
  <c r="AC24" i="19"/>
  <c r="AC23" i="19"/>
  <c r="J13" i="16"/>
  <c r="J14" i="16"/>
  <c r="J20" i="16"/>
  <c r="J25" i="16"/>
  <c r="AC32" i="19"/>
  <c r="AC34" i="19"/>
  <c r="AC118" i="19"/>
  <c r="AC119" i="19"/>
  <c r="AC37" i="19"/>
  <c r="AC38" i="19"/>
  <c r="AC17" i="19"/>
  <c r="AC7" i="19"/>
  <c r="AC8" i="19"/>
  <c r="AC86" i="19"/>
  <c r="AC361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31" i="19"/>
  <c r="H14" i="3" s="1"/>
  <c r="J332" i="19"/>
  <c r="H15" i="3" s="1"/>
  <c r="J333" i="19"/>
  <c r="J334" i="19"/>
  <c r="H18" i="3" s="1"/>
  <c r="J335" i="19"/>
  <c r="H38" i="3" s="1"/>
  <c r="J347" i="19"/>
  <c r="J348" i="19"/>
  <c r="J349" i="19"/>
  <c r="J350" i="19"/>
  <c r="H9" i="8" s="1"/>
  <c r="J351" i="19"/>
  <c r="H25" i="22" s="1"/>
  <c r="J354" i="19"/>
  <c r="J355" i="19"/>
  <c r="J357" i="19"/>
  <c r="J358" i="19"/>
  <c r="J360" i="19"/>
  <c r="H15" i="24" s="1"/>
  <c r="J361" i="19"/>
  <c r="H17" i="3" s="1"/>
  <c r="J362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31" i="19"/>
  <c r="I332" i="19"/>
  <c r="I333" i="19"/>
  <c r="I334" i="19"/>
  <c r="I335" i="19"/>
  <c r="I347" i="19"/>
  <c r="I348" i="19"/>
  <c r="I349" i="19"/>
  <c r="I350" i="19"/>
  <c r="I351" i="19"/>
  <c r="I354" i="19"/>
  <c r="I355" i="19"/>
  <c r="I357" i="19"/>
  <c r="I358" i="19"/>
  <c r="I360" i="19"/>
  <c r="I361" i="19"/>
  <c r="I362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4" i="19"/>
  <c r="AC114" i="19"/>
  <c r="AC121" i="19"/>
  <c r="AC124" i="19"/>
  <c r="AC120" i="19" l="1"/>
  <c r="AC4" i="19"/>
  <c r="AC35" i="19"/>
  <c r="AC36" i="19"/>
  <c r="AC11" i="19"/>
  <c r="AC116" i="19"/>
  <c r="H40" i="19"/>
  <c r="AC40" i="19" s="1"/>
  <c r="AC138" i="19"/>
  <c r="AC117" i="19"/>
  <c r="AC76" i="19"/>
  <c r="AC354" i="19"/>
  <c r="AC144" i="19"/>
  <c r="AC101" i="19"/>
  <c r="AC18" i="19"/>
  <c r="AC137" i="19"/>
  <c r="AC109" i="19"/>
  <c r="AC110" i="19"/>
  <c r="H111" i="19"/>
  <c r="AC111" i="19" s="1"/>
  <c r="AC113" i="19"/>
  <c r="AC14" i="19"/>
  <c r="AC104" i="19"/>
  <c r="H75" i="19"/>
  <c r="AC75" i="19" s="1"/>
  <c r="AC141" i="19"/>
  <c r="AC142" i="19"/>
  <c r="AC148" i="19"/>
  <c r="AC93" i="19"/>
  <c r="AC139" i="19"/>
  <c r="H72" i="19"/>
  <c r="AC72" i="19" s="1"/>
  <c r="AC112" i="19"/>
  <c r="AC94" i="19"/>
  <c r="AC13" i="19"/>
  <c r="H98" i="19"/>
  <c r="AC103" i="19"/>
  <c r="AC351" i="19"/>
  <c r="AC350" i="19"/>
  <c r="AC28" i="19"/>
  <c r="AC153" i="19"/>
  <c r="AC147" i="19"/>
  <c r="AC152" i="19"/>
  <c r="AC88" i="19"/>
  <c r="AC87" i="19"/>
  <c r="AC21" i="19"/>
  <c r="AC362" i="19"/>
  <c r="AC79" i="19"/>
  <c r="AC80" i="19"/>
  <c r="AC81" i="19"/>
  <c r="AC355" i="19"/>
  <c r="AC20" i="19"/>
  <c r="H77" i="19"/>
  <c r="AC77" i="19" s="1"/>
  <c r="AC125" i="19"/>
  <c r="AC126" i="19"/>
  <c r="AC127" i="19"/>
  <c r="AC132" i="19"/>
  <c r="AC134" i="19"/>
  <c r="AC2" i="19"/>
  <c r="AC3" i="19"/>
  <c r="H347" i="19"/>
  <c r="AC347" i="19" s="1"/>
  <c r="H66" i="19"/>
  <c r="AC33" i="19"/>
  <c r="AC360" i="19"/>
  <c r="H348" i="19"/>
  <c r="AC348" i="19" s="1"/>
  <c r="AC102" i="19"/>
  <c r="AC154" i="19"/>
  <c r="H357" i="19"/>
  <c r="AC78" i="19"/>
  <c r="AC29" i="19"/>
  <c r="AC30" i="19"/>
  <c r="AC333" i="19"/>
  <c r="AC82" i="19"/>
  <c r="AC6" i="19"/>
  <c r="AC9" i="19"/>
  <c r="H84" i="19"/>
  <c r="AC84" i="19" s="1"/>
  <c r="AC334" i="19"/>
  <c r="AC335" i="19"/>
  <c r="H95" i="19"/>
  <c r="AC95" i="19" s="1"/>
  <c r="H358" i="19"/>
  <c r="AC358" i="19" s="1"/>
  <c r="AC105" i="19"/>
  <c r="AC106" i="19"/>
  <c r="H349" i="19"/>
  <c r="AC349" i="19" s="1"/>
  <c r="AC68" i="19"/>
  <c r="AC69" i="19"/>
  <c r="AC31" i="19"/>
  <c r="AC140" i="19"/>
  <c r="G98" i="19"/>
  <c r="G66" i="19"/>
  <c r="G357" i="19"/>
  <c r="AC89" i="19" l="1"/>
  <c r="AC332" i="19"/>
  <c r="AC331" i="19"/>
  <c r="AC66" i="19"/>
  <c r="AC357" i="19"/>
  <c r="AC98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21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<sst xmlns="http://schemas.openxmlformats.org/spreadsheetml/2006/main" count="10713" uniqueCount="2203">
  <si>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</si>
  <si>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</si>
  <si>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</si>
  <si>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</si>
  <si>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</si>
  <si>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</si>
  <si>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</si>
  <si>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</si>
  <si>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</si>
  <si>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</si>
  <si>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</si>
  <si>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</si>
  <si>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</si>
  <si>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</si>
  <si>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</si>
  <si>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</si>
  <si>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</si>
  <si>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</si>
  <si>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</si>
  <si>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</si>
  <si>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</si>
  <si>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</si>
  <si>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</si>
  <si>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</si>
  <si>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</si>
  <si>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</si>
  <si>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</si>
  <si>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</si>
  <si>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</si>
  <si>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</si>
  <si>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</si>
  <si>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</si>
  <si>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</si>
  <si>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</si>
  <si>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</si>
  <si>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</si>
  <si>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</si>
  <si>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</si>
  <si>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</si>
  <si>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</si>
  <si>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</si>
  <si>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</si>
  <si>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</si>
  <si>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</si>
  <si>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</si>
  <si>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</si>
  <si>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</si>
  <si>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</si>
  <si>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</si>
  <si>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</si>
  <si>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</si>
  <si>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</si>
  <si>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</si>
  <si>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</si>
  <si>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</si>
  <si>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</si>
  <si>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</si>
  <si>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</si>
  <si>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</si>
  <si>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</si>
  <si>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</si>
  <si>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</si>
  <si>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</si>
  <si>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</si>
  <si>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</si>
  <si>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</si>
  <si>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</si>
  <si>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</si>
  <si>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</si>
  <si>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</si>
  <si>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</si>
  <si>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</si>
  <si>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</si>
  <si>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</si>
  <si>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</si>
  <si>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</si>
  <si>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</si>
  <si>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</si>
  <si>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</si>
  <si>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</si>
  <si>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</si>
  <si>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</si>
  <si>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</si>
  <si>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</si>
  <si>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</si>
  <si>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</si>
  <si>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</si>
  <si>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</si>
  <si>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</si>
  <si>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</si>
  <si>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</si>
  <si>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</si>
  <si>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</si>
  <si>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</si>
  <si>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</si>
  <si>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</si>
  <si>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</si>
  <si>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</si>
  <si>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</si>
  <si>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</si>
  <si>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</si>
  <si>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</si>
  <si>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</si>
  <si>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</si>
  <si>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</si>
  <si>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</si>
  <si>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</si>
  <si>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</si>
  <si>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</si>
  <si>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</si>
  <si>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</si>
  <si>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</si>
  <si>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</si>
  <si>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</si>
  <si>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</si>
  <si>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</si>
  <si>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</si>
  <si>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</si>
  <si>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</si>
  <si>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</si>
  <si>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</si>
  <si>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</si>
  <si>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</si>
  <si>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</si>
  <si>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</si>
  <si>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</si>
  <si>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</si>
  <si>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</si>
  <si>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</si>
  <si>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</si>
  <si>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</si>
  <si>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</si>
  <si>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</si>
  <si>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</si>
  <si>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</si>
  <si>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</si>
  <si>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</si>
  <si>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</si>
  <si>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</si>
  <si>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</si>
  <si>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</si>
  <si>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</si>
  <si>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</si>
  <si>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</si>
  <si>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</si>
  <si>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</si>
  <si>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</si>
  <si>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</si>
  <si>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</si>
  <si>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</si>
  <si>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</si>
  <si>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</si>
  <si>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</si>
  <si>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</si>
  <si>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</si>
  <si>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</si>
  <si>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</si>
  <si>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</si>
  <si>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</si>
  <si>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</si>
  <si>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</si>
  <si>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</si>
  <si>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</si>
  <si>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</si>
  <si>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</si>
  <si>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</si>
  <si>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</si>
  <si>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</si>
  <si>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</si>
  <si>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</si>
  <si>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</si>
  <si>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</si>
  <si>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</si>
  <si>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</si>
  <si>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</si>
  <si>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</si>
  <si>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</si>
  <si>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</si>
  <si>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</si>
  <si>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</si>
  <si>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</si>
  <si>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</si>
  <si>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</si>
  <si>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</si>
  <si>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</si>
  <si>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</si>
  <si>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</si>
  <si>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</si>
  <si>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</si>
  <si>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</si>
  <si>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</si>
  <si>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</si>
  <si>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</si>
  <si>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</si>
  <si>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</si>
  <si>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</si>
  <si>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</si>
  <si>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</si>
  <si>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</si>
  <si>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</si>
  <si>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</si>
  <si>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</si>
  <si>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</si>
  <si>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</si>
  <si>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</si>
  <si>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</si>
  <si>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</si>
  <si>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</si>
  <si>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</si>
  <si>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</si>
  <si>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</si>
  <si>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</si>
  <si>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</si>
  <si>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</si>
  <si>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</si>
  <si>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</si>
  <si>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</si>
  <si>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</si>
  <si>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</si>
  <si>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</si>
  <si>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</si>
  <si>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</si>
  <si>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</si>
  <si>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</si>
  <si>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</si>
  <si>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</si>
  <si>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</si>
  <si>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</si>
  <si>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</si>
  <si>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</si>
  <si>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</si>
  <si>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</si>
  <si>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</si>
  <si>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</si>
  <si>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</si>
  <si>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</si>
  <si>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</si>
  <si>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</si>
  <si>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</si>
  <si>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</si>
  <si>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</si>
  <si>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</si>
  <si>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</si>
  <si>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</si>
  <si>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</si>
  <si>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</si>
  <si>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</si>
  <si>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</si>
  <si>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</si>
  <si>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</si>
  <si>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</si>
  <si>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</si>
  <si>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</si>
  <si>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</si>
  <si>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</si>
  <si>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</si>
  <si>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</si>
  <si>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</si>
  <si>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</si>
  <si>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</si>
  <si>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</si>
  <si>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</si>
  <si>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</si>
  <si>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</si>
  <si>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</si>
  <si>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</si>
  <si>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</si>
  <si>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</si>
  <si>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</si>
  <si>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</si>
  <si>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</si>
  <si>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</si>
  <si>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</si>
  <si>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</si>
  <si>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</si>
  <si>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</si>
  <si>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</si>
  <si>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</si>
  <si>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</si>
  <si>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</si>
  <si>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</si>
  <si>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</si>
  <si>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</si>
  <si>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</si>
  <si>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</si>
  <si>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</si>
  <si>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</si>
  <si>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</si>
  <si>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</si>
  <si>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</si>
  <si>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</si>
  <si>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</si>
  <si>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</si>
  <si>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</si>
  <si>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</si>
  <si>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</si>
  <si>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</si>
  <si>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</si>
  <si>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</si>
  <si>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</si>
  <si>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</si>
  <si>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</si>
  <si>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</si>
  <si>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</si>
  <si>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</si>
  <si>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</si>
  <si>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</si>
  <si>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</si>
  <si>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</si>
  <si>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</si>
  <si>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</si>
  <si>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</si>
  <si>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</si>
  <si>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</si>
  <si>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</si>
  <si>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</si>
  <si>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</si>
  <si>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</si>
  <si>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</si>
  <si>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</si>
  <si>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</si>
  <si>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</si>
  <si>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</si>
  <si>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</si>
  <si>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</si>
  <si>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</si>
  <si>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</si>
  <si>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</si>
  <si>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</si>
  <si>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</si>
  <si>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</si>
  <si>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</si>
  <si>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</si>
  <si>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</si>
  <si>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</si>
  <si>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</si>
  <si>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</si>
  <si>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</si>
  <si>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</si>
  <si>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</si>
  <si>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</si>
  <si>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</si>
  <si>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</si>
  <si>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</si>
  <si>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</si>
  <si>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</si>
  <si>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</si>
  <si>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</si>
  <si>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</si>
  <si>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</si>
  <si>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</si>
  <si>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</si>
  <si>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</si>
  <si>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</si>
  <si>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</si>
  <si>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</si>
  <si>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</si>
  <si>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</si>
  <si>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</si>
  <si>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</si>
  <si>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</si>
  <si>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</si>
  <si>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</si>
  <si>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</si>
  <si>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</si>
  <si>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</si>
  <si>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</si>
  <si>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</si>
  <si>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</si>
  <si>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</si>
  <si>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</si>
  <si>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</si>
  <si>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</si>
  <si>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</si>
  <si>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</si>
  <si>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</si>
  <si>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</si>
  <si>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</si>
  <si>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</si>
  <si>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</si>
  <si>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</si>
  <si>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</si>
  <si>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</si>
  <si>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</si>
  <si>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</si>
  <si>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</si>
  <si>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</si>
  <si>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</si>
  <si>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</si>
  <si>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</si>
  <si>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</si>
  <si>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</si>
  <si>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</si>
  <si>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</si>
  <si>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</si>
  <si>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</si>
  <si>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</si>
  <si>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</si>
  <si>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</si>
  <si>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</si>
  <si>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</si>
  <si>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</si>
  <si>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</si>
  <si>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</si>
  <si>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</si>
  <si>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</si>
  <si>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</si>
  <si>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</si>
  <si>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</si>
  <si>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</si>
  <si>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</si>
  <si>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</si>
  <si>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</si>
  <si>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</si>
  <si>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</si>
  <si>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</si>
  <si>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</si>
  <si>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</si>
  <si>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</si>
  <si>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</si>
  <si>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</si>
  <si>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</si>
  <si>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</si>
  <si>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</si>
  <si>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</si>
  <si>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</si>
  <si>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</si>
  <si>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</si>
  <si>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</si>
  <si>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</si>
  <si>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</si>
  <si>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</si>
  <si>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</si>
  <si>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</si>
  <si>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</si>
  <si>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</si>
  <si>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</si>
  <si>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</si>
  <si>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</si>
  <si>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</si>
  <si>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</si>
  <si>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</si>
  <si>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</si>
  <si>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</si>
  <si>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</si>
  <si>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</si>
  <si>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</si>
  <si>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</si>
  <si>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</si>
  <si>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</si>
  <si>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</si>
  <si>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</si>
  <si>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</si>
  <si>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</si>
  <si>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</si>
  <si>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</si>
  <si>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</si>
  <si>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</si>
  <si>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</si>
  <si>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</si>
  <si>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</si>
  <si>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</si>
  <si>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</si>
  <si>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</si>
  <si>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</si>
  <si>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</si>
  <si>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</si>
  <si>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</si>
  <si>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</si>
  <si>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</si>
  <si>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</si>
  <si>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</si>
  <si>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</si>
  <si>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</si>
  <si>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</si>
  <si>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</si>
  <si>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</si>
  <si>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</si>
  <si>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</si>
  <si>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</si>
  <si>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</si>
  <si>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</si>
  <si>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</si>
  <si>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</si>
  <si>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</si>
  <si>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</si>
  <si>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</si>
  <si>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</si>
  <si>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</si>
  <si>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</si>
  <si>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</si>
  <si>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</si>
  <si>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</si>
  <si>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</si>
  <si>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</si>
  <si>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</si>
  <si>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</si>
  <si>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</si>
  <si>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</si>
  <si>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</si>
  <si>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</si>
  <si>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</si>
  <si>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</si>
  <si>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</si>
  <si>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</si>
  <si>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</si>
  <si>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</si>
  <si>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</si>
  <si>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</si>
  <si>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</si>
  <si>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</si>
  <si>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</si>
  <si>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</si>
  <si>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</si>
  <si>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</si>
  <si>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</si>
  <si>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</si>
  <si>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</si>
  <si>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</si>
  <si>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</si>
  <si>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</si>
  <si>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</si>
  <si>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</si>
  <si>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</si>
  <si>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</si>
  <si>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</si>
  <si>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</si>
  <si>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</si>
  <si>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</si>
  <si>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</si>
  <si>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</si>
  <si>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</si>
  <si>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</si>
  <si>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</si>
  <si>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</si>
  <si>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</si>
  <si>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</si>
  <si>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</si>
  <si>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</si>
  <si>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</si>
  <si>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</si>
  <si>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</si>
  <si>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</si>
  <si>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</si>
  <si>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</si>
  <si>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</si>
  <si>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</si>
  <si>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</si>
  <si>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</si>
  <si>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</si>
  <si>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</si>
  <si>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</si>
  <si>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</si>
  <si>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</si>
  <si>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</si>
  <si>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</si>
  <si>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</si>
  <si>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</si>
  <si>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</si>
  <si>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</si>
  <si>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</si>
  <si>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</si>
  <si>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</si>
  <si>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</si>
  <si>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</si>
  <si>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</si>
  <si>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</si>
  <si>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</si>
  <si>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</si>
  <si>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</si>
  <si>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</si>
  <si>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</si>
  <si>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</si>
  <si>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</si>
  <si>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</si>
  <si>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</si>
  <si>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</si>
  <si>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</si>
  <si>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</si>
  <si>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</si>
  <si>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</si>
  <si>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</si>
  <si>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</si>
  <si>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</si>
  <si>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</si>
  <si>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</si>
  <si>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</si>
  <si>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</si>
  <si>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</si>
  <si>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</si>
  <si>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</si>
  <si>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</si>
  <si>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</si>
  <si>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</si>
  <si>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</si>
  <si>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</si>
  <si>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</si>
  <si>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</si>
  <si>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</si>
  <si>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</si>
  <si>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</si>
  <si>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</si>
  <si>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</si>
  <si>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</si>
  <si>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</si>
  <si>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</si>
  <si>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</si>
  <si>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</si>
  <si>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</si>
  <si>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</si>
  <si>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</si>
  <si>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</si>
  <si>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</si>
  <si>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</si>
  <si>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</si>
  <si>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</si>
  <si>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</si>
  <si>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</si>
  <si>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</si>
  <si>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</si>
  <si>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</si>
  <si>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</si>
  <si>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</si>
  <si>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</si>
  <si>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</si>
  <si>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</si>
  <si>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</si>
  <si>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</si>
  <si>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</si>
  <si>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</si>
  <si>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</si>
  <si>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</si>
  <si>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</si>
  <si>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</si>
  <si>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</si>
  <si>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</si>
  <si>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</si>
  <si>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</si>
  <si>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</si>
  <si>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</si>
  <si>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</si>
  <si>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</si>
  <si>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</si>
  <si>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</si>
  <si>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</si>
  <si>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</si>
  <si>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</si>
  <si>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</si>
  <si>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</si>
  <si>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</si>
  <si>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</si>
  <si>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</si>
  <si>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</si>
  <si>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</si>
  <si>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</si>
  <si>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</si>
  <si>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</si>
  <si>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</si>
  <si>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</si>
  <si>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</si>
  <si>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</si>
  <si>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</si>
  <si>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</si>
  <si>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</si>
  <si>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</si>
  <si>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</si>
  <si>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</si>
  <si>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</si>
  <si>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</si>
  <si>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</si>
  <si>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</si>
  <si>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</si>
  <si>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</si>
  <si>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</si>
  <si>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</si>
  <si>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</si>
  <si>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</si>
  <si>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</si>
  <si>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</si>
  <si>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</si>
  <si>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</si>
  <si>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</si>
  <si>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</si>
  <si>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</si>
  <si>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</si>
  <si>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</si>
  <si>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</si>
  <si>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</si>
  <si>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</si>
  <si>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</si>
  <si>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</si>
  <si>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</si>
  <si>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</si>
  <si>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</si>
  <si>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</si>
  <si>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</si>
  <si>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</si>
  <si>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</si>
  <si>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</si>
  <si>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</si>
  <si>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</si>
  <si>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</si>
  <si>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</si>
  <si>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</si>
  <si>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</si>
  <si>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</si>
  <si>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</si>
  <si>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</si>
  <si>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</si>
  <si>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</si>
  <si>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</si>
  <si>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</si>
  <si>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</si>
  <si>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</si>
  <si>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</si>
  <si>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</si>
  <si>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</si>
  <si>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</si>
  <si>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</si>
  <si>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</si>
  <si>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</si>
  <si>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</si>
  <si>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</si>
  <si>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</si>
  <si>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</si>
  <si>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</si>
  <si>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</si>
  <si>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</si>
  <si>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</si>
  <si>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</si>
  <si>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</si>
  <si>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</si>
  <si>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</si>
  <si>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</si>
  <si>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</si>
  <si>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</si>
  <si>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</si>
  <si>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</si>
  <si>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</si>
  <si>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</si>
  <si>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</si>
  <si>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</si>
  <si>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</si>
  <si>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</si>
  <si>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</si>
  <si>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</si>
  <si>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</si>
  <si>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</si>
  <si>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</si>
  <si>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</si>
  <si>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</si>
  <si>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</si>
  <si>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</si>
  <si>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</si>
  <si>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</si>
  <si>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</si>
  <si>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</si>
  <si>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</si>
  <si>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</si>
  <si>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</si>
  <si>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</si>
  <si>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</si>
  <si>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</si>
  <si>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</si>
  <si>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</si>
  <si>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</si>
  <si>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</si>
  <si>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</si>
  <si>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</si>
  <si>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</si>
  <si>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</si>
  <si>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</si>
  <si>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</si>
  <si>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</si>
  <si>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</si>
  <si>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</si>
  <si>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</si>
  <si>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</si>
  <si>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</si>
  <si>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</si>
  <si>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</si>
  <si>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</si>
  <si>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</si>
  <si>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</si>
  <si>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</si>
  <si>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</si>
  <si>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</si>
  <si>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</si>
  <si>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</si>
  <si>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</si>
  <si>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</si>
  <si>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</si>
  <si>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</si>
  <si>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</si>
  <si>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</si>
  <si>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</si>
  <si>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</si>
  <si>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</si>
  <si>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</si>
  <si>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</si>
  <si>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</si>
  <si>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</si>
  <si>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</si>
  <si>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</si>
  <si>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</si>
  <si>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</si>
  <si>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</si>
  <si>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</si>
  <si>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</si>
  <si>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</si>
  <si>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</si>
  <si>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</si>
  <si>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</si>
  <si>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</si>
  <si>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</si>
  <si>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</si>
  <si>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</si>
  <si>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</si>
  <si>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</si>
  <si>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</si>
  <si>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</si>
  <si>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</si>
  <si>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</si>
  <si>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</si>
  <si>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</si>
  <si>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</si>
  <si>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</si>
  <si>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</si>
  <si>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</si>
  <si>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</si>
  <si>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</si>
  <si>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</si>
  <si>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</si>
  <si>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</si>
  <si>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</si>
  <si>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</si>
  <si>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</si>
  <si>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</si>
  <si>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</si>
  <si>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</si>
  <si>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</si>
  <si>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</si>
  <si>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</si>
  <si>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</si>
  <si>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</si>
  <si>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</si>
  <si>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</si>
  <si>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</si>
  <si>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</si>
  <si>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</si>
  <si>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</si>
  <si>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</si>
  <si>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</si>
  <si>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</si>
  <si>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</si>
  <si>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</si>
  <si>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</si>
  <si>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</si>
  <si>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</si>
  <si>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</si>
  <si>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</si>
  <si>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</si>
  <si>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</si>
  <si>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</si>
  <si>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</si>
  <si>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</si>
  <si>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</si>
  <si>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</si>
  <si>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</si>
  <si>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</si>
  <si>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</si>
  <si>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</si>
  <si>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</si>
  <si>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</si>
  <si>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</si>
  <si>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</si>
  <si>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</si>
  <si>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</si>
  <si>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</si>
  <si>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</si>
  <si>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</si>
  <si>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</si>
  <si>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</si>
  <si>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</si>
  <si>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</si>
  <si>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</si>
  <si>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</si>
  <si>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</si>
  <si>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</si>
  <si>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</si>
  <si>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</si>
  <si>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</si>
  <si>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</si>
  <si>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</si>
  <si>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</si>
  <si>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</si>
  <si>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</si>
  <si>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</si>
  <si>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</si>
  <si>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</si>
  <si>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</si>
  <si>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</si>
  <si>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</si>
  <si>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</si>
  <si>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</si>
  <si>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</si>
  <si>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</si>
  <si>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</si>
  <si>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</si>
  <si>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</si>
  <si>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</si>
  <si>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</si>
  <si>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</si>
  <si>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</si>
  <si>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</si>
  <si>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</si>
  <si>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</si>
  <si>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</si>
  <si>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</si>
  <si>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</si>
  <si>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</si>
  <si>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</si>
  <si>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</si>
  <si>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</si>
  <si>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</si>
  <si>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</si>
  <si>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</si>
  <si>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</si>
  <si>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</si>
  <si>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</si>
  <si>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</si>
  <si>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</si>
  <si>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</si>
  <si>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</si>
  <si>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</si>
  <si>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</si>
  <si>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</si>
  <si>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</si>
  <si>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</si>
  <si>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</si>
  <si>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</si>
  <si>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</si>
  <si>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</si>
  <si>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</si>
  <si>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</si>
  <si>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</si>
  <si>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</si>
  <si>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</si>
  <si>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</si>
  <si>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</si>
  <si>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</si>
  <si>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</si>
  <si>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</si>
  <si>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</si>
  <si>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</si>
  <si>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</si>
  <si>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</si>
  <si>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</si>
  <si>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</si>
  <si>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</si>
  <si>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</si>
  <si>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</si>
  <si>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</si>
  <si>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</si>
  <si>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</si>
  <si>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</si>
  <si>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</si>
  <si>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</si>
  <si>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</si>
  <si>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</si>
  <si>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</si>
  <si>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</si>
  <si>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</si>
  <si>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</si>
  <si>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</si>
  <si>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</si>
  <si>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</si>
  <si>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</si>
  <si>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</si>
  <si>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</si>
  <si>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</si>
  <si>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</si>
  <si>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</si>
  <si>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</si>
  <si>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</si>
  <si>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</si>
  <si>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</si>
  <si>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</si>
  <si>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</si>
  <si>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</si>
  <si>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</si>
  <si>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</si>
  <si>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</si>
  <si>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</si>
  <si>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</si>
  <si>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</si>
  <si>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</si>
  <si>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</si>
  <si>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</si>
  <si>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</si>
  <si>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</si>
  <si>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</si>
  <si>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</si>
  <si>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</si>
  <si>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</si>
  <si>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</si>
  <si>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</si>
  <si>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</si>
  <si>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</si>
  <si>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</si>
  <si>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</si>
  <si>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</si>
  <si>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</si>
  <si>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</si>
  <si>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</si>
  <si>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</si>
  <si>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</si>
  <si>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</si>
  <si>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</si>
  <si>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</si>
  <si>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</si>
  <si>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</si>
  <si>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</si>
  <si>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</si>
  <si>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</si>
  <si>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</si>
  <si>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</si>
  <si>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</si>
  <si>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</si>
  <si>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</si>
  <si>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</si>
  <si>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</si>
  <si>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</si>
  <si>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</si>
  <si>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</si>
  <si>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</si>
  <si>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</si>
  <si>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</si>
  <si>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</si>
  <si>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</si>
  <si>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</si>
  <si>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</si>
  <si>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</si>
  <si>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</si>
  <si>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</si>
  <si>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</si>
  <si>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</si>
  <si>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</si>
  <si>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</si>
  <si>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</si>
  <si>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</si>
  <si>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</si>
  <si>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</si>
  <si>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</si>
  <si>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</si>
  <si>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</si>
  <si>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</si>
  <si>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</si>
  <si>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</si>
  <si>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</si>
  <si>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</si>
  <si>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</si>
  <si>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</si>
  <si>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</si>
  <si>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</si>
  <si>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</si>
  <si>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</si>
  <si>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</si>
  <si>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</si>
  <si>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</si>
  <si>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</si>
  <si>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</si>
  <si>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</si>
  <si>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</si>
  <si>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</si>
  <si>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</si>
  <si>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</si>
  <si>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</si>
  <si>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</si>
  <si>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</si>
  <si>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</si>
  <si>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</si>
  <si>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</si>
  <si>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</si>
  <si>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</si>
  <si>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</si>
  <si>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</si>
  <si>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</si>
  <si>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</si>
  <si>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</si>
  <si>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</si>
  <si>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</si>
  <si>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</si>
  <si>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</si>
  <si>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</si>
  <si>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</si>
  <si>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</si>
  <si>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</si>
  <si>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</si>
  <si>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</si>
  <si>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</si>
  <si>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</si>
  <si>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</si>
  <si>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</si>
  <si>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</si>
  <si>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</si>
  <si>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</si>
  <si>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</si>
  <si>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</si>
  <si>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</si>
  <si>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</si>
  <si>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</si>
  <si>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</si>
  <si>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</si>
  <si>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</si>
  <si>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</si>
  <si>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</si>
  <si>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</si>
  <si>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</si>
  <si>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</si>
  <si>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</si>
  <si>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</si>
  <si>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</si>
  <si>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</si>
  <si>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</si>
  <si>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</si>
  <si>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</si>
  <si>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</si>
  <si>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</si>
  <si>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</si>
  <si>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</si>
  <si>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</si>
  <si>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</si>
  <si>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</si>
  <si>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</si>
  <si>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</si>
  <si>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</si>
  <si>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</si>
  <si>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</si>
  <si>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</si>
  <si>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</si>
  <si>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</si>
  <si>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</si>
  <si>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</si>
  <si>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</si>
  <si>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</si>
  <si>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</si>
  <si>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</si>
  <si>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</si>
  <si>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</si>
  <si>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</si>
  <si>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</si>
  <si>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</si>
  <si>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</si>
  <si>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</si>
  <si>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</si>
  <si>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</si>
  <si>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</si>
  <si>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</si>
  <si>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</si>
  <si>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</si>
  <si>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</si>
  <si>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</si>
  <si>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</si>
  <si>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</si>
  <si>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</si>
  <si>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</si>
  <si>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</si>
  <si>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</si>
  <si>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</si>
  <si>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</si>
  <si>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</si>
  <si>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</si>
  <si>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</si>
  <si>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</si>
  <si>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</si>
  <si>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</si>
  <si>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</si>
  <si>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</si>
  <si>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</si>
  <si>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</si>
  <si>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</si>
  <si>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</si>
  <si>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</si>
  <si>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</si>
  <si>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</si>
  <si>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</si>
  <si>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</si>
  <si>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</si>
  <si>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</si>
  <si>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</si>
  <si>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</si>
  <si>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</si>
  <si>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</si>
  <si>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</si>
  <si>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</si>
  <si>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</si>
  <si>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</si>
  <si>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</si>
  <si>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</si>
  <si>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</si>
  <si>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</si>
  <si>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</si>
  <si>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</si>
  <si>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</si>
  <si>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</si>
  <si>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</si>
  <si>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</si>
  <si>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</si>
  <si>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</si>
  <si>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</si>
  <si>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</si>
  <si>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</si>
  <si>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</si>
  <si>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</si>
  <si>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</si>
  <si>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</si>
  <si>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</si>
  <si>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</si>
  <si>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</si>
  <si>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</si>
  <si>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</si>
  <si>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</si>
  <si>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</si>
  <si>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</si>
  <si>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</si>
  <si>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</si>
  <si>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</si>
  <si>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</si>
  <si>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</si>
  <si>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</si>
  <si>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</si>
  <si>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</si>
  <si>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</si>
  <si>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</si>
  <si>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</si>
  <si>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</si>
  <si>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</si>
  <si>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</si>
  <si>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</si>
  <si>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</si>
  <si>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</si>
  <si>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</si>
  <si>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</si>
  <si>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</si>
  <si>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</si>
  <si>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</si>
  <si>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</si>
  <si>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</si>
  <si>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</si>
  <si>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</si>
  <si>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</si>
  <si>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</si>
  <si>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</si>
  <si>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</si>
  <si>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</si>
  <si>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</si>
  <si>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</si>
  <si>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</si>
  <si>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</si>
  <si>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</si>
  <si>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</si>
  <si>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</si>
  <si>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</si>
  <si>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</si>
  <si>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</si>
  <si>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</si>
  <si>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</si>
  <si>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</si>
  <si>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</si>
  <si>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</si>
  <si>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</si>
  <si>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</si>
  <si>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</si>
  <si>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</si>
  <si>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</si>
  <si>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</si>
  <si>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</si>
  <si>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</si>
  <si>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</si>
  <si>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</si>
  <si>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</si>
  <si>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</si>
  <si>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</si>
  <si>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</si>
  <si>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</si>
  <si>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</si>
  <si>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</si>
  <si>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</si>
  <si>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</si>
  <si>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</si>
  <si>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</si>
  <si>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</si>
  <si>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</si>
  <si>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</si>
  <si>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</si>
  <si>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</si>
  <si>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</si>
  <si>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</si>
  <si>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</si>
  <si>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</si>
  <si>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</si>
  <si>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</si>
  <si>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</si>
  <si>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</si>
  <si>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</si>
  <si>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</si>
  <si>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</si>
  <si>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</si>
  <si>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</si>
  <si>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</si>
  <si>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</si>
  <si>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</si>
  <si>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</si>
  <si>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</si>
  <si>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</si>
  <si>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</si>
  <si>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</si>
  <si>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</si>
  <si>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</si>
  <si>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</si>
  <si>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</si>
  <si>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</si>
  <si>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</si>
  <si>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</si>
  <si>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</si>
  <si>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</si>
  <si>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</si>
  <si>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</si>
  <si>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</si>
  <si>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</si>
  <si>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</si>
  <si>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</si>
  <si>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</si>
  <si>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</si>
  <si>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</si>
  <si>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</si>
  <si>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</si>
  <si>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</si>
  <si>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</si>
  <si>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</si>
  <si>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</si>
  <si>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</si>
  <si>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</si>
  <si>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</si>
  <si>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</si>
  <si>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</si>
  <si>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</si>
  <si>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</si>
  <si>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</si>
  <si>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</si>
  <si>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</si>
  <si>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</si>
  <si>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</si>
  <si>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</si>
  <si>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</si>
  <si>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</si>
  <si>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</si>
  <si>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</si>
  <si>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</si>
  <si>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</si>
  <si>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</si>
  <si>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</si>
  <si>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</si>
  <si>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</si>
  <si>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</si>
  <si>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</si>
  <si>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</si>
  <si>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</si>
  <si>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</si>
  <si>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</si>
  <si>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</si>
  <si>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</si>
  <si>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</si>
  <si>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</si>
  <si>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</si>
  <si>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</si>
  <si>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</si>
  <si>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</si>
  <si>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</si>
  <si>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</si>
  <si>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</si>
  <si>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</si>
  <si>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</si>
  <si>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</si>
  <si>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</si>
  <si>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</si>
  <si>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</si>
  <si>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</si>
  <si>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</si>
  <si>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</si>
  <si>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</si>
  <si>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</si>
  <si>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</si>
  <si>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</si>
  <si>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</si>
  <si>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</si>
  <si>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</si>
  <si>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</si>
  <si>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</si>
  <si>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</si>
  <si>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</si>
  <si>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</si>
  <si>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</si>
  <si>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</si>
  <si>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</si>
  <si>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</si>
  <si>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</si>
  <si>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</si>
  <si>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</si>
  <si>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</si>
  <si>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</si>
  <si>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</si>
  <si>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</si>
  <si>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</si>
  <si>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</si>
  <si>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</si>
  <si>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</si>
  <si>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</si>
  <si>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</si>
  <si>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</si>
  <si>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</si>
  <si>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</si>
  <si>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</si>
  <si>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</si>
  <si>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</si>
  <si>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</si>
  <si>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</si>
  <si>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</si>
  <si>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</si>
  <si>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</si>
  <si>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</si>
  <si>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</si>
  <si>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</si>
  <si>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</si>
  <si>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</si>
  <si>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</si>
  <si>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</si>
  <si>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</si>
  <si>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</si>
  <si>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</si>
  <si>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</si>
  <si>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</si>
  <si>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</si>
  <si>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</si>
  <si>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</si>
  <si>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</si>
  <si>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</si>
  <si>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</si>
  <si>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</si>
  <si>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</si>
  <si>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</si>
  <si>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</si>
  <si>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</si>
  <si>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</si>
  <si>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1.5K OHM 5% 0.4W 0805</t>
  </si>
  <si>
    <t>ESR10EZPJ152</t>
  </si>
  <si>
    <t>Digi-Key Part Number</t>
  </si>
  <si>
    <t>Unit Price (CHF)</t>
  </si>
  <si>
    <t>0.10000</t>
  </si>
  <si>
    <t>ESR10EZPJ103</t>
  </si>
  <si>
    <t>RES SMD 10K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</si>
  <si>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</si>
  <si>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</si>
  <si>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</si>
  <si>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</si>
  <si>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</si>
  <si>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</si>
  <si>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</si>
  <si>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</si>
  <si>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</si>
  <si>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</si>
  <si>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</si>
  <si>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</si>
  <si>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</si>
  <si>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</si>
  <si>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</si>
  <si>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</si>
  <si>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</si>
  <si>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</si>
  <si>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</si>
  <si>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</si>
  <si>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</si>
  <si>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</si>
  <si>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</si>
  <si>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</si>
  <si>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</si>
  <si>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</si>
  <si>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</si>
  <si>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</si>
  <si>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</si>
  <si>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</si>
  <si>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</si>
  <si>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</si>
  <si>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</si>
  <si>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</si>
  <si>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</si>
  <si>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</si>
  <si>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</si>
  <si>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</si>
  <si>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</si>
  <si>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</si>
  <si>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</si>
  <si>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</si>
  <si>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</si>
  <si>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</si>
  <si>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</si>
  <si>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</si>
  <si>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</si>
  <si>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</si>
  <si>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</si>
  <si>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</si>
  <si>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</si>
  <si>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</si>
  <si>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</si>
  <si>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</si>
  <si>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</si>
  <si>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</si>
  <si>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</si>
  <si>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</si>
  <si>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</si>
  <si>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</si>
  <si>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</si>
  <si>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</si>
  <si>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</si>
  <si>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</si>
  <si>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</si>
  <si>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</si>
  <si>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</si>
  <si>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</si>
  <si>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</si>
  <si>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</si>
  <si>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</si>
  <si>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</si>
  <si>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</si>
  <si>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</si>
  <si>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</si>
  <si>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</si>
  <si>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</si>
  <si>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</si>
  <si>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</si>
  <si>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</si>
  <si>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</si>
  <si>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</si>
  <si>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</si>
  <si>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</si>
  <si>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</si>
  <si>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</si>
  <si>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</si>
  <si>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</si>
  <si>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</si>
  <si>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</si>
  <si>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</si>
  <si>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</si>
  <si>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</si>
  <si>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</si>
  <si>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</si>
  <si>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</si>
  <si>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</si>
  <si>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</si>
  <si>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</si>
  <si>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</si>
  <si>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</si>
  <si>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</si>
  <si>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</si>
  <si>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</si>
  <si>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</si>
  <si>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</si>
  <si>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</si>
  <si>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</si>
  <si>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</si>
  <si>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</si>
  <si>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</si>
  <si>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</si>
  <si>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</si>
  <si>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</si>
  <si>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</si>
  <si>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</si>
  <si>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</si>
  <si>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</si>
  <si>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</si>
  <si>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</si>
  <si>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</si>
  <si>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</si>
  <si>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</si>
  <si>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</si>
  <si>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</si>
  <si>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</si>
  <si>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</si>
  <si>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</si>
  <si>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</si>
  <si>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</si>
  <si>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</si>
  <si>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</si>
  <si>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</si>
  <si>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</si>
  <si>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</si>
  <si>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</si>
  <si>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</si>
  <si>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</si>
  <si>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</si>
  <si>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</si>
  <si>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</si>
  <si>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</si>
  <si>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</si>
  <si>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</si>
  <si>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</si>
  <si>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</si>
  <si>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</si>
  <si>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</si>
  <si>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</si>
  <si>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</si>
  <si>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</si>
  <si>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</si>
  <si>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</si>
  <si>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</si>
  <si>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</si>
  <si>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</si>
  <si>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</si>
  <si>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</si>
  <si>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</si>
  <si>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</si>
  <si>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</si>
  <si>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</si>
  <si>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</si>
  <si>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</si>
  <si>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</si>
  <si>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</si>
  <si>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</si>
  <si>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</si>
  <si>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</si>
  <si>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</si>
  <si>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</si>
  <si>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</si>
  <si>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</si>
  <si>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</si>
  <si>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</si>
  <si>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</si>
  <si>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</si>
  <si>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</si>
  <si>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</si>
  <si>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</si>
  <si>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</si>
  <si>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</si>
  <si>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</si>
  <si>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</si>
  <si>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</si>
  <si>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</si>
  <si>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</si>
  <si>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</si>
  <si>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</si>
  <si>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</si>
  <si>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</si>
  <si>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</si>
  <si>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</si>
  <si>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</si>
  <si>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</si>
  <si>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</si>
  <si>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</si>
  <si>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</si>
  <si>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</si>
  <si>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</si>
  <si>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</si>
  <si>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</si>
  <si>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</si>
  <si>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</si>
  <si>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</si>
  <si>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</si>
  <si>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</si>
  <si>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755-ESR10EZPJ332</t>
  </si>
  <si>
    <t>710-885012207078</t>
  </si>
  <si>
    <t>649-93992-436HLF</t>
  </si>
  <si>
    <t>863-NCP114ASN330T1G</t>
  </si>
  <si>
    <t>710-150060VS75000</t>
  </si>
  <si>
    <t>78-TLMS1000</t>
  </si>
  <si>
    <t>755-ESR03EZPF1002</t>
  </si>
  <si>
    <t>755-ESR03EZPF1003</t>
  </si>
  <si>
    <t>755-ESR03EZPJ151</t>
  </si>
  <si>
    <t>755-ESR03EZPJ181</t>
  </si>
  <si>
    <t>755-ESR10EZPJ102</t>
  </si>
  <si>
    <t>755-ESR10EZPJ103</t>
  </si>
  <si>
    <t>755-ESR10EZPJ152</t>
  </si>
  <si>
    <t>710-885012107018</t>
  </si>
  <si>
    <t>755-ESR10EZPJ271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</si>
  <si>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</si>
  <si>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</si>
  <si>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</si>
  <si>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</si>
  <si>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</si>
  <si>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</si>
  <si>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</si>
  <si>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</si>
  <si>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</si>
  <si>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</si>
  <si>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</si>
  <si>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</si>
  <si>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</si>
  <si>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</si>
  <si>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</si>
  <si>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</si>
  <si>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</si>
  <si>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</si>
  <si>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</si>
  <si>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</si>
  <si>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</si>
  <si>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</si>
  <si>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</si>
  <si>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</si>
  <si>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</si>
  <si>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</si>
  <si>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</si>
  <si>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</si>
  <si>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</si>
  <si>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</si>
  <si>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</si>
  <si>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</si>
  <si>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</si>
  <si>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</si>
  <si>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</si>
  <si>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</si>
  <si>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</si>
  <si>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</si>
  <si>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</si>
  <si>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</si>
  <si>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</si>
  <si>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</si>
  <si>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</si>
  <si>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</si>
  <si>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</si>
  <si>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</si>
  <si>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</si>
  <si>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</si>
  <si>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</si>
  <si>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</si>
  <si>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</si>
  <si>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</si>
  <si>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</si>
  <si>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</si>
  <si>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</si>
  <si>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</si>
  <si>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</si>
  <si>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</si>
  <si>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</si>
  <si>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</si>
  <si>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</si>
  <si>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</si>
  <si>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</si>
  <si>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</si>
  <si>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</si>
  <si>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</si>
  <si>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</si>
  <si>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</si>
  <si>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</si>
  <si>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</si>
  <si>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</si>
  <si>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</si>
  <si>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</si>
  <si>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</si>
  <si>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</si>
  <si>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</si>
  <si>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</si>
  <si>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</si>
  <si>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</si>
  <si>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</si>
  <si>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</si>
  <si>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</si>
  <si>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</si>
  <si>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</si>
  <si>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</si>
  <si>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</si>
  <si>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</si>
  <si>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</si>
  <si>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</si>
  <si>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</si>
  <si>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</si>
  <si>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</si>
  <si>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</si>
  <si>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</si>
  <si>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</si>
  <si>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</si>
  <si>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</si>
  <si>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</si>
  <si>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</si>
  <si>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</si>
  <si>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</si>
  <si>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</si>
  <si>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</si>
  <si>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</si>
  <si>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</si>
  <si>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</si>
  <si>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</si>
  <si>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</si>
  <si>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</si>
  <si>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</si>
  <si>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</si>
  <si>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</si>
  <si>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</si>
  <si>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</si>
  <si>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</si>
  <si>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</si>
  <si>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</si>
  <si>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</si>
  <si>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</si>
  <si>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</si>
  <si>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</si>
  <si>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</si>
  <si>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</si>
  <si>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</si>
  <si>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</si>
  <si>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</si>
  <si>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</si>
  <si>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</si>
  <si>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</si>
  <si>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</si>
  <si>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</si>
  <si>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</si>
  <si>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</si>
  <si>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</si>
  <si>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</si>
  <si>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</si>
  <si>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</si>
  <si>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</si>
  <si>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</si>
  <si>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</si>
  <si>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</si>
  <si>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</si>
  <si>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</si>
  <si>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</si>
  <si>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</si>
  <si>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</si>
  <si>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</si>
  <si>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</si>
  <si>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</si>
  <si>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</si>
  <si>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</si>
  <si>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</si>
  <si>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</si>
  <si>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</si>
  <si>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</si>
  <si>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</si>
  <si>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</si>
  <si>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</si>
  <si>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</si>
  <si>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</si>
  <si>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</si>
  <si>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</si>
  <si>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</si>
  <si>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</si>
  <si>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</si>
  <si>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</si>
  <si>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</si>
  <si>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</si>
  <si>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</si>
  <si>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</si>
  <si>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</si>
  <si>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</si>
  <si>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</si>
  <si>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</si>
  <si>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</si>
  <si>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</si>
  <si>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</si>
  <si>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</si>
  <si>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</si>
  <si>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</si>
  <si>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</si>
  <si>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</si>
  <si>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</si>
  <si>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</si>
  <si>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</si>
  <si>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</si>
  <si>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</si>
  <si>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</si>
  <si>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</si>
  <si>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</si>
  <si>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</si>
  <si>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</si>
  <si>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</si>
  <si>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</si>
  <si>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</si>
  <si>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</si>
  <si>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</si>
  <si>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</si>
  <si>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</si>
  <si>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</si>
  <si>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</si>
  <si>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</si>
  <si>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</si>
  <si>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</si>
  <si>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</si>
  <si>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</si>
  <si>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</si>
  <si>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</si>
  <si>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</si>
  <si>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</si>
  <si>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</si>
  <si>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</si>
  <si>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</si>
  <si>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</si>
  <si>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</si>
  <si>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</si>
  <si>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</si>
  <si>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</si>
  <si>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</si>
  <si>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</si>
  <si>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</si>
  <si>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</si>
  <si>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</si>
  <si>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</si>
  <si>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</si>
  <si>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</si>
  <si>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</si>
  <si>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</si>
  <si>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</si>
  <si>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</si>
  <si>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</si>
  <si>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</si>
  <si>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</si>
  <si>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</si>
  <si>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</si>
  <si>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</si>
  <si>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</si>
  <si>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</si>
  <si>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</si>
  <si>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</si>
  <si>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</si>
  <si>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</si>
  <si>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</si>
  <si>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</si>
  <si>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</si>
  <si>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</si>
  <si>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</si>
  <si>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</si>
  <si>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</si>
  <si>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</si>
  <si>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</si>
  <si>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</si>
  <si>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</si>
  <si>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</si>
  <si>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</si>
  <si>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</si>
  <si>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</si>
  <si>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</si>
  <si>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</si>
  <si>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</si>
  <si>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</si>
  <si>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</si>
  <si>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</si>
  <si>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</si>
  <si>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</si>
  <si>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</si>
  <si>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</si>
  <si>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</si>
  <si>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</si>
  <si>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</si>
  <si>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</si>
  <si>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</si>
  <si>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</si>
  <si>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</si>
  <si>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</si>
  <si>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</si>
  <si>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</si>
  <si>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</si>
  <si>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</si>
  <si>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</si>
  <si>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</si>
  <si>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</si>
  <si>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</si>
  <si>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</si>
  <si>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</si>
  <si>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</si>
  <si>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</si>
  <si>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</si>
  <si>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</si>
  <si>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</si>
  <si>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</si>
  <si>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</si>
  <si>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</si>
  <si>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</si>
  <si>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</si>
  <si>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</si>
  <si>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</si>
  <si>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</si>
  <si>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</si>
  <si>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</si>
  <si>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</si>
  <si>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</si>
  <si>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</si>
  <si>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</si>
  <si>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</si>
  <si>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</si>
  <si>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</si>
  <si>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</si>
  <si>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</si>
  <si>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</si>
  <si>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</si>
  <si>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</si>
  <si>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</si>
  <si>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</si>
  <si>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</si>
  <si>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</si>
  <si>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</si>
  <si>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</si>
  <si>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</si>
  <si>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</si>
  <si>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</si>
  <si>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</si>
  <si>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</si>
  <si>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</si>
  <si>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</si>
  <si>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</si>
  <si>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</si>
  <si>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</si>
  <si>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</si>
  <si>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</si>
  <si>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</si>
  <si>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</si>
  <si>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</si>
  <si>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</si>
  <si>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</si>
  <si>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</si>
  <si>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</si>
  <si>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</si>
  <si>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</si>
  <si>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</si>
  <si>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</si>
  <si>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</si>
  <si>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</si>
  <si>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</si>
  <si>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</si>
  <si>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</si>
  <si>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</si>
  <si>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</si>
  <si>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</si>
  <si>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</si>
  <si>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</si>
  <si>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</si>
  <si>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</si>
  <si>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</si>
  <si>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</si>
  <si>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</si>
  <si>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</si>
  <si>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</si>
  <si>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</si>
  <si>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</si>
  <si>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</si>
  <si>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</si>
  <si>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</si>
  <si>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</si>
  <si>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</si>
  <si>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</si>
  <si>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</si>
  <si>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</si>
  <si>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</si>
  <si>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</si>
  <si>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</si>
  <si>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</si>
  <si>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</si>
  <si>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</si>
  <si>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</si>
  <si>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</si>
  <si>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</si>
  <si>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</si>
  <si>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</si>
  <si>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</si>
  <si>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</si>
  <si>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</si>
  <si>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</si>
  <si>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</si>
  <si>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</si>
  <si>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</si>
  <si>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</si>
  <si>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</si>
  <si>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</si>
  <si>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</si>
  <si>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</si>
  <si>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</si>
  <si>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</si>
  <si>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</si>
  <si>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</si>
  <si>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</si>
  <si>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</si>
  <si>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</si>
  <si>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</si>
  <si>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</si>
  <si>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</si>
  <si>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</si>
  <si>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</si>
  <si>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</si>
  <si>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</si>
  <si>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</si>
  <si>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</si>
  <si>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</si>
  <si>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</si>
  <si>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</si>
  <si>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</si>
  <si>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</si>
  <si>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</si>
  <si>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</si>
  <si>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</si>
  <si>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</si>
  <si>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</si>
  <si>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</si>
  <si>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</si>
  <si>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</si>
  <si>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</si>
  <si>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</si>
  <si>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</si>
  <si>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</si>
  <si>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</si>
  <si>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</si>
  <si>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</si>
  <si>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</si>
  <si>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</si>
  <si>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</si>
  <si>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</si>
  <si>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</si>
  <si>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</si>
  <si>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</si>
  <si>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</si>
  <si>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</si>
  <si>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</si>
  <si>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</si>
  <si>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</si>
  <si>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</si>
  <si>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</si>
  <si>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</si>
  <si>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</si>
  <si>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</si>
  <si>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</si>
  <si>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</si>
  <si>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</si>
  <si>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</si>
  <si>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</si>
  <si>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</si>
  <si>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</si>
  <si>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</si>
  <si>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</si>
  <si>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</si>
  <si>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</si>
  <si>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</si>
  <si>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</si>
  <si>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</si>
  <si>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</si>
  <si>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</si>
  <si>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</si>
  <si>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</si>
  <si>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</si>
  <si>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</si>
  <si>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</si>
  <si>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</si>
  <si>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</si>
  <si>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</si>
  <si>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</si>
  <si>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</si>
  <si>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</si>
  <si>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</si>
  <si>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</si>
  <si>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</si>
  <si>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</si>
  <si>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</si>
  <si>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</si>
  <si>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</si>
  <si>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</si>
  <si>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</si>
  <si>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</si>
  <si>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</si>
  <si>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</si>
  <si>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</si>
  <si>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</si>
  <si>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</si>
  <si>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</si>
  <si>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</si>
  <si>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</si>
  <si>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</si>
  <si>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</si>
  <si>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</si>
  <si>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</si>
  <si>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</si>
  <si>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</si>
  <si>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</si>
  <si>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</si>
  <si>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</si>
  <si>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</si>
  <si>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</si>
  <si>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</si>
  <si>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</si>
  <si>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</si>
  <si>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</si>
  <si>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</si>
  <si>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</si>
  <si>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</si>
  <si>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</si>
  <si>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</si>
  <si>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</si>
  <si>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</si>
  <si>
    <t>3.3 kOhms ±5% 0.4W, 2/5W Chip Resistor 0805 (2012 Metric) Automotive AEC-Q200, Pulse Withstanding Thick Film</t>
  </si>
  <si>
    <t>RHM3.3KKCT-ND</t>
  </si>
  <si>
    <t>10 kOhms ±5% 0.4W, 2/5W Chip Resistor 0805 (2012 Metric) Automotive AEC-Q200, Pulse Withstanding Thick Film</t>
  </si>
  <si>
    <t>RHM10KKCT-ND</t>
  </si>
  <si>
    <t>1.5 kOhms ±5% 0.4W, 2/5W Chip Resistor 0805 (2012 Metric) Automotive AEC-Q200, Pulse Withstanding Thick Film</t>
  </si>
  <si>
    <t>RHM1.5KKCT-ND</t>
  </si>
  <si>
    <t>270 Ohms ±5% 0.4W, 2/5W Chip Resistor 0805 (2012 Metric) Automotive AEC-Q200, Pulse Withstanding Thick Film</t>
  </si>
  <si>
    <t>RHM270KCT-ND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</si>
</sst>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184" totalsRowShown="0" headerRowDxfId="347">
  <autoFilter ref="A1:F1184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21" totalsRowCount="1" headerRowDxfId="340" dataDxfId="338" headerRowBorderDxfId="339" tableBorderDxfId="337">
  <autoFilter ref="A1:L20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63" totalsRowShown="0" headerRowDxfId="306" dataDxfId="305" tableBorderDxfId="304">
  <autoFilter ref="A1:AC363" xr:uid="{D4CB05D4-73DA-43F1-913F-071595400883}"/>
  <sortState ref="A2:AC363">
    <sortCondition ref="E1:E363"/>
  </sortState>
  <tableColumns count="29">
    <tableColumn id="1" xr3:uid="{435165AF-465B-418C-8DDE-9CFA2D278BBE}" name="Art. Number" dataDxfId="303" totalsRowDxfId="302"/>
    <tableColumn id="2" xr3:uid="{FBC6B9C9-57F8-45DA-AF22-C249E2B185F4}" name="Manufacturer" dataDxfId="301" totalsRowDxfId="300"/>
    <tableColumn id="3" xr3:uid="{288AF9C9-A6A1-4913-A84A-1B41F0951CD7}" name="Place" dataDxfId="299" totalsRowDxfId="298"/>
    <tableColumn id="4" xr3:uid="{991CB349-C1A2-4024-AD86-41FE070F01AA}" name="Description" dataDxfId="297" totalsRowDxfId="296"/>
    <tableColumn id="28" xr3:uid="{2D19DEDD-0807-4720-910B-711676B70DD0}" name="Category" dataDxfId="295"/>
    <tableColumn id="5" xr3:uid="{AF531B20-C2C7-43E4-88F6-C002EAFA6EF0}" name="In stock" dataDxfId="294" totalsRowDxfId="293"/>
    <tableColumn id="6" xr3:uid="{4AE22FEC-1D74-4166-880B-DE3C3B0F48C3}" name="Min in stock" dataDxfId="292" totalsRowDxfId="291"/>
    <tableColumn id="7" xr3:uid="{DDF25EC9-10A6-4A51-A3FF-5F173DC0429C}" name="Auto Order" dataDxfId="290" totalsRowDxfId="289"/>
    <tableColumn id="8" xr3:uid="{8FB77B6F-1796-445F-A628-6683E80A406B}" name="Default Art. Number" dataDxfId="288" totalsRowDxfId="28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6" totalsRowDxfId="28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84" totalsRowDxfId="28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2" totalsRowDxfId="281"/>
    <tableColumn id="11" xr3:uid="{904ACEAE-3EBB-4B5A-B40F-F27BEC67197D}" name="Unit price - Digikey" dataDxfId="280" totalsRowDxfId="279"/>
    <tableColumn id="12" xr3:uid="{1C8E6FC8-F976-4331-BE85-AE9F5CCE5385}" name="Farnell" dataDxfId="278" totalsRowDxfId="277"/>
    <tableColumn id="13" xr3:uid="{9CEB0B0D-E776-4EE1-BA17-F20F36573DF1}" name="Unit price - Farnell" dataDxfId="276" totalsRowDxfId="275"/>
    <tableColumn id="14" xr3:uid="{4835AE8C-6AA4-4E3D-AA3C-47D081785B10}" name="Distrelec" dataDxfId="274" totalsRowDxfId="273"/>
    <tableColumn id="15" xr3:uid="{CFC19F72-EB6A-4DA4-8140-6E03AC8C87E2}" name="Unit price - Distrelec" dataDxfId="272" totalsRowDxfId="271"/>
    <tableColumn id="16" xr3:uid="{440F2FEC-A527-4DB9-8F02-E02C455DD168}" name="Conrad" dataDxfId="270" totalsRowDxfId="269"/>
    <tableColumn id="17" xr3:uid="{C15F9ED7-FCDD-4ED8-8193-766AD4AACE12}" name="Unit price - Conrad" dataDxfId="268" totalsRowDxfId="267"/>
    <tableColumn id="18" xr3:uid="{E8BE4F49-80E3-4D58-8712-2588048DD5B2}" name="Mouser" dataDxfId="266" totalsRowDxfId="265"/>
    <tableColumn id="19" xr3:uid="{71B82CF1-AA7C-485A-B22F-DFCA002E3E0B}" name="Unit price - Mouser" dataDxfId="264" totalsRowDxfId="263"/>
    <tableColumn id="20" xr3:uid="{B372D927-D0BD-4305-A32A-0C014ACEEBAB}" name="Aliexpress" dataDxfId="262" totalsRowDxfId="261"/>
    <tableColumn id="21" xr3:uid="{56A9B167-940C-4D6B-8B5D-F91623F90BD6}" name="Unit price - Aliexpress" dataDxfId="260" totalsRowDxfId="259"/>
    <tableColumn id="22" xr3:uid="{2E67C835-F42C-4886-A3E6-A86A66CF03DE}" name="Banggood" dataDxfId="258" totalsRowDxfId="257"/>
    <tableColumn id="23" xr3:uid="{96EE1B48-7059-4798-A1ED-B830DB9D7D70}" name="Unit price - Banggood" dataDxfId="256" totalsRowDxfId="255"/>
    <tableColumn id="29" xr3:uid="{D6F9B11D-16CF-4797-AFD2-F208CE8FD675}" name="Other - Name" dataDxfId="254" totalsRowDxfId="253">
      <calculatedColumnFormula>IF(Table1[[#This Row],[Other]]&lt;&gt;"","Other","")</calculatedColumnFormula>
    </tableColumn>
    <tableColumn id="24" xr3:uid="{DFC2A0A6-4951-479C-8775-526D9FDB26B4}" name="Other" dataDxfId="252"/>
    <tableColumn id="25" xr3:uid="{09619815-DA2C-43CD-A998-2BAAC30ACE14}" name="Unit price - Other" dataDxfId="251" totalsRowDxfId="250"/>
    <tableColumn id="26" xr3:uid="{CBAAFE5B-29D9-4E86-8241-3FA6E46052BB}" name="In next order" dataDxfId="249" totalsRowDxfId="24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41" dataDxfId="239" headerRowBorderDxfId="240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38" totalsRowDxfId="9"/>
    <tableColumn id="5" xr3:uid="{4E1A69D7-B842-45A1-BFE4-95F84DEF4755}" name="Description" dataDxfId="237" totalsRowDxfId="8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6" totalsRowDxfId="7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5" totalsRowDxfId="6"/>
    <tableColumn id="8" xr3:uid="{A1798CB4-3555-4139-9F90-6F7C37DD16CE}" name="Quantity" dataDxfId="234" totalsRowDxfId="5"/>
    <tableColumn id="6" xr3:uid="{2F8D53B9-D62E-4784-9B86-A31E1773D411}" name="In stock" dataDxfId="233" totalsRowDxfId="4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32" totalsRowDxfId="3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31" totalsRowDxfId="2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30" totalsRowDxfId="1">
      <calculatedColumnFormula>Table1411314[[#This Row],[Quantity]]*$M$1</calculatedColumnFormula>
    </tableColumn>
    <tableColumn id="4" xr3:uid="{893BABD3-9B59-48D3-A31C-D2909166C22E}" name="Total available" dataDxfId="229" totalsRowDxfId="0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23" dataDxfId="221" headerRowBorderDxfId="22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20" totalsRowDxfId="219"/>
    <tableColumn id="5" xr3:uid="{E0A4C7BE-9780-40B2-9139-D4958FD92F57}" name="Description" dataDxfId="218" totalsRowDxfId="21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16" totalsRowDxfId="21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14" totalsRowDxfId="213"/>
    <tableColumn id="8" xr3:uid="{DE9DE279-0ECD-46C6-B40F-146EE0CF2811}" name="Quantity" dataDxfId="212" totalsRowDxfId="211"/>
    <tableColumn id="6" xr3:uid="{9281657B-B3CE-4A4B-90BB-A2508C24B80E}" name="In stock" dataDxfId="210" totalsRowDxfId="20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08" totalsRowDxfId="20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06" totalsRowDxfId="20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04" totalsRowDxfId="203">
      <calculatedColumnFormula>Table14113[[#This Row],[Quantity]]*$M$1</calculatedColumnFormula>
    </tableColumn>
    <tableColumn id="4" xr3:uid="{21625822-F558-4C24-A1DF-CA1415AF72CC}" name="Total available" dataDxfId="202" totalsRowDxfId="20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96" dataDxfId="194" headerRowBorderDxfId="195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193" totalsRowDxfId="192"/>
    <tableColumn id="5" xr3:uid="{0807D2E3-C08E-4A05-95EC-685278834536}" name="Description" dataDxfId="191" totalsRowDxfId="190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89" totalsRowDxfId="188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87" totalsRowDxfId="186"/>
    <tableColumn id="8" xr3:uid="{27D63D9B-1923-4857-A374-5FF3D8D6B64C}" name="Quantity" dataDxfId="185" totalsRowDxfId="184"/>
    <tableColumn id="6" xr3:uid="{39724770-BCF0-4F8C-A311-212B97612672}" name="In stock" dataDxfId="183" totalsRowDxfId="18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81" totalsRowDxfId="18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79" totalsRowDxfId="17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77" totalsRowDxfId="176">
      <calculatedColumnFormula>Table1411[[#This Row],[Quantity]]*$M$1</calculatedColumnFormula>
    </tableColumn>
    <tableColumn id="4" xr3:uid="{CEA2F06F-2F21-492E-B2A3-DF977A078F50}" name="Total available" dataDxfId="175" totalsRowDxfId="17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69" dataDxfId="167" headerRowBorderDxfId="168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66" totalsRowDxfId="165"/>
    <tableColumn id="5" xr3:uid="{B1418FC9-8422-4A82-9D50-1C20CEF4A1DB}" name="Description" dataDxfId="164" totalsRowDxfId="16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62" totalsRowDxfId="16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60" totalsRowDxfId="159"/>
    <tableColumn id="8" xr3:uid="{D163A9E2-18FC-4EE8-99AB-60D6C92BBDB6}" name="Quantity" dataDxfId="158" totalsRowDxfId="157"/>
    <tableColumn id="6" xr3:uid="{1583B055-BD93-4929-B8EC-DA75D23B688F}" name="In stock" dataDxfId="156" totalsRowDxfId="15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54" totalsRowDxfId="15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52" totalsRowDxfId="15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50" totalsRowDxfId="149">
      <calculatedColumnFormula>Table14[[#This Row],[Quantity]]*$M$1</calculatedColumnFormula>
    </tableColumn>
    <tableColumn id="4" xr3:uid="{3C7D2E86-E417-47F0-B642-14D96896F255}" name="Total available" dataDxfId="148" totalsRowDxfId="14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42" dataDxfId="140" headerRowBorderDxfId="141">
  <autoFilter ref="A1:J15" xr:uid="{06E2CB8E-61AB-472E-BCF2-E6E1E6F7BC5B}"/>
  <tableColumns count="10">
    <tableColumn id="2" xr3:uid="{9E0E6405-0958-4064-8395-03A32BA24ED3}" name="Man. Number" dataDxfId="139" totalsRowDxfId="138"/>
    <tableColumn id="5" xr3:uid="{BA21CA97-DCD9-408A-9894-96A639A19D11}" name="Description" dataDxfId="137" totalsRowDxfId="136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35" totalsRowDxfId="134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33" totalsRowDxfId="132"/>
    <tableColumn id="8" xr3:uid="{79E97D26-BF86-43B2-AEF5-CE725327DF74}" name="Quantity" dataDxfId="131" totalsRowDxfId="130"/>
    <tableColumn id="6" xr3:uid="{55CA5BD7-34A5-4A62-9044-29A0D9B81880}" name="In stock" dataDxfId="129" totalsRowDxfId="12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27" totalsRowDxfId="12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25" totalsRowDxfId="12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23" totalsRowDxfId="122">
      <calculatedColumnFormula>Table146[[#This Row],[Quantity]]*$M$1</calculatedColumnFormula>
    </tableColumn>
    <tableColumn id="4" xr3:uid="{04D63216-7DC3-4D59-A043-09BBD0852B90}" name="Total available" dataDxfId="121" totalsRowDxfId="12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15" dataDxfId="113" headerRowBorderDxfId="114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12" totalsRowDxfId="111"/>
    <tableColumn id="5" xr3:uid="{8149F83F-B4D5-4C51-A87E-B863B43D92B1}" name="Description" dataDxfId="110" totalsRowDxfId="109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08" totalsRowDxfId="107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06" totalsRowDxfId="105"/>
    <tableColumn id="8" xr3:uid="{4A2F7A9A-01D2-44CD-B775-ECE675E39975}" name="Quantity" dataDxfId="104" totalsRowDxfId="103"/>
    <tableColumn id="6" xr3:uid="{E35C4648-7918-49E6-8585-13FE1A3EB382}" name="In stock" dataDxfId="102" totalsRowDxfId="101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00" totalsRowDxfId="99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98" totalsRowDxfId="97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96" totalsRowDxfId="95">
      <calculatedColumnFormula>Table14681012[[#This Row],[Quantity]]*$M$1</calculatedColumnFormula>
    </tableColumn>
    <tableColumn id="4" xr3:uid="{B277331F-9B8C-48C1-AF3B-39B0DF714F6F}" name="Total available" dataDxfId="94" totalsRowDxfId="93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88" dataDxfId="86" headerRowBorderDxfId="8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85" totalsRowDxfId="84"/>
    <tableColumn id="5" xr3:uid="{EE74CBB7-B4AE-4E4F-A276-4111D2262064}" name="Description" dataDxfId="83" totalsRowDxfId="8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81" totalsRowDxfId="8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79" totalsRowDxfId="78"/>
    <tableColumn id="8" xr3:uid="{C50EC552-0304-4799-AAF5-38B8D35A381E}" name="Quantity" dataDxfId="77" totalsRowDxfId="76"/>
    <tableColumn id="6" xr3:uid="{F740468C-0E09-4D56-BD5D-693ECC8337EF}" name="In stock" dataDxfId="75" totalsRowDxfId="7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73" totalsRowDxfId="7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71" totalsRowDxfId="7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69" totalsRowDxfId="68">
      <calculatedColumnFormula>Table146810[[#This Row],[Quantity]]*$M$1</calculatedColumnFormula>
    </tableColumn>
    <tableColumn id="4" xr3:uid="{562176AD-2473-43BF-B998-A5B71A21527C}" name="Total available" dataDxfId="67" totalsRowDxfId="6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61" dataDxfId="59" headerRowBorderDxfId="6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58" totalsRowDxfId="57"/>
    <tableColumn id="5" xr3:uid="{CF0B01EC-618C-443A-ADA2-893AECA5731E}" name="Description" dataDxfId="56" totalsRowDxfId="5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54" totalsRowDxfId="5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52" totalsRowDxfId="51"/>
    <tableColumn id="8" xr3:uid="{A3056CA7-0C80-4B5D-9B6F-73CB8A25354E}" name="Quantity" dataDxfId="50" totalsRowDxfId="49"/>
    <tableColumn id="6" xr3:uid="{BA70C052-8998-43C4-8E48-C451C5F8F0BC}" name="In stock" dataDxfId="48" totalsRowDxfId="4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46" totalsRowDxfId="4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44" totalsRowDxfId="4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42" totalsRowDxfId="41">
      <calculatedColumnFormula>Table146813[[#This Row],[Quantity]]*$M$1</calculatedColumnFormula>
    </tableColumn>
    <tableColumn id="4" xr3:uid="{E6CEFFBA-DFD9-451F-8F56-7A7D38A06BC8}" name="Total available" dataDxfId="40" totalsRowDxfId="3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34" dataDxfId="32" headerRowBorderDxfId="33">
  <autoFilter ref="A1:J2" xr:uid="{06E2CB8E-61AB-472E-BCF2-E6E1E6F7BC5B}"/>
  <tableColumns count="10">
    <tableColumn id="2" xr3:uid="{82F37E31-D1D4-4FFD-A09E-64F3B03018B7}" name="Man. Number" totalsRowLabel="Total" dataDxfId="31" totalsRowDxfId="30"/>
    <tableColumn id="5" xr3:uid="{524F6B01-486E-4166-AE6A-BDBA58BD1A60}" name="Description" dataDxfId="29" totalsRowDxfId="2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27" totalsRowDxfId="2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25" totalsRowDxfId="24"/>
    <tableColumn id="8" xr3:uid="{A834D686-252C-4BF4-9FDE-28A4A6AFDD1F}" name="Quantity" dataDxfId="23" totalsRowDxfId="22"/>
    <tableColumn id="6" xr3:uid="{66DB620F-4FDE-44EB-BF35-96CAEBE4C1C6}" name="In stock" dataDxfId="21" totalsRowDxfId="2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19" totalsRowDxfId="1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17" totalsRowDxfId="1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15" totalsRowDxfId="14">
      <calculatedColumnFormula>Table1468[[#This Row],[Quantity]]*$M$1</calculatedColumnFormula>
    </tableColumn>
    <tableColumn id="4" xr3:uid="{56337732-A0D6-4CED-A2E1-0A9BD957CBCA}" name="Total available" dataDxfId="13" totalsRowDxfId="1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1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184"/>
  <sheetViews>
    <sheetView workbookViewId="0">
      <pane ySplit="1" topLeftCell="A1153" activePane="bottomLeft" state="frozen"/>
      <selection pane="bottomLeft" activeCell="A1178" sqref="A1178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1031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1038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1036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1034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1039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1039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1046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1045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1044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1043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1098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1098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1103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1109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1111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1112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1116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1124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1127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1129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1137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1137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1127</v>
      </c>
      <c r="C650" s="12" t="s">
        <v>392</v>
      </c>
      <c r="D650" s="12">
        <v>0</v>
      </c>
      <c r="E650" s="12">
        <v>5</v>
      </c>
      <c r="F650" s="3" t="s">
        <v>1140</v>
      </c>
    </row>
    <row r="651" spans="1:6" x14ac:dyDescent="0.25">
      <c r="A651" s="36">
        <v>43633.622673611113</v>
      </c>
      <c r="B651" s="3" t="s">
        <v>1048</v>
      </c>
      <c r="C651" s="12" t="s">
        <v>392</v>
      </c>
      <c r="D651" s="12">
        <v>0</v>
      </c>
      <c r="E651" s="12">
        <v>5</v>
      </c>
      <c r="F651" s="3" t="s">
        <v>1140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1144</v>
      </c>
      <c r="F652" s="3" t="s">
        <v>1145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1146</v>
      </c>
      <c r="F654" s="3" t="s">
        <v>1145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1147</v>
      </c>
      <c r="F655" s="3" t="s">
        <v>1145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1148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1148</v>
      </c>
    </row>
    <row r="658" spans="1:6" x14ac:dyDescent="0.25">
      <c r="A658" s="36">
        <v>43633.665277777778</v>
      </c>
      <c r="B658" s="3" t="s">
        <v>1032</v>
      </c>
      <c r="C658" s="12">
        <v>10</v>
      </c>
      <c r="D658" s="12">
        <v>0</v>
      </c>
      <c r="E658" s="12">
        <v>10</v>
      </c>
      <c r="F658" s="3" t="s">
        <v>1148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1148</v>
      </c>
    </row>
    <row r="660" spans="1:6" x14ac:dyDescent="0.25">
      <c r="A660" s="36">
        <v>43633.665277777778</v>
      </c>
      <c r="B660" s="3" t="s">
        <v>1085</v>
      </c>
      <c r="C660" s="12">
        <v>1</v>
      </c>
      <c r="D660" s="12">
        <v>0</v>
      </c>
      <c r="E660" s="12">
        <v>1</v>
      </c>
      <c r="F660" s="3" t="s">
        <v>1148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1148</v>
      </c>
    </row>
    <row r="662" spans="1:6" x14ac:dyDescent="0.25">
      <c r="A662" s="36">
        <v>43633.665277777778</v>
      </c>
      <c r="B662" s="3" t="s">
        <v>1038</v>
      </c>
      <c r="C662" s="12">
        <v>6</v>
      </c>
      <c r="D662" s="12">
        <v>0</v>
      </c>
      <c r="E662" s="12">
        <v>6</v>
      </c>
      <c r="F662" s="3" t="s">
        <v>1148</v>
      </c>
    </row>
    <row r="663" spans="1:6" x14ac:dyDescent="0.25">
      <c r="A663" s="36">
        <v>43633.665277777778</v>
      </c>
      <c r="B663" s="3" t="s">
        <v>1035</v>
      </c>
      <c r="C663" s="12">
        <v>6</v>
      </c>
      <c r="D663" s="12">
        <v>0</v>
      </c>
      <c r="E663" s="12">
        <v>6</v>
      </c>
      <c r="F663" s="3" t="s">
        <v>1148</v>
      </c>
    </row>
    <row r="664" spans="1:6" x14ac:dyDescent="0.25">
      <c r="A664" s="36">
        <v>43633.665277777778</v>
      </c>
      <c r="B664" s="3" t="s">
        <v>1031</v>
      </c>
      <c r="C664" s="12">
        <v>100</v>
      </c>
      <c r="D664" s="12">
        <v>0</v>
      </c>
      <c r="E664" s="12">
        <v>100</v>
      </c>
      <c r="F664" s="3" t="s">
        <v>1148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1148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1148</v>
      </c>
    </row>
    <row r="667" spans="1:6" x14ac:dyDescent="0.25">
      <c r="A667" s="36">
        <v>43633.665277777778</v>
      </c>
      <c r="B667" s="3" t="s">
        <v>1083</v>
      </c>
      <c r="C667" s="12">
        <v>10</v>
      </c>
      <c r="D667" s="12">
        <v>0</v>
      </c>
      <c r="E667" s="12">
        <v>10</v>
      </c>
      <c r="F667" s="3" t="s">
        <v>1148</v>
      </c>
    </row>
    <row r="668" spans="1:6" x14ac:dyDescent="0.25">
      <c r="A668" s="36">
        <v>43633.665277777778</v>
      </c>
      <c r="B668" s="3" t="s">
        <v>1040</v>
      </c>
      <c r="C668" s="12">
        <v>10</v>
      </c>
      <c r="D668" s="12">
        <v>0</v>
      </c>
      <c r="E668" s="12">
        <v>10</v>
      </c>
      <c r="F668" s="3" t="s">
        <v>1148</v>
      </c>
    </row>
    <row r="669" spans="1:6" x14ac:dyDescent="0.25">
      <c r="A669" s="36">
        <v>43633.665277777778</v>
      </c>
      <c r="B669" s="3" t="s">
        <v>1037</v>
      </c>
      <c r="C669" s="12">
        <v>2</v>
      </c>
      <c r="D669" s="12">
        <v>0</v>
      </c>
      <c r="E669" s="12">
        <v>2</v>
      </c>
      <c r="F669" s="3" t="s">
        <v>1148</v>
      </c>
    </row>
    <row r="670" spans="1:6" x14ac:dyDescent="0.25">
      <c r="A670" s="36">
        <v>43633.665289351855</v>
      </c>
      <c r="B670" s="3" t="s">
        <v>1036</v>
      </c>
      <c r="C670" s="12">
        <v>2</v>
      </c>
      <c r="D670" s="12">
        <v>0</v>
      </c>
      <c r="E670" s="12">
        <v>2</v>
      </c>
      <c r="F670" s="3" t="s">
        <v>1148</v>
      </c>
    </row>
    <row r="671" spans="1:6" x14ac:dyDescent="0.25">
      <c r="A671" s="36">
        <v>43633.665289351855</v>
      </c>
      <c r="B671" s="3" t="s">
        <v>1045</v>
      </c>
      <c r="C671" s="12">
        <v>10</v>
      </c>
      <c r="D671" s="12">
        <v>0</v>
      </c>
      <c r="E671" s="12">
        <v>10</v>
      </c>
      <c r="F671" s="3" t="s">
        <v>1148</v>
      </c>
    </row>
    <row r="672" spans="1:6" x14ac:dyDescent="0.25">
      <c r="A672" s="36">
        <v>43633.665289351855</v>
      </c>
      <c r="B672" s="3" t="s">
        <v>1041</v>
      </c>
      <c r="C672" s="12">
        <v>10</v>
      </c>
      <c r="D672" s="12">
        <v>0</v>
      </c>
      <c r="E672" s="12">
        <v>10</v>
      </c>
      <c r="F672" s="3" t="s">
        <v>1148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1148</v>
      </c>
    </row>
    <row r="674" spans="1:6" x14ac:dyDescent="0.25">
      <c r="A674" s="36">
        <v>43633.665289351855</v>
      </c>
      <c r="B674" s="3" t="s">
        <v>1033</v>
      </c>
      <c r="C674" s="12">
        <v>2</v>
      </c>
      <c r="D674" s="12">
        <v>0</v>
      </c>
      <c r="E674" s="12">
        <v>2</v>
      </c>
      <c r="F674" s="3" t="s">
        <v>1148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1148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1148</v>
      </c>
    </row>
    <row r="677" spans="1:6" x14ac:dyDescent="0.25">
      <c r="A677" s="36">
        <v>43633.665289351855</v>
      </c>
      <c r="B677" s="3" t="s">
        <v>1009</v>
      </c>
      <c r="C677" s="12">
        <v>10</v>
      </c>
      <c r="D677" s="12">
        <v>0</v>
      </c>
      <c r="E677" s="12">
        <v>10</v>
      </c>
      <c r="F677" s="3" t="s">
        <v>1148</v>
      </c>
    </row>
    <row r="678" spans="1:6" x14ac:dyDescent="0.25">
      <c r="A678" s="36">
        <v>43633.665289351855</v>
      </c>
      <c r="B678" s="3" t="s">
        <v>1024</v>
      </c>
      <c r="C678" s="12">
        <v>10</v>
      </c>
      <c r="D678" s="12">
        <v>0</v>
      </c>
      <c r="E678" s="12">
        <v>10</v>
      </c>
      <c r="F678" s="3" t="s">
        <v>1148</v>
      </c>
    </row>
    <row r="679" spans="1:6" x14ac:dyDescent="0.25">
      <c r="A679" s="36">
        <v>43633.665289351855</v>
      </c>
      <c r="B679" s="3" t="s">
        <v>1047</v>
      </c>
      <c r="C679" s="12">
        <v>3</v>
      </c>
      <c r="D679" s="12">
        <v>0</v>
      </c>
      <c r="E679" s="12">
        <v>3</v>
      </c>
      <c r="F679" s="3" t="s">
        <v>1148</v>
      </c>
    </row>
    <row r="680" spans="1:6" x14ac:dyDescent="0.25">
      <c r="A680" s="36">
        <v>43633.665289351855</v>
      </c>
      <c r="B680" s="3" t="s">
        <v>1044</v>
      </c>
      <c r="C680" s="12">
        <v>3</v>
      </c>
      <c r="D680" s="12">
        <v>0</v>
      </c>
      <c r="E680" s="12">
        <v>3</v>
      </c>
      <c r="F680" s="3" t="s">
        <v>1148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1148</v>
      </c>
    </row>
    <row r="682" spans="1:6" x14ac:dyDescent="0.25">
      <c r="A682" s="36">
        <v>43633.665289351855</v>
      </c>
      <c r="B682" s="3" t="s">
        <v>1042</v>
      </c>
      <c r="C682" s="12">
        <v>10</v>
      </c>
      <c r="D682" s="12">
        <v>0</v>
      </c>
      <c r="E682" s="12">
        <v>10</v>
      </c>
      <c r="F682" s="3" t="s">
        <v>1148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1148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1148</v>
      </c>
    </row>
    <row r="685" spans="1:6" x14ac:dyDescent="0.25">
      <c r="A685" s="36">
        <v>43633.665289351855</v>
      </c>
      <c r="B685" s="3" t="s">
        <v>1015</v>
      </c>
      <c r="C685" s="12">
        <v>10</v>
      </c>
      <c r="D685" s="12">
        <v>0</v>
      </c>
      <c r="E685" s="12">
        <v>10</v>
      </c>
      <c r="F685" s="3" t="s">
        <v>1148</v>
      </c>
    </row>
    <row r="686" spans="1:6" x14ac:dyDescent="0.25">
      <c r="A686" s="36">
        <v>43633.665289351855</v>
      </c>
      <c r="B686" s="3" t="s">
        <v>1018</v>
      </c>
      <c r="C686" s="12">
        <v>10</v>
      </c>
      <c r="D686" s="12">
        <v>0</v>
      </c>
      <c r="E686" s="12">
        <v>10</v>
      </c>
      <c r="F686" s="3" t="s">
        <v>1148</v>
      </c>
    </row>
    <row r="687" spans="1:6" x14ac:dyDescent="0.25">
      <c r="A687" s="36">
        <v>43633.665289351855</v>
      </c>
      <c r="B687" s="3" t="s">
        <v>1012</v>
      </c>
      <c r="C687" s="12">
        <v>10</v>
      </c>
      <c r="D687" s="12">
        <v>0</v>
      </c>
      <c r="E687" s="12">
        <v>10</v>
      </c>
      <c r="F687" s="3" t="s">
        <v>1148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1148</v>
      </c>
    </row>
    <row r="689" spans="1:6" x14ac:dyDescent="0.25">
      <c r="A689" s="36">
        <v>43633.665300925924</v>
      </c>
      <c r="B689" s="3" t="s">
        <v>1006</v>
      </c>
      <c r="C689" s="12">
        <v>10</v>
      </c>
      <c r="D689" s="12">
        <v>0</v>
      </c>
      <c r="E689" s="12">
        <v>10</v>
      </c>
      <c r="F689" s="3" t="s">
        <v>1148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1148</v>
      </c>
    </row>
    <row r="691" spans="1:6" x14ac:dyDescent="0.25">
      <c r="A691" s="36">
        <v>43633.665300925924</v>
      </c>
      <c r="B691" s="3" t="s">
        <v>1088</v>
      </c>
      <c r="C691" s="12">
        <v>1</v>
      </c>
      <c r="D691" s="12">
        <v>0</v>
      </c>
      <c r="E691" s="12">
        <v>1</v>
      </c>
      <c r="F691" s="3" t="s">
        <v>1148</v>
      </c>
    </row>
    <row r="692" spans="1:6" x14ac:dyDescent="0.25">
      <c r="A692" s="36">
        <v>43633.665300925924</v>
      </c>
      <c r="B692" s="3" t="s">
        <v>1054</v>
      </c>
      <c r="C692" s="12">
        <v>100</v>
      </c>
      <c r="D692" s="12">
        <v>0</v>
      </c>
      <c r="E692" s="12">
        <v>100</v>
      </c>
      <c r="F692" s="3" t="s">
        <v>1148</v>
      </c>
    </row>
    <row r="693" spans="1:6" x14ac:dyDescent="0.25">
      <c r="A693" s="36">
        <v>43633.665300925924</v>
      </c>
      <c r="B693" s="3" t="s">
        <v>1098</v>
      </c>
      <c r="C693" s="12">
        <v>2</v>
      </c>
      <c r="D693" s="12">
        <v>0</v>
      </c>
      <c r="E693" s="12">
        <v>2</v>
      </c>
      <c r="F693" s="3" t="s">
        <v>1148</v>
      </c>
    </row>
    <row r="694" spans="1:6" x14ac:dyDescent="0.25">
      <c r="A694" s="36">
        <v>43633.665300925924</v>
      </c>
      <c r="B694" s="3" t="s">
        <v>1103</v>
      </c>
      <c r="C694" s="12">
        <v>50</v>
      </c>
      <c r="D694" s="12">
        <v>0</v>
      </c>
      <c r="E694" s="12">
        <v>50</v>
      </c>
      <c r="F694" s="3" t="s">
        <v>1148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1138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1149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1035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1041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1012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1009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1006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1037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1047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1038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1045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1036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1044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1032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1040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1150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1152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1155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1160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1163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1166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1169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1172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1182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1177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1185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1191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1191</v>
      </c>
    </row>
    <row r="746" spans="1:6" x14ac:dyDescent="0.25">
      <c r="A746" s="36">
        <v>43634.794664351852</v>
      </c>
      <c r="B746" s="3" t="s">
        <v>1192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1197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1214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1217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1220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1223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1223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1238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1241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1054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1261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1264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1265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1268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1271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1274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1277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1280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1283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1261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1287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1290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1293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1296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1299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1302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1305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1308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1311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1314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1317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1320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1323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1326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1150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1150</v>
      </c>
    </row>
    <row r="787" spans="1:6" x14ac:dyDescent="0.25">
      <c r="A787" s="36">
        <v>43685.720405092594</v>
      </c>
      <c r="B787" s="3" t="s">
        <v>1339</v>
      </c>
      <c r="C787" s="12" t="s">
        <v>1144</v>
      </c>
      <c r="D787" s="12">
        <v>0</v>
      </c>
      <c r="E787" s="12" t="s">
        <v>1144</v>
      </c>
      <c r="F787" s="3" t="s">
        <v>475</v>
      </c>
    </row>
    <row r="788" spans="1:6" x14ac:dyDescent="0.25">
      <c r="A788" s="36">
        <v>43685.720486111109</v>
      </c>
      <c r="B788" s="3" t="s">
        <v>1342</v>
      </c>
      <c r="C788" s="12" t="s">
        <v>1144</v>
      </c>
      <c r="D788" s="12">
        <v>0</v>
      </c>
      <c r="E788" s="12" t="s">
        <v>1144</v>
      </c>
      <c r="F788" s="3" t="s">
        <v>475</v>
      </c>
    </row>
    <row r="789" spans="1:6" x14ac:dyDescent="0.25">
      <c r="A789" s="36">
        <v>43685.72148148148</v>
      </c>
      <c r="B789" s="3" t="s">
        <v>1031</v>
      </c>
      <c r="C789" s="12" t="s">
        <v>58</v>
      </c>
      <c r="D789" s="12" t="s">
        <v>58</v>
      </c>
      <c r="E789" s="12" t="s">
        <v>58</v>
      </c>
      <c r="F789" s="3" t="s">
        <v>1345</v>
      </c>
    </row>
    <row r="790" spans="1:6" x14ac:dyDescent="0.25">
      <c r="A790" s="36">
        <v>43685.721666666665</v>
      </c>
      <c r="B790" s="3" t="s">
        <v>1344</v>
      </c>
      <c r="C790" s="12" t="s">
        <v>58</v>
      </c>
      <c r="D790" s="12" t="s">
        <v>58</v>
      </c>
      <c r="E790" s="12" t="s">
        <v>58</v>
      </c>
      <c r="F790" s="3" t="s">
        <v>1345</v>
      </c>
    </row>
    <row r="791" spans="1:6" x14ac:dyDescent="0.25">
      <c r="A791" s="36">
        <v>43685.721701388888</v>
      </c>
      <c r="B791" s="3" t="s">
        <v>1346</v>
      </c>
      <c r="C791" s="12" t="s">
        <v>58</v>
      </c>
      <c r="D791" s="12" t="s">
        <v>58</v>
      </c>
      <c r="E791" s="12" t="s">
        <v>58</v>
      </c>
      <c r="F791" s="3" t="s">
        <v>1345</v>
      </c>
    </row>
    <row r="792" spans="1:6" x14ac:dyDescent="0.25">
      <c r="A792" s="36">
        <v>43685.817743055559</v>
      </c>
      <c r="B792" s="3" t="s">
        <v>1347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1358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1361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1365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1368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1185</v>
      </c>
      <c r="C799" s="12" t="s">
        <v>1387</v>
      </c>
      <c r="D799" s="12">
        <v>0</v>
      </c>
      <c r="E799" s="12">
        <v>4</v>
      </c>
      <c r="F799" s="3" t="s">
        <v>1388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1388</v>
      </c>
    </row>
    <row r="801" spans="1:6" x14ac:dyDescent="0.25">
      <c r="A801" s="36">
        <v>43692.582824074074</v>
      </c>
      <c r="B801" s="3" t="s">
        <v>1152</v>
      </c>
      <c r="C801" s="12" t="s">
        <v>393</v>
      </c>
      <c r="D801" s="12" t="s">
        <v>307</v>
      </c>
      <c r="E801" s="12" t="s">
        <v>393</v>
      </c>
      <c r="F801" s="3" t="s">
        <v>1388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1388</v>
      </c>
    </row>
    <row r="803" spans="1:6" x14ac:dyDescent="0.25">
      <c r="A803" s="36">
        <v>43692.582835648151</v>
      </c>
      <c r="B803" s="3" t="s">
        <v>930</v>
      </c>
      <c r="C803" s="12" t="s">
        <v>1147</v>
      </c>
      <c r="D803" s="12">
        <v>0</v>
      </c>
      <c r="E803" s="12" t="s">
        <v>1147</v>
      </c>
      <c r="F803" s="3" t="s">
        <v>1388</v>
      </c>
    </row>
    <row r="804" spans="1:6" x14ac:dyDescent="0.25">
      <c r="A804" s="36">
        <v>43692.582835648151</v>
      </c>
      <c r="B804" s="3" t="s">
        <v>1124</v>
      </c>
      <c r="C804" s="12" t="s">
        <v>1147</v>
      </c>
      <c r="D804" s="12">
        <v>0</v>
      </c>
      <c r="E804" s="12">
        <v>3</v>
      </c>
      <c r="F804" s="3" t="s">
        <v>1388</v>
      </c>
    </row>
    <row r="805" spans="1:6" x14ac:dyDescent="0.25">
      <c r="A805" s="36">
        <v>43692.582835648151</v>
      </c>
      <c r="B805" s="3" t="s">
        <v>1116</v>
      </c>
      <c r="C805" s="12" t="s">
        <v>1147</v>
      </c>
      <c r="D805" s="12">
        <v>0</v>
      </c>
      <c r="E805" s="12">
        <v>3</v>
      </c>
      <c r="F805" s="3" t="s">
        <v>1388</v>
      </c>
    </row>
    <row r="806" spans="1:6" x14ac:dyDescent="0.25">
      <c r="A806" s="36">
        <v>43692.582835648151</v>
      </c>
      <c r="B806" s="3" t="s">
        <v>1172</v>
      </c>
      <c r="C806" s="12" t="s">
        <v>393</v>
      </c>
      <c r="D806" s="12">
        <v>0</v>
      </c>
      <c r="E806" s="12">
        <v>10</v>
      </c>
      <c r="F806" s="3" t="s">
        <v>1388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1388</v>
      </c>
    </row>
    <row r="808" spans="1:6" x14ac:dyDescent="0.25">
      <c r="A808" s="36">
        <v>43692.582835648151</v>
      </c>
      <c r="B808" s="3" t="s">
        <v>1238</v>
      </c>
      <c r="C808" s="12" t="s">
        <v>392</v>
      </c>
      <c r="D808" s="12">
        <v>0</v>
      </c>
      <c r="E808" s="12">
        <v>5</v>
      </c>
      <c r="F808" s="3" t="s">
        <v>1388</v>
      </c>
    </row>
    <row r="809" spans="1:6" x14ac:dyDescent="0.25">
      <c r="A809" s="36">
        <v>43692.582835648151</v>
      </c>
      <c r="B809" s="3" t="s">
        <v>1217</v>
      </c>
      <c r="C809" s="12" t="s">
        <v>393</v>
      </c>
      <c r="D809" s="12">
        <v>0</v>
      </c>
      <c r="E809" s="12">
        <v>10</v>
      </c>
      <c r="F809" s="3" t="s">
        <v>1388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1388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1388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1388</v>
      </c>
    </row>
    <row r="813" spans="1:6" x14ac:dyDescent="0.25">
      <c r="A813" s="36">
        <v>43692.58284722222</v>
      </c>
      <c r="B813" s="3" t="s">
        <v>992</v>
      </c>
      <c r="C813" s="12" t="s">
        <v>1389</v>
      </c>
      <c r="D813" s="12">
        <v>0</v>
      </c>
      <c r="E813" s="12">
        <v>20</v>
      </c>
      <c r="F813" s="3" t="s">
        <v>1388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1388</v>
      </c>
    </row>
    <row r="815" spans="1:6" x14ac:dyDescent="0.25">
      <c r="A815" s="36">
        <v>43692.582858796297</v>
      </c>
      <c r="B815" s="3" t="s">
        <v>1021</v>
      </c>
      <c r="C815" s="12" t="s">
        <v>393</v>
      </c>
      <c r="D815" s="12">
        <v>0</v>
      </c>
      <c r="E815" s="12" t="s">
        <v>393</v>
      </c>
      <c r="F815" s="3" t="s">
        <v>1388</v>
      </c>
    </row>
    <row r="816" spans="1:6" x14ac:dyDescent="0.25">
      <c r="A816" s="36">
        <v>43692.582858796297</v>
      </c>
      <c r="B816" s="3" t="s">
        <v>1223</v>
      </c>
      <c r="C816" s="12" t="s">
        <v>1147</v>
      </c>
      <c r="D816" s="12">
        <v>0</v>
      </c>
      <c r="E816" s="12">
        <v>3</v>
      </c>
      <c r="F816" s="3" t="s">
        <v>1388</v>
      </c>
    </row>
    <row r="817" spans="1:6" x14ac:dyDescent="0.25">
      <c r="A817" s="36">
        <v>43692.582858796297</v>
      </c>
      <c r="B817" s="3" t="s">
        <v>1214</v>
      </c>
      <c r="C817" s="12" t="s">
        <v>1144</v>
      </c>
      <c r="D817" s="12">
        <v>0</v>
      </c>
      <c r="E817" s="12">
        <v>2</v>
      </c>
      <c r="F817" s="3" t="s">
        <v>1388</v>
      </c>
    </row>
    <row r="818" spans="1:6" x14ac:dyDescent="0.25">
      <c r="A818" s="36">
        <v>43692.582870370374</v>
      </c>
      <c r="B818" s="3" t="s">
        <v>1386</v>
      </c>
      <c r="C818" s="12" t="s">
        <v>338</v>
      </c>
      <c r="D818" s="12">
        <v>0</v>
      </c>
      <c r="E818" s="12" t="s">
        <v>338</v>
      </c>
      <c r="F818" s="3" t="s">
        <v>1388</v>
      </c>
    </row>
    <row r="819" spans="1:6" x14ac:dyDescent="0.25">
      <c r="A819" s="36">
        <v>43692.582870370374</v>
      </c>
      <c r="B819" s="3" t="s">
        <v>1192</v>
      </c>
      <c r="C819" s="12" t="s">
        <v>338</v>
      </c>
      <c r="D819" s="12" t="s">
        <v>307</v>
      </c>
      <c r="E819" s="12" t="s">
        <v>338</v>
      </c>
      <c r="F819" s="3" t="s">
        <v>1388</v>
      </c>
    </row>
    <row r="820" spans="1:6" x14ac:dyDescent="0.25">
      <c r="A820" s="36">
        <v>43692.582870370374</v>
      </c>
      <c r="B820" s="3" t="s">
        <v>1197</v>
      </c>
      <c r="C820" s="12" t="s">
        <v>338</v>
      </c>
      <c r="D820" s="12" t="s">
        <v>307</v>
      </c>
      <c r="E820" s="12" t="s">
        <v>338</v>
      </c>
      <c r="F820" s="3" t="s">
        <v>1388</v>
      </c>
    </row>
    <row r="821" spans="1:6" x14ac:dyDescent="0.25">
      <c r="A821" s="36">
        <v>43692.582870370374</v>
      </c>
      <c r="B821" s="3" t="s">
        <v>1155</v>
      </c>
      <c r="C821" s="12" t="s">
        <v>338</v>
      </c>
      <c r="D821" s="12">
        <v>0</v>
      </c>
      <c r="E821" s="12">
        <v>1</v>
      </c>
      <c r="F821" s="3" t="s">
        <v>1388</v>
      </c>
    </row>
    <row r="822" spans="1:6" x14ac:dyDescent="0.25">
      <c r="A822" s="36">
        <v>43692.582870370374</v>
      </c>
      <c r="B822" s="3" t="s">
        <v>1249</v>
      </c>
      <c r="C822" s="12" t="s">
        <v>338</v>
      </c>
      <c r="D822" s="12">
        <v>0</v>
      </c>
      <c r="E822" s="12">
        <v>1</v>
      </c>
      <c r="F822" s="3" t="s">
        <v>1388</v>
      </c>
    </row>
    <row r="823" spans="1:6" x14ac:dyDescent="0.25">
      <c r="A823" s="36">
        <v>43692.582870370374</v>
      </c>
      <c r="B823" s="3" t="s">
        <v>1163</v>
      </c>
      <c r="C823" s="12" t="s">
        <v>338</v>
      </c>
      <c r="D823" s="12">
        <v>0</v>
      </c>
      <c r="E823" s="12">
        <v>1</v>
      </c>
      <c r="F823" s="3" t="s">
        <v>1388</v>
      </c>
    </row>
    <row r="824" spans="1:6" x14ac:dyDescent="0.25">
      <c r="A824" s="36">
        <v>43692.582870370374</v>
      </c>
      <c r="B824" s="3" t="s">
        <v>1160</v>
      </c>
      <c r="C824" s="12" t="s">
        <v>338</v>
      </c>
      <c r="D824" s="12">
        <v>0</v>
      </c>
      <c r="E824" s="12">
        <v>1</v>
      </c>
      <c r="F824" s="3" t="s">
        <v>1388</v>
      </c>
    </row>
    <row r="825" spans="1:6" x14ac:dyDescent="0.25">
      <c r="A825" s="36">
        <v>43692.582870370374</v>
      </c>
      <c r="B825" s="3" t="s">
        <v>1252</v>
      </c>
      <c r="C825" s="12" t="s">
        <v>338</v>
      </c>
      <c r="D825" s="12">
        <v>0</v>
      </c>
      <c r="E825" s="12">
        <v>1</v>
      </c>
      <c r="F825" s="3" t="s">
        <v>1388</v>
      </c>
    </row>
    <row r="826" spans="1:6" x14ac:dyDescent="0.25">
      <c r="A826" s="36">
        <v>43692.585138888891</v>
      </c>
      <c r="B826" s="3" t="s">
        <v>1129</v>
      </c>
      <c r="C826" s="12" t="s">
        <v>392</v>
      </c>
      <c r="D826" s="12">
        <v>0</v>
      </c>
      <c r="E826" s="12">
        <v>5</v>
      </c>
      <c r="F826" s="3" t="s">
        <v>1140</v>
      </c>
    </row>
    <row r="827" spans="1:6" x14ac:dyDescent="0.25">
      <c r="A827" s="36">
        <v>43692.585243055553</v>
      </c>
      <c r="B827" s="3" t="s">
        <v>1139</v>
      </c>
      <c r="C827" s="12" t="s">
        <v>392</v>
      </c>
      <c r="D827" s="12">
        <v>0</v>
      </c>
      <c r="E827" s="12">
        <v>5</v>
      </c>
      <c r="F827" s="3" t="s">
        <v>1140</v>
      </c>
    </row>
    <row r="828" spans="1:6" x14ac:dyDescent="0.25">
      <c r="A828" s="36">
        <v>43692.585590277777</v>
      </c>
      <c r="B828" s="3" t="s">
        <v>1390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1390</v>
      </c>
      <c r="C829" s="12" t="s">
        <v>392</v>
      </c>
      <c r="D829" s="12">
        <v>0</v>
      </c>
      <c r="E829" s="12">
        <v>5</v>
      </c>
      <c r="F829" s="3" t="s">
        <v>1140</v>
      </c>
    </row>
    <row r="830" spans="1:6" x14ac:dyDescent="0.25">
      <c r="A830" s="36">
        <v>43692.586226851854</v>
      </c>
      <c r="B830" s="3" t="s">
        <v>1391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1393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1391</v>
      </c>
      <c r="C832" s="12">
        <v>1</v>
      </c>
      <c r="D832" s="12">
        <v>5</v>
      </c>
      <c r="E832" s="12">
        <v>4</v>
      </c>
      <c r="F832" s="3" t="s">
        <v>1135</v>
      </c>
    </row>
    <row r="833" spans="1:6" x14ac:dyDescent="0.25">
      <c r="A833" s="36">
        <v>43692.594039351854</v>
      </c>
      <c r="B833" s="3" t="s">
        <v>1103</v>
      </c>
      <c r="C833" s="12">
        <v>19</v>
      </c>
      <c r="D833" s="12">
        <v>50</v>
      </c>
      <c r="E833" s="12">
        <v>31</v>
      </c>
      <c r="F833" s="3" t="s">
        <v>1135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1135</v>
      </c>
    </row>
    <row r="835" spans="1:6" x14ac:dyDescent="0.25">
      <c r="A835" s="36">
        <v>43692.594039351854</v>
      </c>
      <c r="B835" s="3" t="s">
        <v>1185</v>
      </c>
      <c r="C835" s="12">
        <v>2</v>
      </c>
      <c r="D835" s="12">
        <v>4</v>
      </c>
      <c r="E835" s="12">
        <v>2</v>
      </c>
      <c r="F835" s="3" t="s">
        <v>1135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1135</v>
      </c>
    </row>
    <row r="837" spans="1:6" x14ac:dyDescent="0.25">
      <c r="A837" s="36">
        <v>43692.594039351854</v>
      </c>
      <c r="B837" s="3" t="s">
        <v>1152</v>
      </c>
      <c r="C837" s="12">
        <v>1</v>
      </c>
      <c r="D837" s="12">
        <v>10</v>
      </c>
      <c r="E837" s="12">
        <v>9</v>
      </c>
      <c r="F837" s="3" t="s">
        <v>1135</v>
      </c>
    </row>
    <row r="838" spans="1:6" x14ac:dyDescent="0.25">
      <c r="A838" s="36">
        <v>43692.594039351854</v>
      </c>
      <c r="B838" s="3" t="s">
        <v>1054</v>
      </c>
      <c r="C838" s="12">
        <v>7</v>
      </c>
      <c r="D838" s="12">
        <v>100</v>
      </c>
      <c r="E838" s="12">
        <v>93</v>
      </c>
      <c r="F838" s="3" t="s">
        <v>1135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1135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1135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1135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1135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1135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1135</v>
      </c>
    </row>
    <row r="845" spans="1:6" x14ac:dyDescent="0.25">
      <c r="A845" s="36">
        <v>43692.594039351854</v>
      </c>
      <c r="B845" s="3" t="s">
        <v>1015</v>
      </c>
      <c r="C845" s="12">
        <v>1</v>
      </c>
      <c r="D845" s="12">
        <v>10</v>
      </c>
      <c r="E845" s="12">
        <v>9</v>
      </c>
      <c r="F845" s="3" t="s">
        <v>1135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1135</v>
      </c>
    </row>
    <row r="847" spans="1:6" x14ac:dyDescent="0.25">
      <c r="A847" s="36">
        <v>43692.594050925924</v>
      </c>
      <c r="B847" s="3" t="s">
        <v>1024</v>
      </c>
      <c r="C847" s="12">
        <v>2</v>
      </c>
      <c r="D847" s="12">
        <v>10</v>
      </c>
      <c r="E847" s="12">
        <v>8</v>
      </c>
      <c r="F847" s="3" t="s">
        <v>1135</v>
      </c>
    </row>
    <row r="848" spans="1:6" x14ac:dyDescent="0.25">
      <c r="A848" s="36">
        <v>43692.594050925924</v>
      </c>
      <c r="B848" s="3" t="s">
        <v>1018</v>
      </c>
      <c r="C848" s="12">
        <v>1</v>
      </c>
      <c r="D848" s="12">
        <v>10</v>
      </c>
      <c r="E848" s="12">
        <v>9</v>
      </c>
      <c r="F848" s="3" t="s">
        <v>1135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1135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1135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1135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1135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1135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1135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1135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1135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1135</v>
      </c>
    </row>
    <row r="858" spans="1:6" x14ac:dyDescent="0.25">
      <c r="A858" s="36">
        <v>43692.594050925924</v>
      </c>
      <c r="B858" s="3" t="s">
        <v>1124</v>
      </c>
      <c r="C858" s="12">
        <v>1</v>
      </c>
      <c r="D858" s="12">
        <v>3</v>
      </c>
      <c r="E858" s="12">
        <v>2</v>
      </c>
      <c r="F858" s="3" t="s">
        <v>1135</v>
      </c>
    </row>
    <row r="859" spans="1:6" x14ac:dyDescent="0.25">
      <c r="A859" s="36">
        <v>43692.594050925924</v>
      </c>
      <c r="B859" s="3" t="s">
        <v>1116</v>
      </c>
      <c r="C859" s="12">
        <v>1</v>
      </c>
      <c r="D859" s="12">
        <v>3</v>
      </c>
      <c r="E859" s="12">
        <v>2</v>
      </c>
      <c r="F859" s="3" t="s">
        <v>1135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1135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1135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1135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1135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1397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1397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1398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1399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1400</v>
      </c>
    </row>
    <row r="869" spans="1:6" x14ac:dyDescent="0.25">
      <c r="A869" s="36">
        <v>43692.59952546296</v>
      </c>
      <c r="B869" s="3" t="s">
        <v>35</v>
      </c>
      <c r="C869" s="12" t="s">
        <v>1144</v>
      </c>
      <c r="D869" s="12">
        <v>0</v>
      </c>
      <c r="E869" s="12">
        <v>2</v>
      </c>
      <c r="F869" s="3" t="s">
        <v>1400</v>
      </c>
    </row>
    <row r="870" spans="1:6" x14ac:dyDescent="0.25">
      <c r="A870" s="36">
        <v>43692.612337962964</v>
      </c>
      <c r="B870" s="3" t="s">
        <v>1172</v>
      </c>
      <c r="C870" s="12">
        <v>4</v>
      </c>
      <c r="D870" s="12">
        <v>10</v>
      </c>
      <c r="E870" s="12">
        <v>6</v>
      </c>
      <c r="F870" s="3" t="s">
        <v>1184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1184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1184</v>
      </c>
    </row>
    <row r="873" spans="1:6" x14ac:dyDescent="0.25">
      <c r="A873" s="36">
        <v>43692.612337962964</v>
      </c>
      <c r="B873" s="3" t="s">
        <v>1152</v>
      </c>
      <c r="C873" s="12">
        <v>1</v>
      </c>
      <c r="D873" s="12">
        <v>9</v>
      </c>
      <c r="E873" s="12">
        <v>8</v>
      </c>
      <c r="F873" s="3" t="s">
        <v>1184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1184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1184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1184</v>
      </c>
    </row>
    <row r="877" spans="1:6" x14ac:dyDescent="0.25">
      <c r="A877" s="36">
        <v>43692.612337962964</v>
      </c>
      <c r="B877" s="3" t="s">
        <v>1238</v>
      </c>
      <c r="C877" s="12">
        <v>1</v>
      </c>
      <c r="D877" s="12">
        <v>5</v>
      </c>
      <c r="E877" s="12">
        <v>4</v>
      </c>
      <c r="F877" s="3" t="s">
        <v>1184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1184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1184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1184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1184</v>
      </c>
    </row>
    <row r="882" spans="1:6" x14ac:dyDescent="0.25">
      <c r="A882" s="36">
        <v>43692.612349537034</v>
      </c>
      <c r="B882" s="3" t="s">
        <v>1217</v>
      </c>
      <c r="C882" s="12">
        <v>2</v>
      </c>
      <c r="D882" s="12">
        <v>10</v>
      </c>
      <c r="E882" s="12">
        <v>8</v>
      </c>
      <c r="F882" s="3" t="s">
        <v>1184</v>
      </c>
    </row>
    <row r="883" spans="1:6" x14ac:dyDescent="0.25">
      <c r="A883" s="36">
        <v>43692.612349537034</v>
      </c>
      <c r="B883" s="3" t="s">
        <v>1012</v>
      </c>
      <c r="C883" s="12">
        <v>1</v>
      </c>
      <c r="D883" s="12">
        <v>9</v>
      </c>
      <c r="E883" s="12">
        <v>8</v>
      </c>
      <c r="F883" s="3" t="s">
        <v>1184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1184</v>
      </c>
    </row>
    <row r="885" spans="1:6" x14ac:dyDescent="0.25">
      <c r="A885" s="36">
        <v>43692.612349537034</v>
      </c>
      <c r="B885" s="3" t="s">
        <v>1006</v>
      </c>
      <c r="C885" s="12">
        <v>2</v>
      </c>
      <c r="D885" s="12">
        <v>9</v>
      </c>
      <c r="E885" s="12">
        <v>7</v>
      </c>
      <c r="F885" s="3" t="s">
        <v>1184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1184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1184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1184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1184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1184</v>
      </c>
    </row>
    <row r="891" spans="1:6" x14ac:dyDescent="0.25">
      <c r="A891" s="36">
        <v>43692.612349537034</v>
      </c>
      <c r="B891" s="3" t="s">
        <v>1021</v>
      </c>
      <c r="C891" s="12">
        <v>1</v>
      </c>
      <c r="D891" s="12">
        <v>10</v>
      </c>
      <c r="E891" s="12">
        <v>9</v>
      </c>
      <c r="F891" s="3" t="s">
        <v>1184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1184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1184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1184</v>
      </c>
    </row>
    <row r="895" spans="1:6" x14ac:dyDescent="0.25">
      <c r="A895" s="36">
        <v>43692.612361111111</v>
      </c>
      <c r="B895" s="3" t="s">
        <v>1223</v>
      </c>
      <c r="C895" s="12">
        <v>1</v>
      </c>
      <c r="D895" s="12">
        <v>3</v>
      </c>
      <c r="E895" s="12">
        <v>2</v>
      </c>
      <c r="F895" s="3" t="s">
        <v>1184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1184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1184</v>
      </c>
    </row>
    <row r="898" spans="1:6" x14ac:dyDescent="0.25">
      <c r="A898" s="36">
        <v>43692.613125000003</v>
      </c>
      <c r="B898" s="3" t="s">
        <v>1390</v>
      </c>
      <c r="C898" s="12">
        <v>-1</v>
      </c>
      <c r="D898" s="12">
        <v>5</v>
      </c>
      <c r="E898" s="12">
        <v>4</v>
      </c>
      <c r="F898" s="3" t="s">
        <v>1184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1207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1207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1207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1207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1207</v>
      </c>
    </row>
    <row r="904" spans="1:6" x14ac:dyDescent="0.25">
      <c r="A904" s="36">
        <v>43692.613819444443</v>
      </c>
      <c r="B904" s="3" t="s">
        <v>1214</v>
      </c>
      <c r="C904" s="12">
        <v>1</v>
      </c>
      <c r="D904" s="12">
        <v>2</v>
      </c>
      <c r="E904" s="12">
        <v>1</v>
      </c>
      <c r="F904" s="3" t="s">
        <v>1207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1207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1207</v>
      </c>
    </row>
    <row r="907" spans="1:6" x14ac:dyDescent="0.25">
      <c r="A907" s="36">
        <v>43692.61383101852</v>
      </c>
      <c r="B907" s="3" t="s">
        <v>1098</v>
      </c>
      <c r="C907" s="12">
        <v>0.63888888888888884</v>
      </c>
      <c r="D907" s="12">
        <v>2</v>
      </c>
      <c r="E907" s="12">
        <v>1.3611111111111112</v>
      </c>
      <c r="F907" s="3" t="s">
        <v>1207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1145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1386</v>
      </c>
      <c r="C914" s="12">
        <v>-1</v>
      </c>
      <c r="D914" s="12">
        <v>1</v>
      </c>
      <c r="E914" s="12" t="s">
        <v>307</v>
      </c>
      <c r="F914" s="3" t="s">
        <v>1145</v>
      </c>
    </row>
    <row r="915" spans="1:6" x14ac:dyDescent="0.25">
      <c r="A915" s="36">
        <v>43692.622754629629</v>
      </c>
      <c r="B915" s="3" t="s">
        <v>1124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1223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1116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1214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1238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1418</v>
      </c>
      <c r="F927" s="3" t="s">
        <v>1145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1021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1021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1389</v>
      </c>
      <c r="F934" s="3" t="s">
        <v>1145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1145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1012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1009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1006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1083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1018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1024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1015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1152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1140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1140</v>
      </c>
    </row>
    <row r="957" spans="1:6" x14ac:dyDescent="0.25">
      <c r="A957" s="36">
        <v>43692.652268518519</v>
      </c>
      <c r="B957" s="3" t="s">
        <v>1441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1447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1018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1452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1453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1103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1103</v>
      </c>
      <c r="C970" s="12">
        <v>16</v>
      </c>
      <c r="D970" s="12">
        <v>31</v>
      </c>
      <c r="E970" s="12" t="s">
        <v>1646</v>
      </c>
      <c r="F970" s="3" t="s">
        <v>1145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1389</v>
      </c>
      <c r="F971" s="3" t="s">
        <v>1145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1103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1085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1088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1658</v>
      </c>
      <c r="F997" s="3" t="s">
        <v>1145</v>
      </c>
    </row>
    <row r="998" spans="1:6" x14ac:dyDescent="0.25">
      <c r="A998" s="36">
        <v>43693.704259259262</v>
      </c>
      <c r="B998" s="3" t="s">
        <v>1098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1182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1172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1185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1339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1342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1145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1147</v>
      </c>
      <c r="F1010" s="3" t="s">
        <v>1145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1686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1689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1692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1695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1708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2186</v>
      </c>
    </row>
    <row r="1018" spans="1:6" x14ac:dyDescent="0.25">
      <c r="A1018" s="36">
        <v>43696.796851851854</v>
      </c>
      <c r="B1018" s="3" t="s">
        <v>1714</v>
      </c>
      <c r="C1018" s="12" t="s">
        <v>307</v>
      </c>
      <c r="D1018" s="12">
        <v>0</v>
      </c>
      <c r="E1018" s="12" t="s">
        <v>307</v>
      </c>
      <c r="F1018" s="3" t="s">
        <v>2186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2186</v>
      </c>
    </row>
    <row r="1020" spans="1:6" x14ac:dyDescent="0.25">
      <c r="A1020" s="36">
        <v>43696.796851851854</v>
      </c>
      <c r="B1020" s="3" t="s">
        <v>1717</v>
      </c>
      <c r="C1020" s="12" t="s">
        <v>307</v>
      </c>
      <c r="D1020" s="12">
        <v>0</v>
      </c>
      <c r="E1020" s="12" t="s">
        <v>307</v>
      </c>
      <c r="F1020" s="3" t="s">
        <v>2186</v>
      </c>
    </row>
    <row r="1021" spans="1:6" x14ac:dyDescent="0.25">
      <c r="A1021" s="36">
        <v>43696.796851851854</v>
      </c>
      <c r="B1021" s="3" t="s">
        <v>1720</v>
      </c>
      <c r="C1021" s="12" t="s">
        <v>307</v>
      </c>
      <c r="D1021" s="12">
        <v>0</v>
      </c>
      <c r="E1021" s="12" t="s">
        <v>307</v>
      </c>
      <c r="F1021" s="3" t="s">
        <v>2186</v>
      </c>
    </row>
    <row r="1022" spans="1:6" x14ac:dyDescent="0.25">
      <c r="A1022" s="36">
        <v>43696.796851851854</v>
      </c>
      <c r="B1022" s="3" t="s">
        <v>1723</v>
      </c>
      <c r="C1022" s="12" t="s">
        <v>307</v>
      </c>
      <c r="D1022" s="12">
        <v>0</v>
      </c>
      <c r="E1022" s="12" t="s">
        <v>307</v>
      </c>
      <c r="F1022" s="3" t="s">
        <v>2186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2186</v>
      </c>
    </row>
    <row r="1024" spans="1:6" x14ac:dyDescent="0.25">
      <c r="A1024" s="36">
        <v>43696.796851851854</v>
      </c>
      <c r="B1024" s="3" t="s">
        <v>1726</v>
      </c>
      <c r="C1024" s="12" t="s">
        <v>307</v>
      </c>
      <c r="D1024" s="12">
        <v>0</v>
      </c>
      <c r="E1024" s="12" t="s">
        <v>307</v>
      </c>
      <c r="F1024" s="3" t="s">
        <v>2186</v>
      </c>
    </row>
    <row r="1025" spans="1:6" x14ac:dyDescent="0.25">
      <c r="A1025" s="36">
        <v>43696.796863425923</v>
      </c>
      <c r="B1025" s="3" t="s">
        <v>1729</v>
      </c>
      <c r="C1025" s="12" t="s">
        <v>307</v>
      </c>
      <c r="D1025" s="12">
        <v>0</v>
      </c>
      <c r="E1025" s="12" t="s">
        <v>307</v>
      </c>
      <c r="F1025" s="3" t="s">
        <v>2186</v>
      </c>
    </row>
    <row r="1026" spans="1:6" x14ac:dyDescent="0.25">
      <c r="A1026" s="36">
        <v>43696.796863425923</v>
      </c>
      <c r="B1026" s="3" t="s">
        <v>1732</v>
      </c>
      <c r="C1026" s="12" t="s">
        <v>307</v>
      </c>
      <c r="D1026" s="12">
        <v>0</v>
      </c>
      <c r="E1026" s="12" t="s">
        <v>307</v>
      </c>
      <c r="F1026" s="3" t="s">
        <v>2186</v>
      </c>
    </row>
    <row r="1027" spans="1:6" x14ac:dyDescent="0.25">
      <c r="A1027" s="36">
        <v>43696.796863425923</v>
      </c>
      <c r="B1027" s="3" t="s">
        <v>1735</v>
      </c>
      <c r="C1027" s="12" t="s">
        <v>307</v>
      </c>
      <c r="D1027" s="12">
        <v>0</v>
      </c>
      <c r="E1027" s="12" t="s">
        <v>307</v>
      </c>
      <c r="F1027" s="3" t="s">
        <v>2186</v>
      </c>
    </row>
    <row r="1028" spans="1:6" x14ac:dyDescent="0.25">
      <c r="A1028" s="36">
        <v>43696.796863425923</v>
      </c>
      <c r="B1028" s="3" t="s">
        <v>1738</v>
      </c>
      <c r="C1028" s="12" t="s">
        <v>307</v>
      </c>
      <c r="D1028" s="12">
        <v>0</v>
      </c>
      <c r="E1028" s="12" t="s">
        <v>307</v>
      </c>
      <c r="F1028" s="3" t="s">
        <v>2186</v>
      </c>
    </row>
    <row r="1029" spans="1:6" x14ac:dyDescent="0.25">
      <c r="A1029" s="36">
        <v>43696.796875</v>
      </c>
      <c r="B1029" s="3" t="s">
        <v>1741</v>
      </c>
      <c r="C1029" s="12" t="s">
        <v>307</v>
      </c>
      <c r="D1029" s="12">
        <v>0</v>
      </c>
      <c r="E1029" s="12" t="s">
        <v>307</v>
      </c>
      <c r="F1029" s="3" t="s">
        <v>2186</v>
      </c>
    </row>
    <row r="1030" spans="1:6" x14ac:dyDescent="0.25">
      <c r="A1030" s="36">
        <v>43696.796875</v>
      </c>
      <c r="B1030" s="3" t="s">
        <v>1744</v>
      </c>
      <c r="C1030" s="12" t="s">
        <v>307</v>
      </c>
      <c r="D1030" s="12">
        <v>0</v>
      </c>
      <c r="E1030" s="12" t="s">
        <v>307</v>
      </c>
      <c r="F1030" s="3" t="s">
        <v>2186</v>
      </c>
    </row>
    <row r="1031" spans="1:6" x14ac:dyDescent="0.25">
      <c r="A1031" s="36">
        <v>43696.796875</v>
      </c>
      <c r="B1031" s="3" t="s">
        <v>1747</v>
      </c>
      <c r="C1031" s="12" t="s">
        <v>307</v>
      </c>
      <c r="D1031" s="12">
        <v>0</v>
      </c>
      <c r="E1031" s="12" t="s">
        <v>307</v>
      </c>
      <c r="F1031" s="3" t="s">
        <v>2186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2186</v>
      </c>
    </row>
    <row r="1033" spans="1:6" x14ac:dyDescent="0.25">
      <c r="A1033" s="36">
        <v>43696.796875</v>
      </c>
      <c r="B1033" s="3" t="s">
        <v>1750</v>
      </c>
      <c r="C1033" s="12" t="s">
        <v>307</v>
      </c>
      <c r="D1033" s="12">
        <v>0</v>
      </c>
      <c r="E1033" s="12" t="s">
        <v>307</v>
      </c>
      <c r="F1033" s="3" t="s">
        <v>2186</v>
      </c>
    </row>
    <row r="1034" spans="1:6" x14ac:dyDescent="0.25">
      <c r="A1034" s="36">
        <v>43696.796875</v>
      </c>
      <c r="B1034" s="3" t="s">
        <v>1753</v>
      </c>
      <c r="C1034" s="12" t="s">
        <v>307</v>
      </c>
      <c r="D1034" s="12">
        <v>0</v>
      </c>
      <c r="E1034" s="12" t="s">
        <v>307</v>
      </c>
      <c r="F1034" s="3" t="s">
        <v>2186</v>
      </c>
    </row>
    <row r="1035" spans="1:6" x14ac:dyDescent="0.25">
      <c r="A1035" s="36">
        <v>43696.796886574077</v>
      </c>
      <c r="B1035" s="3" t="s">
        <v>1756</v>
      </c>
      <c r="C1035" s="12" t="s">
        <v>307</v>
      </c>
      <c r="D1035" s="12">
        <v>0</v>
      </c>
      <c r="E1035" s="12" t="s">
        <v>307</v>
      </c>
      <c r="F1035" s="3" t="s">
        <v>2186</v>
      </c>
    </row>
    <row r="1036" spans="1:6" x14ac:dyDescent="0.25">
      <c r="A1036" s="36">
        <v>43696.796886574077</v>
      </c>
      <c r="B1036" s="3" t="s">
        <v>1759</v>
      </c>
      <c r="C1036" s="12" t="s">
        <v>307</v>
      </c>
      <c r="D1036" s="12">
        <v>0</v>
      </c>
      <c r="E1036" s="12" t="s">
        <v>307</v>
      </c>
      <c r="F1036" s="3" t="s">
        <v>2186</v>
      </c>
    </row>
    <row r="1037" spans="1:6" x14ac:dyDescent="0.25">
      <c r="A1037" s="36">
        <v>43696.796886574077</v>
      </c>
      <c r="B1037" s="3" t="s">
        <v>1762</v>
      </c>
      <c r="C1037" s="12" t="s">
        <v>307</v>
      </c>
      <c r="D1037" s="12">
        <v>0</v>
      </c>
      <c r="E1037" s="12" t="s">
        <v>307</v>
      </c>
      <c r="F1037" s="3" t="s">
        <v>2186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2186</v>
      </c>
    </row>
    <row r="1039" spans="1:6" x14ac:dyDescent="0.25">
      <c r="A1039" s="36">
        <v>43696.796886574077</v>
      </c>
      <c r="B1039" s="3" t="s">
        <v>1765</v>
      </c>
      <c r="C1039" s="12" t="s">
        <v>307</v>
      </c>
      <c r="D1039" s="12">
        <v>0</v>
      </c>
      <c r="E1039" s="12" t="s">
        <v>307</v>
      </c>
      <c r="F1039" s="3" t="s">
        <v>2186</v>
      </c>
    </row>
    <row r="1040" spans="1:6" x14ac:dyDescent="0.25">
      <c r="A1040" s="36">
        <v>43696.796886574077</v>
      </c>
      <c r="B1040" s="3" t="s">
        <v>1768</v>
      </c>
      <c r="C1040" s="12" t="s">
        <v>307</v>
      </c>
      <c r="D1040" s="12">
        <v>0</v>
      </c>
      <c r="E1040" s="12" t="s">
        <v>307</v>
      </c>
      <c r="F1040" s="3" t="s">
        <v>2186</v>
      </c>
    </row>
    <row r="1041" spans="1:6" x14ac:dyDescent="0.25">
      <c r="A1041" s="36">
        <v>43696.796898148146</v>
      </c>
      <c r="B1041" s="3" t="s">
        <v>1771</v>
      </c>
      <c r="C1041" s="12" t="s">
        <v>307</v>
      </c>
      <c r="D1041" s="12">
        <v>0</v>
      </c>
      <c r="E1041" s="12" t="s">
        <v>307</v>
      </c>
      <c r="F1041" s="3" t="s">
        <v>2186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2186</v>
      </c>
    </row>
    <row r="1043" spans="1:6" x14ac:dyDescent="0.25">
      <c r="A1043" s="36">
        <v>43696.796898148146</v>
      </c>
      <c r="B1043" s="3" t="s">
        <v>1774</v>
      </c>
      <c r="C1043" s="12" t="s">
        <v>307</v>
      </c>
      <c r="D1043" s="12">
        <v>0</v>
      </c>
      <c r="E1043" s="12" t="s">
        <v>307</v>
      </c>
      <c r="F1043" s="3" t="s">
        <v>2186</v>
      </c>
    </row>
    <row r="1044" spans="1:6" x14ac:dyDescent="0.25">
      <c r="A1044" s="36">
        <v>43696.796898148146</v>
      </c>
      <c r="B1044" s="3" t="s">
        <v>1777</v>
      </c>
      <c r="C1044" s="12" t="s">
        <v>307</v>
      </c>
      <c r="D1044" s="12">
        <v>0</v>
      </c>
      <c r="E1044" s="12" t="s">
        <v>307</v>
      </c>
      <c r="F1044" s="3" t="s">
        <v>2186</v>
      </c>
    </row>
    <row r="1045" spans="1:6" x14ac:dyDescent="0.25">
      <c r="A1045" s="36">
        <v>43696.796898148146</v>
      </c>
      <c r="B1045" s="3" t="s">
        <v>1780</v>
      </c>
      <c r="C1045" s="12" t="s">
        <v>307</v>
      </c>
      <c r="D1045" s="12">
        <v>0</v>
      </c>
      <c r="E1045" s="12" t="s">
        <v>307</v>
      </c>
      <c r="F1045" s="3" t="s">
        <v>2186</v>
      </c>
    </row>
    <row r="1046" spans="1:6" x14ac:dyDescent="0.25">
      <c r="A1046" s="36">
        <v>43696.796909722223</v>
      </c>
      <c r="B1046" s="3" t="s">
        <v>1783</v>
      </c>
      <c r="C1046" s="12" t="s">
        <v>307</v>
      </c>
      <c r="D1046" s="12">
        <v>0</v>
      </c>
      <c r="E1046" s="12" t="s">
        <v>307</v>
      </c>
      <c r="F1046" s="3" t="s">
        <v>2186</v>
      </c>
    </row>
    <row r="1047" spans="1:6" x14ac:dyDescent="0.25">
      <c r="A1047" s="36">
        <v>43696.796909722223</v>
      </c>
      <c r="B1047" s="3" t="s">
        <v>1786</v>
      </c>
      <c r="C1047" s="12" t="s">
        <v>307</v>
      </c>
      <c r="D1047" s="12">
        <v>0</v>
      </c>
      <c r="E1047" s="12" t="s">
        <v>307</v>
      </c>
      <c r="F1047" s="3" t="s">
        <v>2186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2186</v>
      </c>
    </row>
    <row r="1049" spans="1:6" x14ac:dyDescent="0.25">
      <c r="A1049" s="36">
        <v>43696.796909722223</v>
      </c>
      <c r="B1049" s="3" t="s">
        <v>1790</v>
      </c>
      <c r="C1049" s="12" t="s">
        <v>307</v>
      </c>
      <c r="D1049" s="12">
        <v>0</v>
      </c>
      <c r="E1049" s="12" t="s">
        <v>307</v>
      </c>
      <c r="F1049" s="3" t="s">
        <v>2186</v>
      </c>
    </row>
    <row r="1050" spans="1:6" x14ac:dyDescent="0.25">
      <c r="A1050" s="36">
        <v>43696.796909722223</v>
      </c>
      <c r="B1050" s="3" t="s">
        <v>1794</v>
      </c>
      <c r="C1050" s="12" t="s">
        <v>307</v>
      </c>
      <c r="D1050" s="12">
        <v>0</v>
      </c>
      <c r="E1050" s="12" t="s">
        <v>307</v>
      </c>
      <c r="F1050" s="3" t="s">
        <v>2186</v>
      </c>
    </row>
    <row r="1051" spans="1:6" x14ac:dyDescent="0.25">
      <c r="A1051" s="36">
        <v>43696.796909722223</v>
      </c>
      <c r="B1051" s="3" t="s">
        <v>1797</v>
      </c>
      <c r="C1051" s="12" t="s">
        <v>307</v>
      </c>
      <c r="D1051" s="12">
        <v>0</v>
      </c>
      <c r="E1051" s="12" t="s">
        <v>307</v>
      </c>
      <c r="F1051" s="3" t="s">
        <v>2186</v>
      </c>
    </row>
    <row r="1052" spans="1:6" x14ac:dyDescent="0.25">
      <c r="A1052" s="36">
        <v>43696.7969212963</v>
      </c>
      <c r="B1052" s="3" t="s">
        <v>1800</v>
      </c>
      <c r="C1052" s="12" t="s">
        <v>307</v>
      </c>
      <c r="D1052" s="12">
        <v>0</v>
      </c>
      <c r="E1052" s="12" t="s">
        <v>307</v>
      </c>
      <c r="F1052" s="3" t="s">
        <v>2186</v>
      </c>
    </row>
    <row r="1053" spans="1:6" x14ac:dyDescent="0.25">
      <c r="A1053" s="36">
        <v>43696.7969212963</v>
      </c>
      <c r="B1053" s="3" t="s">
        <v>1006</v>
      </c>
      <c r="C1053" s="12" t="s">
        <v>307</v>
      </c>
      <c r="D1053" s="12">
        <v>7</v>
      </c>
      <c r="E1053" s="12">
        <v>7</v>
      </c>
      <c r="F1053" s="3" t="s">
        <v>2186</v>
      </c>
    </row>
    <row r="1054" spans="1:6" x14ac:dyDescent="0.25">
      <c r="A1054" s="36">
        <v>43696.7969212963</v>
      </c>
      <c r="B1054" s="3" t="s">
        <v>1803</v>
      </c>
      <c r="C1054" s="12" t="s">
        <v>307</v>
      </c>
      <c r="D1054" s="12">
        <v>0</v>
      </c>
      <c r="E1054" s="12" t="s">
        <v>307</v>
      </c>
      <c r="F1054" s="3" t="s">
        <v>2186</v>
      </c>
    </row>
    <row r="1055" spans="1:6" x14ac:dyDescent="0.25">
      <c r="A1055" s="36">
        <v>43696.7969212963</v>
      </c>
      <c r="B1055" s="3" t="s">
        <v>1806</v>
      </c>
      <c r="C1055" s="12" t="s">
        <v>307</v>
      </c>
      <c r="D1055" s="12">
        <v>0</v>
      </c>
      <c r="E1055" s="12" t="s">
        <v>307</v>
      </c>
      <c r="F1055" s="3" t="s">
        <v>2186</v>
      </c>
    </row>
    <row r="1056" spans="1:6" x14ac:dyDescent="0.25">
      <c r="A1056" s="36">
        <v>43696.7969212963</v>
      </c>
      <c r="B1056" s="3" t="s">
        <v>1809</v>
      </c>
      <c r="C1056" s="12" t="s">
        <v>307</v>
      </c>
      <c r="D1056" s="12">
        <v>0</v>
      </c>
      <c r="E1056" s="12" t="s">
        <v>307</v>
      </c>
      <c r="F1056" s="3" t="s">
        <v>2186</v>
      </c>
    </row>
    <row r="1057" spans="1:6" x14ac:dyDescent="0.25">
      <c r="A1057" s="36">
        <v>43696.796932870369</v>
      </c>
      <c r="B1057" s="3" t="s">
        <v>1812</v>
      </c>
      <c r="C1057" s="12" t="s">
        <v>307</v>
      </c>
      <c r="D1057" s="12">
        <v>0</v>
      </c>
      <c r="E1057" s="12" t="s">
        <v>307</v>
      </c>
      <c r="F1057" s="3" t="s">
        <v>2186</v>
      </c>
    </row>
    <row r="1058" spans="1:6" x14ac:dyDescent="0.25">
      <c r="A1058" s="36">
        <v>43696.796932870369</v>
      </c>
      <c r="B1058" s="3" t="s">
        <v>1815</v>
      </c>
      <c r="C1058" s="12" t="s">
        <v>307</v>
      </c>
      <c r="D1058" s="12">
        <v>0</v>
      </c>
      <c r="E1058" s="12" t="s">
        <v>307</v>
      </c>
      <c r="F1058" s="3" t="s">
        <v>2186</v>
      </c>
    </row>
    <row r="1059" spans="1:6" x14ac:dyDescent="0.25">
      <c r="A1059" s="36">
        <v>43696.796932870369</v>
      </c>
      <c r="B1059" s="3" t="s">
        <v>1818</v>
      </c>
      <c r="C1059" s="12" t="s">
        <v>307</v>
      </c>
      <c r="D1059" s="12">
        <v>0</v>
      </c>
      <c r="E1059" s="12" t="s">
        <v>307</v>
      </c>
      <c r="F1059" s="3" t="s">
        <v>2186</v>
      </c>
    </row>
    <row r="1060" spans="1:6" x14ac:dyDescent="0.25">
      <c r="A1060" s="36">
        <v>43696.796932870369</v>
      </c>
      <c r="B1060" s="3" t="s">
        <v>1821</v>
      </c>
      <c r="C1060" s="12" t="s">
        <v>307</v>
      </c>
      <c r="D1060" s="12">
        <v>0</v>
      </c>
      <c r="E1060" s="12" t="s">
        <v>307</v>
      </c>
      <c r="F1060" s="3" t="s">
        <v>2186</v>
      </c>
    </row>
    <row r="1061" spans="1:6" x14ac:dyDescent="0.25">
      <c r="A1061" s="36">
        <v>43696.796944444446</v>
      </c>
      <c r="B1061" s="3" t="s">
        <v>1824</v>
      </c>
      <c r="C1061" s="12" t="s">
        <v>307</v>
      </c>
      <c r="D1061" s="12">
        <v>0</v>
      </c>
      <c r="E1061" s="12" t="s">
        <v>307</v>
      </c>
      <c r="F1061" s="3" t="s">
        <v>2186</v>
      </c>
    </row>
    <row r="1062" spans="1:6" x14ac:dyDescent="0.25">
      <c r="A1062" s="36">
        <v>43696.796944444446</v>
      </c>
      <c r="B1062" s="3" t="s">
        <v>1827</v>
      </c>
      <c r="C1062" s="12" t="s">
        <v>307</v>
      </c>
      <c r="D1062" s="12">
        <v>0</v>
      </c>
      <c r="E1062" s="12" t="s">
        <v>307</v>
      </c>
      <c r="F1062" s="3" t="s">
        <v>2186</v>
      </c>
    </row>
    <row r="1063" spans="1:6" x14ac:dyDescent="0.25">
      <c r="A1063" s="36">
        <v>43696.796944444446</v>
      </c>
      <c r="B1063" s="3" t="s">
        <v>1830</v>
      </c>
      <c r="C1063" s="12" t="s">
        <v>307</v>
      </c>
      <c r="D1063" s="12">
        <v>0</v>
      </c>
      <c r="E1063" s="12" t="s">
        <v>307</v>
      </c>
      <c r="F1063" s="3" t="s">
        <v>2186</v>
      </c>
    </row>
    <row r="1064" spans="1:6" x14ac:dyDescent="0.25">
      <c r="A1064" s="36">
        <v>43696.796944444446</v>
      </c>
      <c r="B1064" s="3" t="s">
        <v>1833</v>
      </c>
      <c r="C1064" s="12" t="s">
        <v>307</v>
      </c>
      <c r="D1064" s="12">
        <v>0</v>
      </c>
      <c r="E1064" s="12" t="s">
        <v>307</v>
      </c>
      <c r="F1064" s="3" t="s">
        <v>2186</v>
      </c>
    </row>
    <row r="1065" spans="1:6" x14ac:dyDescent="0.25">
      <c r="A1065" s="36">
        <v>43696.796944444446</v>
      </c>
      <c r="B1065" s="3" t="s">
        <v>1836</v>
      </c>
      <c r="C1065" s="12" t="s">
        <v>307</v>
      </c>
      <c r="D1065" s="12">
        <v>0</v>
      </c>
      <c r="E1065" s="12" t="s">
        <v>307</v>
      </c>
      <c r="F1065" s="3" t="s">
        <v>2186</v>
      </c>
    </row>
    <row r="1066" spans="1:6" x14ac:dyDescent="0.25">
      <c r="A1066" s="36">
        <v>43696.796956018516</v>
      </c>
      <c r="B1066" s="3" t="s">
        <v>1839</v>
      </c>
      <c r="C1066" s="12" t="s">
        <v>307</v>
      </c>
      <c r="D1066" s="12">
        <v>0</v>
      </c>
      <c r="E1066" s="12" t="s">
        <v>307</v>
      </c>
      <c r="F1066" s="3" t="s">
        <v>2186</v>
      </c>
    </row>
    <row r="1067" spans="1:6" x14ac:dyDescent="0.25">
      <c r="A1067" s="36">
        <v>43696.796956018516</v>
      </c>
      <c r="B1067" s="3" t="s">
        <v>1842</v>
      </c>
      <c r="C1067" s="12" t="s">
        <v>307</v>
      </c>
      <c r="D1067" s="12">
        <v>0</v>
      </c>
      <c r="E1067" s="12" t="s">
        <v>307</v>
      </c>
      <c r="F1067" s="3" t="s">
        <v>2186</v>
      </c>
    </row>
    <row r="1068" spans="1:6" x14ac:dyDescent="0.25">
      <c r="A1068" s="36">
        <v>43696.796956018516</v>
      </c>
      <c r="B1068" s="3" t="s">
        <v>1845</v>
      </c>
      <c r="C1068" s="12" t="s">
        <v>307</v>
      </c>
      <c r="D1068" s="12">
        <v>0</v>
      </c>
      <c r="E1068" s="12" t="s">
        <v>307</v>
      </c>
      <c r="F1068" s="3" t="s">
        <v>2186</v>
      </c>
    </row>
    <row r="1069" spans="1:6" x14ac:dyDescent="0.25">
      <c r="A1069" s="36">
        <v>43696.796956018516</v>
      </c>
      <c r="B1069" s="3" t="s">
        <v>1848</v>
      </c>
      <c r="C1069" s="12" t="s">
        <v>307</v>
      </c>
      <c r="D1069" s="12">
        <v>0</v>
      </c>
      <c r="E1069" s="12" t="s">
        <v>307</v>
      </c>
      <c r="F1069" s="3" t="s">
        <v>2186</v>
      </c>
    </row>
    <row r="1070" spans="1:6" x14ac:dyDescent="0.25">
      <c r="A1070" s="36">
        <v>43696.796967592592</v>
      </c>
      <c r="B1070" s="3" t="s">
        <v>1851</v>
      </c>
      <c r="C1070" s="12" t="s">
        <v>307</v>
      </c>
      <c r="D1070" s="12">
        <v>0</v>
      </c>
      <c r="E1070" s="12" t="s">
        <v>307</v>
      </c>
      <c r="F1070" s="3" t="s">
        <v>2186</v>
      </c>
    </row>
    <row r="1071" spans="1:6" x14ac:dyDescent="0.25">
      <c r="A1071" s="36">
        <v>43696.796967592592</v>
      </c>
      <c r="B1071" s="3" t="s">
        <v>1854</v>
      </c>
      <c r="C1071" s="12" t="s">
        <v>307</v>
      </c>
      <c r="D1071" s="12">
        <v>0</v>
      </c>
      <c r="E1071" s="12" t="s">
        <v>307</v>
      </c>
      <c r="F1071" s="3" t="s">
        <v>2186</v>
      </c>
    </row>
    <row r="1072" spans="1:6" x14ac:dyDescent="0.25">
      <c r="A1072" s="36">
        <v>43696.796967592592</v>
      </c>
      <c r="B1072" s="3" t="s">
        <v>1857</v>
      </c>
      <c r="C1072" s="12" t="s">
        <v>307</v>
      </c>
      <c r="D1072" s="12">
        <v>0</v>
      </c>
      <c r="E1072" s="12" t="s">
        <v>307</v>
      </c>
      <c r="F1072" s="3" t="s">
        <v>2186</v>
      </c>
    </row>
    <row r="1073" spans="1:6" x14ac:dyDescent="0.25">
      <c r="A1073" s="36">
        <v>43696.796967592592</v>
      </c>
      <c r="B1073" s="3" t="s">
        <v>1861</v>
      </c>
      <c r="C1073" s="12" t="s">
        <v>307</v>
      </c>
      <c r="D1073" s="12">
        <v>0</v>
      </c>
      <c r="E1073" s="12" t="s">
        <v>307</v>
      </c>
      <c r="F1073" s="3" t="s">
        <v>2186</v>
      </c>
    </row>
    <row r="1074" spans="1:6" x14ac:dyDescent="0.25">
      <c r="A1074" s="36">
        <v>43696.796979166669</v>
      </c>
      <c r="B1074" s="3" t="s">
        <v>1864</v>
      </c>
      <c r="C1074" s="12" t="s">
        <v>307</v>
      </c>
      <c r="D1074" s="12">
        <v>0</v>
      </c>
      <c r="E1074" s="12" t="s">
        <v>307</v>
      </c>
      <c r="F1074" s="3" t="s">
        <v>2186</v>
      </c>
    </row>
    <row r="1075" spans="1:6" x14ac:dyDescent="0.25">
      <c r="A1075" s="36">
        <v>43696.796979166669</v>
      </c>
      <c r="B1075" s="3" t="s">
        <v>1867</v>
      </c>
      <c r="C1075" s="12" t="s">
        <v>307</v>
      </c>
      <c r="D1075" s="12">
        <v>0</v>
      </c>
      <c r="E1075" s="12" t="s">
        <v>307</v>
      </c>
      <c r="F1075" s="3" t="s">
        <v>2186</v>
      </c>
    </row>
    <row r="1076" spans="1:6" x14ac:dyDescent="0.25">
      <c r="A1076" s="36">
        <v>43696.796979166669</v>
      </c>
      <c r="B1076" s="3" t="s">
        <v>1870</v>
      </c>
      <c r="C1076" s="12" t="s">
        <v>307</v>
      </c>
      <c r="D1076" s="12">
        <v>0</v>
      </c>
      <c r="E1076" s="12" t="s">
        <v>307</v>
      </c>
      <c r="F1076" s="3" t="s">
        <v>2186</v>
      </c>
    </row>
    <row r="1077" spans="1:6" x14ac:dyDescent="0.25">
      <c r="A1077" s="36">
        <v>43696.796979166669</v>
      </c>
      <c r="B1077" s="3" t="s">
        <v>1873</v>
      </c>
      <c r="C1077" s="12" t="s">
        <v>307</v>
      </c>
      <c r="D1077" s="12">
        <v>0</v>
      </c>
      <c r="E1077" s="12" t="s">
        <v>307</v>
      </c>
      <c r="F1077" s="3" t="s">
        <v>2186</v>
      </c>
    </row>
    <row r="1078" spans="1:6" x14ac:dyDescent="0.25">
      <c r="A1078" s="36">
        <v>43696.796979166669</v>
      </c>
      <c r="B1078" s="3" t="s">
        <v>1876</v>
      </c>
      <c r="C1078" s="12" t="s">
        <v>307</v>
      </c>
      <c r="D1078" s="12">
        <v>0</v>
      </c>
      <c r="E1078" s="12" t="s">
        <v>307</v>
      </c>
      <c r="F1078" s="3" t="s">
        <v>2186</v>
      </c>
    </row>
    <row r="1079" spans="1:6" x14ac:dyDescent="0.25">
      <c r="A1079" s="36">
        <v>43696.796990740739</v>
      </c>
      <c r="B1079" s="3" t="s">
        <v>1879</v>
      </c>
      <c r="C1079" s="12" t="s">
        <v>307</v>
      </c>
      <c r="D1079" s="12">
        <v>0</v>
      </c>
      <c r="E1079" s="12" t="s">
        <v>307</v>
      </c>
      <c r="F1079" s="3" t="s">
        <v>2186</v>
      </c>
    </row>
    <row r="1080" spans="1:6" x14ac:dyDescent="0.25">
      <c r="A1080" s="36">
        <v>43696.796990740739</v>
      </c>
      <c r="B1080" s="3" t="s">
        <v>1882</v>
      </c>
      <c r="C1080" s="12" t="s">
        <v>307</v>
      </c>
      <c r="D1080" s="12">
        <v>0</v>
      </c>
      <c r="E1080" s="12" t="s">
        <v>307</v>
      </c>
      <c r="F1080" s="3" t="s">
        <v>2186</v>
      </c>
    </row>
    <row r="1081" spans="1:6" x14ac:dyDescent="0.25">
      <c r="A1081" s="36">
        <v>43696.796990740739</v>
      </c>
      <c r="B1081" s="3" t="s">
        <v>1885</v>
      </c>
      <c r="C1081" s="12" t="s">
        <v>307</v>
      </c>
      <c r="D1081" s="12">
        <v>0</v>
      </c>
      <c r="E1081" s="12" t="s">
        <v>307</v>
      </c>
      <c r="F1081" s="3" t="s">
        <v>2186</v>
      </c>
    </row>
    <row r="1082" spans="1:6" x14ac:dyDescent="0.25">
      <c r="A1082" s="36">
        <v>43696.796990740739</v>
      </c>
      <c r="B1082" s="3" t="s">
        <v>1888</v>
      </c>
      <c r="C1082" s="12" t="s">
        <v>307</v>
      </c>
      <c r="D1082" s="12">
        <v>0</v>
      </c>
      <c r="E1082" s="12" t="s">
        <v>307</v>
      </c>
      <c r="F1082" s="3" t="s">
        <v>2186</v>
      </c>
    </row>
    <row r="1083" spans="1:6" x14ac:dyDescent="0.25">
      <c r="A1083" s="36">
        <v>43696.797002314815</v>
      </c>
      <c r="B1083" s="3" t="s">
        <v>1891</v>
      </c>
      <c r="C1083" s="12" t="s">
        <v>307</v>
      </c>
      <c r="D1083" s="12">
        <v>0</v>
      </c>
      <c r="E1083" s="12" t="s">
        <v>307</v>
      </c>
      <c r="F1083" s="3" t="s">
        <v>2186</v>
      </c>
    </row>
    <row r="1084" spans="1:6" x14ac:dyDescent="0.25">
      <c r="A1084" s="36">
        <v>43696.797002314815</v>
      </c>
      <c r="B1084" s="3" t="s">
        <v>1895</v>
      </c>
      <c r="C1084" s="12" t="s">
        <v>307</v>
      </c>
      <c r="D1084" s="12">
        <v>0</v>
      </c>
      <c r="E1084" s="12" t="s">
        <v>307</v>
      </c>
      <c r="F1084" s="3" t="s">
        <v>2186</v>
      </c>
    </row>
    <row r="1085" spans="1:6" x14ac:dyDescent="0.25">
      <c r="A1085" s="36">
        <v>43696.797002314815</v>
      </c>
      <c r="B1085" s="3" t="s">
        <v>1899</v>
      </c>
      <c r="C1085" s="12" t="s">
        <v>307</v>
      </c>
      <c r="D1085" s="12">
        <v>0</v>
      </c>
      <c r="E1085" s="12" t="s">
        <v>307</v>
      </c>
      <c r="F1085" s="3" t="s">
        <v>2186</v>
      </c>
    </row>
    <row r="1086" spans="1:6" x14ac:dyDescent="0.25">
      <c r="A1086" s="36">
        <v>43696.797002314815</v>
      </c>
      <c r="B1086" s="3" t="s">
        <v>1902</v>
      </c>
      <c r="C1086" s="12" t="s">
        <v>307</v>
      </c>
      <c r="D1086" s="12">
        <v>0</v>
      </c>
      <c r="E1086" s="12" t="s">
        <v>307</v>
      </c>
      <c r="F1086" s="3" t="s">
        <v>2186</v>
      </c>
    </row>
    <row r="1087" spans="1:6" x14ac:dyDescent="0.25">
      <c r="A1087" s="36">
        <v>43696.797013888892</v>
      </c>
      <c r="B1087" s="3" t="s">
        <v>1906</v>
      </c>
      <c r="C1087" s="12" t="s">
        <v>307</v>
      </c>
      <c r="D1087" s="12">
        <v>0</v>
      </c>
      <c r="E1087" s="12" t="s">
        <v>307</v>
      </c>
      <c r="F1087" s="3" t="s">
        <v>2186</v>
      </c>
    </row>
    <row r="1088" spans="1:6" x14ac:dyDescent="0.25">
      <c r="A1088" s="36">
        <v>43696.797013888892</v>
      </c>
      <c r="B1088" s="3" t="s">
        <v>1909</v>
      </c>
      <c r="C1088" s="12" t="s">
        <v>307</v>
      </c>
      <c r="D1088" s="12">
        <v>0</v>
      </c>
      <c r="E1088" s="12" t="s">
        <v>307</v>
      </c>
      <c r="F1088" s="3" t="s">
        <v>2186</v>
      </c>
    </row>
    <row r="1089" spans="1:6" x14ac:dyDescent="0.25">
      <c r="A1089" s="36">
        <v>43696.797013888892</v>
      </c>
      <c r="B1089" s="3" t="s">
        <v>1913</v>
      </c>
      <c r="C1089" s="12" t="s">
        <v>307</v>
      </c>
      <c r="D1089" s="12">
        <v>0</v>
      </c>
      <c r="E1089" s="12" t="s">
        <v>307</v>
      </c>
      <c r="F1089" s="3" t="s">
        <v>2186</v>
      </c>
    </row>
    <row r="1090" spans="1:6" x14ac:dyDescent="0.25">
      <c r="A1090" s="36">
        <v>43696.797013888892</v>
      </c>
      <c r="B1090" s="3" t="s">
        <v>1916</v>
      </c>
      <c r="C1090" s="12" t="s">
        <v>307</v>
      </c>
      <c r="D1090" s="12">
        <v>0</v>
      </c>
      <c r="E1090" s="12" t="s">
        <v>307</v>
      </c>
      <c r="F1090" s="3" t="s">
        <v>2186</v>
      </c>
    </row>
    <row r="1091" spans="1:6" x14ac:dyDescent="0.25">
      <c r="A1091" s="36">
        <v>43696.797025462962</v>
      </c>
      <c r="B1091" s="3" t="s">
        <v>1919</v>
      </c>
      <c r="C1091" s="12" t="s">
        <v>307</v>
      </c>
      <c r="D1091" s="12">
        <v>0</v>
      </c>
      <c r="E1091" s="12" t="s">
        <v>307</v>
      </c>
      <c r="F1091" s="3" t="s">
        <v>2186</v>
      </c>
    </row>
    <row r="1092" spans="1:6" x14ac:dyDescent="0.25">
      <c r="A1092" s="36">
        <v>43696.797025462962</v>
      </c>
      <c r="B1092" s="3" t="s">
        <v>1922</v>
      </c>
      <c r="C1092" s="12" t="s">
        <v>307</v>
      </c>
      <c r="D1092" s="12">
        <v>0</v>
      </c>
      <c r="E1092" s="12" t="s">
        <v>307</v>
      </c>
      <c r="F1092" s="3" t="s">
        <v>2186</v>
      </c>
    </row>
    <row r="1093" spans="1:6" x14ac:dyDescent="0.25">
      <c r="A1093" s="36">
        <v>43696.797025462962</v>
      </c>
      <c r="B1093" s="3" t="s">
        <v>1926</v>
      </c>
      <c r="C1093" s="12" t="s">
        <v>307</v>
      </c>
      <c r="D1093" s="12">
        <v>0</v>
      </c>
      <c r="E1093" s="12" t="s">
        <v>307</v>
      </c>
      <c r="F1093" s="3" t="s">
        <v>2186</v>
      </c>
    </row>
    <row r="1094" spans="1:6" x14ac:dyDescent="0.25">
      <c r="A1094" s="36">
        <v>43696.797025462962</v>
      </c>
      <c r="B1094" s="3" t="s">
        <v>1929</v>
      </c>
      <c r="C1094" s="12" t="s">
        <v>307</v>
      </c>
      <c r="D1094" s="12">
        <v>0</v>
      </c>
      <c r="E1094" s="12" t="s">
        <v>307</v>
      </c>
      <c r="F1094" s="3" t="s">
        <v>2186</v>
      </c>
    </row>
    <row r="1095" spans="1:6" x14ac:dyDescent="0.25">
      <c r="A1095" s="36">
        <v>43696.797037037039</v>
      </c>
      <c r="B1095" s="3" t="s">
        <v>1932</v>
      </c>
      <c r="C1095" s="12" t="s">
        <v>307</v>
      </c>
      <c r="D1095" s="12">
        <v>0</v>
      </c>
      <c r="E1095" s="12" t="s">
        <v>307</v>
      </c>
      <c r="F1095" s="3" t="s">
        <v>2186</v>
      </c>
    </row>
    <row r="1096" spans="1:6" x14ac:dyDescent="0.25">
      <c r="A1096" s="36">
        <v>43696.797037037039</v>
      </c>
      <c r="B1096" s="3" t="s">
        <v>1935</v>
      </c>
      <c r="C1096" s="12" t="s">
        <v>307</v>
      </c>
      <c r="D1096" s="12">
        <v>0</v>
      </c>
      <c r="E1096" s="12" t="s">
        <v>307</v>
      </c>
      <c r="F1096" s="3" t="s">
        <v>2186</v>
      </c>
    </row>
    <row r="1097" spans="1:6" x14ac:dyDescent="0.25">
      <c r="A1097" s="36">
        <v>43696.797037037039</v>
      </c>
      <c r="B1097" s="3" t="s">
        <v>1939</v>
      </c>
      <c r="C1097" s="12" t="s">
        <v>307</v>
      </c>
      <c r="D1097" s="12">
        <v>0</v>
      </c>
      <c r="E1097" s="12" t="s">
        <v>307</v>
      </c>
      <c r="F1097" s="3" t="s">
        <v>2186</v>
      </c>
    </row>
    <row r="1098" spans="1:6" x14ac:dyDescent="0.25">
      <c r="A1098" s="36">
        <v>43696.797037037039</v>
      </c>
      <c r="B1098" s="3" t="s">
        <v>1942</v>
      </c>
      <c r="C1098" s="12" t="s">
        <v>307</v>
      </c>
      <c r="D1098" s="12">
        <v>0</v>
      </c>
      <c r="E1098" s="12" t="s">
        <v>307</v>
      </c>
      <c r="F1098" s="3" t="s">
        <v>2186</v>
      </c>
    </row>
    <row r="1099" spans="1:6" x14ac:dyDescent="0.25">
      <c r="A1099" s="36">
        <v>43696.797048611108</v>
      </c>
      <c r="B1099" s="3" t="s">
        <v>1945</v>
      </c>
      <c r="C1099" s="12" t="s">
        <v>307</v>
      </c>
      <c r="D1099" s="12">
        <v>0</v>
      </c>
      <c r="E1099" s="12" t="s">
        <v>307</v>
      </c>
      <c r="F1099" s="3" t="s">
        <v>2186</v>
      </c>
    </row>
    <row r="1100" spans="1:6" x14ac:dyDescent="0.25">
      <c r="A1100" s="36">
        <v>43696.797048611108</v>
      </c>
      <c r="B1100" s="3" t="s">
        <v>1948</v>
      </c>
      <c r="C1100" s="12" t="s">
        <v>307</v>
      </c>
      <c r="D1100" s="12">
        <v>0</v>
      </c>
      <c r="E1100" s="12" t="s">
        <v>307</v>
      </c>
      <c r="F1100" s="3" t="s">
        <v>2186</v>
      </c>
    </row>
    <row r="1101" spans="1:6" x14ac:dyDescent="0.25">
      <c r="A1101" s="36">
        <v>43696.797048611108</v>
      </c>
      <c r="B1101" s="3" t="s">
        <v>1952</v>
      </c>
      <c r="C1101" s="12" t="s">
        <v>307</v>
      </c>
      <c r="D1101" s="12">
        <v>0</v>
      </c>
      <c r="E1101" s="12" t="s">
        <v>307</v>
      </c>
      <c r="F1101" s="3" t="s">
        <v>2186</v>
      </c>
    </row>
    <row r="1102" spans="1:6" x14ac:dyDescent="0.25">
      <c r="A1102" s="36">
        <v>43696.797048611108</v>
      </c>
      <c r="B1102" s="3" t="s">
        <v>1955</v>
      </c>
      <c r="C1102" s="12" t="s">
        <v>307</v>
      </c>
      <c r="D1102" s="12">
        <v>0</v>
      </c>
      <c r="E1102" s="12" t="s">
        <v>307</v>
      </c>
      <c r="F1102" s="3" t="s">
        <v>2186</v>
      </c>
    </row>
    <row r="1103" spans="1:6" x14ac:dyDescent="0.25">
      <c r="A1103" s="36">
        <v>43696.797060185185</v>
      </c>
      <c r="B1103" s="3" t="s">
        <v>1958</v>
      </c>
      <c r="C1103" s="12" t="s">
        <v>307</v>
      </c>
      <c r="D1103" s="12">
        <v>0</v>
      </c>
      <c r="E1103" s="12" t="s">
        <v>307</v>
      </c>
      <c r="F1103" s="3" t="s">
        <v>2186</v>
      </c>
    </row>
    <row r="1104" spans="1:6" x14ac:dyDescent="0.25">
      <c r="A1104" s="36">
        <v>43696.797060185185</v>
      </c>
      <c r="B1104" s="3" t="s">
        <v>1961</v>
      </c>
      <c r="C1104" s="12" t="s">
        <v>307</v>
      </c>
      <c r="D1104" s="12">
        <v>0</v>
      </c>
      <c r="E1104" s="12" t="s">
        <v>307</v>
      </c>
      <c r="F1104" s="3" t="s">
        <v>2186</v>
      </c>
    </row>
    <row r="1105" spans="1:6" x14ac:dyDescent="0.25">
      <c r="A1105" s="36">
        <v>43696.797060185185</v>
      </c>
      <c r="B1105" s="3" t="s">
        <v>1964</v>
      </c>
      <c r="C1105" s="12" t="s">
        <v>307</v>
      </c>
      <c r="D1105" s="12">
        <v>0</v>
      </c>
      <c r="E1105" s="12" t="s">
        <v>307</v>
      </c>
      <c r="F1105" s="3" t="s">
        <v>2186</v>
      </c>
    </row>
    <row r="1106" spans="1:6" x14ac:dyDescent="0.25">
      <c r="A1106" s="36">
        <v>43696.797060185185</v>
      </c>
      <c r="B1106" s="3" t="s">
        <v>1967</v>
      </c>
      <c r="C1106" s="12" t="s">
        <v>307</v>
      </c>
      <c r="D1106" s="12">
        <v>0</v>
      </c>
      <c r="E1106" s="12" t="s">
        <v>307</v>
      </c>
      <c r="F1106" s="3" t="s">
        <v>2186</v>
      </c>
    </row>
    <row r="1107" spans="1:6" x14ac:dyDescent="0.25">
      <c r="A1107" s="36">
        <v>43696.797071759262</v>
      </c>
      <c r="B1107" s="3" t="s">
        <v>1971</v>
      </c>
      <c r="C1107" s="12" t="s">
        <v>307</v>
      </c>
      <c r="D1107" s="12">
        <v>0</v>
      </c>
      <c r="E1107" s="12" t="s">
        <v>307</v>
      </c>
      <c r="F1107" s="3" t="s">
        <v>2186</v>
      </c>
    </row>
    <row r="1108" spans="1:6" x14ac:dyDescent="0.25">
      <c r="A1108" s="36">
        <v>43696.797071759262</v>
      </c>
      <c r="B1108" s="3" t="s">
        <v>1975</v>
      </c>
      <c r="C1108" s="12" t="s">
        <v>307</v>
      </c>
      <c r="D1108" s="12">
        <v>0</v>
      </c>
      <c r="E1108" s="12" t="s">
        <v>307</v>
      </c>
      <c r="F1108" s="3" t="s">
        <v>2186</v>
      </c>
    </row>
    <row r="1109" spans="1:6" x14ac:dyDescent="0.25">
      <c r="A1109" s="36">
        <v>43696.797071759262</v>
      </c>
      <c r="B1109" s="3" t="s">
        <v>1979</v>
      </c>
      <c r="C1109" s="12" t="s">
        <v>307</v>
      </c>
      <c r="D1109" s="12">
        <v>0</v>
      </c>
      <c r="E1109" s="12" t="s">
        <v>307</v>
      </c>
      <c r="F1109" s="3" t="s">
        <v>2186</v>
      </c>
    </row>
    <row r="1110" spans="1:6" x14ac:dyDescent="0.25">
      <c r="A1110" s="36">
        <v>43696.797071759262</v>
      </c>
      <c r="B1110" s="3" t="s">
        <v>1982</v>
      </c>
      <c r="C1110" s="12" t="s">
        <v>307</v>
      </c>
      <c r="D1110" s="12">
        <v>0</v>
      </c>
      <c r="E1110" s="12" t="s">
        <v>307</v>
      </c>
      <c r="F1110" s="3" t="s">
        <v>2186</v>
      </c>
    </row>
    <row r="1111" spans="1:6" x14ac:dyDescent="0.25">
      <c r="A1111" s="36">
        <v>43696.797083333331</v>
      </c>
      <c r="B1111" s="3" t="s">
        <v>1985</v>
      </c>
      <c r="C1111" s="12" t="s">
        <v>307</v>
      </c>
      <c r="D1111" s="12">
        <v>0</v>
      </c>
      <c r="E1111" s="12" t="s">
        <v>307</v>
      </c>
      <c r="F1111" s="3" t="s">
        <v>2186</v>
      </c>
    </row>
    <row r="1112" spans="1:6" x14ac:dyDescent="0.25">
      <c r="A1112" s="36">
        <v>43696.797083333331</v>
      </c>
      <c r="B1112" s="3" t="s">
        <v>1988</v>
      </c>
      <c r="C1112" s="12" t="s">
        <v>307</v>
      </c>
      <c r="D1112" s="12">
        <v>0</v>
      </c>
      <c r="E1112" s="12" t="s">
        <v>307</v>
      </c>
      <c r="F1112" s="3" t="s">
        <v>2186</v>
      </c>
    </row>
    <row r="1113" spans="1:6" x14ac:dyDescent="0.25">
      <c r="A1113" s="36">
        <v>43696.797083333331</v>
      </c>
      <c r="B1113" s="3" t="s">
        <v>1991</v>
      </c>
      <c r="C1113" s="12" t="s">
        <v>307</v>
      </c>
      <c r="D1113" s="12">
        <v>0</v>
      </c>
      <c r="E1113" s="12" t="s">
        <v>307</v>
      </c>
      <c r="F1113" s="3" t="s">
        <v>2186</v>
      </c>
    </row>
    <row r="1114" spans="1:6" x14ac:dyDescent="0.25">
      <c r="A1114" s="36">
        <v>43696.797083333331</v>
      </c>
      <c r="B1114" s="3" t="s">
        <v>1995</v>
      </c>
      <c r="C1114" s="12" t="s">
        <v>307</v>
      </c>
      <c r="D1114" s="12">
        <v>0</v>
      </c>
      <c r="E1114" s="12" t="s">
        <v>307</v>
      </c>
      <c r="F1114" s="3" t="s">
        <v>2186</v>
      </c>
    </row>
    <row r="1115" spans="1:6" x14ac:dyDescent="0.25">
      <c r="A1115" s="36">
        <v>43696.797094907408</v>
      </c>
      <c r="B1115" s="3" t="s">
        <v>1999</v>
      </c>
      <c r="C1115" s="12" t="s">
        <v>307</v>
      </c>
      <c r="D1115" s="12">
        <v>0</v>
      </c>
      <c r="E1115" s="12" t="s">
        <v>307</v>
      </c>
      <c r="F1115" s="3" t="s">
        <v>2186</v>
      </c>
    </row>
    <row r="1116" spans="1:6" x14ac:dyDescent="0.25">
      <c r="A1116" s="36">
        <v>43696.797094907408</v>
      </c>
      <c r="B1116" s="3" t="s">
        <v>2002</v>
      </c>
      <c r="C1116" s="12" t="s">
        <v>307</v>
      </c>
      <c r="D1116" s="12">
        <v>0</v>
      </c>
      <c r="E1116" s="12" t="s">
        <v>307</v>
      </c>
      <c r="F1116" s="3" t="s">
        <v>2186</v>
      </c>
    </row>
    <row r="1117" spans="1:6" x14ac:dyDescent="0.25">
      <c r="A1117" s="36">
        <v>43696.797094907408</v>
      </c>
      <c r="B1117" s="3" t="s">
        <v>2005</v>
      </c>
      <c r="C1117" s="12" t="s">
        <v>307</v>
      </c>
      <c r="D1117" s="12">
        <v>0</v>
      </c>
      <c r="E1117" s="12" t="s">
        <v>307</v>
      </c>
      <c r="F1117" s="3" t="s">
        <v>2186</v>
      </c>
    </row>
    <row r="1118" spans="1:6" x14ac:dyDescent="0.25">
      <c r="A1118" s="36">
        <v>43696.797094907408</v>
      </c>
      <c r="B1118" s="3" t="s">
        <v>2008</v>
      </c>
      <c r="C1118" s="12" t="s">
        <v>307</v>
      </c>
      <c r="D1118" s="12">
        <v>0</v>
      </c>
      <c r="E1118" s="12" t="s">
        <v>307</v>
      </c>
      <c r="F1118" s="3" t="s">
        <v>2186</v>
      </c>
    </row>
    <row r="1119" spans="1:6" x14ac:dyDescent="0.25">
      <c r="A1119" s="36">
        <v>43696.797106481485</v>
      </c>
      <c r="B1119" s="3" t="s">
        <v>2012</v>
      </c>
      <c r="C1119" s="12" t="s">
        <v>307</v>
      </c>
      <c r="D1119" s="12">
        <v>0</v>
      </c>
      <c r="E1119" s="12" t="s">
        <v>307</v>
      </c>
      <c r="F1119" s="3" t="s">
        <v>2186</v>
      </c>
    </row>
    <row r="1120" spans="1:6" x14ac:dyDescent="0.25">
      <c r="A1120" s="36">
        <v>43696.797106481485</v>
      </c>
      <c r="B1120" s="3" t="s">
        <v>2015</v>
      </c>
      <c r="C1120" s="12" t="s">
        <v>307</v>
      </c>
      <c r="D1120" s="12">
        <v>0</v>
      </c>
      <c r="E1120" s="12" t="s">
        <v>307</v>
      </c>
      <c r="F1120" s="3" t="s">
        <v>2186</v>
      </c>
    </row>
    <row r="1121" spans="1:6" x14ac:dyDescent="0.25">
      <c r="A1121" s="36">
        <v>43696.797106481485</v>
      </c>
      <c r="B1121" s="3" t="s">
        <v>2019</v>
      </c>
      <c r="C1121" s="12" t="s">
        <v>307</v>
      </c>
      <c r="D1121" s="12">
        <v>0</v>
      </c>
      <c r="E1121" s="12" t="s">
        <v>307</v>
      </c>
      <c r="F1121" s="3" t="s">
        <v>2186</v>
      </c>
    </row>
    <row r="1122" spans="1:6" x14ac:dyDescent="0.25">
      <c r="A1122" s="36">
        <v>43696.797106481485</v>
      </c>
      <c r="B1122" s="3" t="s">
        <v>2022</v>
      </c>
      <c r="C1122" s="12" t="s">
        <v>307</v>
      </c>
      <c r="D1122" s="12">
        <v>0</v>
      </c>
      <c r="E1122" s="12" t="s">
        <v>307</v>
      </c>
      <c r="F1122" s="3" t="s">
        <v>2186</v>
      </c>
    </row>
    <row r="1123" spans="1:6" x14ac:dyDescent="0.25">
      <c r="A1123" s="36">
        <v>43696.797118055554</v>
      </c>
      <c r="B1123" s="3" t="s">
        <v>2025</v>
      </c>
      <c r="C1123" s="12" t="s">
        <v>307</v>
      </c>
      <c r="D1123" s="12">
        <v>0</v>
      </c>
      <c r="E1123" s="12" t="s">
        <v>307</v>
      </c>
      <c r="F1123" s="3" t="s">
        <v>2186</v>
      </c>
    </row>
    <row r="1124" spans="1:6" x14ac:dyDescent="0.25">
      <c r="A1124" s="36">
        <v>43696.797118055554</v>
      </c>
      <c r="B1124" s="3" t="s">
        <v>2029</v>
      </c>
      <c r="C1124" s="12" t="s">
        <v>307</v>
      </c>
      <c r="D1124" s="12">
        <v>0</v>
      </c>
      <c r="E1124" s="12" t="s">
        <v>307</v>
      </c>
      <c r="F1124" s="3" t="s">
        <v>2186</v>
      </c>
    </row>
    <row r="1125" spans="1:6" x14ac:dyDescent="0.25">
      <c r="A1125" s="36">
        <v>43696.797118055554</v>
      </c>
      <c r="B1125" s="3" t="s">
        <v>2032</v>
      </c>
      <c r="C1125" s="12" t="s">
        <v>307</v>
      </c>
      <c r="D1125" s="12">
        <v>0</v>
      </c>
      <c r="E1125" s="12" t="s">
        <v>307</v>
      </c>
      <c r="F1125" s="3" t="s">
        <v>2186</v>
      </c>
    </row>
    <row r="1126" spans="1:6" x14ac:dyDescent="0.25">
      <c r="A1126" s="36">
        <v>43696.797118055554</v>
      </c>
      <c r="B1126" s="3" t="s">
        <v>2035</v>
      </c>
      <c r="C1126" s="12" t="s">
        <v>307</v>
      </c>
      <c r="D1126" s="12">
        <v>0</v>
      </c>
      <c r="E1126" s="12" t="s">
        <v>307</v>
      </c>
      <c r="F1126" s="3" t="s">
        <v>2186</v>
      </c>
    </row>
    <row r="1127" spans="1:6" x14ac:dyDescent="0.25">
      <c r="A1127" s="36">
        <v>43696.797129629631</v>
      </c>
      <c r="B1127" s="3" t="s">
        <v>2039</v>
      </c>
      <c r="C1127" s="12" t="s">
        <v>307</v>
      </c>
      <c r="D1127" s="12">
        <v>0</v>
      </c>
      <c r="E1127" s="12" t="s">
        <v>307</v>
      </c>
      <c r="F1127" s="3" t="s">
        <v>2186</v>
      </c>
    </row>
    <row r="1128" spans="1:6" x14ac:dyDescent="0.25">
      <c r="A1128" s="36">
        <v>43696.797129629631</v>
      </c>
      <c r="B1128" s="3" t="s">
        <v>2042</v>
      </c>
      <c r="C1128" s="12" t="s">
        <v>307</v>
      </c>
      <c r="D1128" s="12">
        <v>0</v>
      </c>
      <c r="E1128" s="12" t="s">
        <v>307</v>
      </c>
      <c r="F1128" s="3" t="s">
        <v>2186</v>
      </c>
    </row>
    <row r="1129" spans="1:6" x14ac:dyDescent="0.25">
      <c r="A1129" s="36">
        <v>43696.797129629631</v>
      </c>
      <c r="B1129" s="3" t="s">
        <v>1012</v>
      </c>
      <c r="C1129" s="12" t="s">
        <v>307</v>
      </c>
      <c r="D1129" s="12">
        <v>8</v>
      </c>
      <c r="E1129" s="12">
        <v>8</v>
      </c>
      <c r="F1129" s="3" t="s">
        <v>2186</v>
      </c>
    </row>
    <row r="1130" spans="1:6" x14ac:dyDescent="0.25">
      <c r="A1130" s="36">
        <v>43696.797129629631</v>
      </c>
      <c r="B1130" s="3" t="s">
        <v>2045</v>
      </c>
      <c r="C1130" s="12" t="s">
        <v>307</v>
      </c>
      <c r="D1130" s="12">
        <v>0</v>
      </c>
      <c r="E1130" s="12" t="s">
        <v>307</v>
      </c>
      <c r="F1130" s="3" t="s">
        <v>2186</v>
      </c>
    </row>
    <row r="1131" spans="1:6" x14ac:dyDescent="0.25">
      <c r="A1131" s="36">
        <v>43696.7971412037</v>
      </c>
      <c r="B1131" s="3" t="s">
        <v>2048</v>
      </c>
      <c r="C1131" s="12" t="s">
        <v>307</v>
      </c>
      <c r="D1131" s="12">
        <v>0</v>
      </c>
      <c r="E1131" s="12" t="s">
        <v>307</v>
      </c>
      <c r="F1131" s="3" t="s">
        <v>2186</v>
      </c>
    </row>
    <row r="1132" spans="1:6" x14ac:dyDescent="0.25">
      <c r="A1132" s="36">
        <v>43696.7971412037</v>
      </c>
      <c r="B1132" s="3" t="s">
        <v>2051</v>
      </c>
      <c r="C1132" s="12" t="s">
        <v>307</v>
      </c>
      <c r="D1132" s="12">
        <v>0</v>
      </c>
      <c r="E1132" s="12" t="s">
        <v>307</v>
      </c>
      <c r="F1132" s="3" t="s">
        <v>2186</v>
      </c>
    </row>
    <row r="1133" spans="1:6" x14ac:dyDescent="0.25">
      <c r="A1133" s="36">
        <v>43696.7971412037</v>
      </c>
      <c r="B1133" s="3" t="s">
        <v>2054</v>
      </c>
      <c r="C1133" s="12" t="s">
        <v>307</v>
      </c>
      <c r="D1133" s="12">
        <v>0</v>
      </c>
      <c r="E1133" s="12" t="s">
        <v>307</v>
      </c>
      <c r="F1133" s="3" t="s">
        <v>2186</v>
      </c>
    </row>
    <row r="1134" spans="1:6" x14ac:dyDescent="0.25">
      <c r="A1134" s="36">
        <v>43696.7971412037</v>
      </c>
      <c r="B1134" s="3" t="s">
        <v>2057</v>
      </c>
      <c r="C1134" s="12" t="s">
        <v>307</v>
      </c>
      <c r="D1134" s="12">
        <v>0</v>
      </c>
      <c r="E1134" s="12" t="s">
        <v>307</v>
      </c>
      <c r="F1134" s="3" t="s">
        <v>2186</v>
      </c>
    </row>
    <row r="1135" spans="1:6" x14ac:dyDescent="0.25">
      <c r="A1135" s="36">
        <v>43696.797152777777</v>
      </c>
      <c r="B1135" s="3" t="s">
        <v>2060</v>
      </c>
      <c r="C1135" s="12" t="s">
        <v>307</v>
      </c>
      <c r="D1135" s="12">
        <v>0</v>
      </c>
      <c r="E1135" s="12" t="s">
        <v>307</v>
      </c>
      <c r="F1135" s="3" t="s">
        <v>2186</v>
      </c>
    </row>
    <row r="1136" spans="1:6" x14ac:dyDescent="0.25">
      <c r="A1136" s="36">
        <v>43696.797152777777</v>
      </c>
      <c r="B1136" s="3" t="s">
        <v>2063</v>
      </c>
      <c r="C1136" s="12" t="s">
        <v>307</v>
      </c>
      <c r="D1136" s="12">
        <v>0</v>
      </c>
      <c r="E1136" s="12" t="s">
        <v>307</v>
      </c>
      <c r="F1136" s="3" t="s">
        <v>2186</v>
      </c>
    </row>
    <row r="1137" spans="1:6" x14ac:dyDescent="0.25">
      <c r="A1137" s="36">
        <v>43696.797152777777</v>
      </c>
      <c r="B1137" s="3" t="s">
        <v>2066</v>
      </c>
      <c r="C1137" s="12" t="s">
        <v>307</v>
      </c>
      <c r="D1137" s="12">
        <v>0</v>
      </c>
      <c r="E1137" s="12" t="s">
        <v>307</v>
      </c>
      <c r="F1137" s="3" t="s">
        <v>2186</v>
      </c>
    </row>
    <row r="1138" spans="1:6" x14ac:dyDescent="0.25">
      <c r="A1138" s="36">
        <v>43696.797152777777</v>
      </c>
      <c r="B1138" s="3" t="s">
        <v>2069</v>
      </c>
      <c r="C1138" s="12" t="s">
        <v>307</v>
      </c>
      <c r="D1138" s="12">
        <v>0</v>
      </c>
      <c r="E1138" s="12" t="s">
        <v>307</v>
      </c>
      <c r="F1138" s="3" t="s">
        <v>2186</v>
      </c>
    </row>
    <row r="1139" spans="1:6" x14ac:dyDescent="0.25">
      <c r="A1139" s="36">
        <v>43696.797164351854</v>
      </c>
      <c r="B1139" s="3" t="s">
        <v>2072</v>
      </c>
      <c r="C1139" s="12" t="s">
        <v>307</v>
      </c>
      <c r="D1139" s="12">
        <v>0</v>
      </c>
      <c r="E1139" s="12" t="s">
        <v>307</v>
      </c>
      <c r="F1139" s="3" t="s">
        <v>2186</v>
      </c>
    </row>
    <row r="1140" spans="1:6" x14ac:dyDescent="0.25">
      <c r="A1140" s="36">
        <v>43696.797164351854</v>
      </c>
      <c r="B1140" s="3" t="s">
        <v>2075</v>
      </c>
      <c r="C1140" s="12" t="s">
        <v>307</v>
      </c>
      <c r="D1140" s="12">
        <v>0</v>
      </c>
      <c r="E1140" s="12" t="s">
        <v>307</v>
      </c>
      <c r="F1140" s="3" t="s">
        <v>2186</v>
      </c>
    </row>
    <row r="1141" spans="1:6" x14ac:dyDescent="0.25">
      <c r="A1141" s="36">
        <v>43696.797164351854</v>
      </c>
      <c r="B1141" s="3" t="s">
        <v>2078</v>
      </c>
      <c r="C1141" s="12" t="s">
        <v>307</v>
      </c>
      <c r="D1141" s="12">
        <v>0</v>
      </c>
      <c r="E1141" s="12" t="s">
        <v>307</v>
      </c>
      <c r="F1141" s="3" t="s">
        <v>2186</v>
      </c>
    </row>
    <row r="1142" spans="1:6" x14ac:dyDescent="0.25">
      <c r="A1142" s="36">
        <v>43696.797164351854</v>
      </c>
      <c r="B1142" s="3" t="s">
        <v>2081</v>
      </c>
      <c r="C1142" s="12" t="s">
        <v>307</v>
      </c>
      <c r="D1142" s="12">
        <v>0</v>
      </c>
      <c r="E1142" s="12" t="s">
        <v>307</v>
      </c>
      <c r="F1142" s="3" t="s">
        <v>2186</v>
      </c>
    </row>
    <row r="1143" spans="1:6" x14ac:dyDescent="0.25">
      <c r="A1143" s="36">
        <v>43696.797175925924</v>
      </c>
      <c r="B1143" s="3" t="s">
        <v>2084</v>
      </c>
      <c r="C1143" s="12" t="s">
        <v>307</v>
      </c>
      <c r="D1143" s="12">
        <v>0</v>
      </c>
      <c r="E1143" s="12" t="s">
        <v>307</v>
      </c>
      <c r="F1143" s="3" t="s">
        <v>2186</v>
      </c>
    </row>
    <row r="1144" spans="1:6" x14ac:dyDescent="0.25">
      <c r="A1144" s="36">
        <v>43696.797175925924</v>
      </c>
      <c r="B1144" s="3" t="s">
        <v>2087</v>
      </c>
      <c r="C1144" s="12" t="s">
        <v>307</v>
      </c>
      <c r="D1144" s="12">
        <v>0</v>
      </c>
      <c r="E1144" s="12" t="s">
        <v>307</v>
      </c>
      <c r="F1144" s="3" t="s">
        <v>2186</v>
      </c>
    </row>
    <row r="1145" spans="1:6" x14ac:dyDescent="0.25">
      <c r="A1145" s="36">
        <v>43696.797175925924</v>
      </c>
      <c r="B1145" s="3" t="s">
        <v>2091</v>
      </c>
      <c r="C1145" s="12" t="s">
        <v>307</v>
      </c>
      <c r="D1145" s="12">
        <v>0</v>
      </c>
      <c r="E1145" s="12" t="s">
        <v>307</v>
      </c>
      <c r="F1145" s="3" t="s">
        <v>2186</v>
      </c>
    </row>
    <row r="1146" spans="1:6" x14ac:dyDescent="0.25">
      <c r="A1146" s="36">
        <v>43696.797175925924</v>
      </c>
      <c r="B1146" s="3" t="s">
        <v>2094</v>
      </c>
      <c r="C1146" s="12" t="s">
        <v>307</v>
      </c>
      <c r="D1146" s="12">
        <v>0</v>
      </c>
      <c r="E1146" s="12" t="s">
        <v>307</v>
      </c>
      <c r="F1146" s="3" t="s">
        <v>2186</v>
      </c>
    </row>
    <row r="1147" spans="1:6" x14ac:dyDescent="0.25">
      <c r="A1147" s="36">
        <v>43696.7971875</v>
      </c>
      <c r="B1147" s="3" t="s">
        <v>2097</v>
      </c>
      <c r="C1147" s="12" t="s">
        <v>307</v>
      </c>
      <c r="D1147" s="12">
        <v>0</v>
      </c>
      <c r="E1147" s="12" t="s">
        <v>307</v>
      </c>
      <c r="F1147" s="3" t="s">
        <v>2186</v>
      </c>
    </row>
    <row r="1148" spans="1:6" x14ac:dyDescent="0.25">
      <c r="A1148" s="36">
        <v>43696.7971875</v>
      </c>
      <c r="B1148" s="3" t="s">
        <v>2100</v>
      </c>
      <c r="C1148" s="12" t="s">
        <v>307</v>
      </c>
      <c r="D1148" s="12">
        <v>0</v>
      </c>
      <c r="E1148" s="12" t="s">
        <v>307</v>
      </c>
      <c r="F1148" s="3" t="s">
        <v>2186</v>
      </c>
    </row>
    <row r="1149" spans="1:6" x14ac:dyDescent="0.25">
      <c r="A1149" s="36">
        <v>43696.7971875</v>
      </c>
      <c r="B1149" s="3" t="s">
        <v>2104</v>
      </c>
      <c r="C1149" s="12" t="s">
        <v>307</v>
      </c>
      <c r="D1149" s="12">
        <v>0</v>
      </c>
      <c r="E1149" s="12" t="s">
        <v>307</v>
      </c>
      <c r="F1149" s="3" t="s">
        <v>2186</v>
      </c>
    </row>
    <row r="1150" spans="1:6" x14ac:dyDescent="0.25">
      <c r="A1150" s="36">
        <v>43696.797199074077</v>
      </c>
      <c r="B1150" s="3" t="s">
        <v>2107</v>
      </c>
      <c r="C1150" s="12" t="s">
        <v>307</v>
      </c>
      <c r="D1150" s="12">
        <v>0</v>
      </c>
      <c r="E1150" s="12" t="s">
        <v>307</v>
      </c>
      <c r="F1150" s="3" t="s">
        <v>2186</v>
      </c>
    </row>
    <row r="1151" spans="1:6" x14ac:dyDescent="0.25">
      <c r="A1151" s="36">
        <v>43696.797199074077</v>
      </c>
      <c r="B1151" s="3" t="s">
        <v>2110</v>
      </c>
      <c r="C1151" s="12" t="s">
        <v>307</v>
      </c>
      <c r="D1151" s="12">
        <v>0</v>
      </c>
      <c r="E1151" s="12" t="s">
        <v>307</v>
      </c>
      <c r="F1151" s="3" t="s">
        <v>2186</v>
      </c>
    </row>
    <row r="1152" spans="1:6" x14ac:dyDescent="0.25">
      <c r="A1152" s="36">
        <v>43696.797199074077</v>
      </c>
      <c r="B1152" s="3" t="s">
        <v>2113</v>
      </c>
      <c r="C1152" s="12" t="s">
        <v>307</v>
      </c>
      <c r="D1152" s="12">
        <v>0</v>
      </c>
      <c r="E1152" s="12" t="s">
        <v>307</v>
      </c>
      <c r="F1152" s="3" t="s">
        <v>2186</v>
      </c>
    </row>
    <row r="1153" spans="1:6" x14ac:dyDescent="0.25">
      <c r="A1153" s="36">
        <v>43696.797199074077</v>
      </c>
      <c r="B1153" s="3" t="s">
        <v>2116</v>
      </c>
      <c r="C1153" s="12" t="s">
        <v>307</v>
      </c>
      <c r="D1153" s="12">
        <v>0</v>
      </c>
      <c r="E1153" s="12" t="s">
        <v>307</v>
      </c>
      <c r="F1153" s="3" t="s">
        <v>2186</v>
      </c>
    </row>
    <row r="1154" spans="1:6" x14ac:dyDescent="0.25">
      <c r="A1154" s="36">
        <v>43696.797199074077</v>
      </c>
      <c r="B1154" s="3" t="s">
        <v>1447</v>
      </c>
      <c r="C1154" s="12" t="s">
        <v>307</v>
      </c>
      <c r="D1154" s="12">
        <v>0</v>
      </c>
      <c r="E1154" s="12">
        <v>0</v>
      </c>
      <c r="F1154" s="3" t="s">
        <v>2186</v>
      </c>
    </row>
    <row r="1155" spans="1:6" x14ac:dyDescent="0.25">
      <c r="A1155" s="36">
        <v>43696.797210648147</v>
      </c>
      <c r="B1155" s="3" t="s">
        <v>2119</v>
      </c>
      <c r="C1155" s="12" t="s">
        <v>307</v>
      </c>
      <c r="D1155" s="12">
        <v>0</v>
      </c>
      <c r="E1155" s="12" t="s">
        <v>307</v>
      </c>
      <c r="F1155" s="3" t="s">
        <v>2186</v>
      </c>
    </row>
    <row r="1156" spans="1:6" x14ac:dyDescent="0.25">
      <c r="A1156" s="36">
        <v>43696.797210648147</v>
      </c>
      <c r="B1156" s="3" t="s">
        <v>1009</v>
      </c>
      <c r="C1156" s="12" t="s">
        <v>307</v>
      </c>
      <c r="D1156" s="12">
        <v>7</v>
      </c>
      <c r="E1156" s="12">
        <v>7</v>
      </c>
      <c r="F1156" s="3" t="s">
        <v>2186</v>
      </c>
    </row>
    <row r="1157" spans="1:6" x14ac:dyDescent="0.25">
      <c r="A1157" s="36">
        <v>43696.797210648147</v>
      </c>
      <c r="B1157" s="3" t="s">
        <v>2122</v>
      </c>
      <c r="C1157" s="12" t="s">
        <v>307</v>
      </c>
      <c r="D1157" s="12">
        <v>0</v>
      </c>
      <c r="E1157" s="12" t="s">
        <v>307</v>
      </c>
      <c r="F1157" s="3" t="s">
        <v>2186</v>
      </c>
    </row>
    <row r="1158" spans="1:6" x14ac:dyDescent="0.25">
      <c r="A1158" s="36">
        <v>43696.797210648147</v>
      </c>
      <c r="B1158" s="3" t="s">
        <v>2125</v>
      </c>
      <c r="C1158" s="12" t="s">
        <v>307</v>
      </c>
      <c r="D1158" s="12">
        <v>0</v>
      </c>
      <c r="E1158" s="12" t="s">
        <v>307</v>
      </c>
      <c r="F1158" s="3" t="s">
        <v>2186</v>
      </c>
    </row>
    <row r="1159" spans="1:6" x14ac:dyDescent="0.25">
      <c r="A1159" s="36">
        <v>43696.797222222223</v>
      </c>
      <c r="B1159" s="3" t="s">
        <v>2128</v>
      </c>
      <c r="C1159" s="12" t="s">
        <v>307</v>
      </c>
      <c r="D1159" s="12">
        <v>0</v>
      </c>
      <c r="E1159" s="12" t="s">
        <v>307</v>
      </c>
      <c r="F1159" s="3" t="s">
        <v>2186</v>
      </c>
    </row>
    <row r="1160" spans="1:6" x14ac:dyDescent="0.25">
      <c r="A1160" s="36">
        <v>43696.797222222223</v>
      </c>
      <c r="B1160" s="3" t="s">
        <v>2131</v>
      </c>
      <c r="C1160" s="12" t="s">
        <v>307</v>
      </c>
      <c r="D1160" s="12">
        <v>0</v>
      </c>
      <c r="E1160" s="12" t="s">
        <v>307</v>
      </c>
      <c r="F1160" s="3" t="s">
        <v>2186</v>
      </c>
    </row>
    <row r="1161" spans="1:6" x14ac:dyDescent="0.25">
      <c r="A1161" s="36">
        <v>43696.797222222223</v>
      </c>
      <c r="B1161" s="3" t="s">
        <v>2134</v>
      </c>
      <c r="C1161" s="12" t="s">
        <v>307</v>
      </c>
      <c r="D1161" s="12">
        <v>0</v>
      </c>
      <c r="E1161" s="12" t="s">
        <v>307</v>
      </c>
      <c r="F1161" s="3" t="s">
        <v>2186</v>
      </c>
    </row>
    <row r="1162" spans="1:6" x14ac:dyDescent="0.25">
      <c r="A1162" s="36">
        <v>43696.797222222223</v>
      </c>
      <c r="B1162" s="3" t="s">
        <v>2137</v>
      </c>
      <c r="C1162" s="12" t="s">
        <v>307</v>
      </c>
      <c r="D1162" s="12">
        <v>0</v>
      </c>
      <c r="E1162" s="12" t="s">
        <v>307</v>
      </c>
      <c r="F1162" s="3" t="s">
        <v>2186</v>
      </c>
    </row>
    <row r="1163" spans="1:6" x14ac:dyDescent="0.25">
      <c r="A1163" s="36">
        <v>43696.797222222223</v>
      </c>
      <c r="B1163" s="3" t="s">
        <v>1021</v>
      </c>
      <c r="C1163" s="12" t="s">
        <v>307</v>
      </c>
      <c r="D1163" s="12">
        <v>9</v>
      </c>
      <c r="E1163" s="12">
        <v>9</v>
      </c>
      <c r="F1163" s="3" t="s">
        <v>2186</v>
      </c>
    </row>
    <row r="1164" spans="1:6" x14ac:dyDescent="0.25">
      <c r="A1164" s="36">
        <v>43696.797233796293</v>
      </c>
      <c r="B1164" s="3" t="s">
        <v>2140</v>
      </c>
      <c r="C1164" s="12" t="s">
        <v>307</v>
      </c>
      <c r="D1164" s="12">
        <v>0</v>
      </c>
      <c r="E1164" s="12" t="s">
        <v>307</v>
      </c>
      <c r="F1164" s="3" t="s">
        <v>2186</v>
      </c>
    </row>
    <row r="1165" spans="1:6" x14ac:dyDescent="0.25">
      <c r="A1165" s="36">
        <v>43696.797233796293</v>
      </c>
      <c r="B1165" s="3" t="s">
        <v>2143</v>
      </c>
      <c r="C1165" s="12" t="s">
        <v>307</v>
      </c>
      <c r="D1165" s="12">
        <v>0</v>
      </c>
      <c r="E1165" s="12" t="s">
        <v>307</v>
      </c>
      <c r="F1165" s="3" t="s">
        <v>2186</v>
      </c>
    </row>
    <row r="1166" spans="1:6" x14ac:dyDescent="0.25">
      <c r="A1166" s="36">
        <v>43696.797233796293</v>
      </c>
      <c r="B1166" s="3" t="s">
        <v>2146</v>
      </c>
      <c r="C1166" s="12" t="s">
        <v>307</v>
      </c>
      <c r="D1166" s="12">
        <v>0</v>
      </c>
      <c r="E1166" s="12" t="s">
        <v>307</v>
      </c>
      <c r="F1166" s="3" t="s">
        <v>2186</v>
      </c>
    </row>
    <row r="1167" spans="1:6" x14ac:dyDescent="0.25">
      <c r="A1167" s="36">
        <v>43696.79724537037</v>
      </c>
      <c r="B1167" s="3" t="s">
        <v>2149</v>
      </c>
      <c r="C1167" s="12" t="s">
        <v>307</v>
      </c>
      <c r="D1167" s="12">
        <v>0</v>
      </c>
      <c r="E1167" s="12" t="s">
        <v>307</v>
      </c>
      <c r="F1167" s="3" t="s">
        <v>2186</v>
      </c>
    </row>
    <row r="1168" spans="1:6" x14ac:dyDescent="0.25">
      <c r="A1168" s="36">
        <v>43696.79724537037</v>
      </c>
      <c r="B1168" s="3" t="s">
        <v>2152</v>
      </c>
      <c r="C1168" s="12" t="s">
        <v>307</v>
      </c>
      <c r="D1168" s="12">
        <v>0</v>
      </c>
      <c r="E1168" s="12" t="s">
        <v>307</v>
      </c>
      <c r="F1168" s="3" t="s">
        <v>2186</v>
      </c>
    </row>
    <row r="1169" spans="1:6" x14ac:dyDescent="0.25">
      <c r="A1169" s="36">
        <v>43696.79724537037</v>
      </c>
      <c r="B1169" s="3" t="s">
        <v>2155</v>
      </c>
      <c r="C1169" s="12" t="s">
        <v>307</v>
      </c>
      <c r="D1169" s="12">
        <v>0</v>
      </c>
      <c r="E1169" s="12" t="s">
        <v>307</v>
      </c>
      <c r="F1169" s="3" t="s">
        <v>2186</v>
      </c>
    </row>
    <row r="1170" spans="1:6" x14ac:dyDescent="0.25">
      <c r="A1170" s="36">
        <v>43696.79724537037</v>
      </c>
      <c r="B1170" s="3" t="s">
        <v>2159</v>
      </c>
      <c r="C1170" s="12" t="s">
        <v>307</v>
      </c>
      <c r="D1170" s="12">
        <v>0</v>
      </c>
      <c r="E1170" s="12" t="s">
        <v>307</v>
      </c>
      <c r="F1170" s="3" t="s">
        <v>2186</v>
      </c>
    </row>
    <row r="1171" spans="1:6" x14ac:dyDescent="0.25">
      <c r="A1171" s="36">
        <v>43696.797256944446</v>
      </c>
      <c r="B1171" s="3" t="s">
        <v>2162</v>
      </c>
      <c r="C1171" s="12" t="s">
        <v>307</v>
      </c>
      <c r="D1171" s="12">
        <v>0</v>
      </c>
      <c r="E1171" s="12" t="s">
        <v>307</v>
      </c>
      <c r="F1171" s="3" t="s">
        <v>2186</v>
      </c>
    </row>
    <row r="1172" spans="1:6" x14ac:dyDescent="0.25">
      <c r="A1172" s="36">
        <v>43696.797256944446</v>
      </c>
      <c r="B1172" s="3" t="s">
        <v>2165</v>
      </c>
      <c r="C1172" s="12" t="s">
        <v>307</v>
      </c>
      <c r="D1172" s="12">
        <v>0</v>
      </c>
      <c r="E1172" s="12" t="s">
        <v>307</v>
      </c>
      <c r="F1172" s="3" t="s">
        <v>2186</v>
      </c>
    </row>
    <row r="1173" spans="1:6" x14ac:dyDescent="0.25">
      <c r="A1173" s="36">
        <v>43696.797256944446</v>
      </c>
      <c r="B1173" s="3" t="s">
        <v>2168</v>
      </c>
      <c r="C1173" s="12" t="s">
        <v>307</v>
      </c>
      <c r="D1173" s="12">
        <v>0</v>
      </c>
      <c r="E1173" s="12" t="s">
        <v>307</v>
      </c>
      <c r="F1173" s="3" t="s">
        <v>2186</v>
      </c>
    </row>
    <row r="1174" spans="1:6" x14ac:dyDescent="0.25">
      <c r="A1174" s="36">
        <v>43696.797268518516</v>
      </c>
      <c r="B1174" s="3" t="s">
        <v>2172</v>
      </c>
      <c r="C1174" s="12" t="s">
        <v>307</v>
      </c>
      <c r="D1174" s="12">
        <v>0</v>
      </c>
      <c r="E1174" s="12" t="s">
        <v>307</v>
      </c>
      <c r="F1174" s="3" t="s">
        <v>2186</v>
      </c>
    </row>
    <row r="1175" spans="1:6" x14ac:dyDescent="0.25">
      <c r="A1175" s="36">
        <v>43696.797268518516</v>
      </c>
      <c r="B1175" s="3" t="s">
        <v>2175</v>
      </c>
      <c r="C1175" s="12" t="s">
        <v>307</v>
      </c>
      <c r="D1175" s="12">
        <v>0</v>
      </c>
      <c r="E1175" s="12" t="s">
        <v>307</v>
      </c>
      <c r="F1175" s="3" t="s">
        <v>2186</v>
      </c>
    </row>
    <row r="1176" spans="1:6" x14ac:dyDescent="0.25">
      <c r="A1176" s="36">
        <v>43696.797268518516</v>
      </c>
      <c r="B1176" s="3" t="s">
        <v>2178</v>
      </c>
      <c r="C1176" s="12" t="s">
        <v>307</v>
      </c>
      <c r="D1176" s="12">
        <v>0</v>
      </c>
      <c r="E1176" s="12" t="s">
        <v>307</v>
      </c>
      <c r="F1176" s="3" t="s">
        <v>2186</v>
      </c>
    </row>
    <row r="1177" spans="1:6" x14ac:dyDescent="0.25">
      <c r="A1177" s="36">
        <v>43696.797268518516</v>
      </c>
      <c r="B1177" s="3" t="s">
        <v>2181</v>
      </c>
      <c r="C1177" s="12" t="s">
        <v>307</v>
      </c>
      <c r="D1177" s="12">
        <v>0</v>
      </c>
      <c r="E1177" s="12" t="s">
        <v>307</v>
      </c>
      <c r="F1177" s="3" t="s">
        <v>2186</v>
      </c>
    </row>
    <row r="1178" spans="1:6" x14ac:dyDescent="0.25">
      <c r="A1178" s="36">
        <v>43696.797280092593</v>
      </c>
      <c r="B1178" s="3" t="s">
        <v>2184</v>
      </c>
      <c r="C1178" s="12" t="s">
        <v>307</v>
      </c>
      <c r="D1178" s="12">
        <v>0</v>
      </c>
      <c r="E1178" s="12" t="s">
        <v>307</v>
      </c>
      <c r="F1178" s="3" t="s">
        <v>2186</v>
      </c>
    </row>
    <row r="1179" spans="1:6" x14ac:dyDescent="0.25">
      <c r="A1179" s="36">
        <v>43700.439467592594</v>
      </c>
      <c r="B1179" s="3" t="s">
        <v>2187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2192</v>
      </c>
      <c r="C1180" s="12" t="s">
        <v>307</v>
      </c>
      <c r="D1180" s="12">
        <v>0</v>
      </c>
      <c r="E1180" s="12" t="s">
        <v>307</v>
      </c>
      <c r="F1180" s="3" t="s">
        <v>475</v>
      </c>
    </row>
    <row r="1181" spans="1:6" x14ac:dyDescent="0.25">
      <c r="A1181" s="36">
        <v>43702.448888888888</v>
      </c>
      <c r="B1181" s="3" t="s">
        <v>1441</v>
      </c>
      <c r="C1181" s="12" t="s">
        <v>307</v>
      </c>
      <c r="D1181" s="12">
        <v>0</v>
      </c>
      <c r="E1181" s="12" t="s">
        <v>307</v>
      </c>
      <c r="F1181" s="3" t="s">
        <v>475</v>
      </c>
    </row>
    <row r="1182" spans="1:6" x14ac:dyDescent="0.25">
      <c r="A1182" s="36">
        <v>43702.449803240743</v>
      </c>
      <c r="B1182" s="3" t="s">
        <v>1460</v>
      </c>
      <c r="C1182" s="12" t="s">
        <v>307</v>
      </c>
      <c r="D1182" s="12">
        <v>0</v>
      </c>
      <c r="E1182" s="12" t="s">
        <v>307</v>
      </c>
      <c r="F1182" s="3" t="s">
        <v>475</v>
      </c>
    </row>
    <row r="1183" spans="1:6" x14ac:dyDescent="0.25">
      <c r="A1183" s="36">
        <v>43702.450254629628</v>
      </c>
      <c r="B1183" s="3" t="s">
        <v>1456</v>
      </c>
      <c r="C1183" s="12" t="s">
        <v>307</v>
      </c>
      <c r="D1183" s="12">
        <v>0</v>
      </c>
      <c r="E1183" s="12" t="s">
        <v>307</v>
      </c>
      <c r="F1183" s="3" t="s">
        <v>475</v>
      </c>
    </row>
    <row r="1184" spans="1:6" x14ac:dyDescent="0.25">
      <c r="A1184" s="36">
        <v>43702.450624999998</v>
      </c>
      <c r="B1184" s="3" t="s">
        <v>1453</v>
      </c>
      <c r="C1184" s="12" t="s">
        <v>307</v>
      </c>
      <c r="D1184" s="12">
        <v>0</v>
      </c>
      <c r="E1184" s="12" t="s">
        <v>307</v>
      </c>
      <c r="F1184" s="3" t="s">
        <v>475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450</v>
      </c>
      <c r="G2" s="18" t="s">
        <v>459</v>
      </c>
      <c r="J2" s="18" t="s">
        <v>458</v>
      </c>
      <c r="M2" s="18" t="s">
        <v>1330</v>
      </c>
    </row>
    <row r="3" spans="1:14" x14ac:dyDescent="0.25">
      <c r="B3" s="74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1356</v>
      </c>
      <c r="H4" t="s">
        <v>347</v>
      </c>
      <c r="J4" t="s">
        <v>350</v>
      </c>
      <c r="K4" t="s">
        <v>355</v>
      </c>
      <c r="M4" t="s">
        <v>1331</v>
      </c>
      <c r="N4" t="s">
        <v>1332</v>
      </c>
    </row>
    <row r="5" spans="1:14" x14ac:dyDescent="0.25">
      <c r="B5" s="74" t="s">
        <v>451</v>
      </c>
      <c r="G5" t="s">
        <v>1357</v>
      </c>
      <c r="H5" t="s">
        <v>1355</v>
      </c>
      <c r="J5" t="s">
        <v>351</v>
      </c>
      <c r="K5" t="s">
        <v>356</v>
      </c>
      <c r="M5" t="s">
        <v>1333</v>
      </c>
      <c r="N5" t="s">
        <v>1334</v>
      </c>
    </row>
    <row r="6" spans="1:14" x14ac:dyDescent="0.25">
      <c r="B6" s="74"/>
      <c r="G6" t="s">
        <v>1351</v>
      </c>
      <c r="H6" t="s">
        <v>404</v>
      </c>
      <c r="J6" t="s">
        <v>352</v>
      </c>
      <c r="K6" t="s">
        <v>358</v>
      </c>
      <c r="M6" t="s">
        <v>1335</v>
      </c>
      <c r="N6" t="s">
        <v>1336</v>
      </c>
    </row>
    <row r="7" spans="1:14" x14ac:dyDescent="0.25">
      <c r="G7" t="s">
        <v>1352</v>
      </c>
      <c r="H7" t="s">
        <v>348</v>
      </c>
      <c r="J7" t="s">
        <v>353</v>
      </c>
      <c r="K7" t="s">
        <v>409</v>
      </c>
      <c r="M7" t="s">
        <v>1337</v>
      </c>
      <c r="N7" t="s">
        <v>1338</v>
      </c>
    </row>
    <row r="8" spans="1:14" x14ac:dyDescent="0.25">
      <c r="B8" s="74" t="s">
        <v>452</v>
      </c>
      <c r="G8" t="s">
        <v>1353</v>
      </c>
      <c r="H8" t="s">
        <v>349</v>
      </c>
      <c r="J8" t="s">
        <v>354</v>
      </c>
      <c r="K8" t="s">
        <v>410</v>
      </c>
    </row>
    <row r="9" spans="1:14" x14ac:dyDescent="0.25">
      <c r="B9" s="74"/>
      <c r="G9" t="s">
        <v>1354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4" t="s">
        <v>453</v>
      </c>
      <c r="J11" t="s">
        <v>413</v>
      </c>
    </row>
    <row r="12" spans="1:14" x14ac:dyDescent="0.25">
      <c r="A12" s="34"/>
      <c r="B12" s="74"/>
      <c r="J12" t="s">
        <v>414</v>
      </c>
    </row>
    <row r="13" spans="1:14" x14ac:dyDescent="0.25">
      <c r="J13" t="s">
        <v>415</v>
      </c>
    </row>
    <row r="14" spans="1:14" x14ac:dyDescent="0.25">
      <c r="B14" s="74" t="s">
        <v>527</v>
      </c>
      <c r="J14" t="s">
        <v>416</v>
      </c>
    </row>
    <row r="15" spans="1:14" x14ac:dyDescent="0.25">
      <c r="B15" s="74"/>
    </row>
    <row r="17" spans="2:2" x14ac:dyDescent="0.25">
      <c r="B17" s="74" t="s">
        <v>1090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21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536</v>
      </c>
      <c r="B3" s="4" t="s">
        <v>1670</v>
      </c>
      <c r="C3" s="4" t="s">
        <v>146</v>
      </c>
      <c r="D3" s="4" t="s">
        <v>479</v>
      </c>
      <c r="E3" s="4" t="s">
        <v>1436</v>
      </c>
      <c r="F3" s="4" t="s">
        <v>587</v>
      </c>
      <c r="G3" s="4">
        <v>17</v>
      </c>
      <c r="H3" s="4">
        <v>20</v>
      </c>
      <c r="I3" s="4">
        <v>0.16300000000000001</v>
      </c>
      <c r="J3" s="24">
        <f>ROUNDUP(Table8[[#This Row],[Min Stock]]-Table8[[#This Row],[In stock]],0)</f>
        <v>3</v>
      </c>
      <c r="K3" s="27">
        <f>Table8[[#This Row],[Quantity]]*Table8[[#This Row],[Unit price]]</f>
        <v>0.48899999999999999</v>
      </c>
      <c r="L3" s="29" t="str">
        <f>IF(Table8[[#This Row],[Ret. Art. Number]]="","",Table8[[#This Row],[Quantity]] &amp; "," &amp; Table8[[#This Row],[Ret. Art. Number]])</f>
        <v>3,710-885012207078</v>
      </c>
      <c r="N3"/>
    </row>
    <row r="4" spans="1:14" x14ac:dyDescent="0.25">
      <c r="A4" s="3" t="s">
        <v>1098</v>
      </c>
      <c r="B4" s="4" t="s">
        <v>1671</v>
      </c>
      <c r="C4" s="4" t="s">
        <v>1099</v>
      </c>
      <c r="D4" s="4" t="s">
        <v>479</v>
      </c>
      <c r="E4" s="4" t="s">
        <v>1652</v>
      </c>
      <c r="F4" s="4" t="s">
        <v>1100</v>
      </c>
      <c r="G4" s="4">
        <v>1.3611111111111112</v>
      </c>
      <c r="H4" s="4">
        <v>2</v>
      </c>
      <c r="I4" s="4">
        <v>0.76200000000000001</v>
      </c>
      <c r="J4" s="24">
        <f>ROUNDUP(Table8[[#This Row],[Min Stock]]-Table8[[#This Row],[In stock]],0)</f>
        <v>1</v>
      </c>
      <c r="K4" s="27">
        <f>Table8[[#This Row],[Quantity]]*Table8[[#This Row],[Unit price]]</f>
        <v>0.76200000000000001</v>
      </c>
      <c r="L4" s="29" t="str">
        <f>IF(Table8[[#This Row],[Ret. Art. Number]]="","",Table8[[#This Row],[Quantity]] &amp; "," &amp; Table8[[#This Row],[Ret. Art. Number]])</f>
        <v>1,649-93992-436HLF</v>
      </c>
      <c r="N4"/>
    </row>
    <row r="5" spans="1:14" x14ac:dyDescent="0.25">
      <c r="A5" s="3" t="s">
        <v>314</v>
      </c>
      <c r="B5" s="4" t="s">
        <v>1684</v>
      </c>
      <c r="C5" s="4" t="s">
        <v>315</v>
      </c>
      <c r="D5" s="4" t="s">
        <v>479</v>
      </c>
      <c r="E5" s="4" t="s">
        <v>327</v>
      </c>
      <c r="F5" s="4" t="s">
        <v>316</v>
      </c>
      <c r="G5" s="4">
        <v>0</v>
      </c>
      <c r="H5" s="4">
        <v>1</v>
      </c>
      <c r="I5" s="4">
        <v>9.31</v>
      </c>
      <c r="J5" s="24">
        <f>ROUNDUP(Table8[[#This Row],[Min Stock]]-Table8[[#This Row],[In stock]],0)</f>
        <v>1</v>
      </c>
      <c r="K5" s="27">
        <f>Table8[[#This Row],[Quantity]]*Table8[[#This Row],[Unit price]]</f>
        <v>9.31</v>
      </c>
      <c r="L5" s="29" t="str">
        <f>IF(Table8[[#This Row],[Ret. Art. Number]]="","",Table8[[#This Row],[Quantity]] &amp; "," &amp; Table8[[#This Row],[Ret. Art. Number]])</f>
        <v>1,569-FP300</v>
      </c>
      <c r="N5"/>
    </row>
    <row r="6" spans="1:14" x14ac:dyDescent="0.25">
      <c r="A6" s="3" t="s">
        <v>24</v>
      </c>
      <c r="B6" s="4" t="s">
        <v>1672</v>
      </c>
      <c r="C6" s="4" t="s">
        <v>41</v>
      </c>
      <c r="D6" s="4" t="s">
        <v>479</v>
      </c>
      <c r="E6" s="4" t="s">
        <v>376</v>
      </c>
      <c r="F6" s="4" t="s">
        <v>23</v>
      </c>
      <c r="G6" s="4">
        <v>6</v>
      </c>
      <c r="H6" s="4">
        <v>10</v>
      </c>
      <c r="I6" s="4">
        <v>0.33200000000000002</v>
      </c>
      <c r="J6" s="24">
        <f>ROUNDUP(Table8[[#This Row],[Min Stock]]-Table8[[#This Row],[In stock]],0)</f>
        <v>4</v>
      </c>
      <c r="K6" s="27">
        <f>Table8[[#This Row],[Quantity]]*Table8[[#This Row],[Unit price]]</f>
        <v>1.3280000000000001</v>
      </c>
      <c r="L6" s="29" t="str">
        <f>IF(Table8[[#This Row],[Ret. Art. Number]]="","",Table8[[#This Row],[Quantity]] &amp; "," &amp; Table8[[#This Row],[Ret. Art. Number]])</f>
        <v>4,863-NCP114ASN330T1G</v>
      </c>
      <c r="N6"/>
    </row>
    <row r="7" spans="1:14" x14ac:dyDescent="0.25">
      <c r="A7" s="3" t="s">
        <v>210</v>
      </c>
      <c r="B7" s="4" t="s">
        <v>1673</v>
      </c>
      <c r="C7" s="4" t="s">
        <v>146</v>
      </c>
      <c r="D7" s="4" t="s">
        <v>479</v>
      </c>
      <c r="E7" s="4" t="s">
        <v>386</v>
      </c>
      <c r="F7" s="4" t="s">
        <v>1151</v>
      </c>
      <c r="G7" s="4">
        <v>4</v>
      </c>
      <c r="H7" s="4">
        <v>10</v>
      </c>
      <c r="I7" s="4">
        <v>0.14099999999999999</v>
      </c>
      <c r="J7" s="24">
        <v>8</v>
      </c>
      <c r="K7" s="27">
        <f>Table8[[#This Row],[Quantity]]*Table8[[#This Row],[Unit price]]</f>
        <v>1.1279999999999999</v>
      </c>
      <c r="L7" s="29" t="str">
        <f>IF(Table8[[#This Row],[Ret. Art. Number]]="","",Table8[[#This Row],[Quantity]] &amp; "," &amp; Table8[[#This Row],[Ret. Art. Number]])</f>
        <v>8,710-150060VS75000</v>
      </c>
      <c r="N7"/>
    </row>
    <row r="8" spans="1:14" x14ac:dyDescent="0.25">
      <c r="A8" s="3" t="s">
        <v>211</v>
      </c>
      <c r="B8" s="4" t="s">
        <v>1674</v>
      </c>
      <c r="C8" s="4" t="s">
        <v>147</v>
      </c>
      <c r="D8" s="4" t="s">
        <v>479</v>
      </c>
      <c r="E8" s="4" t="s">
        <v>385</v>
      </c>
      <c r="F8" s="4" t="s">
        <v>1108</v>
      </c>
      <c r="G8" s="4">
        <v>6</v>
      </c>
      <c r="H8" s="4">
        <v>10</v>
      </c>
      <c r="I8" s="4">
        <v>0.39100000000000001</v>
      </c>
      <c r="J8" s="24">
        <f>ROUNDUP(Table8[[#This Row],[Min Stock]]-Table8[[#This Row],[In stock]],0)</f>
        <v>4</v>
      </c>
      <c r="K8" s="27">
        <f>Table8[[#This Row],[Quantity]]*Table8[[#This Row],[Unit price]]</f>
        <v>1.5640000000000001</v>
      </c>
      <c r="L8" s="29" t="str">
        <f>IF(Table8[[#This Row],[Ret. Art. Number]]="","",Table8[[#This Row],[Quantity]] &amp; "," &amp; Table8[[#This Row],[Ret. Art. Number]])</f>
        <v>4,78-TLMS1000</v>
      </c>
      <c r="N8"/>
    </row>
    <row r="9" spans="1:14" x14ac:dyDescent="0.25">
      <c r="A9" s="3" t="s">
        <v>974</v>
      </c>
      <c r="B9" s="4" t="s">
        <v>1675</v>
      </c>
      <c r="C9" s="4" t="s">
        <v>593</v>
      </c>
      <c r="D9" s="4" t="s">
        <v>479</v>
      </c>
      <c r="E9" s="4" t="s">
        <v>327</v>
      </c>
      <c r="F9" s="4" t="s">
        <v>975</v>
      </c>
      <c r="G9" s="4">
        <v>0</v>
      </c>
      <c r="H9" s="4">
        <v>10</v>
      </c>
      <c r="I9" s="4">
        <v>0.11700000000000001</v>
      </c>
      <c r="J9" s="24">
        <f>ROUNDUP(Table8[[#This Row],[Min Stock]]-Table8[[#This Row],[In stock]],0)</f>
        <v>10</v>
      </c>
      <c r="K9" s="27">
        <f>Table8[[#This Row],[Quantity]]*Table8[[#This Row],[Unit price]]</f>
        <v>1.1700000000000002</v>
      </c>
      <c r="L9" s="29" t="str">
        <f>IF(Table8[[#This Row],[Ret. Art. Number]]="","",Table8[[#This Row],[Quantity]] &amp; "," &amp; Table8[[#This Row],[Ret. Art. Number]])</f>
        <v>10,755-ESR03EZPF1002</v>
      </c>
      <c r="N9"/>
    </row>
    <row r="10" spans="1:14" x14ac:dyDescent="0.25">
      <c r="A10" s="3" t="s">
        <v>998</v>
      </c>
      <c r="B10" s="4" t="s">
        <v>1676</v>
      </c>
      <c r="C10" s="4" t="s">
        <v>593</v>
      </c>
      <c r="D10" s="4" t="s">
        <v>479</v>
      </c>
      <c r="E10" s="4" t="s">
        <v>327</v>
      </c>
      <c r="F10" s="4" t="s">
        <v>999</v>
      </c>
      <c r="G10" s="4">
        <v>0</v>
      </c>
      <c r="H10" s="4">
        <v>10</v>
      </c>
      <c r="I10" s="4">
        <v>0.11700000000000001</v>
      </c>
      <c r="J10" s="24">
        <f>ROUNDUP(Table8[[#This Row],[Min Stock]]-Table8[[#This Row],[In stock]],0)</f>
        <v>10</v>
      </c>
      <c r="K10" s="27">
        <f>Table8[[#This Row],[Quantity]]*Table8[[#This Row],[Unit price]]</f>
        <v>1.1700000000000002</v>
      </c>
      <c r="L10" s="29" t="str">
        <f>IF(Table8[[#This Row],[Ret. Art. Number]]="","",Table8[[#This Row],[Quantity]] &amp; "," &amp; Table8[[#This Row],[Ret. Art. Number]])</f>
        <v>10,755-ESR03EZPF1003</v>
      </c>
      <c r="N10"/>
    </row>
    <row r="11" spans="1:14" x14ac:dyDescent="0.25">
      <c r="A11" s="3" t="s">
        <v>989</v>
      </c>
      <c r="B11" s="4" t="s">
        <v>1677</v>
      </c>
      <c r="C11" s="4" t="s">
        <v>593</v>
      </c>
      <c r="D11" s="4" t="s">
        <v>479</v>
      </c>
      <c r="E11" s="4" t="s">
        <v>1416</v>
      </c>
      <c r="F11" s="4" t="s">
        <v>990</v>
      </c>
      <c r="G11" s="4">
        <v>6</v>
      </c>
      <c r="H11" s="4">
        <v>10</v>
      </c>
      <c r="I11" s="4">
        <v>9.8000000000000004E-2</v>
      </c>
      <c r="J11" s="24">
        <f>ROUNDUP(Table8[[#This Row],[Min Stock]]-Table8[[#This Row],[In stock]],0)</f>
        <v>4</v>
      </c>
      <c r="K11" s="27">
        <f>Table8[[#This Row],[Quantity]]*Table8[[#This Row],[Unit price]]</f>
        <v>0.39200000000000002</v>
      </c>
      <c r="L11" s="29" t="str">
        <f>IF(Table8[[#This Row],[Ret. Art. Number]]="","",Table8[[#This Row],[Quantity]] &amp; "," &amp; Table8[[#This Row],[Ret. Art. Number]])</f>
        <v>4,755-ESR03EZPJ151</v>
      </c>
      <c r="N11"/>
    </row>
    <row r="12" spans="1:14" x14ac:dyDescent="0.25">
      <c r="A12" s="3" t="s">
        <v>1009</v>
      </c>
      <c r="B12" s="4" t="s">
        <v>1678</v>
      </c>
      <c r="C12" s="4" t="s">
        <v>593</v>
      </c>
      <c r="D12" s="4" t="s">
        <v>479</v>
      </c>
      <c r="E12" s="4" t="s">
        <v>1425</v>
      </c>
      <c r="F12" s="4" t="s">
        <v>1010</v>
      </c>
      <c r="G12" s="4">
        <v>7</v>
      </c>
      <c r="H12" s="4">
        <v>10</v>
      </c>
      <c r="I12" s="4">
        <v>9.8000000000000004E-2</v>
      </c>
      <c r="J12" s="24">
        <f>ROUNDUP(Table8[[#This Row],[Min Stock]]-Table8[[#This Row],[In stock]],0)</f>
        <v>3</v>
      </c>
      <c r="K12" s="27">
        <f>Table8[[#This Row],[Quantity]]*Table8[[#This Row],[Unit price]]</f>
        <v>0.29400000000000004</v>
      </c>
      <c r="L12" s="29" t="str">
        <f>IF(Table8[[#This Row],[Ret. Art. Number]]="","",Table8[[#This Row],[Quantity]] &amp; "," &amp; Table8[[#This Row],[Ret. Art. Number]])</f>
        <v>3,755-ESR03EZPJ181</v>
      </c>
      <c r="N12"/>
    </row>
    <row r="13" spans="1:14" x14ac:dyDescent="0.25">
      <c r="A13" s="3" t="s">
        <v>1003</v>
      </c>
      <c r="B13" s="4" t="s">
        <v>1679</v>
      </c>
      <c r="C13" s="4" t="s">
        <v>593</v>
      </c>
      <c r="D13" s="4" t="s">
        <v>479</v>
      </c>
      <c r="E13" s="4" t="s">
        <v>327</v>
      </c>
      <c r="F13" s="4" t="s">
        <v>1004</v>
      </c>
      <c r="G13" s="4">
        <v>0</v>
      </c>
      <c r="H13" s="4">
        <v>10</v>
      </c>
      <c r="I13" s="4">
        <v>9.8000000000000004E-2</v>
      </c>
      <c r="J13" s="24">
        <f>ROUNDUP(Table8[[#This Row],[Min Stock]]-Table8[[#This Row],[In stock]],0)</f>
        <v>10</v>
      </c>
      <c r="K13" s="27">
        <f>Table8[[#This Row],[Quantity]]*Table8[[#This Row],[Unit price]]</f>
        <v>0.98</v>
      </c>
      <c r="L13" s="29" t="str">
        <f>IF(Table8[[#This Row],[Ret. Art. Number]]="","",Table8[[#This Row],[Quantity]] &amp; "," &amp; Table8[[#This Row],[Ret. Art. Number]])</f>
        <v>10,755-ESR10EZPJ102</v>
      </c>
      <c r="N13"/>
    </row>
    <row r="14" spans="1:14" x14ac:dyDescent="0.25">
      <c r="A14" s="3" t="s">
        <v>535</v>
      </c>
      <c r="B14" s="4" t="s">
        <v>1682</v>
      </c>
      <c r="C14" s="4" t="s">
        <v>146</v>
      </c>
      <c r="D14" s="4" t="s">
        <v>479</v>
      </c>
      <c r="E14" s="4" t="s">
        <v>1438</v>
      </c>
      <c r="F14" s="4" t="s">
        <v>583</v>
      </c>
      <c r="G14" s="4">
        <v>5</v>
      </c>
      <c r="H14" s="4"/>
      <c r="I14" s="4">
        <v>0.16600000000000001</v>
      </c>
      <c r="J14" s="24">
        <v>3</v>
      </c>
      <c r="K14" s="27">
        <f>Table8[[#This Row],[Quantity]]*Table8[[#This Row],[Unit price]]</f>
        <v>0.498</v>
      </c>
      <c r="L14" s="29" t="str">
        <f>IF(Table8[[#This Row],[Ret. Art. Number]]="","",Table8[[#This Row],[Quantity]] &amp; "," &amp; Table8[[#This Row],[Ret. Art. Number]])</f>
        <v>3,710-885012107018</v>
      </c>
      <c r="N14"/>
    </row>
    <row r="15" spans="1:14" x14ac:dyDescent="0.25">
      <c r="A15" s="3" t="s">
        <v>1441</v>
      </c>
      <c r="B15" s="4" t="s">
        <v>1669</v>
      </c>
      <c r="C15" s="4" t="s">
        <v>593</v>
      </c>
      <c r="D15" s="4" t="s">
        <v>479</v>
      </c>
      <c r="E15" s="4" t="s">
        <v>327</v>
      </c>
      <c r="F15" s="4" t="s">
        <v>1442</v>
      </c>
      <c r="G15" s="4">
        <v>0</v>
      </c>
      <c r="H15" s="4"/>
      <c r="I15" s="4">
        <v>9.8000000000000004E-2</v>
      </c>
      <c r="J15" s="24">
        <v>2</v>
      </c>
      <c r="K15" s="27">
        <f>Table8[[#This Row],[Quantity]]*Table8[[#This Row],[Unit price]]</f>
        <v>0.19600000000000001</v>
      </c>
      <c r="L15" s="29" t="str">
        <f>IF(Table8[[#This Row],[Ret. Art. Number]]="","",Table8[[#This Row],[Quantity]] &amp; "," &amp; Table8[[#This Row],[Ret. Art. Number]])</f>
        <v>2,755-ESR10EZPJ332</v>
      </c>
      <c r="N15"/>
    </row>
    <row r="16" spans="1:14" x14ac:dyDescent="0.25">
      <c r="A16" s="3" t="s">
        <v>1460</v>
      </c>
      <c r="B16" s="4" t="s">
        <v>1680</v>
      </c>
      <c r="C16" s="4" t="s">
        <v>593</v>
      </c>
      <c r="D16" s="4" t="s">
        <v>479</v>
      </c>
      <c r="E16" s="4" t="s">
        <v>327</v>
      </c>
      <c r="F16" s="4" t="s">
        <v>1461</v>
      </c>
      <c r="G16" s="4">
        <v>0</v>
      </c>
      <c r="H16" s="4"/>
      <c r="I16" s="4">
        <v>9.8000000000000004E-2</v>
      </c>
      <c r="J16" s="24">
        <v>4</v>
      </c>
      <c r="K16" s="27">
        <f>Table8[[#This Row],[Quantity]]*Table8[[#This Row],[Unit price]]</f>
        <v>0.39200000000000002</v>
      </c>
      <c r="L16" s="29" t="str">
        <f>IF(Table8[[#This Row],[Ret. Art. Number]]="","",Table8[[#This Row],[Quantity]] &amp; "," &amp; Table8[[#This Row],[Ret. Art. Number]])</f>
        <v>4,755-ESR10EZPJ103</v>
      </c>
      <c r="N16"/>
    </row>
    <row r="17" spans="1:14" x14ac:dyDescent="0.25">
      <c r="A17" s="3" t="s">
        <v>1456</v>
      </c>
      <c r="B17" s="4" t="s">
        <v>1681</v>
      </c>
      <c r="C17" s="4" t="s">
        <v>593</v>
      </c>
      <c r="D17" s="4" t="s">
        <v>479</v>
      </c>
      <c r="E17" s="4" t="s">
        <v>327</v>
      </c>
      <c r="F17" s="4" t="s">
        <v>1455</v>
      </c>
      <c r="G17" s="4">
        <v>0</v>
      </c>
      <c r="H17" s="4"/>
      <c r="I17" s="4">
        <v>9.8000000000000004E-2</v>
      </c>
      <c r="J17" s="24">
        <v>2</v>
      </c>
      <c r="K17" s="27">
        <f>Table8[[#This Row],[Quantity]]*Table8[[#This Row],[Unit price]]</f>
        <v>0.19600000000000001</v>
      </c>
      <c r="L17" s="29" t="str">
        <f>IF(Table8[[#This Row],[Ret. Art. Number]]="","",Table8[[#This Row],[Quantity]] &amp; "," &amp; Table8[[#This Row],[Ret. Art. Number]])</f>
        <v>2,755-ESR10EZPJ152</v>
      </c>
      <c r="N17"/>
    </row>
    <row r="18" spans="1:14" x14ac:dyDescent="0.25">
      <c r="A18" s="3" t="s">
        <v>1453</v>
      </c>
      <c r="B18" s="4" t="s">
        <v>1683</v>
      </c>
      <c r="C18" s="4" t="s">
        <v>593</v>
      </c>
      <c r="D18" s="4" t="s">
        <v>479</v>
      </c>
      <c r="E18" s="4" t="s">
        <v>327</v>
      </c>
      <c r="F18" s="4" t="s">
        <v>1454</v>
      </c>
      <c r="G18" s="4">
        <v>0</v>
      </c>
      <c r="H18" s="4"/>
      <c r="I18" s="4">
        <v>9.8000000000000004E-2</v>
      </c>
      <c r="J18" s="24">
        <v>4</v>
      </c>
      <c r="K18" s="27">
        <f>Table8[[#This Row],[Quantity]]*Table8[[#This Row],[Unit price]]</f>
        <v>0.39200000000000002</v>
      </c>
      <c r="L18" s="29" t="str">
        <f>IF(Table8[[#This Row],[Ret. Art. Number]]="","",Table8[[#This Row],[Quantity]] &amp; "," &amp; Table8[[#This Row],[Ret. Art. Number]])</f>
        <v>4,755-ESR10EZPJ271</v>
      </c>
      <c r="N18"/>
    </row>
    <row r="19" spans="1:14" x14ac:dyDescent="0.25">
      <c r="A19" s="3" t="s">
        <v>1326</v>
      </c>
      <c r="B19" s="4" t="s">
        <v>1668</v>
      </c>
      <c r="C19" s="4" t="s">
        <v>1173</v>
      </c>
      <c r="D19" s="4" t="s">
        <v>479</v>
      </c>
      <c r="E19" s="4" t="s">
        <v>327</v>
      </c>
      <c r="F19" s="4" t="s">
        <v>1327</v>
      </c>
      <c r="G19" s="4">
        <v>0</v>
      </c>
      <c r="H19" s="4"/>
      <c r="I19" s="4">
        <v>0.58899999999999997</v>
      </c>
      <c r="J19" s="24">
        <v>4</v>
      </c>
      <c r="K19" s="27">
        <f>Table8[[#This Row],[Quantity]]*Table8[[#This Row],[Unit price]]</f>
        <v>2.3559999999999999</v>
      </c>
      <c r="L19" s="29" t="str">
        <f>IF(Table8[[#This Row],[Ret. Art. Number]]="","",Table8[[#This Row],[Quantity]] &amp; "," &amp; Table8[[#This Row],[Ret. Art. Number]])</f>
        <v>4,534-54</v>
      </c>
      <c r="N19"/>
    </row>
    <row r="20" spans="1:14" x14ac:dyDescent="0.25">
      <c r="A20" s="3"/>
      <c r="B20" s="4"/>
      <c r="C20" s="4"/>
      <c r="D20" s="4"/>
      <c r="E20" s="4"/>
      <c r="F20" s="4"/>
      <c r="G20" s="4"/>
      <c r="H20" s="4"/>
      <c r="I20" s="4"/>
      <c r="J20" s="24">
        <f>ROUNDUP(Table8[[#This Row],[Min Stock]]-Table8[[#This Row],[In stock]],0)</f>
        <v>0</v>
      </c>
      <c r="K20" s="27">
        <f>Table8[[#This Row],[Quantity]]*Table8[[#This Row],[Unit price]]</f>
        <v>0</v>
      </c>
      <c r="L20" s="29" t="str">
        <f>IF(Table8[[#This Row],[Ret. Art. Number]]="","",Table8[[#This Row],[Quantity]] &amp; "," &amp; Table8[[#This Row],[Ret. Art. Number]])</f>
        <v/>
      </c>
      <c r="N20"/>
    </row>
    <row r="21" spans="1:14" x14ac:dyDescent="0.25">
      <c r="A21" s="3" t="s">
        <v>448</v>
      </c>
      <c r="B21" s="4"/>
      <c r="C21" s="4"/>
      <c r="D21" s="4"/>
      <c r="E21" s="4"/>
      <c r="F21" s="4"/>
      <c r="G21" s="4"/>
      <c r="H21" s="4"/>
      <c r="I21" s="4"/>
      <c r="J21" s="27"/>
      <c r="K21" s="24">
        <f>SUBTOTAL(109,Table8[Total price])</f>
        <v>22.617000000000004</v>
      </c>
      <c r="L21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63"/>
  <sheetViews>
    <sheetView zoomScale="85" zoomScaleNormal="85" workbookViewId="0">
      <pane ySplit="1" topLeftCell="A2" activePane="bottomLeft" state="frozen"/>
      <selection activeCell="B186" sqref="B186"/>
      <selection pane="bottomLeft" activeCell="D25" sqref="D25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1092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1050</v>
      </c>
      <c r="AA1" s="53" t="s">
        <v>481</v>
      </c>
      <c r="AB1" s="56" t="s">
        <v>489</v>
      </c>
      <c r="AC1" s="57" t="s">
        <v>445</v>
      </c>
    </row>
    <row r="2" spans="1:29" x14ac:dyDescent="0.25">
      <c r="A2" s="32" t="s">
        <v>103</v>
      </c>
      <c r="B2" s="32" t="s">
        <v>84</v>
      </c>
      <c r="C2" s="32" t="s">
        <v>1648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1648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69" t="s">
        <v>1686</v>
      </c>
      <c r="B5" s="32" t="s">
        <v>1156</v>
      </c>
      <c r="C5" s="32" t="s">
        <v>327</v>
      </c>
      <c r="D5" s="32" t="s">
        <v>1687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1688</v>
      </c>
      <c r="M5" s="39">
        <v>9.31</v>
      </c>
      <c r="N5" s="32"/>
      <c r="O5" s="39"/>
      <c r="P5" s="32"/>
      <c r="Q5" s="39"/>
      <c r="R5" s="32"/>
      <c r="S5" s="39"/>
      <c r="T5" s="32" t="s">
        <v>1705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IF(Table1[[#This Row],[Auto Order]]=1,IF(Table1[[#This Row],[In stock]]&lt;Table1[[#This Row],[Min in stock]],1,""),"")</f>
        <v/>
      </c>
    </row>
    <row r="6" spans="1:29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73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32" t="s">
        <v>95</v>
      </c>
      <c r="B8" s="32" t="s">
        <v>85</v>
      </c>
      <c r="C8" s="32" t="s">
        <v>1657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73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IF(Table1[[#This Row],[Auto Order]]=1,IF(Table1[[#This Row],[In stock]]&lt;Table1[[#This Row],[Min in stock]],1,""),"")</f>
        <v/>
      </c>
    </row>
    <row r="10" spans="1:29" x14ac:dyDescent="0.25">
      <c r="A10" s="62" t="s">
        <v>1252</v>
      </c>
      <c r="B10" s="62" t="s">
        <v>1253</v>
      </c>
      <c r="C10" s="62" t="s">
        <v>327</v>
      </c>
      <c r="D10" s="62" t="s">
        <v>1254</v>
      </c>
      <c r="E10" s="62" t="s">
        <v>1255</v>
      </c>
      <c r="F10" s="63">
        <v>1</v>
      </c>
      <c r="G10" s="63"/>
      <c r="H10" s="63"/>
      <c r="I10" s="62" t="s">
        <v>1257</v>
      </c>
      <c r="J10" s="64">
        <v>1.8</v>
      </c>
      <c r="K10" s="65" t="s">
        <v>75</v>
      </c>
      <c r="L10" s="62" t="s">
        <v>1256</v>
      </c>
      <c r="M10" s="66">
        <v>2.13</v>
      </c>
      <c r="N10" s="62"/>
      <c r="O10" s="66"/>
      <c r="P10" s="62"/>
      <c r="Q10" s="66"/>
      <c r="R10" s="62"/>
      <c r="S10" s="66"/>
      <c r="T10" s="62"/>
      <c r="U10" s="66"/>
      <c r="V10" s="62"/>
      <c r="W10" s="66"/>
      <c r="X10" s="62"/>
      <c r="Y10" s="66"/>
      <c r="Z10" s="66" t="str">
        <f>IF(Table1[[#This Row],[Other]]&lt;&gt;"","Other","")</f>
        <v/>
      </c>
      <c r="AA10" s="62"/>
      <c r="AB10" s="64"/>
      <c r="AC10" s="65" t="s">
        <v>1258</v>
      </c>
    </row>
    <row r="11" spans="1:29" x14ac:dyDescent="0.25">
      <c r="A11" s="32" t="s">
        <v>182</v>
      </c>
      <c r="B11" s="32" t="s">
        <v>58</v>
      </c>
      <c r="C11" s="32" t="s">
        <v>1667</v>
      </c>
      <c r="D11" s="32" t="s">
        <v>362</v>
      </c>
      <c r="E11" s="32" t="s">
        <v>493</v>
      </c>
      <c r="F11" s="43">
        <v>3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IF(Table1[[#This Row],[Auto Order]]=1,IF(Table1[[#This Row],[In stock]]&lt;Table1[[#This Row],[Min in stock]],1,""),"")</f>
        <v/>
      </c>
    </row>
    <row r="12" spans="1:29" x14ac:dyDescent="0.25">
      <c r="A12" s="69" t="s">
        <v>1326</v>
      </c>
      <c r="B12" s="32" t="s">
        <v>1173</v>
      </c>
      <c r="C12" s="32" t="s">
        <v>327</v>
      </c>
      <c r="D12" s="32" t="s">
        <v>1327</v>
      </c>
      <c r="E12" s="32" t="s">
        <v>1328</v>
      </c>
      <c r="F12" s="43">
        <v>0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1329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1668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>
        <f>IF(Table1[[#This Row],[Auto Order]]=1,IF(Table1[[#This Row],[In stock]]&lt;Table1[[#This Row],[Min in stock]],1,""),"")</f>
        <v>1</v>
      </c>
    </row>
    <row r="13" spans="1:29" x14ac:dyDescent="0.25">
      <c r="A13" s="32" t="s">
        <v>206</v>
      </c>
      <c r="B13" s="32" t="s">
        <v>207</v>
      </c>
      <c r="C13" s="32" t="s">
        <v>1651</v>
      </c>
      <c r="D13" s="32" t="s">
        <v>208</v>
      </c>
      <c r="E13" s="32" t="s">
        <v>1328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IF(Table1[[#This Row],[Auto Order]]=1,IF(Table1[[#This Row],[In stock]]&lt;Table1[[#This Row],[Min in stock]],1,""),"")</f>
        <v/>
      </c>
    </row>
    <row r="14" spans="1:29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1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IF(Table1[[#This Row],[Auto Order]]=1,IF(Table1[[#This Row],[In stock]]&lt;Table1[[#This Row],[Min in stock]],1,""),"")</f>
        <v/>
      </c>
    </row>
    <row r="15" spans="1:29" x14ac:dyDescent="0.25">
      <c r="A15" s="69" t="s">
        <v>1067</v>
      </c>
      <c r="B15" s="32" t="s">
        <v>1070</v>
      </c>
      <c r="C15" s="32" t="s">
        <v>327</v>
      </c>
      <c r="D15" s="32" t="s">
        <v>1068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1069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IF(Table1[[#This Row],[Auto Order]]=1,IF(Table1[[#This Row],[In stock]]&lt;Table1[[#This Row],[Min in stock]],1,""),"")</f>
        <v/>
      </c>
    </row>
    <row r="16" spans="1:29" x14ac:dyDescent="0.25">
      <c r="A16" s="69" t="s">
        <v>1071</v>
      </c>
      <c r="B16" s="32" t="s">
        <v>1072</v>
      </c>
      <c r="C16" s="32" t="s">
        <v>327</v>
      </c>
      <c r="D16" s="32" t="s">
        <v>1073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1074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IF(Table1[[#This Row],[Auto Order]]=1,IF(Table1[[#This Row],[In stock]]&lt;Table1[[#This Row],[Min in stock]],1,""),"")</f>
        <v/>
      </c>
    </row>
    <row r="17" spans="1:29" x14ac:dyDescent="0.25">
      <c r="A17" s="69" t="s">
        <v>460</v>
      </c>
      <c r="B17" s="32" t="s">
        <v>73</v>
      </c>
      <c r="C17" s="32" t="s">
        <v>1408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IF(Table1[[#This Row],[Auto Order]]=1,IF(Table1[[#This Row],[In stock]]&lt;Table1[[#This Row],[Min in stock]],1,""),"")</f>
        <v/>
      </c>
    </row>
    <row r="18" spans="1:29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69" t="s">
        <v>1358</v>
      </c>
      <c r="B19" s="32" t="s">
        <v>311</v>
      </c>
      <c r="C19" s="32" t="s">
        <v>327</v>
      </c>
      <c r="D19" s="32" t="s">
        <v>1359</v>
      </c>
      <c r="E19" s="32" t="s">
        <v>514</v>
      </c>
      <c r="F19" s="43">
        <v>0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1360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 t="str">
        <f>IF(Table1[[#This Row],[Auto Order]]=1,IF(Table1[[#This Row],[In stock]]&lt;Table1[[#This Row],[Min in stock]],1,""),"")</f>
        <v/>
      </c>
    </row>
    <row r="20" spans="1:29" x14ac:dyDescent="0.25">
      <c r="A20" s="70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 t="str">
        <f>IF(Table1[[#This Row],[Auto Order]]=1,IF(Table1[[#This Row],[In stock]]&lt;Table1[[#This Row],[Min in stock]],1,""),"")</f>
        <v/>
      </c>
    </row>
    <row r="21" spans="1:29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IF(Table1[[#This Row],[Auto Order]]=1,IF(Table1[[#This Row],[In stock]]&lt;Table1[[#This Row],[Min in stock]],1,""),"")</f>
        <v/>
      </c>
    </row>
    <row r="22" spans="1:29" x14ac:dyDescent="0.25">
      <c r="A22" s="69" t="s">
        <v>1152</v>
      </c>
      <c r="B22" s="32" t="s">
        <v>146</v>
      </c>
      <c r="C22" s="32" t="s">
        <v>1437</v>
      </c>
      <c r="D22" s="32" t="s">
        <v>1153</v>
      </c>
      <c r="E22" s="32" t="s">
        <v>499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1154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1438</v>
      </c>
      <c r="D23" s="32" t="s">
        <v>583</v>
      </c>
      <c r="E23" s="32" t="s">
        <v>499</v>
      </c>
      <c r="F23" s="43">
        <v>5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1682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1440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IF(Table1[[#This Row],[Auto Order]]=1,IF(Table1[[#This Row],[In stock]]&lt;Table1[[#This Row],[Min in stock]],1,""),"")</f>
        <v/>
      </c>
    </row>
    <row r="25" spans="1:29" x14ac:dyDescent="0.25">
      <c r="A25" s="69" t="s">
        <v>534</v>
      </c>
      <c r="B25" s="32" t="s">
        <v>146</v>
      </c>
      <c r="C25" s="32" t="s">
        <v>1439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IF(Table1[[#This Row],[Auto Order]]=1,IF(Table1[[#This Row],[In stock]]&lt;Table1[[#This Row],[Min in stock]],1,""),"")</f>
        <v/>
      </c>
    </row>
    <row r="26" spans="1:29" x14ac:dyDescent="0.25">
      <c r="A26" s="69" t="s">
        <v>536</v>
      </c>
      <c r="B26" s="32" t="s">
        <v>146</v>
      </c>
      <c r="C26" s="32" t="s">
        <v>1436</v>
      </c>
      <c r="D26" s="32" t="s">
        <v>587</v>
      </c>
      <c r="E26" s="32" t="s">
        <v>499</v>
      </c>
      <c r="F26" s="43">
        <v>17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1670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IF(Table1[[#This Row],[Auto Order]]=1,IF(Table1[[#This Row],[In stock]]&lt;Table1[[#This Row],[Min in stock]],1,""),"")</f>
        <v/>
      </c>
    </row>
    <row r="27" spans="1:29" x14ac:dyDescent="0.25">
      <c r="A27" s="69" t="s">
        <v>1054</v>
      </c>
      <c r="B27" s="32" t="s">
        <v>222</v>
      </c>
      <c r="C27" s="32" t="s">
        <v>1382</v>
      </c>
      <c r="D27" s="32" t="s">
        <v>1055</v>
      </c>
      <c r="E27" s="32" t="s">
        <v>499</v>
      </c>
      <c r="F27" s="43">
        <v>93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1056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IF(Table1[[#This Row],[Auto Order]]=1,IF(Table1[[#This Row],[In stock]]&lt;Table1[[#This Row],[Min in stock]],1,""),"")</f>
        <v>1</v>
      </c>
    </row>
    <row r="28" spans="1:29" x14ac:dyDescent="0.25">
      <c r="A28" s="32" t="s">
        <v>221</v>
      </c>
      <c r="B28" s="32" t="s">
        <v>222</v>
      </c>
      <c r="C28" s="32" t="s">
        <v>1384</v>
      </c>
      <c r="D28" s="32" t="s">
        <v>1698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14</v>
      </c>
      <c r="B29" s="32" t="s">
        <v>30</v>
      </c>
      <c r="C29" s="32" t="s">
        <v>1641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12</v>
      </c>
      <c r="B30" s="32" t="s">
        <v>30</v>
      </c>
      <c r="C30" s="32" t="s">
        <v>1639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33</v>
      </c>
      <c r="B31" s="32" t="s">
        <v>38</v>
      </c>
      <c r="C31" s="32" t="s">
        <v>1383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IF(Table1[[#This Row],[Auto Order]]=1,IF(Table1[[#This Row],[In stock]]&lt;Table1[[#This Row],[Min in stock]],1,""),"")</f>
        <v/>
      </c>
    </row>
    <row r="32" spans="1:29" x14ac:dyDescent="0.25">
      <c r="A32" s="32" t="s">
        <v>142</v>
      </c>
      <c r="B32" s="32" t="s">
        <v>148</v>
      </c>
      <c r="C32" s="32" t="s">
        <v>1651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101</v>
      </c>
      <c r="B33" s="32" t="s">
        <v>30</v>
      </c>
      <c r="C33" s="32" t="s">
        <v>1652</v>
      </c>
      <c r="D33" s="32" t="s">
        <v>1097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IF(Table1[[#This Row],[Auto Order]]=1,IF(Table1[[#This Row],[In stock]]&lt;Table1[[#This Row],[Min in stock]],1,""),"")</f>
        <v>1</v>
      </c>
    </row>
    <row r="34" spans="1:29" x14ac:dyDescent="0.25">
      <c r="A34" s="69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438</v>
      </c>
      <c r="B36" s="32" t="s">
        <v>390</v>
      </c>
      <c r="C36" s="32" t="s">
        <v>327</v>
      </c>
      <c r="D36" s="32" t="s">
        <v>1136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IF(Table1[[#This Row],[Auto Order]]=1,IF(Table1[[#This Row],[In stock]]&lt;Table1[[#This Row],[Min in stock]],1,""),"")</f>
        <v/>
      </c>
    </row>
    <row r="38" spans="1:29" x14ac:dyDescent="0.25">
      <c r="A38" s="32" t="s">
        <v>428</v>
      </c>
      <c r="B38" s="32" t="s">
        <v>7</v>
      </c>
      <c r="C38" s="32" t="s">
        <v>1652</v>
      </c>
      <c r="D38" s="32" t="s">
        <v>540</v>
      </c>
      <c r="E38" s="32" t="s">
        <v>495</v>
      </c>
      <c r="F38" s="43">
        <v>1.3049999999999999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1093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>
        <f>IF(Table1[[#This Row],[Auto Order]]=1,IF(Table1[[#This Row],[In stock]]&lt;Table1[[#This Row],[Min in stock]],1,""),"")</f>
        <v>1</v>
      </c>
    </row>
    <row r="39" spans="1:29" x14ac:dyDescent="0.25">
      <c r="A39" s="69" t="s">
        <v>1098</v>
      </c>
      <c r="B39" s="32" t="s">
        <v>1099</v>
      </c>
      <c r="C39" s="32" t="s">
        <v>1652</v>
      </c>
      <c r="D39" s="32" t="s">
        <v>1100</v>
      </c>
      <c r="E39" s="32" t="s">
        <v>495</v>
      </c>
      <c r="F39" s="43">
        <v>1.3611111111111112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1101</v>
      </c>
      <c r="M39" s="39">
        <v>0.79</v>
      </c>
      <c r="N39" s="32"/>
      <c r="O39" s="39"/>
      <c r="P39" s="32"/>
      <c r="Q39" s="39"/>
      <c r="R39" s="32"/>
      <c r="S39" s="39"/>
      <c r="T39" s="32" t="s">
        <v>1671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>
        <f>IF(Table1[[#This Row],[Auto Order]]=1,IF(Table1[[#This Row],[In stock]]&lt;Table1[[#This Row],[Min in stock]],1,""),"")</f>
        <v>1</v>
      </c>
    </row>
    <row r="40" spans="1:29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IF(Table1[[#This Row],[Auto Order]]=1,IF(Table1[[#This Row],[In stock]]&lt;Table1[[#This Row],[Min in stock]],1,""),"")</f>
        <v/>
      </c>
    </row>
    <row r="41" spans="1:29" x14ac:dyDescent="0.25">
      <c r="A41" s="69" t="s">
        <v>1347</v>
      </c>
      <c r="B41" s="32" t="s">
        <v>1348</v>
      </c>
      <c r="C41" s="32" t="s">
        <v>327</v>
      </c>
      <c r="D41" s="32" t="s">
        <v>1349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1350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1368</v>
      </c>
      <c r="B42" s="32" t="s">
        <v>1104</v>
      </c>
      <c r="C42" s="32" t="s">
        <v>327</v>
      </c>
      <c r="D42" s="32" t="s">
        <v>1369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1370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1365</v>
      </c>
      <c r="B43" s="32" t="s">
        <v>1104</v>
      </c>
      <c r="C43" s="32" t="s">
        <v>327</v>
      </c>
      <c r="D43" s="32" t="s">
        <v>1366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1367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1265</v>
      </c>
      <c r="B44" s="32" t="s">
        <v>1259</v>
      </c>
      <c r="C44" s="32" t="s">
        <v>327</v>
      </c>
      <c r="D44" s="32" t="s">
        <v>1266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1267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1305</v>
      </c>
      <c r="B45" s="32" t="s">
        <v>1259</v>
      </c>
      <c r="C45" s="32" t="s">
        <v>327</v>
      </c>
      <c r="D45" s="32" t="s">
        <v>1306</v>
      </c>
      <c r="E45" s="32" t="s">
        <v>1028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1307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1308</v>
      </c>
      <c r="B46" s="32" t="s">
        <v>1259</v>
      </c>
      <c r="C46" s="32" t="s">
        <v>327</v>
      </c>
      <c r="D46" s="32" t="s">
        <v>1309</v>
      </c>
      <c r="E46" s="32" t="s">
        <v>1028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1310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1311</v>
      </c>
      <c r="B47" s="32" t="s">
        <v>1259</v>
      </c>
      <c r="C47" s="32" t="s">
        <v>327</v>
      </c>
      <c r="D47" s="32" t="s">
        <v>1312</v>
      </c>
      <c r="E47" s="32" t="s">
        <v>1028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1313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1314</v>
      </c>
      <c r="B48" s="32" t="s">
        <v>1259</v>
      </c>
      <c r="C48" s="32" t="s">
        <v>327</v>
      </c>
      <c r="D48" s="32" t="s">
        <v>1315</v>
      </c>
      <c r="E48" s="32" t="s">
        <v>1028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1316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1317</v>
      </c>
      <c r="B49" s="32" t="s">
        <v>1259</v>
      </c>
      <c r="C49" s="32" t="s">
        <v>327</v>
      </c>
      <c r="D49" s="32" t="s">
        <v>1318</v>
      </c>
      <c r="E49" s="32" t="s">
        <v>1028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1319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1323</v>
      </c>
      <c r="B50" s="32" t="s">
        <v>1259</v>
      </c>
      <c r="C50" s="32" t="s">
        <v>327</v>
      </c>
      <c r="D50" s="32" t="s">
        <v>1324</v>
      </c>
      <c r="E50" s="32" t="s">
        <v>1028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1325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1320</v>
      </c>
      <c r="B51" s="32" t="s">
        <v>1259</v>
      </c>
      <c r="C51" s="32" t="s">
        <v>327</v>
      </c>
      <c r="D51" s="32" t="s">
        <v>1321</v>
      </c>
      <c r="E51" s="32" t="s">
        <v>1028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1322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1296</v>
      </c>
      <c r="B52" s="32" t="s">
        <v>1259</v>
      </c>
      <c r="C52" s="32" t="s">
        <v>327</v>
      </c>
      <c r="D52" s="32" t="s">
        <v>1297</v>
      </c>
      <c r="E52" s="32" t="s">
        <v>1028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1298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1299</v>
      </c>
      <c r="B53" s="32" t="s">
        <v>1259</v>
      </c>
      <c r="C53" s="32" t="s">
        <v>327</v>
      </c>
      <c r="D53" s="32" t="s">
        <v>1300</v>
      </c>
      <c r="E53" s="32" t="s">
        <v>1028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1301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1302</v>
      </c>
      <c r="B54" s="32" t="s">
        <v>1259</v>
      </c>
      <c r="C54" s="32" t="s">
        <v>327</v>
      </c>
      <c r="D54" s="32" t="s">
        <v>1303</v>
      </c>
      <c r="E54" s="32" t="s">
        <v>1028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1304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1271</v>
      </c>
      <c r="B55" s="32" t="s">
        <v>1259</v>
      </c>
      <c r="C55" s="32" t="s">
        <v>327</v>
      </c>
      <c r="D55" s="32" t="s">
        <v>1272</v>
      </c>
      <c r="E55" s="32" t="s">
        <v>1029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1273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1274</v>
      </c>
      <c r="B56" s="32" t="s">
        <v>1259</v>
      </c>
      <c r="C56" s="32" t="s">
        <v>327</v>
      </c>
      <c r="D56" s="32" t="s">
        <v>1275</v>
      </c>
      <c r="E56" s="32" t="s">
        <v>1029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1276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1277</v>
      </c>
      <c r="B57" s="32" t="s">
        <v>1259</v>
      </c>
      <c r="C57" s="32" t="s">
        <v>327</v>
      </c>
      <c r="D57" s="32" t="s">
        <v>1278</v>
      </c>
      <c r="E57" s="32" t="s">
        <v>1029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1279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1280</v>
      </c>
      <c r="B58" s="32" t="s">
        <v>1259</v>
      </c>
      <c r="C58" s="32" t="s">
        <v>327</v>
      </c>
      <c r="D58" s="32" t="s">
        <v>1281</v>
      </c>
      <c r="E58" s="32" t="s">
        <v>1029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1282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1283</v>
      </c>
      <c r="B59" s="32" t="s">
        <v>1259</v>
      </c>
      <c r="C59" s="32" t="s">
        <v>327</v>
      </c>
      <c r="D59" s="32" t="s">
        <v>1284</v>
      </c>
      <c r="E59" s="32" t="s">
        <v>1029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1285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1261</v>
      </c>
      <c r="B60" s="32" t="s">
        <v>1259</v>
      </c>
      <c r="C60" s="32" t="s">
        <v>327</v>
      </c>
      <c r="D60" s="32" t="s">
        <v>1286</v>
      </c>
      <c r="E60" s="32" t="s">
        <v>1029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1260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1287</v>
      </c>
      <c r="B61" s="32" t="s">
        <v>1259</v>
      </c>
      <c r="C61" s="32" t="s">
        <v>327</v>
      </c>
      <c r="D61" s="32" t="s">
        <v>1288</v>
      </c>
      <c r="E61" s="32" t="s">
        <v>1029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1289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1290</v>
      </c>
      <c r="B62" s="32" t="s">
        <v>1259</v>
      </c>
      <c r="C62" s="32" t="s">
        <v>327</v>
      </c>
      <c r="D62" s="32" t="s">
        <v>1291</v>
      </c>
      <c r="E62" s="32" t="s">
        <v>1029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1292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1293</v>
      </c>
      <c r="B63" s="32" t="s">
        <v>1259</v>
      </c>
      <c r="C63" s="32" t="s">
        <v>327</v>
      </c>
      <c r="D63" s="32" t="s">
        <v>1294</v>
      </c>
      <c r="E63" s="32" t="s">
        <v>1029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1295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1268</v>
      </c>
      <c r="B64" s="32" t="s">
        <v>1259</v>
      </c>
      <c r="C64" s="32" t="s">
        <v>327</v>
      </c>
      <c r="D64" s="32" t="s">
        <v>1269</v>
      </c>
      <c r="E64" s="32" t="s">
        <v>1029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1270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67" t="s">
        <v>1197</v>
      </c>
      <c r="B65" s="32" t="s">
        <v>1198</v>
      </c>
      <c r="C65" s="32" t="s">
        <v>327</v>
      </c>
      <c r="D65" s="32" t="s">
        <v>1199</v>
      </c>
      <c r="E65" s="32" t="s">
        <v>1200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1201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IF(Table1[[#This Row],[Auto Order]]=1,IF(Table1[[#This Row],[In stock]]&lt;Table1[[#This Row],[Min in stock]],1,""),"")</f>
        <v/>
      </c>
    </row>
    <row r="66" spans="1:29" x14ac:dyDescent="0.25">
      <c r="A66" s="70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IF(Table1[[#This Row],[Auto Order]]=1,IF(Table1[[#This Row],[In stock]]&lt;Table1[[#This Row],[Min in stock]],1,""),"")</f>
        <v/>
      </c>
    </row>
    <row r="67" spans="1:29" x14ac:dyDescent="0.25">
      <c r="A67" s="67" t="s">
        <v>1361</v>
      </c>
      <c r="B67" s="32" t="s">
        <v>1362</v>
      </c>
      <c r="C67" s="32" t="s">
        <v>327</v>
      </c>
      <c r="D67" s="32" t="s">
        <v>1363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1364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IF(Table1[[#This Row],[Auto Order]]=1,IF(Table1[[#This Row],[In stock]]&lt;Table1[[#This Row],[Min in stock]],1,""),"")</f>
        <v/>
      </c>
    </row>
    <row r="68" spans="1:29" x14ac:dyDescent="0.25">
      <c r="A68" s="70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0" t="s">
        <v>112</v>
      </c>
      <c r="B69" s="32" t="s">
        <v>113</v>
      </c>
      <c r="C69" s="32" t="s">
        <v>1656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IF(Table1[[#This Row],[Auto Order]]=1,IF(Table1[[#This Row],[In stock]]&lt;Table1[[#This Row],[Min in stock]],1,""),"")</f>
        <v/>
      </c>
    </row>
    <row r="70" spans="1:29" x14ac:dyDescent="0.25">
      <c r="A70" s="71" t="s">
        <v>1339</v>
      </c>
      <c r="B70" s="32" t="s">
        <v>230</v>
      </c>
      <c r="C70" s="32" t="s">
        <v>1666</v>
      </c>
      <c r="D70" s="32" t="s">
        <v>1340</v>
      </c>
      <c r="E70" s="32" t="s">
        <v>1341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1" t="s">
        <v>1342</v>
      </c>
      <c r="B71" s="32" t="s">
        <v>230</v>
      </c>
      <c r="C71" s="32" t="s">
        <v>1666</v>
      </c>
      <c r="D71" s="32" t="s">
        <v>1343</v>
      </c>
      <c r="E71" s="32" t="s">
        <v>1341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IF(Table1[[#This Row],[Auto Order]]=1,IF(Table1[[#This Row],[In stock]]&lt;Table1[[#This Row],[Min in stock]],1,""),"")</f>
        <v/>
      </c>
    </row>
    <row r="72" spans="1:29" x14ac:dyDescent="0.25">
      <c r="A72" s="70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IF(Table1[[#This Row],[Auto Order]]=1,IF(Table1[[#This Row],[In stock]]&lt;Table1[[#This Row],[Min in stock]],1,""),"")</f>
        <v/>
      </c>
    </row>
    <row r="73" spans="1:29" x14ac:dyDescent="0.25">
      <c r="A73" s="67" t="s">
        <v>1238</v>
      </c>
      <c r="B73" s="32" t="s">
        <v>472</v>
      </c>
      <c r="C73" s="32" t="s">
        <v>1414</v>
      </c>
      <c r="D73" s="32" t="s">
        <v>1239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1240</v>
      </c>
      <c r="M73" s="39">
        <v>0.44</v>
      </c>
      <c r="N73" s="32"/>
      <c r="O73" s="39"/>
      <c r="P73" s="32"/>
      <c r="Q73" s="39"/>
      <c r="R73" s="32"/>
      <c r="S73" s="39"/>
      <c r="T73" s="32" t="s">
        <v>1704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IF(Table1[[#This Row],[Auto Order]]=1,IF(Table1[[#This Row],[In stock]]&lt;Table1[[#This Row],[Min in stock]],1,""),"")</f>
        <v>1</v>
      </c>
    </row>
    <row r="74" spans="1:29" x14ac:dyDescent="0.25">
      <c r="A74" s="67" t="s">
        <v>471</v>
      </c>
      <c r="B74" s="32" t="s">
        <v>472</v>
      </c>
      <c r="C74" s="32" t="s">
        <v>1413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IF(Table1[[#This Row],[Auto Order]]=1,IF(Table1[[#This Row],[In stock]]&lt;Table1[[#This Row],[Min in stock]],1,""),"")</f>
        <v/>
      </c>
    </row>
    <row r="77" spans="1:29" x14ac:dyDescent="0.25">
      <c r="A77" s="70" t="s">
        <v>314</v>
      </c>
      <c r="B77" s="32" t="s">
        <v>315</v>
      </c>
      <c r="C77" s="32" t="s">
        <v>327</v>
      </c>
      <c r="D77" s="32" t="s">
        <v>316</v>
      </c>
      <c r="E77" s="32" t="s">
        <v>494</v>
      </c>
      <c r="F77" s="43">
        <v>0</v>
      </c>
      <c r="G77" s="43">
        <v>1</v>
      </c>
      <c r="H77" s="43">
        <f>1</f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1684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>
        <f>IF(Table1[[#This Row],[Auto Order]]=1,IF(Table1[[#This Row],[In stock]]&lt;Table1[[#This Row],[Min in stock]],1,""),"")</f>
        <v>1</v>
      </c>
    </row>
    <row r="78" spans="1:29" x14ac:dyDescent="0.25">
      <c r="A78" s="70" t="s">
        <v>16</v>
      </c>
      <c r="B78" s="32" t="s">
        <v>30</v>
      </c>
      <c r="C78" s="32" t="s">
        <v>1650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267</v>
      </c>
      <c r="B80" s="32" t="s">
        <v>265</v>
      </c>
      <c r="C80" s="32" t="s">
        <v>1415</v>
      </c>
      <c r="D80" s="32" t="s">
        <v>268</v>
      </c>
      <c r="E80" s="32" t="s">
        <v>494</v>
      </c>
      <c r="F80" s="43">
        <v>3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1703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IF(Table1[[#This Row],[Auto Order]]=1,IF(Table1[[#This Row],[In stock]]&lt;Table1[[#This Row],[Min in stock]],1,""),"")</f>
        <v>1</v>
      </c>
    </row>
    <row r="81" spans="1:29" x14ac:dyDescent="0.25">
      <c r="A81" s="70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70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3</v>
      </c>
      <c r="G82" s="43">
        <v>2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 t="str">
        <f>IF(Table1[[#This Row],[Auto Order]]=1,IF(Table1[[#This Row],[In stock]]&lt;Table1[[#This Row],[Min in stock]],1,""),"")</f>
        <v/>
      </c>
    </row>
    <row r="83" spans="1:29" x14ac:dyDescent="0.25">
      <c r="A83" s="67" t="s">
        <v>1223</v>
      </c>
      <c r="B83" s="32" t="s">
        <v>73</v>
      </c>
      <c r="C83" s="32" t="s">
        <v>1409</v>
      </c>
      <c r="D83" s="32" t="s">
        <v>1224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1225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IF(Table1[[#This Row],[Auto Order]]=1,IF(Table1[[#This Row],[In stock]]&lt;Table1[[#This Row],[Min in stock]],1,""),"")</f>
        <v/>
      </c>
    </row>
    <row r="84" spans="1:29" x14ac:dyDescent="0.25">
      <c r="A84" s="70" t="s">
        <v>20</v>
      </c>
      <c r="B84" s="32" t="s">
        <v>85</v>
      </c>
      <c r="C84" s="32" t="s">
        <v>374</v>
      </c>
      <c r="D84" s="32" t="s">
        <v>1091</v>
      </c>
      <c r="E84" s="32" t="s">
        <v>515</v>
      </c>
      <c r="F84" s="43">
        <v>8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IF(Table1[[#This Row],[Auto Order]]=1,IF(Table1[[#This Row],[In stock]]&lt;Table1[[#This Row],[Min in stock]],1,""),"")</f>
        <v/>
      </c>
    </row>
    <row r="85" spans="1:29" x14ac:dyDescent="0.25">
      <c r="A85" s="67" t="s">
        <v>1124</v>
      </c>
      <c r="B85" s="32" t="s">
        <v>73</v>
      </c>
      <c r="C85" s="32" t="s">
        <v>1407</v>
      </c>
      <c r="D85" s="32" t="s">
        <v>1125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1126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IF(Table1[[#This Row],[Auto Order]]=1,IF(Table1[[#This Row],[In stock]]&lt;Table1[[#This Row],[Min in stock]],1,""),"")</f>
        <v/>
      </c>
    </row>
    <row r="86" spans="1:29" x14ac:dyDescent="0.25">
      <c r="A86" s="70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1143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440</v>
      </c>
      <c r="B88" s="32" t="s">
        <v>1143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70" t="s">
        <v>104</v>
      </c>
      <c r="B89" s="32" t="s">
        <v>82</v>
      </c>
      <c r="C89" s="32" t="s">
        <v>1647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IF(Table1[[#This Row],[Auto Order]]=1,IF(Table1[[#This Row],[In stock]]&lt;Table1[[#This Row],[Min in stock]],1,""),"")</f>
        <v/>
      </c>
    </row>
    <row r="90" spans="1:29" x14ac:dyDescent="0.25">
      <c r="A90" s="71" t="s">
        <v>81</v>
      </c>
      <c r="B90" s="32" t="s">
        <v>1642</v>
      </c>
      <c r="C90" s="32" t="s">
        <v>1645</v>
      </c>
      <c r="D90" s="32" t="s">
        <v>1643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1644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67" t="s">
        <v>1103</v>
      </c>
      <c r="B91" s="32" t="s">
        <v>1104</v>
      </c>
      <c r="C91" s="32" t="s">
        <v>1640</v>
      </c>
      <c r="D91" s="32" t="s">
        <v>1105</v>
      </c>
      <c r="E91" s="32" t="s">
        <v>506</v>
      </c>
      <c r="F91" s="43">
        <v>47</v>
      </c>
      <c r="G91" s="43">
        <v>100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1106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IF(Table1[[#This Row],[Auto Order]]=1,IF(Table1[[#This Row],[In stock]]&lt;Table1[[#This Row],[Min in stock]],1,""),"")</f>
        <v>1</v>
      </c>
    </row>
    <row r="92" spans="1:29" x14ac:dyDescent="0.25">
      <c r="A92" s="71" t="s">
        <v>1116</v>
      </c>
      <c r="B92" s="32" t="s">
        <v>1117</v>
      </c>
      <c r="C92" s="32" t="s">
        <v>1410</v>
      </c>
      <c r="D92" s="32" t="s">
        <v>1118</v>
      </c>
      <c r="E92" s="32" t="s">
        <v>516</v>
      </c>
      <c r="F92" s="43">
        <v>2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1119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IF(Table1[[#This Row],[Auto Order]]=1,IF(Table1[[#This Row],[In stock]]&lt;Table1[[#This Row],[Min in stock]],1,""),"")</f>
        <v/>
      </c>
    </row>
    <row r="93" spans="1:29" x14ac:dyDescent="0.25">
      <c r="A93" s="70" t="s">
        <v>173</v>
      </c>
      <c r="B93" s="32" t="s">
        <v>162</v>
      </c>
      <c r="C93" s="32" t="s">
        <v>1402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IF(Table1[[#This Row],[Auto Order]]=1,IF(Table1[[#This Row],[In stock]]&lt;Table1[[#This Row],[Min in stock]],1,""),"")</f>
        <v/>
      </c>
    </row>
    <row r="94" spans="1:29" x14ac:dyDescent="0.25">
      <c r="A94" s="70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IF(Table1[[#This Row],[Auto Order]]=1,IF(Table1[[#This Row],[In stock]]&lt;Table1[[#This Row],[Min in stock]],1,""),"")</f>
        <v/>
      </c>
    </row>
    <row r="95" spans="1:29" x14ac:dyDescent="0.25">
      <c r="A95" s="70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6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1672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>
        <f>IF(Table1[[#This Row],[Auto Order]]=1,IF(Table1[[#This Row],[In stock]]&lt;Table1[[#This Row],[Min in stock]],1,""),"")</f>
        <v>1</v>
      </c>
    </row>
    <row r="96" spans="1:29" x14ac:dyDescent="0.25">
      <c r="A96" s="67" t="s">
        <v>1695</v>
      </c>
      <c r="B96" s="32" t="s">
        <v>146</v>
      </c>
      <c r="C96" s="32" t="s">
        <v>327</v>
      </c>
      <c r="D96" s="32" t="s">
        <v>1696</v>
      </c>
      <c r="E96" s="32" t="s">
        <v>502</v>
      </c>
      <c r="F96" s="43">
        <v>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1697</v>
      </c>
      <c r="M96" s="39">
        <v>0.15</v>
      </c>
      <c r="N96" s="32"/>
      <c r="O96" s="39"/>
      <c r="P96" s="32"/>
      <c r="Q96" s="39"/>
      <c r="R96" s="32"/>
      <c r="S96" s="39"/>
      <c r="T96" s="32" t="s">
        <v>1701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>
        <f>IF(Table1[[#This Row],[Auto Order]]=1,IF(Table1[[#This Row],[In stock]]&lt;Table1[[#This Row],[Min in stock]],1,""),"")</f>
        <v>1</v>
      </c>
    </row>
    <row r="97" spans="1:29" x14ac:dyDescent="0.25">
      <c r="A97" s="67" t="s">
        <v>1689</v>
      </c>
      <c r="B97" s="32" t="s">
        <v>146</v>
      </c>
      <c r="C97" s="32" t="s">
        <v>327</v>
      </c>
      <c r="D97" s="32" t="s">
        <v>1690</v>
      </c>
      <c r="E97" s="32" t="s">
        <v>502</v>
      </c>
      <c r="F97" s="43">
        <v>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1691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1699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>
        <f>IF(Table1[[#This Row],[Auto Order]]=1,IF(Table1[[#This Row],[In stock]]&lt;Table1[[#This Row],[Min in stock]],1,""),"")</f>
        <v>1</v>
      </c>
    </row>
    <row r="98" spans="1:29" x14ac:dyDescent="0.25">
      <c r="A98" s="70" t="s">
        <v>210</v>
      </c>
      <c r="B98" s="32" t="s">
        <v>146</v>
      </c>
      <c r="C98" s="32" t="s">
        <v>386</v>
      </c>
      <c r="D98" s="32" t="s">
        <v>1151</v>
      </c>
      <c r="E98" s="32" t="s">
        <v>502</v>
      </c>
      <c r="F98" s="43">
        <v>4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1673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>
        <f>IF(Table1[[#This Row],[Auto Order]]=1,IF(Table1[[#This Row],[In stock]]&lt;Table1[[#This Row],[Min in stock]],1,""),"")</f>
        <v>1</v>
      </c>
    </row>
    <row r="99" spans="1:29" x14ac:dyDescent="0.25">
      <c r="A99" s="67" t="s">
        <v>1692</v>
      </c>
      <c r="B99" s="32" t="s">
        <v>146</v>
      </c>
      <c r="C99" s="32" t="s">
        <v>327</v>
      </c>
      <c r="D99" s="32" t="s">
        <v>1693</v>
      </c>
      <c r="E99" s="32" t="s">
        <v>502</v>
      </c>
      <c r="F99" s="43">
        <v>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1694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1700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>
        <f>IF(Table1[[#This Row],[Auto Order]]=1,IF(Table1[[#This Row],[In stock]]&lt;Table1[[#This Row],[Min in stock]],1,""),"")</f>
        <v>1</v>
      </c>
    </row>
    <row r="100" spans="1:29" x14ac:dyDescent="0.25">
      <c r="A100" s="67" t="s">
        <v>1217</v>
      </c>
      <c r="B100" s="32" t="s">
        <v>146</v>
      </c>
      <c r="C100" s="32" t="s">
        <v>1247</v>
      </c>
      <c r="D100" s="32" t="s">
        <v>1218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1219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IF(Table1[[#This Row],[Auto Order]]=1,IF(Table1[[#This Row],[In stock]]&lt;Table1[[#This Row],[Min in stock]],1,""),"")</f>
        <v/>
      </c>
    </row>
    <row r="101" spans="1:29" x14ac:dyDescent="0.25">
      <c r="A101" s="70" t="s">
        <v>127</v>
      </c>
      <c r="B101" s="32" t="s">
        <v>146</v>
      </c>
      <c r="C101" s="32" t="s">
        <v>1405</v>
      </c>
      <c r="D101" s="32" t="s">
        <v>128</v>
      </c>
      <c r="E101" s="32" t="s">
        <v>502</v>
      </c>
      <c r="F101" s="43">
        <v>3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1702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>
        <f>IF(Table1[[#This Row],[Auto Order]]=1,IF(Table1[[#This Row],[In stock]]&lt;Table1[[#This Row],[Min in stock]],1,""),"")</f>
        <v>1</v>
      </c>
    </row>
    <row r="102" spans="1:29" x14ac:dyDescent="0.25">
      <c r="A102" s="70" t="s">
        <v>31</v>
      </c>
      <c r="B102" s="32" t="s">
        <v>30</v>
      </c>
      <c r="C102" s="32" t="s">
        <v>1659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IF(Table1[[#This Row],[Auto Order]]=1,IF(Table1[[#This Row],[In stock]]&lt;Table1[[#This Row],[Min in stock]],1,""),"")</f>
        <v/>
      </c>
    </row>
    <row r="103" spans="1:29" x14ac:dyDescent="0.25">
      <c r="A103" s="70" t="s">
        <v>211</v>
      </c>
      <c r="B103" s="32" t="s">
        <v>147</v>
      </c>
      <c r="C103" s="32" t="s">
        <v>385</v>
      </c>
      <c r="D103" s="32" t="s">
        <v>1108</v>
      </c>
      <c r="E103" s="32" t="s">
        <v>502</v>
      </c>
      <c r="F103" s="43">
        <v>6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1052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1674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130</v>
      </c>
      <c r="B104" s="32" t="s">
        <v>147</v>
      </c>
      <c r="C104" s="32" t="s">
        <v>1404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67" t="s">
        <v>1214</v>
      </c>
      <c r="B107" s="32" t="s">
        <v>73</v>
      </c>
      <c r="C107" s="32" t="s">
        <v>1411</v>
      </c>
      <c r="D107" s="32" t="s">
        <v>1215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1216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IF(Table1[[#This Row],[Auto Order]]=1,IF(Table1[[#This Row],[In stock]]&lt;Table1[[#This Row],[Min in stock]],1,""),"")</f>
        <v/>
      </c>
    </row>
    <row r="108" spans="1:29" x14ac:dyDescent="0.25">
      <c r="A108" s="67" t="s">
        <v>1220</v>
      </c>
      <c r="B108" s="32" t="s">
        <v>73</v>
      </c>
      <c r="C108" s="32" t="s">
        <v>327</v>
      </c>
      <c r="D108" s="32" t="s">
        <v>1221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1222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IF(Table1[[#This Row],[Auto Order]]=1,IF(Table1[[#This Row],[In stock]]&lt;Table1[[#This Row],[Min in stock]],1,""),"")</f>
        <v/>
      </c>
    </row>
    <row r="109" spans="1:29" x14ac:dyDescent="0.25">
      <c r="A109" s="70" t="s">
        <v>139</v>
      </c>
      <c r="B109" s="32" t="s">
        <v>73</v>
      </c>
      <c r="C109" s="32" t="s">
        <v>1655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70" t="s">
        <v>74</v>
      </c>
      <c r="B110" s="32" t="s">
        <v>73</v>
      </c>
      <c r="C110" s="32" t="s">
        <v>1654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IF(Table1[[#This Row],[Auto Order]]=1,IF(Table1[[#This Row],[In stock]]&lt;Table1[[#This Row],[Min in stock]],1,""),"")</f>
        <v/>
      </c>
    </row>
    <row r="111" spans="1:29" x14ac:dyDescent="0.25">
      <c r="A111" s="70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2</v>
      </c>
      <c r="G111" s="43">
        <v>1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67" t="s">
        <v>468</v>
      </c>
      <c r="B114" s="32" t="s">
        <v>73</v>
      </c>
      <c r="C114" s="32" t="s">
        <v>1406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67" t="s">
        <v>1386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1386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IF(Table1[[#This Row],[Auto Order]]=1,IF(Table1[[#This Row],[In stock]]&lt;Table1[[#This Row],[Min in stock]],1,""),"")</f>
        <v/>
      </c>
    </row>
    <row r="116" spans="1:29" x14ac:dyDescent="0.25">
      <c r="A116" s="70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70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IF(Table1[[#This Row],[Auto Order]]=1,IF(Table1[[#This Row],[In stock]]&lt;Table1[[#This Row],[Min in stock]],1,""),"")</f>
        <v/>
      </c>
    </row>
    <row r="118" spans="1:29" x14ac:dyDescent="0.25">
      <c r="A118" s="70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IF(Table1[[#This Row],[Auto Order]]=1,IF(Table1[[#This Row],[In stock]]&lt;Table1[[#This Row],[Min in stock]],1,""),"")</f>
        <v/>
      </c>
    </row>
    <row r="119" spans="1:29" x14ac:dyDescent="0.25">
      <c r="A119" s="70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1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67" t="s">
        <v>466</v>
      </c>
      <c r="B121" s="32" t="s">
        <v>73</v>
      </c>
      <c r="C121" s="32" t="s">
        <v>327</v>
      </c>
      <c r="D121" s="32" t="s">
        <v>1026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67" t="s">
        <v>1109</v>
      </c>
      <c r="B122" s="32" t="s">
        <v>73</v>
      </c>
      <c r="C122" s="32" t="s">
        <v>327</v>
      </c>
      <c r="D122" s="32" t="s">
        <v>1210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1110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1685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IF(Table1[[#This Row],[Auto Order]]=1,IF(Table1[[#This Row],[In stock]]&lt;Table1[[#This Row],[Min in stock]],1,""),"")</f>
        <v/>
      </c>
    </row>
    <row r="123" spans="1:29" x14ac:dyDescent="0.25">
      <c r="A123" s="67" t="s">
        <v>1182</v>
      </c>
      <c r="B123" s="32" t="s">
        <v>1173</v>
      </c>
      <c r="C123" s="32" t="s">
        <v>1660</v>
      </c>
      <c r="D123" s="32" t="s">
        <v>1180</v>
      </c>
      <c r="E123" s="32" t="s">
        <v>1190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1181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67" t="s">
        <v>463</v>
      </c>
      <c r="B124" s="32" t="s">
        <v>73</v>
      </c>
      <c r="C124" s="32" t="s">
        <v>1412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IF(Table1[[#This Row],[Auto Order]]=1,IF(Table1[[#This Row],[In stock]]&lt;Table1[[#This Row],[Min in stock]],1,""),"")</f>
        <v/>
      </c>
    </row>
    <row r="125" spans="1:29" x14ac:dyDescent="0.25">
      <c r="A125" s="70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IF(Table1[[#This Row],[Auto Order]]=1,IF(Table1[[#This Row],[In stock]]&lt;Table1[[#This Row],[Min in stock]],1,""),"")</f>
        <v/>
      </c>
    </row>
    <row r="126" spans="1:29" x14ac:dyDescent="0.25">
      <c r="A126" s="70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1127</v>
      </c>
      <c r="B128" s="32" t="s">
        <v>230</v>
      </c>
      <c r="C128" s="32" t="s">
        <v>327</v>
      </c>
      <c r="D128" s="32" t="s">
        <v>1128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1" t="s">
        <v>1129</v>
      </c>
      <c r="B129" s="32" t="s">
        <v>230</v>
      </c>
      <c r="C129" s="32" t="s">
        <v>327</v>
      </c>
      <c r="D129" s="32" t="s">
        <v>1130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IF(Table1[[#This Row],[Auto Order]]=1,IF(Table1[[#This Row],[In stock]]&lt;Table1[[#This Row],[Min in stock]],1,""),"")</f>
        <v/>
      </c>
    </row>
    <row r="130" spans="1:29" x14ac:dyDescent="0.25">
      <c r="A130" s="71" t="s">
        <v>1391</v>
      </c>
      <c r="B130" s="32" t="s">
        <v>230</v>
      </c>
      <c r="C130" s="32" t="s">
        <v>327</v>
      </c>
      <c r="D130" s="32" t="s">
        <v>1392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67" t="s">
        <v>1393</v>
      </c>
      <c r="B131" s="32" t="s">
        <v>230</v>
      </c>
      <c r="C131" s="32" t="s">
        <v>327</v>
      </c>
      <c r="D131" s="32" t="s">
        <v>1394</v>
      </c>
      <c r="E131" s="32" t="s">
        <v>512</v>
      </c>
      <c r="F131" s="43">
        <v>0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8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1" t="s">
        <v>1139</v>
      </c>
      <c r="B133" s="32" t="s">
        <v>230</v>
      </c>
      <c r="C133" s="32" t="s">
        <v>327</v>
      </c>
      <c r="D133" s="32" t="s">
        <v>1141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IF(Table1[[#This Row],[Auto Order]]=1,IF(Table1[[#This Row],[In stock]]&lt;Table1[[#This Row],[Min in stock]],1,""),"")</f>
        <v/>
      </c>
    </row>
    <row r="134" spans="1:29" x14ac:dyDescent="0.25">
      <c r="A134" s="70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1" t="s">
        <v>1048</v>
      </c>
      <c r="B135" s="32" t="s">
        <v>230</v>
      </c>
      <c r="C135" s="32" t="s">
        <v>327</v>
      </c>
      <c r="D135" s="32" t="s">
        <v>1049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IF(Table1[[#This Row],[Auto Order]]=1,IF(Table1[[#This Row],[In stock]]&lt;Table1[[#This Row],[Min in stock]],1,""),"")</f>
        <v/>
      </c>
    </row>
    <row r="136" spans="1:29" x14ac:dyDescent="0.25">
      <c r="A136" s="71" t="s">
        <v>1390</v>
      </c>
      <c r="B136" s="32" t="s">
        <v>230</v>
      </c>
      <c r="C136" s="32" t="s">
        <v>327</v>
      </c>
      <c r="D136" s="32" t="s">
        <v>1401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IF(Table1[[#This Row],[Auto Order]]=1,IF(Table1[[#This Row],[In stock]]&lt;Table1[[#This Row],[Min in stock]],1,""),"")</f>
        <v/>
      </c>
    </row>
    <row r="137" spans="1:29" x14ac:dyDescent="0.25">
      <c r="A137" s="70" t="s">
        <v>66</v>
      </c>
      <c r="B137" s="32" t="s">
        <v>65</v>
      </c>
      <c r="C137" s="32" t="s">
        <v>1659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1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0" t="s">
        <v>176</v>
      </c>
      <c r="B139" s="32" t="s">
        <v>162</v>
      </c>
      <c r="C139" s="32" t="s">
        <v>327</v>
      </c>
      <c r="D139" s="32" t="s">
        <v>1120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IF(Table1[[#This Row],[Auto Order]]=1,IF(Table1[[#This Row],[In stock]]&lt;Table1[[#This Row],[Min in stock]],1,""),"")</f>
        <v/>
      </c>
    </row>
    <row r="140" spans="1:29" x14ac:dyDescent="0.25">
      <c r="A140" s="70" t="s">
        <v>19</v>
      </c>
      <c r="B140" s="32" t="s">
        <v>38</v>
      </c>
      <c r="C140" s="32" t="s">
        <v>384</v>
      </c>
      <c r="D140" s="32" t="s">
        <v>1123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IF(Table1[[#This Row],[Auto Order]]=1,IF(Table1[[#This Row],[In stock]]&lt;Table1[[#This Row],[Min in stock]],1,""),"")</f>
        <v/>
      </c>
    </row>
    <row r="141" spans="1:29" x14ac:dyDescent="0.25">
      <c r="A141" s="70" t="s">
        <v>167</v>
      </c>
      <c r="B141" s="32" t="s">
        <v>162</v>
      </c>
      <c r="C141" s="32" t="s">
        <v>327</v>
      </c>
      <c r="D141" s="32" t="s">
        <v>1121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169</v>
      </c>
      <c r="B142" s="32" t="s">
        <v>162</v>
      </c>
      <c r="C142" s="32" t="s">
        <v>327</v>
      </c>
      <c r="D142" s="32" t="s">
        <v>1122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1664</v>
      </c>
      <c r="B143" s="32" t="s">
        <v>58</v>
      </c>
      <c r="C143" s="32" t="s">
        <v>1665</v>
      </c>
      <c r="D143" s="32" t="s">
        <v>1663</v>
      </c>
      <c r="E143" s="32" t="s">
        <v>1661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1662</v>
      </c>
      <c r="AA143" s="32">
        <v>63190092</v>
      </c>
      <c r="AB143" s="41">
        <v>1.35</v>
      </c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70" t="s">
        <v>125</v>
      </c>
      <c r="B144" s="32" t="s">
        <v>62</v>
      </c>
      <c r="C144" s="32" t="s">
        <v>1403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IF(Table1[[#This Row],[Auto Order]]=1,IF(Table1[[#This Row],[In stock]]&lt;Table1[[#This Row],[Min in stock]],1,""),"")</f>
        <v/>
      </c>
    </row>
    <row r="145" spans="1:29" x14ac:dyDescent="0.25">
      <c r="A145" s="71" t="s">
        <v>1085</v>
      </c>
      <c r="B145" s="32" t="s">
        <v>1086</v>
      </c>
      <c r="C145" s="32" t="s">
        <v>1653</v>
      </c>
      <c r="D145" s="32" t="s">
        <v>1095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1087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1" t="s">
        <v>1088</v>
      </c>
      <c r="B146" s="32" t="s">
        <v>1086</v>
      </c>
      <c r="C146" s="32" t="s">
        <v>1653</v>
      </c>
      <c r="D146" s="32" t="s">
        <v>1096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1089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227</v>
      </c>
      <c r="B147" s="32" t="s">
        <v>228</v>
      </c>
      <c r="C147" s="32" t="s">
        <v>1380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171</v>
      </c>
      <c r="B148" s="32" t="s">
        <v>228</v>
      </c>
      <c r="C148" s="32" t="s">
        <v>1374</v>
      </c>
      <c r="D148" s="32" t="s">
        <v>1248</v>
      </c>
      <c r="E148" s="32" t="s">
        <v>511</v>
      </c>
      <c r="F148" s="43">
        <v>95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1080</v>
      </c>
      <c r="B149" s="32" t="s">
        <v>228</v>
      </c>
      <c r="C149" s="32" t="s">
        <v>327</v>
      </c>
      <c r="D149" s="32" t="s">
        <v>1081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1079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1077</v>
      </c>
      <c r="B150" s="32" t="s">
        <v>228</v>
      </c>
      <c r="C150" s="32" t="s">
        <v>327</v>
      </c>
      <c r="D150" s="32" t="s">
        <v>1078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1076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IF(Table1[[#This Row],[Auto Order]]=1,IF(Table1[[#This Row],[In stock]]&lt;Table1[[#This Row],[Min in stock]],1,""),"")</f>
        <v/>
      </c>
    </row>
    <row r="151" spans="1:29" x14ac:dyDescent="0.25">
      <c r="A151" s="67" t="s">
        <v>1083</v>
      </c>
      <c r="B151" s="32" t="s">
        <v>228</v>
      </c>
      <c r="C151" s="32" t="s">
        <v>1428</v>
      </c>
      <c r="D151" s="32" t="s">
        <v>1084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1082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IF(Table1[[#This Row],[Auto Order]]=1,IF(Table1[[#This Row],[In stock]]&lt;Table1[[#This Row],[Min in stock]],1,""),"")</f>
        <v/>
      </c>
    </row>
    <row r="152" spans="1:29" x14ac:dyDescent="0.25">
      <c r="A152" s="70" t="s">
        <v>439</v>
      </c>
      <c r="B152" s="32" t="s">
        <v>1142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IF(Table1[[#This Row],[Auto Order]]=1,IF(Table1[[#This Row],[In stock]]&lt;Table1[[#This Row],[Min in stock]],1,""),"")</f>
        <v/>
      </c>
    </row>
    <row r="153" spans="1:29" x14ac:dyDescent="0.25">
      <c r="A153" s="70" t="s">
        <v>224</v>
      </c>
      <c r="B153" s="32" t="s">
        <v>225</v>
      </c>
      <c r="C153" s="32" t="s">
        <v>1381</v>
      </c>
      <c r="D153" s="32" t="s">
        <v>1209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IF(Table1[[#This Row],[Auto Order]]=1,IF(Table1[[#This Row],[In stock]]&lt;Table1[[#This Row],[Min in stock]],1,""),"")</f>
        <v/>
      </c>
    </row>
    <row r="154" spans="1:29" x14ac:dyDescent="0.25">
      <c r="A154" s="70" t="s">
        <v>53</v>
      </c>
      <c r="B154" s="32" t="s">
        <v>52</v>
      </c>
      <c r="C154" s="32" t="s">
        <v>1378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IF(Table1[[#This Row],[Auto Order]]=1,IF(Table1[[#This Row],[In stock]]&lt;Table1[[#This Row],[Min in stock]],1,""),"")</f>
        <v/>
      </c>
    </row>
    <row r="155" spans="1:29" x14ac:dyDescent="0.25">
      <c r="A155" s="67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_xlfn.CONCAT("755-",Table1[[#This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67" t="s">
        <v>974</v>
      </c>
      <c r="B156" s="32" t="s">
        <v>593</v>
      </c>
      <c r="C156" s="32" t="s">
        <v>327</v>
      </c>
      <c r="D156" s="32" t="s">
        <v>975</v>
      </c>
      <c r="E156" s="32" t="s">
        <v>511</v>
      </c>
      <c r="F156" s="43">
        <v>0</v>
      </c>
      <c r="G156" s="43">
        <v>10</v>
      </c>
      <c r="H156" s="43">
        <f>1</f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_xlfn.CONCAT("755-",Table1[[#This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>
        <f>IF(Table1[[#This Row],[Auto Order]]=1,IF(Table1[[#This Row],[In stock]]&lt;Table1[[#This Row],[Min in stock]],1,""),"")</f>
        <v>1</v>
      </c>
    </row>
    <row r="157" spans="1:29" x14ac:dyDescent="0.25">
      <c r="A157" s="67" t="s">
        <v>998</v>
      </c>
      <c r="B157" s="32" t="s">
        <v>593</v>
      </c>
      <c r="C157" s="32" t="s">
        <v>327</v>
      </c>
      <c r="D157" s="32" t="s">
        <v>999</v>
      </c>
      <c r="E157" s="32" t="s">
        <v>511</v>
      </c>
      <c r="F157" s="43">
        <v>0</v>
      </c>
      <c r="G157" s="43">
        <v>10</v>
      </c>
      <c r="H157" s="43">
        <f>1</f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_xlfn.CONCAT("755-",Table1[[#This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>
        <f>IF(Table1[[#This Row],[Auto Order]]=1,IF(Table1[[#This Row],[In stock]]&lt;Table1[[#This Row],[Min in stock]],1,""),"")</f>
        <v>1</v>
      </c>
    </row>
    <row r="158" spans="1:29" x14ac:dyDescent="0.25">
      <c r="A158" s="71" t="s">
        <v>1717</v>
      </c>
      <c r="B158" s="32" t="s">
        <v>593</v>
      </c>
      <c r="C158" s="32" t="s">
        <v>327</v>
      </c>
      <c r="D158" s="32" t="s">
        <v>1718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1716</v>
      </c>
      <c r="M158" s="39">
        <v>0.1</v>
      </c>
      <c r="N158" s="32"/>
      <c r="O158" s="39"/>
      <c r="P158" s="32"/>
      <c r="Q158" s="39"/>
      <c r="R158" s="32"/>
      <c r="S158" s="39"/>
      <c r="T158" s="45" t="str">
        <f>_xlfn.CONCAT("755-",Table1[[#This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IF(Table1[[#This Row],[Auto Order]]=1,IF(Table1[[#This Row],[In stock]]&lt;Table1[[#This Row],[Min in stock]],1,""),"")</f>
        <v/>
      </c>
    </row>
    <row r="159" spans="1:29" x14ac:dyDescent="0.25">
      <c r="A159" s="71" t="s">
        <v>1714</v>
      </c>
      <c r="B159" s="32" t="s">
        <v>593</v>
      </c>
      <c r="C159" s="32" t="s">
        <v>327</v>
      </c>
      <c r="D159" s="32" t="s">
        <v>1715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1713</v>
      </c>
      <c r="M159" s="39">
        <v>0.1</v>
      </c>
      <c r="N159" s="32"/>
      <c r="O159" s="39"/>
      <c r="P159" s="32"/>
      <c r="Q159" s="39"/>
      <c r="R159" s="32"/>
      <c r="S159" s="39"/>
      <c r="T159" s="45" t="str">
        <f>_xlfn.CONCAT("755-",Table1[[#This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971</v>
      </c>
      <c r="B160" s="32" t="s">
        <v>593</v>
      </c>
      <c r="C160" s="32" t="s">
        <v>1419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_xlfn.CONCAT("755-",Table1[[#This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980</v>
      </c>
      <c r="B161" s="32" t="s">
        <v>593</v>
      </c>
      <c r="C161" s="32" t="s">
        <v>1423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_xlfn.CONCAT("755-",Table1[[#This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71" t="s">
        <v>1821</v>
      </c>
      <c r="B162" s="32" t="s">
        <v>593</v>
      </c>
      <c r="C162" s="32" t="s">
        <v>327</v>
      </c>
      <c r="D162" s="32" t="s">
        <v>1822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1820</v>
      </c>
      <c r="M162" s="39">
        <v>0.1</v>
      </c>
      <c r="N162" s="32"/>
      <c r="O162" s="39"/>
      <c r="P162" s="32"/>
      <c r="Q162" s="39"/>
      <c r="R162" s="32"/>
      <c r="S162" s="39"/>
      <c r="T162" s="45" t="str">
        <f>_xlfn.CONCAT("755-",Table1[[#This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1012</v>
      </c>
      <c r="B163" s="32" t="s">
        <v>593</v>
      </c>
      <c r="C163" s="32" t="s">
        <v>1424</v>
      </c>
      <c r="D163" s="32" t="s">
        <v>1013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1011</v>
      </c>
      <c r="M163" s="39">
        <v>0.1</v>
      </c>
      <c r="N163" s="32"/>
      <c r="O163" s="39"/>
      <c r="P163" s="32"/>
      <c r="Q163" s="39"/>
      <c r="R163" s="32"/>
      <c r="S163" s="39"/>
      <c r="T163" s="45" t="str">
        <f>_xlfn.CONCAT("755-",Table1[[#This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1833</v>
      </c>
      <c r="B164" s="32" t="s">
        <v>593</v>
      </c>
      <c r="C164" s="32" t="s">
        <v>327</v>
      </c>
      <c r="D164" s="32" t="s">
        <v>1834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1832</v>
      </c>
      <c r="M164" s="39">
        <v>0.1</v>
      </c>
      <c r="N164" s="32"/>
      <c r="O164" s="39"/>
      <c r="P164" s="32"/>
      <c r="Q164" s="39"/>
      <c r="R164" s="32"/>
      <c r="S164" s="39"/>
      <c r="T164" s="45" t="str">
        <f>_xlfn.CONCAT("755-",Table1[[#This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1818</v>
      </c>
      <c r="B165" s="32" t="s">
        <v>593</v>
      </c>
      <c r="C165" s="32" t="s">
        <v>327</v>
      </c>
      <c r="D165" s="32" t="s">
        <v>1819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1817</v>
      </c>
      <c r="M165" s="39">
        <v>0.1</v>
      </c>
      <c r="N165" s="32"/>
      <c r="O165" s="39"/>
      <c r="P165" s="32"/>
      <c r="Q165" s="39"/>
      <c r="R165" s="32"/>
      <c r="S165" s="39"/>
      <c r="T165" s="45" t="str">
        <f>_xlfn.CONCAT("755-",Table1[[#This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2091</v>
      </c>
      <c r="B166" s="32" t="s">
        <v>593</v>
      </c>
      <c r="C166" s="32" t="s">
        <v>327</v>
      </c>
      <c r="D166" s="32" t="s">
        <v>2092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2090</v>
      </c>
      <c r="M166" s="39">
        <v>0.1</v>
      </c>
      <c r="N166" s="32"/>
      <c r="O166" s="39"/>
      <c r="P166" s="32"/>
      <c r="Q166" s="39"/>
      <c r="R166" s="32"/>
      <c r="S166" s="39"/>
      <c r="T166" s="45" t="str">
        <f>_xlfn.CONCAT("755-",Table1[[#This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IF(Table1[[#This Row],[Auto Order]]=1,IF(Table1[[#This Row],[In stock]]&lt;Table1[[#This Row],[Min in stock]],1,""),"")</f>
        <v/>
      </c>
    </row>
    <row r="167" spans="1:29" x14ac:dyDescent="0.25">
      <c r="A167" s="71" t="s">
        <v>2039</v>
      </c>
      <c r="B167" s="32" t="s">
        <v>593</v>
      </c>
      <c r="C167" s="32" t="s">
        <v>327</v>
      </c>
      <c r="D167" s="32" t="s">
        <v>2040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2038</v>
      </c>
      <c r="M167" s="39">
        <v>0.1</v>
      </c>
      <c r="N167" s="32"/>
      <c r="O167" s="39"/>
      <c r="P167" s="32"/>
      <c r="Q167" s="39"/>
      <c r="R167" s="32"/>
      <c r="S167" s="39"/>
      <c r="T167" s="45" t="str">
        <f>_xlfn.CONCAT("755-",Table1[[#This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71" t="s">
        <v>1891</v>
      </c>
      <c r="B168" s="32" t="s">
        <v>593</v>
      </c>
      <c r="C168" s="32" t="s">
        <v>327</v>
      </c>
      <c r="D168" s="32" t="s">
        <v>1892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1890</v>
      </c>
      <c r="M168" s="39">
        <v>0.1</v>
      </c>
      <c r="N168" s="32"/>
      <c r="O168" s="39"/>
      <c r="P168" s="32"/>
      <c r="Q168" s="39"/>
      <c r="R168" s="32"/>
      <c r="S168" s="39"/>
      <c r="T168" s="45" t="str">
        <f>_xlfn.CONCAT("755-",Table1[[#This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2100</v>
      </c>
      <c r="B169" s="32" t="s">
        <v>593</v>
      </c>
      <c r="C169" s="32" t="s">
        <v>327</v>
      </c>
      <c r="D169" s="32" t="s">
        <v>2101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2099</v>
      </c>
      <c r="M169" s="39">
        <v>0.1</v>
      </c>
      <c r="N169" s="32"/>
      <c r="O169" s="39"/>
      <c r="P169" s="32"/>
      <c r="Q169" s="39"/>
      <c r="R169" s="32"/>
      <c r="S169" s="39"/>
      <c r="T169" s="45" t="str">
        <f>_xlfn.CONCAT("755-",Table1[[#This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1964</v>
      </c>
      <c r="B170" s="32" t="s">
        <v>593</v>
      </c>
      <c r="C170" s="32" t="s">
        <v>327</v>
      </c>
      <c r="D170" s="32" t="s">
        <v>1965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1963</v>
      </c>
      <c r="M170" s="39">
        <v>0.1</v>
      </c>
      <c r="N170" s="32"/>
      <c r="O170" s="39"/>
      <c r="P170" s="32"/>
      <c r="Q170" s="39"/>
      <c r="R170" s="32"/>
      <c r="S170" s="39"/>
      <c r="T170" s="45" t="str">
        <f>_xlfn.CONCAT("755-",Table1[[#This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1794</v>
      </c>
      <c r="B171" s="32" t="s">
        <v>593</v>
      </c>
      <c r="C171" s="32" t="s">
        <v>327</v>
      </c>
      <c r="D171" s="32" t="s">
        <v>1795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1793</v>
      </c>
      <c r="M171" s="39">
        <v>0.1</v>
      </c>
      <c r="N171" s="32"/>
      <c r="O171" s="39"/>
      <c r="P171" s="32"/>
      <c r="Q171" s="39"/>
      <c r="R171" s="32"/>
      <c r="S171" s="39"/>
      <c r="T171" s="45" t="str">
        <f>_xlfn.CONCAT("755-",Table1[[#This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67" t="s">
        <v>986</v>
      </c>
      <c r="B172" s="32" t="s">
        <v>593</v>
      </c>
      <c r="C172" s="32" t="s">
        <v>1427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_xlfn.CONCAT("755-",Table1[[#This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1803</v>
      </c>
      <c r="B173" s="32" t="s">
        <v>593</v>
      </c>
      <c r="C173" s="32" t="s">
        <v>327</v>
      </c>
      <c r="D173" s="32" t="s">
        <v>1804</v>
      </c>
      <c r="E173" s="32" t="s">
        <v>511</v>
      </c>
      <c r="F173" s="43">
        <v>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1802</v>
      </c>
      <c r="M173" s="39">
        <v>0.1</v>
      </c>
      <c r="N173" s="32"/>
      <c r="O173" s="39"/>
      <c r="P173" s="32"/>
      <c r="Q173" s="39"/>
      <c r="R173" s="32"/>
      <c r="S173" s="39"/>
      <c r="T173" s="45" t="str">
        <f>_xlfn.CONCAT("755-",Table1[[#This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>
        <f>IF(Table1[[#This Row],[Auto Order]]=1,IF(Table1[[#This Row],[In stock]]&lt;Table1[[#This Row],[Min in stock]],1,""),"")</f>
        <v>1</v>
      </c>
    </row>
    <row r="174" spans="1:29" x14ac:dyDescent="0.25">
      <c r="A174" s="71" t="s">
        <v>2084</v>
      </c>
      <c r="B174" s="32" t="s">
        <v>593</v>
      </c>
      <c r="C174" s="32" t="s">
        <v>327</v>
      </c>
      <c r="D174" s="32" t="s">
        <v>2085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2083</v>
      </c>
      <c r="M174" s="39">
        <v>0.1</v>
      </c>
      <c r="N174" s="32"/>
      <c r="O174" s="39"/>
      <c r="P174" s="32"/>
      <c r="Q174" s="39"/>
      <c r="R174" s="32"/>
      <c r="S174" s="39"/>
      <c r="T174" s="45" t="str">
        <f>_xlfn.CONCAT("755-",Table1[[#This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1845</v>
      </c>
      <c r="B175" s="32" t="s">
        <v>593</v>
      </c>
      <c r="C175" s="32" t="s">
        <v>327</v>
      </c>
      <c r="D175" s="32" t="s">
        <v>1846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1844</v>
      </c>
      <c r="M175" s="39">
        <v>0.1</v>
      </c>
      <c r="N175" s="32"/>
      <c r="O175" s="39"/>
      <c r="P175" s="32"/>
      <c r="Q175" s="39"/>
      <c r="R175" s="32"/>
      <c r="S175" s="39"/>
      <c r="T175" s="45" t="str">
        <f>_xlfn.CONCAT("755-",Table1[[#This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1967</v>
      </c>
      <c r="B176" s="32" t="s">
        <v>593</v>
      </c>
      <c r="C176" s="32" t="s">
        <v>327</v>
      </c>
      <c r="D176" s="32" t="s">
        <v>1968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1966</v>
      </c>
      <c r="M176" s="39">
        <v>0.1</v>
      </c>
      <c r="N176" s="32"/>
      <c r="O176" s="39"/>
      <c r="P176" s="32"/>
      <c r="Q176" s="39"/>
      <c r="R176" s="32"/>
      <c r="S176" s="39"/>
      <c r="T176" s="45" t="str">
        <f>_xlfn.CONCAT("755-",Table1[[#This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2072</v>
      </c>
      <c r="B177" s="32" t="s">
        <v>593</v>
      </c>
      <c r="C177" s="32" t="s">
        <v>327</v>
      </c>
      <c r="D177" s="32" t="s">
        <v>2073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2071</v>
      </c>
      <c r="M177" s="39">
        <v>0.1</v>
      </c>
      <c r="N177" s="32"/>
      <c r="O177" s="39"/>
      <c r="P177" s="32"/>
      <c r="Q177" s="39"/>
      <c r="R177" s="32"/>
      <c r="S177" s="39"/>
      <c r="T177" s="45" t="str">
        <f>_xlfn.CONCAT("755-",Table1[[#This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1759</v>
      </c>
      <c r="B178" s="32" t="s">
        <v>593</v>
      </c>
      <c r="C178" s="32" t="s">
        <v>327</v>
      </c>
      <c r="D178" s="32" t="s">
        <v>1760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1758</v>
      </c>
      <c r="M178" s="39">
        <v>0.1</v>
      </c>
      <c r="N178" s="32"/>
      <c r="O178" s="39"/>
      <c r="P178" s="32"/>
      <c r="Q178" s="39"/>
      <c r="R178" s="32"/>
      <c r="S178" s="39"/>
      <c r="T178" s="45" t="str">
        <f>_xlfn.CONCAT("755-",Table1[[#This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1895</v>
      </c>
      <c r="B179" s="32" t="s">
        <v>593</v>
      </c>
      <c r="C179" s="32" t="s">
        <v>327</v>
      </c>
      <c r="D179" s="32" t="s">
        <v>1896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1894</v>
      </c>
      <c r="M179" s="39">
        <v>0.1</v>
      </c>
      <c r="N179" s="32"/>
      <c r="O179" s="39"/>
      <c r="P179" s="32"/>
      <c r="Q179" s="39"/>
      <c r="R179" s="32"/>
      <c r="S179" s="39"/>
      <c r="T179" s="45" t="str">
        <f>_xlfn.CONCAT("755-",Table1[[#This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2107</v>
      </c>
      <c r="B180" s="32" t="s">
        <v>593</v>
      </c>
      <c r="C180" s="32" t="s">
        <v>327</v>
      </c>
      <c r="D180" s="32" t="s">
        <v>2108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2106</v>
      </c>
      <c r="M180" s="39">
        <v>0.1</v>
      </c>
      <c r="N180" s="32"/>
      <c r="O180" s="39"/>
      <c r="P180" s="32"/>
      <c r="Q180" s="39"/>
      <c r="R180" s="32"/>
      <c r="S180" s="39"/>
      <c r="T180" s="45" t="str">
        <f>_xlfn.CONCAT("755-",Table1[[#This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1971</v>
      </c>
      <c r="B181" s="32" t="s">
        <v>593</v>
      </c>
      <c r="C181" s="32" t="s">
        <v>327</v>
      </c>
      <c r="D181" s="32" t="s">
        <v>1972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1970</v>
      </c>
      <c r="M181" s="39">
        <v>0.1</v>
      </c>
      <c r="N181" s="32"/>
      <c r="O181" s="39"/>
      <c r="P181" s="32"/>
      <c r="Q181" s="39"/>
      <c r="R181" s="32"/>
      <c r="S181" s="39"/>
      <c r="T181" s="45" t="str">
        <f>_xlfn.CONCAT("755-",Table1[[#This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1975</v>
      </c>
      <c r="B182" s="32" t="s">
        <v>593</v>
      </c>
      <c r="C182" s="32" t="s">
        <v>327</v>
      </c>
      <c r="D182" s="32" t="s">
        <v>1976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1974</v>
      </c>
      <c r="M182" s="39">
        <v>0.1</v>
      </c>
      <c r="N182" s="32"/>
      <c r="O182" s="39"/>
      <c r="P182" s="32"/>
      <c r="Q182" s="39"/>
      <c r="R182" s="32"/>
      <c r="S182" s="39"/>
      <c r="T182" s="45" t="str">
        <f>_xlfn.CONCAT("755-",Table1[[#This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1836</v>
      </c>
      <c r="B183" s="32" t="s">
        <v>593</v>
      </c>
      <c r="C183" s="32" t="s">
        <v>327</v>
      </c>
      <c r="D183" s="32" t="s">
        <v>1837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1835</v>
      </c>
      <c r="M183" s="39">
        <v>0.1</v>
      </c>
      <c r="N183" s="32"/>
      <c r="O183" s="39"/>
      <c r="P183" s="32"/>
      <c r="Q183" s="39"/>
      <c r="R183" s="32"/>
      <c r="S183" s="39"/>
      <c r="T183" s="45" t="str">
        <f>_xlfn.CONCAT("755-",Table1[[#This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989</v>
      </c>
      <c r="B184" s="32" t="s">
        <v>593</v>
      </c>
      <c r="C184" s="32" t="s">
        <v>1416</v>
      </c>
      <c r="D184" s="32" t="s">
        <v>990</v>
      </c>
      <c r="E184" s="32" t="s">
        <v>511</v>
      </c>
      <c r="F184" s="43">
        <v>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_xlfn.CONCAT("755-",Table1[[#This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>
        <f>IF(Table1[[#This Row],[Auto Order]]=1,IF(Table1[[#This Row],[In stock]]&lt;Table1[[#This Row],[Min in stock]],1,""),"")</f>
        <v>1</v>
      </c>
    </row>
    <row r="185" spans="1:29" x14ac:dyDescent="0.25">
      <c r="A185" s="67" t="s">
        <v>1447</v>
      </c>
      <c r="B185" s="32" t="s">
        <v>593</v>
      </c>
      <c r="C185" s="32" t="s">
        <v>327</v>
      </c>
      <c r="D185" s="32" t="s">
        <v>1448</v>
      </c>
      <c r="E185" s="32" t="s">
        <v>511</v>
      </c>
      <c r="F185" s="43">
        <v>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1449</v>
      </c>
      <c r="M185" s="39">
        <v>0.1</v>
      </c>
      <c r="N185" s="32"/>
      <c r="O185" s="39"/>
      <c r="P185" s="32"/>
      <c r="Q185" s="39"/>
      <c r="R185" s="32"/>
      <c r="S185" s="39"/>
      <c r="T185" s="45" t="str">
        <f>_xlfn.CONCAT("755-",Table1[[#This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>
        <f>IF(Table1[[#This Row],[Auto Order]]=1,IF(Table1[[#This Row],[In stock]]&lt;Table1[[#This Row],[Min in stock]],1,""),"")</f>
        <v>1</v>
      </c>
    </row>
    <row r="186" spans="1:29" x14ac:dyDescent="0.25">
      <c r="A186" s="71" t="s">
        <v>1839</v>
      </c>
      <c r="B186" s="32" t="s">
        <v>593</v>
      </c>
      <c r="C186" s="32" t="s">
        <v>327</v>
      </c>
      <c r="D186" s="32" t="s">
        <v>1840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1838</v>
      </c>
      <c r="M186" s="39">
        <v>0.1</v>
      </c>
      <c r="N186" s="32"/>
      <c r="O186" s="39"/>
      <c r="P186" s="32"/>
      <c r="Q186" s="39"/>
      <c r="R186" s="32"/>
      <c r="S186" s="39"/>
      <c r="T186" s="45" t="str">
        <f>_xlfn.CONCAT("755-",Table1[[#This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2122</v>
      </c>
      <c r="B187" s="32" t="s">
        <v>593</v>
      </c>
      <c r="C187" s="32" t="s">
        <v>327</v>
      </c>
      <c r="D187" s="32" t="s">
        <v>2123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2121</v>
      </c>
      <c r="M187" s="39">
        <v>0.1</v>
      </c>
      <c r="N187" s="32"/>
      <c r="O187" s="39"/>
      <c r="P187" s="32"/>
      <c r="Q187" s="39"/>
      <c r="R187" s="32"/>
      <c r="S187" s="39"/>
      <c r="T187" s="45" t="str">
        <f>_xlfn.CONCAT("755-",Table1[[#This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2125</v>
      </c>
      <c r="B188" s="32" t="s">
        <v>593</v>
      </c>
      <c r="C188" s="32" t="s">
        <v>327</v>
      </c>
      <c r="D188" s="32" t="s">
        <v>2126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2124</v>
      </c>
      <c r="M188" s="39">
        <v>0.1</v>
      </c>
      <c r="N188" s="32"/>
      <c r="O188" s="39"/>
      <c r="P188" s="32"/>
      <c r="Q188" s="39"/>
      <c r="R188" s="32"/>
      <c r="S188" s="39"/>
      <c r="T188" s="45" t="str">
        <f>_xlfn.CONCAT("755-",Table1[[#This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1848</v>
      </c>
      <c r="B189" s="32" t="s">
        <v>593</v>
      </c>
      <c r="C189" s="32" t="s">
        <v>327</v>
      </c>
      <c r="D189" s="32" t="s">
        <v>1849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1847</v>
      </c>
      <c r="M189" s="39">
        <v>0.1</v>
      </c>
      <c r="N189" s="32"/>
      <c r="O189" s="39"/>
      <c r="P189" s="32"/>
      <c r="Q189" s="39"/>
      <c r="R189" s="32"/>
      <c r="S189" s="39"/>
      <c r="T189" s="45" t="str">
        <f>_xlfn.CONCAT("755-",Table1[[#This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2143</v>
      </c>
      <c r="B190" s="32" t="s">
        <v>593</v>
      </c>
      <c r="C190" s="32" t="s">
        <v>327</v>
      </c>
      <c r="D190" s="32" t="s">
        <v>2144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2142</v>
      </c>
      <c r="M190" s="39">
        <v>0.1</v>
      </c>
      <c r="N190" s="32"/>
      <c r="O190" s="39"/>
      <c r="P190" s="32"/>
      <c r="Q190" s="39"/>
      <c r="R190" s="32"/>
      <c r="S190" s="39"/>
      <c r="T190" s="45" t="str">
        <f>_xlfn.CONCAT("755-",Table1[[#This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2048</v>
      </c>
      <c r="B191" s="32" t="s">
        <v>593</v>
      </c>
      <c r="C191" s="32" t="s">
        <v>327</v>
      </c>
      <c r="D191" s="32" t="s">
        <v>2049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2047</v>
      </c>
      <c r="M191" s="39">
        <v>0.1</v>
      </c>
      <c r="N191" s="32"/>
      <c r="O191" s="39"/>
      <c r="P191" s="32"/>
      <c r="Q191" s="39"/>
      <c r="R191" s="32"/>
      <c r="S191" s="39"/>
      <c r="T191" s="45" t="str">
        <f>_xlfn.CONCAT("755-",Table1[[#This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1899</v>
      </c>
      <c r="B192" s="32" t="s">
        <v>593</v>
      </c>
      <c r="C192" s="32" t="s">
        <v>327</v>
      </c>
      <c r="D192" s="32" t="s">
        <v>1900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1898</v>
      </c>
      <c r="M192" s="39">
        <v>0.1</v>
      </c>
      <c r="N192" s="32"/>
      <c r="O192" s="39"/>
      <c r="P192" s="32"/>
      <c r="Q192" s="39"/>
      <c r="R192" s="32"/>
      <c r="S192" s="39"/>
      <c r="T192" s="45" t="str">
        <f>_xlfn.CONCAT("755-",Table1[[#This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1902</v>
      </c>
      <c r="B193" s="32" t="s">
        <v>593</v>
      </c>
      <c r="C193" s="32" t="s">
        <v>327</v>
      </c>
      <c r="D193" s="32" t="s">
        <v>1903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1901</v>
      </c>
      <c r="M193" s="39">
        <v>0.1</v>
      </c>
      <c r="N193" s="32"/>
      <c r="O193" s="39"/>
      <c r="P193" s="32"/>
      <c r="Q193" s="39"/>
      <c r="R193" s="32"/>
      <c r="S193" s="39"/>
      <c r="T193" s="45" t="str">
        <f>_xlfn.CONCAT("755-",Table1[[#This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1750</v>
      </c>
      <c r="B194" s="32" t="s">
        <v>593</v>
      </c>
      <c r="C194" s="32" t="s">
        <v>327</v>
      </c>
      <c r="D194" s="32" t="s">
        <v>1751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1749</v>
      </c>
      <c r="M194" s="39">
        <v>0.1</v>
      </c>
      <c r="N194" s="32"/>
      <c r="O194" s="39"/>
      <c r="P194" s="32"/>
      <c r="Q194" s="39"/>
      <c r="R194" s="32"/>
      <c r="S194" s="39"/>
      <c r="T194" s="45" t="str">
        <f>_xlfn.CONCAT("755-",Table1[[#This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67" t="s">
        <v>1009</v>
      </c>
      <c r="B195" s="32" t="s">
        <v>593</v>
      </c>
      <c r="C195" s="32" t="s">
        <v>1425</v>
      </c>
      <c r="D195" s="32" t="s">
        <v>1010</v>
      </c>
      <c r="E195" s="32" t="s">
        <v>511</v>
      </c>
      <c r="F195" s="43">
        <v>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1008</v>
      </c>
      <c r="M195" s="39">
        <v>0.1</v>
      </c>
      <c r="N195" s="32"/>
      <c r="O195" s="39"/>
      <c r="P195" s="32"/>
      <c r="Q195" s="39"/>
      <c r="R195" s="32"/>
      <c r="S195" s="39"/>
      <c r="T195" s="45" t="str">
        <f>_xlfn.CONCAT("755-",Table1[[#This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>
        <f>IF(Table1[[#This Row],[Auto Order]]=1,IF(Table1[[#This Row],[In stock]]&lt;Table1[[#This Row],[Min in stock]],1,""),"")</f>
        <v>1</v>
      </c>
    </row>
    <row r="196" spans="1:29" x14ac:dyDescent="0.25">
      <c r="A196" s="71" t="s">
        <v>2149</v>
      </c>
      <c r="B196" s="32" t="s">
        <v>593</v>
      </c>
      <c r="C196" s="32" t="s">
        <v>327</v>
      </c>
      <c r="D196" s="32" t="s">
        <v>2150</v>
      </c>
      <c r="E196" s="32" t="s">
        <v>511</v>
      </c>
      <c r="F196" s="43">
        <v>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2148</v>
      </c>
      <c r="M196" s="39">
        <v>0.1</v>
      </c>
      <c r="N196" s="32"/>
      <c r="O196" s="39"/>
      <c r="P196" s="32"/>
      <c r="Q196" s="39"/>
      <c r="R196" s="32"/>
      <c r="S196" s="39"/>
      <c r="T196" s="45" t="str">
        <f>_xlfn.CONCAT("755-",Table1[[#This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>
        <f>IF(Table1[[#This Row],[Auto Order]]=1,IF(Table1[[#This Row],[In stock]]&lt;Table1[[#This Row],[Min in stock]],1,""),"")</f>
        <v>1</v>
      </c>
    </row>
    <row r="197" spans="1:29" x14ac:dyDescent="0.25">
      <c r="A197" s="71" t="s">
        <v>1797</v>
      </c>
      <c r="B197" s="32" t="s">
        <v>593</v>
      </c>
      <c r="C197" s="32" t="s">
        <v>327</v>
      </c>
      <c r="D197" s="32" t="s">
        <v>1798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1796</v>
      </c>
      <c r="M197" s="39">
        <v>0.1</v>
      </c>
      <c r="N197" s="32"/>
      <c r="O197" s="39"/>
      <c r="P197" s="32"/>
      <c r="Q197" s="39"/>
      <c r="R197" s="32"/>
      <c r="S197" s="39"/>
      <c r="T197" s="45" t="str">
        <f>_xlfn.CONCAT("755-",Table1[[#This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2057</v>
      </c>
      <c r="B198" s="32" t="s">
        <v>593</v>
      </c>
      <c r="C198" s="32" t="s">
        <v>327</v>
      </c>
      <c r="D198" s="32" t="s">
        <v>2058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2056</v>
      </c>
      <c r="M198" s="39">
        <v>0.1</v>
      </c>
      <c r="N198" s="32"/>
      <c r="O198" s="39"/>
      <c r="P198" s="32"/>
      <c r="Q198" s="39"/>
      <c r="R198" s="32"/>
      <c r="S198" s="39"/>
      <c r="T198" s="45" t="str">
        <f>_xlfn.CONCAT("755-",Table1[[#This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1979</v>
      </c>
      <c r="B199" s="32" t="s">
        <v>593</v>
      </c>
      <c r="C199" s="32" t="s">
        <v>327</v>
      </c>
      <c r="D199" s="32" t="s">
        <v>1980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1978</v>
      </c>
      <c r="M199" s="39">
        <v>0.1</v>
      </c>
      <c r="N199" s="32"/>
      <c r="O199" s="39"/>
      <c r="P199" s="32"/>
      <c r="Q199" s="39"/>
      <c r="R199" s="32"/>
      <c r="S199" s="39"/>
      <c r="T199" s="45" t="str">
        <f>_xlfn.CONCAT("755-",Table1[[#This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1744</v>
      </c>
      <c r="B200" s="32" t="s">
        <v>593</v>
      </c>
      <c r="C200" s="32" t="s">
        <v>327</v>
      </c>
      <c r="D200" s="32" t="s">
        <v>1745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1743</v>
      </c>
      <c r="M200" s="39">
        <v>0.1</v>
      </c>
      <c r="N200" s="32"/>
      <c r="O200" s="39"/>
      <c r="P200" s="32"/>
      <c r="Q200" s="39"/>
      <c r="R200" s="32"/>
      <c r="S200" s="39"/>
      <c r="T200" s="45" t="str">
        <f>_xlfn.CONCAT("755-",Table1[[#This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1982</v>
      </c>
      <c r="B201" s="32" t="s">
        <v>593</v>
      </c>
      <c r="C201" s="32" t="s">
        <v>327</v>
      </c>
      <c r="D201" s="32" t="s">
        <v>1983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1981</v>
      </c>
      <c r="M201" s="39">
        <v>0.1</v>
      </c>
      <c r="N201" s="32"/>
      <c r="O201" s="39"/>
      <c r="P201" s="32"/>
      <c r="Q201" s="39"/>
      <c r="R201" s="32"/>
      <c r="S201" s="39"/>
      <c r="T201" s="45" t="str">
        <f>_xlfn.CONCAT("755-",Table1[[#This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1906</v>
      </c>
      <c r="B202" s="32" t="s">
        <v>593</v>
      </c>
      <c r="C202" s="32" t="s">
        <v>327</v>
      </c>
      <c r="D202" s="32" t="s">
        <v>1907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1905</v>
      </c>
      <c r="M202" s="39">
        <v>0.1</v>
      </c>
      <c r="N202" s="32"/>
      <c r="O202" s="39"/>
      <c r="P202" s="32"/>
      <c r="Q202" s="39"/>
      <c r="R202" s="32"/>
      <c r="S202" s="39"/>
      <c r="T202" s="45" t="str">
        <f>_xlfn.CONCAT("755-",Table1[[#This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1909</v>
      </c>
      <c r="B203" s="32" t="s">
        <v>593</v>
      </c>
      <c r="C203" s="32" t="s">
        <v>327</v>
      </c>
      <c r="D203" s="32" t="s">
        <v>1910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1908</v>
      </c>
      <c r="M203" s="39">
        <v>0.1</v>
      </c>
      <c r="N203" s="32"/>
      <c r="O203" s="39"/>
      <c r="P203" s="32"/>
      <c r="Q203" s="39"/>
      <c r="R203" s="32"/>
      <c r="S203" s="39"/>
      <c r="T203" s="45" t="str">
        <f>_xlfn.CONCAT("755-",Table1[[#This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1913</v>
      </c>
      <c r="B204" s="32" t="s">
        <v>593</v>
      </c>
      <c r="C204" s="32" t="s">
        <v>327</v>
      </c>
      <c r="D204" s="32" t="s">
        <v>1914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1912</v>
      </c>
      <c r="M204" s="39">
        <v>0.1</v>
      </c>
      <c r="N204" s="32"/>
      <c r="O204" s="39"/>
      <c r="P204" s="32"/>
      <c r="Q204" s="39"/>
      <c r="R204" s="32"/>
      <c r="S204" s="39"/>
      <c r="T204" s="45" t="str">
        <f>_xlfn.CONCAT("755-",Table1[[#This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2035</v>
      </c>
      <c r="B205" s="32" t="s">
        <v>593</v>
      </c>
      <c r="C205" s="32" t="s">
        <v>327</v>
      </c>
      <c r="D205" s="32" t="s">
        <v>2036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2034</v>
      </c>
      <c r="M205" s="39">
        <v>0.1</v>
      </c>
      <c r="N205" s="32"/>
      <c r="O205" s="39"/>
      <c r="P205" s="32"/>
      <c r="Q205" s="39"/>
      <c r="R205" s="32"/>
      <c r="S205" s="39"/>
      <c r="T205" s="45" t="str">
        <f>_xlfn.CONCAT("755-",Table1[[#This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2094</v>
      </c>
      <c r="B206" s="32" t="s">
        <v>593</v>
      </c>
      <c r="C206" s="32" t="s">
        <v>327</v>
      </c>
      <c r="D206" s="32" t="s">
        <v>2095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2093</v>
      </c>
      <c r="M206" s="39">
        <v>0.1</v>
      </c>
      <c r="N206" s="32"/>
      <c r="O206" s="39"/>
      <c r="P206" s="32"/>
      <c r="Q206" s="39"/>
      <c r="R206" s="32"/>
      <c r="S206" s="39"/>
      <c r="T206" s="45" t="str">
        <f>_xlfn.CONCAT("755-",Table1[[#This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2162</v>
      </c>
      <c r="B207" s="32" t="s">
        <v>593</v>
      </c>
      <c r="C207" s="32" t="s">
        <v>327</v>
      </c>
      <c r="D207" s="32" t="s">
        <v>2163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2161</v>
      </c>
      <c r="M207" s="39">
        <v>0.1</v>
      </c>
      <c r="N207" s="32"/>
      <c r="O207" s="39"/>
      <c r="P207" s="32"/>
      <c r="Q207" s="39"/>
      <c r="R207" s="32"/>
      <c r="S207" s="39"/>
      <c r="T207" s="45" t="str">
        <f>_xlfn.CONCAT("755-",Table1[[#This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1729</v>
      </c>
      <c r="B208" s="32" t="s">
        <v>593</v>
      </c>
      <c r="C208" s="32" t="s">
        <v>327</v>
      </c>
      <c r="D208" s="32" t="s">
        <v>1730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1728</v>
      </c>
      <c r="M208" s="39">
        <v>0.1</v>
      </c>
      <c r="N208" s="32"/>
      <c r="O208" s="39"/>
      <c r="P208" s="32"/>
      <c r="Q208" s="39"/>
      <c r="R208" s="32"/>
      <c r="S208" s="39"/>
      <c r="T208" s="45" t="str">
        <f>_xlfn.CONCAT("755-",Table1[[#This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1771</v>
      </c>
      <c r="B209" s="32" t="s">
        <v>593</v>
      </c>
      <c r="C209" s="32" t="s">
        <v>327</v>
      </c>
      <c r="D209" s="32" t="s">
        <v>1772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1770</v>
      </c>
      <c r="M209" s="39">
        <v>0.1</v>
      </c>
      <c r="N209" s="32"/>
      <c r="O209" s="39"/>
      <c r="P209" s="32"/>
      <c r="Q209" s="39"/>
      <c r="R209" s="32"/>
      <c r="S209" s="39"/>
      <c r="T209" s="45" t="str">
        <f>_xlfn.CONCAT("755-",Table1[[#This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71" t="s">
        <v>1851</v>
      </c>
      <c r="B210" s="32" t="s">
        <v>593</v>
      </c>
      <c r="C210" s="32" t="s">
        <v>327</v>
      </c>
      <c r="D210" s="32" t="s">
        <v>1852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1850</v>
      </c>
      <c r="M210" s="39">
        <v>0.1</v>
      </c>
      <c r="N210" s="32"/>
      <c r="O210" s="39"/>
      <c r="P210" s="32"/>
      <c r="Q210" s="39"/>
      <c r="R210" s="32"/>
      <c r="S210" s="39"/>
      <c r="T210" s="45" t="str">
        <f>_xlfn.CONCAT("755-",Table1[[#This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2175</v>
      </c>
      <c r="B211" s="32" t="s">
        <v>593</v>
      </c>
      <c r="C211" s="32" t="s">
        <v>327</v>
      </c>
      <c r="D211" s="32" t="s">
        <v>2176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2174</v>
      </c>
      <c r="M211" s="39">
        <v>0.1</v>
      </c>
      <c r="N211" s="32"/>
      <c r="O211" s="39"/>
      <c r="P211" s="32"/>
      <c r="Q211" s="39"/>
      <c r="R211" s="32"/>
      <c r="S211" s="39"/>
      <c r="T211" s="45" t="str">
        <f>_xlfn.CONCAT("755-",Table1[[#This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2140</v>
      </c>
      <c r="B212" s="32" t="s">
        <v>593</v>
      </c>
      <c r="C212" s="32" t="s">
        <v>327</v>
      </c>
      <c r="D212" s="32" t="s">
        <v>2141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2139</v>
      </c>
      <c r="M212" s="39">
        <v>0.1</v>
      </c>
      <c r="N212" s="32"/>
      <c r="O212" s="39"/>
      <c r="P212" s="32"/>
      <c r="Q212" s="39"/>
      <c r="R212" s="32"/>
      <c r="S212" s="39"/>
      <c r="T212" s="45" t="str">
        <f>_xlfn.CONCAT("755-",Table1[[#This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1723</v>
      </c>
      <c r="B213" s="32" t="s">
        <v>593</v>
      </c>
      <c r="C213" s="32" t="s">
        <v>327</v>
      </c>
      <c r="D213" s="32" t="s">
        <v>1724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1722</v>
      </c>
      <c r="M213" s="39">
        <v>0.1</v>
      </c>
      <c r="N213" s="32"/>
      <c r="O213" s="39"/>
      <c r="P213" s="32"/>
      <c r="Q213" s="39"/>
      <c r="R213" s="32"/>
      <c r="S213" s="39"/>
      <c r="T213" s="45" t="str">
        <f>_xlfn.CONCAT("755-",Table1[[#This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1842</v>
      </c>
      <c r="B214" s="32" t="s">
        <v>593</v>
      </c>
      <c r="C214" s="32" t="s">
        <v>327</v>
      </c>
      <c r="D214" s="32" t="s">
        <v>1843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1841</v>
      </c>
      <c r="M214" s="39">
        <v>0.1</v>
      </c>
      <c r="N214" s="32"/>
      <c r="O214" s="39"/>
      <c r="P214" s="32"/>
      <c r="Q214" s="39"/>
      <c r="R214" s="32"/>
      <c r="S214" s="39"/>
      <c r="T214" s="45" t="str">
        <f>_xlfn.CONCAT("755-",Table1[[#This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2110</v>
      </c>
      <c r="B215" s="32" t="s">
        <v>593</v>
      </c>
      <c r="C215" s="32" t="s">
        <v>327</v>
      </c>
      <c r="D215" s="32" t="s">
        <v>2111</v>
      </c>
      <c r="E215" s="32" t="s">
        <v>511</v>
      </c>
      <c r="F215" s="43">
        <v>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2109</v>
      </c>
      <c r="M215" s="39">
        <v>0.1</v>
      </c>
      <c r="N215" s="32"/>
      <c r="O215" s="39"/>
      <c r="P215" s="32"/>
      <c r="Q215" s="39"/>
      <c r="R215" s="32"/>
      <c r="S215" s="39"/>
      <c r="T215" s="45" t="str">
        <f>_xlfn.CONCAT("755-",Table1[[#This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>
        <f>IF(Table1[[#This Row],[Auto Order]]=1,IF(Table1[[#This Row],[In stock]]&lt;Table1[[#This Row],[Min in stock]],1,""),"")</f>
        <v>1</v>
      </c>
    </row>
    <row r="216" spans="1:29" x14ac:dyDescent="0.25">
      <c r="A216" s="71" t="s">
        <v>1824</v>
      </c>
      <c r="B216" s="32" t="s">
        <v>593</v>
      </c>
      <c r="C216" s="32" t="s">
        <v>327</v>
      </c>
      <c r="D216" s="32" t="s">
        <v>1825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1823</v>
      </c>
      <c r="M216" s="39">
        <v>0.1</v>
      </c>
      <c r="N216" s="32"/>
      <c r="O216" s="39"/>
      <c r="P216" s="32"/>
      <c r="Q216" s="39"/>
      <c r="R216" s="32"/>
      <c r="S216" s="39"/>
      <c r="T216" s="45" t="str">
        <f>_xlfn.CONCAT("755-",Table1[[#This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1916</v>
      </c>
      <c r="B217" s="32" t="s">
        <v>593</v>
      </c>
      <c r="C217" s="32" t="s">
        <v>327</v>
      </c>
      <c r="D217" s="32" t="s">
        <v>1917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1915</v>
      </c>
      <c r="M217" s="39">
        <v>0.1</v>
      </c>
      <c r="N217" s="32"/>
      <c r="O217" s="39"/>
      <c r="P217" s="32"/>
      <c r="Q217" s="39"/>
      <c r="R217" s="32"/>
      <c r="S217" s="39"/>
      <c r="T217" s="45" t="str">
        <f>_xlfn.CONCAT("755-",Table1[[#This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1885</v>
      </c>
      <c r="B218" s="32" t="s">
        <v>593</v>
      </c>
      <c r="C218" s="32" t="s">
        <v>327</v>
      </c>
      <c r="D218" s="32" t="s">
        <v>1886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1884</v>
      </c>
      <c r="M218" s="39">
        <v>0.1</v>
      </c>
      <c r="N218" s="32"/>
      <c r="O218" s="39"/>
      <c r="P218" s="32"/>
      <c r="Q218" s="39"/>
      <c r="R218" s="32"/>
      <c r="S218" s="39"/>
      <c r="T218" s="45" t="str">
        <f>_xlfn.CONCAT("755-",Table1[[#This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2165</v>
      </c>
      <c r="B219" s="32" t="s">
        <v>593</v>
      </c>
      <c r="C219" s="32" t="s">
        <v>327</v>
      </c>
      <c r="D219" s="32" t="s">
        <v>2166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2164</v>
      </c>
      <c r="M219" s="39">
        <v>0.1</v>
      </c>
      <c r="N219" s="32"/>
      <c r="O219" s="39"/>
      <c r="P219" s="32"/>
      <c r="Q219" s="39"/>
      <c r="R219" s="32"/>
      <c r="S219" s="39"/>
      <c r="T219" s="45" t="str">
        <f>_xlfn.CONCAT("755-",Table1[[#This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1735</v>
      </c>
      <c r="B220" s="32" t="s">
        <v>593</v>
      </c>
      <c r="C220" s="32" t="s">
        <v>327</v>
      </c>
      <c r="D220" s="32" t="s">
        <v>1736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1734</v>
      </c>
      <c r="M220" s="39">
        <v>0.1</v>
      </c>
      <c r="N220" s="32"/>
      <c r="O220" s="39"/>
      <c r="P220" s="32"/>
      <c r="Q220" s="39"/>
      <c r="R220" s="32"/>
      <c r="S220" s="39"/>
      <c r="T220" s="45" t="str">
        <f>_xlfn.CONCAT("755-",Table1[[#This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2159</v>
      </c>
      <c r="B221" s="32" t="s">
        <v>593</v>
      </c>
      <c r="C221" s="32" t="s">
        <v>327</v>
      </c>
      <c r="D221" s="32" t="s">
        <v>2160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2158</v>
      </c>
      <c r="M221" s="39">
        <v>0.1</v>
      </c>
      <c r="N221" s="32"/>
      <c r="O221" s="39"/>
      <c r="P221" s="32"/>
      <c r="Q221" s="39"/>
      <c r="R221" s="32"/>
      <c r="S221" s="39"/>
      <c r="T221" s="45" t="str">
        <f>_xlfn.CONCAT("755-",Table1[[#This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1919</v>
      </c>
      <c r="B222" s="32" t="s">
        <v>593</v>
      </c>
      <c r="C222" s="32" t="s">
        <v>327</v>
      </c>
      <c r="D222" s="32" t="s">
        <v>1920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1918</v>
      </c>
      <c r="M222" s="39">
        <v>0.1</v>
      </c>
      <c r="N222" s="32"/>
      <c r="O222" s="39"/>
      <c r="P222" s="32"/>
      <c r="Q222" s="39"/>
      <c r="R222" s="32"/>
      <c r="S222" s="39"/>
      <c r="T222" s="45" t="str">
        <f>_xlfn.CONCAT("755-",Table1[[#This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71" t="s">
        <v>2168</v>
      </c>
      <c r="B223" s="32" t="s">
        <v>593</v>
      </c>
      <c r="C223" s="32" t="s">
        <v>327</v>
      </c>
      <c r="D223" s="32" t="s">
        <v>2169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2167</v>
      </c>
      <c r="M223" s="39">
        <v>0.1</v>
      </c>
      <c r="N223" s="32"/>
      <c r="O223" s="39"/>
      <c r="P223" s="32"/>
      <c r="Q223" s="39"/>
      <c r="R223" s="32"/>
      <c r="S223" s="39"/>
      <c r="T223" s="45" t="str">
        <f>_xlfn.CONCAT("755-",Table1[[#This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1922</v>
      </c>
      <c r="B224" s="32" t="s">
        <v>593</v>
      </c>
      <c r="C224" s="32" t="s">
        <v>327</v>
      </c>
      <c r="D224" s="32" t="s">
        <v>1923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1921</v>
      </c>
      <c r="M224" s="39">
        <v>0.1</v>
      </c>
      <c r="N224" s="32"/>
      <c r="O224" s="39"/>
      <c r="P224" s="32"/>
      <c r="Q224" s="39"/>
      <c r="R224" s="32"/>
      <c r="S224" s="39"/>
      <c r="T224" s="45" t="str">
        <f>_xlfn.CONCAT("755-",Table1[[#This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1780</v>
      </c>
      <c r="B225" s="32" t="s">
        <v>593</v>
      </c>
      <c r="C225" s="32" t="s">
        <v>327</v>
      </c>
      <c r="D225" s="32" t="s">
        <v>1781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1779</v>
      </c>
      <c r="M225" s="39">
        <v>0.1</v>
      </c>
      <c r="N225" s="32"/>
      <c r="O225" s="39"/>
      <c r="P225" s="32"/>
      <c r="Q225" s="39"/>
      <c r="R225" s="32"/>
      <c r="S225" s="39"/>
      <c r="T225" s="45" t="str">
        <f>_xlfn.CONCAT("755-",Table1[[#This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67" t="s">
        <v>1006</v>
      </c>
      <c r="B226" s="32" t="s">
        <v>593</v>
      </c>
      <c r="C226" s="32" t="s">
        <v>1426</v>
      </c>
      <c r="D226" s="32" t="s">
        <v>1007</v>
      </c>
      <c r="E226" s="32" t="s">
        <v>511</v>
      </c>
      <c r="F226" s="43">
        <v>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1005</v>
      </c>
      <c r="M226" s="39">
        <v>0.1</v>
      </c>
      <c r="N226" s="32"/>
      <c r="O226" s="39"/>
      <c r="P226" s="32"/>
      <c r="Q226" s="39"/>
      <c r="R226" s="32"/>
      <c r="S226" s="39"/>
      <c r="T226" s="45" t="str">
        <f>_xlfn.CONCAT("755-",Table1[[#This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1854</v>
      </c>
      <c r="B227" s="32" t="s">
        <v>593</v>
      </c>
      <c r="C227" s="32" t="s">
        <v>327</v>
      </c>
      <c r="D227" s="32" t="s">
        <v>1855</v>
      </c>
      <c r="E227" s="32" t="s">
        <v>511</v>
      </c>
      <c r="F227" s="43">
        <v>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1853</v>
      </c>
      <c r="M227" s="39">
        <v>0.1</v>
      </c>
      <c r="N227" s="32"/>
      <c r="O227" s="39"/>
      <c r="P227" s="32"/>
      <c r="Q227" s="39"/>
      <c r="R227" s="32"/>
      <c r="S227" s="39"/>
      <c r="T227" s="45" t="str">
        <f>_xlfn.CONCAT("755-",Table1[[#This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>
        <f>IF(Table1[[#This Row],[Auto Order]]=1,IF(Table1[[#This Row],[In stock]]&lt;Table1[[#This Row],[Min in stock]],1,""),"")</f>
        <v>1</v>
      </c>
    </row>
    <row r="228" spans="1:29" x14ac:dyDescent="0.25">
      <c r="A228" s="67" t="s">
        <v>1001</v>
      </c>
      <c r="B228" s="32" t="s">
        <v>593</v>
      </c>
      <c r="C228" s="32" t="s">
        <v>1417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_xlfn.CONCAT("755-",Table1[[#This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2155</v>
      </c>
      <c r="B229" s="32" t="s">
        <v>593</v>
      </c>
      <c r="C229" s="32" t="s">
        <v>327</v>
      </c>
      <c r="D229" s="32" t="s">
        <v>2156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2154</v>
      </c>
      <c r="M229" s="39">
        <v>0.1</v>
      </c>
      <c r="N229" s="32"/>
      <c r="O229" s="39"/>
      <c r="P229" s="32"/>
      <c r="Q229" s="39"/>
      <c r="R229" s="32"/>
      <c r="S229" s="39"/>
      <c r="T229" s="45" t="str">
        <f>_xlfn.CONCAT("755-",Table1[[#This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1806</v>
      </c>
      <c r="B230" s="32" t="s">
        <v>593</v>
      </c>
      <c r="C230" s="32" t="s">
        <v>327</v>
      </c>
      <c r="D230" s="32" t="s">
        <v>1807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1805</v>
      </c>
      <c r="M230" s="39">
        <v>0.1</v>
      </c>
      <c r="N230" s="32"/>
      <c r="O230" s="39"/>
      <c r="P230" s="32"/>
      <c r="Q230" s="39"/>
      <c r="R230" s="32"/>
      <c r="S230" s="39"/>
      <c r="T230" s="45" t="str">
        <f>_xlfn.CONCAT("755-",Table1[[#This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1732</v>
      </c>
      <c r="B231" s="32" t="s">
        <v>593</v>
      </c>
      <c r="C231" s="32" t="s">
        <v>327</v>
      </c>
      <c r="D231" s="32" t="s">
        <v>1733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1731</v>
      </c>
      <c r="M231" s="39">
        <v>0.1</v>
      </c>
      <c r="N231" s="32"/>
      <c r="O231" s="39"/>
      <c r="P231" s="32"/>
      <c r="Q231" s="39"/>
      <c r="R231" s="32"/>
      <c r="S231" s="39"/>
      <c r="T231" s="45" t="str">
        <f>_xlfn.CONCAT("755-",Table1[[#This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2181</v>
      </c>
      <c r="B232" s="32" t="s">
        <v>593</v>
      </c>
      <c r="C232" s="32" t="s">
        <v>327</v>
      </c>
      <c r="D232" s="32" t="s">
        <v>2182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2180</v>
      </c>
      <c r="M232" s="39">
        <v>0.1</v>
      </c>
      <c r="N232" s="32"/>
      <c r="O232" s="39"/>
      <c r="P232" s="32"/>
      <c r="Q232" s="39"/>
      <c r="R232" s="32"/>
      <c r="S232" s="39"/>
      <c r="T232" s="45" t="str">
        <f>_xlfn.CONCAT("755-",Table1[[#This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2178</v>
      </c>
      <c r="B233" s="32" t="s">
        <v>593</v>
      </c>
      <c r="C233" s="32" t="s">
        <v>327</v>
      </c>
      <c r="D233" s="32" t="s">
        <v>2179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2177</v>
      </c>
      <c r="M233" s="39">
        <v>0.1</v>
      </c>
      <c r="N233" s="32"/>
      <c r="O233" s="39"/>
      <c r="P233" s="32"/>
      <c r="Q233" s="39"/>
      <c r="R233" s="32"/>
      <c r="S233" s="39"/>
      <c r="T233" s="45" t="str">
        <f>_xlfn.CONCAT("755-",Table1[[#This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1783</v>
      </c>
      <c r="B234" s="32" t="s">
        <v>593</v>
      </c>
      <c r="C234" s="32" t="s">
        <v>327</v>
      </c>
      <c r="D234" s="32" t="s">
        <v>1784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1782</v>
      </c>
      <c r="M234" s="39">
        <v>0.1</v>
      </c>
      <c r="N234" s="32"/>
      <c r="O234" s="39"/>
      <c r="P234" s="32"/>
      <c r="Q234" s="39"/>
      <c r="R234" s="32"/>
      <c r="S234" s="39"/>
      <c r="T234" s="45" t="str">
        <f>_xlfn.CONCAT("755-",Table1[[#This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1827</v>
      </c>
      <c r="B235" s="32" t="s">
        <v>593</v>
      </c>
      <c r="C235" s="32" t="s">
        <v>327</v>
      </c>
      <c r="D235" s="32" t="s">
        <v>1828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1826</v>
      </c>
      <c r="M235" s="39">
        <v>0.1</v>
      </c>
      <c r="N235" s="32"/>
      <c r="O235" s="39"/>
      <c r="P235" s="32"/>
      <c r="Q235" s="39"/>
      <c r="R235" s="32"/>
      <c r="S235" s="39"/>
      <c r="T235" s="45" t="str">
        <f>_xlfn.CONCAT("755-",Table1[[#This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71" t="s">
        <v>2051</v>
      </c>
      <c r="B236" s="32" t="s">
        <v>593</v>
      </c>
      <c r="C236" s="32" t="s">
        <v>327</v>
      </c>
      <c r="D236" s="32" t="s">
        <v>2052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2050</v>
      </c>
      <c r="M236" s="39">
        <v>0.1</v>
      </c>
      <c r="N236" s="32"/>
      <c r="O236" s="39"/>
      <c r="P236" s="32"/>
      <c r="Q236" s="39"/>
      <c r="R236" s="32"/>
      <c r="S236" s="39"/>
      <c r="T236" s="45" t="str">
        <f>_xlfn.CONCAT("755-",Table1[[#This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2134</v>
      </c>
      <c r="B237" s="32" t="s">
        <v>593</v>
      </c>
      <c r="C237" s="32" t="s">
        <v>327</v>
      </c>
      <c r="D237" s="32" t="s">
        <v>2135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2133</v>
      </c>
      <c r="M237" s="39">
        <v>0.1</v>
      </c>
      <c r="N237" s="32"/>
      <c r="O237" s="39"/>
      <c r="P237" s="32"/>
      <c r="Q237" s="39"/>
      <c r="R237" s="32"/>
      <c r="S237" s="39"/>
      <c r="T237" s="45" t="str">
        <f>_xlfn.CONCAT("755-",Table1[[#This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2097</v>
      </c>
      <c r="B238" s="32" t="s">
        <v>593</v>
      </c>
      <c r="C238" s="32" t="s">
        <v>327</v>
      </c>
      <c r="D238" s="32" t="s">
        <v>2098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2096</v>
      </c>
      <c r="M238" s="39">
        <v>0.1</v>
      </c>
      <c r="N238" s="32"/>
      <c r="O238" s="39"/>
      <c r="P238" s="32"/>
      <c r="Q238" s="39"/>
      <c r="R238" s="32"/>
      <c r="S238" s="39"/>
      <c r="T238" s="45" t="str">
        <f>_xlfn.CONCAT("755-",Table1[[#This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1985</v>
      </c>
      <c r="B239" s="32" t="s">
        <v>593</v>
      </c>
      <c r="C239" s="32" t="s">
        <v>327</v>
      </c>
      <c r="D239" s="32" t="s">
        <v>1986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1984</v>
      </c>
      <c r="M239" s="39">
        <v>0.1</v>
      </c>
      <c r="N239" s="32"/>
      <c r="O239" s="39"/>
      <c r="P239" s="32"/>
      <c r="Q239" s="39"/>
      <c r="R239" s="32"/>
      <c r="S239" s="39"/>
      <c r="T239" s="45" t="str">
        <f>_xlfn.CONCAT("755-",Table1[[#This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1720</v>
      </c>
      <c r="B240" s="32" t="s">
        <v>593</v>
      </c>
      <c r="C240" s="32" t="s">
        <v>327</v>
      </c>
      <c r="D240" s="32" t="s">
        <v>1721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1719</v>
      </c>
      <c r="M240" s="39">
        <v>0.1</v>
      </c>
      <c r="N240" s="32"/>
      <c r="O240" s="39"/>
      <c r="P240" s="32"/>
      <c r="Q240" s="39"/>
      <c r="R240" s="32"/>
      <c r="S240" s="39"/>
      <c r="T240" s="45" t="str">
        <f>_xlfn.CONCAT("755-",Table1[[#This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67" t="s">
        <v>983</v>
      </c>
      <c r="B241" s="32" t="s">
        <v>593</v>
      </c>
      <c r="C241" s="32" t="s">
        <v>1420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_xlfn.CONCAT("755-",Table1[[#This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1738</v>
      </c>
      <c r="B242" s="32" t="s">
        <v>593</v>
      </c>
      <c r="C242" s="32" t="s">
        <v>327</v>
      </c>
      <c r="D242" s="32" t="s">
        <v>1739</v>
      </c>
      <c r="E242" s="32" t="s">
        <v>511</v>
      </c>
      <c r="F242" s="43">
        <v>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1737</v>
      </c>
      <c r="M242" s="39">
        <v>0.1</v>
      </c>
      <c r="N242" s="32"/>
      <c r="O242" s="39"/>
      <c r="P242" s="32"/>
      <c r="Q242" s="39"/>
      <c r="R242" s="32"/>
      <c r="S242" s="39"/>
      <c r="T242" s="45" t="str">
        <f>_xlfn.CONCAT("755-",Table1[[#This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>
        <f>IF(Table1[[#This Row],[Auto Order]]=1,IF(Table1[[#This Row],[In stock]]&lt;Table1[[#This Row],[Min in stock]],1,""),"")</f>
        <v>1</v>
      </c>
    </row>
    <row r="243" spans="1:29" x14ac:dyDescent="0.25">
      <c r="A243" s="71" t="s">
        <v>2172</v>
      </c>
      <c r="B243" s="32" t="s">
        <v>593</v>
      </c>
      <c r="C243" s="32" t="s">
        <v>327</v>
      </c>
      <c r="D243" s="32" t="s">
        <v>2173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2171</v>
      </c>
      <c r="M243" s="39">
        <v>0.1</v>
      </c>
      <c r="N243" s="32"/>
      <c r="O243" s="39"/>
      <c r="P243" s="32"/>
      <c r="Q243" s="39"/>
      <c r="R243" s="32"/>
      <c r="S243" s="39"/>
      <c r="T243" s="45" t="str">
        <f>_xlfn.CONCAT("755-",Table1[[#This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1926</v>
      </c>
      <c r="B244" s="32" t="s">
        <v>593</v>
      </c>
      <c r="C244" s="32" t="s">
        <v>327</v>
      </c>
      <c r="D244" s="32" t="s">
        <v>1927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1925</v>
      </c>
      <c r="M244" s="39">
        <v>0.1</v>
      </c>
      <c r="N244" s="32"/>
      <c r="O244" s="39"/>
      <c r="P244" s="32"/>
      <c r="Q244" s="39"/>
      <c r="R244" s="32"/>
      <c r="S244" s="39"/>
      <c r="T244" s="45" t="str">
        <f>_xlfn.CONCAT("755-",Table1[[#This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1929</v>
      </c>
      <c r="B245" s="32" t="s">
        <v>593</v>
      </c>
      <c r="C245" s="32" t="s">
        <v>327</v>
      </c>
      <c r="D245" s="32" t="s">
        <v>1930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1928</v>
      </c>
      <c r="M245" s="39">
        <v>0.1</v>
      </c>
      <c r="N245" s="32"/>
      <c r="O245" s="39"/>
      <c r="P245" s="32"/>
      <c r="Q245" s="39"/>
      <c r="R245" s="32"/>
      <c r="S245" s="39"/>
      <c r="T245" s="45" t="str">
        <f>_xlfn.CONCAT("755-",Table1[[#This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2019</v>
      </c>
      <c r="B246" s="32" t="s">
        <v>593</v>
      </c>
      <c r="C246" s="32" t="s">
        <v>327</v>
      </c>
      <c r="D246" s="32" t="s">
        <v>2020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2018</v>
      </c>
      <c r="M246" s="39">
        <v>0.1</v>
      </c>
      <c r="N246" s="32"/>
      <c r="O246" s="39"/>
      <c r="P246" s="32"/>
      <c r="Q246" s="39"/>
      <c r="R246" s="32"/>
      <c r="S246" s="39"/>
      <c r="T246" s="45" t="str">
        <f>_xlfn.CONCAT("755-",Table1[[#This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71" t="s">
        <v>2069</v>
      </c>
      <c r="B247" s="32" t="s">
        <v>593</v>
      </c>
      <c r="C247" s="32" t="s">
        <v>327</v>
      </c>
      <c r="D247" s="32" t="s">
        <v>2070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2068</v>
      </c>
      <c r="M247" s="39">
        <v>0.1</v>
      </c>
      <c r="N247" s="32"/>
      <c r="O247" s="39"/>
      <c r="P247" s="32"/>
      <c r="Q247" s="39"/>
      <c r="R247" s="32"/>
      <c r="S247" s="39"/>
      <c r="T247" s="45" t="str">
        <f>_xlfn.CONCAT("755-",Table1[[#This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2113</v>
      </c>
      <c r="B248" s="32" t="s">
        <v>593</v>
      </c>
      <c r="C248" s="32" t="s">
        <v>327</v>
      </c>
      <c r="D248" s="32" t="s">
        <v>2114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2112</v>
      </c>
      <c r="M248" s="39">
        <v>0.1</v>
      </c>
      <c r="N248" s="32"/>
      <c r="O248" s="39"/>
      <c r="P248" s="32"/>
      <c r="Q248" s="39"/>
      <c r="R248" s="32"/>
      <c r="S248" s="39"/>
      <c r="T248" s="45" t="str">
        <f>_xlfn.CONCAT("755-",Table1[[#This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1988</v>
      </c>
      <c r="B249" s="32" t="s">
        <v>593</v>
      </c>
      <c r="C249" s="32" t="s">
        <v>327</v>
      </c>
      <c r="D249" s="32" t="s">
        <v>1989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1987</v>
      </c>
      <c r="M249" s="39">
        <v>0.1</v>
      </c>
      <c r="N249" s="32"/>
      <c r="O249" s="39"/>
      <c r="P249" s="32"/>
      <c r="Q249" s="39"/>
      <c r="R249" s="32"/>
      <c r="S249" s="39"/>
      <c r="T249" s="45" t="str">
        <f>_xlfn.CONCAT("755-",Table1[[#This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1991</v>
      </c>
      <c r="B250" s="32" t="s">
        <v>593</v>
      </c>
      <c r="C250" s="32" t="s">
        <v>327</v>
      </c>
      <c r="D250" s="32" t="s">
        <v>1992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1990</v>
      </c>
      <c r="M250" s="39">
        <v>0.1</v>
      </c>
      <c r="N250" s="32"/>
      <c r="O250" s="39"/>
      <c r="P250" s="32"/>
      <c r="Q250" s="39"/>
      <c r="R250" s="32"/>
      <c r="S250" s="39"/>
      <c r="T250" s="45" t="str">
        <f>_xlfn.CONCAT("755-",Table1[[#This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1756</v>
      </c>
      <c r="B251" s="32" t="s">
        <v>593</v>
      </c>
      <c r="C251" s="32" t="s">
        <v>327</v>
      </c>
      <c r="D251" s="32" t="s">
        <v>1757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1755</v>
      </c>
      <c r="M251" s="39">
        <v>0.1</v>
      </c>
      <c r="N251" s="32"/>
      <c r="O251" s="39"/>
      <c r="P251" s="32"/>
      <c r="Q251" s="39"/>
      <c r="R251" s="32"/>
      <c r="S251" s="39"/>
      <c r="T251" s="45" t="str">
        <f>_xlfn.CONCAT("755-",Table1[[#This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1762</v>
      </c>
      <c r="B252" s="32" t="s">
        <v>593</v>
      </c>
      <c r="C252" s="32" t="s">
        <v>327</v>
      </c>
      <c r="D252" s="32" t="s">
        <v>1763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1761</v>
      </c>
      <c r="M252" s="39">
        <v>0.1</v>
      </c>
      <c r="N252" s="32"/>
      <c r="O252" s="39"/>
      <c r="P252" s="32"/>
      <c r="Q252" s="39"/>
      <c r="R252" s="32"/>
      <c r="S252" s="39"/>
      <c r="T252" s="45" t="str">
        <f>_xlfn.CONCAT("755-",Table1[[#This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1888</v>
      </c>
      <c r="B253" s="32" t="s">
        <v>593</v>
      </c>
      <c r="C253" s="32" t="s">
        <v>327</v>
      </c>
      <c r="D253" s="32" t="s">
        <v>1889</v>
      </c>
      <c r="E253" s="32" t="s">
        <v>511</v>
      </c>
      <c r="F253" s="43">
        <v>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1887</v>
      </c>
      <c r="M253" s="39">
        <v>0.1</v>
      </c>
      <c r="N253" s="32"/>
      <c r="O253" s="39"/>
      <c r="P253" s="32"/>
      <c r="Q253" s="39"/>
      <c r="R253" s="32"/>
      <c r="S253" s="39"/>
      <c r="T253" s="45" t="str">
        <f>_xlfn.CONCAT("755-",Table1[[#This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>
        <f>IF(Table1[[#This Row],[Auto Order]]=1,IF(Table1[[#This Row],[In stock]]&lt;Table1[[#This Row],[Min in stock]],1,""),"")</f>
        <v>1</v>
      </c>
    </row>
    <row r="254" spans="1:29" x14ac:dyDescent="0.25">
      <c r="A254" s="71" t="s">
        <v>2078</v>
      </c>
      <c r="B254" s="32" t="s">
        <v>593</v>
      </c>
      <c r="C254" s="32" t="s">
        <v>327</v>
      </c>
      <c r="D254" s="32" t="s">
        <v>2079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2077</v>
      </c>
      <c r="M254" s="39">
        <v>0.1</v>
      </c>
      <c r="N254" s="32"/>
      <c r="O254" s="39"/>
      <c r="P254" s="32"/>
      <c r="Q254" s="39"/>
      <c r="R254" s="32"/>
      <c r="S254" s="39"/>
      <c r="T254" s="45" t="str">
        <f>_xlfn.CONCAT("755-",Table1[[#This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1790</v>
      </c>
      <c r="B255" s="32" t="s">
        <v>593</v>
      </c>
      <c r="C255" s="32" t="s">
        <v>327</v>
      </c>
      <c r="D255" s="32" t="s">
        <v>1791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1789</v>
      </c>
      <c r="M255" s="39">
        <v>0.1</v>
      </c>
      <c r="N255" s="32"/>
      <c r="O255" s="39"/>
      <c r="P255" s="32"/>
      <c r="Q255" s="39"/>
      <c r="R255" s="32"/>
      <c r="S255" s="39"/>
      <c r="T255" s="45" t="str">
        <f>_xlfn.CONCAT("755-",Table1[[#This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1995</v>
      </c>
      <c r="B256" s="32" t="s">
        <v>593</v>
      </c>
      <c r="C256" s="32" t="s">
        <v>327</v>
      </c>
      <c r="D256" s="32" t="s">
        <v>1996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1994</v>
      </c>
      <c r="M256" s="39">
        <v>0.1</v>
      </c>
      <c r="N256" s="32"/>
      <c r="O256" s="39"/>
      <c r="P256" s="32"/>
      <c r="Q256" s="39"/>
      <c r="R256" s="32"/>
      <c r="S256" s="39"/>
      <c r="T256" s="45" t="str">
        <f>_xlfn.CONCAT("755-",Table1[[#This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1815</v>
      </c>
      <c r="B257" s="32" t="s">
        <v>593</v>
      </c>
      <c r="C257" s="32" t="s">
        <v>327</v>
      </c>
      <c r="D257" s="32" t="s">
        <v>1816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1814</v>
      </c>
      <c r="M257" s="39">
        <v>0.1</v>
      </c>
      <c r="N257" s="32"/>
      <c r="O257" s="39"/>
      <c r="P257" s="32"/>
      <c r="Q257" s="39"/>
      <c r="R257" s="32"/>
      <c r="S257" s="39"/>
      <c r="T257" s="45" t="str">
        <f>_xlfn.CONCAT("755-",Table1[[#This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1765</v>
      </c>
      <c r="B258" s="32" t="s">
        <v>593</v>
      </c>
      <c r="C258" s="32" t="s">
        <v>327</v>
      </c>
      <c r="D258" s="32" t="s">
        <v>1766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1764</v>
      </c>
      <c r="M258" s="39">
        <v>0.1</v>
      </c>
      <c r="N258" s="32"/>
      <c r="O258" s="39"/>
      <c r="P258" s="32"/>
      <c r="Q258" s="39"/>
      <c r="R258" s="32"/>
      <c r="S258" s="39"/>
      <c r="T258" s="45" t="str">
        <f>_xlfn.CONCAT("755-",Table1[[#This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2137</v>
      </c>
      <c r="B259" s="32" t="s">
        <v>593</v>
      </c>
      <c r="C259" s="32" t="s">
        <v>327</v>
      </c>
      <c r="D259" s="32" t="s">
        <v>2138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2136</v>
      </c>
      <c r="M259" s="39">
        <v>0.1</v>
      </c>
      <c r="N259" s="32"/>
      <c r="O259" s="39"/>
      <c r="P259" s="32"/>
      <c r="Q259" s="39"/>
      <c r="R259" s="32"/>
      <c r="S259" s="39"/>
      <c r="T259" s="45" t="str">
        <f>_xlfn.CONCAT("755-",Table1[[#This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2042</v>
      </c>
      <c r="B260" s="32" t="s">
        <v>593</v>
      </c>
      <c r="C260" s="32" t="s">
        <v>327</v>
      </c>
      <c r="D260" s="32" t="s">
        <v>2043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2041</v>
      </c>
      <c r="M260" s="39">
        <v>0.1</v>
      </c>
      <c r="N260" s="32"/>
      <c r="O260" s="39"/>
      <c r="P260" s="32"/>
      <c r="Q260" s="39"/>
      <c r="R260" s="32"/>
      <c r="S260" s="39"/>
      <c r="T260" s="45" t="str">
        <f>_xlfn.CONCAT("755-",Table1[[#This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2045</v>
      </c>
      <c r="B261" s="32" t="s">
        <v>593</v>
      </c>
      <c r="C261" s="32" t="s">
        <v>327</v>
      </c>
      <c r="D261" s="32" t="s">
        <v>2046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2044</v>
      </c>
      <c r="M261" s="39">
        <v>0.1</v>
      </c>
      <c r="N261" s="32"/>
      <c r="O261" s="39"/>
      <c r="P261" s="32"/>
      <c r="Q261" s="39"/>
      <c r="R261" s="32"/>
      <c r="S261" s="39"/>
      <c r="T261" s="45" t="str">
        <f>_xlfn.CONCAT("755-",Table1[[#This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2128</v>
      </c>
      <c r="B262" s="32" t="s">
        <v>593</v>
      </c>
      <c r="C262" s="32" t="s">
        <v>327</v>
      </c>
      <c r="D262" s="32" t="s">
        <v>2129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2127</v>
      </c>
      <c r="M262" s="39">
        <v>0.1</v>
      </c>
      <c r="N262" s="32"/>
      <c r="O262" s="39"/>
      <c r="P262" s="32"/>
      <c r="Q262" s="39"/>
      <c r="R262" s="32"/>
      <c r="S262" s="39"/>
      <c r="T262" s="45" t="str">
        <f>_xlfn.CONCAT("755-",Table1[[#This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1932</v>
      </c>
      <c r="B263" s="32" t="s">
        <v>593</v>
      </c>
      <c r="C263" s="32" t="s">
        <v>327</v>
      </c>
      <c r="D263" s="32" t="s">
        <v>1933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1931</v>
      </c>
      <c r="M263" s="39">
        <v>0.1</v>
      </c>
      <c r="N263" s="32"/>
      <c r="O263" s="39"/>
      <c r="P263" s="32"/>
      <c r="Q263" s="39"/>
      <c r="R263" s="32"/>
      <c r="S263" s="39"/>
      <c r="T263" s="45" t="str">
        <f>_xlfn.CONCAT("755-",Table1[[#This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1935</v>
      </c>
      <c r="B264" s="32" t="s">
        <v>593</v>
      </c>
      <c r="C264" s="32" t="s">
        <v>327</v>
      </c>
      <c r="D264" s="32" t="s">
        <v>1936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1934</v>
      </c>
      <c r="M264" s="39">
        <v>0.1</v>
      </c>
      <c r="N264" s="32"/>
      <c r="O264" s="39"/>
      <c r="P264" s="32"/>
      <c r="Q264" s="39"/>
      <c r="R264" s="32"/>
      <c r="S264" s="39"/>
      <c r="T264" s="45" t="str">
        <f>_xlfn.CONCAT("755-",Table1[[#This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2152</v>
      </c>
      <c r="B265" s="32" t="s">
        <v>593</v>
      </c>
      <c r="C265" s="32" t="s">
        <v>327</v>
      </c>
      <c r="D265" s="32" t="s">
        <v>2153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2151</v>
      </c>
      <c r="M265" s="39">
        <v>0.1</v>
      </c>
      <c r="N265" s="32"/>
      <c r="O265" s="39"/>
      <c r="P265" s="32"/>
      <c r="Q265" s="39"/>
      <c r="R265" s="32"/>
      <c r="S265" s="39"/>
      <c r="T265" s="45" t="str">
        <f>_xlfn.CONCAT("755-",Table1[[#This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1726</v>
      </c>
      <c r="B266" s="32" t="s">
        <v>593</v>
      </c>
      <c r="C266" s="32" t="s">
        <v>327</v>
      </c>
      <c r="D266" s="32" t="s">
        <v>1727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1725</v>
      </c>
      <c r="M266" s="39">
        <v>0.1</v>
      </c>
      <c r="N266" s="32"/>
      <c r="O266" s="39"/>
      <c r="P266" s="32"/>
      <c r="Q266" s="39"/>
      <c r="R266" s="32"/>
      <c r="S266" s="39"/>
      <c r="T266" s="45" t="str">
        <f>_xlfn.CONCAT("755-",Table1[[#This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1800</v>
      </c>
      <c r="B267" s="32" t="s">
        <v>593</v>
      </c>
      <c r="C267" s="32" t="s">
        <v>327</v>
      </c>
      <c r="D267" s="32" t="s">
        <v>1801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1799</v>
      </c>
      <c r="M267" s="39">
        <v>0.1</v>
      </c>
      <c r="N267" s="32"/>
      <c r="O267" s="39"/>
      <c r="P267" s="32"/>
      <c r="Q267" s="39"/>
      <c r="R267" s="32"/>
      <c r="S267" s="39"/>
      <c r="T267" s="45" t="str">
        <f>_xlfn.CONCAT("755-",Table1[[#This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67" t="s">
        <v>992</v>
      </c>
      <c r="B268" s="32" t="s">
        <v>593</v>
      </c>
      <c r="C268" s="32" t="s">
        <v>1421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_xlfn.CONCAT("755-",Table1[[#This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2104</v>
      </c>
      <c r="B269" s="32" t="s">
        <v>593</v>
      </c>
      <c r="C269" s="32" t="s">
        <v>327</v>
      </c>
      <c r="D269" s="32" t="s">
        <v>2105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2103</v>
      </c>
      <c r="M269" s="39">
        <v>0.1</v>
      </c>
      <c r="N269" s="32"/>
      <c r="O269" s="39"/>
      <c r="P269" s="32"/>
      <c r="Q269" s="39"/>
      <c r="R269" s="32"/>
      <c r="S269" s="39"/>
      <c r="T269" s="45" t="str">
        <f>_xlfn.CONCAT("755-",Table1[[#This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2063</v>
      </c>
      <c r="B270" s="32" t="s">
        <v>593</v>
      </c>
      <c r="C270" s="32" t="s">
        <v>327</v>
      </c>
      <c r="D270" s="32" t="s">
        <v>2064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2062</v>
      </c>
      <c r="M270" s="39">
        <v>0.1</v>
      </c>
      <c r="N270" s="32"/>
      <c r="O270" s="39"/>
      <c r="P270" s="32"/>
      <c r="Q270" s="39"/>
      <c r="R270" s="32"/>
      <c r="S270" s="39"/>
      <c r="T270" s="45" t="str">
        <f>_xlfn.CONCAT("755-",Table1[[#This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2131</v>
      </c>
      <c r="B271" s="32" t="s">
        <v>593</v>
      </c>
      <c r="C271" s="32" t="s">
        <v>327</v>
      </c>
      <c r="D271" s="32" t="s">
        <v>2132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2130</v>
      </c>
      <c r="M271" s="39">
        <v>0.1</v>
      </c>
      <c r="N271" s="32"/>
      <c r="O271" s="39"/>
      <c r="P271" s="32"/>
      <c r="Q271" s="39"/>
      <c r="R271" s="32"/>
      <c r="S271" s="39"/>
      <c r="T271" s="45" t="str">
        <f>_xlfn.CONCAT("755-",Table1[[#This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2119</v>
      </c>
      <c r="B272" s="32" t="s">
        <v>593</v>
      </c>
      <c r="C272" s="32" t="s">
        <v>327</v>
      </c>
      <c r="D272" s="32" t="s">
        <v>2120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2118</v>
      </c>
      <c r="M272" s="39">
        <v>0.1</v>
      </c>
      <c r="N272" s="32"/>
      <c r="O272" s="39"/>
      <c r="P272" s="32"/>
      <c r="Q272" s="39"/>
      <c r="R272" s="32"/>
      <c r="S272" s="39"/>
      <c r="T272" s="45" t="str">
        <f>_xlfn.CONCAT("755-",Table1[[#This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1747</v>
      </c>
      <c r="B273" s="32" t="s">
        <v>593</v>
      </c>
      <c r="C273" s="32" t="s">
        <v>327</v>
      </c>
      <c r="D273" s="32" t="s">
        <v>1748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1746</v>
      </c>
      <c r="M273" s="39">
        <v>0.1</v>
      </c>
      <c r="N273" s="32"/>
      <c r="O273" s="39"/>
      <c r="P273" s="32"/>
      <c r="Q273" s="39"/>
      <c r="R273" s="32"/>
      <c r="S273" s="39"/>
      <c r="T273" s="45" t="str">
        <f>_xlfn.CONCAT("755-",Table1[[#This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1753</v>
      </c>
      <c r="B274" s="32" t="s">
        <v>593</v>
      </c>
      <c r="C274" s="32" t="s">
        <v>327</v>
      </c>
      <c r="D274" s="32" t="s">
        <v>1754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1752</v>
      </c>
      <c r="M274" s="39">
        <v>0.1</v>
      </c>
      <c r="N274" s="32"/>
      <c r="O274" s="39"/>
      <c r="P274" s="32"/>
      <c r="Q274" s="39"/>
      <c r="R274" s="32"/>
      <c r="S274" s="39"/>
      <c r="T274" s="45" t="str">
        <f>_xlfn.CONCAT("755-",Table1[[#This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1809</v>
      </c>
      <c r="B275" s="32" t="s">
        <v>593</v>
      </c>
      <c r="C275" s="32" t="s">
        <v>327</v>
      </c>
      <c r="D275" s="32" t="s">
        <v>1810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1808</v>
      </c>
      <c r="M275" s="39">
        <v>0.1</v>
      </c>
      <c r="N275" s="32"/>
      <c r="O275" s="39"/>
      <c r="P275" s="32"/>
      <c r="Q275" s="39"/>
      <c r="R275" s="32"/>
      <c r="S275" s="39"/>
      <c r="T275" s="45" t="str">
        <f>_xlfn.CONCAT("755-",Table1[[#This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1830</v>
      </c>
      <c r="B276" s="32" t="s">
        <v>593</v>
      </c>
      <c r="C276" s="32" t="s">
        <v>327</v>
      </c>
      <c r="D276" s="32" t="s">
        <v>1831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1829</v>
      </c>
      <c r="M276" s="39">
        <v>0.1</v>
      </c>
      <c r="N276" s="32"/>
      <c r="O276" s="39"/>
      <c r="P276" s="32"/>
      <c r="Q276" s="39"/>
      <c r="R276" s="32"/>
      <c r="S276" s="39"/>
      <c r="T276" s="45" t="str">
        <f>_xlfn.CONCAT("755-",Table1[[#This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1857</v>
      </c>
      <c r="B277" s="32" t="s">
        <v>593</v>
      </c>
      <c r="C277" s="32" t="s">
        <v>327</v>
      </c>
      <c r="D277" s="32" t="s">
        <v>1858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1856</v>
      </c>
      <c r="M277" s="39">
        <v>0.1</v>
      </c>
      <c r="N277" s="32"/>
      <c r="O277" s="39"/>
      <c r="P277" s="32"/>
      <c r="Q277" s="39"/>
      <c r="R277" s="32"/>
      <c r="S277" s="39"/>
      <c r="T277" s="45" t="str">
        <f>_xlfn.CONCAT("755-",Table1[[#This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1939</v>
      </c>
      <c r="B278" s="32" t="s">
        <v>593</v>
      </c>
      <c r="C278" s="32" t="s">
        <v>327</v>
      </c>
      <c r="D278" s="32" t="s">
        <v>1940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1938</v>
      </c>
      <c r="M278" s="39">
        <v>0.1</v>
      </c>
      <c r="N278" s="32"/>
      <c r="O278" s="39"/>
      <c r="P278" s="32"/>
      <c r="Q278" s="39"/>
      <c r="R278" s="32"/>
      <c r="S278" s="39"/>
      <c r="T278" s="45" t="str">
        <f>_xlfn.CONCAT("755-",Table1[[#This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1999</v>
      </c>
      <c r="B279" s="32" t="s">
        <v>593</v>
      </c>
      <c r="C279" s="32" t="s">
        <v>327</v>
      </c>
      <c r="D279" s="32" t="s">
        <v>2000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1998</v>
      </c>
      <c r="M279" s="39">
        <v>0.1</v>
      </c>
      <c r="N279" s="32"/>
      <c r="O279" s="39"/>
      <c r="P279" s="32"/>
      <c r="Q279" s="39"/>
      <c r="R279" s="32"/>
      <c r="S279" s="39"/>
      <c r="T279" s="45" t="str">
        <f>_xlfn.CONCAT("755-",Table1[[#This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1812</v>
      </c>
      <c r="B280" s="32" t="s">
        <v>593</v>
      </c>
      <c r="C280" s="32" t="s">
        <v>327</v>
      </c>
      <c r="D280" s="32" t="s">
        <v>1813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1811</v>
      </c>
      <c r="M280" s="39">
        <v>0.1</v>
      </c>
      <c r="N280" s="32"/>
      <c r="O280" s="39"/>
      <c r="P280" s="32"/>
      <c r="Q280" s="39"/>
      <c r="R280" s="32"/>
      <c r="S280" s="39"/>
      <c r="T280" s="45" t="str">
        <f>_xlfn.CONCAT("755-",Table1[[#This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67" t="s">
        <v>1021</v>
      </c>
      <c r="B281" s="32" t="s">
        <v>593</v>
      </c>
      <c r="C281" s="32" t="s">
        <v>1422</v>
      </c>
      <c r="D281" s="32" t="s">
        <v>1022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1020</v>
      </c>
      <c r="M281" s="39">
        <v>0.1</v>
      </c>
      <c r="N281" s="32"/>
      <c r="O281" s="39"/>
      <c r="P281" s="32"/>
      <c r="Q281" s="39"/>
      <c r="R281" s="32"/>
      <c r="S281" s="39"/>
      <c r="T281" s="45" t="str">
        <f>_xlfn.CONCAT("755-",Table1[[#This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2060</v>
      </c>
      <c r="B282" s="32" t="s">
        <v>593</v>
      </c>
      <c r="C282" s="32" t="s">
        <v>327</v>
      </c>
      <c r="D282" s="32" t="s">
        <v>2061</v>
      </c>
      <c r="E282" s="32" t="s">
        <v>511</v>
      </c>
      <c r="F282" s="43">
        <v>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2059</v>
      </c>
      <c r="M282" s="39">
        <v>0.1</v>
      </c>
      <c r="N282" s="32"/>
      <c r="O282" s="39"/>
      <c r="P282" s="32"/>
      <c r="Q282" s="39"/>
      <c r="R282" s="32"/>
      <c r="S282" s="39"/>
      <c r="T282" s="45" t="str">
        <f>_xlfn.CONCAT("755-",Table1[[#This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>
        <f>IF(Table1[[#This Row],[Auto Order]]=1,IF(Table1[[#This Row],[In stock]]&lt;Table1[[#This Row],[Min in stock]],1,""),"")</f>
        <v>1</v>
      </c>
    </row>
    <row r="283" spans="1:29" x14ac:dyDescent="0.25">
      <c r="A283" s="71" t="s">
        <v>1942</v>
      </c>
      <c r="B283" s="32" t="s">
        <v>593</v>
      </c>
      <c r="C283" s="32" t="s">
        <v>327</v>
      </c>
      <c r="D283" s="32" t="s">
        <v>1943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1941</v>
      </c>
      <c r="M283" s="39">
        <v>0.1</v>
      </c>
      <c r="N283" s="32"/>
      <c r="O283" s="39"/>
      <c r="P283" s="32"/>
      <c r="Q283" s="39"/>
      <c r="R283" s="32"/>
      <c r="S283" s="39"/>
      <c r="T283" s="45" t="str">
        <f>_xlfn.CONCAT("755-",Table1[[#This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2022</v>
      </c>
      <c r="B284" s="32" t="s">
        <v>593</v>
      </c>
      <c r="C284" s="32" t="s">
        <v>327</v>
      </c>
      <c r="D284" s="32" t="s">
        <v>2023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2021</v>
      </c>
      <c r="M284" s="39">
        <v>0.1</v>
      </c>
      <c r="N284" s="32"/>
      <c r="O284" s="39"/>
      <c r="P284" s="32"/>
      <c r="Q284" s="39"/>
      <c r="R284" s="32"/>
      <c r="S284" s="39"/>
      <c r="T284" s="45" t="str">
        <f>_xlfn.CONCAT("755-",Table1[[#This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1768</v>
      </c>
      <c r="B285" s="32" t="s">
        <v>593</v>
      </c>
      <c r="C285" s="32" t="s">
        <v>327</v>
      </c>
      <c r="D285" s="32" t="s">
        <v>1769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1767</v>
      </c>
      <c r="M285" s="39">
        <v>0.1</v>
      </c>
      <c r="N285" s="32"/>
      <c r="O285" s="39"/>
      <c r="P285" s="32"/>
      <c r="Q285" s="39"/>
      <c r="R285" s="32"/>
      <c r="S285" s="39"/>
      <c r="T285" s="45" t="str">
        <f>_xlfn.CONCAT("755-",Table1[[#This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1945</v>
      </c>
      <c r="B286" s="32" t="s">
        <v>593</v>
      </c>
      <c r="C286" s="32" t="s">
        <v>327</v>
      </c>
      <c r="D286" s="32" t="s">
        <v>1946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1944</v>
      </c>
      <c r="M286" s="39">
        <v>0.1</v>
      </c>
      <c r="N286" s="32"/>
      <c r="O286" s="39"/>
      <c r="P286" s="32"/>
      <c r="Q286" s="39"/>
      <c r="R286" s="32"/>
      <c r="S286" s="39"/>
      <c r="T286" s="45" t="str">
        <f>_xlfn.CONCAT("755-",Table1[[#This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1741</v>
      </c>
      <c r="B287" s="32" t="s">
        <v>593</v>
      </c>
      <c r="C287" s="32" t="s">
        <v>327</v>
      </c>
      <c r="D287" s="32" t="s">
        <v>1742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1740</v>
      </c>
      <c r="M287" s="39">
        <v>0.1</v>
      </c>
      <c r="N287" s="32"/>
      <c r="O287" s="39"/>
      <c r="P287" s="32"/>
      <c r="Q287" s="39"/>
      <c r="R287" s="32"/>
      <c r="S287" s="39"/>
      <c r="T287" s="45" t="str">
        <f>_xlfn.CONCAT("755-",Table1[[#This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1861</v>
      </c>
      <c r="B288" s="32" t="s">
        <v>593</v>
      </c>
      <c r="C288" s="32" t="s">
        <v>327</v>
      </c>
      <c r="D288" s="32" t="s">
        <v>1862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1860</v>
      </c>
      <c r="M288" s="39">
        <v>0.1</v>
      </c>
      <c r="N288" s="32"/>
      <c r="O288" s="39"/>
      <c r="P288" s="32"/>
      <c r="Q288" s="39"/>
      <c r="R288" s="32"/>
      <c r="S288" s="39"/>
      <c r="T288" s="45" t="str">
        <f>_xlfn.CONCAT("755-",Table1[[#This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2029</v>
      </c>
      <c r="B289" s="32" t="s">
        <v>593</v>
      </c>
      <c r="C289" s="32" t="s">
        <v>327</v>
      </c>
      <c r="D289" s="32" t="s">
        <v>2030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2028</v>
      </c>
      <c r="M289" s="39">
        <v>0.1</v>
      </c>
      <c r="N289" s="32"/>
      <c r="O289" s="39"/>
      <c r="P289" s="32"/>
      <c r="Q289" s="39"/>
      <c r="R289" s="32"/>
      <c r="S289" s="39"/>
      <c r="T289" s="45" t="str">
        <f>_xlfn.CONCAT("755-",Table1[[#This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1948</v>
      </c>
      <c r="B290" s="32" t="s">
        <v>593</v>
      </c>
      <c r="C290" s="32" t="s">
        <v>327</v>
      </c>
      <c r="D290" s="32" t="s">
        <v>1949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1947</v>
      </c>
      <c r="M290" s="39">
        <v>0.1</v>
      </c>
      <c r="N290" s="32"/>
      <c r="O290" s="39"/>
      <c r="P290" s="32"/>
      <c r="Q290" s="39"/>
      <c r="R290" s="32"/>
      <c r="S290" s="39"/>
      <c r="T290" s="45" t="str">
        <f>_xlfn.CONCAT("755-",Table1[[#This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1864</v>
      </c>
      <c r="B291" s="32" t="s">
        <v>593</v>
      </c>
      <c r="C291" s="32" t="s">
        <v>327</v>
      </c>
      <c r="D291" s="32" t="s">
        <v>1865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1863</v>
      </c>
      <c r="M291" s="39">
        <v>0.1</v>
      </c>
      <c r="N291" s="32"/>
      <c r="O291" s="39"/>
      <c r="P291" s="32"/>
      <c r="Q291" s="39"/>
      <c r="R291" s="32"/>
      <c r="S291" s="39"/>
      <c r="T291" s="45" t="str">
        <f>_xlfn.CONCAT("755-",Table1[[#This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1774</v>
      </c>
      <c r="B292" s="32" t="s">
        <v>593</v>
      </c>
      <c r="C292" s="32" t="s">
        <v>327</v>
      </c>
      <c r="D292" s="32" t="s">
        <v>1775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1773</v>
      </c>
      <c r="M292" s="39">
        <v>0.1</v>
      </c>
      <c r="N292" s="32"/>
      <c r="O292" s="39"/>
      <c r="P292" s="32"/>
      <c r="Q292" s="39"/>
      <c r="R292" s="32"/>
      <c r="S292" s="39"/>
      <c r="T292" s="45" t="str">
        <f>_xlfn.CONCAT("755-",Table1[[#This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1786</v>
      </c>
      <c r="B293" s="32" t="s">
        <v>593</v>
      </c>
      <c r="C293" s="32" t="s">
        <v>327</v>
      </c>
      <c r="D293" s="32" t="s">
        <v>1787</v>
      </c>
      <c r="E293" s="32" t="s">
        <v>511</v>
      </c>
      <c r="F293" s="43">
        <v>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1785</v>
      </c>
      <c r="M293" s="39">
        <v>0.1</v>
      </c>
      <c r="N293" s="32"/>
      <c r="O293" s="39"/>
      <c r="P293" s="32"/>
      <c r="Q293" s="39"/>
      <c r="R293" s="32"/>
      <c r="S293" s="39"/>
      <c r="T293" s="45" t="str">
        <f>_xlfn.CONCAT("755-",Table1[[#This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>
        <f>IF(Table1[[#This Row],[Auto Order]]=1,IF(Table1[[#This Row],[In stock]]&lt;Table1[[#This Row],[Min in stock]],1,""),"")</f>
        <v>1</v>
      </c>
    </row>
    <row r="294" spans="1:29" x14ac:dyDescent="0.25">
      <c r="A294" s="71" t="s">
        <v>2032</v>
      </c>
      <c r="B294" s="32" t="s">
        <v>593</v>
      </c>
      <c r="C294" s="32" t="s">
        <v>327</v>
      </c>
      <c r="D294" s="32" t="s">
        <v>2033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2031</v>
      </c>
      <c r="M294" s="39">
        <v>0.1</v>
      </c>
      <c r="N294" s="32"/>
      <c r="O294" s="39"/>
      <c r="P294" s="32"/>
      <c r="Q294" s="39"/>
      <c r="R294" s="32"/>
      <c r="S294" s="39"/>
      <c r="T294" s="45" t="str">
        <f>_xlfn.CONCAT("755-",Table1[[#This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2116</v>
      </c>
      <c r="B295" s="32" t="s">
        <v>593</v>
      </c>
      <c r="C295" s="32" t="s">
        <v>327</v>
      </c>
      <c r="D295" s="32" t="s">
        <v>2117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2115</v>
      </c>
      <c r="M295" s="39">
        <v>0.1</v>
      </c>
      <c r="N295" s="32"/>
      <c r="O295" s="39"/>
      <c r="P295" s="32"/>
      <c r="Q295" s="39"/>
      <c r="R295" s="32"/>
      <c r="S295" s="39"/>
      <c r="T295" s="45" t="str">
        <f>_xlfn.CONCAT("755-",Table1[[#This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2081</v>
      </c>
      <c r="B296" s="32" t="s">
        <v>593</v>
      </c>
      <c r="C296" s="32" t="s">
        <v>327</v>
      </c>
      <c r="D296" s="32" t="s">
        <v>2082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2080</v>
      </c>
      <c r="M296" s="39">
        <v>0.1</v>
      </c>
      <c r="N296" s="32"/>
      <c r="O296" s="39"/>
      <c r="P296" s="32"/>
      <c r="Q296" s="39"/>
      <c r="R296" s="32"/>
      <c r="S296" s="39"/>
      <c r="T296" s="45" t="str">
        <f>_xlfn.CONCAT("755-",Table1[[#This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1952</v>
      </c>
      <c r="B297" s="32" t="s">
        <v>593</v>
      </c>
      <c r="C297" s="32" t="s">
        <v>327</v>
      </c>
      <c r="D297" s="32" t="s">
        <v>1953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1951</v>
      </c>
      <c r="M297" s="39">
        <v>0.1</v>
      </c>
      <c r="N297" s="32"/>
      <c r="O297" s="39"/>
      <c r="P297" s="32"/>
      <c r="Q297" s="39"/>
      <c r="R297" s="32"/>
      <c r="S297" s="39"/>
      <c r="T297" s="45" t="str">
        <f>_xlfn.CONCAT("755-",Table1[[#This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1955</v>
      </c>
      <c r="B298" s="32" t="s">
        <v>593</v>
      </c>
      <c r="C298" s="32" t="s">
        <v>327</v>
      </c>
      <c r="D298" s="32" t="s">
        <v>1956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1954</v>
      </c>
      <c r="M298" s="39">
        <v>0.1</v>
      </c>
      <c r="N298" s="32"/>
      <c r="O298" s="39"/>
      <c r="P298" s="32"/>
      <c r="Q298" s="39"/>
      <c r="R298" s="32"/>
      <c r="S298" s="39"/>
      <c r="T298" s="45" t="str">
        <f>_xlfn.CONCAT("755-",Table1[[#This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1867</v>
      </c>
      <c r="B299" s="32" t="s">
        <v>593</v>
      </c>
      <c r="C299" s="32" t="s">
        <v>327</v>
      </c>
      <c r="D299" s="32" t="s">
        <v>1868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1866</v>
      </c>
      <c r="M299" s="39">
        <v>0.1</v>
      </c>
      <c r="N299" s="32"/>
      <c r="O299" s="39"/>
      <c r="P299" s="32"/>
      <c r="Q299" s="39"/>
      <c r="R299" s="32"/>
      <c r="S299" s="39"/>
      <c r="T299" s="45" t="str">
        <f>_xlfn.CONCAT("755-",Table1[[#This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1777</v>
      </c>
      <c r="B300" s="32" t="s">
        <v>593</v>
      </c>
      <c r="C300" s="32" t="s">
        <v>327</v>
      </c>
      <c r="D300" s="32" t="s">
        <v>1778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1776</v>
      </c>
      <c r="M300" s="39">
        <v>0.1</v>
      </c>
      <c r="N300" s="32"/>
      <c r="O300" s="39"/>
      <c r="P300" s="32"/>
      <c r="Q300" s="39"/>
      <c r="R300" s="32"/>
      <c r="S300" s="39"/>
      <c r="T300" s="45" t="str">
        <f>_xlfn.CONCAT("755-",Table1[[#This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1870</v>
      </c>
      <c r="B301" s="32" t="s">
        <v>593</v>
      </c>
      <c r="C301" s="32" t="s">
        <v>327</v>
      </c>
      <c r="D301" s="32" t="s">
        <v>1871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1869</v>
      </c>
      <c r="M301" s="39">
        <v>0.1</v>
      </c>
      <c r="N301" s="32"/>
      <c r="O301" s="39"/>
      <c r="P301" s="32"/>
      <c r="Q301" s="39"/>
      <c r="R301" s="32"/>
      <c r="S301" s="39"/>
      <c r="T301" s="45" t="str">
        <f>_xlfn.CONCAT("755-",Table1[[#This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2002</v>
      </c>
      <c r="B302" s="32" t="s">
        <v>593</v>
      </c>
      <c r="C302" s="32" t="s">
        <v>327</v>
      </c>
      <c r="D302" s="32" t="s">
        <v>2003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2001</v>
      </c>
      <c r="M302" s="39">
        <v>0.1</v>
      </c>
      <c r="N302" s="32"/>
      <c r="O302" s="39"/>
      <c r="P302" s="32"/>
      <c r="Q302" s="39"/>
      <c r="R302" s="32"/>
      <c r="S302" s="39"/>
      <c r="T302" s="45" t="str">
        <f>_xlfn.CONCAT("755-",Table1[[#This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2087</v>
      </c>
      <c r="B303" s="32" t="s">
        <v>593</v>
      </c>
      <c r="C303" s="32" t="s">
        <v>327</v>
      </c>
      <c r="D303" s="32" t="s">
        <v>2088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2086</v>
      </c>
      <c r="M303" s="39">
        <v>0.1</v>
      </c>
      <c r="N303" s="32"/>
      <c r="O303" s="39"/>
      <c r="P303" s="32"/>
      <c r="Q303" s="39"/>
      <c r="R303" s="32"/>
      <c r="S303" s="39"/>
      <c r="T303" s="45" t="str">
        <f>_xlfn.CONCAT("755-",Table1[[#This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2005</v>
      </c>
      <c r="B304" s="32" t="s">
        <v>593</v>
      </c>
      <c r="C304" s="32" t="s">
        <v>327</v>
      </c>
      <c r="D304" s="32" t="s">
        <v>2006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2004</v>
      </c>
      <c r="M304" s="39">
        <v>0.1</v>
      </c>
      <c r="N304" s="32"/>
      <c r="O304" s="39"/>
      <c r="P304" s="32"/>
      <c r="Q304" s="39"/>
      <c r="R304" s="32"/>
      <c r="S304" s="39"/>
      <c r="T304" s="45" t="str">
        <f>_xlfn.CONCAT("755-",Table1[[#This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2075</v>
      </c>
      <c r="B305" s="32" t="s">
        <v>593</v>
      </c>
      <c r="C305" s="32" t="s">
        <v>327</v>
      </c>
      <c r="D305" s="32" t="s">
        <v>2076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2074</v>
      </c>
      <c r="M305" s="39">
        <v>0.1</v>
      </c>
      <c r="N305" s="32"/>
      <c r="O305" s="39"/>
      <c r="P305" s="32"/>
      <c r="Q305" s="39"/>
      <c r="R305" s="32"/>
      <c r="S305" s="39"/>
      <c r="T305" s="45" t="str">
        <f>_xlfn.CONCAT("755-",Table1[[#This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71" t="s">
        <v>1873</v>
      </c>
      <c r="B306" s="32" t="s">
        <v>593</v>
      </c>
      <c r="C306" s="32" t="s">
        <v>327</v>
      </c>
      <c r="D306" s="32" t="s">
        <v>1874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1872</v>
      </c>
      <c r="M306" s="39">
        <v>0.1</v>
      </c>
      <c r="N306" s="32"/>
      <c r="O306" s="39"/>
      <c r="P306" s="32"/>
      <c r="Q306" s="39"/>
      <c r="R306" s="32"/>
      <c r="S306" s="39"/>
      <c r="T306" s="45" t="str">
        <f>_xlfn.CONCAT("755-",Table1[[#This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1876</v>
      </c>
      <c r="B307" s="32" t="s">
        <v>593</v>
      </c>
      <c r="C307" s="32" t="s">
        <v>327</v>
      </c>
      <c r="D307" s="32" t="s">
        <v>1877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1875</v>
      </c>
      <c r="M307" s="39">
        <v>0.1</v>
      </c>
      <c r="N307" s="32"/>
      <c r="O307" s="39"/>
      <c r="P307" s="32"/>
      <c r="Q307" s="39"/>
      <c r="R307" s="32"/>
      <c r="S307" s="39"/>
      <c r="T307" s="45" t="str">
        <f>_xlfn.CONCAT("755-",Table1[[#This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1" t="s">
        <v>1958</v>
      </c>
      <c r="B308" s="32" t="s">
        <v>593</v>
      </c>
      <c r="C308" s="32" t="s">
        <v>327</v>
      </c>
      <c r="D308" s="32" t="s">
        <v>1959</v>
      </c>
      <c r="E308" s="32" t="s">
        <v>511</v>
      </c>
      <c r="F308" s="43">
        <v>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1957</v>
      </c>
      <c r="M308" s="39">
        <v>0.1</v>
      </c>
      <c r="N308" s="32"/>
      <c r="O308" s="39"/>
      <c r="P308" s="32"/>
      <c r="Q308" s="39"/>
      <c r="R308" s="32"/>
      <c r="S308" s="39"/>
      <c r="T308" s="45" t="str">
        <f>_xlfn.CONCAT("755-",Table1[[#This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>
        <f>IF(Table1[[#This Row],[Auto Order]]=1,IF(Table1[[#This Row],[In stock]]&lt;Table1[[#This Row],[Min in stock]],1,""),"")</f>
        <v>1</v>
      </c>
    </row>
    <row r="309" spans="1:29" x14ac:dyDescent="0.25">
      <c r="A309" s="71" t="s">
        <v>2146</v>
      </c>
      <c r="B309" s="32" t="s">
        <v>593</v>
      </c>
      <c r="C309" s="32" t="s">
        <v>327</v>
      </c>
      <c r="D309" s="32" t="s">
        <v>2147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2145</v>
      </c>
      <c r="M309" s="39">
        <v>0.1</v>
      </c>
      <c r="N309" s="32"/>
      <c r="O309" s="39"/>
      <c r="P309" s="32"/>
      <c r="Q309" s="39"/>
      <c r="R309" s="32"/>
      <c r="S309" s="39"/>
      <c r="T309" s="45" t="str">
        <f>_xlfn.CONCAT("755-",Table1[[#This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IF(Table1[[#This Row],[Auto Order]]=1,IF(Table1[[#This Row],[In stock]]&lt;Table1[[#This Row],[Min in stock]],1,""),"")</f>
        <v/>
      </c>
    </row>
    <row r="310" spans="1:29" x14ac:dyDescent="0.25">
      <c r="A310" s="71" t="s">
        <v>2008</v>
      </c>
      <c r="B310" s="32" t="s">
        <v>593</v>
      </c>
      <c r="C310" s="32" t="s">
        <v>327</v>
      </c>
      <c r="D310" s="32" t="s">
        <v>2009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2007</v>
      </c>
      <c r="M310" s="39">
        <v>0.1</v>
      </c>
      <c r="N310" s="32"/>
      <c r="O310" s="39"/>
      <c r="P310" s="32"/>
      <c r="Q310" s="39"/>
      <c r="R310" s="32"/>
      <c r="S310" s="39"/>
      <c r="T310" s="45" t="str">
        <f>_xlfn.CONCAT("755-",Table1[[#This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IF(Table1[[#This Row],[Auto Order]]=1,IF(Table1[[#This Row],[In stock]]&lt;Table1[[#This Row],[Min in stock]],1,""),"")</f>
        <v/>
      </c>
    </row>
    <row r="311" spans="1:29" x14ac:dyDescent="0.25">
      <c r="A311" s="71" t="s">
        <v>2012</v>
      </c>
      <c r="B311" s="32" t="s">
        <v>593</v>
      </c>
      <c r="C311" s="32" t="s">
        <v>327</v>
      </c>
      <c r="D311" s="32" t="s">
        <v>2013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2011</v>
      </c>
      <c r="M311" s="39">
        <v>0.1</v>
      </c>
      <c r="N311" s="32"/>
      <c r="O311" s="39"/>
      <c r="P311" s="32"/>
      <c r="Q311" s="39"/>
      <c r="R311" s="32"/>
      <c r="S311" s="39"/>
      <c r="T311" s="45" t="str">
        <f>_xlfn.CONCAT("755-",Table1[[#This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IF(Table1[[#This Row],[Auto Order]]=1,IF(Table1[[#This Row],[In stock]]&lt;Table1[[#This Row],[Min in stock]],1,""),"")</f>
        <v/>
      </c>
    </row>
    <row r="312" spans="1:29" x14ac:dyDescent="0.25">
      <c r="A312" s="71" t="s">
        <v>1879</v>
      </c>
      <c r="B312" s="32" t="s">
        <v>593</v>
      </c>
      <c r="C312" s="32" t="s">
        <v>327</v>
      </c>
      <c r="D312" s="32" t="s">
        <v>1880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1878</v>
      </c>
      <c r="M312" s="39">
        <v>0.1</v>
      </c>
      <c r="N312" s="32"/>
      <c r="O312" s="39"/>
      <c r="P312" s="32"/>
      <c r="Q312" s="39"/>
      <c r="R312" s="32"/>
      <c r="S312" s="39"/>
      <c r="T312" s="45" t="str">
        <f>_xlfn.CONCAT("755-",Table1[[#This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IF(Table1[[#This Row],[Auto Order]]=1,IF(Table1[[#This Row],[In stock]]&lt;Table1[[#This Row],[Min in stock]],1,""),"")</f>
        <v/>
      </c>
    </row>
    <row r="313" spans="1:29" x14ac:dyDescent="0.25">
      <c r="A313" s="71" t="s">
        <v>2184</v>
      </c>
      <c r="B313" s="32" t="s">
        <v>593</v>
      </c>
      <c r="C313" s="32" t="s">
        <v>327</v>
      </c>
      <c r="D313" s="32" t="s">
        <v>2185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2183</v>
      </c>
      <c r="M313" s="39">
        <v>0.1</v>
      </c>
      <c r="N313" s="32"/>
      <c r="O313" s="39"/>
      <c r="P313" s="32"/>
      <c r="Q313" s="39"/>
      <c r="R313" s="32"/>
      <c r="S313" s="39"/>
      <c r="T313" s="45" t="str">
        <f>_xlfn.CONCAT("755-",Table1[[#This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71" t="s">
        <v>1882</v>
      </c>
      <c r="B314" s="32" t="s">
        <v>593</v>
      </c>
      <c r="C314" s="32" t="s">
        <v>327</v>
      </c>
      <c r="D314" s="32" t="s">
        <v>1883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1881</v>
      </c>
      <c r="M314" s="39">
        <v>0.1</v>
      </c>
      <c r="N314" s="32"/>
      <c r="O314" s="39"/>
      <c r="P314" s="32"/>
      <c r="Q314" s="39"/>
      <c r="R314" s="32"/>
      <c r="S314" s="39"/>
      <c r="T314" s="45" t="str">
        <f>_xlfn.CONCAT("755-",Table1[[#This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71" t="s">
        <v>2066</v>
      </c>
      <c r="B315" s="32" t="s">
        <v>593</v>
      </c>
      <c r="C315" s="32" t="s">
        <v>327</v>
      </c>
      <c r="D315" s="32" t="s">
        <v>2067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2065</v>
      </c>
      <c r="M315" s="39">
        <v>0.1</v>
      </c>
      <c r="N315" s="32"/>
      <c r="O315" s="39"/>
      <c r="P315" s="32"/>
      <c r="Q315" s="39"/>
      <c r="R315" s="32"/>
      <c r="S315" s="39"/>
      <c r="T315" s="45" t="str">
        <f>_xlfn.CONCAT("755-",Table1[[#This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71" t="s">
        <v>2054</v>
      </c>
      <c r="B316" s="32" t="s">
        <v>593</v>
      </c>
      <c r="C316" s="32" t="s">
        <v>327</v>
      </c>
      <c r="D316" s="32" t="s">
        <v>2055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2053</v>
      </c>
      <c r="M316" s="39">
        <v>0.1</v>
      </c>
      <c r="N316" s="32"/>
      <c r="O316" s="39"/>
      <c r="P316" s="32"/>
      <c r="Q316" s="39"/>
      <c r="R316" s="32"/>
      <c r="S316" s="39"/>
      <c r="T316" s="45" t="str">
        <f>_xlfn.CONCAT("755-",Table1[[#This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71" t="s">
        <v>2025</v>
      </c>
      <c r="B317" s="32" t="s">
        <v>593</v>
      </c>
      <c r="C317" s="32" t="s">
        <v>327</v>
      </c>
      <c r="D317" s="32" t="s">
        <v>2026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2024</v>
      </c>
      <c r="M317" s="39">
        <v>0.1</v>
      </c>
      <c r="N317" s="32"/>
      <c r="O317" s="39"/>
      <c r="P317" s="32"/>
      <c r="Q317" s="39"/>
      <c r="R317" s="32"/>
      <c r="S317" s="39"/>
      <c r="T317" s="45" t="str">
        <f>_xlfn.CONCAT("755-",Table1[[#This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71" t="s">
        <v>2015</v>
      </c>
      <c r="B318" s="32" t="s">
        <v>593</v>
      </c>
      <c r="C318" s="32" t="s">
        <v>327</v>
      </c>
      <c r="D318" s="32" t="s">
        <v>2016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2014</v>
      </c>
      <c r="M318" s="39">
        <v>0.1</v>
      </c>
      <c r="N318" s="32"/>
      <c r="O318" s="39"/>
      <c r="P318" s="32"/>
      <c r="Q318" s="39"/>
      <c r="R318" s="32"/>
      <c r="S318" s="39"/>
      <c r="T318" s="45" t="str">
        <f>_xlfn.CONCAT("755-",Table1[[#This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1" t="s">
        <v>1961</v>
      </c>
      <c r="B319" s="32" t="s">
        <v>593</v>
      </c>
      <c r="C319" s="32" t="s">
        <v>327</v>
      </c>
      <c r="D319" s="32" t="s">
        <v>1962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1960</v>
      </c>
      <c r="M319" s="39">
        <v>0.1</v>
      </c>
      <c r="N319" s="32"/>
      <c r="O319" s="39"/>
      <c r="P319" s="32"/>
      <c r="Q319" s="39"/>
      <c r="R319" s="32"/>
      <c r="S319" s="39"/>
      <c r="T319" s="45" t="str">
        <f>_xlfn.CONCAT("755-",Table1[[#This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IF(Table1[[#This Row],[Auto Order]]=1,IF(Table1[[#This Row],[In stock]]&lt;Table1[[#This Row],[Min in stock]],1,""),"")</f>
        <v/>
      </c>
    </row>
    <row r="320" spans="1:29" x14ac:dyDescent="0.25">
      <c r="A320" s="71" t="s">
        <v>1460</v>
      </c>
      <c r="B320" s="32" t="s">
        <v>593</v>
      </c>
      <c r="C320" s="32" t="s">
        <v>327</v>
      </c>
      <c r="D320" s="32" t="s">
        <v>2197</v>
      </c>
      <c r="E320" s="32" t="s">
        <v>511</v>
      </c>
      <c r="F320" s="43">
        <v>0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2198</v>
      </c>
      <c r="M320" s="39">
        <v>0.1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1024</v>
      </c>
      <c r="B321" s="32" t="s">
        <v>593</v>
      </c>
      <c r="C321" s="32" t="s">
        <v>1432</v>
      </c>
      <c r="D321" s="32" t="s">
        <v>1025</v>
      </c>
      <c r="E321" s="32" t="s">
        <v>511</v>
      </c>
      <c r="F321" s="43">
        <v>8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1023</v>
      </c>
      <c r="M321" s="39">
        <v>0.1</v>
      </c>
      <c r="N321" s="32"/>
      <c r="O321" s="39"/>
      <c r="P321" s="32"/>
      <c r="Q321" s="39"/>
      <c r="R321" s="32"/>
      <c r="S321" s="39"/>
      <c r="T321" s="45" t="str">
        <f>_xlfn.CONCAT("755-",Table1[[#This Row],[Art. Number]])</f>
        <v>755-ESR10EZPJ104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71" t="s">
        <v>1456</v>
      </c>
      <c r="B322" s="32" t="s">
        <v>593</v>
      </c>
      <c r="C322" s="32" t="s">
        <v>327</v>
      </c>
      <c r="D322" s="32" t="s">
        <v>2199</v>
      </c>
      <c r="E322" s="32" t="s">
        <v>511</v>
      </c>
      <c r="F322" s="43">
        <v>0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2" t="s">
        <v>2200</v>
      </c>
      <c r="M322" s="39">
        <v>0.1</v>
      </c>
      <c r="N322" s="32"/>
      <c r="O322" s="39"/>
      <c r="P322" s="32"/>
      <c r="Q322" s="39"/>
      <c r="R322" s="32"/>
      <c r="S322" s="39"/>
      <c r="T322" s="32"/>
      <c r="U322" s="39"/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IF(Table1[[#This Row],[Auto Order]]=1,IF(Table1[[#This Row],[In stock]]&lt;Table1[[#This Row],[Min in stock]],1,""),"")</f>
        <v/>
      </c>
    </row>
    <row r="323" spans="1:29" x14ac:dyDescent="0.25">
      <c r="A323" s="67" t="s">
        <v>995</v>
      </c>
      <c r="B323" s="32" t="s">
        <v>593</v>
      </c>
      <c r="C323" s="32" t="s">
        <v>1429</v>
      </c>
      <c r="D323" s="32" t="s">
        <v>996</v>
      </c>
      <c r="E323" s="32" t="s">
        <v>511</v>
      </c>
      <c r="F323" s="43">
        <v>10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994</v>
      </c>
      <c r="M323" s="39">
        <v>0.1</v>
      </c>
      <c r="N323" s="32"/>
      <c r="O323" s="39"/>
      <c r="P323" s="32"/>
      <c r="Q323" s="39"/>
      <c r="R323" s="32"/>
      <c r="S323" s="39"/>
      <c r="T323" s="45" t="str">
        <f>_xlfn.CONCAT("755-",Table1[[#This Row],[Art. Number]])</f>
        <v>755-ESR10EZPJ220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IF(Table1[[#This Row],[Auto Order]]=1,IF(Table1[[#This Row],[In stock]]&lt;Table1[[#This Row],[Min in stock]],1,""),"")</f>
        <v/>
      </c>
    </row>
    <row r="324" spans="1:29" x14ac:dyDescent="0.25">
      <c r="A324" s="71" t="s">
        <v>1453</v>
      </c>
      <c r="B324" s="32" t="s">
        <v>593</v>
      </c>
      <c r="C324" s="32" t="s">
        <v>327</v>
      </c>
      <c r="D324" s="32" t="s">
        <v>2201</v>
      </c>
      <c r="E324" s="32" t="s">
        <v>511</v>
      </c>
      <c r="F324" s="43">
        <v>0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2" t="s">
        <v>2202</v>
      </c>
      <c r="M324" s="39">
        <v>0.1</v>
      </c>
      <c r="N324" s="32"/>
      <c r="O324" s="39"/>
      <c r="P324" s="32"/>
      <c r="Q324" s="39"/>
      <c r="R324" s="32"/>
      <c r="S324" s="39"/>
      <c r="T324" s="32"/>
      <c r="U324" s="39"/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IF(Table1[[#This Row],[Auto Order]]=1,IF(Table1[[#This Row],[In stock]]&lt;Table1[[#This Row],[Min in stock]],1,""),"")</f>
        <v/>
      </c>
    </row>
    <row r="325" spans="1:29" x14ac:dyDescent="0.25">
      <c r="A325" s="67" t="s">
        <v>539</v>
      </c>
      <c r="B325" s="32" t="s">
        <v>593</v>
      </c>
      <c r="C325" s="32" t="s">
        <v>1434</v>
      </c>
      <c r="D325" s="32" t="s">
        <v>594</v>
      </c>
      <c r="E325" s="32" t="s">
        <v>511</v>
      </c>
      <c r="F325" s="43">
        <v>9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595</v>
      </c>
      <c r="M325" s="39">
        <v>0.1</v>
      </c>
      <c r="N325" s="32"/>
      <c r="O325" s="39"/>
      <c r="P325" s="32"/>
      <c r="Q325" s="39"/>
      <c r="R325" s="32"/>
      <c r="S325" s="39"/>
      <c r="T325" s="45" t="str">
        <f>_xlfn.CONCAT("755-",Table1[[#This Row],[Art. Number]])</f>
        <v>755-ESR10EZPJ273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IF(Table1[[#This Row],[Auto Order]]=1,IF(Table1[[#This Row],[In stock]]&lt;Table1[[#This Row],[Min in stock]],1,""),"")</f>
        <v/>
      </c>
    </row>
    <row r="326" spans="1:29" x14ac:dyDescent="0.25">
      <c r="A326" s="67" t="s">
        <v>1018</v>
      </c>
      <c r="B326" s="32" t="s">
        <v>593</v>
      </c>
      <c r="C326" s="32" t="s">
        <v>1430</v>
      </c>
      <c r="D326" s="32" t="s">
        <v>1019</v>
      </c>
      <c r="E326" s="32" t="s">
        <v>511</v>
      </c>
      <c r="F326" s="43">
        <v>9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1017</v>
      </c>
      <c r="M326" s="39">
        <v>0.1</v>
      </c>
      <c r="N326" s="32"/>
      <c r="O326" s="39"/>
      <c r="P326" s="32"/>
      <c r="Q326" s="39"/>
      <c r="R326" s="32"/>
      <c r="S326" s="39"/>
      <c r="T326" s="45" t="str">
        <f>_xlfn.CONCAT("755-",Table1[[#This Row],[Art. Number]])</f>
        <v>755-ESR10EZPJ331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IF(Table1[[#This Row],[Auto Order]]=1,IF(Table1[[#This Row],[In stock]]&lt;Table1[[#This Row],[Min in stock]],1,""),"")</f>
        <v/>
      </c>
    </row>
    <row r="327" spans="1:29" x14ac:dyDescent="0.25">
      <c r="A327" s="71" t="s">
        <v>1441</v>
      </c>
      <c r="B327" s="32" t="s">
        <v>593</v>
      </c>
      <c r="C327" s="32" t="s">
        <v>327</v>
      </c>
      <c r="D327" s="32" t="s">
        <v>2195</v>
      </c>
      <c r="E327" s="32" t="s">
        <v>511</v>
      </c>
      <c r="F327" s="43">
        <v>0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2196</v>
      </c>
      <c r="M327" s="39">
        <v>0.1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IF(Table1[[#This Row],[Auto Order]]=1,IF(Table1[[#This Row],[In stock]]&lt;Table1[[#This Row],[Min in stock]],1,""),"")</f>
        <v/>
      </c>
    </row>
    <row r="328" spans="1:29" x14ac:dyDescent="0.25">
      <c r="A328" s="67" t="s">
        <v>1015</v>
      </c>
      <c r="B328" s="32" t="s">
        <v>593</v>
      </c>
      <c r="C328" s="32" t="s">
        <v>1435</v>
      </c>
      <c r="D328" s="32" t="s">
        <v>1016</v>
      </c>
      <c r="E328" s="32" t="s">
        <v>511</v>
      </c>
      <c r="F328" s="43">
        <v>9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8" s="32" t="s">
        <v>1014</v>
      </c>
      <c r="M328" s="39">
        <v>0.1</v>
      </c>
      <c r="N328" s="32"/>
      <c r="O328" s="39"/>
      <c r="P328" s="32"/>
      <c r="Q328" s="39"/>
      <c r="R328" s="32"/>
      <c r="S328" s="39"/>
      <c r="T328" s="45" t="str">
        <f>_xlfn.CONCAT("755-",Table1[[#This Row],[Art. Number]])</f>
        <v>755-ESR10EZPJ392</v>
      </c>
      <c r="U328" s="39">
        <v>9.8000000000000004E-2</v>
      </c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IF(Table1[[#This Row],[Auto Order]]=1,IF(Table1[[#This Row],[In stock]]&lt;Table1[[#This Row],[Min in stock]],1,""),"")</f>
        <v/>
      </c>
    </row>
    <row r="329" spans="1:29" x14ac:dyDescent="0.25">
      <c r="A329" s="67" t="s">
        <v>712</v>
      </c>
      <c r="B329" s="32" t="s">
        <v>593</v>
      </c>
      <c r="C329" s="32" t="s">
        <v>1431</v>
      </c>
      <c r="D329" s="32" t="s">
        <v>713</v>
      </c>
      <c r="E329" s="32" t="s">
        <v>511</v>
      </c>
      <c r="F329" s="43">
        <v>10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9" s="32" t="s">
        <v>711</v>
      </c>
      <c r="M329" s="39">
        <v>0.15</v>
      </c>
      <c r="N329" s="32"/>
      <c r="O329" s="39"/>
      <c r="P329" s="32"/>
      <c r="Q329" s="39"/>
      <c r="R329" s="32"/>
      <c r="S329" s="39"/>
      <c r="T329" s="45" t="str">
        <f>_xlfn.CONCAT("755-",Table1[[#This Row],[Art. Number]])</f>
        <v>755-KTR10EZPJ102</v>
      </c>
      <c r="U329" s="39">
        <v>9.8000000000000004E-2</v>
      </c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45" t="str">
        <f>IF(Table1[[#This Row],[Auto Order]]=1,IF(Table1[[#This Row],[In stock]]&lt;Table1[[#This Row],[Min in stock]],1,""),"")</f>
        <v/>
      </c>
    </row>
    <row r="330" spans="1:29" x14ac:dyDescent="0.25">
      <c r="A330" s="71" t="s">
        <v>930</v>
      </c>
      <c r="B330" s="32" t="s">
        <v>593</v>
      </c>
      <c r="C330" s="32" t="s">
        <v>1433</v>
      </c>
      <c r="D330" s="32" t="s">
        <v>931</v>
      </c>
      <c r="E330" s="32" t="s">
        <v>511</v>
      </c>
      <c r="F330" s="43">
        <v>2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30" s="32" t="s">
        <v>929</v>
      </c>
      <c r="M330" s="39">
        <v>0.15</v>
      </c>
      <c r="N330" s="32"/>
      <c r="O330" s="39"/>
      <c r="P330" s="32"/>
      <c r="Q330" s="39"/>
      <c r="R330" s="32"/>
      <c r="S330" s="39"/>
      <c r="T330" s="45" t="str">
        <f>_xlfn.CONCAT("755-",Table1[[#This Row],[Art. Number]])</f>
        <v>755-KTR10EZPJ106</v>
      </c>
      <c r="U330" s="39">
        <v>9.8000000000000004E-2</v>
      </c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45" t="str">
        <f>IF(Table1[[#This Row],[Auto Order]]=1,IF(Table1[[#This Row],[In stock]]&lt;Table1[[#This Row],[Min in stock]],1,""),"")</f>
        <v/>
      </c>
    </row>
    <row r="331" spans="1:29" x14ac:dyDescent="0.25">
      <c r="A331" s="70" t="s">
        <v>55</v>
      </c>
      <c r="B331" s="32" t="s">
        <v>30</v>
      </c>
      <c r="C331" s="32" t="s">
        <v>1379</v>
      </c>
      <c r="D331" s="32" t="s">
        <v>54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396</v>
      </c>
      <c r="O331" s="39">
        <v>4.4499999999999998E-2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4.4499999999999998E-2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70" t="s">
        <v>50</v>
      </c>
      <c r="B332" s="32" t="s">
        <v>30</v>
      </c>
      <c r="C332" s="32" t="s">
        <v>1377</v>
      </c>
      <c r="D332" s="32" t="s">
        <v>1371</v>
      </c>
      <c r="E332" s="32" t="s">
        <v>511</v>
      </c>
      <c r="F332" s="43">
        <v>9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2" s="32"/>
      <c r="M332" s="39"/>
      <c r="N332" s="32" t="s">
        <v>399</v>
      </c>
      <c r="O332" s="39">
        <v>1.55E-2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1.55E-2</v>
      </c>
      <c r="Z332" s="39" t="str">
        <f>IF(Table1[[#This Row],[Other]]&lt;&gt;"","Other","")</f>
        <v/>
      </c>
      <c r="AA332" s="32"/>
      <c r="AB332" s="41"/>
      <c r="AC332" s="33" t="str">
        <f>IF(Table1[[#This Row],[Auto Order]]=1,IF(Table1[[#This Row],[In stock]]&lt;Table1[[#This Row],[Min in stock]],1,""),"")</f>
        <v/>
      </c>
    </row>
    <row r="333" spans="1:29" x14ac:dyDescent="0.25">
      <c r="A333" s="70" t="s">
        <v>49</v>
      </c>
      <c r="B333" s="32" t="s">
        <v>30</v>
      </c>
      <c r="C333" s="32" t="s">
        <v>327</v>
      </c>
      <c r="D333" s="32" t="s">
        <v>48</v>
      </c>
      <c r="E333" s="32" t="s">
        <v>511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3" s="32"/>
      <c r="M333" s="39"/>
      <c r="N333" s="32" t="s">
        <v>400</v>
      </c>
      <c r="O333" s="39">
        <v>2.3E-2</v>
      </c>
      <c r="P333" s="32"/>
      <c r="Q333" s="39"/>
      <c r="R333" s="32"/>
      <c r="S333" s="39"/>
      <c r="T333" s="32"/>
      <c r="U333" s="39"/>
      <c r="V333" s="32"/>
      <c r="W333" s="39"/>
      <c r="X333" s="32"/>
      <c r="Y333" s="39">
        <v>2.3E-2</v>
      </c>
      <c r="Z333" s="39" t="str">
        <f>IF(Table1[[#This Row],[Other]]&lt;&gt;"","Other","")</f>
        <v/>
      </c>
      <c r="AA333" s="32"/>
      <c r="AB333" s="41"/>
      <c r="AC333" s="33" t="str">
        <f>IF(Table1[[#This Row],[Auto Order]]=1,IF(Table1[[#This Row],[In stock]]&lt;Table1[[#This Row],[Min in stock]],1,""),"")</f>
        <v/>
      </c>
    </row>
    <row r="334" spans="1:29" x14ac:dyDescent="0.25">
      <c r="A334" s="70" t="s">
        <v>56</v>
      </c>
      <c r="B334" s="32" t="s">
        <v>30</v>
      </c>
      <c r="C334" s="32" t="s">
        <v>1376</v>
      </c>
      <c r="D334" s="32" t="s">
        <v>1372</v>
      </c>
      <c r="E334" s="32" t="s">
        <v>511</v>
      </c>
      <c r="F334" s="43">
        <v>7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4" s="32"/>
      <c r="M334" s="39"/>
      <c r="N334" s="32" t="s">
        <v>395</v>
      </c>
      <c r="O334" s="39">
        <v>2.3900000000000001E-2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2.3900000000000001E-2</v>
      </c>
      <c r="Z334" s="39" t="str">
        <f>IF(Table1[[#This Row],[Other]]&lt;&gt;"","Other","")</f>
        <v/>
      </c>
      <c r="AA334" s="32"/>
      <c r="AB334" s="41"/>
      <c r="AC334" s="33" t="str">
        <f>IF(Table1[[#This Row],[Auto Order]]=1,IF(Table1[[#This Row],[In stock]]&lt;Table1[[#This Row],[Min in stock]],1,""),"")</f>
        <v/>
      </c>
    </row>
    <row r="335" spans="1:29" x14ac:dyDescent="0.25">
      <c r="A335" s="70" t="s">
        <v>47</v>
      </c>
      <c r="B335" s="32" t="s">
        <v>46</v>
      </c>
      <c r="C335" s="32" t="s">
        <v>1375</v>
      </c>
      <c r="D335" s="32" t="s">
        <v>1373</v>
      </c>
      <c r="E335" s="32" t="s">
        <v>511</v>
      </c>
      <c r="F335" s="43">
        <v>9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5" s="32"/>
      <c r="M335" s="39"/>
      <c r="N335" s="32" t="s">
        <v>398</v>
      </c>
      <c r="O335" s="39">
        <v>1.0999999999999999E-2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1.0999999999999999E-2</v>
      </c>
      <c r="Z335" s="39" t="str">
        <f>IF(Table1[[#This Row],[Other]]&lt;&gt;"","Other","")</f>
        <v/>
      </c>
      <c r="AA335" s="32"/>
      <c r="AB335" s="41"/>
      <c r="AC335" s="33" t="str">
        <f>IF(Table1[[#This Row],[Auto Order]]=1,IF(Table1[[#This Row],[In stock]]&lt;Table1[[#This Row],[Min in stock]],1,""),"")</f>
        <v/>
      </c>
    </row>
    <row r="336" spans="1:29" x14ac:dyDescent="0.25">
      <c r="A336" s="67" t="s">
        <v>1177</v>
      </c>
      <c r="B336" s="32" t="s">
        <v>1173</v>
      </c>
      <c r="C336" s="32" t="s">
        <v>327</v>
      </c>
      <c r="D336" s="32" t="s">
        <v>1178</v>
      </c>
      <c r="E336" s="32" t="s">
        <v>1189</v>
      </c>
      <c r="F336" s="43">
        <v>0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1179</v>
      </c>
      <c r="M336" s="39">
        <v>0.23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IF(Table1[[#This Row],[Auto Order]]=1,IF(Table1[[#This Row],[In stock]]&lt;Table1[[#This Row],[Min in stock]],1,""),"")</f>
        <v/>
      </c>
    </row>
    <row r="337" spans="1:29" x14ac:dyDescent="0.25">
      <c r="A337" s="67" t="s">
        <v>1185</v>
      </c>
      <c r="B337" s="32" t="s">
        <v>1186</v>
      </c>
      <c r="C337" s="32" t="s">
        <v>1660</v>
      </c>
      <c r="D337" s="32" t="s">
        <v>1187</v>
      </c>
      <c r="E337" s="32" t="s">
        <v>1189</v>
      </c>
      <c r="F337" s="43">
        <v>2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1188</v>
      </c>
      <c r="M337" s="39">
        <v>0.16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1" t="s">
        <v>2187</v>
      </c>
      <c r="B338" s="32" t="s">
        <v>2188</v>
      </c>
      <c r="C338" s="32" t="s">
        <v>327</v>
      </c>
      <c r="D338" s="32" t="s">
        <v>2189</v>
      </c>
      <c r="E338" s="32" t="s">
        <v>2190</v>
      </c>
      <c r="F338" s="43">
        <v>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2191</v>
      </c>
      <c r="M338" s="39">
        <v>16.78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IF(Table1[[#This Row],[Auto Order]]=1,IF(Table1[[#This Row],[In stock]]&lt;Table1[[#This Row],[Min in stock]],1,""),"")</f>
        <v/>
      </c>
    </row>
    <row r="339" spans="1:29" x14ac:dyDescent="0.25">
      <c r="A339" s="71" t="s">
        <v>2192</v>
      </c>
      <c r="B339" s="32" t="s">
        <v>2188</v>
      </c>
      <c r="C339" s="32" t="s">
        <v>327</v>
      </c>
      <c r="D339" s="32" t="s">
        <v>2193</v>
      </c>
      <c r="E339" s="32" t="s">
        <v>2190</v>
      </c>
      <c r="F339" s="43">
        <v>0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2194</v>
      </c>
      <c r="M339" s="39">
        <v>17.77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IF(Table1[[#This Row],[Auto Order]]=1,IF(Table1[[#This Row],[In stock]]&lt;Table1[[#This Row],[Min in stock]],1,""),"")</f>
        <v/>
      </c>
    </row>
    <row r="340" spans="1:29" x14ac:dyDescent="0.25">
      <c r="A340" s="67" t="s">
        <v>1169</v>
      </c>
      <c r="B340" s="32" t="s">
        <v>1156</v>
      </c>
      <c r="C340" s="32" t="s">
        <v>327</v>
      </c>
      <c r="D340" s="32" t="s">
        <v>1170</v>
      </c>
      <c r="E340" s="32" t="s">
        <v>1158</v>
      </c>
      <c r="F340" s="43">
        <v>0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1171</v>
      </c>
      <c r="M340" s="39">
        <v>5.05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IF(Table1[[#This Row],[Auto Order]]=1,IF(Table1[[#This Row],[In stock]]&lt;Table1[[#This Row],[Min in stock]],1,""),"")</f>
        <v/>
      </c>
    </row>
    <row r="341" spans="1:29" x14ac:dyDescent="0.25">
      <c r="A341" s="67" t="s">
        <v>1166</v>
      </c>
      <c r="B341" s="32" t="s">
        <v>1156</v>
      </c>
      <c r="C341" s="32" t="s">
        <v>327</v>
      </c>
      <c r="D341" s="32" t="s">
        <v>1167</v>
      </c>
      <c r="E341" s="32" t="s">
        <v>1158</v>
      </c>
      <c r="F341" s="43">
        <v>0</v>
      </c>
      <c r="G341" s="43"/>
      <c r="H341" s="43"/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2" t="s">
        <v>1168</v>
      </c>
      <c r="M341" s="39">
        <v>5.05</v>
      </c>
      <c r="N341" s="32"/>
      <c r="O341" s="39"/>
      <c r="P341" s="32"/>
      <c r="Q341" s="39"/>
      <c r="R341" s="32"/>
      <c r="S341" s="39"/>
      <c r="T341" s="32"/>
      <c r="U341" s="39"/>
      <c r="V341" s="32"/>
      <c r="W341" s="39"/>
      <c r="X341" s="32"/>
      <c r="Y341" s="39"/>
      <c r="Z341" s="39" t="str">
        <f>IF(Table1[[#This Row],[Other]]&lt;&gt;"","Other","")</f>
        <v/>
      </c>
      <c r="AA341" s="32"/>
      <c r="AB341" s="41"/>
      <c r="AC341" s="45" t="str">
        <f>IF(Table1[[#This Row],[Auto Order]]=1,IF(Table1[[#This Row],[In stock]]&lt;Table1[[#This Row],[Min in stock]],1,""),"")</f>
        <v/>
      </c>
    </row>
    <row r="342" spans="1:29" x14ac:dyDescent="0.25">
      <c r="A342" s="67" t="s">
        <v>1163</v>
      </c>
      <c r="B342" s="32" t="s">
        <v>1156</v>
      </c>
      <c r="C342" s="32" t="s">
        <v>327</v>
      </c>
      <c r="D342" s="32" t="s">
        <v>1164</v>
      </c>
      <c r="E342" s="32" t="s">
        <v>1158</v>
      </c>
      <c r="F342" s="43">
        <v>1</v>
      </c>
      <c r="G342" s="43"/>
      <c r="H342" s="43"/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2" t="s">
        <v>1165</v>
      </c>
      <c r="M342" s="39">
        <v>5.25</v>
      </c>
      <c r="N342" s="32"/>
      <c r="O342" s="39"/>
      <c r="P342" s="32"/>
      <c r="Q342" s="39"/>
      <c r="R342" s="32"/>
      <c r="S342" s="39"/>
      <c r="T342" s="32"/>
      <c r="U342" s="39"/>
      <c r="V342" s="32"/>
      <c r="W342" s="39"/>
      <c r="X342" s="32"/>
      <c r="Y342" s="39"/>
      <c r="Z342" s="39" t="str">
        <f>IF(Table1[[#This Row],[Other]]&lt;&gt;"","Other","")</f>
        <v/>
      </c>
      <c r="AA342" s="32"/>
      <c r="AB342" s="41"/>
      <c r="AC342" s="45" t="str">
        <f>IF(Table1[[#This Row],[Auto Order]]=1,IF(Table1[[#This Row],[In stock]]&lt;Table1[[#This Row],[Min in stock]],1,""),"")</f>
        <v/>
      </c>
    </row>
    <row r="343" spans="1:29" x14ac:dyDescent="0.25">
      <c r="A343" s="67" t="s">
        <v>1155</v>
      </c>
      <c r="B343" s="32" t="s">
        <v>1156</v>
      </c>
      <c r="C343" s="32" t="s">
        <v>327</v>
      </c>
      <c r="D343" s="32" t="s">
        <v>1157</v>
      </c>
      <c r="E343" s="32" t="s">
        <v>1158</v>
      </c>
      <c r="F343" s="43">
        <v>1</v>
      </c>
      <c r="G343" s="43"/>
      <c r="H343" s="43"/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2" t="s">
        <v>1159</v>
      </c>
      <c r="M343" s="39">
        <v>4.8499999999999996</v>
      </c>
      <c r="N343" s="32"/>
      <c r="O343" s="39"/>
      <c r="P343" s="32"/>
      <c r="Q343" s="39"/>
      <c r="R343" s="32"/>
      <c r="S343" s="39"/>
      <c r="T343" s="32"/>
      <c r="U343" s="39"/>
      <c r="V343" s="32"/>
      <c r="W343" s="39"/>
      <c r="X343" s="32"/>
      <c r="Y343" s="39"/>
      <c r="Z343" s="39" t="str">
        <f>IF(Table1[[#This Row],[Other]]&lt;&gt;"","Other","")</f>
        <v/>
      </c>
      <c r="AA343" s="32"/>
      <c r="AB343" s="41"/>
      <c r="AC343" s="45" t="str">
        <f>IF(Table1[[#This Row],[Auto Order]]=1,IF(Table1[[#This Row],[In stock]]&lt;Table1[[#This Row],[Min in stock]],1,""),"")</f>
        <v/>
      </c>
    </row>
    <row r="344" spans="1:29" x14ac:dyDescent="0.25">
      <c r="A344" s="72" t="s">
        <v>1249</v>
      </c>
      <c r="B344" s="62" t="s">
        <v>1156</v>
      </c>
      <c r="C344" s="62" t="s">
        <v>327</v>
      </c>
      <c r="D344" s="62" t="s">
        <v>1250</v>
      </c>
      <c r="E344" s="62" t="s">
        <v>1158</v>
      </c>
      <c r="F344" s="63">
        <v>1</v>
      </c>
      <c r="G344" s="63"/>
      <c r="H344" s="63"/>
      <c r="I344" s="62" t="s">
        <v>1244</v>
      </c>
      <c r="J344" s="64">
        <v>0.53</v>
      </c>
      <c r="K344" s="65" t="s">
        <v>75</v>
      </c>
      <c r="L344" s="62" t="s">
        <v>1251</v>
      </c>
      <c r="M344" s="66">
        <v>5.05</v>
      </c>
      <c r="N344" s="62"/>
      <c r="O344" s="66"/>
      <c r="P344" s="62"/>
      <c r="Q344" s="66"/>
      <c r="R344" s="62"/>
      <c r="S344" s="66"/>
      <c r="T344" s="62"/>
      <c r="U344" s="66"/>
      <c r="V344" s="62"/>
      <c r="W344" s="66"/>
      <c r="X344" s="62"/>
      <c r="Y344" s="66"/>
      <c r="Z344" s="66" t="str">
        <f>IF(Table1[[#This Row],[Other]]&lt;&gt;"","Other","")</f>
        <v/>
      </c>
      <c r="AA344" s="62"/>
      <c r="AB344" s="64"/>
      <c r="AC344" s="65" t="s">
        <v>1258</v>
      </c>
    </row>
    <row r="345" spans="1:29" x14ac:dyDescent="0.25">
      <c r="A345" s="67" t="s">
        <v>1160</v>
      </c>
      <c r="B345" s="32" t="s">
        <v>1156</v>
      </c>
      <c r="C345" s="32" t="s">
        <v>327</v>
      </c>
      <c r="D345" s="32" t="s">
        <v>1161</v>
      </c>
      <c r="E345" s="32" t="s">
        <v>1158</v>
      </c>
      <c r="F345" s="43">
        <v>1</v>
      </c>
      <c r="G345" s="43"/>
      <c r="H345" s="43"/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1162</v>
      </c>
      <c r="M345" s="39">
        <v>5.05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45" t="str">
        <f>IF(Table1[[#This Row],[Auto Order]]=1,IF(Table1[[#This Row],[In stock]]&lt;Table1[[#This Row],[Min in stock]],1,""),"")</f>
        <v/>
      </c>
    </row>
    <row r="346" spans="1:29" x14ac:dyDescent="0.25">
      <c r="A346" s="67" t="s">
        <v>1172</v>
      </c>
      <c r="B346" s="32" t="s">
        <v>1173</v>
      </c>
      <c r="C346" s="32" t="s">
        <v>1660</v>
      </c>
      <c r="D346" s="32" t="s">
        <v>1174</v>
      </c>
      <c r="E346" s="32" t="s">
        <v>1175</v>
      </c>
      <c r="F346" s="43">
        <v>6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1176</v>
      </c>
      <c r="M346" s="39">
        <v>0.47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IF(Table1[[#This Row],[Auto Order]]=1,IF(Table1[[#This Row],[In stock]]&lt;Table1[[#This Row],[Min in stock]],1,""),"")</f>
        <v/>
      </c>
    </row>
    <row r="347" spans="1:29" x14ac:dyDescent="0.25">
      <c r="A347" s="70" t="s">
        <v>109</v>
      </c>
      <c r="B347" s="32" t="s">
        <v>82</v>
      </c>
      <c r="C347" s="32" t="s">
        <v>327</v>
      </c>
      <c r="D347" s="32" t="s">
        <v>108</v>
      </c>
      <c r="E347" s="32" t="s">
        <v>505</v>
      </c>
      <c r="F347" s="43">
        <v>19</v>
      </c>
      <c r="G347" s="43">
        <v>2</v>
      </c>
      <c r="H347" s="43">
        <f>1</f>
        <v>1</v>
      </c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7" s="32" t="s">
        <v>423</v>
      </c>
      <c r="M347" s="39">
        <v>0.28000000000000003</v>
      </c>
      <c r="N347" s="32" t="s">
        <v>110</v>
      </c>
      <c r="O347" s="39">
        <v>0.191</v>
      </c>
      <c r="P347" s="32"/>
      <c r="Q347" s="39"/>
      <c r="R347" s="32"/>
      <c r="S347" s="39"/>
      <c r="T347" s="32"/>
      <c r="U347" s="39"/>
      <c r="V347" s="32"/>
      <c r="W347" s="39"/>
      <c r="X347" s="32"/>
      <c r="Y347" s="39">
        <v>0.191</v>
      </c>
      <c r="Z347" s="39" t="str">
        <f>IF(Table1[[#This Row],[Other]]&lt;&gt;"","Other","")</f>
        <v/>
      </c>
      <c r="AA347" s="32"/>
      <c r="AB347" s="41"/>
      <c r="AC347" s="33" t="str">
        <f>IF(Table1[[#This Row],[Auto Order]]=1,IF(Table1[[#This Row],[In stock]]&lt;Table1[[#This Row],[Min in stock]],1,""),"")</f>
        <v/>
      </c>
    </row>
    <row r="348" spans="1:29" x14ac:dyDescent="0.25">
      <c r="A348" s="70" t="s">
        <v>119</v>
      </c>
      <c r="B348" s="32" t="s">
        <v>7</v>
      </c>
      <c r="C348" s="32" t="s">
        <v>327</v>
      </c>
      <c r="D348" s="32" t="s">
        <v>118</v>
      </c>
      <c r="E348" s="32" t="s">
        <v>505</v>
      </c>
      <c r="F348" s="43">
        <v>10</v>
      </c>
      <c r="G348" s="43">
        <v>2</v>
      </c>
      <c r="H348" s="43">
        <f>1</f>
        <v>1</v>
      </c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8" s="32" t="s">
        <v>427</v>
      </c>
      <c r="M348" s="39">
        <v>0.61</v>
      </c>
      <c r="N348" s="32" t="s">
        <v>120</v>
      </c>
      <c r="O348" s="39">
        <v>0.34899999999999998</v>
      </c>
      <c r="P348" s="32"/>
      <c r="Q348" s="39"/>
      <c r="R348" s="32"/>
      <c r="S348" s="39"/>
      <c r="T348" s="32"/>
      <c r="U348" s="39"/>
      <c r="V348" s="32"/>
      <c r="W348" s="39"/>
      <c r="X348" s="32"/>
      <c r="Y348" s="39">
        <v>0.34899999999999998</v>
      </c>
      <c r="Z348" s="39" t="str">
        <f>IF(Table1[[#This Row],[Other]]&lt;&gt;"","Other","")</f>
        <v/>
      </c>
      <c r="AA348" s="32"/>
      <c r="AB348" s="41"/>
      <c r="AC348" s="33" t="str">
        <f>IF(Table1[[#This Row],[Auto Order]]=1,IF(Table1[[#This Row],[In stock]]&lt;Table1[[#This Row],[Min in stock]],1,""),"")</f>
        <v/>
      </c>
    </row>
    <row r="349" spans="1:29" x14ac:dyDescent="0.25">
      <c r="A349" s="70" t="s">
        <v>106</v>
      </c>
      <c r="B349" s="32" t="s">
        <v>30</v>
      </c>
      <c r="C349" s="32" t="s">
        <v>327</v>
      </c>
      <c r="D349" s="32" t="s">
        <v>105</v>
      </c>
      <c r="E349" s="32" t="s">
        <v>505</v>
      </c>
      <c r="F349" s="43">
        <v>15</v>
      </c>
      <c r="G349" s="43">
        <v>2</v>
      </c>
      <c r="H349" s="43">
        <f>1</f>
        <v>1</v>
      </c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9" s="32"/>
      <c r="M349" s="39"/>
      <c r="N349" s="32" t="s">
        <v>107</v>
      </c>
      <c r="O349" s="39">
        <v>0.26500000000000001</v>
      </c>
      <c r="P349" s="32"/>
      <c r="Q349" s="39"/>
      <c r="R349" s="32"/>
      <c r="S349" s="39"/>
      <c r="T349" s="32"/>
      <c r="U349" s="39"/>
      <c r="V349" s="32"/>
      <c r="W349" s="39"/>
      <c r="X349" s="32"/>
      <c r="Y349" s="39">
        <v>0.26500000000000001</v>
      </c>
      <c r="Z349" s="39" t="str">
        <f>IF(Table1[[#This Row],[Other]]&lt;&gt;"","Other","")</f>
        <v/>
      </c>
      <c r="AA349" s="32"/>
      <c r="AB349" s="41"/>
      <c r="AC349" s="33" t="str">
        <f>IF(Table1[[#This Row],[Auto Order]]=1,IF(Table1[[#This Row],[In stock]]&lt;Table1[[#This Row],[Min in stock]],1,""),"")</f>
        <v/>
      </c>
    </row>
    <row r="350" spans="1:29" x14ac:dyDescent="0.25">
      <c r="A350" s="70" t="s">
        <v>217</v>
      </c>
      <c r="B350" s="32" t="s">
        <v>218</v>
      </c>
      <c r="C350" s="32" t="s">
        <v>1649</v>
      </c>
      <c r="D350" s="32" t="s">
        <v>219</v>
      </c>
      <c r="E350" s="32" t="s">
        <v>500</v>
      </c>
      <c r="F350" s="43">
        <v>4</v>
      </c>
      <c r="G350" s="43">
        <v>2</v>
      </c>
      <c r="H350" s="43">
        <v>1</v>
      </c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2" t="s">
        <v>216</v>
      </c>
      <c r="M350" s="39">
        <v>0.85</v>
      </c>
      <c r="N350" s="32"/>
      <c r="O350" s="39"/>
      <c r="P350" s="32"/>
      <c r="Q350" s="39"/>
      <c r="R350" s="32"/>
      <c r="S350" s="39"/>
      <c r="T350" s="32"/>
      <c r="U350" s="39"/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33" t="str">
        <f>IF(Table1[[#This Row],[Auto Order]]=1,IF(Table1[[#This Row],[In stock]]&lt;Table1[[#This Row],[Min in stock]],1,""),"")</f>
        <v/>
      </c>
    </row>
    <row r="351" spans="1:29" x14ac:dyDescent="0.25">
      <c r="A351" s="70" t="s">
        <v>213</v>
      </c>
      <c r="B351" s="32" t="s">
        <v>214</v>
      </c>
      <c r="C351" s="32" t="s">
        <v>1649</v>
      </c>
      <c r="D351" s="32" t="s">
        <v>215</v>
      </c>
      <c r="E351" s="32" t="s">
        <v>500</v>
      </c>
      <c r="F351" s="43">
        <v>2</v>
      </c>
      <c r="G351" s="43">
        <v>2</v>
      </c>
      <c r="H351" s="43"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2" t="s">
        <v>212</v>
      </c>
      <c r="M351" s="39">
        <v>1.39</v>
      </c>
      <c r="N351" s="32"/>
      <c r="O351" s="39"/>
      <c r="P351" s="32"/>
      <c r="Q351" s="39"/>
      <c r="R351" s="32"/>
      <c r="S351" s="39"/>
      <c r="T351" s="32"/>
      <c r="U351" s="39"/>
      <c r="V351" s="32"/>
      <c r="W351" s="39"/>
      <c r="X351" s="32"/>
      <c r="Y351" s="39"/>
      <c r="Z351" s="39" t="str">
        <f>IF(Table1[[#This Row],[Other]]&lt;&gt;"","Other","")</f>
        <v/>
      </c>
      <c r="AA351" s="32"/>
      <c r="AB351" s="41"/>
      <c r="AC351" s="33" t="str">
        <f>IF(Table1[[#This Row],[Auto Order]]=1,IF(Table1[[#This Row],[In stock]]&lt;Table1[[#This Row],[Min in stock]],1,""),"")</f>
        <v/>
      </c>
    </row>
    <row r="352" spans="1:29" x14ac:dyDescent="0.25">
      <c r="A352" s="67" t="s">
        <v>1241</v>
      </c>
      <c r="B352" s="32" t="s">
        <v>1242</v>
      </c>
      <c r="C352" s="32" t="s">
        <v>327</v>
      </c>
      <c r="D352" s="32" t="s">
        <v>1243</v>
      </c>
      <c r="E352" s="32" t="s">
        <v>500</v>
      </c>
      <c r="F352" s="43">
        <v>0</v>
      </c>
      <c r="G352" s="43"/>
      <c r="H352" s="43"/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2" t="s">
        <v>1244</v>
      </c>
      <c r="M352" s="39">
        <v>0.53</v>
      </c>
      <c r="N352" s="32"/>
      <c r="O352" s="39"/>
      <c r="P352" s="32"/>
      <c r="Q352" s="39"/>
      <c r="R352" s="32"/>
      <c r="S352" s="39"/>
      <c r="T352" s="32"/>
      <c r="U352" s="39"/>
      <c r="V352" s="32"/>
      <c r="W352" s="39"/>
      <c r="X352" s="32"/>
      <c r="Y352" s="39"/>
      <c r="Z352" s="39" t="str">
        <f>IF(Table1[[#This Row],[Other]]&lt;&gt;"","Other","")</f>
        <v/>
      </c>
      <c r="AA352" s="32"/>
      <c r="AB352" s="41"/>
      <c r="AC352" s="45" t="str">
        <f>IF(Table1[[#This Row],[Auto Order]]=1,IF(Table1[[#This Row],[In stock]]&lt;Table1[[#This Row],[Min in stock]],1,""),"")</f>
        <v/>
      </c>
    </row>
    <row r="353" spans="1:29" x14ac:dyDescent="0.25">
      <c r="A353" s="67" t="s">
        <v>1264</v>
      </c>
      <c r="B353" s="32" t="s">
        <v>1259</v>
      </c>
      <c r="C353" s="32" t="s">
        <v>327</v>
      </c>
      <c r="D353" s="32" t="s">
        <v>1262</v>
      </c>
      <c r="E353" s="32" t="s">
        <v>508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1263</v>
      </c>
      <c r="M353" s="39">
        <v>56.67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IF(Table1[[#This Row],[Auto Order]]=1,IF(Table1[[#This Row],[In stock]]&lt;Table1[[#This Row],[Min in stock]],1,""),"")</f>
        <v/>
      </c>
    </row>
    <row r="354" spans="1:29" x14ac:dyDescent="0.25">
      <c r="A354" s="70" t="s">
        <v>322</v>
      </c>
      <c r="B354" s="32" t="s">
        <v>323</v>
      </c>
      <c r="C354" s="32" t="s">
        <v>327</v>
      </c>
      <c r="D354" s="32" t="s">
        <v>324</v>
      </c>
      <c r="E354" s="32" t="s">
        <v>508</v>
      </c>
      <c r="F354" s="43">
        <v>1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54" s="32"/>
      <c r="M354" s="39"/>
      <c r="N354" s="32"/>
      <c r="O354" s="39"/>
      <c r="P354" s="32"/>
      <c r="Q354" s="39"/>
      <c r="R354" s="32" t="s">
        <v>321</v>
      </c>
      <c r="S354" s="39">
        <v>399.95</v>
      </c>
      <c r="T354" s="32"/>
      <c r="U354" s="39"/>
      <c r="V354" s="32"/>
      <c r="W354" s="39"/>
      <c r="X354" s="32"/>
      <c r="Y354" s="39"/>
      <c r="Z354" s="39" t="str">
        <f>IF(Table1[[#This Row],[Other]]&lt;&gt;"","Other","")</f>
        <v/>
      </c>
      <c r="AA354" s="32"/>
      <c r="AB354" s="41"/>
      <c r="AC354" s="33" t="str">
        <f>IF(Table1[[#This Row],[Auto Order]]=1,IF(Table1[[#This Row],[In stock]]&lt;Table1[[#This Row],[Min in stock]],1,""),"")</f>
        <v/>
      </c>
    </row>
    <row r="355" spans="1:29" x14ac:dyDescent="0.25">
      <c r="A355" s="70" t="s">
        <v>304</v>
      </c>
      <c r="B355" s="32" t="s">
        <v>305</v>
      </c>
      <c r="C355" s="32" t="s">
        <v>327</v>
      </c>
      <c r="D355" s="32" t="s">
        <v>306</v>
      </c>
      <c r="E355" s="32" t="s">
        <v>508</v>
      </c>
      <c r="F355" s="43">
        <v>0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55" s="32"/>
      <c r="M355" s="39"/>
      <c r="N355" s="32"/>
      <c r="O355" s="39"/>
      <c r="P355" s="32" t="s">
        <v>303</v>
      </c>
      <c r="Q355" s="39">
        <v>14.6</v>
      </c>
      <c r="R355" s="32"/>
      <c r="S355" s="39"/>
      <c r="T355" s="32"/>
      <c r="U355" s="39"/>
      <c r="V355" s="32"/>
      <c r="W355" s="39"/>
      <c r="X355" s="32"/>
      <c r="Y355" s="39"/>
      <c r="Z355" s="39" t="str">
        <f>IF(Table1[[#This Row],[Other]]&lt;&gt;"","Other","")</f>
        <v/>
      </c>
      <c r="AA355" s="32"/>
      <c r="AB355" s="41"/>
      <c r="AC355" s="33" t="str">
        <f>IF(Table1[[#This Row],[Auto Order]]=1,IF(Table1[[#This Row],[In stock]]&lt;Table1[[#This Row],[Min in stock]],1,""),"")</f>
        <v/>
      </c>
    </row>
    <row r="356" spans="1:29" x14ac:dyDescent="0.25">
      <c r="A356" s="71" t="s">
        <v>1708</v>
      </c>
      <c r="B356" s="32" t="s">
        <v>1156</v>
      </c>
      <c r="C356" s="32" t="s">
        <v>327</v>
      </c>
      <c r="D356" s="32" t="s">
        <v>1707</v>
      </c>
      <c r="E356" s="32" t="s">
        <v>508</v>
      </c>
      <c r="F356" s="43">
        <v>0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6" s="32"/>
      <c r="M356" s="39"/>
      <c r="N356" s="32"/>
      <c r="O356" s="39"/>
      <c r="P356" s="32"/>
      <c r="Q356" s="39"/>
      <c r="R356" s="32"/>
      <c r="S356" s="39"/>
      <c r="T356" s="32" t="s">
        <v>1706</v>
      </c>
      <c r="U356" s="39">
        <v>9.17</v>
      </c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45" t="str">
        <f>IF(Table1[[#This Row],[Auto Order]]=1,IF(Table1[[#This Row],[In stock]]&lt;Table1[[#This Row],[Min in stock]],1,""),"")</f>
        <v/>
      </c>
    </row>
    <row r="357" spans="1:29" x14ac:dyDescent="0.25">
      <c r="A357" s="70" t="s">
        <v>42</v>
      </c>
      <c r="B357" s="32" t="s">
        <v>41</v>
      </c>
      <c r="C357" s="32" t="s">
        <v>361</v>
      </c>
      <c r="D357" s="32" t="s">
        <v>40</v>
      </c>
      <c r="E357" s="32" t="s">
        <v>513</v>
      </c>
      <c r="F357" s="43">
        <v>14</v>
      </c>
      <c r="G357" s="43">
        <f>10</f>
        <v>10</v>
      </c>
      <c r="H357" s="43">
        <f>1</f>
        <v>1</v>
      </c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7" s="32" t="s">
        <v>429</v>
      </c>
      <c r="M357" s="39">
        <v>0.55000000000000004</v>
      </c>
      <c r="N357" s="32">
        <v>9845356</v>
      </c>
      <c r="O357" s="39">
        <v>0.42199999999999999</v>
      </c>
      <c r="P357" s="32"/>
      <c r="Q357" s="39"/>
      <c r="R357" s="32"/>
      <c r="S357" s="39"/>
      <c r="T357" s="32"/>
      <c r="U357" s="39"/>
      <c r="V357" s="32"/>
      <c r="W357" s="39"/>
      <c r="X357" s="32"/>
      <c r="Y357" s="39">
        <v>0.42199999999999999</v>
      </c>
      <c r="Z357" s="39" t="str">
        <f>IF(Table1[[#This Row],[Other]]&lt;&gt;"","Other","")</f>
        <v/>
      </c>
      <c r="AA357" s="32"/>
      <c r="AB357" s="41"/>
      <c r="AC357" s="33" t="str">
        <f>IF(Table1[[#This Row],[Auto Order]]=1,IF(Table1[[#This Row],[In stock]]&lt;Table1[[#This Row],[Min in stock]],1,""),"")</f>
        <v/>
      </c>
    </row>
    <row r="358" spans="1:29" x14ac:dyDescent="0.25">
      <c r="A358" s="70" t="s">
        <v>39</v>
      </c>
      <c r="B358" s="32" t="s">
        <v>7</v>
      </c>
      <c r="C358" s="32" t="s">
        <v>359</v>
      </c>
      <c r="D358" s="32" t="s">
        <v>37</v>
      </c>
      <c r="E358" s="32" t="s">
        <v>513</v>
      </c>
      <c r="F358" s="43">
        <v>22</v>
      </c>
      <c r="G358" s="43">
        <v>10</v>
      </c>
      <c r="H358" s="43">
        <f>1</f>
        <v>1</v>
      </c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8" s="32" t="s">
        <v>432</v>
      </c>
      <c r="M358" s="39">
        <v>0.56999999999999995</v>
      </c>
      <c r="N358" s="32">
        <v>1779259</v>
      </c>
      <c r="O358" s="39">
        <v>0.27100000000000002</v>
      </c>
      <c r="P358" s="32"/>
      <c r="Q358" s="39"/>
      <c r="R358" s="32"/>
      <c r="S358" s="39"/>
      <c r="T358" s="32"/>
      <c r="U358" s="39"/>
      <c r="V358" s="32"/>
      <c r="W358" s="39"/>
      <c r="X358" s="32"/>
      <c r="Y358" s="39">
        <v>0.27100000000000002</v>
      </c>
      <c r="Z358" s="39" t="str">
        <f>IF(Table1[[#This Row],[Other]]&lt;&gt;"","Other","")</f>
        <v/>
      </c>
      <c r="AA358" s="32"/>
      <c r="AB358" s="41"/>
      <c r="AC358" s="33" t="str">
        <f>IF(Table1[[#This Row],[Auto Order]]=1,IF(Table1[[#This Row],[In stock]]&lt;Table1[[#This Row],[Min in stock]],1,""),"")</f>
        <v/>
      </c>
    </row>
    <row r="359" spans="1:29" x14ac:dyDescent="0.25">
      <c r="A359" s="67" t="s">
        <v>1112</v>
      </c>
      <c r="B359" s="32" t="s">
        <v>1113</v>
      </c>
      <c r="C359" s="32" t="s">
        <v>327</v>
      </c>
      <c r="D359" s="32" t="s">
        <v>1114</v>
      </c>
      <c r="E359" s="32" t="s">
        <v>513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1115</v>
      </c>
      <c r="M359" s="39">
        <v>0.53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IF(Table1[[#This Row],[Auto Order]]=1,IF(Table1[[#This Row],[In stock]]&lt;Table1[[#This Row],[Min in stock]],1,""),"")</f>
        <v/>
      </c>
    </row>
    <row r="360" spans="1:29" x14ac:dyDescent="0.25">
      <c r="A360" s="70" t="s">
        <v>35</v>
      </c>
      <c r="B360" s="32" t="s">
        <v>83</v>
      </c>
      <c r="C360" s="32" t="s">
        <v>1649</v>
      </c>
      <c r="D360" s="32" t="s">
        <v>34</v>
      </c>
      <c r="E360" s="32" t="s">
        <v>507</v>
      </c>
      <c r="F360" s="43">
        <v>2</v>
      </c>
      <c r="G360" s="43"/>
      <c r="H360" s="43"/>
      <c r="I3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0" s="32" t="s">
        <v>154</v>
      </c>
      <c r="M360" s="39">
        <v>2.08</v>
      </c>
      <c r="N360" s="32">
        <v>9352260</v>
      </c>
      <c r="O360" s="39">
        <v>2.76</v>
      </c>
      <c r="P360" s="32"/>
      <c r="Q360" s="39"/>
      <c r="R360" s="32"/>
      <c r="S360" s="39"/>
      <c r="T360" s="32"/>
      <c r="U360" s="39"/>
      <c r="V360" s="32"/>
      <c r="W360" s="39"/>
      <c r="X360" s="32"/>
      <c r="Y360" s="39">
        <v>2.76</v>
      </c>
      <c r="Z360" s="39" t="str">
        <f>IF(Table1[[#This Row],[Other]]&lt;&gt;"","Other","")</f>
        <v/>
      </c>
      <c r="AA360" s="32"/>
      <c r="AB360" s="41"/>
      <c r="AC360" s="33" t="str">
        <f>IF(Table1[[#This Row],[Auto Order]]=1,IF(Table1[[#This Row],[In stock]]&lt;Table1[[#This Row],[Min in stock]],1,""),"")</f>
        <v/>
      </c>
    </row>
    <row r="361" spans="1:29" x14ac:dyDescent="0.25">
      <c r="A361" s="70" t="s">
        <v>45</v>
      </c>
      <c r="B361" s="32" t="s">
        <v>44</v>
      </c>
      <c r="C361" s="32" t="s">
        <v>1649</v>
      </c>
      <c r="D361" s="32" t="s">
        <v>43</v>
      </c>
      <c r="E361" s="32" t="s">
        <v>507</v>
      </c>
      <c r="F361" s="43">
        <v>2</v>
      </c>
      <c r="G361" s="43"/>
      <c r="H361" s="43"/>
      <c r="I3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1" s="32" t="s">
        <v>433</v>
      </c>
      <c r="M361" s="39">
        <v>1.81</v>
      </c>
      <c r="N361" s="32">
        <v>1141380</v>
      </c>
      <c r="O361" s="39">
        <v>1.62</v>
      </c>
      <c r="P361" s="32"/>
      <c r="Q361" s="39"/>
      <c r="R361" s="32"/>
      <c r="S361" s="39"/>
      <c r="T361" s="32"/>
      <c r="U361" s="39"/>
      <c r="V361" s="32"/>
      <c r="W361" s="39"/>
      <c r="X361" s="32"/>
      <c r="Y361" s="39">
        <v>1.62</v>
      </c>
      <c r="Z361" s="39" t="str">
        <f>IF(Table1[[#This Row],[Other]]&lt;&gt;"","Other","")</f>
        <v/>
      </c>
      <c r="AA361" s="32"/>
      <c r="AB361" s="41"/>
      <c r="AC361" s="33" t="str">
        <f>IF(Table1[[#This Row],[Auto Order]]=1,IF(Table1[[#This Row],[In stock]]&lt;Table1[[#This Row],[Min in stock]],1,""),"")</f>
        <v/>
      </c>
    </row>
    <row r="362" spans="1:29" x14ac:dyDescent="0.25">
      <c r="A362" s="70" t="s">
        <v>442</v>
      </c>
      <c r="B362" s="32" t="s">
        <v>1143</v>
      </c>
      <c r="C362" s="32" t="s">
        <v>327</v>
      </c>
      <c r="D362" s="32" t="s">
        <v>247</v>
      </c>
      <c r="E362" s="32" t="s">
        <v>504</v>
      </c>
      <c r="F362" s="43">
        <v>3</v>
      </c>
      <c r="G362" s="43"/>
      <c r="H362" s="43"/>
      <c r="I3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2" t="s">
        <v>246</v>
      </c>
      <c r="M362" s="39">
        <v>0.48</v>
      </c>
      <c r="N362" s="32"/>
      <c r="O362" s="39"/>
      <c r="P362" s="32"/>
      <c r="Q362" s="39"/>
      <c r="R362" s="32"/>
      <c r="S362" s="39"/>
      <c r="T362" s="32"/>
      <c r="U362" s="39"/>
      <c r="V362" s="32"/>
      <c r="W362" s="39"/>
      <c r="X362" s="32"/>
      <c r="Y362" s="39"/>
      <c r="Z362" s="39" t="str">
        <f>IF(Table1[[#This Row],[Other]]&lt;&gt;"","Other","")</f>
        <v/>
      </c>
      <c r="AA362" s="32"/>
      <c r="AB362" s="41"/>
      <c r="AC362" s="33" t="str">
        <f>IF(Table1[[#This Row],[Auto Order]]=1,IF(Table1[[#This Row],[In stock]]&lt;Table1[[#This Row],[Min in stock]],1,""),"")</f>
        <v/>
      </c>
    </row>
    <row r="363" spans="1:29" x14ac:dyDescent="0.25">
      <c r="A363" s="71" t="s">
        <v>1192</v>
      </c>
      <c r="B363" s="32" t="s">
        <v>1193</v>
      </c>
      <c r="C363" s="32" t="s">
        <v>327</v>
      </c>
      <c r="D363" s="32" t="s">
        <v>1194</v>
      </c>
      <c r="E363" s="32" t="s">
        <v>1195</v>
      </c>
      <c r="F363" s="43">
        <v>1</v>
      </c>
      <c r="G363" s="43"/>
      <c r="H363" s="43"/>
      <c r="I3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2" t="s">
        <v>1196</v>
      </c>
      <c r="M363" s="39">
        <v>18.96</v>
      </c>
      <c r="N363" s="32"/>
      <c r="O363" s="39"/>
      <c r="P363" s="32"/>
      <c r="Q363" s="39"/>
      <c r="R363" s="32"/>
      <c r="S363" s="39"/>
      <c r="T363" s="32"/>
      <c r="U363" s="39"/>
      <c r="V363" s="32"/>
      <c r="W363" s="39"/>
      <c r="X363" s="32"/>
      <c r="Y363" s="39"/>
      <c r="Z363" s="39" t="str">
        <f>IF(Table1[[#This Row],[Other]]&lt;&gt;"","Other","")</f>
        <v/>
      </c>
      <c r="AA363" s="32"/>
      <c r="AB363" s="41"/>
      <c r="AC363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12" priority="67" operator="equal">
      <formula>1</formula>
    </cfRule>
  </conditionalFormatting>
  <conditionalFormatting sqref="A1:A1048576">
    <cfRule type="duplicateValues" dxfId="311" priority="7"/>
  </conditionalFormatting>
  <conditionalFormatting sqref="F1">
    <cfRule type="cellIs" dxfId="310" priority="10" stopIfTrue="1" operator="equal">
      <formula>"In stock"</formula>
    </cfRule>
  </conditionalFormatting>
  <conditionalFormatting sqref="E1:E1048576">
    <cfRule type="containsText" dxfId="309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308" priority="27" operator="lessThan">
      <formula>$G1</formula>
    </cfRule>
  </conditionalFormatting>
  <conditionalFormatting sqref="F1:G1048576">
    <cfRule type="cellIs" dxfId="307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tabSelected="1" workbookViewId="0">
      <pane ySplit="1" topLeftCell="A2" activePane="bottomLeft" state="frozen"/>
      <selection activeCell="B6" sqref="B6"/>
      <selection pane="bottomLeft" activeCell="B18" sqref="B1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1393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1103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1185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VLOOKUP(Table1411314[[#This Row],[Man. Number]],Articles!A:F,COLUMN(Articles!$F$1)-COLUMN(Articles!$A$1)+1,FALSE)</f>
        <v>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3" t="s">
        <v>1152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1443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1444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1445</v>
      </c>
      <c r="E12" s="38">
        <v>3</v>
      </c>
      <c r="F12" s="38">
        <f>VLOOKUP(Table1411314[[#This Row],[Man. Number]],Articles!A:F,COLUMN(Articles!$F$1)-COLUMN(Articles!$A$1)+1,FALSE)</f>
        <v>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NO</v>
      </c>
    </row>
    <row r="13" spans="1:14" x14ac:dyDescent="0.25">
      <c r="A13" s="71" t="s">
        <v>1441</v>
      </c>
      <c r="B13" s="4" t="str">
        <f>VLOOKUP(Table1411314[[#This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VLOOKUP(Table1411314[[#This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VLOOKUP(Table1411314[[#This Row],[Man. Number]],Articles!A:F,COLUMN(Articles!$F$1)-COLUMN(Articles!$A$1)+1,FALSE)</f>
        <v>0</v>
      </c>
      <c r="G13" s="4" t="str">
        <f>IF(Table1411314[[#This Row],[In stock]] &gt;= Table1411314[[#This Row],[Quantity]],"YES","NO")</f>
        <v>NO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NO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1460</v>
      </c>
      <c r="B16" s="4" t="str">
        <f>VLOOKUP(Table1411314[[#This Row],[Man. Number]],Articles!A:F,COLUMN(Articles!$D$1)-COLUMN(Articles!$A$1)+1,FALSE)</f>
        <v>10 kOhms ±5% 0.4W, 2/5W Chip Resistor 0805 (2012 Metric) Automotive AEC-Q200, Pulse Withstanding Thick Film</v>
      </c>
      <c r="C16" s="4" t="str">
        <f>VLOOKUP(Table1411314[[#This Row],[Man. Number]],Articles!A:F,COLUMN(Articles!$C$1)-COLUMN(Articles!$A$1)+1,FALSE)</f>
        <v>None</v>
      </c>
      <c r="D16" s="4" t="s">
        <v>1635</v>
      </c>
      <c r="E16" s="38">
        <v>2</v>
      </c>
      <c r="F16" s="4">
        <f>VLOOKUP(Table1411314[[#This Row],[Man. Number]],Articles!A:F,COLUMN(Articles!$F$1)-COLUMN(Articles!$A$1)+1,FALSE)</f>
        <v>0</v>
      </c>
      <c r="G16" s="4" t="str">
        <f>IF(Table1411314[[#This Row],[In stock]] &gt;= Table1411314[[#This Row],[Quantity]],"YES","NO")</f>
        <v>NO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NO</v>
      </c>
    </row>
    <row r="17" spans="1:10" x14ac:dyDescent="0.25">
      <c r="A17" s="3" t="s">
        <v>1015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1446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1024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1231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1456</v>
      </c>
      <c r="B20" s="4" t="str">
        <f>VLOOKUP(Table1411314[[#This Row],[Man. Number]],Articles!A:F,COLUMN(Articles!$D$1)-COLUMN(Articles!$A$1)+1,FALSE)</f>
        <v>1.5 kOhms ±5% 0.4W, 2/5W Chip Resistor 0805 (2012 Metric) Automotive AEC-Q200, Pulse Withstanding Thick Film</v>
      </c>
      <c r="C20" s="4" t="str">
        <f>VLOOKUP(Table1411314[[#This Row],[Man. Number]],Articles!A:F,COLUMN(Articles!$C$1)-COLUMN(Articles!$A$1)+1,FALSE)</f>
        <v>None</v>
      </c>
      <c r="D20" s="4" t="s">
        <v>1450</v>
      </c>
      <c r="E20" s="38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 t="s">
        <v>1018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1451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1204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1453</v>
      </c>
      <c r="B23" s="4" t="str">
        <f>VLOOKUP(Table1411314[[#This Row],[Man. Number]],Articles!A:F,COLUMN(Articles!$D$1)-COLUMN(Articles!$A$1)+1,FALSE)</f>
        <v>270 Ohms ±5% 0.4W, 2/5W Chip Resistor 0805 (2012 Metric) Automotive AEC-Q200, Pulse Withstanding Thick Film</v>
      </c>
      <c r="C23" s="4" t="str">
        <f>VLOOKUP(Table1411314[[#This Row],[Man. Number]],Articles!A:F,COLUMN(Articles!$C$1)-COLUMN(Articles!$A$1)+1,FALSE)</f>
        <v>None</v>
      </c>
      <c r="D23" s="4" t="s">
        <v>1634</v>
      </c>
      <c r="E23" s="38">
        <v>2</v>
      </c>
      <c r="F23" s="4">
        <f>VLOOKUP(Table1411314[[#This Row],[Man. Number]],Articles!A:F,COLUMN(Articles!$F$1)-COLUMN(Articles!$A$1)+1,FALSE)</f>
        <v>0</v>
      </c>
      <c r="G23" s="4" t="str">
        <f>IF(Table1411314[[#This Row],[In stock]] &gt;= Table1411314[[#This Row],[Quantity]],"YES","NO")</f>
        <v>NO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NO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1132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1116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1133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1636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1326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0</v>
      </c>
      <c r="G33" s="4" t="str">
        <f>IF(Table1411314[[#This Row],[In stock]] &gt;= Table1411314[[#This Row],[Quantity]],"YES","NO")</f>
        <v>NO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NO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1637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1638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247" priority="11"/>
  </conditionalFormatting>
  <conditionalFormatting sqref="J1:J1048576 G1:G1048576">
    <cfRule type="containsText" dxfId="246" priority="12" operator="containsText" text="NO">
      <formula>NOT(ISERROR(SEARCH("NO",G1)))</formula>
    </cfRule>
  </conditionalFormatting>
  <conditionalFormatting sqref="N1">
    <cfRule type="cellIs" dxfId="245" priority="6" stopIfTrue="1" operator="equal">
      <formula>"Locked"</formula>
    </cfRule>
    <cfRule type="cellIs" dxfId="244" priority="7" stopIfTrue="1" operator="equal">
      <formula>"Unlocked"</formula>
    </cfRule>
  </conditionalFormatting>
  <conditionalFormatting sqref="A13">
    <cfRule type="duplicateValues" dxfId="243" priority="5"/>
  </conditionalFormatting>
  <conditionalFormatting sqref="A19">
    <cfRule type="duplicateValues" dxfId="24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1107</v>
      </c>
    </row>
    <row r="2" spans="1:14" x14ac:dyDescent="0.25">
      <c r="A2" s="3" t="s">
        <v>1391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1185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VLOOKUP(Table14113[[#This Row],[Man. Number]],Articles!A:F,COLUMN(Articles!$F$1)-COLUMN(Articles!$A$1)+1,FALSE)</f>
        <v>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38" t="s">
        <v>1152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1246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1062</v>
      </c>
      <c r="E12" s="38">
        <v>1</v>
      </c>
      <c r="F12" s="38">
        <f>VLOOKUP(Table14113[[#This Row],[Man. Number]],Articles!A:F,COLUMN(Articles!$F$1)-COLUMN(Articles!$A$1)+1,FALSE)</f>
        <v>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1441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VLOOKUP(Table14113[[#This Row],[Man. Number]],Articles!A:F,COLUMN(Articles!$F$1)-COLUMN(Articles!$A$1)+1,FALSE)</f>
        <v>0</v>
      </c>
      <c r="G13" s="4" t="str">
        <f>IF(Table14113[[#This Row],[In stock]] &gt;= Table14113[[#This Row],[Quantity]],"YES","NO")</f>
        <v>NO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NO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1015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1202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1024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1203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1018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1065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1204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1132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1133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1206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28" priority="5"/>
  </conditionalFormatting>
  <conditionalFormatting sqref="G1:H1048576 J1:J1048576">
    <cfRule type="containsText" dxfId="227" priority="6" operator="containsText" text="NO">
      <formula>NOT(ISERROR(SEARCH("NO",G1)))</formula>
    </cfRule>
  </conditionalFormatting>
  <conditionalFormatting sqref="N1">
    <cfRule type="cellIs" dxfId="226" priority="3" stopIfTrue="1" operator="equal">
      <formula>"Locked"</formula>
    </cfRule>
    <cfRule type="cellIs" dxfId="225" priority="4" stopIfTrue="1" operator="equal">
      <formula>"Unlocked"</formula>
    </cfRule>
  </conditionalFormatting>
  <conditionalFormatting sqref="A13">
    <cfRule type="duplicateValues" dxfId="224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1.3049999999999999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1085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1088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1062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1083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1015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1063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1024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1066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1018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1065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1033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1042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1075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1031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1059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1032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1058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1040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1058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1038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1057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1045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1057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200" priority="5"/>
  </conditionalFormatting>
  <conditionalFormatting sqref="G1:H1048576 J1:J1048576">
    <cfRule type="containsText" dxfId="199" priority="6" operator="containsText" text="NO">
      <formula>NOT(ISERROR(SEARCH("NO",G1)))</formula>
    </cfRule>
  </conditionalFormatting>
  <conditionalFormatting sqref="N1">
    <cfRule type="cellIs" dxfId="198" priority="1" stopIfTrue="1" operator="equal">
      <formula>"Locked"</formula>
    </cfRule>
    <cfRule type="cellIs" dxfId="19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1.3049999999999999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73" priority="3"/>
  </conditionalFormatting>
  <conditionalFormatting sqref="G1:H1048576 J1:J1048576">
    <cfRule type="containsText" dxfId="172" priority="4" operator="containsText" text="NO">
      <formula>NOT(ISERROR(SEARCH("NO",G1)))</formula>
    </cfRule>
  </conditionalFormatting>
  <conditionalFormatting sqref="N1">
    <cfRule type="cellIs" dxfId="171" priority="1" stopIfTrue="1" operator="equal">
      <formula>"Locked"</formula>
    </cfRule>
    <cfRule type="cellIs" dxfId="17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146" priority="5" operator="containsText" text="NO">
      <formula>NOT(ISERROR(SEARCH("NO",G1)))</formula>
    </cfRule>
  </conditionalFormatting>
  <conditionalFormatting sqref="A1:A1048576">
    <cfRule type="duplicateValues" dxfId="145" priority="3"/>
  </conditionalFormatting>
  <conditionalFormatting sqref="N1">
    <cfRule type="cellIs" dxfId="144" priority="1" stopIfTrue="1" operator="equal">
      <formula>"Locked"</formula>
    </cfRule>
    <cfRule type="cellIs" dxfId="14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1172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1182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1390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1152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1226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1227</v>
      </c>
      <c r="E9" s="4">
        <v>1</v>
      </c>
      <c r="F9" s="4">
        <f>VLOOKUP(Table14681012[[#This Row],[Man. Number]],Articles!A:F,COLUMN(Articles!$F$1)-COLUMN(Articles!$A$1)+1,FALSE)</f>
        <v>17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1238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3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1228</v>
      </c>
      <c r="E14" s="4">
        <v>4</v>
      </c>
      <c r="F14" s="4">
        <f>VLOOKUP(Table14681012[[#This Row],[Man. Number]],Articles!A:F,COLUMN(Articles!$F$1)-COLUMN(Articles!$A$1)+1,FALSE)</f>
        <v>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NO</v>
      </c>
    </row>
    <row r="15" spans="1:14" x14ac:dyDescent="0.25">
      <c r="A15" s="3" t="s">
        <v>1217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1229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1012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1006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1234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1233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1230</v>
      </c>
      <c r="E20" s="4">
        <v>3</v>
      </c>
      <c r="F20" s="4">
        <f>VLOOKUP(Table14681012[[#This Row],[Man. Number]],Articles!A:F,COLUMN(Articles!$F$1)-COLUMN(Articles!$A$1)+1,FALSE)</f>
        <v>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1231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1" t="s">
        <v>992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1237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1232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1021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1223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1386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1235</v>
      </c>
      <c r="E30" s="4">
        <f>(5+2*9)/36</f>
        <v>0.63888888888888884</v>
      </c>
      <c r="F30" s="4">
        <f>VLOOKUP(Table14681012[[#This Row],[Man. Number]],Articles!A:F,COLUMN(Articles!$F$1)-COLUMN(Articles!$A$1)+1,FALSE)</f>
        <v>1.3049999999999999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19" priority="4" operator="containsText" text="NO">
      <formula>NOT(ISERROR(SEARCH("NO",G1)))</formula>
    </cfRule>
  </conditionalFormatting>
  <conditionalFormatting sqref="A1:A1048576">
    <cfRule type="duplicateValues" dxfId="118" priority="3"/>
  </conditionalFormatting>
  <conditionalFormatting sqref="N1">
    <cfRule type="cellIs" dxfId="117" priority="1" stopIfTrue="1" operator="equal">
      <formula>"Locked"</formula>
    </cfRule>
    <cfRule type="cellIs" dxfId="11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38" t="s">
        <v>1048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1053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17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1027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3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1012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1009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1006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92" priority="7" operator="containsText" text="NO">
      <formula>NOT(ISERROR(SEARCH("NO",G1)))</formula>
    </cfRule>
  </conditionalFormatting>
  <conditionalFormatting sqref="A1:A1048576">
    <cfRule type="duplicateValues" dxfId="91" priority="5"/>
  </conditionalFormatting>
  <conditionalFormatting sqref="N1">
    <cfRule type="cellIs" dxfId="90" priority="2" stopIfTrue="1" operator="equal">
      <formula>"Locked"</formula>
    </cfRule>
    <cfRule type="cellIs" dxfId="8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1213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1212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1204</v>
      </c>
      <c r="E6" s="4">
        <v>1</v>
      </c>
      <c r="F6" s="4">
        <f>VLOOKUP(Table146813[[#This Row],[Man. Number]],Articles!A:F,COLUMN(Articles!$F$1)-COLUMN(Articles!$A$1)+1,FALSE)</f>
        <v>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1214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1236</v>
      </c>
      <c r="E9" s="4">
        <f>(2*9)/36</f>
        <v>0.5</v>
      </c>
      <c r="F9" s="4">
        <f>VLOOKUP(Table146813[[#This Row],[Man. Number]],Articles!A:F,COLUMN(Articles!$F$1)-COLUMN(Articles!$A$1)+1,FALSE)</f>
        <v>1.3049999999999999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1098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1211</v>
      </c>
      <c r="E10" s="4">
        <f>(5+2*9)/36</f>
        <v>0.63888888888888884</v>
      </c>
      <c r="F10" s="4">
        <f>VLOOKUP(Table146813[[#This Row],[Man. Number]],Articles!A:F,COLUMN(Articles!$F$1)-COLUMN(Articles!$A$1)+1,FALSE)</f>
        <v>1.3611111111111112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65" priority="8" operator="containsText" text="NO">
      <formula>NOT(ISERROR(SEARCH("NO",G1)))</formula>
    </cfRule>
  </conditionalFormatting>
  <conditionalFormatting sqref="A11:A1048576 A1 A4:A5 A7:A8">
    <cfRule type="duplicateValues" dxfId="64" priority="7"/>
  </conditionalFormatting>
  <conditionalFormatting sqref="N1">
    <cfRule type="cellIs" dxfId="63" priority="5" stopIfTrue="1" operator="equal">
      <formula>"Locked"</formula>
    </cfRule>
    <cfRule type="cellIs" dxfId="6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1094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38" priority="5" operator="containsText" text="NO">
      <formula>NOT(ISERROR(SEARCH("NO",G1)))</formula>
    </cfRule>
  </conditionalFormatting>
  <conditionalFormatting sqref="A1:A1048576">
    <cfRule type="duplicateValues" dxfId="37" priority="3"/>
  </conditionalFormatting>
  <conditionalFormatting sqref="N1">
    <cfRule type="cellIs" dxfId="36" priority="1" stopIfTrue="1" operator="equal">
      <formula>"Locked"</formula>
    </cfRule>
    <cfRule type="cellIs" dxfId="3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1396</v>
      </c>
      <c r="B1" t="s">
        <v>1135</v>
      </c>
      <c r="C1" t="s">
        <v>546</v>
      </c>
      <c r="D1" t="s">
        <v>334</v>
      </c>
      <c r="E1" t="s">
        <v>194</v>
      </c>
      <c r="F1" t="s">
        <v>1184</v>
      </c>
      <c r="G1" t="s">
        <v>418</v>
      </c>
      <c r="H1" t="s">
        <v>1207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1395</v>
      </c>
      <c r="C7" t="s">
        <v>1396</v>
      </c>
    </row>
    <row r="8" spans="1:8" x14ac:dyDescent="0.25">
      <c r="A8" s="51">
        <v>197</v>
      </c>
      <c r="B8" t="s">
        <v>1134</v>
      </c>
      <c r="C8" t="s">
        <v>1135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1183</v>
      </c>
      <c r="C12" t="s">
        <v>1184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1208</v>
      </c>
      <c r="C14" t="s">
        <v>1207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328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1462</v>
      </c>
      <c r="P14" s="68" t="s">
        <v>124</v>
      </c>
      <c r="Q14" s="68" t="s">
        <v>237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236</v>
      </c>
    </row>
    <row r="15" spans="1:23" x14ac:dyDescent="0.25">
      <c r="P15" s="68" t="s">
        <v>967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1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1463</v>
      </c>
      <c r="B1" t="s">
        <v>1464</v>
      </c>
      <c r="C1" t="s">
        <v>1457</v>
      </c>
      <c r="D1" t="s">
        <v>1385</v>
      </c>
      <c r="E1" t="s">
        <v>6</v>
      </c>
      <c r="F1" t="s">
        <v>2</v>
      </c>
      <c r="G1" t="s">
        <v>1465</v>
      </c>
      <c r="H1" t="s">
        <v>1466</v>
      </c>
      <c r="I1" t="s">
        <v>1458</v>
      </c>
      <c r="J1" t="s">
        <v>1467</v>
      </c>
      <c r="K1" t="s">
        <v>1468</v>
      </c>
      <c r="L1" t="s">
        <v>1469</v>
      </c>
      <c r="M1" t="s">
        <v>1470</v>
      </c>
      <c r="N1" t="s">
        <v>1471</v>
      </c>
      <c r="O1" t="s">
        <v>1472</v>
      </c>
      <c r="P1" t="s">
        <v>1473</v>
      </c>
      <c r="Q1" t="s">
        <v>1474</v>
      </c>
      <c r="R1" t="s">
        <v>1475</v>
      </c>
      <c r="S1" t="s">
        <v>1476</v>
      </c>
      <c r="T1" t="s">
        <v>1477</v>
      </c>
      <c r="U1" t="s">
        <v>1478</v>
      </c>
      <c r="V1" t="s">
        <v>1479</v>
      </c>
      <c r="W1" t="s">
        <v>1480</v>
      </c>
      <c r="X1" t="s">
        <v>1481</v>
      </c>
      <c r="Y1" t="s">
        <v>1482</v>
      </c>
      <c r="Z1" t="s">
        <v>1483</v>
      </c>
      <c r="AA1" t="s">
        <v>1484</v>
      </c>
    </row>
    <row r="2" spans="1:27" x14ac:dyDescent="0.25">
      <c r="A2" t="s">
        <v>1485</v>
      </c>
      <c r="B2" t="s">
        <v>1486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1459</v>
      </c>
      <c r="J2">
        <v>0</v>
      </c>
      <c r="K2">
        <v>1</v>
      </c>
      <c r="L2" t="s">
        <v>1487</v>
      </c>
      <c r="M2" t="s">
        <v>1488</v>
      </c>
      <c r="N2" t="s">
        <v>1489</v>
      </c>
      <c r="O2" t="s">
        <v>1502</v>
      </c>
      <c r="P2" t="s">
        <v>1491</v>
      </c>
      <c r="Q2" t="s">
        <v>1709</v>
      </c>
      <c r="R2" t="s">
        <v>1492</v>
      </c>
      <c r="S2" t="s">
        <v>1493</v>
      </c>
      <c r="T2" t="s">
        <v>1494</v>
      </c>
      <c r="U2" t="s">
        <v>1495</v>
      </c>
      <c r="V2" t="s">
        <v>1710</v>
      </c>
      <c r="W2">
        <v>603</v>
      </c>
      <c r="X2" t="s">
        <v>1711</v>
      </c>
      <c r="Y2" t="s">
        <v>1712</v>
      </c>
      <c r="Z2">
        <v>2</v>
      </c>
      <c r="AA2" t="s">
        <v>58</v>
      </c>
    </row>
    <row r="3" spans="1:27" x14ac:dyDescent="0.25">
      <c r="A3" t="s">
        <v>1485</v>
      </c>
      <c r="B3" t="s">
        <v>1486</v>
      </c>
      <c r="C3" t="s">
        <v>1713</v>
      </c>
      <c r="D3" t="s">
        <v>1714</v>
      </c>
      <c r="E3" t="s">
        <v>593</v>
      </c>
      <c r="F3" t="s">
        <v>1715</v>
      </c>
      <c r="G3">
        <v>200665</v>
      </c>
      <c r="H3">
        <v>0</v>
      </c>
      <c r="I3" t="s">
        <v>1459</v>
      </c>
      <c r="J3">
        <v>0</v>
      </c>
      <c r="K3">
        <v>1</v>
      </c>
      <c r="L3" t="s">
        <v>1487</v>
      </c>
      <c r="M3" t="s">
        <v>1488</v>
      </c>
      <c r="N3" t="s">
        <v>1489</v>
      </c>
      <c r="O3" t="s">
        <v>1503</v>
      </c>
      <c r="P3" t="s">
        <v>1491</v>
      </c>
      <c r="Q3" t="s">
        <v>1709</v>
      </c>
      <c r="R3" t="s">
        <v>1492</v>
      </c>
      <c r="S3" t="s">
        <v>1493</v>
      </c>
      <c r="T3" t="s">
        <v>1494</v>
      </c>
      <c r="U3" t="s">
        <v>1495</v>
      </c>
      <c r="V3" t="s">
        <v>1710</v>
      </c>
      <c r="W3">
        <v>603</v>
      </c>
      <c r="X3" t="s">
        <v>1711</v>
      </c>
      <c r="Y3" t="s">
        <v>1712</v>
      </c>
      <c r="Z3">
        <v>2</v>
      </c>
      <c r="AA3" t="s">
        <v>58</v>
      </c>
    </row>
    <row r="4" spans="1:27" x14ac:dyDescent="0.25">
      <c r="A4" t="s">
        <v>1485</v>
      </c>
      <c r="B4" t="s">
        <v>1486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1459</v>
      </c>
      <c r="J4">
        <v>0</v>
      </c>
      <c r="K4">
        <v>1</v>
      </c>
      <c r="L4" t="s">
        <v>1487</v>
      </c>
      <c r="M4" t="s">
        <v>1488</v>
      </c>
      <c r="N4" t="s">
        <v>1489</v>
      </c>
      <c r="O4" t="s">
        <v>1497</v>
      </c>
      <c r="P4" t="s">
        <v>1491</v>
      </c>
      <c r="Q4" t="s">
        <v>1709</v>
      </c>
      <c r="R4" t="s">
        <v>1492</v>
      </c>
      <c r="S4" t="s">
        <v>1493</v>
      </c>
      <c r="T4" t="s">
        <v>1494</v>
      </c>
      <c r="U4" t="s">
        <v>1495</v>
      </c>
      <c r="V4" t="s">
        <v>1710</v>
      </c>
      <c r="W4">
        <v>603</v>
      </c>
      <c r="X4" t="s">
        <v>1711</v>
      </c>
      <c r="Y4" t="s">
        <v>1712</v>
      </c>
      <c r="Z4">
        <v>2</v>
      </c>
      <c r="AA4" t="s">
        <v>58</v>
      </c>
    </row>
    <row r="5" spans="1:27" x14ac:dyDescent="0.25">
      <c r="A5" t="s">
        <v>1485</v>
      </c>
      <c r="B5" t="s">
        <v>1486</v>
      </c>
      <c r="C5" t="s">
        <v>1716</v>
      </c>
      <c r="D5" t="s">
        <v>1717</v>
      </c>
      <c r="E5" t="s">
        <v>593</v>
      </c>
      <c r="F5" t="s">
        <v>1718</v>
      </c>
      <c r="G5">
        <v>140671</v>
      </c>
      <c r="H5">
        <v>0</v>
      </c>
      <c r="I5" t="s">
        <v>1459</v>
      </c>
      <c r="J5">
        <v>0</v>
      </c>
      <c r="K5">
        <v>1</v>
      </c>
      <c r="L5" t="s">
        <v>1487</v>
      </c>
      <c r="M5" t="s">
        <v>1488</v>
      </c>
      <c r="N5" t="s">
        <v>1489</v>
      </c>
      <c r="O5" t="s">
        <v>1499</v>
      </c>
      <c r="P5" t="s">
        <v>1491</v>
      </c>
      <c r="Q5" t="s">
        <v>1709</v>
      </c>
      <c r="R5" t="s">
        <v>1492</v>
      </c>
      <c r="S5" t="s">
        <v>1493</v>
      </c>
      <c r="T5" t="s">
        <v>1494</v>
      </c>
      <c r="U5" t="s">
        <v>1495</v>
      </c>
      <c r="V5" t="s">
        <v>1710</v>
      </c>
      <c r="W5">
        <v>603</v>
      </c>
      <c r="X5" t="s">
        <v>1711</v>
      </c>
      <c r="Y5" t="s">
        <v>1712</v>
      </c>
      <c r="Z5">
        <v>2</v>
      </c>
      <c r="AA5" t="s">
        <v>58</v>
      </c>
    </row>
    <row r="6" spans="1:27" x14ac:dyDescent="0.25">
      <c r="A6" t="s">
        <v>1485</v>
      </c>
      <c r="B6" t="s">
        <v>1486</v>
      </c>
      <c r="C6" t="s">
        <v>1719</v>
      </c>
      <c r="D6" t="s">
        <v>1720</v>
      </c>
      <c r="E6" t="s">
        <v>593</v>
      </c>
      <c r="F6" t="s">
        <v>1721</v>
      </c>
      <c r="G6">
        <v>127630</v>
      </c>
      <c r="H6">
        <v>0</v>
      </c>
      <c r="I6" t="s">
        <v>1459</v>
      </c>
      <c r="J6">
        <v>0</v>
      </c>
      <c r="K6">
        <v>1</v>
      </c>
      <c r="L6" t="s">
        <v>1487</v>
      </c>
      <c r="M6" t="s">
        <v>1488</v>
      </c>
      <c r="N6" t="s">
        <v>1489</v>
      </c>
      <c r="O6" t="s">
        <v>1513</v>
      </c>
      <c r="P6" t="s">
        <v>1491</v>
      </c>
      <c r="Q6" t="s">
        <v>1709</v>
      </c>
      <c r="R6" t="s">
        <v>1492</v>
      </c>
      <c r="S6" t="s">
        <v>1493</v>
      </c>
      <c r="T6" t="s">
        <v>1494</v>
      </c>
      <c r="U6" t="s">
        <v>1495</v>
      </c>
      <c r="V6" t="s">
        <v>1710</v>
      </c>
      <c r="W6">
        <v>603</v>
      </c>
      <c r="X6" t="s">
        <v>1711</v>
      </c>
      <c r="Y6" t="s">
        <v>1712</v>
      </c>
      <c r="Z6">
        <v>2</v>
      </c>
      <c r="AA6" t="s">
        <v>58</v>
      </c>
    </row>
    <row r="7" spans="1:27" x14ac:dyDescent="0.25">
      <c r="A7" t="s">
        <v>1485</v>
      </c>
      <c r="B7" t="s">
        <v>1486</v>
      </c>
      <c r="C7" t="s">
        <v>1722</v>
      </c>
      <c r="D7" t="s">
        <v>1723</v>
      </c>
      <c r="E7" t="s">
        <v>593</v>
      </c>
      <c r="F7" t="s">
        <v>1724</v>
      </c>
      <c r="G7">
        <v>113107</v>
      </c>
      <c r="H7">
        <v>0</v>
      </c>
      <c r="I7" t="s">
        <v>1459</v>
      </c>
      <c r="J7">
        <v>0</v>
      </c>
      <c r="K7">
        <v>1</v>
      </c>
      <c r="L7" t="s">
        <v>1487</v>
      </c>
      <c r="M7" t="s">
        <v>1488</v>
      </c>
      <c r="N7" t="s">
        <v>1489</v>
      </c>
      <c r="O7" t="s">
        <v>1515</v>
      </c>
      <c r="P7" t="s">
        <v>1491</v>
      </c>
      <c r="Q7" t="s">
        <v>1709</v>
      </c>
      <c r="R7" t="s">
        <v>1492</v>
      </c>
      <c r="S7" t="s">
        <v>1493</v>
      </c>
      <c r="T7" t="s">
        <v>1494</v>
      </c>
      <c r="U7" t="s">
        <v>1495</v>
      </c>
      <c r="V7" t="s">
        <v>1710</v>
      </c>
      <c r="W7">
        <v>603</v>
      </c>
      <c r="X7" t="s">
        <v>1711</v>
      </c>
      <c r="Y7" t="s">
        <v>1712</v>
      </c>
      <c r="Z7">
        <v>2</v>
      </c>
      <c r="AA7" t="s">
        <v>58</v>
      </c>
    </row>
    <row r="8" spans="1:27" x14ac:dyDescent="0.25">
      <c r="A8" t="s">
        <v>1485</v>
      </c>
      <c r="B8" t="s">
        <v>1486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1459</v>
      </c>
      <c r="J8">
        <v>0</v>
      </c>
      <c r="K8">
        <v>1</v>
      </c>
      <c r="L8" t="s">
        <v>1487</v>
      </c>
      <c r="M8" t="s">
        <v>1488</v>
      </c>
      <c r="N8" t="s">
        <v>1489</v>
      </c>
      <c r="O8" t="s">
        <v>1629</v>
      </c>
      <c r="P8" t="s">
        <v>1491</v>
      </c>
      <c r="Q8" t="s">
        <v>1709</v>
      </c>
      <c r="R8" t="s">
        <v>1492</v>
      </c>
      <c r="S8" t="s">
        <v>1493</v>
      </c>
      <c r="T8" t="s">
        <v>1494</v>
      </c>
      <c r="U8" t="s">
        <v>1495</v>
      </c>
      <c r="V8" t="s">
        <v>1710</v>
      </c>
      <c r="W8">
        <v>603</v>
      </c>
      <c r="X8" t="s">
        <v>1711</v>
      </c>
      <c r="Y8" t="s">
        <v>1712</v>
      </c>
      <c r="Z8">
        <v>2</v>
      </c>
      <c r="AA8" t="s">
        <v>58</v>
      </c>
    </row>
    <row r="9" spans="1:27" x14ac:dyDescent="0.25">
      <c r="A9" t="s">
        <v>1485</v>
      </c>
      <c r="B9" t="s">
        <v>1486</v>
      </c>
      <c r="C9" t="s">
        <v>1725</v>
      </c>
      <c r="D9" t="s">
        <v>1726</v>
      </c>
      <c r="E9" t="s">
        <v>593</v>
      </c>
      <c r="F9" t="s">
        <v>1727</v>
      </c>
      <c r="G9">
        <v>70846</v>
      </c>
      <c r="H9">
        <v>0</v>
      </c>
      <c r="I9" t="s">
        <v>1459</v>
      </c>
      <c r="J9">
        <v>0</v>
      </c>
      <c r="K9">
        <v>1</v>
      </c>
      <c r="L9" t="s">
        <v>1487</v>
      </c>
      <c r="M9" t="s">
        <v>1488</v>
      </c>
      <c r="N9" t="s">
        <v>1489</v>
      </c>
      <c r="O9" t="s">
        <v>1549</v>
      </c>
      <c r="P9" t="s">
        <v>1491</v>
      </c>
      <c r="Q9" t="s">
        <v>1709</v>
      </c>
      <c r="R9" t="s">
        <v>1492</v>
      </c>
      <c r="S9" t="s">
        <v>1493</v>
      </c>
      <c r="T9" t="s">
        <v>1494</v>
      </c>
      <c r="U9" t="s">
        <v>1495</v>
      </c>
      <c r="V9" t="s">
        <v>1710</v>
      </c>
      <c r="W9">
        <v>603</v>
      </c>
      <c r="X9" t="s">
        <v>1711</v>
      </c>
      <c r="Y9" t="s">
        <v>1712</v>
      </c>
      <c r="Z9">
        <v>2</v>
      </c>
      <c r="AA9" t="s">
        <v>58</v>
      </c>
    </row>
    <row r="10" spans="1:27" x14ac:dyDescent="0.25">
      <c r="A10" t="s">
        <v>1485</v>
      </c>
      <c r="B10" t="s">
        <v>1486</v>
      </c>
      <c r="C10" t="s">
        <v>1728</v>
      </c>
      <c r="D10" t="s">
        <v>1729</v>
      </c>
      <c r="E10" t="s">
        <v>593</v>
      </c>
      <c r="F10" t="s">
        <v>1730</v>
      </c>
      <c r="G10">
        <v>54131</v>
      </c>
      <c r="H10">
        <v>0</v>
      </c>
      <c r="I10" t="s">
        <v>1459</v>
      </c>
      <c r="J10">
        <v>0</v>
      </c>
      <c r="K10">
        <v>1</v>
      </c>
      <c r="L10" t="s">
        <v>1487</v>
      </c>
      <c r="M10" t="s">
        <v>1488</v>
      </c>
      <c r="N10" t="s">
        <v>1489</v>
      </c>
      <c r="O10" t="s">
        <v>1520</v>
      </c>
      <c r="P10" t="s">
        <v>1491</v>
      </c>
      <c r="Q10" t="s">
        <v>1709</v>
      </c>
      <c r="R10" t="s">
        <v>1492</v>
      </c>
      <c r="S10" t="s">
        <v>1493</v>
      </c>
      <c r="T10" t="s">
        <v>1494</v>
      </c>
      <c r="U10" t="s">
        <v>1495</v>
      </c>
      <c r="V10" t="s">
        <v>1710</v>
      </c>
      <c r="W10">
        <v>603</v>
      </c>
      <c r="X10" t="s">
        <v>1711</v>
      </c>
      <c r="Y10" t="s">
        <v>1712</v>
      </c>
      <c r="Z10">
        <v>2</v>
      </c>
      <c r="AA10" t="s">
        <v>58</v>
      </c>
    </row>
    <row r="11" spans="1:27" x14ac:dyDescent="0.25">
      <c r="A11" t="s">
        <v>1485</v>
      </c>
      <c r="B11" t="s">
        <v>1486</v>
      </c>
      <c r="C11" t="s">
        <v>1731</v>
      </c>
      <c r="D11" t="s">
        <v>1732</v>
      </c>
      <c r="E11" t="s">
        <v>593</v>
      </c>
      <c r="F11" t="s">
        <v>1733</v>
      </c>
      <c r="G11">
        <v>53960</v>
      </c>
      <c r="H11">
        <v>0</v>
      </c>
      <c r="I11" t="s">
        <v>1459</v>
      </c>
      <c r="J11">
        <v>0</v>
      </c>
      <c r="K11">
        <v>1</v>
      </c>
      <c r="L11" t="s">
        <v>1487</v>
      </c>
      <c r="M11" t="s">
        <v>1488</v>
      </c>
      <c r="N11" t="s">
        <v>1489</v>
      </c>
      <c r="O11" t="s">
        <v>1506</v>
      </c>
      <c r="P11" t="s">
        <v>1491</v>
      </c>
      <c r="Q11" t="s">
        <v>1709</v>
      </c>
      <c r="R11" t="s">
        <v>1492</v>
      </c>
      <c r="S11" t="s">
        <v>1493</v>
      </c>
      <c r="T11" t="s">
        <v>1494</v>
      </c>
      <c r="U11" t="s">
        <v>1495</v>
      </c>
      <c r="V11" t="s">
        <v>1710</v>
      </c>
      <c r="W11">
        <v>603</v>
      </c>
      <c r="X11" t="s">
        <v>1711</v>
      </c>
      <c r="Y11" t="s">
        <v>1712</v>
      </c>
      <c r="Z11">
        <v>2</v>
      </c>
      <c r="AA11" t="s">
        <v>58</v>
      </c>
    </row>
    <row r="12" spans="1:27" x14ac:dyDescent="0.25">
      <c r="A12" t="s">
        <v>1485</v>
      </c>
      <c r="B12" t="s">
        <v>1486</v>
      </c>
      <c r="C12" t="s">
        <v>1734</v>
      </c>
      <c r="D12" t="s">
        <v>1735</v>
      </c>
      <c r="E12" t="s">
        <v>593</v>
      </c>
      <c r="F12" t="s">
        <v>1736</v>
      </c>
      <c r="G12">
        <v>48683</v>
      </c>
      <c r="H12">
        <v>0</v>
      </c>
      <c r="I12" t="s">
        <v>1459</v>
      </c>
      <c r="J12">
        <v>0</v>
      </c>
      <c r="K12">
        <v>1</v>
      </c>
      <c r="L12" t="s">
        <v>1487</v>
      </c>
      <c r="M12" t="s">
        <v>1488</v>
      </c>
      <c r="N12" t="s">
        <v>1489</v>
      </c>
      <c r="O12" t="s">
        <v>1545</v>
      </c>
      <c r="P12" t="s">
        <v>1491</v>
      </c>
      <c r="Q12" t="s">
        <v>1709</v>
      </c>
      <c r="R12" t="s">
        <v>1492</v>
      </c>
      <c r="S12" t="s">
        <v>1493</v>
      </c>
      <c r="T12" t="s">
        <v>1494</v>
      </c>
      <c r="U12" t="s">
        <v>1495</v>
      </c>
      <c r="V12" t="s">
        <v>1710</v>
      </c>
      <c r="W12">
        <v>603</v>
      </c>
      <c r="X12" t="s">
        <v>1711</v>
      </c>
      <c r="Y12" t="s">
        <v>1712</v>
      </c>
      <c r="Z12">
        <v>2</v>
      </c>
      <c r="AA12" t="s">
        <v>58</v>
      </c>
    </row>
    <row r="13" spans="1:27" x14ac:dyDescent="0.25">
      <c r="A13" t="s">
        <v>1485</v>
      </c>
      <c r="B13" t="s">
        <v>1486</v>
      </c>
      <c r="C13" t="s">
        <v>1737</v>
      </c>
      <c r="D13" t="s">
        <v>1738</v>
      </c>
      <c r="E13" t="s">
        <v>593</v>
      </c>
      <c r="F13" t="s">
        <v>1739</v>
      </c>
      <c r="G13">
        <v>46251</v>
      </c>
      <c r="H13">
        <v>0</v>
      </c>
      <c r="I13" t="s">
        <v>1459</v>
      </c>
      <c r="J13">
        <v>0</v>
      </c>
      <c r="K13">
        <v>1</v>
      </c>
      <c r="L13" t="s">
        <v>1487</v>
      </c>
      <c r="M13" t="s">
        <v>1488</v>
      </c>
      <c r="N13" t="s">
        <v>1489</v>
      </c>
      <c r="O13" t="s">
        <v>1591</v>
      </c>
      <c r="P13" t="s">
        <v>1491</v>
      </c>
      <c r="Q13" t="s">
        <v>1709</v>
      </c>
      <c r="R13" t="s">
        <v>1492</v>
      </c>
      <c r="S13" t="s">
        <v>1493</v>
      </c>
      <c r="T13" t="s">
        <v>1494</v>
      </c>
      <c r="U13" t="s">
        <v>1495</v>
      </c>
      <c r="V13" t="s">
        <v>1710</v>
      </c>
      <c r="W13">
        <v>603</v>
      </c>
      <c r="X13" t="s">
        <v>1711</v>
      </c>
      <c r="Y13" t="s">
        <v>1712</v>
      </c>
      <c r="Z13">
        <v>2</v>
      </c>
      <c r="AA13" t="s">
        <v>58</v>
      </c>
    </row>
    <row r="14" spans="1:27" x14ac:dyDescent="0.25">
      <c r="A14" t="s">
        <v>1485</v>
      </c>
      <c r="B14" t="s">
        <v>1486</v>
      </c>
      <c r="C14" t="s">
        <v>1740</v>
      </c>
      <c r="D14" t="s">
        <v>1741</v>
      </c>
      <c r="E14" t="s">
        <v>593</v>
      </c>
      <c r="F14" t="s">
        <v>1742</v>
      </c>
      <c r="G14">
        <v>39576</v>
      </c>
      <c r="H14">
        <v>0</v>
      </c>
      <c r="I14" t="s">
        <v>1459</v>
      </c>
      <c r="J14">
        <v>0</v>
      </c>
      <c r="K14">
        <v>1</v>
      </c>
      <c r="L14" t="s">
        <v>1487</v>
      </c>
      <c r="M14" t="s">
        <v>1488</v>
      </c>
      <c r="N14" t="s">
        <v>1489</v>
      </c>
      <c r="O14" t="s">
        <v>1565</v>
      </c>
      <c r="P14" t="s">
        <v>1491</v>
      </c>
      <c r="Q14" t="s">
        <v>1709</v>
      </c>
      <c r="R14" t="s">
        <v>1492</v>
      </c>
      <c r="S14" t="s">
        <v>1493</v>
      </c>
      <c r="T14" t="s">
        <v>1494</v>
      </c>
      <c r="U14" t="s">
        <v>1495</v>
      </c>
      <c r="V14" t="s">
        <v>1710</v>
      </c>
      <c r="W14">
        <v>603</v>
      </c>
      <c r="X14" t="s">
        <v>1711</v>
      </c>
      <c r="Y14" t="s">
        <v>1712</v>
      </c>
      <c r="Z14">
        <v>2</v>
      </c>
      <c r="AA14" t="s">
        <v>58</v>
      </c>
    </row>
    <row r="15" spans="1:27" x14ac:dyDescent="0.25">
      <c r="A15" t="s">
        <v>1485</v>
      </c>
      <c r="B15" t="s">
        <v>1486</v>
      </c>
      <c r="C15" t="s">
        <v>1743</v>
      </c>
      <c r="D15" t="s">
        <v>1744</v>
      </c>
      <c r="E15" t="s">
        <v>593</v>
      </c>
      <c r="F15" t="s">
        <v>1745</v>
      </c>
      <c r="G15">
        <v>38067</v>
      </c>
      <c r="H15">
        <v>0</v>
      </c>
      <c r="I15" t="s">
        <v>1459</v>
      </c>
      <c r="J15">
        <v>0</v>
      </c>
      <c r="K15">
        <v>1</v>
      </c>
      <c r="L15" t="s">
        <v>1487</v>
      </c>
      <c r="M15" t="s">
        <v>1488</v>
      </c>
      <c r="N15" t="s">
        <v>1489</v>
      </c>
      <c r="O15" t="s">
        <v>1519</v>
      </c>
      <c r="P15" t="s">
        <v>1491</v>
      </c>
      <c r="Q15" t="s">
        <v>1709</v>
      </c>
      <c r="R15" t="s">
        <v>1492</v>
      </c>
      <c r="S15" t="s">
        <v>1493</v>
      </c>
      <c r="T15" t="s">
        <v>1494</v>
      </c>
      <c r="U15" t="s">
        <v>1495</v>
      </c>
      <c r="V15" t="s">
        <v>1710</v>
      </c>
      <c r="W15">
        <v>603</v>
      </c>
      <c r="X15" t="s">
        <v>1711</v>
      </c>
      <c r="Y15" t="s">
        <v>1712</v>
      </c>
      <c r="Z15">
        <v>2</v>
      </c>
      <c r="AA15" t="s">
        <v>58</v>
      </c>
    </row>
    <row r="16" spans="1:27" x14ac:dyDescent="0.25">
      <c r="A16" t="s">
        <v>1485</v>
      </c>
      <c r="B16" t="s">
        <v>1486</v>
      </c>
      <c r="C16" t="s">
        <v>1746</v>
      </c>
      <c r="D16" t="s">
        <v>1747</v>
      </c>
      <c r="E16" t="s">
        <v>593</v>
      </c>
      <c r="F16" t="s">
        <v>1748</v>
      </c>
      <c r="G16">
        <v>38823</v>
      </c>
      <c r="H16">
        <v>0</v>
      </c>
      <c r="I16" t="s">
        <v>1459</v>
      </c>
      <c r="J16">
        <v>0</v>
      </c>
      <c r="K16">
        <v>1</v>
      </c>
      <c r="L16" t="s">
        <v>1487</v>
      </c>
      <c r="M16" t="s">
        <v>1488</v>
      </c>
      <c r="N16" t="s">
        <v>1489</v>
      </c>
      <c r="O16" t="s">
        <v>1501</v>
      </c>
      <c r="P16" t="s">
        <v>1491</v>
      </c>
      <c r="Q16" t="s">
        <v>1709</v>
      </c>
      <c r="R16" t="s">
        <v>1492</v>
      </c>
      <c r="S16" t="s">
        <v>1493</v>
      </c>
      <c r="T16" t="s">
        <v>1494</v>
      </c>
      <c r="U16" t="s">
        <v>1495</v>
      </c>
      <c r="V16" t="s">
        <v>1710</v>
      </c>
      <c r="W16">
        <v>603</v>
      </c>
      <c r="X16" t="s">
        <v>1711</v>
      </c>
      <c r="Y16" t="s">
        <v>1712</v>
      </c>
      <c r="Z16">
        <v>2</v>
      </c>
      <c r="AA16" t="s">
        <v>58</v>
      </c>
    </row>
    <row r="17" spans="1:27" x14ac:dyDescent="0.25">
      <c r="A17" t="s">
        <v>1485</v>
      </c>
      <c r="B17" t="s">
        <v>1486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1459</v>
      </c>
      <c r="J17">
        <v>0</v>
      </c>
      <c r="K17">
        <v>1</v>
      </c>
      <c r="L17" t="s">
        <v>1487</v>
      </c>
      <c r="M17" t="s">
        <v>1488</v>
      </c>
      <c r="N17" t="s">
        <v>1489</v>
      </c>
      <c r="O17" t="s">
        <v>1510</v>
      </c>
      <c r="P17" t="s">
        <v>1491</v>
      </c>
      <c r="Q17" t="s">
        <v>1709</v>
      </c>
      <c r="R17" t="s">
        <v>1492</v>
      </c>
      <c r="S17" t="s">
        <v>1493</v>
      </c>
      <c r="T17" t="s">
        <v>1494</v>
      </c>
      <c r="U17" t="s">
        <v>1495</v>
      </c>
      <c r="V17" t="s">
        <v>1710</v>
      </c>
      <c r="W17">
        <v>603</v>
      </c>
      <c r="X17" t="s">
        <v>1711</v>
      </c>
      <c r="Y17" t="s">
        <v>1712</v>
      </c>
      <c r="Z17">
        <v>2</v>
      </c>
      <c r="AA17" t="s">
        <v>58</v>
      </c>
    </row>
    <row r="18" spans="1:27" x14ac:dyDescent="0.25">
      <c r="A18" t="s">
        <v>1485</v>
      </c>
      <c r="B18" t="s">
        <v>1486</v>
      </c>
      <c r="C18" t="s">
        <v>1749</v>
      </c>
      <c r="D18" t="s">
        <v>1750</v>
      </c>
      <c r="E18" t="s">
        <v>593</v>
      </c>
      <c r="F18" t="s">
        <v>1751</v>
      </c>
      <c r="G18">
        <v>34288</v>
      </c>
      <c r="H18">
        <v>0</v>
      </c>
      <c r="I18" t="s">
        <v>1459</v>
      </c>
      <c r="J18">
        <v>0</v>
      </c>
      <c r="K18">
        <v>1</v>
      </c>
      <c r="L18" t="s">
        <v>1487</v>
      </c>
      <c r="M18" t="s">
        <v>1488</v>
      </c>
      <c r="N18" t="s">
        <v>1489</v>
      </c>
      <c r="O18" t="s">
        <v>1596</v>
      </c>
      <c r="P18" t="s">
        <v>1491</v>
      </c>
      <c r="Q18" t="s">
        <v>1709</v>
      </c>
      <c r="R18" t="s">
        <v>1492</v>
      </c>
      <c r="S18" t="s">
        <v>1493</v>
      </c>
      <c r="T18" t="s">
        <v>1494</v>
      </c>
      <c r="U18" t="s">
        <v>1495</v>
      </c>
      <c r="V18" t="s">
        <v>1710</v>
      </c>
      <c r="W18">
        <v>603</v>
      </c>
      <c r="X18" t="s">
        <v>1711</v>
      </c>
      <c r="Y18" t="s">
        <v>1712</v>
      </c>
      <c r="Z18">
        <v>2</v>
      </c>
      <c r="AA18" t="s">
        <v>58</v>
      </c>
    </row>
    <row r="19" spans="1:27" x14ac:dyDescent="0.25">
      <c r="A19" t="s">
        <v>1485</v>
      </c>
      <c r="B19" t="s">
        <v>1486</v>
      </c>
      <c r="C19" t="s">
        <v>1752</v>
      </c>
      <c r="D19" t="s">
        <v>1753</v>
      </c>
      <c r="E19" t="s">
        <v>593</v>
      </c>
      <c r="F19" t="s">
        <v>1754</v>
      </c>
      <c r="G19">
        <v>33521</v>
      </c>
      <c r="H19">
        <v>0</v>
      </c>
      <c r="I19" t="s">
        <v>1459</v>
      </c>
      <c r="J19">
        <v>0</v>
      </c>
      <c r="K19">
        <v>1</v>
      </c>
      <c r="L19" t="s">
        <v>1487</v>
      </c>
      <c r="M19" t="s">
        <v>1488</v>
      </c>
      <c r="N19" t="s">
        <v>1489</v>
      </c>
      <c r="O19" t="s">
        <v>1500</v>
      </c>
      <c r="P19" t="s">
        <v>1491</v>
      </c>
      <c r="Q19" t="s">
        <v>1709</v>
      </c>
      <c r="R19" t="s">
        <v>1492</v>
      </c>
      <c r="S19" t="s">
        <v>1493</v>
      </c>
      <c r="T19" t="s">
        <v>1494</v>
      </c>
      <c r="U19" t="s">
        <v>1495</v>
      </c>
      <c r="V19" t="s">
        <v>1710</v>
      </c>
      <c r="W19">
        <v>603</v>
      </c>
      <c r="X19" t="s">
        <v>1711</v>
      </c>
      <c r="Y19" t="s">
        <v>1712</v>
      </c>
      <c r="Z19">
        <v>2</v>
      </c>
      <c r="AA19" t="s">
        <v>58</v>
      </c>
    </row>
    <row r="20" spans="1:27" x14ac:dyDescent="0.25">
      <c r="A20" t="s">
        <v>1485</v>
      </c>
      <c r="B20" t="s">
        <v>1486</v>
      </c>
      <c r="C20" t="s">
        <v>1755</v>
      </c>
      <c r="D20" t="s">
        <v>1756</v>
      </c>
      <c r="E20" t="s">
        <v>593</v>
      </c>
      <c r="F20" t="s">
        <v>1757</v>
      </c>
      <c r="G20">
        <v>26989</v>
      </c>
      <c r="H20">
        <v>0</v>
      </c>
      <c r="I20" t="s">
        <v>1459</v>
      </c>
      <c r="J20">
        <v>0</v>
      </c>
      <c r="K20">
        <v>1</v>
      </c>
      <c r="L20" t="s">
        <v>1487</v>
      </c>
      <c r="M20" t="s">
        <v>1488</v>
      </c>
      <c r="N20" t="s">
        <v>1489</v>
      </c>
      <c r="O20" t="s">
        <v>1561</v>
      </c>
      <c r="P20" t="s">
        <v>1491</v>
      </c>
      <c r="Q20" t="s">
        <v>1709</v>
      </c>
      <c r="R20" t="s">
        <v>1492</v>
      </c>
      <c r="S20" t="s">
        <v>1493</v>
      </c>
      <c r="T20" t="s">
        <v>1494</v>
      </c>
      <c r="U20" t="s">
        <v>1495</v>
      </c>
      <c r="V20" t="s">
        <v>1710</v>
      </c>
      <c r="W20">
        <v>603</v>
      </c>
      <c r="X20" t="s">
        <v>1711</v>
      </c>
      <c r="Y20" t="s">
        <v>1712</v>
      </c>
      <c r="Z20">
        <v>2</v>
      </c>
      <c r="AA20" t="s">
        <v>58</v>
      </c>
    </row>
    <row r="21" spans="1:27" x14ac:dyDescent="0.25">
      <c r="A21" t="s">
        <v>1485</v>
      </c>
      <c r="B21" t="s">
        <v>1486</v>
      </c>
      <c r="C21" t="s">
        <v>1758</v>
      </c>
      <c r="D21" t="s">
        <v>1759</v>
      </c>
      <c r="E21" t="s">
        <v>593</v>
      </c>
      <c r="F21" t="s">
        <v>1760</v>
      </c>
      <c r="G21">
        <v>25895</v>
      </c>
      <c r="H21">
        <v>0</v>
      </c>
      <c r="I21" t="s">
        <v>1459</v>
      </c>
      <c r="J21">
        <v>0</v>
      </c>
      <c r="K21">
        <v>1</v>
      </c>
      <c r="L21" t="s">
        <v>1487</v>
      </c>
      <c r="M21" t="s">
        <v>1488</v>
      </c>
      <c r="N21" t="s">
        <v>1489</v>
      </c>
      <c r="O21" t="s">
        <v>1554</v>
      </c>
      <c r="P21" t="s">
        <v>1491</v>
      </c>
      <c r="Q21" t="s">
        <v>1709</v>
      </c>
      <c r="R21" t="s">
        <v>1492</v>
      </c>
      <c r="S21" t="s">
        <v>1493</v>
      </c>
      <c r="T21" t="s">
        <v>1494</v>
      </c>
      <c r="U21" t="s">
        <v>1495</v>
      </c>
      <c r="V21" t="s">
        <v>1710</v>
      </c>
      <c r="W21">
        <v>603</v>
      </c>
      <c r="X21" t="s">
        <v>1711</v>
      </c>
      <c r="Y21" t="s">
        <v>1712</v>
      </c>
      <c r="Z21">
        <v>2</v>
      </c>
      <c r="AA21" t="s">
        <v>58</v>
      </c>
    </row>
    <row r="22" spans="1:27" x14ac:dyDescent="0.25">
      <c r="A22" t="s">
        <v>1485</v>
      </c>
      <c r="B22" t="s">
        <v>1486</v>
      </c>
      <c r="C22" t="s">
        <v>1761</v>
      </c>
      <c r="D22" t="s">
        <v>1762</v>
      </c>
      <c r="E22" t="s">
        <v>593</v>
      </c>
      <c r="F22" t="s">
        <v>1763</v>
      </c>
      <c r="G22">
        <v>21891</v>
      </c>
      <c r="H22">
        <v>0</v>
      </c>
      <c r="I22" t="s">
        <v>1459</v>
      </c>
      <c r="J22">
        <v>0</v>
      </c>
      <c r="K22">
        <v>1</v>
      </c>
      <c r="L22" t="s">
        <v>1487</v>
      </c>
      <c r="M22" t="s">
        <v>1488</v>
      </c>
      <c r="N22" t="s">
        <v>1489</v>
      </c>
      <c r="O22" t="s">
        <v>1627</v>
      </c>
      <c r="P22" t="s">
        <v>1491</v>
      </c>
      <c r="Q22" t="s">
        <v>1709</v>
      </c>
      <c r="R22" t="s">
        <v>1492</v>
      </c>
      <c r="S22" t="s">
        <v>1493</v>
      </c>
      <c r="T22" t="s">
        <v>1494</v>
      </c>
      <c r="U22" t="s">
        <v>1495</v>
      </c>
      <c r="V22" t="s">
        <v>1710</v>
      </c>
      <c r="W22">
        <v>603</v>
      </c>
      <c r="X22" t="s">
        <v>1711</v>
      </c>
      <c r="Y22" t="s">
        <v>1712</v>
      </c>
      <c r="Z22">
        <v>2</v>
      </c>
      <c r="AA22" t="s">
        <v>58</v>
      </c>
    </row>
    <row r="23" spans="1:27" x14ac:dyDescent="0.25">
      <c r="A23" t="s">
        <v>1485</v>
      </c>
      <c r="B23" t="s">
        <v>1486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1459</v>
      </c>
      <c r="J23">
        <v>0</v>
      </c>
      <c r="K23">
        <v>1</v>
      </c>
      <c r="L23" t="s">
        <v>1487</v>
      </c>
      <c r="M23" t="s">
        <v>1488</v>
      </c>
      <c r="N23" t="s">
        <v>1489</v>
      </c>
      <c r="O23" t="s">
        <v>1517</v>
      </c>
      <c r="P23" t="s">
        <v>1491</v>
      </c>
      <c r="Q23" t="s">
        <v>1709</v>
      </c>
      <c r="R23" t="s">
        <v>1492</v>
      </c>
      <c r="S23" t="s">
        <v>1493</v>
      </c>
      <c r="T23" t="s">
        <v>1494</v>
      </c>
      <c r="U23" t="s">
        <v>1495</v>
      </c>
      <c r="V23" t="s">
        <v>1710</v>
      </c>
      <c r="W23">
        <v>603</v>
      </c>
      <c r="X23" t="s">
        <v>1711</v>
      </c>
      <c r="Y23" t="s">
        <v>1712</v>
      </c>
      <c r="Z23">
        <v>2</v>
      </c>
      <c r="AA23" t="s">
        <v>58</v>
      </c>
    </row>
    <row r="24" spans="1:27" x14ac:dyDescent="0.25">
      <c r="A24" t="s">
        <v>1485</v>
      </c>
      <c r="B24" t="s">
        <v>1486</v>
      </c>
      <c r="C24" t="s">
        <v>1764</v>
      </c>
      <c r="D24" t="s">
        <v>1765</v>
      </c>
      <c r="E24" t="s">
        <v>593</v>
      </c>
      <c r="F24" t="s">
        <v>1766</v>
      </c>
      <c r="G24">
        <v>22659</v>
      </c>
      <c r="H24">
        <v>0</v>
      </c>
      <c r="I24" t="s">
        <v>1459</v>
      </c>
      <c r="J24">
        <v>0</v>
      </c>
      <c r="K24">
        <v>1</v>
      </c>
      <c r="L24" t="s">
        <v>1487</v>
      </c>
      <c r="M24" t="s">
        <v>1488</v>
      </c>
      <c r="N24" t="s">
        <v>1489</v>
      </c>
      <c r="O24" t="s">
        <v>1548</v>
      </c>
      <c r="P24" t="s">
        <v>1491</v>
      </c>
      <c r="Q24" t="s">
        <v>1709</v>
      </c>
      <c r="R24" t="s">
        <v>1492</v>
      </c>
      <c r="S24" t="s">
        <v>1493</v>
      </c>
      <c r="T24" t="s">
        <v>1494</v>
      </c>
      <c r="U24" t="s">
        <v>1495</v>
      </c>
      <c r="V24" t="s">
        <v>1710</v>
      </c>
      <c r="W24">
        <v>603</v>
      </c>
      <c r="X24" t="s">
        <v>1711</v>
      </c>
      <c r="Y24" t="s">
        <v>1712</v>
      </c>
      <c r="Z24">
        <v>2</v>
      </c>
      <c r="AA24" t="s">
        <v>58</v>
      </c>
    </row>
    <row r="25" spans="1:27" x14ac:dyDescent="0.25">
      <c r="A25" t="s">
        <v>1485</v>
      </c>
      <c r="B25" t="s">
        <v>1486</v>
      </c>
      <c r="C25" t="s">
        <v>1767</v>
      </c>
      <c r="D25" t="s">
        <v>1768</v>
      </c>
      <c r="E25" t="s">
        <v>593</v>
      </c>
      <c r="F25" t="s">
        <v>1769</v>
      </c>
      <c r="G25">
        <v>20369</v>
      </c>
      <c r="H25">
        <v>0</v>
      </c>
      <c r="I25" t="s">
        <v>1459</v>
      </c>
      <c r="J25">
        <v>0</v>
      </c>
      <c r="K25">
        <v>1</v>
      </c>
      <c r="L25" t="s">
        <v>1487</v>
      </c>
      <c r="M25" t="s">
        <v>1488</v>
      </c>
      <c r="N25" t="s">
        <v>1489</v>
      </c>
      <c r="O25" t="s">
        <v>1509</v>
      </c>
      <c r="P25" t="s">
        <v>1491</v>
      </c>
      <c r="Q25" t="s">
        <v>1709</v>
      </c>
      <c r="R25" t="s">
        <v>1492</v>
      </c>
      <c r="S25" t="s">
        <v>1493</v>
      </c>
      <c r="T25" t="s">
        <v>1494</v>
      </c>
      <c r="U25" t="s">
        <v>1495</v>
      </c>
      <c r="V25" t="s">
        <v>1710</v>
      </c>
      <c r="W25">
        <v>603</v>
      </c>
      <c r="X25" t="s">
        <v>1711</v>
      </c>
      <c r="Y25" t="s">
        <v>1712</v>
      </c>
      <c r="Z25">
        <v>2</v>
      </c>
      <c r="AA25" t="s">
        <v>58</v>
      </c>
    </row>
    <row r="26" spans="1:27" x14ac:dyDescent="0.25">
      <c r="A26" t="s">
        <v>1485</v>
      </c>
      <c r="B26" t="s">
        <v>1486</v>
      </c>
      <c r="C26" t="s">
        <v>1770</v>
      </c>
      <c r="D26" t="s">
        <v>1771</v>
      </c>
      <c r="E26" t="s">
        <v>593</v>
      </c>
      <c r="F26" t="s">
        <v>1772</v>
      </c>
      <c r="G26">
        <v>15504</v>
      </c>
      <c r="H26">
        <v>0</v>
      </c>
      <c r="I26" t="s">
        <v>1459</v>
      </c>
      <c r="J26">
        <v>0</v>
      </c>
      <c r="K26">
        <v>1</v>
      </c>
      <c r="L26" t="s">
        <v>1487</v>
      </c>
      <c r="M26" t="s">
        <v>1488</v>
      </c>
      <c r="N26" t="s">
        <v>1489</v>
      </c>
      <c r="O26" t="s">
        <v>1539</v>
      </c>
      <c r="P26" t="s">
        <v>1491</v>
      </c>
      <c r="Q26" t="s">
        <v>1709</v>
      </c>
      <c r="R26" t="s">
        <v>1492</v>
      </c>
      <c r="S26" t="s">
        <v>1493</v>
      </c>
      <c r="T26" t="s">
        <v>1494</v>
      </c>
      <c r="U26" t="s">
        <v>1495</v>
      </c>
      <c r="V26" t="s">
        <v>1710</v>
      </c>
      <c r="W26">
        <v>603</v>
      </c>
      <c r="X26" t="s">
        <v>1711</v>
      </c>
      <c r="Y26" t="s">
        <v>1712</v>
      </c>
      <c r="Z26">
        <v>2</v>
      </c>
      <c r="AA26" t="s">
        <v>58</v>
      </c>
    </row>
    <row r="27" spans="1:27" x14ac:dyDescent="0.25">
      <c r="A27" t="s">
        <v>1485</v>
      </c>
      <c r="B27" t="s">
        <v>1486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1459</v>
      </c>
      <c r="J27">
        <v>0</v>
      </c>
      <c r="K27">
        <v>1</v>
      </c>
      <c r="L27" t="s">
        <v>1487</v>
      </c>
      <c r="M27" t="s">
        <v>1488</v>
      </c>
      <c r="N27" t="s">
        <v>1489</v>
      </c>
      <c r="O27" t="s">
        <v>1507</v>
      </c>
      <c r="P27" t="s">
        <v>1491</v>
      </c>
      <c r="Q27" t="s">
        <v>1709</v>
      </c>
      <c r="R27" t="s">
        <v>1492</v>
      </c>
      <c r="S27" t="s">
        <v>1493</v>
      </c>
      <c r="T27" t="s">
        <v>1494</v>
      </c>
      <c r="U27" t="s">
        <v>1495</v>
      </c>
      <c r="V27" t="s">
        <v>1710</v>
      </c>
      <c r="W27">
        <v>603</v>
      </c>
      <c r="X27" t="s">
        <v>1711</v>
      </c>
      <c r="Y27" t="s">
        <v>1712</v>
      </c>
      <c r="Z27">
        <v>2</v>
      </c>
      <c r="AA27" t="s">
        <v>58</v>
      </c>
    </row>
    <row r="28" spans="1:27" x14ac:dyDescent="0.25">
      <c r="A28" t="s">
        <v>1485</v>
      </c>
      <c r="B28" t="s">
        <v>1486</v>
      </c>
      <c r="C28" t="s">
        <v>1773</v>
      </c>
      <c r="D28" t="s">
        <v>1774</v>
      </c>
      <c r="E28" t="s">
        <v>593</v>
      </c>
      <c r="F28" t="s">
        <v>1775</v>
      </c>
      <c r="G28">
        <v>18270</v>
      </c>
      <c r="H28">
        <v>0</v>
      </c>
      <c r="I28" t="s">
        <v>1459</v>
      </c>
      <c r="J28">
        <v>0</v>
      </c>
      <c r="K28">
        <v>1</v>
      </c>
      <c r="L28" t="s">
        <v>1487</v>
      </c>
      <c r="M28" t="s">
        <v>1488</v>
      </c>
      <c r="N28" t="s">
        <v>1489</v>
      </c>
      <c r="O28" t="s">
        <v>1531</v>
      </c>
      <c r="P28" t="s">
        <v>1491</v>
      </c>
      <c r="Q28" t="s">
        <v>1709</v>
      </c>
      <c r="R28" t="s">
        <v>1492</v>
      </c>
      <c r="S28" t="s">
        <v>1493</v>
      </c>
      <c r="T28" t="s">
        <v>1494</v>
      </c>
      <c r="U28" t="s">
        <v>1495</v>
      </c>
      <c r="V28" t="s">
        <v>1710</v>
      </c>
      <c r="W28">
        <v>603</v>
      </c>
      <c r="X28" t="s">
        <v>1711</v>
      </c>
      <c r="Y28" t="s">
        <v>1712</v>
      </c>
      <c r="Z28">
        <v>2</v>
      </c>
      <c r="AA28" t="s">
        <v>58</v>
      </c>
    </row>
    <row r="29" spans="1:27" x14ac:dyDescent="0.25">
      <c r="A29" t="s">
        <v>1485</v>
      </c>
      <c r="B29" t="s">
        <v>1486</v>
      </c>
      <c r="C29" t="s">
        <v>1776</v>
      </c>
      <c r="D29" t="s">
        <v>1777</v>
      </c>
      <c r="E29" t="s">
        <v>593</v>
      </c>
      <c r="F29" t="s">
        <v>1778</v>
      </c>
      <c r="G29">
        <v>16725</v>
      </c>
      <c r="H29">
        <v>0</v>
      </c>
      <c r="I29" t="s">
        <v>1459</v>
      </c>
      <c r="J29">
        <v>0</v>
      </c>
      <c r="K29">
        <v>1</v>
      </c>
      <c r="L29" t="s">
        <v>1487</v>
      </c>
      <c r="M29" t="s">
        <v>1488</v>
      </c>
      <c r="N29" t="s">
        <v>1489</v>
      </c>
      <c r="O29" t="s">
        <v>1537</v>
      </c>
      <c r="P29" t="s">
        <v>1491</v>
      </c>
      <c r="Q29" t="s">
        <v>1709</v>
      </c>
      <c r="R29" t="s">
        <v>1492</v>
      </c>
      <c r="S29" t="s">
        <v>1493</v>
      </c>
      <c r="T29" t="s">
        <v>1494</v>
      </c>
      <c r="U29" t="s">
        <v>1495</v>
      </c>
      <c r="V29" t="s">
        <v>1710</v>
      </c>
      <c r="W29">
        <v>603</v>
      </c>
      <c r="X29" t="s">
        <v>1711</v>
      </c>
      <c r="Y29" t="s">
        <v>1712</v>
      </c>
      <c r="Z29">
        <v>2</v>
      </c>
      <c r="AA29" t="s">
        <v>58</v>
      </c>
    </row>
    <row r="30" spans="1:27" x14ac:dyDescent="0.25">
      <c r="A30" t="s">
        <v>1485</v>
      </c>
      <c r="B30" t="s">
        <v>1486</v>
      </c>
      <c r="C30" t="s">
        <v>1779</v>
      </c>
      <c r="D30" t="s">
        <v>1780</v>
      </c>
      <c r="E30" t="s">
        <v>593</v>
      </c>
      <c r="F30" t="s">
        <v>1781</v>
      </c>
      <c r="G30">
        <v>17351</v>
      </c>
      <c r="H30">
        <v>0</v>
      </c>
      <c r="I30" t="s">
        <v>1459</v>
      </c>
      <c r="J30">
        <v>0</v>
      </c>
      <c r="K30">
        <v>1</v>
      </c>
      <c r="L30" t="s">
        <v>1487</v>
      </c>
      <c r="M30" t="s">
        <v>1488</v>
      </c>
      <c r="N30" t="s">
        <v>1489</v>
      </c>
      <c r="O30" t="s">
        <v>1512</v>
      </c>
      <c r="P30" t="s">
        <v>1491</v>
      </c>
      <c r="Q30" t="s">
        <v>1709</v>
      </c>
      <c r="R30" t="s">
        <v>1492</v>
      </c>
      <c r="S30" t="s">
        <v>1493</v>
      </c>
      <c r="T30" t="s">
        <v>1494</v>
      </c>
      <c r="U30" t="s">
        <v>1495</v>
      </c>
      <c r="V30" t="s">
        <v>1710</v>
      </c>
      <c r="W30">
        <v>603</v>
      </c>
      <c r="X30" t="s">
        <v>1711</v>
      </c>
      <c r="Y30" t="s">
        <v>1712</v>
      </c>
      <c r="Z30">
        <v>2</v>
      </c>
      <c r="AA30" t="s">
        <v>58</v>
      </c>
    </row>
    <row r="31" spans="1:27" x14ac:dyDescent="0.25">
      <c r="A31" t="s">
        <v>1485</v>
      </c>
      <c r="B31" t="s">
        <v>1486</v>
      </c>
      <c r="C31" t="s">
        <v>1782</v>
      </c>
      <c r="D31" t="s">
        <v>1783</v>
      </c>
      <c r="E31" t="s">
        <v>593</v>
      </c>
      <c r="F31" t="s">
        <v>1784</v>
      </c>
      <c r="G31">
        <v>16484</v>
      </c>
      <c r="H31">
        <v>0</v>
      </c>
      <c r="I31" t="s">
        <v>1459</v>
      </c>
      <c r="J31">
        <v>0</v>
      </c>
      <c r="K31">
        <v>1</v>
      </c>
      <c r="L31" t="s">
        <v>1487</v>
      </c>
      <c r="M31" t="s">
        <v>1488</v>
      </c>
      <c r="N31" t="s">
        <v>1489</v>
      </c>
      <c r="O31" t="s">
        <v>1609</v>
      </c>
      <c r="P31" t="s">
        <v>1491</v>
      </c>
      <c r="Q31" t="s">
        <v>1709</v>
      </c>
      <c r="R31" t="s">
        <v>1492</v>
      </c>
      <c r="S31" t="s">
        <v>1493</v>
      </c>
      <c r="T31" t="s">
        <v>1494</v>
      </c>
      <c r="U31" t="s">
        <v>1495</v>
      </c>
      <c r="V31" t="s">
        <v>1710</v>
      </c>
      <c r="W31">
        <v>603</v>
      </c>
      <c r="X31" t="s">
        <v>1711</v>
      </c>
      <c r="Y31" t="s">
        <v>1712</v>
      </c>
      <c r="Z31">
        <v>2</v>
      </c>
      <c r="AA31" t="s">
        <v>58</v>
      </c>
    </row>
    <row r="32" spans="1:27" x14ac:dyDescent="0.25">
      <c r="A32" t="s">
        <v>1485</v>
      </c>
      <c r="B32" t="s">
        <v>1486</v>
      </c>
      <c r="C32" t="s">
        <v>1785</v>
      </c>
      <c r="D32" t="s">
        <v>1786</v>
      </c>
      <c r="E32" t="s">
        <v>593</v>
      </c>
      <c r="F32" t="s">
        <v>1787</v>
      </c>
      <c r="G32">
        <v>17201</v>
      </c>
      <c r="H32">
        <v>0</v>
      </c>
      <c r="I32" t="s">
        <v>1459</v>
      </c>
      <c r="J32">
        <v>0</v>
      </c>
      <c r="K32">
        <v>1</v>
      </c>
      <c r="L32" t="s">
        <v>1487</v>
      </c>
      <c r="M32" t="s">
        <v>1488</v>
      </c>
      <c r="N32" t="s">
        <v>1489</v>
      </c>
      <c r="O32" t="s">
        <v>1788</v>
      </c>
      <c r="P32" t="s">
        <v>1491</v>
      </c>
      <c r="Q32" t="s">
        <v>1709</v>
      </c>
      <c r="R32" t="s">
        <v>1492</v>
      </c>
      <c r="S32" t="s">
        <v>1493</v>
      </c>
      <c r="T32" t="s">
        <v>1494</v>
      </c>
      <c r="U32" t="s">
        <v>1495</v>
      </c>
      <c r="V32" t="s">
        <v>1710</v>
      </c>
      <c r="W32">
        <v>603</v>
      </c>
      <c r="X32" t="s">
        <v>1711</v>
      </c>
      <c r="Y32" t="s">
        <v>1712</v>
      </c>
      <c r="Z32">
        <v>2</v>
      </c>
      <c r="AA32" t="s">
        <v>58</v>
      </c>
    </row>
    <row r="33" spans="1:27" x14ac:dyDescent="0.25">
      <c r="A33" t="s">
        <v>1485</v>
      </c>
      <c r="B33" t="s">
        <v>1486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1459</v>
      </c>
      <c r="J33">
        <v>0</v>
      </c>
      <c r="K33">
        <v>1</v>
      </c>
      <c r="L33" t="s">
        <v>1487</v>
      </c>
      <c r="M33" t="s">
        <v>1488</v>
      </c>
      <c r="N33" t="s">
        <v>1489</v>
      </c>
      <c r="O33" t="s">
        <v>1527</v>
      </c>
      <c r="P33" t="s">
        <v>1491</v>
      </c>
      <c r="Q33" t="s">
        <v>1709</v>
      </c>
      <c r="R33" t="s">
        <v>1492</v>
      </c>
      <c r="S33" t="s">
        <v>1493</v>
      </c>
      <c r="T33" t="s">
        <v>1494</v>
      </c>
      <c r="U33" t="s">
        <v>1495</v>
      </c>
      <c r="V33" t="s">
        <v>1710</v>
      </c>
      <c r="W33">
        <v>603</v>
      </c>
      <c r="X33" t="s">
        <v>1711</v>
      </c>
      <c r="Y33" t="s">
        <v>1712</v>
      </c>
      <c r="Z33">
        <v>2</v>
      </c>
      <c r="AA33" t="s">
        <v>58</v>
      </c>
    </row>
    <row r="34" spans="1:27" x14ac:dyDescent="0.25">
      <c r="A34" t="s">
        <v>1485</v>
      </c>
      <c r="B34" t="s">
        <v>1486</v>
      </c>
      <c r="C34" t="s">
        <v>1789</v>
      </c>
      <c r="D34" t="s">
        <v>1790</v>
      </c>
      <c r="E34" t="s">
        <v>593</v>
      </c>
      <c r="F34" t="s">
        <v>1791</v>
      </c>
      <c r="G34">
        <v>23673</v>
      </c>
      <c r="H34">
        <v>0</v>
      </c>
      <c r="I34" t="s">
        <v>1459</v>
      </c>
      <c r="J34">
        <v>0</v>
      </c>
      <c r="K34">
        <v>1</v>
      </c>
      <c r="L34" t="s">
        <v>1487</v>
      </c>
      <c r="M34" t="s">
        <v>1488</v>
      </c>
      <c r="N34" t="s">
        <v>1489</v>
      </c>
      <c r="O34" t="s">
        <v>1792</v>
      </c>
      <c r="P34" t="s">
        <v>1491</v>
      </c>
      <c r="Q34" t="s">
        <v>1709</v>
      </c>
      <c r="R34" t="s">
        <v>1492</v>
      </c>
      <c r="S34" t="s">
        <v>1493</v>
      </c>
      <c r="T34" t="s">
        <v>1494</v>
      </c>
      <c r="U34" t="s">
        <v>1495</v>
      </c>
      <c r="V34" t="s">
        <v>1710</v>
      </c>
      <c r="W34">
        <v>603</v>
      </c>
      <c r="X34" t="s">
        <v>1711</v>
      </c>
      <c r="Y34" t="s">
        <v>1712</v>
      </c>
      <c r="Z34">
        <v>2</v>
      </c>
      <c r="AA34" t="s">
        <v>58</v>
      </c>
    </row>
    <row r="35" spans="1:27" x14ac:dyDescent="0.25">
      <c r="A35" t="s">
        <v>1485</v>
      </c>
      <c r="B35" t="s">
        <v>1486</v>
      </c>
      <c r="C35" t="s">
        <v>1793</v>
      </c>
      <c r="D35" t="s">
        <v>1794</v>
      </c>
      <c r="E35" t="s">
        <v>593</v>
      </c>
      <c r="F35" t="s">
        <v>1795</v>
      </c>
      <c r="G35">
        <v>17699</v>
      </c>
      <c r="H35">
        <v>0</v>
      </c>
      <c r="I35" t="s">
        <v>1459</v>
      </c>
      <c r="J35">
        <v>0</v>
      </c>
      <c r="K35">
        <v>1</v>
      </c>
      <c r="L35" t="s">
        <v>1487</v>
      </c>
      <c r="M35" t="s">
        <v>1488</v>
      </c>
      <c r="N35" t="s">
        <v>1489</v>
      </c>
      <c r="O35" t="s">
        <v>1504</v>
      </c>
      <c r="P35" t="s">
        <v>1491</v>
      </c>
      <c r="Q35" t="s">
        <v>1709</v>
      </c>
      <c r="R35" t="s">
        <v>1492</v>
      </c>
      <c r="S35" t="s">
        <v>1493</v>
      </c>
      <c r="T35" t="s">
        <v>1494</v>
      </c>
      <c r="U35" t="s">
        <v>1495</v>
      </c>
      <c r="V35" t="s">
        <v>1710</v>
      </c>
      <c r="W35">
        <v>603</v>
      </c>
      <c r="X35" t="s">
        <v>1711</v>
      </c>
      <c r="Y35" t="s">
        <v>1712</v>
      </c>
      <c r="Z35">
        <v>2</v>
      </c>
      <c r="AA35" t="s">
        <v>58</v>
      </c>
    </row>
    <row r="36" spans="1:27" x14ac:dyDescent="0.25">
      <c r="A36" t="s">
        <v>1485</v>
      </c>
      <c r="B36" t="s">
        <v>1486</v>
      </c>
      <c r="C36" t="s">
        <v>1796</v>
      </c>
      <c r="D36" t="s">
        <v>1797</v>
      </c>
      <c r="E36" t="s">
        <v>593</v>
      </c>
      <c r="F36" t="s">
        <v>1798</v>
      </c>
      <c r="G36">
        <v>14685</v>
      </c>
      <c r="H36">
        <v>0</v>
      </c>
      <c r="I36" t="s">
        <v>1459</v>
      </c>
      <c r="J36">
        <v>0</v>
      </c>
      <c r="K36">
        <v>1</v>
      </c>
      <c r="L36" t="s">
        <v>1487</v>
      </c>
      <c r="M36" t="s">
        <v>1488</v>
      </c>
      <c r="N36" t="s">
        <v>1489</v>
      </c>
      <c r="O36" t="s">
        <v>1595</v>
      </c>
      <c r="P36" t="s">
        <v>1491</v>
      </c>
      <c r="Q36" t="s">
        <v>1709</v>
      </c>
      <c r="R36" t="s">
        <v>1492</v>
      </c>
      <c r="S36" t="s">
        <v>1493</v>
      </c>
      <c r="T36" t="s">
        <v>1494</v>
      </c>
      <c r="U36" t="s">
        <v>1495</v>
      </c>
      <c r="V36" t="s">
        <v>1710</v>
      </c>
      <c r="W36">
        <v>603</v>
      </c>
      <c r="X36" t="s">
        <v>1711</v>
      </c>
      <c r="Y36" t="s">
        <v>1712</v>
      </c>
      <c r="Z36">
        <v>2</v>
      </c>
      <c r="AA36" t="s">
        <v>58</v>
      </c>
    </row>
    <row r="37" spans="1:27" x14ac:dyDescent="0.25">
      <c r="A37" t="s">
        <v>1485</v>
      </c>
      <c r="B37" t="s">
        <v>1486</v>
      </c>
      <c r="C37" t="s">
        <v>1799</v>
      </c>
      <c r="D37" t="s">
        <v>1800</v>
      </c>
      <c r="E37" t="s">
        <v>593</v>
      </c>
      <c r="F37" t="s">
        <v>1801</v>
      </c>
      <c r="G37">
        <v>14093</v>
      </c>
      <c r="H37">
        <v>0</v>
      </c>
      <c r="I37" t="s">
        <v>1459</v>
      </c>
      <c r="J37">
        <v>0</v>
      </c>
      <c r="K37">
        <v>1</v>
      </c>
      <c r="L37" t="s">
        <v>1487</v>
      </c>
      <c r="M37" t="s">
        <v>1488</v>
      </c>
      <c r="N37" t="s">
        <v>1489</v>
      </c>
      <c r="O37" t="s">
        <v>1538</v>
      </c>
      <c r="P37" t="s">
        <v>1491</v>
      </c>
      <c r="Q37" t="s">
        <v>1709</v>
      </c>
      <c r="R37" t="s">
        <v>1492</v>
      </c>
      <c r="S37" t="s">
        <v>1493</v>
      </c>
      <c r="T37" t="s">
        <v>1494</v>
      </c>
      <c r="U37" t="s">
        <v>1495</v>
      </c>
      <c r="V37" t="s">
        <v>1710</v>
      </c>
      <c r="W37">
        <v>603</v>
      </c>
      <c r="X37" t="s">
        <v>1711</v>
      </c>
      <c r="Y37" t="s">
        <v>1712</v>
      </c>
      <c r="Z37">
        <v>2</v>
      </c>
      <c r="AA37" t="s">
        <v>58</v>
      </c>
    </row>
    <row r="38" spans="1:27" x14ac:dyDescent="0.25">
      <c r="A38" t="s">
        <v>1485</v>
      </c>
      <c r="B38" t="s">
        <v>1486</v>
      </c>
      <c r="C38" t="s">
        <v>1005</v>
      </c>
      <c r="D38" t="s">
        <v>1006</v>
      </c>
      <c r="E38" t="s">
        <v>593</v>
      </c>
      <c r="F38" t="s">
        <v>1007</v>
      </c>
      <c r="G38">
        <v>13858</v>
      </c>
      <c r="H38">
        <v>0</v>
      </c>
      <c r="I38" t="s">
        <v>1459</v>
      </c>
      <c r="J38">
        <v>0</v>
      </c>
      <c r="K38">
        <v>1</v>
      </c>
      <c r="L38" t="s">
        <v>1487</v>
      </c>
      <c r="M38" t="s">
        <v>1488</v>
      </c>
      <c r="N38" t="s">
        <v>1489</v>
      </c>
      <c r="O38" t="s">
        <v>1505</v>
      </c>
      <c r="P38" t="s">
        <v>1491</v>
      </c>
      <c r="Q38" t="s">
        <v>1709</v>
      </c>
      <c r="R38" t="s">
        <v>1492</v>
      </c>
      <c r="S38" t="s">
        <v>1493</v>
      </c>
      <c r="T38" t="s">
        <v>1494</v>
      </c>
      <c r="U38" t="s">
        <v>1495</v>
      </c>
      <c r="V38" t="s">
        <v>1710</v>
      </c>
      <c r="W38">
        <v>603</v>
      </c>
      <c r="X38" t="s">
        <v>1711</v>
      </c>
      <c r="Y38" t="s">
        <v>1712</v>
      </c>
      <c r="Z38">
        <v>2</v>
      </c>
      <c r="AA38" t="s">
        <v>58</v>
      </c>
    </row>
    <row r="39" spans="1:27" x14ac:dyDescent="0.25">
      <c r="A39" t="s">
        <v>1485</v>
      </c>
      <c r="B39" t="s">
        <v>1486</v>
      </c>
      <c r="C39" t="s">
        <v>1802</v>
      </c>
      <c r="D39" t="s">
        <v>1803</v>
      </c>
      <c r="E39" t="s">
        <v>593</v>
      </c>
      <c r="F39" t="s">
        <v>1804</v>
      </c>
      <c r="G39">
        <v>13525</v>
      </c>
      <c r="H39">
        <v>0</v>
      </c>
      <c r="I39" t="s">
        <v>1459</v>
      </c>
      <c r="J39">
        <v>0</v>
      </c>
      <c r="K39">
        <v>1</v>
      </c>
      <c r="L39" t="s">
        <v>1487</v>
      </c>
      <c r="M39" t="s">
        <v>1488</v>
      </c>
      <c r="N39" t="s">
        <v>1489</v>
      </c>
      <c r="O39" t="s">
        <v>1518</v>
      </c>
      <c r="P39" t="s">
        <v>1491</v>
      </c>
      <c r="Q39" t="s">
        <v>1709</v>
      </c>
      <c r="R39" t="s">
        <v>1492</v>
      </c>
      <c r="S39" t="s">
        <v>1493</v>
      </c>
      <c r="T39" t="s">
        <v>1494</v>
      </c>
      <c r="U39" t="s">
        <v>1495</v>
      </c>
      <c r="V39" t="s">
        <v>1710</v>
      </c>
      <c r="W39">
        <v>603</v>
      </c>
      <c r="X39" t="s">
        <v>1711</v>
      </c>
      <c r="Y39" t="s">
        <v>1712</v>
      </c>
      <c r="Z39">
        <v>2</v>
      </c>
      <c r="AA39" t="s">
        <v>58</v>
      </c>
    </row>
    <row r="40" spans="1:27" x14ac:dyDescent="0.25">
      <c r="A40" t="s">
        <v>1485</v>
      </c>
      <c r="B40" t="s">
        <v>1486</v>
      </c>
      <c r="C40" t="s">
        <v>1805</v>
      </c>
      <c r="D40" t="s">
        <v>1806</v>
      </c>
      <c r="E40" t="s">
        <v>593</v>
      </c>
      <c r="F40" t="s">
        <v>1807</v>
      </c>
      <c r="G40">
        <v>13249</v>
      </c>
      <c r="H40">
        <v>0</v>
      </c>
      <c r="I40" t="s">
        <v>1459</v>
      </c>
      <c r="J40">
        <v>0</v>
      </c>
      <c r="K40">
        <v>1</v>
      </c>
      <c r="L40" t="s">
        <v>1487</v>
      </c>
      <c r="M40" t="s">
        <v>1488</v>
      </c>
      <c r="N40" t="s">
        <v>1489</v>
      </c>
      <c r="O40" t="s">
        <v>1604</v>
      </c>
      <c r="P40" t="s">
        <v>1491</v>
      </c>
      <c r="Q40" t="s">
        <v>1709</v>
      </c>
      <c r="R40" t="s">
        <v>1492</v>
      </c>
      <c r="S40" t="s">
        <v>1493</v>
      </c>
      <c r="T40" t="s">
        <v>1494</v>
      </c>
      <c r="U40" t="s">
        <v>1495</v>
      </c>
      <c r="V40" t="s">
        <v>1710</v>
      </c>
      <c r="W40">
        <v>603</v>
      </c>
      <c r="X40" t="s">
        <v>1711</v>
      </c>
      <c r="Y40" t="s">
        <v>1712</v>
      </c>
      <c r="Z40">
        <v>2</v>
      </c>
      <c r="AA40" t="s">
        <v>58</v>
      </c>
    </row>
    <row r="41" spans="1:27" x14ac:dyDescent="0.25">
      <c r="A41" t="s">
        <v>1485</v>
      </c>
      <c r="B41" t="s">
        <v>1486</v>
      </c>
      <c r="C41" t="s">
        <v>1808</v>
      </c>
      <c r="D41" t="s">
        <v>1809</v>
      </c>
      <c r="E41" t="s">
        <v>593</v>
      </c>
      <c r="F41" t="s">
        <v>1810</v>
      </c>
      <c r="G41">
        <v>12936</v>
      </c>
      <c r="H41">
        <v>0</v>
      </c>
      <c r="I41" t="s">
        <v>1459</v>
      </c>
      <c r="J41">
        <v>0</v>
      </c>
      <c r="K41">
        <v>1</v>
      </c>
      <c r="L41" t="s">
        <v>1487</v>
      </c>
      <c r="M41" t="s">
        <v>1488</v>
      </c>
      <c r="N41" t="s">
        <v>1489</v>
      </c>
      <c r="O41" t="s">
        <v>1508</v>
      </c>
      <c r="P41" t="s">
        <v>1491</v>
      </c>
      <c r="Q41" t="s">
        <v>1709</v>
      </c>
      <c r="R41" t="s">
        <v>1492</v>
      </c>
      <c r="S41" t="s">
        <v>1493</v>
      </c>
      <c r="T41" t="s">
        <v>1494</v>
      </c>
      <c r="U41" t="s">
        <v>1495</v>
      </c>
      <c r="V41" t="s">
        <v>1710</v>
      </c>
      <c r="W41">
        <v>603</v>
      </c>
      <c r="X41" t="s">
        <v>1711</v>
      </c>
      <c r="Y41" t="s">
        <v>1712</v>
      </c>
      <c r="Z41">
        <v>2</v>
      </c>
      <c r="AA41" t="s">
        <v>58</v>
      </c>
    </row>
    <row r="42" spans="1:27" x14ac:dyDescent="0.25">
      <c r="A42" t="s">
        <v>1485</v>
      </c>
      <c r="B42" t="s">
        <v>1486</v>
      </c>
      <c r="C42" t="s">
        <v>1811</v>
      </c>
      <c r="D42" t="s">
        <v>1812</v>
      </c>
      <c r="E42" t="s">
        <v>593</v>
      </c>
      <c r="F42" t="s">
        <v>1813</v>
      </c>
      <c r="G42">
        <v>12525</v>
      </c>
      <c r="H42">
        <v>0</v>
      </c>
      <c r="I42" t="s">
        <v>1459</v>
      </c>
      <c r="J42">
        <v>0</v>
      </c>
      <c r="K42">
        <v>1</v>
      </c>
      <c r="L42" t="s">
        <v>1487</v>
      </c>
      <c r="M42" t="s">
        <v>1488</v>
      </c>
      <c r="N42" t="s">
        <v>1489</v>
      </c>
      <c r="O42" t="s">
        <v>1540</v>
      </c>
      <c r="P42" t="s">
        <v>1491</v>
      </c>
      <c r="Q42" t="s">
        <v>1709</v>
      </c>
      <c r="R42" t="s">
        <v>1492</v>
      </c>
      <c r="S42" t="s">
        <v>1493</v>
      </c>
      <c r="T42" t="s">
        <v>1494</v>
      </c>
      <c r="U42" t="s">
        <v>1495</v>
      </c>
      <c r="V42" t="s">
        <v>1710</v>
      </c>
      <c r="W42">
        <v>603</v>
      </c>
      <c r="X42" t="s">
        <v>1711</v>
      </c>
      <c r="Y42" t="s">
        <v>1712</v>
      </c>
      <c r="Z42">
        <v>2</v>
      </c>
      <c r="AA42" t="s">
        <v>58</v>
      </c>
    </row>
    <row r="43" spans="1:27" x14ac:dyDescent="0.25">
      <c r="A43" t="s">
        <v>1485</v>
      </c>
      <c r="B43" t="s">
        <v>1486</v>
      </c>
      <c r="C43" t="s">
        <v>1814</v>
      </c>
      <c r="D43" t="s">
        <v>1815</v>
      </c>
      <c r="E43" t="s">
        <v>593</v>
      </c>
      <c r="F43" t="s">
        <v>1816</v>
      </c>
      <c r="G43">
        <v>12497</v>
      </c>
      <c r="H43">
        <v>0</v>
      </c>
      <c r="I43" t="s">
        <v>1459</v>
      </c>
      <c r="J43">
        <v>0</v>
      </c>
      <c r="K43">
        <v>1</v>
      </c>
      <c r="L43" t="s">
        <v>1487</v>
      </c>
      <c r="M43" t="s">
        <v>1488</v>
      </c>
      <c r="N43" t="s">
        <v>1489</v>
      </c>
      <c r="O43" t="s">
        <v>1593</v>
      </c>
      <c r="P43" t="s">
        <v>1491</v>
      </c>
      <c r="Q43" t="s">
        <v>1709</v>
      </c>
      <c r="R43" t="s">
        <v>1492</v>
      </c>
      <c r="S43" t="s">
        <v>1493</v>
      </c>
      <c r="T43" t="s">
        <v>1494</v>
      </c>
      <c r="U43" t="s">
        <v>1495</v>
      </c>
      <c r="V43" t="s">
        <v>1710</v>
      </c>
      <c r="W43">
        <v>603</v>
      </c>
      <c r="X43" t="s">
        <v>1711</v>
      </c>
      <c r="Y43" t="s">
        <v>1712</v>
      </c>
      <c r="Z43">
        <v>2</v>
      </c>
      <c r="AA43" t="s">
        <v>58</v>
      </c>
    </row>
    <row r="44" spans="1:27" x14ac:dyDescent="0.25">
      <c r="A44" t="s">
        <v>1485</v>
      </c>
      <c r="B44" t="s">
        <v>1486</v>
      </c>
      <c r="C44" t="s">
        <v>1817</v>
      </c>
      <c r="D44" t="s">
        <v>1818</v>
      </c>
      <c r="E44" t="s">
        <v>593</v>
      </c>
      <c r="F44" t="s">
        <v>1819</v>
      </c>
      <c r="G44">
        <v>11433</v>
      </c>
      <c r="H44">
        <v>0</v>
      </c>
      <c r="I44" t="s">
        <v>1459</v>
      </c>
      <c r="J44">
        <v>0</v>
      </c>
      <c r="K44">
        <v>1</v>
      </c>
      <c r="L44" t="s">
        <v>1487</v>
      </c>
      <c r="M44" t="s">
        <v>1488</v>
      </c>
      <c r="N44" t="s">
        <v>1489</v>
      </c>
      <c r="O44" t="s">
        <v>1553</v>
      </c>
      <c r="P44" t="s">
        <v>1491</v>
      </c>
      <c r="Q44" t="s">
        <v>1709</v>
      </c>
      <c r="R44" t="s">
        <v>1492</v>
      </c>
      <c r="S44" t="s">
        <v>1493</v>
      </c>
      <c r="T44" t="s">
        <v>1494</v>
      </c>
      <c r="U44" t="s">
        <v>1495</v>
      </c>
      <c r="V44" t="s">
        <v>1710</v>
      </c>
      <c r="W44">
        <v>603</v>
      </c>
      <c r="X44" t="s">
        <v>1711</v>
      </c>
      <c r="Y44" t="s">
        <v>1712</v>
      </c>
      <c r="Z44">
        <v>2</v>
      </c>
      <c r="AA44" t="s">
        <v>58</v>
      </c>
    </row>
    <row r="45" spans="1:27" x14ac:dyDescent="0.25">
      <c r="A45" t="s">
        <v>1485</v>
      </c>
      <c r="B45" t="s">
        <v>1486</v>
      </c>
      <c r="C45" t="s">
        <v>1820</v>
      </c>
      <c r="D45" t="s">
        <v>1821</v>
      </c>
      <c r="E45" t="s">
        <v>593</v>
      </c>
      <c r="F45" t="s">
        <v>1822</v>
      </c>
      <c r="G45">
        <v>10294</v>
      </c>
      <c r="H45">
        <v>0</v>
      </c>
      <c r="I45" t="s">
        <v>1459</v>
      </c>
      <c r="J45">
        <v>0</v>
      </c>
      <c r="K45">
        <v>1</v>
      </c>
      <c r="L45" t="s">
        <v>1487</v>
      </c>
      <c r="M45" t="s">
        <v>1488</v>
      </c>
      <c r="N45" t="s">
        <v>1489</v>
      </c>
      <c r="O45" t="s">
        <v>1543</v>
      </c>
      <c r="P45" t="s">
        <v>1491</v>
      </c>
      <c r="Q45" t="s">
        <v>1709</v>
      </c>
      <c r="R45" t="s">
        <v>1492</v>
      </c>
      <c r="S45" t="s">
        <v>1493</v>
      </c>
      <c r="T45" t="s">
        <v>1494</v>
      </c>
      <c r="U45" t="s">
        <v>1495</v>
      </c>
      <c r="V45" t="s">
        <v>1710</v>
      </c>
      <c r="W45">
        <v>603</v>
      </c>
      <c r="X45" t="s">
        <v>1711</v>
      </c>
      <c r="Y45" t="s">
        <v>1712</v>
      </c>
      <c r="Z45">
        <v>2</v>
      </c>
      <c r="AA45" t="s">
        <v>58</v>
      </c>
    </row>
    <row r="46" spans="1:27" x14ac:dyDescent="0.25">
      <c r="A46" t="s">
        <v>1485</v>
      </c>
      <c r="B46" t="s">
        <v>1486</v>
      </c>
      <c r="C46" t="s">
        <v>1823</v>
      </c>
      <c r="D46" t="s">
        <v>1824</v>
      </c>
      <c r="E46" t="s">
        <v>593</v>
      </c>
      <c r="F46" t="s">
        <v>1825</v>
      </c>
      <c r="G46">
        <v>10176</v>
      </c>
      <c r="H46">
        <v>0</v>
      </c>
      <c r="I46" t="s">
        <v>1459</v>
      </c>
      <c r="J46">
        <v>0</v>
      </c>
      <c r="K46">
        <v>1</v>
      </c>
      <c r="L46" t="s">
        <v>1487</v>
      </c>
      <c r="M46" t="s">
        <v>1488</v>
      </c>
      <c r="N46" t="s">
        <v>1489</v>
      </c>
      <c r="O46" t="s">
        <v>1614</v>
      </c>
      <c r="P46" t="s">
        <v>1491</v>
      </c>
      <c r="Q46" t="s">
        <v>1709</v>
      </c>
      <c r="R46" t="s">
        <v>1492</v>
      </c>
      <c r="S46" t="s">
        <v>1493</v>
      </c>
      <c r="T46" t="s">
        <v>1494</v>
      </c>
      <c r="U46" t="s">
        <v>1495</v>
      </c>
      <c r="V46" t="s">
        <v>1710</v>
      </c>
      <c r="W46">
        <v>603</v>
      </c>
      <c r="X46" t="s">
        <v>1711</v>
      </c>
      <c r="Y46" t="s">
        <v>1712</v>
      </c>
      <c r="Z46">
        <v>2</v>
      </c>
      <c r="AA46" t="s">
        <v>58</v>
      </c>
    </row>
    <row r="47" spans="1:27" x14ac:dyDescent="0.25">
      <c r="A47" t="s">
        <v>1485</v>
      </c>
      <c r="B47" t="s">
        <v>1486</v>
      </c>
      <c r="C47" t="s">
        <v>1826</v>
      </c>
      <c r="D47" t="s">
        <v>1827</v>
      </c>
      <c r="E47" t="s">
        <v>593</v>
      </c>
      <c r="F47" t="s">
        <v>1828</v>
      </c>
      <c r="G47">
        <v>5991</v>
      </c>
      <c r="H47">
        <v>0</v>
      </c>
      <c r="I47" t="s">
        <v>1459</v>
      </c>
      <c r="J47">
        <v>0</v>
      </c>
      <c r="K47">
        <v>1</v>
      </c>
      <c r="L47" t="s">
        <v>1487</v>
      </c>
      <c r="M47" t="s">
        <v>1488</v>
      </c>
      <c r="N47" t="s">
        <v>1489</v>
      </c>
      <c r="O47" t="s">
        <v>1559</v>
      </c>
      <c r="P47" t="s">
        <v>1491</v>
      </c>
      <c r="Q47" t="s">
        <v>1709</v>
      </c>
      <c r="R47" t="s">
        <v>1492</v>
      </c>
      <c r="S47" t="s">
        <v>1493</v>
      </c>
      <c r="T47" t="s">
        <v>1494</v>
      </c>
      <c r="U47" t="s">
        <v>1495</v>
      </c>
      <c r="V47" t="s">
        <v>1710</v>
      </c>
      <c r="W47">
        <v>603</v>
      </c>
      <c r="X47" t="s">
        <v>1711</v>
      </c>
      <c r="Y47" t="s">
        <v>1712</v>
      </c>
      <c r="Z47">
        <v>2</v>
      </c>
      <c r="AA47" t="s">
        <v>58</v>
      </c>
    </row>
    <row r="48" spans="1:27" x14ac:dyDescent="0.25">
      <c r="A48" t="s">
        <v>1485</v>
      </c>
      <c r="B48" t="s">
        <v>1486</v>
      </c>
      <c r="C48" t="s">
        <v>1829</v>
      </c>
      <c r="D48" t="s">
        <v>1830</v>
      </c>
      <c r="E48" t="s">
        <v>593</v>
      </c>
      <c r="F48" t="s">
        <v>1831</v>
      </c>
      <c r="G48">
        <v>9567</v>
      </c>
      <c r="H48">
        <v>0</v>
      </c>
      <c r="I48" t="s">
        <v>1459</v>
      </c>
      <c r="J48">
        <v>0</v>
      </c>
      <c r="K48">
        <v>1</v>
      </c>
      <c r="L48" t="s">
        <v>1487</v>
      </c>
      <c r="M48" t="s">
        <v>1488</v>
      </c>
      <c r="N48" t="s">
        <v>1489</v>
      </c>
      <c r="O48" t="s">
        <v>1523</v>
      </c>
      <c r="P48" t="s">
        <v>1491</v>
      </c>
      <c r="Q48" t="s">
        <v>1709</v>
      </c>
      <c r="R48" t="s">
        <v>1492</v>
      </c>
      <c r="S48" t="s">
        <v>1493</v>
      </c>
      <c r="T48" t="s">
        <v>1494</v>
      </c>
      <c r="U48" t="s">
        <v>1495</v>
      </c>
      <c r="V48" t="s">
        <v>1710</v>
      </c>
      <c r="W48">
        <v>603</v>
      </c>
      <c r="X48" t="s">
        <v>1711</v>
      </c>
      <c r="Y48" t="s">
        <v>1712</v>
      </c>
      <c r="Z48">
        <v>2</v>
      </c>
      <c r="AA48" t="s">
        <v>58</v>
      </c>
    </row>
    <row r="49" spans="1:27" x14ac:dyDescent="0.25">
      <c r="A49" t="s">
        <v>1485</v>
      </c>
      <c r="B49" t="s">
        <v>1486</v>
      </c>
      <c r="C49" t="s">
        <v>1832</v>
      </c>
      <c r="D49" t="s">
        <v>1833</v>
      </c>
      <c r="E49" t="s">
        <v>593</v>
      </c>
      <c r="F49" t="s">
        <v>1834</v>
      </c>
      <c r="G49">
        <v>5468</v>
      </c>
      <c r="H49">
        <v>0</v>
      </c>
      <c r="I49" t="s">
        <v>1459</v>
      </c>
      <c r="J49">
        <v>0</v>
      </c>
      <c r="K49">
        <v>1</v>
      </c>
      <c r="L49" t="s">
        <v>1487</v>
      </c>
      <c r="M49" t="s">
        <v>1488</v>
      </c>
      <c r="N49" t="s">
        <v>1489</v>
      </c>
      <c r="O49" t="s">
        <v>1552</v>
      </c>
      <c r="P49" t="s">
        <v>1491</v>
      </c>
      <c r="Q49" t="s">
        <v>1709</v>
      </c>
      <c r="R49" t="s">
        <v>1492</v>
      </c>
      <c r="S49" t="s">
        <v>1493</v>
      </c>
      <c r="T49" t="s">
        <v>1494</v>
      </c>
      <c r="U49" t="s">
        <v>1495</v>
      </c>
      <c r="V49" t="s">
        <v>1710</v>
      </c>
      <c r="W49">
        <v>603</v>
      </c>
      <c r="X49" t="s">
        <v>1711</v>
      </c>
      <c r="Y49" t="s">
        <v>1712</v>
      </c>
      <c r="Z49">
        <v>2</v>
      </c>
      <c r="AA49" t="s">
        <v>58</v>
      </c>
    </row>
    <row r="50" spans="1:27" x14ac:dyDescent="0.25">
      <c r="A50" t="s">
        <v>1485</v>
      </c>
      <c r="B50" t="s">
        <v>1486</v>
      </c>
      <c r="C50" t="s">
        <v>1835</v>
      </c>
      <c r="D50" t="s">
        <v>1836</v>
      </c>
      <c r="E50" t="s">
        <v>593</v>
      </c>
      <c r="F50" t="s">
        <v>1837</v>
      </c>
      <c r="G50">
        <v>9990</v>
      </c>
      <c r="H50">
        <v>0</v>
      </c>
      <c r="I50" t="s">
        <v>1459</v>
      </c>
      <c r="J50">
        <v>0</v>
      </c>
      <c r="K50">
        <v>1</v>
      </c>
      <c r="L50" t="s">
        <v>1487</v>
      </c>
      <c r="M50" t="s">
        <v>1488</v>
      </c>
      <c r="N50" t="s">
        <v>1489</v>
      </c>
      <c r="O50" t="s">
        <v>1602</v>
      </c>
      <c r="P50" t="s">
        <v>1491</v>
      </c>
      <c r="Q50" t="s">
        <v>1709</v>
      </c>
      <c r="R50" t="s">
        <v>1492</v>
      </c>
      <c r="S50" t="s">
        <v>1493</v>
      </c>
      <c r="T50" t="s">
        <v>1494</v>
      </c>
      <c r="U50" t="s">
        <v>1495</v>
      </c>
      <c r="V50" t="s">
        <v>1710</v>
      </c>
      <c r="W50">
        <v>603</v>
      </c>
      <c r="X50" t="s">
        <v>1711</v>
      </c>
      <c r="Y50" t="s">
        <v>1712</v>
      </c>
      <c r="Z50">
        <v>2</v>
      </c>
      <c r="AA50" t="s">
        <v>58</v>
      </c>
    </row>
    <row r="51" spans="1:27" x14ac:dyDescent="0.25">
      <c r="A51" t="s">
        <v>1485</v>
      </c>
      <c r="B51" t="s">
        <v>1486</v>
      </c>
      <c r="C51" t="s">
        <v>1838</v>
      </c>
      <c r="D51" t="s">
        <v>1839</v>
      </c>
      <c r="E51" t="s">
        <v>593</v>
      </c>
      <c r="F51" t="s">
        <v>1840</v>
      </c>
      <c r="G51">
        <v>7638</v>
      </c>
      <c r="H51">
        <v>0</v>
      </c>
      <c r="I51" t="s">
        <v>1459</v>
      </c>
      <c r="J51">
        <v>0</v>
      </c>
      <c r="K51">
        <v>1</v>
      </c>
      <c r="L51" t="s">
        <v>1487</v>
      </c>
      <c r="M51" t="s">
        <v>1488</v>
      </c>
      <c r="N51" t="s">
        <v>1489</v>
      </c>
      <c r="O51" t="s">
        <v>1606</v>
      </c>
      <c r="P51" t="s">
        <v>1491</v>
      </c>
      <c r="Q51" t="s">
        <v>1709</v>
      </c>
      <c r="R51" t="s">
        <v>1492</v>
      </c>
      <c r="S51" t="s">
        <v>1493</v>
      </c>
      <c r="T51" t="s">
        <v>1494</v>
      </c>
      <c r="U51" t="s">
        <v>1495</v>
      </c>
      <c r="V51" t="s">
        <v>1710</v>
      </c>
      <c r="W51">
        <v>603</v>
      </c>
      <c r="X51" t="s">
        <v>1711</v>
      </c>
      <c r="Y51" t="s">
        <v>1712</v>
      </c>
      <c r="Z51">
        <v>2</v>
      </c>
      <c r="AA51" t="s">
        <v>58</v>
      </c>
    </row>
    <row r="52" spans="1:27" x14ac:dyDescent="0.25">
      <c r="A52" t="s">
        <v>1485</v>
      </c>
      <c r="B52" t="s">
        <v>1486</v>
      </c>
      <c r="C52" t="s">
        <v>1841</v>
      </c>
      <c r="D52" t="s">
        <v>1842</v>
      </c>
      <c r="E52" t="s">
        <v>593</v>
      </c>
      <c r="F52" t="s">
        <v>1843</v>
      </c>
      <c r="G52">
        <v>7259</v>
      </c>
      <c r="H52">
        <v>0</v>
      </c>
      <c r="I52" t="s">
        <v>1459</v>
      </c>
      <c r="J52">
        <v>0</v>
      </c>
      <c r="K52">
        <v>1</v>
      </c>
      <c r="L52" t="s">
        <v>1487</v>
      </c>
      <c r="M52" t="s">
        <v>1488</v>
      </c>
      <c r="N52" t="s">
        <v>1489</v>
      </c>
      <c r="O52" t="s">
        <v>1496</v>
      </c>
      <c r="P52" t="s">
        <v>1491</v>
      </c>
      <c r="Q52" t="s">
        <v>1709</v>
      </c>
      <c r="R52" t="s">
        <v>1492</v>
      </c>
      <c r="S52" t="s">
        <v>1493</v>
      </c>
      <c r="T52" t="s">
        <v>1494</v>
      </c>
      <c r="U52" t="s">
        <v>1495</v>
      </c>
      <c r="V52" t="s">
        <v>1710</v>
      </c>
      <c r="W52">
        <v>603</v>
      </c>
      <c r="X52" t="s">
        <v>1711</v>
      </c>
      <c r="Y52" t="s">
        <v>1712</v>
      </c>
      <c r="Z52">
        <v>2</v>
      </c>
      <c r="AA52" t="s">
        <v>58</v>
      </c>
    </row>
    <row r="53" spans="1:27" x14ac:dyDescent="0.25">
      <c r="A53" t="s">
        <v>1485</v>
      </c>
      <c r="B53" t="s">
        <v>1486</v>
      </c>
      <c r="C53" t="s">
        <v>1844</v>
      </c>
      <c r="D53" t="s">
        <v>1845</v>
      </c>
      <c r="E53" t="s">
        <v>593</v>
      </c>
      <c r="F53" t="s">
        <v>1846</v>
      </c>
      <c r="G53">
        <v>5860</v>
      </c>
      <c r="H53">
        <v>0</v>
      </c>
      <c r="I53" t="s">
        <v>1459</v>
      </c>
      <c r="J53">
        <v>0</v>
      </c>
      <c r="K53">
        <v>1</v>
      </c>
      <c r="L53" t="s">
        <v>1487</v>
      </c>
      <c r="M53" t="s">
        <v>1488</v>
      </c>
      <c r="N53" t="s">
        <v>1489</v>
      </c>
      <c r="O53" t="s">
        <v>1619</v>
      </c>
      <c r="P53" t="s">
        <v>1491</v>
      </c>
      <c r="Q53" t="s">
        <v>1709</v>
      </c>
      <c r="R53" t="s">
        <v>1492</v>
      </c>
      <c r="S53" t="s">
        <v>1493</v>
      </c>
      <c r="T53" t="s">
        <v>1494</v>
      </c>
      <c r="U53" t="s">
        <v>1495</v>
      </c>
      <c r="V53" t="s">
        <v>1710</v>
      </c>
      <c r="W53">
        <v>603</v>
      </c>
      <c r="X53" t="s">
        <v>1711</v>
      </c>
      <c r="Y53" t="s">
        <v>1712</v>
      </c>
      <c r="Z53">
        <v>2</v>
      </c>
      <c r="AA53" t="s">
        <v>58</v>
      </c>
    </row>
    <row r="54" spans="1:27" x14ac:dyDescent="0.25">
      <c r="A54" t="s">
        <v>1485</v>
      </c>
      <c r="B54" t="s">
        <v>1486</v>
      </c>
      <c r="C54" t="s">
        <v>1847</v>
      </c>
      <c r="D54" t="s">
        <v>1848</v>
      </c>
      <c r="E54" t="s">
        <v>593</v>
      </c>
      <c r="F54" t="s">
        <v>1849</v>
      </c>
      <c r="G54">
        <v>7300</v>
      </c>
      <c r="H54">
        <v>0</v>
      </c>
      <c r="I54" t="s">
        <v>1459</v>
      </c>
      <c r="J54">
        <v>0</v>
      </c>
      <c r="K54">
        <v>1</v>
      </c>
      <c r="L54" t="s">
        <v>1487</v>
      </c>
      <c r="M54" t="s">
        <v>1488</v>
      </c>
      <c r="N54" t="s">
        <v>1489</v>
      </c>
      <c r="O54" t="s">
        <v>1556</v>
      </c>
      <c r="P54" t="s">
        <v>1491</v>
      </c>
      <c r="Q54" t="s">
        <v>1709</v>
      </c>
      <c r="R54" t="s">
        <v>1492</v>
      </c>
      <c r="S54" t="s">
        <v>1493</v>
      </c>
      <c r="T54" t="s">
        <v>1494</v>
      </c>
      <c r="U54" t="s">
        <v>1495</v>
      </c>
      <c r="V54" t="s">
        <v>1710</v>
      </c>
      <c r="W54">
        <v>603</v>
      </c>
      <c r="X54" t="s">
        <v>1711</v>
      </c>
      <c r="Y54" t="s">
        <v>1712</v>
      </c>
      <c r="Z54">
        <v>2</v>
      </c>
      <c r="AA54" t="s">
        <v>58</v>
      </c>
    </row>
    <row r="55" spans="1:27" x14ac:dyDescent="0.25">
      <c r="A55" t="s">
        <v>1485</v>
      </c>
      <c r="B55" t="s">
        <v>1486</v>
      </c>
      <c r="C55" t="s">
        <v>1850</v>
      </c>
      <c r="D55" t="s">
        <v>1851</v>
      </c>
      <c r="E55" t="s">
        <v>593</v>
      </c>
      <c r="F55" t="s">
        <v>1852</v>
      </c>
      <c r="G55">
        <v>8022</v>
      </c>
      <c r="H55">
        <v>0</v>
      </c>
      <c r="I55" t="s">
        <v>1459</v>
      </c>
      <c r="J55">
        <v>0</v>
      </c>
      <c r="K55">
        <v>1</v>
      </c>
      <c r="L55" t="s">
        <v>1487</v>
      </c>
      <c r="M55" t="s">
        <v>1488</v>
      </c>
      <c r="N55" t="s">
        <v>1489</v>
      </c>
      <c r="O55" t="s">
        <v>1532</v>
      </c>
      <c r="P55" t="s">
        <v>1491</v>
      </c>
      <c r="Q55" t="s">
        <v>1709</v>
      </c>
      <c r="R55" t="s">
        <v>1492</v>
      </c>
      <c r="S55" t="s">
        <v>1493</v>
      </c>
      <c r="T55" t="s">
        <v>1494</v>
      </c>
      <c r="U55" t="s">
        <v>1495</v>
      </c>
      <c r="V55" t="s">
        <v>1710</v>
      </c>
      <c r="W55">
        <v>603</v>
      </c>
      <c r="X55" t="s">
        <v>1711</v>
      </c>
      <c r="Y55" t="s">
        <v>1712</v>
      </c>
      <c r="Z55">
        <v>2</v>
      </c>
      <c r="AA55" t="s">
        <v>58</v>
      </c>
    </row>
    <row r="56" spans="1:27" x14ac:dyDescent="0.25">
      <c r="A56" t="s">
        <v>1485</v>
      </c>
      <c r="B56" t="s">
        <v>1486</v>
      </c>
      <c r="C56" t="s">
        <v>1853</v>
      </c>
      <c r="D56" t="s">
        <v>1854</v>
      </c>
      <c r="E56" t="s">
        <v>593</v>
      </c>
      <c r="F56" t="s">
        <v>1855</v>
      </c>
      <c r="G56">
        <v>6536</v>
      </c>
      <c r="H56">
        <v>0</v>
      </c>
      <c r="I56" t="s">
        <v>1459</v>
      </c>
      <c r="J56">
        <v>0</v>
      </c>
      <c r="K56">
        <v>1</v>
      </c>
      <c r="L56" t="s">
        <v>1487</v>
      </c>
      <c r="M56" t="s">
        <v>1488</v>
      </c>
      <c r="N56" t="s">
        <v>1489</v>
      </c>
      <c r="O56" t="s">
        <v>1521</v>
      </c>
      <c r="P56" t="s">
        <v>1491</v>
      </c>
      <c r="Q56" t="s">
        <v>1709</v>
      </c>
      <c r="R56" t="s">
        <v>1492</v>
      </c>
      <c r="S56" t="s">
        <v>1493</v>
      </c>
      <c r="T56" t="s">
        <v>1494</v>
      </c>
      <c r="U56" t="s">
        <v>1495</v>
      </c>
      <c r="V56" t="s">
        <v>1710</v>
      </c>
      <c r="W56">
        <v>603</v>
      </c>
      <c r="X56" t="s">
        <v>1711</v>
      </c>
      <c r="Y56" t="s">
        <v>1712</v>
      </c>
      <c r="Z56">
        <v>2</v>
      </c>
      <c r="AA56" t="s">
        <v>58</v>
      </c>
    </row>
    <row r="57" spans="1:27" x14ac:dyDescent="0.25">
      <c r="A57" t="s">
        <v>1485</v>
      </c>
      <c r="B57" t="s">
        <v>1486</v>
      </c>
      <c r="C57" t="s">
        <v>1856</v>
      </c>
      <c r="D57" t="s">
        <v>1857</v>
      </c>
      <c r="E57" t="s">
        <v>593</v>
      </c>
      <c r="F57" t="s">
        <v>1858</v>
      </c>
      <c r="G57">
        <v>7274</v>
      </c>
      <c r="H57">
        <v>0</v>
      </c>
      <c r="I57" t="s">
        <v>1459</v>
      </c>
      <c r="J57">
        <v>0</v>
      </c>
      <c r="K57">
        <v>1</v>
      </c>
      <c r="L57" t="s">
        <v>1487</v>
      </c>
      <c r="M57" t="s">
        <v>1488</v>
      </c>
      <c r="N57" t="s">
        <v>1489</v>
      </c>
      <c r="O57" t="s">
        <v>1859</v>
      </c>
      <c r="P57" t="s">
        <v>1491</v>
      </c>
      <c r="Q57" t="s">
        <v>1709</v>
      </c>
      <c r="R57" t="s">
        <v>1492</v>
      </c>
      <c r="S57" t="s">
        <v>1493</v>
      </c>
      <c r="T57" t="s">
        <v>1494</v>
      </c>
      <c r="U57" t="s">
        <v>1495</v>
      </c>
      <c r="V57" t="s">
        <v>1710</v>
      </c>
      <c r="W57">
        <v>603</v>
      </c>
      <c r="X57" t="s">
        <v>1711</v>
      </c>
      <c r="Y57" t="s">
        <v>1712</v>
      </c>
      <c r="Z57">
        <v>2</v>
      </c>
      <c r="AA57" t="s">
        <v>58</v>
      </c>
    </row>
    <row r="58" spans="1:27" x14ac:dyDescent="0.25">
      <c r="A58" t="s">
        <v>1485</v>
      </c>
      <c r="B58" t="s">
        <v>1486</v>
      </c>
      <c r="C58" t="s">
        <v>1860</v>
      </c>
      <c r="D58" t="s">
        <v>1861</v>
      </c>
      <c r="E58" t="s">
        <v>593</v>
      </c>
      <c r="F58" t="s">
        <v>1862</v>
      </c>
      <c r="G58">
        <v>6425</v>
      </c>
      <c r="H58">
        <v>0</v>
      </c>
      <c r="I58" t="s">
        <v>1459</v>
      </c>
      <c r="J58">
        <v>0</v>
      </c>
      <c r="K58">
        <v>1</v>
      </c>
      <c r="L58" t="s">
        <v>1487</v>
      </c>
      <c r="M58" t="s">
        <v>1488</v>
      </c>
      <c r="N58" t="s">
        <v>1489</v>
      </c>
      <c r="O58" t="s">
        <v>1572</v>
      </c>
      <c r="P58" t="s">
        <v>1491</v>
      </c>
      <c r="Q58" t="s">
        <v>1709</v>
      </c>
      <c r="R58" t="s">
        <v>1492</v>
      </c>
      <c r="S58" t="s">
        <v>1493</v>
      </c>
      <c r="T58" t="s">
        <v>1494</v>
      </c>
      <c r="U58" t="s">
        <v>1495</v>
      </c>
      <c r="V58" t="s">
        <v>1710</v>
      </c>
      <c r="W58">
        <v>603</v>
      </c>
      <c r="X58" t="s">
        <v>1711</v>
      </c>
      <c r="Y58" t="s">
        <v>1712</v>
      </c>
      <c r="Z58">
        <v>2</v>
      </c>
      <c r="AA58" t="s">
        <v>58</v>
      </c>
    </row>
    <row r="59" spans="1:27" x14ac:dyDescent="0.25">
      <c r="A59" t="s">
        <v>1485</v>
      </c>
      <c r="B59" t="s">
        <v>1486</v>
      </c>
      <c r="C59" t="s">
        <v>1863</v>
      </c>
      <c r="D59" t="s">
        <v>1864</v>
      </c>
      <c r="E59" t="s">
        <v>593</v>
      </c>
      <c r="F59" t="s">
        <v>1865</v>
      </c>
      <c r="G59">
        <v>7075</v>
      </c>
      <c r="H59">
        <v>0</v>
      </c>
      <c r="I59" t="s">
        <v>1459</v>
      </c>
      <c r="J59">
        <v>0</v>
      </c>
      <c r="K59">
        <v>1</v>
      </c>
      <c r="L59" t="s">
        <v>1487</v>
      </c>
      <c r="M59" t="s">
        <v>1488</v>
      </c>
      <c r="N59" t="s">
        <v>1489</v>
      </c>
      <c r="O59" t="s">
        <v>1550</v>
      </c>
      <c r="P59" t="s">
        <v>1491</v>
      </c>
      <c r="Q59" t="s">
        <v>1709</v>
      </c>
      <c r="R59" t="s">
        <v>1492</v>
      </c>
      <c r="S59" t="s">
        <v>1493</v>
      </c>
      <c r="T59" t="s">
        <v>1494</v>
      </c>
      <c r="U59" t="s">
        <v>1495</v>
      </c>
      <c r="V59" t="s">
        <v>1710</v>
      </c>
      <c r="W59">
        <v>603</v>
      </c>
      <c r="X59" t="s">
        <v>1711</v>
      </c>
      <c r="Y59" t="s">
        <v>1712</v>
      </c>
      <c r="Z59">
        <v>2</v>
      </c>
      <c r="AA59" t="s">
        <v>58</v>
      </c>
    </row>
    <row r="60" spans="1:27" x14ac:dyDescent="0.25">
      <c r="A60" t="s">
        <v>1485</v>
      </c>
      <c r="B60" t="s">
        <v>1486</v>
      </c>
      <c r="C60" t="s">
        <v>1866</v>
      </c>
      <c r="D60" t="s">
        <v>1867</v>
      </c>
      <c r="E60" t="s">
        <v>593</v>
      </c>
      <c r="F60" t="s">
        <v>1868</v>
      </c>
      <c r="G60">
        <v>6206</v>
      </c>
      <c r="H60">
        <v>0</v>
      </c>
      <c r="I60" t="s">
        <v>1459</v>
      </c>
      <c r="J60">
        <v>0</v>
      </c>
      <c r="K60">
        <v>1</v>
      </c>
      <c r="L60" t="s">
        <v>1487</v>
      </c>
      <c r="M60" t="s">
        <v>1488</v>
      </c>
      <c r="N60" t="s">
        <v>1489</v>
      </c>
      <c r="O60" t="s">
        <v>1568</v>
      </c>
      <c r="P60" t="s">
        <v>1491</v>
      </c>
      <c r="Q60" t="s">
        <v>1709</v>
      </c>
      <c r="R60" t="s">
        <v>1492</v>
      </c>
      <c r="S60" t="s">
        <v>1493</v>
      </c>
      <c r="T60" t="s">
        <v>1494</v>
      </c>
      <c r="U60" t="s">
        <v>1495</v>
      </c>
      <c r="V60" t="s">
        <v>1710</v>
      </c>
      <c r="W60">
        <v>603</v>
      </c>
      <c r="X60" t="s">
        <v>1711</v>
      </c>
      <c r="Y60" t="s">
        <v>1712</v>
      </c>
      <c r="Z60">
        <v>2</v>
      </c>
      <c r="AA60" t="s">
        <v>58</v>
      </c>
    </row>
    <row r="61" spans="1:27" x14ac:dyDescent="0.25">
      <c r="A61" t="s">
        <v>1485</v>
      </c>
      <c r="B61" t="s">
        <v>1486</v>
      </c>
      <c r="C61" t="s">
        <v>1869</v>
      </c>
      <c r="D61" t="s">
        <v>1870</v>
      </c>
      <c r="E61" t="s">
        <v>593</v>
      </c>
      <c r="F61" t="s">
        <v>1871</v>
      </c>
      <c r="G61">
        <v>9562</v>
      </c>
      <c r="H61">
        <v>0</v>
      </c>
      <c r="I61" t="s">
        <v>1459</v>
      </c>
      <c r="J61">
        <v>0</v>
      </c>
      <c r="K61">
        <v>1</v>
      </c>
      <c r="L61" t="s">
        <v>1487</v>
      </c>
      <c r="M61" t="s">
        <v>1488</v>
      </c>
      <c r="N61" t="s">
        <v>1489</v>
      </c>
      <c r="O61" t="s">
        <v>1528</v>
      </c>
      <c r="P61" t="s">
        <v>1491</v>
      </c>
      <c r="Q61" t="s">
        <v>1709</v>
      </c>
      <c r="R61" t="s">
        <v>1492</v>
      </c>
      <c r="S61" t="s">
        <v>1493</v>
      </c>
      <c r="T61" t="s">
        <v>1494</v>
      </c>
      <c r="U61" t="s">
        <v>1495</v>
      </c>
      <c r="V61" t="s">
        <v>1710</v>
      </c>
      <c r="W61">
        <v>603</v>
      </c>
      <c r="X61" t="s">
        <v>1711</v>
      </c>
      <c r="Y61" t="s">
        <v>1712</v>
      </c>
      <c r="Z61">
        <v>2</v>
      </c>
      <c r="AA61" t="s">
        <v>58</v>
      </c>
    </row>
    <row r="62" spans="1:27" x14ac:dyDescent="0.25">
      <c r="A62" t="s">
        <v>1485</v>
      </c>
      <c r="B62" t="s">
        <v>1486</v>
      </c>
      <c r="C62" t="s">
        <v>1872</v>
      </c>
      <c r="D62" t="s">
        <v>1873</v>
      </c>
      <c r="E62" t="s">
        <v>593</v>
      </c>
      <c r="F62" t="s">
        <v>1874</v>
      </c>
      <c r="G62">
        <v>7089</v>
      </c>
      <c r="H62">
        <v>0</v>
      </c>
      <c r="I62" t="s">
        <v>1459</v>
      </c>
      <c r="J62">
        <v>0</v>
      </c>
      <c r="K62">
        <v>1</v>
      </c>
      <c r="L62" t="s">
        <v>1487</v>
      </c>
      <c r="M62" t="s">
        <v>1488</v>
      </c>
      <c r="N62" t="s">
        <v>1489</v>
      </c>
      <c r="O62" t="s">
        <v>1533</v>
      </c>
      <c r="P62" t="s">
        <v>1491</v>
      </c>
      <c r="Q62" t="s">
        <v>1709</v>
      </c>
      <c r="R62" t="s">
        <v>1492</v>
      </c>
      <c r="S62" t="s">
        <v>1493</v>
      </c>
      <c r="T62" t="s">
        <v>1494</v>
      </c>
      <c r="U62" t="s">
        <v>1495</v>
      </c>
      <c r="V62" t="s">
        <v>1710</v>
      </c>
      <c r="W62">
        <v>603</v>
      </c>
      <c r="X62" t="s">
        <v>1711</v>
      </c>
      <c r="Y62" t="s">
        <v>1712</v>
      </c>
      <c r="Z62">
        <v>2</v>
      </c>
      <c r="AA62" t="s">
        <v>58</v>
      </c>
    </row>
    <row r="63" spans="1:27" x14ac:dyDescent="0.25">
      <c r="A63" t="s">
        <v>1485</v>
      </c>
      <c r="B63" t="s">
        <v>1486</v>
      </c>
      <c r="C63" t="s">
        <v>1875</v>
      </c>
      <c r="D63" t="s">
        <v>1876</v>
      </c>
      <c r="E63" t="s">
        <v>593</v>
      </c>
      <c r="F63" t="s">
        <v>1877</v>
      </c>
      <c r="G63">
        <v>9173</v>
      </c>
      <c r="H63">
        <v>0</v>
      </c>
      <c r="I63" t="s">
        <v>1459</v>
      </c>
      <c r="J63">
        <v>0</v>
      </c>
      <c r="K63">
        <v>1</v>
      </c>
      <c r="L63" t="s">
        <v>1487</v>
      </c>
      <c r="M63" t="s">
        <v>1488</v>
      </c>
      <c r="N63" t="s">
        <v>1489</v>
      </c>
      <c r="O63" t="s">
        <v>1594</v>
      </c>
      <c r="P63" t="s">
        <v>1491</v>
      </c>
      <c r="Q63" t="s">
        <v>1709</v>
      </c>
      <c r="R63" t="s">
        <v>1492</v>
      </c>
      <c r="S63" t="s">
        <v>1493</v>
      </c>
      <c r="T63" t="s">
        <v>1494</v>
      </c>
      <c r="U63" t="s">
        <v>1495</v>
      </c>
      <c r="V63" t="s">
        <v>1710</v>
      </c>
      <c r="W63">
        <v>603</v>
      </c>
      <c r="X63" t="s">
        <v>1711</v>
      </c>
      <c r="Y63" t="s">
        <v>1712</v>
      </c>
      <c r="Z63">
        <v>2</v>
      </c>
      <c r="AA63" t="s">
        <v>58</v>
      </c>
    </row>
    <row r="64" spans="1:27" x14ac:dyDescent="0.25">
      <c r="A64" t="s">
        <v>1485</v>
      </c>
      <c r="B64" t="s">
        <v>1486</v>
      </c>
      <c r="C64" t="s">
        <v>1878</v>
      </c>
      <c r="D64" t="s">
        <v>1879</v>
      </c>
      <c r="E64" t="s">
        <v>593</v>
      </c>
      <c r="F64" t="s">
        <v>1880</v>
      </c>
      <c r="G64">
        <v>5566</v>
      </c>
      <c r="H64">
        <v>0</v>
      </c>
      <c r="I64" t="s">
        <v>1459</v>
      </c>
      <c r="J64">
        <v>0</v>
      </c>
      <c r="K64">
        <v>1</v>
      </c>
      <c r="L64" t="s">
        <v>1487</v>
      </c>
      <c r="M64" t="s">
        <v>1488</v>
      </c>
      <c r="N64" t="s">
        <v>1489</v>
      </c>
      <c r="O64" t="s">
        <v>1601</v>
      </c>
      <c r="P64" t="s">
        <v>1491</v>
      </c>
      <c r="Q64" t="s">
        <v>1709</v>
      </c>
      <c r="R64" t="s">
        <v>1492</v>
      </c>
      <c r="S64" t="s">
        <v>1493</v>
      </c>
      <c r="T64" t="s">
        <v>1494</v>
      </c>
      <c r="U64" t="s">
        <v>1495</v>
      </c>
      <c r="V64" t="s">
        <v>1710</v>
      </c>
      <c r="W64">
        <v>603</v>
      </c>
      <c r="X64" t="s">
        <v>1711</v>
      </c>
      <c r="Y64" t="s">
        <v>1712</v>
      </c>
      <c r="Z64">
        <v>2</v>
      </c>
      <c r="AA64" t="s">
        <v>58</v>
      </c>
    </row>
    <row r="65" spans="1:27" x14ac:dyDescent="0.25">
      <c r="A65" t="s">
        <v>1485</v>
      </c>
      <c r="B65" t="s">
        <v>1486</v>
      </c>
      <c r="C65" t="s">
        <v>1881</v>
      </c>
      <c r="D65" t="s">
        <v>1882</v>
      </c>
      <c r="E65" t="s">
        <v>593</v>
      </c>
      <c r="F65" t="s">
        <v>1883</v>
      </c>
      <c r="G65">
        <v>5356</v>
      </c>
      <c r="H65">
        <v>0</v>
      </c>
      <c r="I65" t="s">
        <v>1459</v>
      </c>
      <c r="J65">
        <v>0</v>
      </c>
      <c r="K65">
        <v>1</v>
      </c>
      <c r="L65" t="s">
        <v>1487</v>
      </c>
      <c r="M65" t="s">
        <v>1488</v>
      </c>
      <c r="N65" t="s">
        <v>1489</v>
      </c>
      <c r="O65" t="s">
        <v>1616</v>
      </c>
      <c r="P65" t="s">
        <v>1491</v>
      </c>
      <c r="Q65" t="s">
        <v>1709</v>
      </c>
      <c r="R65" t="s">
        <v>1492</v>
      </c>
      <c r="S65" t="s">
        <v>1493</v>
      </c>
      <c r="T65" t="s">
        <v>1494</v>
      </c>
      <c r="U65" t="s">
        <v>1495</v>
      </c>
      <c r="V65" t="s">
        <v>1710</v>
      </c>
      <c r="W65">
        <v>603</v>
      </c>
      <c r="X65" t="s">
        <v>1711</v>
      </c>
      <c r="Y65" t="s">
        <v>1712</v>
      </c>
      <c r="Z65">
        <v>2</v>
      </c>
      <c r="AA65" t="s">
        <v>58</v>
      </c>
    </row>
    <row r="66" spans="1:27" x14ac:dyDescent="0.25">
      <c r="A66" t="s">
        <v>1485</v>
      </c>
      <c r="B66" t="s">
        <v>1486</v>
      </c>
      <c r="C66" t="s">
        <v>1884</v>
      </c>
      <c r="D66" t="s">
        <v>1885</v>
      </c>
      <c r="E66" t="s">
        <v>593</v>
      </c>
      <c r="F66" t="s">
        <v>1886</v>
      </c>
      <c r="G66">
        <v>5911</v>
      </c>
      <c r="H66">
        <v>0</v>
      </c>
      <c r="I66" t="s">
        <v>1459</v>
      </c>
      <c r="J66">
        <v>0</v>
      </c>
      <c r="K66">
        <v>1</v>
      </c>
      <c r="L66" t="s">
        <v>1487</v>
      </c>
      <c r="M66" t="s">
        <v>1488</v>
      </c>
      <c r="N66" t="s">
        <v>1489</v>
      </c>
      <c r="O66" t="s">
        <v>1580</v>
      </c>
      <c r="P66" t="s">
        <v>1491</v>
      </c>
      <c r="Q66" t="s">
        <v>1709</v>
      </c>
      <c r="R66" t="s">
        <v>1492</v>
      </c>
      <c r="S66" t="s">
        <v>1493</v>
      </c>
      <c r="T66" t="s">
        <v>1494</v>
      </c>
      <c r="U66" t="s">
        <v>1495</v>
      </c>
      <c r="V66" t="s">
        <v>1710</v>
      </c>
      <c r="W66">
        <v>603</v>
      </c>
      <c r="X66" t="s">
        <v>1711</v>
      </c>
      <c r="Y66" t="s">
        <v>1712</v>
      </c>
      <c r="Z66">
        <v>2</v>
      </c>
      <c r="AA66" t="s">
        <v>58</v>
      </c>
    </row>
    <row r="67" spans="1:27" x14ac:dyDescent="0.25">
      <c r="A67" t="s">
        <v>1485</v>
      </c>
      <c r="B67" t="s">
        <v>1486</v>
      </c>
      <c r="C67" t="s">
        <v>1887</v>
      </c>
      <c r="D67" t="s">
        <v>1888</v>
      </c>
      <c r="E67" t="s">
        <v>593</v>
      </c>
      <c r="F67" t="s">
        <v>1889</v>
      </c>
      <c r="G67">
        <v>5465</v>
      </c>
      <c r="H67">
        <v>0</v>
      </c>
      <c r="I67" t="s">
        <v>1459</v>
      </c>
      <c r="J67">
        <v>0</v>
      </c>
      <c r="K67">
        <v>1</v>
      </c>
      <c r="L67" t="s">
        <v>1487</v>
      </c>
      <c r="M67" t="s">
        <v>1488</v>
      </c>
      <c r="N67" t="s">
        <v>1489</v>
      </c>
      <c r="O67" t="s">
        <v>1547</v>
      </c>
      <c r="P67" t="s">
        <v>1491</v>
      </c>
      <c r="Q67" t="s">
        <v>1709</v>
      </c>
      <c r="R67" t="s">
        <v>1492</v>
      </c>
      <c r="S67" t="s">
        <v>1493</v>
      </c>
      <c r="T67" t="s">
        <v>1494</v>
      </c>
      <c r="U67" t="s">
        <v>1495</v>
      </c>
      <c r="V67" t="s">
        <v>1710</v>
      </c>
      <c r="W67">
        <v>603</v>
      </c>
      <c r="X67" t="s">
        <v>1711</v>
      </c>
      <c r="Y67" t="s">
        <v>1712</v>
      </c>
      <c r="Z67">
        <v>2</v>
      </c>
      <c r="AA67" t="s">
        <v>58</v>
      </c>
    </row>
    <row r="68" spans="1:27" x14ac:dyDescent="0.25">
      <c r="A68" t="s">
        <v>1485</v>
      </c>
      <c r="B68" t="s">
        <v>1486</v>
      </c>
      <c r="C68" t="s">
        <v>1890</v>
      </c>
      <c r="D68" t="s">
        <v>1891</v>
      </c>
      <c r="E68" t="s">
        <v>593</v>
      </c>
      <c r="F68" t="s">
        <v>1892</v>
      </c>
      <c r="G68">
        <v>6840</v>
      </c>
      <c r="H68">
        <v>0</v>
      </c>
      <c r="I68" t="s">
        <v>1459</v>
      </c>
      <c r="J68">
        <v>0</v>
      </c>
      <c r="K68">
        <v>1</v>
      </c>
      <c r="L68" t="s">
        <v>1487</v>
      </c>
      <c r="M68" t="s">
        <v>1488</v>
      </c>
      <c r="N68" t="s">
        <v>1489</v>
      </c>
      <c r="O68" t="s">
        <v>1893</v>
      </c>
      <c r="P68" t="s">
        <v>1491</v>
      </c>
      <c r="Q68" t="s">
        <v>1709</v>
      </c>
      <c r="R68" t="s">
        <v>1492</v>
      </c>
      <c r="S68" t="s">
        <v>1493</v>
      </c>
      <c r="T68" t="s">
        <v>1494</v>
      </c>
      <c r="U68" t="s">
        <v>1495</v>
      </c>
      <c r="V68" t="s">
        <v>1710</v>
      </c>
      <c r="W68">
        <v>603</v>
      </c>
      <c r="X68" t="s">
        <v>1711</v>
      </c>
      <c r="Y68" t="s">
        <v>1712</v>
      </c>
      <c r="Z68">
        <v>2</v>
      </c>
      <c r="AA68" t="s">
        <v>58</v>
      </c>
    </row>
    <row r="69" spans="1:27" x14ac:dyDescent="0.25">
      <c r="A69" t="s">
        <v>1485</v>
      </c>
      <c r="B69" t="s">
        <v>1486</v>
      </c>
      <c r="C69" t="s">
        <v>1894</v>
      </c>
      <c r="D69" t="s">
        <v>1895</v>
      </c>
      <c r="E69" t="s">
        <v>593</v>
      </c>
      <c r="F69" t="s">
        <v>1896</v>
      </c>
      <c r="G69">
        <v>6624</v>
      </c>
      <c r="H69">
        <v>0</v>
      </c>
      <c r="I69" t="s">
        <v>1459</v>
      </c>
      <c r="J69">
        <v>0</v>
      </c>
      <c r="K69">
        <v>1</v>
      </c>
      <c r="L69" t="s">
        <v>1487</v>
      </c>
      <c r="M69" t="s">
        <v>1488</v>
      </c>
      <c r="N69" t="s">
        <v>1489</v>
      </c>
      <c r="O69" t="s">
        <v>1897</v>
      </c>
      <c r="P69" t="s">
        <v>1491</v>
      </c>
      <c r="Q69" t="s">
        <v>1709</v>
      </c>
      <c r="R69" t="s">
        <v>1492</v>
      </c>
      <c r="S69" t="s">
        <v>1493</v>
      </c>
      <c r="T69" t="s">
        <v>1494</v>
      </c>
      <c r="U69" t="s">
        <v>1495</v>
      </c>
      <c r="V69" t="s">
        <v>1710</v>
      </c>
      <c r="W69">
        <v>603</v>
      </c>
      <c r="X69" t="s">
        <v>1711</v>
      </c>
      <c r="Y69" t="s">
        <v>1712</v>
      </c>
      <c r="Z69">
        <v>2</v>
      </c>
      <c r="AA69" t="s">
        <v>58</v>
      </c>
    </row>
    <row r="70" spans="1:27" x14ac:dyDescent="0.25">
      <c r="A70" t="s">
        <v>1485</v>
      </c>
      <c r="B70" t="s">
        <v>1486</v>
      </c>
      <c r="C70" t="s">
        <v>1898</v>
      </c>
      <c r="D70" t="s">
        <v>1899</v>
      </c>
      <c r="E70" t="s">
        <v>593</v>
      </c>
      <c r="F70" t="s">
        <v>1900</v>
      </c>
      <c r="G70">
        <v>7721</v>
      </c>
      <c r="H70">
        <v>0</v>
      </c>
      <c r="I70" t="s">
        <v>1459</v>
      </c>
      <c r="J70">
        <v>0</v>
      </c>
      <c r="K70">
        <v>1</v>
      </c>
      <c r="L70" t="s">
        <v>1487</v>
      </c>
      <c r="M70" t="s">
        <v>1488</v>
      </c>
      <c r="N70" t="s">
        <v>1489</v>
      </c>
      <c r="O70" t="s">
        <v>1630</v>
      </c>
      <c r="P70" t="s">
        <v>1491</v>
      </c>
      <c r="Q70" t="s">
        <v>1709</v>
      </c>
      <c r="R70" t="s">
        <v>1492</v>
      </c>
      <c r="S70" t="s">
        <v>1493</v>
      </c>
      <c r="T70" t="s">
        <v>1494</v>
      </c>
      <c r="U70" t="s">
        <v>1495</v>
      </c>
      <c r="V70" t="s">
        <v>1710</v>
      </c>
      <c r="W70">
        <v>603</v>
      </c>
      <c r="X70" t="s">
        <v>1711</v>
      </c>
      <c r="Y70" t="s">
        <v>1712</v>
      </c>
      <c r="Z70">
        <v>2</v>
      </c>
      <c r="AA70" t="s">
        <v>58</v>
      </c>
    </row>
    <row r="71" spans="1:27" x14ac:dyDescent="0.25">
      <c r="A71" t="s">
        <v>1485</v>
      </c>
      <c r="B71" t="s">
        <v>1486</v>
      </c>
      <c r="C71" t="s">
        <v>1901</v>
      </c>
      <c r="D71" t="s">
        <v>1902</v>
      </c>
      <c r="E71" t="s">
        <v>593</v>
      </c>
      <c r="F71" t="s">
        <v>1903</v>
      </c>
      <c r="G71">
        <v>9315</v>
      </c>
      <c r="H71">
        <v>0</v>
      </c>
      <c r="I71" t="s">
        <v>1459</v>
      </c>
      <c r="J71">
        <v>0</v>
      </c>
      <c r="K71">
        <v>1</v>
      </c>
      <c r="L71" t="s">
        <v>1487</v>
      </c>
      <c r="M71" t="s">
        <v>1488</v>
      </c>
      <c r="N71" t="s">
        <v>1489</v>
      </c>
      <c r="O71" t="s">
        <v>1904</v>
      </c>
      <c r="P71" t="s">
        <v>1491</v>
      </c>
      <c r="Q71" t="s">
        <v>1709</v>
      </c>
      <c r="R71" t="s">
        <v>1492</v>
      </c>
      <c r="S71" t="s">
        <v>1493</v>
      </c>
      <c r="T71" t="s">
        <v>1494</v>
      </c>
      <c r="U71" t="s">
        <v>1495</v>
      </c>
      <c r="V71" t="s">
        <v>1710</v>
      </c>
      <c r="W71">
        <v>603</v>
      </c>
      <c r="X71" t="s">
        <v>1711</v>
      </c>
      <c r="Y71" t="s">
        <v>1712</v>
      </c>
      <c r="Z71">
        <v>2</v>
      </c>
      <c r="AA71" t="s">
        <v>58</v>
      </c>
    </row>
    <row r="72" spans="1:27" x14ac:dyDescent="0.25">
      <c r="A72" t="s">
        <v>1485</v>
      </c>
      <c r="B72" t="s">
        <v>1486</v>
      </c>
      <c r="C72" t="s">
        <v>1905</v>
      </c>
      <c r="D72" t="s">
        <v>1906</v>
      </c>
      <c r="E72" t="s">
        <v>593</v>
      </c>
      <c r="F72" t="s">
        <v>1907</v>
      </c>
      <c r="G72">
        <v>8030</v>
      </c>
      <c r="H72">
        <v>0</v>
      </c>
      <c r="I72" t="s">
        <v>1459</v>
      </c>
      <c r="J72">
        <v>0</v>
      </c>
      <c r="K72">
        <v>1</v>
      </c>
      <c r="L72" t="s">
        <v>1487</v>
      </c>
      <c r="M72" t="s">
        <v>1488</v>
      </c>
      <c r="N72" t="s">
        <v>1489</v>
      </c>
      <c r="O72" t="s">
        <v>1600</v>
      </c>
      <c r="P72" t="s">
        <v>1491</v>
      </c>
      <c r="Q72" t="s">
        <v>1709</v>
      </c>
      <c r="R72" t="s">
        <v>1492</v>
      </c>
      <c r="S72" t="s">
        <v>1493</v>
      </c>
      <c r="T72" t="s">
        <v>1494</v>
      </c>
      <c r="U72" t="s">
        <v>1495</v>
      </c>
      <c r="V72" t="s">
        <v>1710</v>
      </c>
      <c r="W72">
        <v>603</v>
      </c>
      <c r="X72" t="s">
        <v>1711</v>
      </c>
      <c r="Y72" t="s">
        <v>1712</v>
      </c>
      <c r="Z72">
        <v>2</v>
      </c>
      <c r="AA72" t="s">
        <v>58</v>
      </c>
    </row>
    <row r="73" spans="1:27" x14ac:dyDescent="0.25">
      <c r="A73" t="s">
        <v>1485</v>
      </c>
      <c r="B73" t="s">
        <v>1486</v>
      </c>
      <c r="C73" t="s">
        <v>1908</v>
      </c>
      <c r="D73" t="s">
        <v>1909</v>
      </c>
      <c r="E73" t="s">
        <v>593</v>
      </c>
      <c r="F73" t="s">
        <v>1910</v>
      </c>
      <c r="G73">
        <v>8130</v>
      </c>
      <c r="H73">
        <v>0</v>
      </c>
      <c r="I73" t="s">
        <v>1459</v>
      </c>
      <c r="J73">
        <v>0</v>
      </c>
      <c r="K73">
        <v>1</v>
      </c>
      <c r="L73" t="s">
        <v>1487</v>
      </c>
      <c r="M73" t="s">
        <v>1488</v>
      </c>
      <c r="N73" t="s">
        <v>1489</v>
      </c>
      <c r="O73" t="s">
        <v>1911</v>
      </c>
      <c r="P73" t="s">
        <v>1491</v>
      </c>
      <c r="Q73" t="s">
        <v>1709</v>
      </c>
      <c r="R73" t="s">
        <v>1492</v>
      </c>
      <c r="S73" t="s">
        <v>1493</v>
      </c>
      <c r="T73" t="s">
        <v>1494</v>
      </c>
      <c r="U73" t="s">
        <v>1495</v>
      </c>
      <c r="V73" t="s">
        <v>1710</v>
      </c>
      <c r="W73">
        <v>603</v>
      </c>
      <c r="X73" t="s">
        <v>1711</v>
      </c>
      <c r="Y73" t="s">
        <v>1712</v>
      </c>
      <c r="Z73">
        <v>2</v>
      </c>
      <c r="AA73" t="s">
        <v>58</v>
      </c>
    </row>
    <row r="74" spans="1:27" x14ac:dyDescent="0.25">
      <c r="A74" t="s">
        <v>1485</v>
      </c>
      <c r="B74" t="s">
        <v>1486</v>
      </c>
      <c r="C74" t="s">
        <v>1912</v>
      </c>
      <c r="D74" t="s">
        <v>1913</v>
      </c>
      <c r="E74" t="s">
        <v>593</v>
      </c>
      <c r="F74" t="s">
        <v>1914</v>
      </c>
      <c r="G74">
        <v>6683</v>
      </c>
      <c r="H74">
        <v>0</v>
      </c>
      <c r="I74" t="s">
        <v>1459</v>
      </c>
      <c r="J74">
        <v>0</v>
      </c>
      <c r="K74">
        <v>1</v>
      </c>
      <c r="L74" t="s">
        <v>1487</v>
      </c>
      <c r="M74" t="s">
        <v>1488</v>
      </c>
      <c r="N74" t="s">
        <v>1489</v>
      </c>
      <c r="O74" t="s">
        <v>1511</v>
      </c>
      <c r="P74" t="s">
        <v>1491</v>
      </c>
      <c r="Q74" t="s">
        <v>1709</v>
      </c>
      <c r="R74" t="s">
        <v>1492</v>
      </c>
      <c r="S74" t="s">
        <v>1493</v>
      </c>
      <c r="T74" t="s">
        <v>1494</v>
      </c>
      <c r="U74" t="s">
        <v>1495</v>
      </c>
      <c r="V74" t="s">
        <v>1710</v>
      </c>
      <c r="W74">
        <v>603</v>
      </c>
      <c r="X74" t="s">
        <v>1711</v>
      </c>
      <c r="Y74" t="s">
        <v>1712</v>
      </c>
      <c r="Z74">
        <v>2</v>
      </c>
      <c r="AA74" t="s">
        <v>58</v>
      </c>
    </row>
    <row r="75" spans="1:27" x14ac:dyDescent="0.25">
      <c r="A75" t="s">
        <v>1485</v>
      </c>
      <c r="B75" t="s">
        <v>1486</v>
      </c>
      <c r="C75" t="s">
        <v>1915</v>
      </c>
      <c r="D75" t="s">
        <v>1916</v>
      </c>
      <c r="E75" t="s">
        <v>593</v>
      </c>
      <c r="F75" t="s">
        <v>1917</v>
      </c>
      <c r="G75">
        <v>6645</v>
      </c>
      <c r="H75">
        <v>0</v>
      </c>
      <c r="I75" t="s">
        <v>1459</v>
      </c>
      <c r="J75">
        <v>0</v>
      </c>
      <c r="K75">
        <v>1</v>
      </c>
      <c r="L75" t="s">
        <v>1487</v>
      </c>
      <c r="M75" t="s">
        <v>1488</v>
      </c>
      <c r="N75" t="s">
        <v>1489</v>
      </c>
      <c r="O75" t="s">
        <v>1558</v>
      </c>
      <c r="P75" t="s">
        <v>1491</v>
      </c>
      <c r="Q75" t="s">
        <v>1709</v>
      </c>
      <c r="R75" t="s">
        <v>1492</v>
      </c>
      <c r="S75" t="s">
        <v>1493</v>
      </c>
      <c r="T75" t="s">
        <v>1494</v>
      </c>
      <c r="U75" t="s">
        <v>1495</v>
      </c>
      <c r="V75" t="s">
        <v>1710</v>
      </c>
      <c r="W75">
        <v>603</v>
      </c>
      <c r="X75" t="s">
        <v>1711</v>
      </c>
      <c r="Y75" t="s">
        <v>1712</v>
      </c>
      <c r="Z75">
        <v>2</v>
      </c>
      <c r="AA75" t="s">
        <v>58</v>
      </c>
    </row>
    <row r="76" spans="1:27" x14ac:dyDescent="0.25">
      <c r="A76" t="s">
        <v>1485</v>
      </c>
      <c r="B76" t="s">
        <v>1486</v>
      </c>
      <c r="C76" t="s">
        <v>1918</v>
      </c>
      <c r="D76" t="s">
        <v>1919</v>
      </c>
      <c r="E76" t="s">
        <v>593</v>
      </c>
      <c r="F76" t="s">
        <v>1920</v>
      </c>
      <c r="G76">
        <v>6902</v>
      </c>
      <c r="H76">
        <v>0</v>
      </c>
      <c r="I76" t="s">
        <v>1459</v>
      </c>
      <c r="J76">
        <v>0</v>
      </c>
      <c r="K76">
        <v>1</v>
      </c>
      <c r="L76" t="s">
        <v>1487</v>
      </c>
      <c r="M76" t="s">
        <v>1488</v>
      </c>
      <c r="N76" t="s">
        <v>1489</v>
      </c>
      <c r="O76" t="s">
        <v>1524</v>
      </c>
      <c r="P76" t="s">
        <v>1491</v>
      </c>
      <c r="Q76" t="s">
        <v>1709</v>
      </c>
      <c r="R76" t="s">
        <v>1492</v>
      </c>
      <c r="S76" t="s">
        <v>1493</v>
      </c>
      <c r="T76" t="s">
        <v>1494</v>
      </c>
      <c r="U76" t="s">
        <v>1495</v>
      </c>
      <c r="V76" t="s">
        <v>1710</v>
      </c>
      <c r="W76">
        <v>603</v>
      </c>
      <c r="X76" t="s">
        <v>1711</v>
      </c>
      <c r="Y76" t="s">
        <v>1712</v>
      </c>
      <c r="Z76">
        <v>2</v>
      </c>
      <c r="AA76" t="s">
        <v>58</v>
      </c>
    </row>
    <row r="77" spans="1:27" x14ac:dyDescent="0.25">
      <c r="A77" t="s">
        <v>1485</v>
      </c>
      <c r="B77" t="s">
        <v>1486</v>
      </c>
      <c r="C77" t="s">
        <v>1921</v>
      </c>
      <c r="D77" t="s">
        <v>1922</v>
      </c>
      <c r="E77" t="s">
        <v>593</v>
      </c>
      <c r="F77" t="s">
        <v>1923</v>
      </c>
      <c r="G77">
        <v>5000</v>
      </c>
      <c r="H77">
        <v>0</v>
      </c>
      <c r="I77" t="s">
        <v>1459</v>
      </c>
      <c r="J77">
        <v>0</v>
      </c>
      <c r="K77">
        <v>1</v>
      </c>
      <c r="L77" t="s">
        <v>1487</v>
      </c>
      <c r="M77" t="s">
        <v>1488</v>
      </c>
      <c r="N77" t="s">
        <v>1489</v>
      </c>
      <c r="O77" t="s">
        <v>1924</v>
      </c>
      <c r="P77" t="s">
        <v>1491</v>
      </c>
      <c r="Q77" t="s">
        <v>1709</v>
      </c>
      <c r="R77" t="s">
        <v>1492</v>
      </c>
      <c r="S77" t="s">
        <v>1493</v>
      </c>
      <c r="T77" t="s">
        <v>1494</v>
      </c>
      <c r="U77" t="s">
        <v>1495</v>
      </c>
      <c r="V77" t="s">
        <v>1710</v>
      </c>
      <c r="W77">
        <v>603</v>
      </c>
      <c r="X77" t="s">
        <v>1711</v>
      </c>
      <c r="Y77" t="s">
        <v>1712</v>
      </c>
      <c r="Z77">
        <v>2</v>
      </c>
      <c r="AA77" t="s">
        <v>58</v>
      </c>
    </row>
    <row r="78" spans="1:27" x14ac:dyDescent="0.25">
      <c r="A78" t="s">
        <v>1485</v>
      </c>
      <c r="B78" t="s">
        <v>1486</v>
      </c>
      <c r="C78" t="s">
        <v>1925</v>
      </c>
      <c r="D78" t="s">
        <v>1926</v>
      </c>
      <c r="E78" t="s">
        <v>593</v>
      </c>
      <c r="F78" t="s">
        <v>1927</v>
      </c>
      <c r="G78">
        <v>6115</v>
      </c>
      <c r="H78">
        <v>0</v>
      </c>
      <c r="I78" t="s">
        <v>1459</v>
      </c>
      <c r="J78">
        <v>0</v>
      </c>
      <c r="K78">
        <v>1</v>
      </c>
      <c r="L78" t="s">
        <v>1487</v>
      </c>
      <c r="M78" t="s">
        <v>1488</v>
      </c>
      <c r="N78" t="s">
        <v>1489</v>
      </c>
      <c r="O78" t="s">
        <v>1622</v>
      </c>
      <c r="P78" t="s">
        <v>1491</v>
      </c>
      <c r="Q78" t="s">
        <v>1709</v>
      </c>
      <c r="R78" t="s">
        <v>1492</v>
      </c>
      <c r="S78" t="s">
        <v>1493</v>
      </c>
      <c r="T78" t="s">
        <v>1494</v>
      </c>
      <c r="U78" t="s">
        <v>1495</v>
      </c>
      <c r="V78" t="s">
        <v>1710</v>
      </c>
      <c r="W78">
        <v>603</v>
      </c>
      <c r="X78" t="s">
        <v>1711</v>
      </c>
      <c r="Y78" t="s">
        <v>1712</v>
      </c>
      <c r="Z78">
        <v>2</v>
      </c>
      <c r="AA78" t="s">
        <v>58</v>
      </c>
    </row>
    <row r="79" spans="1:27" x14ac:dyDescent="0.25">
      <c r="A79" t="s">
        <v>1485</v>
      </c>
      <c r="B79" t="s">
        <v>1486</v>
      </c>
      <c r="C79" t="s">
        <v>1928</v>
      </c>
      <c r="D79" t="s">
        <v>1929</v>
      </c>
      <c r="E79" t="s">
        <v>593</v>
      </c>
      <c r="F79" t="s">
        <v>1930</v>
      </c>
      <c r="G79">
        <v>5503</v>
      </c>
      <c r="H79">
        <v>0</v>
      </c>
      <c r="I79" t="s">
        <v>1459</v>
      </c>
      <c r="J79">
        <v>0</v>
      </c>
      <c r="K79">
        <v>1</v>
      </c>
      <c r="L79" t="s">
        <v>1487</v>
      </c>
      <c r="M79" t="s">
        <v>1488</v>
      </c>
      <c r="N79" t="s">
        <v>1489</v>
      </c>
      <c r="O79" t="s">
        <v>1620</v>
      </c>
      <c r="P79" t="s">
        <v>1491</v>
      </c>
      <c r="Q79" t="s">
        <v>1709</v>
      </c>
      <c r="R79" t="s">
        <v>1492</v>
      </c>
      <c r="S79" t="s">
        <v>1493</v>
      </c>
      <c r="T79" t="s">
        <v>1494</v>
      </c>
      <c r="U79" t="s">
        <v>1495</v>
      </c>
      <c r="V79" t="s">
        <v>1710</v>
      </c>
      <c r="W79">
        <v>603</v>
      </c>
      <c r="X79" t="s">
        <v>1711</v>
      </c>
      <c r="Y79" t="s">
        <v>1712</v>
      </c>
      <c r="Z79">
        <v>2</v>
      </c>
      <c r="AA79" t="s">
        <v>58</v>
      </c>
    </row>
    <row r="80" spans="1:27" x14ac:dyDescent="0.25">
      <c r="A80" t="s">
        <v>1485</v>
      </c>
      <c r="B80" t="s">
        <v>1486</v>
      </c>
      <c r="C80" t="s">
        <v>1931</v>
      </c>
      <c r="D80" t="s">
        <v>1932</v>
      </c>
      <c r="E80" t="s">
        <v>593</v>
      </c>
      <c r="F80" t="s">
        <v>1933</v>
      </c>
      <c r="G80">
        <v>7680</v>
      </c>
      <c r="H80">
        <v>0</v>
      </c>
      <c r="I80" t="s">
        <v>1459</v>
      </c>
      <c r="J80">
        <v>0</v>
      </c>
      <c r="K80">
        <v>1</v>
      </c>
      <c r="L80" t="s">
        <v>1487</v>
      </c>
      <c r="M80" t="s">
        <v>1488</v>
      </c>
      <c r="N80" t="s">
        <v>1489</v>
      </c>
      <c r="O80" t="s">
        <v>1563</v>
      </c>
      <c r="P80" t="s">
        <v>1491</v>
      </c>
      <c r="Q80" t="s">
        <v>1709</v>
      </c>
      <c r="R80" t="s">
        <v>1492</v>
      </c>
      <c r="S80" t="s">
        <v>1493</v>
      </c>
      <c r="T80" t="s">
        <v>1494</v>
      </c>
      <c r="U80" t="s">
        <v>1495</v>
      </c>
      <c r="V80" t="s">
        <v>1710</v>
      </c>
      <c r="W80">
        <v>603</v>
      </c>
      <c r="X80" t="s">
        <v>1711</v>
      </c>
      <c r="Y80" t="s">
        <v>1712</v>
      </c>
      <c r="Z80">
        <v>2</v>
      </c>
      <c r="AA80" t="s">
        <v>58</v>
      </c>
    </row>
    <row r="81" spans="1:27" x14ac:dyDescent="0.25">
      <c r="A81" t="s">
        <v>1485</v>
      </c>
      <c r="B81" t="s">
        <v>1486</v>
      </c>
      <c r="C81" t="s">
        <v>1934</v>
      </c>
      <c r="D81" t="s">
        <v>1935</v>
      </c>
      <c r="E81" t="s">
        <v>593</v>
      </c>
      <c r="F81" t="s">
        <v>1936</v>
      </c>
      <c r="G81">
        <v>5168</v>
      </c>
      <c r="H81">
        <v>0</v>
      </c>
      <c r="I81" t="s">
        <v>1459</v>
      </c>
      <c r="J81">
        <v>0</v>
      </c>
      <c r="K81">
        <v>1</v>
      </c>
      <c r="L81" t="s">
        <v>1487</v>
      </c>
      <c r="M81" t="s">
        <v>1488</v>
      </c>
      <c r="N81" t="s">
        <v>1489</v>
      </c>
      <c r="O81" t="s">
        <v>1937</v>
      </c>
      <c r="P81" t="s">
        <v>1491</v>
      </c>
      <c r="Q81" t="s">
        <v>1709</v>
      </c>
      <c r="R81" t="s">
        <v>1492</v>
      </c>
      <c r="S81" t="s">
        <v>1493</v>
      </c>
      <c r="T81" t="s">
        <v>1494</v>
      </c>
      <c r="U81" t="s">
        <v>1495</v>
      </c>
      <c r="V81" t="s">
        <v>1710</v>
      </c>
      <c r="W81">
        <v>603</v>
      </c>
      <c r="X81" t="s">
        <v>1711</v>
      </c>
      <c r="Y81" t="s">
        <v>1712</v>
      </c>
      <c r="Z81">
        <v>2</v>
      </c>
      <c r="AA81" t="s">
        <v>58</v>
      </c>
    </row>
    <row r="82" spans="1:27" x14ac:dyDescent="0.25">
      <c r="A82" t="s">
        <v>1485</v>
      </c>
      <c r="B82" t="s">
        <v>1486</v>
      </c>
      <c r="C82" t="s">
        <v>1938</v>
      </c>
      <c r="D82" t="s">
        <v>1939</v>
      </c>
      <c r="E82" t="s">
        <v>593</v>
      </c>
      <c r="F82" t="s">
        <v>1940</v>
      </c>
      <c r="G82">
        <v>9713</v>
      </c>
      <c r="H82">
        <v>0</v>
      </c>
      <c r="I82" t="s">
        <v>1459</v>
      </c>
      <c r="J82">
        <v>0</v>
      </c>
      <c r="K82">
        <v>1</v>
      </c>
      <c r="L82" t="s">
        <v>1487</v>
      </c>
      <c r="M82" t="s">
        <v>1488</v>
      </c>
      <c r="N82" t="s">
        <v>1489</v>
      </c>
      <c r="O82" t="s">
        <v>1628</v>
      </c>
      <c r="P82" t="s">
        <v>1491</v>
      </c>
      <c r="Q82" t="s">
        <v>1709</v>
      </c>
      <c r="R82" t="s">
        <v>1492</v>
      </c>
      <c r="S82" t="s">
        <v>1493</v>
      </c>
      <c r="T82" t="s">
        <v>1494</v>
      </c>
      <c r="U82" t="s">
        <v>1495</v>
      </c>
      <c r="V82" t="s">
        <v>1710</v>
      </c>
      <c r="W82">
        <v>603</v>
      </c>
      <c r="X82" t="s">
        <v>1711</v>
      </c>
      <c r="Y82" t="s">
        <v>1712</v>
      </c>
      <c r="Z82">
        <v>2</v>
      </c>
      <c r="AA82" t="s">
        <v>58</v>
      </c>
    </row>
    <row r="83" spans="1:27" x14ac:dyDescent="0.25">
      <c r="A83" t="s">
        <v>1485</v>
      </c>
      <c r="B83" t="s">
        <v>1486</v>
      </c>
      <c r="C83" t="s">
        <v>1941</v>
      </c>
      <c r="D83" t="s">
        <v>1942</v>
      </c>
      <c r="E83" t="s">
        <v>593</v>
      </c>
      <c r="F83" t="s">
        <v>1943</v>
      </c>
      <c r="G83">
        <v>6769</v>
      </c>
      <c r="H83">
        <v>0</v>
      </c>
      <c r="I83" t="s">
        <v>1459</v>
      </c>
      <c r="J83">
        <v>0</v>
      </c>
      <c r="K83">
        <v>1</v>
      </c>
      <c r="L83" t="s">
        <v>1487</v>
      </c>
      <c r="M83" t="s">
        <v>1488</v>
      </c>
      <c r="N83" t="s">
        <v>1489</v>
      </c>
      <c r="O83" t="s">
        <v>1612</v>
      </c>
      <c r="P83" t="s">
        <v>1491</v>
      </c>
      <c r="Q83" t="s">
        <v>1709</v>
      </c>
      <c r="R83" t="s">
        <v>1492</v>
      </c>
      <c r="S83" t="s">
        <v>1493</v>
      </c>
      <c r="T83" t="s">
        <v>1494</v>
      </c>
      <c r="U83" t="s">
        <v>1495</v>
      </c>
      <c r="V83" t="s">
        <v>1710</v>
      </c>
      <c r="W83">
        <v>603</v>
      </c>
      <c r="X83" t="s">
        <v>1711</v>
      </c>
      <c r="Y83" t="s">
        <v>1712</v>
      </c>
      <c r="Z83">
        <v>2</v>
      </c>
      <c r="AA83" t="s">
        <v>58</v>
      </c>
    </row>
    <row r="84" spans="1:27" x14ac:dyDescent="0.25">
      <c r="A84" t="s">
        <v>1485</v>
      </c>
      <c r="B84" t="s">
        <v>1486</v>
      </c>
      <c r="C84" t="s">
        <v>1944</v>
      </c>
      <c r="D84" t="s">
        <v>1945</v>
      </c>
      <c r="E84" t="s">
        <v>593</v>
      </c>
      <c r="F84" t="s">
        <v>1946</v>
      </c>
      <c r="G84">
        <v>5549</v>
      </c>
      <c r="H84">
        <v>0</v>
      </c>
      <c r="I84" t="s">
        <v>1459</v>
      </c>
      <c r="J84">
        <v>0</v>
      </c>
      <c r="K84">
        <v>1</v>
      </c>
      <c r="L84" t="s">
        <v>1487</v>
      </c>
      <c r="M84" t="s">
        <v>1488</v>
      </c>
      <c r="N84" t="s">
        <v>1489</v>
      </c>
      <c r="O84" t="s">
        <v>1625</v>
      </c>
      <c r="P84" t="s">
        <v>1491</v>
      </c>
      <c r="Q84" t="s">
        <v>1709</v>
      </c>
      <c r="R84" t="s">
        <v>1492</v>
      </c>
      <c r="S84" t="s">
        <v>1493</v>
      </c>
      <c r="T84" t="s">
        <v>1494</v>
      </c>
      <c r="U84" t="s">
        <v>1495</v>
      </c>
      <c r="V84" t="s">
        <v>1710</v>
      </c>
      <c r="W84">
        <v>603</v>
      </c>
      <c r="X84" t="s">
        <v>1711</v>
      </c>
      <c r="Y84" t="s">
        <v>1712</v>
      </c>
      <c r="Z84">
        <v>2</v>
      </c>
      <c r="AA84" t="s">
        <v>58</v>
      </c>
    </row>
    <row r="85" spans="1:27" x14ac:dyDescent="0.25">
      <c r="A85" t="s">
        <v>1485</v>
      </c>
      <c r="B85" t="s">
        <v>1486</v>
      </c>
      <c r="C85" t="s">
        <v>1947</v>
      </c>
      <c r="D85" t="s">
        <v>1948</v>
      </c>
      <c r="E85" t="s">
        <v>593</v>
      </c>
      <c r="F85" t="s">
        <v>1949</v>
      </c>
      <c r="G85">
        <v>8013</v>
      </c>
      <c r="H85">
        <v>0</v>
      </c>
      <c r="I85" t="s">
        <v>1459</v>
      </c>
      <c r="J85">
        <v>0</v>
      </c>
      <c r="K85">
        <v>1</v>
      </c>
      <c r="L85" t="s">
        <v>1487</v>
      </c>
      <c r="M85" t="s">
        <v>1488</v>
      </c>
      <c r="N85" t="s">
        <v>1489</v>
      </c>
      <c r="O85" t="s">
        <v>1950</v>
      </c>
      <c r="P85" t="s">
        <v>1491</v>
      </c>
      <c r="Q85" t="s">
        <v>1709</v>
      </c>
      <c r="R85" t="s">
        <v>1492</v>
      </c>
      <c r="S85" t="s">
        <v>1493</v>
      </c>
      <c r="T85" t="s">
        <v>1494</v>
      </c>
      <c r="U85" t="s">
        <v>1495</v>
      </c>
      <c r="V85" t="s">
        <v>1710</v>
      </c>
      <c r="W85">
        <v>603</v>
      </c>
      <c r="X85" t="s">
        <v>1711</v>
      </c>
      <c r="Y85" t="s">
        <v>1712</v>
      </c>
      <c r="Z85">
        <v>2</v>
      </c>
      <c r="AA85" t="s">
        <v>58</v>
      </c>
    </row>
    <row r="86" spans="1:27" x14ac:dyDescent="0.25">
      <c r="A86" t="s">
        <v>1485</v>
      </c>
      <c r="B86" t="s">
        <v>1486</v>
      </c>
      <c r="C86" t="s">
        <v>1951</v>
      </c>
      <c r="D86" t="s">
        <v>1952</v>
      </c>
      <c r="E86" t="s">
        <v>593</v>
      </c>
      <c r="F86" t="s">
        <v>1953</v>
      </c>
      <c r="G86">
        <v>6170</v>
      </c>
      <c r="H86">
        <v>0</v>
      </c>
      <c r="I86" t="s">
        <v>1459</v>
      </c>
      <c r="J86">
        <v>0</v>
      </c>
      <c r="K86">
        <v>1</v>
      </c>
      <c r="L86" t="s">
        <v>1487</v>
      </c>
      <c r="M86" t="s">
        <v>1488</v>
      </c>
      <c r="N86" t="s">
        <v>1489</v>
      </c>
      <c r="O86" t="s">
        <v>1566</v>
      </c>
      <c r="P86" t="s">
        <v>1491</v>
      </c>
      <c r="Q86" t="s">
        <v>1709</v>
      </c>
      <c r="R86" t="s">
        <v>1492</v>
      </c>
      <c r="S86" t="s">
        <v>1493</v>
      </c>
      <c r="T86" t="s">
        <v>1494</v>
      </c>
      <c r="U86" t="s">
        <v>1495</v>
      </c>
      <c r="V86" t="s">
        <v>1710</v>
      </c>
      <c r="W86">
        <v>603</v>
      </c>
      <c r="X86" t="s">
        <v>1711</v>
      </c>
      <c r="Y86" t="s">
        <v>1712</v>
      </c>
      <c r="Z86">
        <v>2</v>
      </c>
      <c r="AA86" t="s">
        <v>58</v>
      </c>
    </row>
    <row r="87" spans="1:27" x14ac:dyDescent="0.25">
      <c r="A87" t="s">
        <v>1485</v>
      </c>
      <c r="B87" t="s">
        <v>1486</v>
      </c>
      <c r="C87" t="s">
        <v>1954</v>
      </c>
      <c r="D87" t="s">
        <v>1955</v>
      </c>
      <c r="E87" t="s">
        <v>593</v>
      </c>
      <c r="F87" t="s">
        <v>1956</v>
      </c>
      <c r="G87">
        <v>5989</v>
      </c>
      <c r="H87">
        <v>0</v>
      </c>
      <c r="I87" t="s">
        <v>1459</v>
      </c>
      <c r="J87">
        <v>0</v>
      </c>
      <c r="K87">
        <v>1</v>
      </c>
      <c r="L87" t="s">
        <v>1487</v>
      </c>
      <c r="M87" t="s">
        <v>1488</v>
      </c>
      <c r="N87" t="s">
        <v>1489</v>
      </c>
      <c r="O87" t="s">
        <v>1567</v>
      </c>
      <c r="P87" t="s">
        <v>1491</v>
      </c>
      <c r="Q87" t="s">
        <v>1709</v>
      </c>
      <c r="R87" t="s">
        <v>1492</v>
      </c>
      <c r="S87" t="s">
        <v>1493</v>
      </c>
      <c r="T87" t="s">
        <v>1494</v>
      </c>
      <c r="U87" t="s">
        <v>1495</v>
      </c>
      <c r="V87" t="s">
        <v>1710</v>
      </c>
      <c r="W87">
        <v>603</v>
      </c>
      <c r="X87" t="s">
        <v>1711</v>
      </c>
      <c r="Y87" t="s">
        <v>1712</v>
      </c>
      <c r="Z87">
        <v>2</v>
      </c>
      <c r="AA87" t="s">
        <v>58</v>
      </c>
    </row>
    <row r="88" spans="1:27" x14ac:dyDescent="0.25">
      <c r="A88" t="s">
        <v>1485</v>
      </c>
      <c r="B88" t="s">
        <v>1486</v>
      </c>
      <c r="C88" t="s">
        <v>1957</v>
      </c>
      <c r="D88" t="s">
        <v>1958</v>
      </c>
      <c r="E88" t="s">
        <v>593</v>
      </c>
      <c r="F88" t="s">
        <v>1959</v>
      </c>
      <c r="G88">
        <v>5473</v>
      </c>
      <c r="H88">
        <v>0</v>
      </c>
      <c r="I88" t="s">
        <v>1459</v>
      </c>
      <c r="J88">
        <v>0</v>
      </c>
      <c r="K88">
        <v>1</v>
      </c>
      <c r="L88" t="s">
        <v>1487</v>
      </c>
      <c r="M88" t="s">
        <v>1488</v>
      </c>
      <c r="N88" t="s">
        <v>1489</v>
      </c>
      <c r="O88" t="s">
        <v>1592</v>
      </c>
      <c r="P88" t="s">
        <v>1491</v>
      </c>
      <c r="Q88" t="s">
        <v>1709</v>
      </c>
      <c r="R88" t="s">
        <v>1492</v>
      </c>
      <c r="S88" t="s">
        <v>1493</v>
      </c>
      <c r="T88" t="s">
        <v>1494</v>
      </c>
      <c r="U88" t="s">
        <v>1495</v>
      </c>
      <c r="V88" t="s">
        <v>1710</v>
      </c>
      <c r="W88">
        <v>603</v>
      </c>
      <c r="X88" t="s">
        <v>1711</v>
      </c>
      <c r="Y88" t="s">
        <v>1712</v>
      </c>
      <c r="Z88">
        <v>2</v>
      </c>
      <c r="AA88" t="s">
        <v>58</v>
      </c>
    </row>
    <row r="89" spans="1:27" x14ac:dyDescent="0.25">
      <c r="A89" t="s">
        <v>1485</v>
      </c>
      <c r="B89" t="s">
        <v>1486</v>
      </c>
      <c r="C89" t="s">
        <v>1960</v>
      </c>
      <c r="D89" t="s">
        <v>1961</v>
      </c>
      <c r="E89" t="s">
        <v>593</v>
      </c>
      <c r="F89" t="s">
        <v>1962</v>
      </c>
      <c r="G89">
        <v>6397</v>
      </c>
      <c r="H89">
        <v>0</v>
      </c>
      <c r="I89" t="s">
        <v>1459</v>
      </c>
      <c r="J89">
        <v>0</v>
      </c>
      <c r="K89">
        <v>1</v>
      </c>
      <c r="L89" t="s">
        <v>1487</v>
      </c>
      <c r="M89" t="s">
        <v>1488</v>
      </c>
      <c r="N89" t="s">
        <v>1489</v>
      </c>
      <c r="O89" t="s">
        <v>1624</v>
      </c>
      <c r="P89" t="s">
        <v>1491</v>
      </c>
      <c r="Q89" t="s">
        <v>1709</v>
      </c>
      <c r="R89" t="s">
        <v>1492</v>
      </c>
      <c r="S89" t="s">
        <v>1493</v>
      </c>
      <c r="T89" t="s">
        <v>1494</v>
      </c>
      <c r="U89" t="s">
        <v>1495</v>
      </c>
      <c r="V89" t="s">
        <v>1710</v>
      </c>
      <c r="W89">
        <v>603</v>
      </c>
      <c r="X89" t="s">
        <v>1711</v>
      </c>
      <c r="Y89" t="s">
        <v>1712</v>
      </c>
      <c r="Z89">
        <v>2</v>
      </c>
      <c r="AA89" t="s">
        <v>58</v>
      </c>
    </row>
    <row r="90" spans="1:27" x14ac:dyDescent="0.25">
      <c r="A90" t="s">
        <v>1485</v>
      </c>
      <c r="B90" t="s">
        <v>1486</v>
      </c>
      <c r="C90" t="s">
        <v>1963</v>
      </c>
      <c r="D90" t="s">
        <v>1964</v>
      </c>
      <c r="E90" t="s">
        <v>593</v>
      </c>
      <c r="F90" t="s">
        <v>1965</v>
      </c>
      <c r="G90">
        <v>9425</v>
      </c>
      <c r="H90">
        <v>0</v>
      </c>
      <c r="I90" t="s">
        <v>1459</v>
      </c>
      <c r="J90">
        <v>0</v>
      </c>
      <c r="K90">
        <v>1</v>
      </c>
      <c r="L90" t="s">
        <v>1487</v>
      </c>
      <c r="M90" t="s">
        <v>1488</v>
      </c>
      <c r="N90" t="s">
        <v>1489</v>
      </c>
      <c r="O90" t="s">
        <v>1585</v>
      </c>
      <c r="P90" t="s">
        <v>1491</v>
      </c>
      <c r="Q90" t="s">
        <v>1709</v>
      </c>
      <c r="R90" t="s">
        <v>1492</v>
      </c>
      <c r="S90" t="s">
        <v>1493</v>
      </c>
      <c r="T90" t="s">
        <v>1494</v>
      </c>
      <c r="U90" t="s">
        <v>1495</v>
      </c>
      <c r="V90" t="s">
        <v>1710</v>
      </c>
      <c r="W90">
        <v>603</v>
      </c>
      <c r="X90" t="s">
        <v>1711</v>
      </c>
      <c r="Y90" t="s">
        <v>1712</v>
      </c>
      <c r="Z90">
        <v>2</v>
      </c>
      <c r="AA90" t="s">
        <v>58</v>
      </c>
    </row>
    <row r="91" spans="1:27" x14ac:dyDescent="0.25">
      <c r="A91" t="s">
        <v>1485</v>
      </c>
      <c r="B91" t="s">
        <v>1486</v>
      </c>
      <c r="C91" t="s">
        <v>1966</v>
      </c>
      <c r="D91" t="s">
        <v>1967</v>
      </c>
      <c r="E91" t="s">
        <v>593</v>
      </c>
      <c r="F91" t="s">
        <v>1968</v>
      </c>
      <c r="G91">
        <v>7473</v>
      </c>
      <c r="H91">
        <v>0</v>
      </c>
      <c r="I91" t="s">
        <v>1459</v>
      </c>
      <c r="J91">
        <v>0</v>
      </c>
      <c r="K91">
        <v>1</v>
      </c>
      <c r="L91" t="s">
        <v>1487</v>
      </c>
      <c r="M91" t="s">
        <v>1488</v>
      </c>
      <c r="N91" t="s">
        <v>1489</v>
      </c>
      <c r="O91" t="s">
        <v>1969</v>
      </c>
      <c r="P91" t="s">
        <v>1491</v>
      </c>
      <c r="Q91" t="s">
        <v>1709</v>
      </c>
      <c r="R91" t="s">
        <v>1492</v>
      </c>
      <c r="S91" t="s">
        <v>1493</v>
      </c>
      <c r="T91" t="s">
        <v>1494</v>
      </c>
      <c r="U91" t="s">
        <v>1495</v>
      </c>
      <c r="V91" t="s">
        <v>1710</v>
      </c>
      <c r="W91">
        <v>603</v>
      </c>
      <c r="X91" t="s">
        <v>1711</v>
      </c>
      <c r="Y91" t="s">
        <v>1712</v>
      </c>
      <c r="Z91">
        <v>2</v>
      </c>
      <c r="AA91" t="s">
        <v>58</v>
      </c>
    </row>
    <row r="92" spans="1:27" x14ac:dyDescent="0.25">
      <c r="A92" t="s">
        <v>1485</v>
      </c>
      <c r="B92" t="s">
        <v>1486</v>
      </c>
      <c r="C92" t="s">
        <v>1970</v>
      </c>
      <c r="D92" t="s">
        <v>1971</v>
      </c>
      <c r="E92" t="s">
        <v>593</v>
      </c>
      <c r="F92" t="s">
        <v>1972</v>
      </c>
      <c r="G92">
        <v>9517</v>
      </c>
      <c r="H92">
        <v>0</v>
      </c>
      <c r="I92" t="s">
        <v>1459</v>
      </c>
      <c r="J92">
        <v>0</v>
      </c>
      <c r="K92">
        <v>1</v>
      </c>
      <c r="L92" t="s">
        <v>1487</v>
      </c>
      <c r="M92" t="s">
        <v>1488</v>
      </c>
      <c r="N92" t="s">
        <v>1489</v>
      </c>
      <c r="O92" t="s">
        <v>1973</v>
      </c>
      <c r="P92" t="s">
        <v>1491</v>
      </c>
      <c r="Q92" t="s">
        <v>1709</v>
      </c>
      <c r="R92" t="s">
        <v>1492</v>
      </c>
      <c r="S92" t="s">
        <v>1493</v>
      </c>
      <c r="T92" t="s">
        <v>1494</v>
      </c>
      <c r="U92" t="s">
        <v>1495</v>
      </c>
      <c r="V92" t="s">
        <v>1710</v>
      </c>
      <c r="W92">
        <v>603</v>
      </c>
      <c r="X92" t="s">
        <v>1711</v>
      </c>
      <c r="Y92" t="s">
        <v>1712</v>
      </c>
      <c r="Z92">
        <v>2</v>
      </c>
      <c r="AA92" t="s">
        <v>58</v>
      </c>
    </row>
    <row r="93" spans="1:27" x14ac:dyDescent="0.25">
      <c r="A93" t="s">
        <v>1485</v>
      </c>
      <c r="B93" t="s">
        <v>1486</v>
      </c>
      <c r="C93" t="s">
        <v>1974</v>
      </c>
      <c r="D93" t="s">
        <v>1975</v>
      </c>
      <c r="E93" t="s">
        <v>593</v>
      </c>
      <c r="F93" t="s">
        <v>1976</v>
      </c>
      <c r="G93">
        <v>9821</v>
      </c>
      <c r="H93">
        <v>0</v>
      </c>
      <c r="I93" t="s">
        <v>1459</v>
      </c>
      <c r="J93">
        <v>0</v>
      </c>
      <c r="K93">
        <v>1</v>
      </c>
      <c r="L93" t="s">
        <v>1487</v>
      </c>
      <c r="M93" t="s">
        <v>1488</v>
      </c>
      <c r="N93" t="s">
        <v>1489</v>
      </c>
      <c r="O93" t="s">
        <v>1977</v>
      </c>
      <c r="P93" t="s">
        <v>1491</v>
      </c>
      <c r="Q93" t="s">
        <v>1709</v>
      </c>
      <c r="R93" t="s">
        <v>1492</v>
      </c>
      <c r="S93" t="s">
        <v>1493</v>
      </c>
      <c r="T93" t="s">
        <v>1494</v>
      </c>
      <c r="U93" t="s">
        <v>1495</v>
      </c>
      <c r="V93" t="s">
        <v>1710</v>
      </c>
      <c r="W93">
        <v>603</v>
      </c>
      <c r="X93" t="s">
        <v>1711</v>
      </c>
      <c r="Y93" t="s">
        <v>1712</v>
      </c>
      <c r="Z93">
        <v>2</v>
      </c>
      <c r="AA93" t="s">
        <v>58</v>
      </c>
    </row>
    <row r="94" spans="1:27" x14ac:dyDescent="0.25">
      <c r="A94" t="s">
        <v>1485</v>
      </c>
      <c r="B94" t="s">
        <v>1486</v>
      </c>
      <c r="C94" t="s">
        <v>1978</v>
      </c>
      <c r="D94" t="s">
        <v>1979</v>
      </c>
      <c r="E94" t="s">
        <v>593</v>
      </c>
      <c r="F94" t="s">
        <v>1980</v>
      </c>
      <c r="G94">
        <v>9327</v>
      </c>
      <c r="H94">
        <v>0</v>
      </c>
      <c r="I94" t="s">
        <v>1459</v>
      </c>
      <c r="J94">
        <v>0</v>
      </c>
      <c r="K94">
        <v>1</v>
      </c>
      <c r="L94" t="s">
        <v>1487</v>
      </c>
      <c r="M94" t="s">
        <v>1488</v>
      </c>
      <c r="N94" t="s">
        <v>1489</v>
      </c>
      <c r="O94" t="s">
        <v>1579</v>
      </c>
      <c r="P94" t="s">
        <v>1491</v>
      </c>
      <c r="Q94" t="s">
        <v>1709</v>
      </c>
      <c r="R94" t="s">
        <v>1492</v>
      </c>
      <c r="S94" t="s">
        <v>1493</v>
      </c>
      <c r="T94" t="s">
        <v>1494</v>
      </c>
      <c r="U94" t="s">
        <v>1495</v>
      </c>
      <c r="V94" t="s">
        <v>1710</v>
      </c>
      <c r="W94">
        <v>603</v>
      </c>
      <c r="X94" t="s">
        <v>1711</v>
      </c>
      <c r="Y94" t="s">
        <v>1712</v>
      </c>
      <c r="Z94">
        <v>2</v>
      </c>
      <c r="AA94" t="s">
        <v>58</v>
      </c>
    </row>
    <row r="95" spans="1:27" x14ac:dyDescent="0.25">
      <c r="A95" t="s">
        <v>1485</v>
      </c>
      <c r="B95" t="s">
        <v>1486</v>
      </c>
      <c r="C95" t="s">
        <v>1981</v>
      </c>
      <c r="D95" t="s">
        <v>1982</v>
      </c>
      <c r="E95" t="s">
        <v>593</v>
      </c>
      <c r="F95" t="s">
        <v>1983</v>
      </c>
      <c r="G95">
        <v>8569</v>
      </c>
      <c r="H95">
        <v>0</v>
      </c>
      <c r="I95" t="s">
        <v>1459</v>
      </c>
      <c r="J95">
        <v>0</v>
      </c>
      <c r="K95">
        <v>1</v>
      </c>
      <c r="L95" t="s">
        <v>1487</v>
      </c>
      <c r="M95" t="s">
        <v>1488</v>
      </c>
      <c r="N95" t="s">
        <v>1489</v>
      </c>
      <c r="O95" t="s">
        <v>1626</v>
      </c>
      <c r="P95" t="s">
        <v>1491</v>
      </c>
      <c r="Q95" t="s">
        <v>1709</v>
      </c>
      <c r="R95" t="s">
        <v>1492</v>
      </c>
      <c r="S95" t="s">
        <v>1493</v>
      </c>
      <c r="T95" t="s">
        <v>1494</v>
      </c>
      <c r="U95" t="s">
        <v>1495</v>
      </c>
      <c r="V95" t="s">
        <v>1710</v>
      </c>
      <c r="W95">
        <v>603</v>
      </c>
      <c r="X95" t="s">
        <v>1711</v>
      </c>
      <c r="Y95" t="s">
        <v>1712</v>
      </c>
      <c r="Z95">
        <v>2</v>
      </c>
      <c r="AA95" t="s">
        <v>58</v>
      </c>
    </row>
    <row r="96" spans="1:27" x14ac:dyDescent="0.25">
      <c r="A96" t="s">
        <v>1485</v>
      </c>
      <c r="B96" t="s">
        <v>1486</v>
      </c>
      <c r="C96" t="s">
        <v>1984</v>
      </c>
      <c r="D96" t="s">
        <v>1985</v>
      </c>
      <c r="E96" t="s">
        <v>593</v>
      </c>
      <c r="F96" t="s">
        <v>1986</v>
      </c>
      <c r="G96">
        <v>5811</v>
      </c>
      <c r="H96">
        <v>0</v>
      </c>
      <c r="I96" t="s">
        <v>1459</v>
      </c>
      <c r="J96">
        <v>0</v>
      </c>
      <c r="K96">
        <v>1</v>
      </c>
      <c r="L96" t="s">
        <v>1487</v>
      </c>
      <c r="M96" t="s">
        <v>1488</v>
      </c>
      <c r="N96" t="s">
        <v>1489</v>
      </c>
      <c r="O96" t="s">
        <v>1581</v>
      </c>
      <c r="P96" t="s">
        <v>1491</v>
      </c>
      <c r="Q96" t="s">
        <v>1709</v>
      </c>
      <c r="R96" t="s">
        <v>1492</v>
      </c>
      <c r="S96" t="s">
        <v>1493</v>
      </c>
      <c r="T96" t="s">
        <v>1494</v>
      </c>
      <c r="U96" t="s">
        <v>1495</v>
      </c>
      <c r="V96" t="s">
        <v>1710</v>
      </c>
      <c r="W96">
        <v>603</v>
      </c>
      <c r="X96" t="s">
        <v>1711</v>
      </c>
      <c r="Y96" t="s">
        <v>1712</v>
      </c>
      <c r="Z96">
        <v>2</v>
      </c>
      <c r="AA96" t="s">
        <v>58</v>
      </c>
    </row>
    <row r="97" spans="1:27" x14ac:dyDescent="0.25">
      <c r="A97" t="s">
        <v>1485</v>
      </c>
      <c r="B97" t="s">
        <v>1486</v>
      </c>
      <c r="C97" t="s">
        <v>1987</v>
      </c>
      <c r="D97" t="s">
        <v>1988</v>
      </c>
      <c r="E97" t="s">
        <v>593</v>
      </c>
      <c r="F97" t="s">
        <v>1989</v>
      </c>
      <c r="G97">
        <v>9656</v>
      </c>
      <c r="H97">
        <v>0</v>
      </c>
      <c r="I97" t="s">
        <v>1459</v>
      </c>
      <c r="J97">
        <v>0</v>
      </c>
      <c r="K97">
        <v>1</v>
      </c>
      <c r="L97" t="s">
        <v>1487</v>
      </c>
      <c r="M97" t="s">
        <v>1488</v>
      </c>
      <c r="N97" t="s">
        <v>1489</v>
      </c>
      <c r="O97" t="s">
        <v>1598</v>
      </c>
      <c r="P97" t="s">
        <v>1491</v>
      </c>
      <c r="Q97" t="s">
        <v>1709</v>
      </c>
      <c r="R97" t="s">
        <v>1492</v>
      </c>
      <c r="S97" t="s">
        <v>1493</v>
      </c>
      <c r="T97" t="s">
        <v>1494</v>
      </c>
      <c r="U97" t="s">
        <v>1495</v>
      </c>
      <c r="V97" t="s">
        <v>1710</v>
      </c>
      <c r="W97">
        <v>603</v>
      </c>
      <c r="X97" t="s">
        <v>1711</v>
      </c>
      <c r="Y97" t="s">
        <v>1712</v>
      </c>
      <c r="Z97">
        <v>2</v>
      </c>
      <c r="AA97" t="s">
        <v>58</v>
      </c>
    </row>
    <row r="98" spans="1:27" x14ac:dyDescent="0.25">
      <c r="A98" t="s">
        <v>1485</v>
      </c>
      <c r="B98" t="s">
        <v>1486</v>
      </c>
      <c r="C98" t="s">
        <v>1990</v>
      </c>
      <c r="D98" t="s">
        <v>1991</v>
      </c>
      <c r="E98" t="s">
        <v>593</v>
      </c>
      <c r="F98" t="s">
        <v>1992</v>
      </c>
      <c r="G98">
        <v>9670</v>
      </c>
      <c r="H98">
        <v>0</v>
      </c>
      <c r="I98" t="s">
        <v>1459</v>
      </c>
      <c r="J98">
        <v>0</v>
      </c>
      <c r="K98">
        <v>1</v>
      </c>
      <c r="L98" t="s">
        <v>1487</v>
      </c>
      <c r="M98" t="s">
        <v>1488</v>
      </c>
      <c r="N98" t="s">
        <v>1489</v>
      </c>
      <c r="O98" t="s">
        <v>1993</v>
      </c>
      <c r="P98" t="s">
        <v>1491</v>
      </c>
      <c r="Q98" t="s">
        <v>1709</v>
      </c>
      <c r="R98" t="s">
        <v>1492</v>
      </c>
      <c r="S98" t="s">
        <v>1493</v>
      </c>
      <c r="T98" t="s">
        <v>1494</v>
      </c>
      <c r="U98" t="s">
        <v>1495</v>
      </c>
      <c r="V98" t="s">
        <v>1710</v>
      </c>
      <c r="W98">
        <v>603</v>
      </c>
      <c r="X98" t="s">
        <v>1711</v>
      </c>
      <c r="Y98" t="s">
        <v>1712</v>
      </c>
      <c r="Z98">
        <v>2</v>
      </c>
      <c r="AA98" t="s">
        <v>58</v>
      </c>
    </row>
    <row r="99" spans="1:27" x14ac:dyDescent="0.25">
      <c r="A99" t="s">
        <v>1485</v>
      </c>
      <c r="B99" t="s">
        <v>1486</v>
      </c>
      <c r="C99" t="s">
        <v>1994</v>
      </c>
      <c r="D99" t="s">
        <v>1995</v>
      </c>
      <c r="E99" t="s">
        <v>593</v>
      </c>
      <c r="F99" t="s">
        <v>1996</v>
      </c>
      <c r="G99">
        <v>5020</v>
      </c>
      <c r="H99">
        <v>0</v>
      </c>
      <c r="I99" t="s">
        <v>1459</v>
      </c>
      <c r="J99">
        <v>0</v>
      </c>
      <c r="K99">
        <v>1</v>
      </c>
      <c r="L99" t="s">
        <v>1487</v>
      </c>
      <c r="M99" t="s">
        <v>1488</v>
      </c>
      <c r="N99" t="s">
        <v>1489</v>
      </c>
      <c r="O99" t="s">
        <v>1997</v>
      </c>
      <c r="P99" t="s">
        <v>1491</v>
      </c>
      <c r="Q99" t="s">
        <v>1709</v>
      </c>
      <c r="R99" t="s">
        <v>1492</v>
      </c>
      <c r="S99" t="s">
        <v>1493</v>
      </c>
      <c r="T99" t="s">
        <v>1494</v>
      </c>
      <c r="U99" t="s">
        <v>1495</v>
      </c>
      <c r="V99" t="s">
        <v>1710</v>
      </c>
      <c r="W99">
        <v>603</v>
      </c>
      <c r="X99" t="s">
        <v>1711</v>
      </c>
      <c r="Y99" t="s">
        <v>1712</v>
      </c>
      <c r="Z99">
        <v>2</v>
      </c>
      <c r="AA99" t="s">
        <v>58</v>
      </c>
    </row>
    <row r="100" spans="1:27" x14ac:dyDescent="0.25">
      <c r="A100" t="s">
        <v>1485</v>
      </c>
      <c r="B100" t="s">
        <v>1486</v>
      </c>
      <c r="C100" t="s">
        <v>1998</v>
      </c>
      <c r="D100" t="s">
        <v>1999</v>
      </c>
      <c r="E100" t="s">
        <v>593</v>
      </c>
      <c r="F100" t="s">
        <v>2000</v>
      </c>
      <c r="G100">
        <v>6596</v>
      </c>
      <c r="H100">
        <v>0</v>
      </c>
      <c r="I100" t="s">
        <v>1459</v>
      </c>
      <c r="J100">
        <v>0</v>
      </c>
      <c r="K100">
        <v>1</v>
      </c>
      <c r="L100" t="s">
        <v>1487</v>
      </c>
      <c r="M100" t="s">
        <v>1488</v>
      </c>
      <c r="N100" t="s">
        <v>1489</v>
      </c>
      <c r="O100" t="s">
        <v>1582</v>
      </c>
      <c r="P100" t="s">
        <v>1491</v>
      </c>
      <c r="Q100" t="s">
        <v>1709</v>
      </c>
      <c r="R100" t="s">
        <v>1492</v>
      </c>
      <c r="S100" t="s">
        <v>1493</v>
      </c>
      <c r="T100" t="s">
        <v>1494</v>
      </c>
      <c r="U100" t="s">
        <v>1495</v>
      </c>
      <c r="V100" t="s">
        <v>1710</v>
      </c>
      <c r="W100">
        <v>603</v>
      </c>
      <c r="X100" t="s">
        <v>1711</v>
      </c>
      <c r="Y100" t="s">
        <v>1712</v>
      </c>
      <c r="Z100">
        <v>2</v>
      </c>
      <c r="AA100" t="s">
        <v>58</v>
      </c>
    </row>
    <row r="101" spans="1:27" x14ac:dyDescent="0.25">
      <c r="A101" t="s">
        <v>1485</v>
      </c>
      <c r="B101" t="s">
        <v>1486</v>
      </c>
      <c r="C101" t="s">
        <v>2001</v>
      </c>
      <c r="D101" t="s">
        <v>2002</v>
      </c>
      <c r="E101" t="s">
        <v>593</v>
      </c>
      <c r="F101" t="s">
        <v>2003</v>
      </c>
      <c r="G101">
        <v>6701</v>
      </c>
      <c r="H101">
        <v>0</v>
      </c>
      <c r="I101" t="s">
        <v>1459</v>
      </c>
      <c r="J101">
        <v>0</v>
      </c>
      <c r="K101">
        <v>1</v>
      </c>
      <c r="L101" t="s">
        <v>1487</v>
      </c>
      <c r="M101" t="s">
        <v>1488</v>
      </c>
      <c r="N101" t="s">
        <v>1489</v>
      </c>
      <c r="O101" t="s">
        <v>1633</v>
      </c>
      <c r="P101" t="s">
        <v>1491</v>
      </c>
      <c r="Q101" t="s">
        <v>1709</v>
      </c>
      <c r="R101" t="s">
        <v>1492</v>
      </c>
      <c r="S101" t="s">
        <v>1493</v>
      </c>
      <c r="T101" t="s">
        <v>1494</v>
      </c>
      <c r="U101" t="s">
        <v>1495</v>
      </c>
      <c r="V101" t="s">
        <v>1710</v>
      </c>
      <c r="W101">
        <v>603</v>
      </c>
      <c r="X101" t="s">
        <v>1711</v>
      </c>
      <c r="Y101" t="s">
        <v>1712</v>
      </c>
      <c r="Z101">
        <v>2</v>
      </c>
      <c r="AA101" t="s">
        <v>58</v>
      </c>
    </row>
    <row r="102" spans="1:27" x14ac:dyDescent="0.25">
      <c r="A102" t="s">
        <v>1485</v>
      </c>
      <c r="B102" t="s">
        <v>1486</v>
      </c>
      <c r="C102" t="s">
        <v>2004</v>
      </c>
      <c r="D102" t="s">
        <v>2005</v>
      </c>
      <c r="E102" t="s">
        <v>593</v>
      </c>
      <c r="F102" t="s">
        <v>2006</v>
      </c>
      <c r="G102">
        <v>9570</v>
      </c>
      <c r="H102">
        <v>0</v>
      </c>
      <c r="I102" t="s">
        <v>1459</v>
      </c>
      <c r="J102">
        <v>0</v>
      </c>
      <c r="K102">
        <v>1</v>
      </c>
      <c r="L102" t="s">
        <v>1487</v>
      </c>
      <c r="M102" t="s">
        <v>1488</v>
      </c>
      <c r="N102" t="s">
        <v>1489</v>
      </c>
      <c r="O102" t="s">
        <v>1583</v>
      </c>
      <c r="P102" t="s">
        <v>1491</v>
      </c>
      <c r="Q102" t="s">
        <v>1709</v>
      </c>
      <c r="R102" t="s">
        <v>1492</v>
      </c>
      <c r="S102" t="s">
        <v>1493</v>
      </c>
      <c r="T102" t="s">
        <v>1494</v>
      </c>
      <c r="U102" t="s">
        <v>1495</v>
      </c>
      <c r="V102" t="s">
        <v>1710</v>
      </c>
      <c r="W102">
        <v>603</v>
      </c>
      <c r="X102" t="s">
        <v>1711</v>
      </c>
      <c r="Y102" t="s">
        <v>1712</v>
      </c>
      <c r="Z102">
        <v>2</v>
      </c>
      <c r="AA102" t="s">
        <v>58</v>
      </c>
    </row>
    <row r="103" spans="1:27" x14ac:dyDescent="0.25">
      <c r="A103" t="s">
        <v>1485</v>
      </c>
      <c r="B103" t="s">
        <v>1486</v>
      </c>
      <c r="C103" t="s">
        <v>2007</v>
      </c>
      <c r="D103" t="s">
        <v>2008</v>
      </c>
      <c r="E103" t="s">
        <v>593</v>
      </c>
      <c r="F103" t="s">
        <v>2009</v>
      </c>
      <c r="G103">
        <v>9443</v>
      </c>
      <c r="H103">
        <v>0</v>
      </c>
      <c r="I103" t="s">
        <v>1459</v>
      </c>
      <c r="J103">
        <v>0</v>
      </c>
      <c r="K103">
        <v>1</v>
      </c>
      <c r="L103" t="s">
        <v>1487</v>
      </c>
      <c r="M103" t="s">
        <v>1488</v>
      </c>
      <c r="N103" t="s">
        <v>1489</v>
      </c>
      <c r="O103" t="s">
        <v>2010</v>
      </c>
      <c r="P103" t="s">
        <v>1491</v>
      </c>
      <c r="Q103" t="s">
        <v>1709</v>
      </c>
      <c r="R103" t="s">
        <v>1492</v>
      </c>
      <c r="S103" t="s">
        <v>1493</v>
      </c>
      <c r="T103" t="s">
        <v>1494</v>
      </c>
      <c r="U103" t="s">
        <v>1495</v>
      </c>
      <c r="V103" t="s">
        <v>1710</v>
      </c>
      <c r="W103">
        <v>603</v>
      </c>
      <c r="X103" t="s">
        <v>1711</v>
      </c>
      <c r="Y103" t="s">
        <v>1712</v>
      </c>
      <c r="Z103">
        <v>2</v>
      </c>
      <c r="AA103" t="s">
        <v>58</v>
      </c>
    </row>
    <row r="104" spans="1:27" x14ac:dyDescent="0.25">
      <c r="A104" t="s">
        <v>1485</v>
      </c>
      <c r="B104" t="s">
        <v>1486</v>
      </c>
      <c r="C104" t="s">
        <v>2011</v>
      </c>
      <c r="D104" t="s">
        <v>2012</v>
      </c>
      <c r="E104" t="s">
        <v>593</v>
      </c>
      <c r="F104" t="s">
        <v>2013</v>
      </c>
      <c r="G104">
        <v>9770</v>
      </c>
      <c r="H104">
        <v>0</v>
      </c>
      <c r="I104" t="s">
        <v>1459</v>
      </c>
      <c r="J104">
        <v>0</v>
      </c>
      <c r="K104">
        <v>1</v>
      </c>
      <c r="L104" t="s">
        <v>1487</v>
      </c>
      <c r="M104" t="s">
        <v>1488</v>
      </c>
      <c r="N104" t="s">
        <v>1489</v>
      </c>
      <c r="O104" t="s">
        <v>1584</v>
      </c>
      <c r="P104" t="s">
        <v>1491</v>
      </c>
      <c r="Q104" t="s">
        <v>1709</v>
      </c>
      <c r="R104" t="s">
        <v>1492</v>
      </c>
      <c r="S104" t="s">
        <v>1493</v>
      </c>
      <c r="T104" t="s">
        <v>1494</v>
      </c>
      <c r="U104" t="s">
        <v>1495</v>
      </c>
      <c r="V104" t="s">
        <v>1710</v>
      </c>
      <c r="W104">
        <v>603</v>
      </c>
      <c r="X104" t="s">
        <v>1711</v>
      </c>
      <c r="Y104" t="s">
        <v>1712</v>
      </c>
      <c r="Z104">
        <v>2</v>
      </c>
      <c r="AA104" t="s">
        <v>58</v>
      </c>
    </row>
    <row r="105" spans="1:27" x14ac:dyDescent="0.25">
      <c r="A105" t="s">
        <v>1485</v>
      </c>
      <c r="B105" t="s">
        <v>1486</v>
      </c>
      <c r="C105" t="s">
        <v>2014</v>
      </c>
      <c r="D105" t="s">
        <v>2015</v>
      </c>
      <c r="E105" t="s">
        <v>593</v>
      </c>
      <c r="F105" t="s">
        <v>2016</v>
      </c>
      <c r="G105">
        <v>9715</v>
      </c>
      <c r="H105">
        <v>0</v>
      </c>
      <c r="I105" t="s">
        <v>1459</v>
      </c>
      <c r="J105">
        <v>0</v>
      </c>
      <c r="K105">
        <v>1</v>
      </c>
      <c r="L105" t="s">
        <v>1487</v>
      </c>
      <c r="M105" t="s">
        <v>1488</v>
      </c>
      <c r="N105" t="s">
        <v>1489</v>
      </c>
      <c r="O105" t="s">
        <v>2017</v>
      </c>
      <c r="P105" t="s">
        <v>1491</v>
      </c>
      <c r="Q105" t="s">
        <v>1709</v>
      </c>
      <c r="R105" t="s">
        <v>1492</v>
      </c>
      <c r="S105" t="s">
        <v>1493</v>
      </c>
      <c r="T105" t="s">
        <v>1494</v>
      </c>
      <c r="U105" t="s">
        <v>1495</v>
      </c>
      <c r="V105" t="s">
        <v>1710</v>
      </c>
      <c r="W105">
        <v>603</v>
      </c>
      <c r="X105" t="s">
        <v>1711</v>
      </c>
      <c r="Y105" t="s">
        <v>1712</v>
      </c>
      <c r="Z105">
        <v>2</v>
      </c>
      <c r="AA105" t="s">
        <v>58</v>
      </c>
    </row>
    <row r="106" spans="1:27" x14ac:dyDescent="0.25">
      <c r="A106" t="s">
        <v>1485</v>
      </c>
      <c r="B106" t="s">
        <v>1486</v>
      </c>
      <c r="C106" t="s">
        <v>2018</v>
      </c>
      <c r="D106" t="s">
        <v>2019</v>
      </c>
      <c r="E106" t="s">
        <v>593</v>
      </c>
      <c r="F106" t="s">
        <v>2020</v>
      </c>
      <c r="G106">
        <v>9111</v>
      </c>
      <c r="H106">
        <v>0</v>
      </c>
      <c r="I106" t="s">
        <v>1459</v>
      </c>
      <c r="J106">
        <v>0</v>
      </c>
      <c r="K106">
        <v>1</v>
      </c>
      <c r="L106" t="s">
        <v>1487</v>
      </c>
      <c r="M106" t="s">
        <v>1488</v>
      </c>
      <c r="N106" t="s">
        <v>1489</v>
      </c>
      <c r="O106" t="s">
        <v>1597</v>
      </c>
      <c r="P106" t="s">
        <v>1491</v>
      </c>
      <c r="Q106" t="s">
        <v>1709</v>
      </c>
      <c r="R106" t="s">
        <v>1492</v>
      </c>
      <c r="S106" t="s">
        <v>1493</v>
      </c>
      <c r="T106" t="s">
        <v>1494</v>
      </c>
      <c r="U106" t="s">
        <v>1495</v>
      </c>
      <c r="V106" t="s">
        <v>1710</v>
      </c>
      <c r="W106">
        <v>603</v>
      </c>
      <c r="X106" t="s">
        <v>1711</v>
      </c>
      <c r="Y106" t="s">
        <v>1712</v>
      </c>
      <c r="Z106">
        <v>2</v>
      </c>
      <c r="AA106" t="s">
        <v>58</v>
      </c>
    </row>
    <row r="107" spans="1:27" x14ac:dyDescent="0.25">
      <c r="A107" t="s">
        <v>1485</v>
      </c>
      <c r="B107" t="s">
        <v>1486</v>
      </c>
      <c r="C107" t="s">
        <v>2021</v>
      </c>
      <c r="D107" t="s">
        <v>2022</v>
      </c>
      <c r="E107" t="s">
        <v>593</v>
      </c>
      <c r="F107" t="s">
        <v>2023</v>
      </c>
      <c r="G107">
        <v>8682</v>
      </c>
      <c r="H107">
        <v>0</v>
      </c>
      <c r="I107" t="s">
        <v>1459</v>
      </c>
      <c r="J107">
        <v>0</v>
      </c>
      <c r="K107">
        <v>1</v>
      </c>
      <c r="L107" t="s">
        <v>1487</v>
      </c>
      <c r="M107" t="s">
        <v>1488</v>
      </c>
      <c r="N107" t="s">
        <v>1489</v>
      </c>
      <c r="O107" t="s">
        <v>1577</v>
      </c>
      <c r="P107" t="s">
        <v>1491</v>
      </c>
      <c r="Q107" t="s">
        <v>1709</v>
      </c>
      <c r="R107" t="s">
        <v>1492</v>
      </c>
      <c r="S107" t="s">
        <v>1493</v>
      </c>
      <c r="T107" t="s">
        <v>1494</v>
      </c>
      <c r="U107" t="s">
        <v>1495</v>
      </c>
      <c r="V107" t="s">
        <v>1710</v>
      </c>
      <c r="W107">
        <v>603</v>
      </c>
      <c r="X107" t="s">
        <v>1711</v>
      </c>
      <c r="Y107" t="s">
        <v>1712</v>
      </c>
      <c r="Z107">
        <v>2</v>
      </c>
      <c r="AA107" t="s">
        <v>58</v>
      </c>
    </row>
    <row r="108" spans="1:27" x14ac:dyDescent="0.25">
      <c r="A108" t="s">
        <v>1485</v>
      </c>
      <c r="B108" t="s">
        <v>1486</v>
      </c>
      <c r="C108" t="s">
        <v>2024</v>
      </c>
      <c r="D108" t="s">
        <v>2025</v>
      </c>
      <c r="E108" t="s">
        <v>593</v>
      </c>
      <c r="F108" t="s">
        <v>2026</v>
      </c>
      <c r="G108">
        <v>8618</v>
      </c>
      <c r="H108">
        <v>0</v>
      </c>
      <c r="I108" t="s">
        <v>1459</v>
      </c>
      <c r="J108">
        <v>0</v>
      </c>
      <c r="K108">
        <v>1</v>
      </c>
      <c r="L108" t="s">
        <v>1487</v>
      </c>
      <c r="M108" t="s">
        <v>1488</v>
      </c>
      <c r="N108" t="s">
        <v>1489</v>
      </c>
      <c r="O108" t="s">
        <v>2027</v>
      </c>
      <c r="P108" t="s">
        <v>1491</v>
      </c>
      <c r="Q108" t="s">
        <v>1709</v>
      </c>
      <c r="R108" t="s">
        <v>1492</v>
      </c>
      <c r="S108" t="s">
        <v>1493</v>
      </c>
      <c r="T108" t="s">
        <v>1494</v>
      </c>
      <c r="U108" t="s">
        <v>1495</v>
      </c>
      <c r="V108" t="s">
        <v>1710</v>
      </c>
      <c r="W108">
        <v>603</v>
      </c>
      <c r="X108" t="s">
        <v>1711</v>
      </c>
      <c r="Y108" t="s">
        <v>1712</v>
      </c>
      <c r="Z108">
        <v>2</v>
      </c>
      <c r="AA108" t="s">
        <v>58</v>
      </c>
    </row>
    <row r="109" spans="1:27" x14ac:dyDescent="0.25">
      <c r="A109" t="s">
        <v>1485</v>
      </c>
      <c r="B109" t="s">
        <v>1486</v>
      </c>
      <c r="C109" t="s">
        <v>2028</v>
      </c>
      <c r="D109" t="s">
        <v>2029</v>
      </c>
      <c r="E109" t="s">
        <v>593</v>
      </c>
      <c r="F109" t="s">
        <v>2030</v>
      </c>
      <c r="G109">
        <v>8275</v>
      </c>
      <c r="H109">
        <v>0</v>
      </c>
      <c r="I109" t="s">
        <v>1459</v>
      </c>
      <c r="J109">
        <v>0</v>
      </c>
      <c r="K109">
        <v>1</v>
      </c>
      <c r="L109" t="s">
        <v>1487</v>
      </c>
      <c r="M109" t="s">
        <v>1488</v>
      </c>
      <c r="N109" t="s">
        <v>1489</v>
      </c>
      <c r="O109" t="s">
        <v>1613</v>
      </c>
      <c r="P109" t="s">
        <v>1491</v>
      </c>
      <c r="Q109" t="s">
        <v>1709</v>
      </c>
      <c r="R109" t="s">
        <v>1492</v>
      </c>
      <c r="S109" t="s">
        <v>1493</v>
      </c>
      <c r="T109" t="s">
        <v>1494</v>
      </c>
      <c r="U109" t="s">
        <v>1495</v>
      </c>
      <c r="V109" t="s">
        <v>1710</v>
      </c>
      <c r="W109">
        <v>603</v>
      </c>
      <c r="X109" t="s">
        <v>1711</v>
      </c>
      <c r="Y109" t="s">
        <v>1712</v>
      </c>
      <c r="Z109">
        <v>2</v>
      </c>
      <c r="AA109" t="s">
        <v>58</v>
      </c>
    </row>
    <row r="110" spans="1:27" x14ac:dyDescent="0.25">
      <c r="A110" t="s">
        <v>1485</v>
      </c>
      <c r="B110" t="s">
        <v>1486</v>
      </c>
      <c r="C110" t="s">
        <v>2031</v>
      </c>
      <c r="D110" t="s">
        <v>2032</v>
      </c>
      <c r="E110" t="s">
        <v>593</v>
      </c>
      <c r="F110" t="s">
        <v>2033</v>
      </c>
      <c r="G110">
        <v>8134</v>
      </c>
      <c r="H110">
        <v>0</v>
      </c>
      <c r="I110" t="s">
        <v>1459</v>
      </c>
      <c r="J110">
        <v>0</v>
      </c>
      <c r="K110">
        <v>1</v>
      </c>
      <c r="L110" t="s">
        <v>1487</v>
      </c>
      <c r="M110" t="s">
        <v>1488</v>
      </c>
      <c r="N110" t="s">
        <v>1489</v>
      </c>
      <c r="O110" t="s">
        <v>1605</v>
      </c>
      <c r="P110" t="s">
        <v>1491</v>
      </c>
      <c r="Q110" t="s">
        <v>1709</v>
      </c>
      <c r="R110" t="s">
        <v>1492</v>
      </c>
      <c r="S110" t="s">
        <v>1493</v>
      </c>
      <c r="T110" t="s">
        <v>1494</v>
      </c>
      <c r="U110" t="s">
        <v>1495</v>
      </c>
      <c r="V110" t="s">
        <v>1710</v>
      </c>
      <c r="W110">
        <v>603</v>
      </c>
      <c r="X110" t="s">
        <v>1711</v>
      </c>
      <c r="Y110" t="s">
        <v>1712</v>
      </c>
      <c r="Z110">
        <v>2</v>
      </c>
      <c r="AA110" t="s">
        <v>58</v>
      </c>
    </row>
    <row r="111" spans="1:27" x14ac:dyDescent="0.25">
      <c r="A111" t="s">
        <v>1485</v>
      </c>
      <c r="B111" t="s">
        <v>1486</v>
      </c>
      <c r="C111" t="s">
        <v>2034</v>
      </c>
      <c r="D111" t="s">
        <v>2035</v>
      </c>
      <c r="E111" t="s">
        <v>593</v>
      </c>
      <c r="F111" t="s">
        <v>2036</v>
      </c>
      <c r="G111">
        <v>6511</v>
      </c>
      <c r="H111">
        <v>0</v>
      </c>
      <c r="I111" t="s">
        <v>1459</v>
      </c>
      <c r="J111">
        <v>0</v>
      </c>
      <c r="K111">
        <v>1</v>
      </c>
      <c r="L111" t="s">
        <v>1487</v>
      </c>
      <c r="M111" t="s">
        <v>1488</v>
      </c>
      <c r="N111" t="s">
        <v>1489</v>
      </c>
      <c r="O111" t="s">
        <v>2037</v>
      </c>
      <c r="P111" t="s">
        <v>1491</v>
      </c>
      <c r="Q111" t="s">
        <v>1709</v>
      </c>
      <c r="R111" t="s">
        <v>1492</v>
      </c>
      <c r="S111" t="s">
        <v>1493</v>
      </c>
      <c r="T111" t="s">
        <v>1494</v>
      </c>
      <c r="U111" t="s">
        <v>1495</v>
      </c>
      <c r="V111" t="s">
        <v>1710</v>
      </c>
      <c r="W111">
        <v>603</v>
      </c>
      <c r="X111" t="s">
        <v>1711</v>
      </c>
      <c r="Y111" t="s">
        <v>1712</v>
      </c>
      <c r="Z111">
        <v>2</v>
      </c>
      <c r="AA111" t="s">
        <v>58</v>
      </c>
    </row>
    <row r="112" spans="1:27" x14ac:dyDescent="0.25">
      <c r="A112" t="s">
        <v>1485</v>
      </c>
      <c r="B112" t="s">
        <v>1486</v>
      </c>
      <c r="C112" t="s">
        <v>2038</v>
      </c>
      <c r="D112" t="s">
        <v>2039</v>
      </c>
      <c r="E112" t="s">
        <v>593</v>
      </c>
      <c r="F112" t="s">
        <v>2040</v>
      </c>
      <c r="G112">
        <v>6506</v>
      </c>
      <c r="H112">
        <v>0</v>
      </c>
      <c r="I112" t="s">
        <v>1459</v>
      </c>
      <c r="J112">
        <v>0</v>
      </c>
      <c r="K112">
        <v>1</v>
      </c>
      <c r="L112" t="s">
        <v>1487</v>
      </c>
      <c r="M112" t="s">
        <v>1488</v>
      </c>
      <c r="N112" t="s">
        <v>1489</v>
      </c>
      <c r="O112" t="s">
        <v>1574</v>
      </c>
      <c r="P112" t="s">
        <v>1491</v>
      </c>
      <c r="Q112" t="s">
        <v>1709</v>
      </c>
      <c r="R112" t="s">
        <v>1492</v>
      </c>
      <c r="S112" t="s">
        <v>1493</v>
      </c>
      <c r="T112" t="s">
        <v>1494</v>
      </c>
      <c r="U112" t="s">
        <v>1495</v>
      </c>
      <c r="V112" t="s">
        <v>1710</v>
      </c>
      <c r="W112">
        <v>603</v>
      </c>
      <c r="X112" t="s">
        <v>1711</v>
      </c>
      <c r="Y112" t="s">
        <v>1712</v>
      </c>
      <c r="Z112">
        <v>2</v>
      </c>
      <c r="AA112" t="s">
        <v>58</v>
      </c>
    </row>
    <row r="113" spans="1:27" x14ac:dyDescent="0.25">
      <c r="A113" t="s">
        <v>1485</v>
      </c>
      <c r="B113" t="s">
        <v>1486</v>
      </c>
      <c r="C113" t="s">
        <v>2041</v>
      </c>
      <c r="D113" t="s">
        <v>2042</v>
      </c>
      <c r="E113" t="s">
        <v>593</v>
      </c>
      <c r="F113" t="s">
        <v>2043</v>
      </c>
      <c r="G113">
        <v>6178</v>
      </c>
      <c r="H113">
        <v>0</v>
      </c>
      <c r="I113" t="s">
        <v>1459</v>
      </c>
      <c r="J113">
        <v>0</v>
      </c>
      <c r="K113">
        <v>1</v>
      </c>
      <c r="L113" t="s">
        <v>1487</v>
      </c>
      <c r="M113" t="s">
        <v>1488</v>
      </c>
      <c r="N113" t="s">
        <v>1489</v>
      </c>
      <c r="O113" t="s">
        <v>1603</v>
      </c>
      <c r="P113" t="s">
        <v>1491</v>
      </c>
      <c r="Q113" t="s">
        <v>1709</v>
      </c>
      <c r="R113" t="s">
        <v>1492</v>
      </c>
      <c r="S113" t="s">
        <v>1493</v>
      </c>
      <c r="T113" t="s">
        <v>1494</v>
      </c>
      <c r="U113" t="s">
        <v>1495</v>
      </c>
      <c r="V113" t="s">
        <v>1710</v>
      </c>
      <c r="W113">
        <v>603</v>
      </c>
      <c r="X113" t="s">
        <v>1711</v>
      </c>
      <c r="Y113" t="s">
        <v>1712</v>
      </c>
      <c r="Z113">
        <v>2</v>
      </c>
      <c r="AA113" t="s">
        <v>58</v>
      </c>
    </row>
    <row r="114" spans="1:27" x14ac:dyDescent="0.25">
      <c r="A114" t="s">
        <v>1485</v>
      </c>
      <c r="B114" t="s">
        <v>1486</v>
      </c>
      <c r="C114" t="s">
        <v>1011</v>
      </c>
      <c r="D114" t="s">
        <v>1012</v>
      </c>
      <c r="E114" t="s">
        <v>593</v>
      </c>
      <c r="F114" t="s">
        <v>1013</v>
      </c>
      <c r="G114">
        <v>5997</v>
      </c>
      <c r="H114">
        <v>0</v>
      </c>
      <c r="I114" t="s">
        <v>1459</v>
      </c>
      <c r="J114">
        <v>0</v>
      </c>
      <c r="K114">
        <v>1</v>
      </c>
      <c r="L114" t="s">
        <v>1487</v>
      </c>
      <c r="M114" t="s">
        <v>1488</v>
      </c>
      <c r="N114" t="s">
        <v>1489</v>
      </c>
      <c r="O114" t="s">
        <v>1551</v>
      </c>
      <c r="P114" t="s">
        <v>1491</v>
      </c>
      <c r="Q114" t="s">
        <v>1709</v>
      </c>
      <c r="R114" t="s">
        <v>1492</v>
      </c>
      <c r="S114" t="s">
        <v>1493</v>
      </c>
      <c r="T114" t="s">
        <v>1494</v>
      </c>
      <c r="U114" t="s">
        <v>1495</v>
      </c>
      <c r="V114" t="s">
        <v>1710</v>
      </c>
      <c r="W114">
        <v>603</v>
      </c>
      <c r="X114" t="s">
        <v>1711</v>
      </c>
      <c r="Y114" t="s">
        <v>1712</v>
      </c>
      <c r="Z114">
        <v>2</v>
      </c>
      <c r="AA114" t="s">
        <v>58</v>
      </c>
    </row>
    <row r="115" spans="1:27" x14ac:dyDescent="0.25">
      <c r="A115" t="s">
        <v>1485</v>
      </c>
      <c r="B115" t="s">
        <v>1486</v>
      </c>
      <c r="C115" t="s">
        <v>2044</v>
      </c>
      <c r="D115" t="s">
        <v>2045</v>
      </c>
      <c r="E115" t="s">
        <v>593</v>
      </c>
      <c r="F115" t="s">
        <v>2046</v>
      </c>
      <c r="G115">
        <v>5868</v>
      </c>
      <c r="H115">
        <v>0</v>
      </c>
      <c r="I115" t="s">
        <v>1459</v>
      </c>
      <c r="J115">
        <v>0</v>
      </c>
      <c r="K115">
        <v>1</v>
      </c>
      <c r="L115" t="s">
        <v>1487</v>
      </c>
      <c r="M115" t="s">
        <v>1488</v>
      </c>
      <c r="N115" t="s">
        <v>1489</v>
      </c>
      <c r="O115" t="s">
        <v>1576</v>
      </c>
      <c r="P115" t="s">
        <v>1491</v>
      </c>
      <c r="Q115" t="s">
        <v>1709</v>
      </c>
      <c r="R115" t="s">
        <v>1492</v>
      </c>
      <c r="S115" t="s">
        <v>1493</v>
      </c>
      <c r="T115" t="s">
        <v>1494</v>
      </c>
      <c r="U115" t="s">
        <v>1495</v>
      </c>
      <c r="V115" t="s">
        <v>1710</v>
      </c>
      <c r="W115">
        <v>603</v>
      </c>
      <c r="X115" t="s">
        <v>1711</v>
      </c>
      <c r="Y115" t="s">
        <v>1712</v>
      </c>
      <c r="Z115">
        <v>2</v>
      </c>
      <c r="AA115" t="s">
        <v>58</v>
      </c>
    </row>
    <row r="116" spans="1:27" x14ac:dyDescent="0.25">
      <c r="A116" t="s">
        <v>1485</v>
      </c>
      <c r="B116" t="s">
        <v>1486</v>
      </c>
      <c r="C116" t="s">
        <v>2047</v>
      </c>
      <c r="D116" t="s">
        <v>2048</v>
      </c>
      <c r="E116" t="s">
        <v>593</v>
      </c>
      <c r="F116" t="s">
        <v>2049</v>
      </c>
      <c r="G116">
        <v>5865</v>
      </c>
      <c r="H116">
        <v>0</v>
      </c>
      <c r="I116" t="s">
        <v>1459</v>
      </c>
      <c r="J116">
        <v>0</v>
      </c>
      <c r="K116">
        <v>1</v>
      </c>
      <c r="L116" t="s">
        <v>1487</v>
      </c>
      <c r="M116" t="s">
        <v>1488</v>
      </c>
      <c r="N116" t="s">
        <v>1489</v>
      </c>
      <c r="O116" t="s">
        <v>1557</v>
      </c>
      <c r="P116" t="s">
        <v>1491</v>
      </c>
      <c r="Q116" t="s">
        <v>1709</v>
      </c>
      <c r="R116" t="s">
        <v>1492</v>
      </c>
      <c r="S116" t="s">
        <v>1493</v>
      </c>
      <c r="T116" t="s">
        <v>1494</v>
      </c>
      <c r="U116" t="s">
        <v>1495</v>
      </c>
      <c r="V116" t="s">
        <v>1710</v>
      </c>
      <c r="W116">
        <v>603</v>
      </c>
      <c r="X116" t="s">
        <v>1711</v>
      </c>
      <c r="Y116" t="s">
        <v>1712</v>
      </c>
      <c r="Z116">
        <v>2</v>
      </c>
      <c r="AA116" t="s">
        <v>58</v>
      </c>
    </row>
    <row r="117" spans="1:27" x14ac:dyDescent="0.25">
      <c r="A117" t="s">
        <v>1485</v>
      </c>
      <c r="B117" t="s">
        <v>1486</v>
      </c>
      <c r="C117" t="s">
        <v>2050</v>
      </c>
      <c r="D117" t="s">
        <v>2051</v>
      </c>
      <c r="E117" t="s">
        <v>593</v>
      </c>
      <c r="F117" t="s">
        <v>2052</v>
      </c>
      <c r="G117">
        <v>5789</v>
      </c>
      <c r="H117">
        <v>0</v>
      </c>
      <c r="I117" t="s">
        <v>1459</v>
      </c>
      <c r="J117">
        <v>0</v>
      </c>
      <c r="K117">
        <v>1</v>
      </c>
      <c r="L117" t="s">
        <v>1487</v>
      </c>
      <c r="M117" t="s">
        <v>1488</v>
      </c>
      <c r="N117" t="s">
        <v>1489</v>
      </c>
      <c r="O117" t="s">
        <v>1546</v>
      </c>
      <c r="P117" t="s">
        <v>1491</v>
      </c>
      <c r="Q117" t="s">
        <v>1709</v>
      </c>
      <c r="R117" t="s">
        <v>1492</v>
      </c>
      <c r="S117" t="s">
        <v>1493</v>
      </c>
      <c r="T117" t="s">
        <v>1494</v>
      </c>
      <c r="U117" t="s">
        <v>1495</v>
      </c>
      <c r="V117" t="s">
        <v>1710</v>
      </c>
      <c r="W117">
        <v>603</v>
      </c>
      <c r="X117" t="s">
        <v>1711</v>
      </c>
      <c r="Y117" t="s">
        <v>1712</v>
      </c>
      <c r="Z117">
        <v>2</v>
      </c>
      <c r="AA117" t="s">
        <v>58</v>
      </c>
    </row>
    <row r="118" spans="1:27" x14ac:dyDescent="0.25">
      <c r="A118" t="s">
        <v>1485</v>
      </c>
      <c r="B118" t="s">
        <v>1486</v>
      </c>
      <c r="C118" t="s">
        <v>2053</v>
      </c>
      <c r="D118" t="s">
        <v>2054</v>
      </c>
      <c r="E118" t="s">
        <v>593</v>
      </c>
      <c r="F118" t="s">
        <v>2055</v>
      </c>
      <c r="G118">
        <v>5604</v>
      </c>
      <c r="H118">
        <v>0</v>
      </c>
      <c r="I118" t="s">
        <v>1459</v>
      </c>
      <c r="J118">
        <v>0</v>
      </c>
      <c r="K118">
        <v>1</v>
      </c>
      <c r="L118" t="s">
        <v>1487</v>
      </c>
      <c r="M118" t="s">
        <v>1488</v>
      </c>
      <c r="N118" t="s">
        <v>1489</v>
      </c>
      <c r="O118" t="s">
        <v>1570</v>
      </c>
      <c r="P118" t="s">
        <v>1491</v>
      </c>
      <c r="Q118" t="s">
        <v>1709</v>
      </c>
      <c r="R118" t="s">
        <v>1492</v>
      </c>
      <c r="S118" t="s">
        <v>1493</v>
      </c>
      <c r="T118" t="s">
        <v>1494</v>
      </c>
      <c r="U118" t="s">
        <v>1495</v>
      </c>
      <c r="V118" t="s">
        <v>1710</v>
      </c>
      <c r="W118">
        <v>603</v>
      </c>
      <c r="X118" t="s">
        <v>1711</v>
      </c>
      <c r="Y118" t="s">
        <v>1712</v>
      </c>
      <c r="Z118">
        <v>2</v>
      </c>
      <c r="AA118" t="s">
        <v>58</v>
      </c>
    </row>
    <row r="119" spans="1:27" x14ac:dyDescent="0.25">
      <c r="A119" t="s">
        <v>1485</v>
      </c>
      <c r="B119" t="s">
        <v>1486</v>
      </c>
      <c r="C119" t="s">
        <v>2056</v>
      </c>
      <c r="D119" t="s">
        <v>2057</v>
      </c>
      <c r="E119" t="s">
        <v>593</v>
      </c>
      <c r="F119" t="s">
        <v>2058</v>
      </c>
      <c r="G119">
        <v>5521</v>
      </c>
      <c r="H119">
        <v>0</v>
      </c>
      <c r="I119" t="s">
        <v>1459</v>
      </c>
      <c r="J119">
        <v>0</v>
      </c>
      <c r="K119">
        <v>1</v>
      </c>
      <c r="L119" t="s">
        <v>1487</v>
      </c>
      <c r="M119" t="s">
        <v>1488</v>
      </c>
      <c r="N119" t="s">
        <v>1489</v>
      </c>
      <c r="O119" t="s">
        <v>1578</v>
      </c>
      <c r="P119" t="s">
        <v>1491</v>
      </c>
      <c r="Q119" t="s">
        <v>1709</v>
      </c>
      <c r="R119" t="s">
        <v>1492</v>
      </c>
      <c r="S119" t="s">
        <v>1493</v>
      </c>
      <c r="T119" t="s">
        <v>1494</v>
      </c>
      <c r="U119" t="s">
        <v>1495</v>
      </c>
      <c r="V119" t="s">
        <v>1710</v>
      </c>
      <c r="W119">
        <v>603</v>
      </c>
      <c r="X119" t="s">
        <v>1711</v>
      </c>
      <c r="Y119" t="s">
        <v>1712</v>
      </c>
      <c r="Z119">
        <v>2</v>
      </c>
      <c r="AA119" t="s">
        <v>58</v>
      </c>
    </row>
    <row r="120" spans="1:27" x14ac:dyDescent="0.25">
      <c r="A120" t="s">
        <v>1485</v>
      </c>
      <c r="B120" t="s">
        <v>1486</v>
      </c>
      <c r="C120" t="s">
        <v>2059</v>
      </c>
      <c r="D120" t="s">
        <v>2060</v>
      </c>
      <c r="E120" t="s">
        <v>593</v>
      </c>
      <c r="F120" t="s">
        <v>2061</v>
      </c>
      <c r="G120">
        <v>4997</v>
      </c>
      <c r="H120">
        <v>0</v>
      </c>
      <c r="I120" t="s">
        <v>1459</v>
      </c>
      <c r="J120">
        <v>0</v>
      </c>
      <c r="K120">
        <v>1</v>
      </c>
      <c r="L120" t="s">
        <v>1487</v>
      </c>
      <c r="M120" t="s">
        <v>1488</v>
      </c>
      <c r="N120" t="s">
        <v>1489</v>
      </c>
      <c r="O120" t="s">
        <v>1564</v>
      </c>
      <c r="P120" t="s">
        <v>1491</v>
      </c>
      <c r="Q120" t="s">
        <v>1709</v>
      </c>
      <c r="R120" t="s">
        <v>1492</v>
      </c>
      <c r="S120" t="s">
        <v>1493</v>
      </c>
      <c r="T120" t="s">
        <v>1494</v>
      </c>
      <c r="U120" t="s">
        <v>1495</v>
      </c>
      <c r="V120" t="s">
        <v>1710</v>
      </c>
      <c r="W120">
        <v>603</v>
      </c>
      <c r="X120" t="s">
        <v>1711</v>
      </c>
      <c r="Y120" t="s">
        <v>1712</v>
      </c>
      <c r="Z120">
        <v>2</v>
      </c>
      <c r="AA120" t="s">
        <v>58</v>
      </c>
    </row>
    <row r="121" spans="1:27" x14ac:dyDescent="0.25">
      <c r="A121" t="s">
        <v>1485</v>
      </c>
      <c r="B121" t="s">
        <v>1486</v>
      </c>
      <c r="C121" t="s">
        <v>2062</v>
      </c>
      <c r="D121" t="s">
        <v>2063</v>
      </c>
      <c r="E121" t="s">
        <v>593</v>
      </c>
      <c r="F121" t="s">
        <v>2064</v>
      </c>
      <c r="G121">
        <v>4968</v>
      </c>
      <c r="H121">
        <v>0</v>
      </c>
      <c r="I121" t="s">
        <v>1459</v>
      </c>
      <c r="J121">
        <v>0</v>
      </c>
      <c r="K121">
        <v>1</v>
      </c>
      <c r="L121" t="s">
        <v>1487</v>
      </c>
      <c r="M121" t="s">
        <v>1488</v>
      </c>
      <c r="N121" t="s">
        <v>1489</v>
      </c>
      <c r="O121" t="s">
        <v>1621</v>
      </c>
      <c r="P121" t="s">
        <v>1491</v>
      </c>
      <c r="Q121" t="s">
        <v>1709</v>
      </c>
      <c r="R121" t="s">
        <v>1492</v>
      </c>
      <c r="S121" t="s">
        <v>1493</v>
      </c>
      <c r="T121" t="s">
        <v>1494</v>
      </c>
      <c r="U121" t="s">
        <v>1495</v>
      </c>
      <c r="V121" t="s">
        <v>1710</v>
      </c>
      <c r="W121">
        <v>603</v>
      </c>
      <c r="X121" t="s">
        <v>1711</v>
      </c>
      <c r="Y121" t="s">
        <v>1712</v>
      </c>
      <c r="Z121">
        <v>2</v>
      </c>
      <c r="AA121" t="s">
        <v>58</v>
      </c>
    </row>
    <row r="122" spans="1:27" x14ac:dyDescent="0.25">
      <c r="A122" t="s">
        <v>1485</v>
      </c>
      <c r="B122" t="s">
        <v>1486</v>
      </c>
      <c r="C122" t="s">
        <v>2065</v>
      </c>
      <c r="D122" t="s">
        <v>2066</v>
      </c>
      <c r="E122" t="s">
        <v>593</v>
      </c>
      <c r="F122" t="s">
        <v>2067</v>
      </c>
      <c r="G122">
        <v>4855</v>
      </c>
      <c r="H122">
        <v>0</v>
      </c>
      <c r="I122" t="s">
        <v>1459</v>
      </c>
      <c r="J122">
        <v>0</v>
      </c>
      <c r="K122">
        <v>1</v>
      </c>
      <c r="L122" t="s">
        <v>1487</v>
      </c>
      <c r="M122" t="s">
        <v>1488</v>
      </c>
      <c r="N122" t="s">
        <v>1489</v>
      </c>
      <c r="O122" t="s">
        <v>1569</v>
      </c>
      <c r="P122" t="s">
        <v>1491</v>
      </c>
      <c r="Q122" t="s">
        <v>1709</v>
      </c>
      <c r="R122" t="s">
        <v>1492</v>
      </c>
      <c r="S122" t="s">
        <v>1493</v>
      </c>
      <c r="T122" t="s">
        <v>1494</v>
      </c>
      <c r="U122" t="s">
        <v>1495</v>
      </c>
      <c r="V122" t="s">
        <v>1710</v>
      </c>
      <c r="W122">
        <v>603</v>
      </c>
      <c r="X122" t="s">
        <v>1711</v>
      </c>
      <c r="Y122" t="s">
        <v>1712</v>
      </c>
      <c r="Z122">
        <v>2</v>
      </c>
      <c r="AA122" t="s">
        <v>58</v>
      </c>
    </row>
    <row r="123" spans="1:27" x14ac:dyDescent="0.25">
      <c r="A123" t="s">
        <v>1485</v>
      </c>
      <c r="B123" t="s">
        <v>1486</v>
      </c>
      <c r="C123" t="s">
        <v>2068</v>
      </c>
      <c r="D123" t="s">
        <v>2069</v>
      </c>
      <c r="E123" t="s">
        <v>593</v>
      </c>
      <c r="F123" t="s">
        <v>2070</v>
      </c>
      <c r="G123">
        <v>4764</v>
      </c>
      <c r="H123">
        <v>0</v>
      </c>
      <c r="I123" t="s">
        <v>1459</v>
      </c>
      <c r="J123">
        <v>0</v>
      </c>
      <c r="K123">
        <v>1</v>
      </c>
      <c r="L123" t="s">
        <v>1487</v>
      </c>
      <c r="M123" t="s">
        <v>1488</v>
      </c>
      <c r="N123" t="s">
        <v>1489</v>
      </c>
      <c r="O123" t="s">
        <v>1529</v>
      </c>
      <c r="P123" t="s">
        <v>1491</v>
      </c>
      <c r="Q123" t="s">
        <v>1709</v>
      </c>
      <c r="R123" t="s">
        <v>1492</v>
      </c>
      <c r="S123" t="s">
        <v>1493</v>
      </c>
      <c r="T123" t="s">
        <v>1494</v>
      </c>
      <c r="U123" t="s">
        <v>1495</v>
      </c>
      <c r="V123" t="s">
        <v>1710</v>
      </c>
      <c r="W123">
        <v>603</v>
      </c>
      <c r="X123" t="s">
        <v>1711</v>
      </c>
      <c r="Y123" t="s">
        <v>1712</v>
      </c>
      <c r="Z123">
        <v>2</v>
      </c>
      <c r="AA123" t="s">
        <v>58</v>
      </c>
    </row>
    <row r="124" spans="1:27" x14ac:dyDescent="0.25">
      <c r="A124" t="s">
        <v>1485</v>
      </c>
      <c r="B124" t="s">
        <v>1486</v>
      </c>
      <c r="C124" t="s">
        <v>2071</v>
      </c>
      <c r="D124" t="s">
        <v>2072</v>
      </c>
      <c r="E124" t="s">
        <v>593</v>
      </c>
      <c r="F124" t="s">
        <v>2073</v>
      </c>
      <c r="G124">
        <v>4726</v>
      </c>
      <c r="H124">
        <v>0</v>
      </c>
      <c r="I124" t="s">
        <v>1459</v>
      </c>
      <c r="J124">
        <v>0</v>
      </c>
      <c r="K124">
        <v>1</v>
      </c>
      <c r="L124" t="s">
        <v>1487</v>
      </c>
      <c r="M124" t="s">
        <v>1488</v>
      </c>
      <c r="N124" t="s">
        <v>1489</v>
      </c>
      <c r="O124" t="s">
        <v>1632</v>
      </c>
      <c r="P124" t="s">
        <v>1491</v>
      </c>
      <c r="Q124" t="s">
        <v>1709</v>
      </c>
      <c r="R124" t="s">
        <v>1492</v>
      </c>
      <c r="S124" t="s">
        <v>1493</v>
      </c>
      <c r="T124" t="s">
        <v>1494</v>
      </c>
      <c r="U124" t="s">
        <v>1495</v>
      </c>
      <c r="V124" t="s">
        <v>1710</v>
      </c>
      <c r="W124">
        <v>603</v>
      </c>
      <c r="X124" t="s">
        <v>1711</v>
      </c>
      <c r="Y124" t="s">
        <v>1712</v>
      </c>
      <c r="Z124">
        <v>2</v>
      </c>
      <c r="AA124" t="s">
        <v>58</v>
      </c>
    </row>
    <row r="125" spans="1:27" x14ac:dyDescent="0.25">
      <c r="A125" t="s">
        <v>1485</v>
      </c>
      <c r="B125" t="s">
        <v>1486</v>
      </c>
      <c r="C125" t="s">
        <v>2074</v>
      </c>
      <c r="D125" t="s">
        <v>2075</v>
      </c>
      <c r="E125" t="s">
        <v>593</v>
      </c>
      <c r="F125" t="s">
        <v>2076</v>
      </c>
      <c r="G125">
        <v>4725</v>
      </c>
      <c r="H125">
        <v>0</v>
      </c>
      <c r="I125" t="s">
        <v>1459</v>
      </c>
      <c r="J125">
        <v>0</v>
      </c>
      <c r="K125">
        <v>1</v>
      </c>
      <c r="L125" t="s">
        <v>1487</v>
      </c>
      <c r="M125" t="s">
        <v>1488</v>
      </c>
      <c r="N125" t="s">
        <v>1489</v>
      </c>
      <c r="O125" t="s">
        <v>1608</v>
      </c>
      <c r="P125" t="s">
        <v>1491</v>
      </c>
      <c r="Q125" t="s">
        <v>1709</v>
      </c>
      <c r="R125" t="s">
        <v>1492</v>
      </c>
      <c r="S125" t="s">
        <v>1493</v>
      </c>
      <c r="T125" t="s">
        <v>1494</v>
      </c>
      <c r="U125" t="s">
        <v>1495</v>
      </c>
      <c r="V125" t="s">
        <v>1710</v>
      </c>
      <c r="W125">
        <v>603</v>
      </c>
      <c r="X125" t="s">
        <v>1711</v>
      </c>
      <c r="Y125" t="s">
        <v>1712</v>
      </c>
      <c r="Z125">
        <v>2</v>
      </c>
      <c r="AA125" t="s">
        <v>58</v>
      </c>
    </row>
    <row r="126" spans="1:27" x14ac:dyDescent="0.25">
      <c r="A126" t="s">
        <v>1485</v>
      </c>
      <c r="B126" t="s">
        <v>1486</v>
      </c>
      <c r="C126" t="s">
        <v>2077</v>
      </c>
      <c r="D126" t="s">
        <v>2078</v>
      </c>
      <c r="E126" t="s">
        <v>593</v>
      </c>
      <c r="F126" t="s">
        <v>2079</v>
      </c>
      <c r="G126">
        <v>4648</v>
      </c>
      <c r="H126">
        <v>0</v>
      </c>
      <c r="I126" t="s">
        <v>1459</v>
      </c>
      <c r="J126">
        <v>0</v>
      </c>
      <c r="K126">
        <v>1</v>
      </c>
      <c r="L126" t="s">
        <v>1487</v>
      </c>
      <c r="M126" t="s">
        <v>1488</v>
      </c>
      <c r="N126" t="s">
        <v>1489</v>
      </c>
      <c r="O126" t="s">
        <v>1562</v>
      </c>
      <c r="P126" t="s">
        <v>1491</v>
      </c>
      <c r="Q126" t="s">
        <v>1709</v>
      </c>
      <c r="R126" t="s">
        <v>1492</v>
      </c>
      <c r="S126" t="s">
        <v>1493</v>
      </c>
      <c r="T126" t="s">
        <v>1494</v>
      </c>
      <c r="U126" t="s">
        <v>1495</v>
      </c>
      <c r="V126" t="s">
        <v>1710</v>
      </c>
      <c r="W126">
        <v>603</v>
      </c>
      <c r="X126" t="s">
        <v>1711</v>
      </c>
      <c r="Y126" t="s">
        <v>1712</v>
      </c>
      <c r="Z126">
        <v>2</v>
      </c>
      <c r="AA126" t="s">
        <v>58</v>
      </c>
    </row>
    <row r="127" spans="1:27" x14ac:dyDescent="0.25">
      <c r="A127" t="s">
        <v>1485</v>
      </c>
      <c r="B127" t="s">
        <v>1486</v>
      </c>
      <c r="C127" t="s">
        <v>2080</v>
      </c>
      <c r="D127" t="s">
        <v>2081</v>
      </c>
      <c r="E127" t="s">
        <v>593</v>
      </c>
      <c r="F127" t="s">
        <v>2082</v>
      </c>
      <c r="G127">
        <v>4580</v>
      </c>
      <c r="H127">
        <v>0</v>
      </c>
      <c r="I127" t="s">
        <v>1459</v>
      </c>
      <c r="J127">
        <v>0</v>
      </c>
      <c r="K127">
        <v>1</v>
      </c>
      <c r="L127" t="s">
        <v>1487</v>
      </c>
      <c r="M127" t="s">
        <v>1488</v>
      </c>
      <c r="N127" t="s">
        <v>1489</v>
      </c>
      <c r="O127" t="s">
        <v>1599</v>
      </c>
      <c r="P127" t="s">
        <v>1491</v>
      </c>
      <c r="Q127" t="s">
        <v>1709</v>
      </c>
      <c r="R127" t="s">
        <v>1492</v>
      </c>
      <c r="S127" t="s">
        <v>1493</v>
      </c>
      <c r="T127" t="s">
        <v>1494</v>
      </c>
      <c r="U127" t="s">
        <v>1495</v>
      </c>
      <c r="V127" t="s">
        <v>1710</v>
      </c>
      <c r="W127">
        <v>603</v>
      </c>
      <c r="X127" t="s">
        <v>1711</v>
      </c>
      <c r="Y127" t="s">
        <v>1712</v>
      </c>
      <c r="Z127">
        <v>2</v>
      </c>
      <c r="AA127" t="s">
        <v>58</v>
      </c>
    </row>
    <row r="128" spans="1:27" x14ac:dyDescent="0.25">
      <c r="A128" t="s">
        <v>1485</v>
      </c>
      <c r="B128" t="s">
        <v>1486</v>
      </c>
      <c r="C128" t="s">
        <v>2083</v>
      </c>
      <c r="D128" t="s">
        <v>2084</v>
      </c>
      <c r="E128" t="s">
        <v>593</v>
      </c>
      <c r="F128" t="s">
        <v>2085</v>
      </c>
      <c r="G128">
        <v>4565</v>
      </c>
      <c r="H128">
        <v>0</v>
      </c>
      <c r="I128" t="s">
        <v>1459</v>
      </c>
      <c r="J128">
        <v>0</v>
      </c>
      <c r="K128">
        <v>1</v>
      </c>
      <c r="L128" t="s">
        <v>1487</v>
      </c>
      <c r="M128" t="s">
        <v>1488</v>
      </c>
      <c r="N128" t="s">
        <v>1489</v>
      </c>
      <c r="O128" t="s">
        <v>1526</v>
      </c>
      <c r="P128" t="s">
        <v>1491</v>
      </c>
      <c r="Q128" t="s">
        <v>1709</v>
      </c>
      <c r="R128" t="s">
        <v>1492</v>
      </c>
      <c r="S128" t="s">
        <v>1493</v>
      </c>
      <c r="T128" t="s">
        <v>1494</v>
      </c>
      <c r="U128" t="s">
        <v>1495</v>
      </c>
      <c r="V128" t="s">
        <v>1710</v>
      </c>
      <c r="W128">
        <v>603</v>
      </c>
      <c r="X128" t="s">
        <v>1711</v>
      </c>
      <c r="Y128" t="s">
        <v>1712</v>
      </c>
      <c r="Z128">
        <v>2</v>
      </c>
      <c r="AA128" t="s">
        <v>58</v>
      </c>
    </row>
    <row r="129" spans="1:27" x14ac:dyDescent="0.25">
      <c r="A129" t="s">
        <v>1485</v>
      </c>
      <c r="B129" t="s">
        <v>1486</v>
      </c>
      <c r="C129" t="s">
        <v>2086</v>
      </c>
      <c r="D129" t="s">
        <v>2087</v>
      </c>
      <c r="E129" t="s">
        <v>593</v>
      </c>
      <c r="F129" t="s">
        <v>2088</v>
      </c>
      <c r="G129">
        <v>4482</v>
      </c>
      <c r="H129">
        <v>0</v>
      </c>
      <c r="I129" t="s">
        <v>1459</v>
      </c>
      <c r="J129">
        <v>0</v>
      </c>
      <c r="K129">
        <v>1</v>
      </c>
      <c r="L129" t="s">
        <v>1487</v>
      </c>
      <c r="M129" t="s">
        <v>1488</v>
      </c>
      <c r="N129" t="s">
        <v>1489</v>
      </c>
      <c r="O129" t="s">
        <v>2089</v>
      </c>
      <c r="P129" t="s">
        <v>1491</v>
      </c>
      <c r="Q129" t="s">
        <v>1709</v>
      </c>
      <c r="R129" t="s">
        <v>1492</v>
      </c>
      <c r="S129" t="s">
        <v>1493</v>
      </c>
      <c r="T129" t="s">
        <v>1494</v>
      </c>
      <c r="U129" t="s">
        <v>1495</v>
      </c>
      <c r="V129" t="s">
        <v>1710</v>
      </c>
      <c r="W129">
        <v>603</v>
      </c>
      <c r="X129" t="s">
        <v>1711</v>
      </c>
      <c r="Y129" t="s">
        <v>1712</v>
      </c>
      <c r="Z129">
        <v>2</v>
      </c>
      <c r="AA129" t="s">
        <v>58</v>
      </c>
    </row>
    <row r="130" spans="1:27" x14ac:dyDescent="0.25">
      <c r="A130" t="s">
        <v>1485</v>
      </c>
      <c r="B130" t="s">
        <v>1486</v>
      </c>
      <c r="C130" t="s">
        <v>2090</v>
      </c>
      <c r="D130" t="s">
        <v>2091</v>
      </c>
      <c r="E130" t="s">
        <v>593</v>
      </c>
      <c r="F130" t="s">
        <v>2092</v>
      </c>
      <c r="G130">
        <v>4481</v>
      </c>
      <c r="H130">
        <v>0</v>
      </c>
      <c r="I130" t="s">
        <v>1459</v>
      </c>
      <c r="J130">
        <v>0</v>
      </c>
      <c r="K130">
        <v>1</v>
      </c>
      <c r="L130" t="s">
        <v>1487</v>
      </c>
      <c r="M130" t="s">
        <v>1488</v>
      </c>
      <c r="N130" t="s">
        <v>1489</v>
      </c>
      <c r="O130" t="s">
        <v>1588</v>
      </c>
      <c r="P130" t="s">
        <v>1491</v>
      </c>
      <c r="Q130" t="s">
        <v>1709</v>
      </c>
      <c r="R130" t="s">
        <v>1492</v>
      </c>
      <c r="S130" t="s">
        <v>1493</v>
      </c>
      <c r="T130" t="s">
        <v>1494</v>
      </c>
      <c r="U130" t="s">
        <v>1495</v>
      </c>
      <c r="V130" t="s">
        <v>1710</v>
      </c>
      <c r="W130">
        <v>603</v>
      </c>
      <c r="X130" t="s">
        <v>1711</v>
      </c>
      <c r="Y130" t="s">
        <v>1712</v>
      </c>
      <c r="Z130">
        <v>2</v>
      </c>
      <c r="AA130" t="s">
        <v>58</v>
      </c>
    </row>
    <row r="131" spans="1:27" x14ac:dyDescent="0.25">
      <c r="A131" t="s">
        <v>1485</v>
      </c>
      <c r="B131" t="s">
        <v>1486</v>
      </c>
      <c r="C131" t="s">
        <v>2093</v>
      </c>
      <c r="D131" t="s">
        <v>2094</v>
      </c>
      <c r="E131" t="s">
        <v>593</v>
      </c>
      <c r="F131" t="s">
        <v>2095</v>
      </c>
      <c r="G131">
        <v>4324</v>
      </c>
      <c r="H131">
        <v>0</v>
      </c>
      <c r="I131" t="s">
        <v>1459</v>
      </c>
      <c r="J131">
        <v>0</v>
      </c>
      <c r="K131">
        <v>1</v>
      </c>
      <c r="L131" t="s">
        <v>1487</v>
      </c>
      <c r="M131" t="s">
        <v>1488</v>
      </c>
      <c r="N131" t="s">
        <v>1489</v>
      </c>
      <c r="O131" t="s">
        <v>1525</v>
      </c>
      <c r="P131" t="s">
        <v>1491</v>
      </c>
      <c r="Q131" t="s">
        <v>1709</v>
      </c>
      <c r="R131" t="s">
        <v>1492</v>
      </c>
      <c r="S131" t="s">
        <v>1493</v>
      </c>
      <c r="T131" t="s">
        <v>1494</v>
      </c>
      <c r="U131" t="s">
        <v>1495</v>
      </c>
      <c r="V131" t="s">
        <v>1710</v>
      </c>
      <c r="W131">
        <v>603</v>
      </c>
      <c r="X131" t="s">
        <v>1711</v>
      </c>
      <c r="Y131" t="s">
        <v>1712</v>
      </c>
      <c r="Z131">
        <v>2</v>
      </c>
      <c r="AA131" t="s">
        <v>58</v>
      </c>
    </row>
    <row r="132" spans="1:27" x14ac:dyDescent="0.25">
      <c r="A132" t="s">
        <v>1485</v>
      </c>
      <c r="B132" t="s">
        <v>1486</v>
      </c>
      <c r="C132" t="s">
        <v>2096</v>
      </c>
      <c r="D132" t="s">
        <v>2097</v>
      </c>
      <c r="E132" t="s">
        <v>593</v>
      </c>
      <c r="F132" t="s">
        <v>2098</v>
      </c>
      <c r="G132">
        <v>4299</v>
      </c>
      <c r="H132">
        <v>0</v>
      </c>
      <c r="I132" t="s">
        <v>1459</v>
      </c>
      <c r="J132">
        <v>0</v>
      </c>
      <c r="K132">
        <v>1</v>
      </c>
      <c r="L132" t="s">
        <v>1487</v>
      </c>
      <c r="M132" t="s">
        <v>1488</v>
      </c>
      <c r="N132" t="s">
        <v>1489</v>
      </c>
      <c r="O132" t="s">
        <v>1617</v>
      </c>
      <c r="P132" t="s">
        <v>1491</v>
      </c>
      <c r="Q132" t="s">
        <v>1709</v>
      </c>
      <c r="R132" t="s">
        <v>1492</v>
      </c>
      <c r="S132" t="s">
        <v>1493</v>
      </c>
      <c r="T132" t="s">
        <v>1494</v>
      </c>
      <c r="U132" t="s">
        <v>1495</v>
      </c>
      <c r="V132" t="s">
        <v>1710</v>
      </c>
      <c r="W132">
        <v>603</v>
      </c>
      <c r="X132" t="s">
        <v>1711</v>
      </c>
      <c r="Y132" t="s">
        <v>1712</v>
      </c>
      <c r="Z132">
        <v>2</v>
      </c>
      <c r="AA132" t="s">
        <v>58</v>
      </c>
    </row>
    <row r="133" spans="1:27" x14ac:dyDescent="0.25">
      <c r="A133" t="s">
        <v>1485</v>
      </c>
      <c r="B133" t="s">
        <v>1486</v>
      </c>
      <c r="C133" t="s">
        <v>2099</v>
      </c>
      <c r="D133" t="s">
        <v>2100</v>
      </c>
      <c r="E133" t="s">
        <v>593</v>
      </c>
      <c r="F133" t="s">
        <v>2101</v>
      </c>
      <c r="G133">
        <v>4212</v>
      </c>
      <c r="H133">
        <v>0</v>
      </c>
      <c r="I133" t="s">
        <v>1459</v>
      </c>
      <c r="J133">
        <v>0</v>
      </c>
      <c r="K133">
        <v>1</v>
      </c>
      <c r="L133" t="s">
        <v>1487</v>
      </c>
      <c r="M133" t="s">
        <v>1488</v>
      </c>
      <c r="N133" t="s">
        <v>1489</v>
      </c>
      <c r="O133" t="s">
        <v>2102</v>
      </c>
      <c r="P133" t="s">
        <v>1491</v>
      </c>
      <c r="Q133" t="s">
        <v>1709</v>
      </c>
      <c r="R133" t="s">
        <v>1492</v>
      </c>
      <c r="S133" t="s">
        <v>1493</v>
      </c>
      <c r="T133" t="s">
        <v>1494</v>
      </c>
      <c r="U133" t="s">
        <v>1495</v>
      </c>
      <c r="V133" t="s">
        <v>1710</v>
      </c>
      <c r="W133">
        <v>603</v>
      </c>
      <c r="X133" t="s">
        <v>1711</v>
      </c>
      <c r="Y133" t="s">
        <v>1712</v>
      </c>
      <c r="Z133">
        <v>2</v>
      </c>
      <c r="AA133" t="s">
        <v>58</v>
      </c>
    </row>
    <row r="134" spans="1:27" x14ac:dyDescent="0.25">
      <c r="A134" t="s">
        <v>1485</v>
      </c>
      <c r="B134" t="s">
        <v>1486</v>
      </c>
      <c r="C134" t="s">
        <v>2103</v>
      </c>
      <c r="D134" t="s">
        <v>2104</v>
      </c>
      <c r="E134" t="s">
        <v>593</v>
      </c>
      <c r="F134" t="s">
        <v>2105</v>
      </c>
      <c r="G134">
        <v>4108</v>
      </c>
      <c r="H134">
        <v>0</v>
      </c>
      <c r="I134" t="s">
        <v>1459</v>
      </c>
      <c r="J134">
        <v>0</v>
      </c>
      <c r="K134">
        <v>1</v>
      </c>
      <c r="L134" t="s">
        <v>1487</v>
      </c>
      <c r="M134" t="s">
        <v>1488</v>
      </c>
      <c r="N134" t="s">
        <v>1489</v>
      </c>
      <c r="O134" t="s">
        <v>1522</v>
      </c>
      <c r="P134" t="s">
        <v>1491</v>
      </c>
      <c r="Q134" t="s">
        <v>1709</v>
      </c>
      <c r="R134" t="s">
        <v>1492</v>
      </c>
      <c r="S134" t="s">
        <v>1493</v>
      </c>
      <c r="T134" t="s">
        <v>1494</v>
      </c>
      <c r="U134" t="s">
        <v>1495</v>
      </c>
      <c r="V134" t="s">
        <v>1710</v>
      </c>
      <c r="W134">
        <v>603</v>
      </c>
      <c r="X134" t="s">
        <v>1711</v>
      </c>
      <c r="Y134" t="s">
        <v>1712</v>
      </c>
      <c r="Z134">
        <v>2</v>
      </c>
      <c r="AA134" t="s">
        <v>58</v>
      </c>
    </row>
    <row r="135" spans="1:27" x14ac:dyDescent="0.25">
      <c r="A135" t="s">
        <v>1485</v>
      </c>
      <c r="B135" t="s">
        <v>1486</v>
      </c>
      <c r="C135" t="s">
        <v>2106</v>
      </c>
      <c r="D135" t="s">
        <v>2107</v>
      </c>
      <c r="E135" t="s">
        <v>593</v>
      </c>
      <c r="F135" t="s">
        <v>2108</v>
      </c>
      <c r="G135">
        <v>3901</v>
      </c>
      <c r="H135">
        <v>0</v>
      </c>
      <c r="I135" t="s">
        <v>1459</v>
      </c>
      <c r="J135">
        <v>0</v>
      </c>
      <c r="K135">
        <v>1</v>
      </c>
      <c r="L135" t="s">
        <v>1487</v>
      </c>
      <c r="M135" t="s">
        <v>1488</v>
      </c>
      <c r="N135" t="s">
        <v>1489</v>
      </c>
      <c r="O135" t="s">
        <v>1536</v>
      </c>
      <c r="P135" t="s">
        <v>1491</v>
      </c>
      <c r="Q135" t="s">
        <v>1709</v>
      </c>
      <c r="R135" t="s">
        <v>1492</v>
      </c>
      <c r="S135" t="s">
        <v>1493</v>
      </c>
      <c r="T135" t="s">
        <v>1494</v>
      </c>
      <c r="U135" t="s">
        <v>1495</v>
      </c>
      <c r="V135" t="s">
        <v>1710</v>
      </c>
      <c r="W135">
        <v>603</v>
      </c>
      <c r="X135" t="s">
        <v>1711</v>
      </c>
      <c r="Y135" t="s">
        <v>1712</v>
      </c>
      <c r="Z135">
        <v>2</v>
      </c>
      <c r="AA135" t="s">
        <v>58</v>
      </c>
    </row>
    <row r="136" spans="1:27" x14ac:dyDescent="0.25">
      <c r="A136" t="s">
        <v>1485</v>
      </c>
      <c r="B136" t="s">
        <v>1486</v>
      </c>
      <c r="C136" t="s">
        <v>2109</v>
      </c>
      <c r="D136" t="s">
        <v>2110</v>
      </c>
      <c r="E136" t="s">
        <v>593</v>
      </c>
      <c r="F136" t="s">
        <v>2111</v>
      </c>
      <c r="G136">
        <v>3759</v>
      </c>
      <c r="H136">
        <v>0</v>
      </c>
      <c r="I136" t="s">
        <v>1459</v>
      </c>
      <c r="J136">
        <v>0</v>
      </c>
      <c r="K136">
        <v>1</v>
      </c>
      <c r="L136" t="s">
        <v>1487</v>
      </c>
      <c r="M136" t="s">
        <v>1488</v>
      </c>
      <c r="N136" t="s">
        <v>1489</v>
      </c>
      <c r="O136" t="s">
        <v>1498</v>
      </c>
      <c r="P136" t="s">
        <v>1491</v>
      </c>
      <c r="Q136" t="s">
        <v>1709</v>
      </c>
      <c r="R136" t="s">
        <v>1492</v>
      </c>
      <c r="S136" t="s">
        <v>1493</v>
      </c>
      <c r="T136" t="s">
        <v>1494</v>
      </c>
      <c r="U136" t="s">
        <v>1495</v>
      </c>
      <c r="V136" t="s">
        <v>1710</v>
      </c>
      <c r="W136">
        <v>603</v>
      </c>
      <c r="X136" t="s">
        <v>1711</v>
      </c>
      <c r="Y136" t="s">
        <v>1712</v>
      </c>
      <c r="Z136">
        <v>2</v>
      </c>
      <c r="AA136" t="s">
        <v>58</v>
      </c>
    </row>
    <row r="137" spans="1:27" x14ac:dyDescent="0.25">
      <c r="A137" t="s">
        <v>1485</v>
      </c>
      <c r="B137" t="s">
        <v>1486</v>
      </c>
      <c r="C137" t="s">
        <v>2112</v>
      </c>
      <c r="D137" t="s">
        <v>2113</v>
      </c>
      <c r="E137" t="s">
        <v>593</v>
      </c>
      <c r="F137" t="s">
        <v>2114</v>
      </c>
      <c r="G137">
        <v>3477</v>
      </c>
      <c r="H137">
        <v>0</v>
      </c>
      <c r="I137" t="s">
        <v>1459</v>
      </c>
      <c r="J137">
        <v>0</v>
      </c>
      <c r="K137">
        <v>1</v>
      </c>
      <c r="L137" t="s">
        <v>1487</v>
      </c>
      <c r="M137" t="s">
        <v>1488</v>
      </c>
      <c r="N137" t="s">
        <v>1489</v>
      </c>
      <c r="O137" t="s">
        <v>1534</v>
      </c>
      <c r="P137" t="s">
        <v>1491</v>
      </c>
      <c r="Q137" t="s">
        <v>1709</v>
      </c>
      <c r="R137" t="s">
        <v>1492</v>
      </c>
      <c r="S137" t="s">
        <v>1493</v>
      </c>
      <c r="T137" t="s">
        <v>1494</v>
      </c>
      <c r="U137" t="s">
        <v>1495</v>
      </c>
      <c r="V137" t="s">
        <v>1710</v>
      </c>
      <c r="W137">
        <v>603</v>
      </c>
      <c r="X137" t="s">
        <v>1711</v>
      </c>
      <c r="Y137" t="s">
        <v>1712</v>
      </c>
      <c r="Z137">
        <v>2</v>
      </c>
      <c r="AA137" t="s">
        <v>58</v>
      </c>
    </row>
    <row r="138" spans="1:27" x14ac:dyDescent="0.25">
      <c r="A138" t="s">
        <v>1485</v>
      </c>
      <c r="B138" t="s">
        <v>1486</v>
      </c>
      <c r="C138" t="s">
        <v>2115</v>
      </c>
      <c r="D138" t="s">
        <v>2116</v>
      </c>
      <c r="E138" t="s">
        <v>593</v>
      </c>
      <c r="F138" t="s">
        <v>2117</v>
      </c>
      <c r="G138">
        <v>3317</v>
      </c>
      <c r="H138">
        <v>0</v>
      </c>
      <c r="I138" t="s">
        <v>1459</v>
      </c>
      <c r="J138">
        <v>0</v>
      </c>
      <c r="K138">
        <v>1</v>
      </c>
      <c r="L138" t="s">
        <v>1487</v>
      </c>
      <c r="M138" t="s">
        <v>1488</v>
      </c>
      <c r="N138" t="s">
        <v>1489</v>
      </c>
      <c r="O138" t="s">
        <v>1573</v>
      </c>
      <c r="P138" t="s">
        <v>1491</v>
      </c>
      <c r="Q138" t="s">
        <v>1709</v>
      </c>
      <c r="R138" t="s">
        <v>1492</v>
      </c>
      <c r="S138" t="s">
        <v>1493</v>
      </c>
      <c r="T138" t="s">
        <v>1494</v>
      </c>
      <c r="U138" t="s">
        <v>1495</v>
      </c>
      <c r="V138" t="s">
        <v>1710</v>
      </c>
      <c r="W138">
        <v>603</v>
      </c>
      <c r="X138" t="s">
        <v>1711</v>
      </c>
      <c r="Y138" t="s">
        <v>1712</v>
      </c>
      <c r="Z138">
        <v>2</v>
      </c>
      <c r="AA138" t="s">
        <v>58</v>
      </c>
    </row>
    <row r="139" spans="1:27" x14ac:dyDescent="0.25">
      <c r="A139" t="s">
        <v>1485</v>
      </c>
      <c r="B139" t="s">
        <v>1486</v>
      </c>
      <c r="C139" t="s">
        <v>1449</v>
      </c>
      <c r="D139" t="s">
        <v>1447</v>
      </c>
      <c r="E139" t="s">
        <v>593</v>
      </c>
      <c r="F139" t="s">
        <v>1448</v>
      </c>
      <c r="G139">
        <v>3306</v>
      </c>
      <c r="H139">
        <v>0</v>
      </c>
      <c r="I139" t="s">
        <v>1459</v>
      </c>
      <c r="J139">
        <v>0</v>
      </c>
      <c r="K139">
        <v>1</v>
      </c>
      <c r="L139" t="s">
        <v>1487</v>
      </c>
      <c r="M139" t="s">
        <v>1488</v>
      </c>
      <c r="N139" t="s">
        <v>1489</v>
      </c>
      <c r="O139" t="s">
        <v>1544</v>
      </c>
      <c r="P139" t="s">
        <v>1491</v>
      </c>
      <c r="Q139" t="s">
        <v>1709</v>
      </c>
      <c r="R139" t="s">
        <v>1492</v>
      </c>
      <c r="S139" t="s">
        <v>1493</v>
      </c>
      <c r="T139" t="s">
        <v>1494</v>
      </c>
      <c r="U139" t="s">
        <v>1495</v>
      </c>
      <c r="V139" t="s">
        <v>1710</v>
      </c>
      <c r="W139">
        <v>603</v>
      </c>
      <c r="X139" t="s">
        <v>1711</v>
      </c>
      <c r="Y139" t="s">
        <v>1712</v>
      </c>
      <c r="Z139">
        <v>2</v>
      </c>
      <c r="AA139" t="s">
        <v>58</v>
      </c>
    </row>
    <row r="140" spans="1:27" x14ac:dyDescent="0.25">
      <c r="A140" t="s">
        <v>1485</v>
      </c>
      <c r="B140" t="s">
        <v>1486</v>
      </c>
      <c r="C140" t="s">
        <v>2118</v>
      </c>
      <c r="D140" t="s">
        <v>2119</v>
      </c>
      <c r="E140" t="s">
        <v>593</v>
      </c>
      <c r="F140" t="s">
        <v>2120</v>
      </c>
      <c r="G140">
        <v>3245</v>
      </c>
      <c r="H140">
        <v>0</v>
      </c>
      <c r="I140" t="s">
        <v>1459</v>
      </c>
      <c r="J140">
        <v>0</v>
      </c>
      <c r="K140">
        <v>1</v>
      </c>
      <c r="L140" t="s">
        <v>1487</v>
      </c>
      <c r="M140" t="s">
        <v>1488</v>
      </c>
      <c r="N140" t="s">
        <v>1489</v>
      </c>
      <c r="O140" t="s">
        <v>1571</v>
      </c>
      <c r="P140" t="s">
        <v>1491</v>
      </c>
      <c r="Q140" t="s">
        <v>1709</v>
      </c>
      <c r="R140" t="s">
        <v>1492</v>
      </c>
      <c r="S140" t="s">
        <v>1493</v>
      </c>
      <c r="T140" t="s">
        <v>1494</v>
      </c>
      <c r="U140" t="s">
        <v>1495</v>
      </c>
      <c r="V140" t="s">
        <v>1710</v>
      </c>
      <c r="W140">
        <v>603</v>
      </c>
      <c r="X140" t="s">
        <v>1711</v>
      </c>
      <c r="Y140" t="s">
        <v>1712</v>
      </c>
      <c r="Z140">
        <v>2</v>
      </c>
      <c r="AA140" t="s">
        <v>58</v>
      </c>
    </row>
    <row r="141" spans="1:27" x14ac:dyDescent="0.25">
      <c r="A141" t="s">
        <v>1485</v>
      </c>
      <c r="B141" t="s">
        <v>1486</v>
      </c>
      <c r="C141" t="s">
        <v>1008</v>
      </c>
      <c r="D141" t="s">
        <v>1009</v>
      </c>
      <c r="E141" t="s">
        <v>593</v>
      </c>
      <c r="F141" t="s">
        <v>1010</v>
      </c>
      <c r="G141">
        <v>2951</v>
      </c>
      <c r="H141">
        <v>0</v>
      </c>
      <c r="I141" t="s">
        <v>1459</v>
      </c>
      <c r="J141">
        <v>0</v>
      </c>
      <c r="K141">
        <v>1</v>
      </c>
      <c r="L141" t="s">
        <v>1487</v>
      </c>
      <c r="M141" t="s">
        <v>1488</v>
      </c>
      <c r="N141" t="s">
        <v>1489</v>
      </c>
      <c r="O141" t="s">
        <v>1618</v>
      </c>
      <c r="P141" t="s">
        <v>1491</v>
      </c>
      <c r="Q141" t="s">
        <v>1709</v>
      </c>
      <c r="R141" t="s">
        <v>1492</v>
      </c>
      <c r="S141" t="s">
        <v>1493</v>
      </c>
      <c r="T141" t="s">
        <v>1494</v>
      </c>
      <c r="U141" t="s">
        <v>1495</v>
      </c>
      <c r="V141" t="s">
        <v>1710</v>
      </c>
      <c r="W141">
        <v>603</v>
      </c>
      <c r="X141" t="s">
        <v>1711</v>
      </c>
      <c r="Y141" t="s">
        <v>1712</v>
      </c>
      <c r="Z141">
        <v>2</v>
      </c>
      <c r="AA141" t="s">
        <v>58</v>
      </c>
    </row>
    <row r="142" spans="1:27" x14ac:dyDescent="0.25">
      <c r="A142" t="s">
        <v>1485</v>
      </c>
      <c r="B142" t="s">
        <v>1486</v>
      </c>
      <c r="C142" t="s">
        <v>2121</v>
      </c>
      <c r="D142" t="s">
        <v>2122</v>
      </c>
      <c r="E142" t="s">
        <v>593</v>
      </c>
      <c r="F142" t="s">
        <v>2123</v>
      </c>
      <c r="G142">
        <v>2660</v>
      </c>
      <c r="H142">
        <v>0</v>
      </c>
      <c r="I142" t="s">
        <v>1459</v>
      </c>
      <c r="J142">
        <v>0</v>
      </c>
      <c r="K142">
        <v>1</v>
      </c>
      <c r="L142" t="s">
        <v>1487</v>
      </c>
      <c r="M142" t="s">
        <v>1488</v>
      </c>
      <c r="N142" t="s">
        <v>1489</v>
      </c>
      <c r="O142" t="s">
        <v>1610</v>
      </c>
      <c r="P142" t="s">
        <v>1491</v>
      </c>
      <c r="Q142" t="s">
        <v>1709</v>
      </c>
      <c r="R142" t="s">
        <v>1492</v>
      </c>
      <c r="S142" t="s">
        <v>1493</v>
      </c>
      <c r="T142" t="s">
        <v>1494</v>
      </c>
      <c r="U142" t="s">
        <v>1495</v>
      </c>
      <c r="V142" t="s">
        <v>1710</v>
      </c>
      <c r="W142">
        <v>603</v>
      </c>
      <c r="X142" t="s">
        <v>1711</v>
      </c>
      <c r="Y142" t="s">
        <v>1712</v>
      </c>
      <c r="Z142">
        <v>2</v>
      </c>
      <c r="AA142" t="s">
        <v>58</v>
      </c>
    </row>
    <row r="143" spans="1:27" x14ac:dyDescent="0.25">
      <c r="A143" t="s">
        <v>1485</v>
      </c>
      <c r="B143" t="s">
        <v>1486</v>
      </c>
      <c r="C143" t="s">
        <v>2124</v>
      </c>
      <c r="D143" t="s">
        <v>2125</v>
      </c>
      <c r="E143" t="s">
        <v>593</v>
      </c>
      <c r="F143" t="s">
        <v>2126</v>
      </c>
      <c r="G143">
        <v>2648</v>
      </c>
      <c r="H143">
        <v>0</v>
      </c>
      <c r="I143" t="s">
        <v>1459</v>
      </c>
      <c r="J143">
        <v>0</v>
      </c>
      <c r="K143">
        <v>1</v>
      </c>
      <c r="L143" t="s">
        <v>1487</v>
      </c>
      <c r="M143" t="s">
        <v>1488</v>
      </c>
      <c r="N143" t="s">
        <v>1489</v>
      </c>
      <c r="O143" t="s">
        <v>1555</v>
      </c>
      <c r="P143" t="s">
        <v>1491</v>
      </c>
      <c r="Q143" t="s">
        <v>1709</v>
      </c>
      <c r="R143" t="s">
        <v>1492</v>
      </c>
      <c r="S143" t="s">
        <v>1493</v>
      </c>
      <c r="T143" t="s">
        <v>1494</v>
      </c>
      <c r="U143" t="s">
        <v>1495</v>
      </c>
      <c r="V143" t="s">
        <v>1710</v>
      </c>
      <c r="W143">
        <v>603</v>
      </c>
      <c r="X143" t="s">
        <v>1711</v>
      </c>
      <c r="Y143" t="s">
        <v>1712</v>
      </c>
      <c r="Z143">
        <v>2</v>
      </c>
      <c r="AA143" t="s">
        <v>58</v>
      </c>
    </row>
    <row r="144" spans="1:27" x14ac:dyDescent="0.25">
      <c r="A144" t="s">
        <v>1485</v>
      </c>
      <c r="B144" t="s">
        <v>1486</v>
      </c>
      <c r="C144" t="s">
        <v>2127</v>
      </c>
      <c r="D144" t="s">
        <v>2128</v>
      </c>
      <c r="E144" t="s">
        <v>593</v>
      </c>
      <c r="F144" t="s">
        <v>2129</v>
      </c>
      <c r="G144">
        <v>2483</v>
      </c>
      <c r="H144">
        <v>0</v>
      </c>
      <c r="I144" t="s">
        <v>1459</v>
      </c>
      <c r="J144">
        <v>0</v>
      </c>
      <c r="K144">
        <v>1</v>
      </c>
      <c r="L144" t="s">
        <v>1487</v>
      </c>
      <c r="M144" t="s">
        <v>1488</v>
      </c>
      <c r="N144" t="s">
        <v>1489</v>
      </c>
      <c r="O144" t="s">
        <v>1514</v>
      </c>
      <c r="P144" t="s">
        <v>1491</v>
      </c>
      <c r="Q144" t="s">
        <v>1709</v>
      </c>
      <c r="R144" t="s">
        <v>1492</v>
      </c>
      <c r="S144" t="s">
        <v>1493</v>
      </c>
      <c r="T144" t="s">
        <v>1494</v>
      </c>
      <c r="U144" t="s">
        <v>1495</v>
      </c>
      <c r="V144" t="s">
        <v>1710</v>
      </c>
      <c r="W144">
        <v>603</v>
      </c>
      <c r="X144" t="s">
        <v>1711</v>
      </c>
      <c r="Y144" t="s">
        <v>1712</v>
      </c>
      <c r="Z144">
        <v>2</v>
      </c>
      <c r="AA144" t="s">
        <v>58</v>
      </c>
    </row>
    <row r="145" spans="1:27" x14ac:dyDescent="0.25">
      <c r="A145" t="s">
        <v>1485</v>
      </c>
      <c r="B145" t="s">
        <v>1486</v>
      </c>
      <c r="C145" t="s">
        <v>2130</v>
      </c>
      <c r="D145" t="s">
        <v>2131</v>
      </c>
      <c r="E145" t="s">
        <v>593</v>
      </c>
      <c r="F145" t="s">
        <v>2132</v>
      </c>
      <c r="G145">
        <v>2382</v>
      </c>
      <c r="H145">
        <v>0</v>
      </c>
      <c r="I145" t="s">
        <v>1459</v>
      </c>
      <c r="J145">
        <v>0</v>
      </c>
      <c r="K145">
        <v>1</v>
      </c>
      <c r="L145" t="s">
        <v>1487</v>
      </c>
      <c r="M145" t="s">
        <v>1488</v>
      </c>
      <c r="N145" t="s">
        <v>1489</v>
      </c>
      <c r="O145" t="s">
        <v>1611</v>
      </c>
      <c r="P145" t="s">
        <v>1491</v>
      </c>
      <c r="Q145" t="s">
        <v>1709</v>
      </c>
      <c r="R145" t="s">
        <v>1492</v>
      </c>
      <c r="S145" t="s">
        <v>1493</v>
      </c>
      <c r="T145" t="s">
        <v>1494</v>
      </c>
      <c r="U145" t="s">
        <v>1495</v>
      </c>
      <c r="V145" t="s">
        <v>1710</v>
      </c>
      <c r="W145">
        <v>603</v>
      </c>
      <c r="X145" t="s">
        <v>1711</v>
      </c>
      <c r="Y145" t="s">
        <v>1712</v>
      </c>
      <c r="Z145">
        <v>2</v>
      </c>
      <c r="AA145" t="s">
        <v>58</v>
      </c>
    </row>
    <row r="146" spans="1:27" x14ac:dyDescent="0.25">
      <c r="A146" t="s">
        <v>1485</v>
      </c>
      <c r="B146" t="s">
        <v>1486</v>
      </c>
      <c r="C146" t="s">
        <v>2133</v>
      </c>
      <c r="D146" t="s">
        <v>2134</v>
      </c>
      <c r="E146" t="s">
        <v>593</v>
      </c>
      <c r="F146" t="s">
        <v>2135</v>
      </c>
      <c r="G146">
        <v>2380</v>
      </c>
      <c r="H146">
        <v>0</v>
      </c>
      <c r="I146" t="s">
        <v>1459</v>
      </c>
      <c r="J146">
        <v>0</v>
      </c>
      <c r="K146">
        <v>1</v>
      </c>
      <c r="L146" t="s">
        <v>1487</v>
      </c>
      <c r="M146" t="s">
        <v>1488</v>
      </c>
      <c r="N146" t="s">
        <v>1489</v>
      </c>
      <c r="O146" t="s">
        <v>1607</v>
      </c>
      <c r="P146" t="s">
        <v>1491</v>
      </c>
      <c r="Q146" t="s">
        <v>1709</v>
      </c>
      <c r="R146" t="s">
        <v>1492</v>
      </c>
      <c r="S146" t="s">
        <v>1493</v>
      </c>
      <c r="T146" t="s">
        <v>1494</v>
      </c>
      <c r="U146" t="s">
        <v>1495</v>
      </c>
      <c r="V146" t="s">
        <v>1710</v>
      </c>
      <c r="W146">
        <v>603</v>
      </c>
      <c r="X146" t="s">
        <v>1711</v>
      </c>
      <c r="Y146" t="s">
        <v>1712</v>
      </c>
      <c r="Z146">
        <v>2</v>
      </c>
      <c r="AA146" t="s">
        <v>58</v>
      </c>
    </row>
    <row r="147" spans="1:27" x14ac:dyDescent="0.25">
      <c r="A147" t="s">
        <v>1485</v>
      </c>
      <c r="B147" t="s">
        <v>1486</v>
      </c>
      <c r="C147" t="s">
        <v>2136</v>
      </c>
      <c r="D147" t="s">
        <v>2137</v>
      </c>
      <c r="E147" t="s">
        <v>593</v>
      </c>
      <c r="F147" t="s">
        <v>2138</v>
      </c>
      <c r="G147">
        <v>2302</v>
      </c>
      <c r="H147">
        <v>0</v>
      </c>
      <c r="I147" t="s">
        <v>1459</v>
      </c>
      <c r="J147">
        <v>0</v>
      </c>
      <c r="K147">
        <v>1</v>
      </c>
      <c r="L147" t="s">
        <v>1487</v>
      </c>
      <c r="M147" t="s">
        <v>1488</v>
      </c>
      <c r="N147" t="s">
        <v>1489</v>
      </c>
      <c r="O147" t="s">
        <v>1590</v>
      </c>
      <c r="P147" t="s">
        <v>1491</v>
      </c>
      <c r="Q147" t="s">
        <v>1709</v>
      </c>
      <c r="R147" t="s">
        <v>1492</v>
      </c>
      <c r="S147" t="s">
        <v>1493</v>
      </c>
      <c r="T147" t="s">
        <v>1494</v>
      </c>
      <c r="U147" t="s">
        <v>1495</v>
      </c>
      <c r="V147" t="s">
        <v>1710</v>
      </c>
      <c r="W147">
        <v>603</v>
      </c>
      <c r="X147" t="s">
        <v>1711</v>
      </c>
      <c r="Y147" t="s">
        <v>1712</v>
      </c>
      <c r="Z147">
        <v>2</v>
      </c>
      <c r="AA147" t="s">
        <v>58</v>
      </c>
    </row>
    <row r="148" spans="1:27" x14ac:dyDescent="0.25">
      <c r="A148" t="s">
        <v>1485</v>
      </c>
      <c r="B148" t="s">
        <v>1486</v>
      </c>
      <c r="C148" t="s">
        <v>1020</v>
      </c>
      <c r="D148" t="s">
        <v>1021</v>
      </c>
      <c r="E148" t="s">
        <v>593</v>
      </c>
      <c r="F148" t="s">
        <v>1022</v>
      </c>
      <c r="G148">
        <v>2190</v>
      </c>
      <c r="H148">
        <v>0</v>
      </c>
      <c r="I148" t="s">
        <v>1459</v>
      </c>
      <c r="J148">
        <v>0</v>
      </c>
      <c r="K148">
        <v>1</v>
      </c>
      <c r="L148" t="s">
        <v>1487</v>
      </c>
      <c r="M148" t="s">
        <v>1488</v>
      </c>
      <c r="N148" t="s">
        <v>1489</v>
      </c>
      <c r="O148" t="s">
        <v>1541</v>
      </c>
      <c r="P148" t="s">
        <v>1491</v>
      </c>
      <c r="Q148" t="s">
        <v>1709</v>
      </c>
      <c r="R148" t="s">
        <v>1492</v>
      </c>
      <c r="S148" t="s">
        <v>1493</v>
      </c>
      <c r="T148" t="s">
        <v>1494</v>
      </c>
      <c r="U148" t="s">
        <v>1495</v>
      </c>
      <c r="V148" t="s">
        <v>1710</v>
      </c>
      <c r="W148">
        <v>603</v>
      </c>
      <c r="X148" t="s">
        <v>1711</v>
      </c>
      <c r="Y148" t="s">
        <v>1712</v>
      </c>
      <c r="Z148">
        <v>2</v>
      </c>
      <c r="AA148" t="s">
        <v>58</v>
      </c>
    </row>
    <row r="149" spans="1:27" x14ac:dyDescent="0.25">
      <c r="A149" t="s">
        <v>1485</v>
      </c>
      <c r="B149" t="s">
        <v>1486</v>
      </c>
      <c r="C149" t="s">
        <v>2139</v>
      </c>
      <c r="D149" t="s">
        <v>2140</v>
      </c>
      <c r="E149" t="s">
        <v>593</v>
      </c>
      <c r="F149" t="s">
        <v>2141</v>
      </c>
      <c r="G149">
        <v>2009</v>
      </c>
      <c r="H149">
        <v>0</v>
      </c>
      <c r="I149" t="s">
        <v>1459</v>
      </c>
      <c r="J149">
        <v>0</v>
      </c>
      <c r="K149">
        <v>1</v>
      </c>
      <c r="L149" t="s">
        <v>1487</v>
      </c>
      <c r="M149" t="s">
        <v>1488</v>
      </c>
      <c r="N149" t="s">
        <v>1489</v>
      </c>
      <c r="O149" t="s">
        <v>1586</v>
      </c>
      <c r="P149" t="s">
        <v>1491</v>
      </c>
      <c r="Q149" t="s">
        <v>1709</v>
      </c>
      <c r="R149" t="s">
        <v>1492</v>
      </c>
      <c r="S149" t="s">
        <v>1493</v>
      </c>
      <c r="T149" t="s">
        <v>1494</v>
      </c>
      <c r="U149" t="s">
        <v>1495</v>
      </c>
      <c r="V149" t="s">
        <v>1710</v>
      </c>
      <c r="W149">
        <v>603</v>
      </c>
      <c r="X149" t="s">
        <v>1711</v>
      </c>
      <c r="Y149" t="s">
        <v>1712</v>
      </c>
      <c r="Z149">
        <v>2</v>
      </c>
      <c r="AA149" t="s">
        <v>58</v>
      </c>
    </row>
    <row r="150" spans="1:27" x14ac:dyDescent="0.25">
      <c r="A150" t="s">
        <v>1485</v>
      </c>
      <c r="B150" t="s">
        <v>1486</v>
      </c>
      <c r="C150" t="s">
        <v>2142</v>
      </c>
      <c r="D150" t="s">
        <v>2143</v>
      </c>
      <c r="E150" t="s">
        <v>593</v>
      </c>
      <c r="F150" t="s">
        <v>2144</v>
      </c>
      <c r="G150">
        <v>1903</v>
      </c>
      <c r="H150">
        <v>0</v>
      </c>
      <c r="I150" t="s">
        <v>1459</v>
      </c>
      <c r="J150">
        <v>0</v>
      </c>
      <c r="K150">
        <v>1</v>
      </c>
      <c r="L150" t="s">
        <v>1487</v>
      </c>
      <c r="M150" t="s">
        <v>1488</v>
      </c>
      <c r="N150" t="s">
        <v>1489</v>
      </c>
      <c r="O150" t="s">
        <v>1631</v>
      </c>
      <c r="P150" t="s">
        <v>1491</v>
      </c>
      <c r="Q150" t="s">
        <v>1709</v>
      </c>
      <c r="R150" t="s">
        <v>1492</v>
      </c>
      <c r="S150" t="s">
        <v>1493</v>
      </c>
      <c r="T150" t="s">
        <v>1494</v>
      </c>
      <c r="U150" t="s">
        <v>1495</v>
      </c>
      <c r="V150" t="s">
        <v>1710</v>
      </c>
      <c r="W150">
        <v>603</v>
      </c>
      <c r="X150" t="s">
        <v>1711</v>
      </c>
      <c r="Y150" t="s">
        <v>1712</v>
      </c>
      <c r="Z150">
        <v>2</v>
      </c>
      <c r="AA150" t="s">
        <v>58</v>
      </c>
    </row>
    <row r="151" spans="1:27" x14ac:dyDescent="0.25">
      <c r="A151" t="s">
        <v>1485</v>
      </c>
      <c r="B151" t="s">
        <v>1486</v>
      </c>
      <c r="C151" t="s">
        <v>2145</v>
      </c>
      <c r="D151" t="s">
        <v>2146</v>
      </c>
      <c r="E151" t="s">
        <v>593</v>
      </c>
      <c r="F151" t="s">
        <v>2147</v>
      </c>
      <c r="G151">
        <v>1795</v>
      </c>
      <c r="H151">
        <v>0</v>
      </c>
      <c r="I151" t="s">
        <v>1459</v>
      </c>
      <c r="J151">
        <v>0</v>
      </c>
      <c r="K151">
        <v>1</v>
      </c>
      <c r="L151" t="s">
        <v>1487</v>
      </c>
      <c r="M151" t="s">
        <v>1488</v>
      </c>
      <c r="N151" t="s">
        <v>1489</v>
      </c>
      <c r="O151" t="s">
        <v>1587</v>
      </c>
      <c r="P151" t="s">
        <v>1491</v>
      </c>
      <c r="Q151" t="s">
        <v>1709</v>
      </c>
      <c r="R151" t="s">
        <v>1492</v>
      </c>
      <c r="S151" t="s">
        <v>1493</v>
      </c>
      <c r="T151" t="s">
        <v>1494</v>
      </c>
      <c r="U151" t="s">
        <v>1495</v>
      </c>
      <c r="V151" t="s">
        <v>1710</v>
      </c>
      <c r="W151">
        <v>603</v>
      </c>
      <c r="X151" t="s">
        <v>1711</v>
      </c>
      <c r="Y151" t="s">
        <v>1712</v>
      </c>
      <c r="Z151">
        <v>2</v>
      </c>
      <c r="AA151" t="s">
        <v>58</v>
      </c>
    </row>
    <row r="152" spans="1:27" x14ac:dyDescent="0.25">
      <c r="A152" t="s">
        <v>1485</v>
      </c>
      <c r="B152" t="s">
        <v>1486</v>
      </c>
      <c r="C152" t="s">
        <v>2148</v>
      </c>
      <c r="D152" t="s">
        <v>2149</v>
      </c>
      <c r="E152" t="s">
        <v>593</v>
      </c>
      <c r="F152" t="s">
        <v>2150</v>
      </c>
      <c r="G152">
        <v>1648</v>
      </c>
      <c r="H152">
        <v>0</v>
      </c>
      <c r="I152" t="s">
        <v>1459</v>
      </c>
      <c r="J152">
        <v>0</v>
      </c>
      <c r="K152">
        <v>1</v>
      </c>
      <c r="L152" t="s">
        <v>1487</v>
      </c>
      <c r="M152" t="s">
        <v>1488</v>
      </c>
      <c r="N152" t="s">
        <v>1489</v>
      </c>
      <c r="O152" t="s">
        <v>1490</v>
      </c>
      <c r="P152" t="s">
        <v>1491</v>
      </c>
      <c r="Q152" t="s">
        <v>1709</v>
      </c>
      <c r="R152" t="s">
        <v>1492</v>
      </c>
      <c r="S152" t="s">
        <v>1493</v>
      </c>
      <c r="T152" t="s">
        <v>1494</v>
      </c>
      <c r="U152" t="s">
        <v>1495</v>
      </c>
      <c r="V152" t="s">
        <v>1710</v>
      </c>
      <c r="W152">
        <v>603</v>
      </c>
      <c r="X152" t="s">
        <v>1711</v>
      </c>
      <c r="Y152" t="s">
        <v>1712</v>
      </c>
      <c r="Z152">
        <v>2</v>
      </c>
      <c r="AA152" t="s">
        <v>58</v>
      </c>
    </row>
    <row r="153" spans="1:27" x14ac:dyDescent="0.25">
      <c r="A153" t="s">
        <v>1485</v>
      </c>
      <c r="B153" t="s">
        <v>1486</v>
      </c>
      <c r="C153" t="s">
        <v>2151</v>
      </c>
      <c r="D153" t="s">
        <v>2152</v>
      </c>
      <c r="E153" t="s">
        <v>593</v>
      </c>
      <c r="F153" t="s">
        <v>2153</v>
      </c>
      <c r="G153">
        <v>1611</v>
      </c>
      <c r="H153">
        <v>0</v>
      </c>
      <c r="I153" t="s">
        <v>1459</v>
      </c>
      <c r="J153">
        <v>0</v>
      </c>
      <c r="K153">
        <v>1</v>
      </c>
      <c r="L153" t="s">
        <v>1487</v>
      </c>
      <c r="M153" t="s">
        <v>1488</v>
      </c>
      <c r="N153" t="s">
        <v>1489</v>
      </c>
      <c r="O153" t="s">
        <v>1615</v>
      </c>
      <c r="P153" t="s">
        <v>1491</v>
      </c>
      <c r="Q153" t="s">
        <v>1709</v>
      </c>
      <c r="R153" t="s">
        <v>1492</v>
      </c>
      <c r="S153" t="s">
        <v>1493</v>
      </c>
      <c r="T153" t="s">
        <v>1494</v>
      </c>
      <c r="U153" t="s">
        <v>1495</v>
      </c>
      <c r="V153" t="s">
        <v>1710</v>
      </c>
      <c r="W153">
        <v>603</v>
      </c>
      <c r="X153" t="s">
        <v>1711</v>
      </c>
      <c r="Y153" t="s">
        <v>1712</v>
      </c>
      <c r="Z153">
        <v>2</v>
      </c>
      <c r="AA153" t="s">
        <v>58</v>
      </c>
    </row>
    <row r="154" spans="1:27" x14ac:dyDescent="0.25">
      <c r="A154" t="s">
        <v>1485</v>
      </c>
      <c r="B154" t="s">
        <v>1486</v>
      </c>
      <c r="C154" t="s">
        <v>2154</v>
      </c>
      <c r="D154" t="s">
        <v>2155</v>
      </c>
      <c r="E154" t="s">
        <v>593</v>
      </c>
      <c r="F154" t="s">
        <v>2156</v>
      </c>
      <c r="G154">
        <v>1426</v>
      </c>
      <c r="H154">
        <v>0</v>
      </c>
      <c r="I154" t="s">
        <v>1459</v>
      </c>
      <c r="J154">
        <v>0</v>
      </c>
      <c r="K154">
        <v>1</v>
      </c>
      <c r="L154" t="s">
        <v>1487</v>
      </c>
      <c r="M154" t="s">
        <v>1488</v>
      </c>
      <c r="N154" t="s">
        <v>1489</v>
      </c>
      <c r="O154" t="s">
        <v>2157</v>
      </c>
      <c r="P154" t="s">
        <v>1491</v>
      </c>
      <c r="Q154" t="s">
        <v>1709</v>
      </c>
      <c r="R154" t="s">
        <v>1492</v>
      </c>
      <c r="S154" t="s">
        <v>1493</v>
      </c>
      <c r="T154" t="s">
        <v>1494</v>
      </c>
      <c r="U154" t="s">
        <v>1495</v>
      </c>
      <c r="V154" t="s">
        <v>1710</v>
      </c>
      <c r="W154">
        <v>603</v>
      </c>
      <c r="X154" t="s">
        <v>1711</v>
      </c>
      <c r="Y154" t="s">
        <v>1712</v>
      </c>
      <c r="Z154">
        <v>2</v>
      </c>
      <c r="AA154" t="s">
        <v>58</v>
      </c>
    </row>
    <row r="155" spans="1:27" x14ac:dyDescent="0.25">
      <c r="A155" t="s">
        <v>1485</v>
      </c>
      <c r="B155" t="s">
        <v>1486</v>
      </c>
      <c r="C155" t="s">
        <v>2158</v>
      </c>
      <c r="D155" t="s">
        <v>2159</v>
      </c>
      <c r="E155" t="s">
        <v>593</v>
      </c>
      <c r="F155" t="s">
        <v>2160</v>
      </c>
      <c r="G155">
        <v>1195</v>
      </c>
      <c r="H155">
        <v>0</v>
      </c>
      <c r="I155" t="s">
        <v>1459</v>
      </c>
      <c r="J155">
        <v>0</v>
      </c>
      <c r="K155">
        <v>1</v>
      </c>
      <c r="L155" t="s">
        <v>1487</v>
      </c>
      <c r="M155" t="s">
        <v>1488</v>
      </c>
      <c r="N155" t="s">
        <v>1489</v>
      </c>
      <c r="O155" t="s">
        <v>1516</v>
      </c>
      <c r="P155" t="s">
        <v>1491</v>
      </c>
      <c r="Q155" t="s">
        <v>1709</v>
      </c>
      <c r="R155" t="s">
        <v>1492</v>
      </c>
      <c r="S155" t="s">
        <v>1493</v>
      </c>
      <c r="T155" t="s">
        <v>1494</v>
      </c>
      <c r="U155" t="s">
        <v>1495</v>
      </c>
      <c r="V155" t="s">
        <v>1710</v>
      </c>
      <c r="W155">
        <v>603</v>
      </c>
      <c r="X155" t="s">
        <v>1711</v>
      </c>
      <c r="Y155" t="s">
        <v>1712</v>
      </c>
      <c r="Z155">
        <v>2</v>
      </c>
      <c r="AA155" t="s">
        <v>58</v>
      </c>
    </row>
    <row r="156" spans="1:27" x14ac:dyDescent="0.25">
      <c r="A156" t="s">
        <v>1485</v>
      </c>
      <c r="B156" t="s">
        <v>1486</v>
      </c>
      <c r="C156" t="s">
        <v>2161</v>
      </c>
      <c r="D156" t="s">
        <v>2162</v>
      </c>
      <c r="E156" t="s">
        <v>593</v>
      </c>
      <c r="F156" t="s">
        <v>2163</v>
      </c>
      <c r="G156">
        <v>1119</v>
      </c>
      <c r="H156">
        <v>0</v>
      </c>
      <c r="I156" t="s">
        <v>1459</v>
      </c>
      <c r="J156">
        <v>0</v>
      </c>
      <c r="K156">
        <v>1</v>
      </c>
      <c r="L156" t="s">
        <v>1487</v>
      </c>
      <c r="M156" t="s">
        <v>1488</v>
      </c>
      <c r="N156" t="s">
        <v>1489</v>
      </c>
      <c r="O156" t="s">
        <v>1535</v>
      </c>
      <c r="P156" t="s">
        <v>1491</v>
      </c>
      <c r="Q156" t="s">
        <v>1709</v>
      </c>
      <c r="R156" t="s">
        <v>1492</v>
      </c>
      <c r="S156" t="s">
        <v>1493</v>
      </c>
      <c r="T156" t="s">
        <v>1494</v>
      </c>
      <c r="U156" t="s">
        <v>1495</v>
      </c>
      <c r="V156" t="s">
        <v>1710</v>
      </c>
      <c r="W156">
        <v>603</v>
      </c>
      <c r="X156" t="s">
        <v>1711</v>
      </c>
      <c r="Y156" t="s">
        <v>1712</v>
      </c>
      <c r="Z156">
        <v>2</v>
      </c>
      <c r="AA156" t="s">
        <v>58</v>
      </c>
    </row>
    <row r="157" spans="1:27" x14ac:dyDescent="0.25">
      <c r="A157" t="s">
        <v>1485</v>
      </c>
      <c r="B157" t="s">
        <v>1486</v>
      </c>
      <c r="C157" t="s">
        <v>2164</v>
      </c>
      <c r="D157" t="s">
        <v>2165</v>
      </c>
      <c r="E157" t="s">
        <v>593</v>
      </c>
      <c r="F157" t="s">
        <v>2166</v>
      </c>
      <c r="G157">
        <v>1060</v>
      </c>
      <c r="H157">
        <v>0</v>
      </c>
      <c r="I157" t="s">
        <v>1459</v>
      </c>
      <c r="J157">
        <v>0</v>
      </c>
      <c r="K157">
        <v>1</v>
      </c>
      <c r="L157" t="s">
        <v>1487</v>
      </c>
      <c r="M157" t="s">
        <v>1488</v>
      </c>
      <c r="N157" t="s">
        <v>1489</v>
      </c>
      <c r="O157" t="s">
        <v>1542</v>
      </c>
      <c r="P157" t="s">
        <v>1491</v>
      </c>
      <c r="Q157" t="s">
        <v>1709</v>
      </c>
      <c r="R157" t="s">
        <v>1492</v>
      </c>
      <c r="S157" t="s">
        <v>1493</v>
      </c>
      <c r="T157" t="s">
        <v>1494</v>
      </c>
      <c r="U157" t="s">
        <v>1495</v>
      </c>
      <c r="V157" t="s">
        <v>1710</v>
      </c>
      <c r="W157">
        <v>603</v>
      </c>
      <c r="X157" t="s">
        <v>1711</v>
      </c>
      <c r="Y157" t="s">
        <v>1712</v>
      </c>
      <c r="Z157">
        <v>2</v>
      </c>
      <c r="AA157" t="s">
        <v>58</v>
      </c>
    </row>
    <row r="158" spans="1:27" x14ac:dyDescent="0.25">
      <c r="A158" t="s">
        <v>1485</v>
      </c>
      <c r="B158" t="s">
        <v>1486</v>
      </c>
      <c r="C158" t="s">
        <v>2167</v>
      </c>
      <c r="D158" t="s">
        <v>2168</v>
      </c>
      <c r="E158" t="s">
        <v>593</v>
      </c>
      <c r="F158" t="s">
        <v>2169</v>
      </c>
      <c r="G158">
        <v>852</v>
      </c>
      <c r="H158">
        <v>0</v>
      </c>
      <c r="I158" t="s">
        <v>1459</v>
      </c>
      <c r="J158">
        <v>0</v>
      </c>
      <c r="K158">
        <v>1</v>
      </c>
      <c r="L158" t="s">
        <v>1487</v>
      </c>
      <c r="M158" t="s">
        <v>1488</v>
      </c>
      <c r="N158" t="s">
        <v>1489</v>
      </c>
      <c r="O158" t="s">
        <v>2170</v>
      </c>
      <c r="P158" t="s">
        <v>1491</v>
      </c>
      <c r="Q158" t="s">
        <v>1709</v>
      </c>
      <c r="R158" t="s">
        <v>1492</v>
      </c>
      <c r="S158" t="s">
        <v>1493</v>
      </c>
      <c r="T158" t="s">
        <v>1494</v>
      </c>
      <c r="U158" t="s">
        <v>1495</v>
      </c>
      <c r="V158" t="s">
        <v>1710</v>
      </c>
      <c r="W158">
        <v>603</v>
      </c>
      <c r="X158" t="s">
        <v>1711</v>
      </c>
      <c r="Y158" t="s">
        <v>1712</v>
      </c>
      <c r="Z158">
        <v>2</v>
      </c>
      <c r="AA158" t="s">
        <v>58</v>
      </c>
    </row>
    <row r="159" spans="1:27" x14ac:dyDescent="0.25">
      <c r="A159" t="s">
        <v>1485</v>
      </c>
      <c r="B159" t="s">
        <v>1486</v>
      </c>
      <c r="C159" t="s">
        <v>2171</v>
      </c>
      <c r="D159" t="s">
        <v>2172</v>
      </c>
      <c r="E159" t="s">
        <v>593</v>
      </c>
      <c r="F159" t="s">
        <v>2173</v>
      </c>
      <c r="G159">
        <v>814</v>
      </c>
      <c r="H159">
        <v>0</v>
      </c>
      <c r="I159" t="s">
        <v>1459</v>
      </c>
      <c r="J159">
        <v>0</v>
      </c>
      <c r="K159">
        <v>1</v>
      </c>
      <c r="L159" t="s">
        <v>1487</v>
      </c>
      <c r="M159" t="s">
        <v>1488</v>
      </c>
      <c r="N159" t="s">
        <v>1489</v>
      </c>
      <c r="O159" t="s">
        <v>1560</v>
      </c>
      <c r="P159" t="s">
        <v>1491</v>
      </c>
      <c r="Q159" t="s">
        <v>1709</v>
      </c>
      <c r="R159" t="s">
        <v>1492</v>
      </c>
      <c r="S159" t="s">
        <v>1493</v>
      </c>
      <c r="T159" t="s">
        <v>1494</v>
      </c>
      <c r="U159" t="s">
        <v>1495</v>
      </c>
      <c r="V159" t="s">
        <v>1710</v>
      </c>
      <c r="W159">
        <v>603</v>
      </c>
      <c r="X159" t="s">
        <v>1711</v>
      </c>
      <c r="Y159" t="s">
        <v>1712</v>
      </c>
      <c r="Z159">
        <v>2</v>
      </c>
      <c r="AA159" t="s">
        <v>58</v>
      </c>
    </row>
    <row r="160" spans="1:27" x14ac:dyDescent="0.25">
      <c r="A160" t="s">
        <v>1485</v>
      </c>
      <c r="B160" t="s">
        <v>1486</v>
      </c>
      <c r="C160" t="s">
        <v>2174</v>
      </c>
      <c r="D160" t="s">
        <v>2175</v>
      </c>
      <c r="E160" t="s">
        <v>593</v>
      </c>
      <c r="F160" t="s">
        <v>2176</v>
      </c>
      <c r="G160">
        <v>609</v>
      </c>
      <c r="H160">
        <v>0</v>
      </c>
      <c r="I160" t="s">
        <v>1459</v>
      </c>
      <c r="J160">
        <v>0</v>
      </c>
      <c r="K160">
        <v>1</v>
      </c>
      <c r="L160" t="s">
        <v>1487</v>
      </c>
      <c r="M160" t="s">
        <v>1488</v>
      </c>
      <c r="N160" t="s">
        <v>1489</v>
      </c>
      <c r="O160" t="s">
        <v>1589</v>
      </c>
      <c r="P160" t="s">
        <v>1491</v>
      </c>
      <c r="Q160" t="s">
        <v>1709</v>
      </c>
      <c r="R160" t="s">
        <v>1492</v>
      </c>
      <c r="S160" t="s">
        <v>1493</v>
      </c>
      <c r="T160" t="s">
        <v>1494</v>
      </c>
      <c r="U160" t="s">
        <v>1495</v>
      </c>
      <c r="V160" t="s">
        <v>1710</v>
      </c>
      <c r="W160">
        <v>603</v>
      </c>
      <c r="X160" t="s">
        <v>1711</v>
      </c>
      <c r="Y160" t="s">
        <v>1712</v>
      </c>
      <c r="Z160">
        <v>2</v>
      </c>
      <c r="AA160" t="s">
        <v>58</v>
      </c>
    </row>
    <row r="161" spans="1:27" x14ac:dyDescent="0.25">
      <c r="A161" t="s">
        <v>1485</v>
      </c>
      <c r="B161" t="s">
        <v>1486</v>
      </c>
      <c r="C161" t="s">
        <v>2177</v>
      </c>
      <c r="D161" t="s">
        <v>2178</v>
      </c>
      <c r="E161" t="s">
        <v>593</v>
      </c>
      <c r="F161" t="s">
        <v>2179</v>
      </c>
      <c r="G161">
        <v>299</v>
      </c>
      <c r="H161">
        <v>0</v>
      </c>
      <c r="I161" t="s">
        <v>1459</v>
      </c>
      <c r="J161">
        <v>0</v>
      </c>
      <c r="K161">
        <v>1</v>
      </c>
      <c r="L161" t="s">
        <v>1487</v>
      </c>
      <c r="M161" t="s">
        <v>1488</v>
      </c>
      <c r="N161" t="s">
        <v>1489</v>
      </c>
      <c r="O161" t="s">
        <v>1530</v>
      </c>
      <c r="P161" t="s">
        <v>1491</v>
      </c>
      <c r="Q161" t="s">
        <v>1709</v>
      </c>
      <c r="R161" t="s">
        <v>1492</v>
      </c>
      <c r="S161" t="s">
        <v>1493</v>
      </c>
      <c r="T161" t="s">
        <v>1494</v>
      </c>
      <c r="U161" t="s">
        <v>1495</v>
      </c>
      <c r="V161" t="s">
        <v>1710</v>
      </c>
      <c r="W161">
        <v>603</v>
      </c>
      <c r="X161" t="s">
        <v>1711</v>
      </c>
      <c r="Y161" t="s">
        <v>1712</v>
      </c>
      <c r="Z161">
        <v>2</v>
      </c>
      <c r="AA161" t="s">
        <v>58</v>
      </c>
    </row>
    <row r="162" spans="1:27" x14ac:dyDescent="0.25">
      <c r="A162" t="s">
        <v>1485</v>
      </c>
      <c r="B162" t="s">
        <v>1486</v>
      </c>
      <c r="C162" t="s">
        <v>2180</v>
      </c>
      <c r="D162" t="s">
        <v>2181</v>
      </c>
      <c r="E162" t="s">
        <v>593</v>
      </c>
      <c r="F162" t="s">
        <v>2182</v>
      </c>
      <c r="G162">
        <v>233</v>
      </c>
      <c r="H162">
        <v>0</v>
      </c>
      <c r="I162" t="s">
        <v>1459</v>
      </c>
      <c r="J162">
        <v>0</v>
      </c>
      <c r="K162">
        <v>1</v>
      </c>
      <c r="L162" t="s">
        <v>1487</v>
      </c>
      <c r="M162" t="s">
        <v>1488</v>
      </c>
      <c r="N162" t="s">
        <v>1489</v>
      </c>
      <c r="O162" t="s">
        <v>1575</v>
      </c>
      <c r="P162" t="s">
        <v>1491</v>
      </c>
      <c r="Q162" t="s">
        <v>1709</v>
      </c>
      <c r="R162" t="s">
        <v>1492</v>
      </c>
      <c r="S162" t="s">
        <v>1493</v>
      </c>
      <c r="T162" t="s">
        <v>1494</v>
      </c>
      <c r="U162" t="s">
        <v>1495</v>
      </c>
      <c r="V162" t="s">
        <v>1710</v>
      </c>
      <c r="W162">
        <v>603</v>
      </c>
      <c r="X162" t="s">
        <v>1711</v>
      </c>
      <c r="Y162" t="s">
        <v>1712</v>
      </c>
      <c r="Z162">
        <v>2</v>
      </c>
      <c r="AA162" t="s">
        <v>58</v>
      </c>
    </row>
    <row r="163" spans="1:27" x14ac:dyDescent="0.25">
      <c r="A163" t="s">
        <v>1485</v>
      </c>
      <c r="B163" t="s">
        <v>1486</v>
      </c>
      <c r="C163" t="s">
        <v>2183</v>
      </c>
      <c r="D163" t="s">
        <v>2184</v>
      </c>
      <c r="E163" t="s">
        <v>593</v>
      </c>
      <c r="F163" t="s">
        <v>2185</v>
      </c>
      <c r="G163">
        <v>156</v>
      </c>
      <c r="H163">
        <v>0</v>
      </c>
      <c r="I163" t="s">
        <v>1459</v>
      </c>
      <c r="J163">
        <v>0</v>
      </c>
      <c r="K163">
        <v>1</v>
      </c>
      <c r="L163" t="s">
        <v>1487</v>
      </c>
      <c r="M163" t="s">
        <v>1488</v>
      </c>
      <c r="N163" t="s">
        <v>1489</v>
      </c>
      <c r="O163" t="s">
        <v>1623</v>
      </c>
      <c r="P163" t="s">
        <v>1491</v>
      </c>
      <c r="Q163" t="s">
        <v>1709</v>
      </c>
      <c r="R163" t="s">
        <v>1492</v>
      </c>
      <c r="S163" t="s">
        <v>1493</v>
      </c>
      <c r="T163" t="s">
        <v>1494</v>
      </c>
      <c r="U163" t="s">
        <v>1495</v>
      </c>
      <c r="V163" t="s">
        <v>1710</v>
      </c>
      <c r="W163">
        <v>603</v>
      </c>
      <c r="X163" t="s">
        <v>1711</v>
      </c>
      <c r="Y163" t="s">
        <v>1712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2019-08-25T08:49:21Z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