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6EBC4F7-0819-4B2E-BEFC-12E3600A582A}" xr6:coauthVersionLast="43" xr6:coauthVersionMax="43" xr10:uidLastSave="{00000000-0000-0000-0000-000000000000}"/>
  <bookViews>
    <workbookView xWindow="-120" yWindow="-120" windowWidth="29040" windowHeight="15990" activeTab="4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J3" i="15" l="1"/>
  <c r="K3" i="15" s="1"/>
  <c r="J2" i="15"/>
  <c r="K2" i="15" s="1"/>
  <c r="M2" i="15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<sst xmlns="http://schemas.openxmlformats.org/spreadsheetml/2006/main" count="1562" uniqueCount="524">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</sst>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History"/>
      <sheetName val="Articles"/>
      <sheetName val="Main"/>
      <sheetName val="Articles_commandes"/>
      <sheetName val="Commands"/>
      <sheetName val="Product_Example_v1"/>
      <sheetName val="ProductTemplate"/>
      <sheetName val="ProductConfig"/>
      <sheetName val="OrderAdder"/>
      <sheetName val="OrderAdder_work"/>
      <sheetName val="Stock_template"/>
    </sheetNames>
    <definedNames>
      <definedName name="btn_CreateOrd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46">
  <autoFilter ref="A1:F185" xr:uid="{BDAE12D6-129D-4B55-B01B-D1493E590308}"/>
  <tableColumns count="6">
    <tableColumn id="1" xr3:uid="{F20AB9A4-F1CA-4493-AFCA-1ECFD6C72926}" name="Date" dataDxfId="145"/>
    <tableColumn id="2" xr3:uid="{9E5C5770-C960-45BB-8115-75DB62A3B16C}" name="Article Number" dataDxfId="144"/>
    <tableColumn id="5" xr3:uid="{16BFD56B-B56A-4848-9201-68C2F28CFA64}" name="Modification" dataDxfId="143"/>
    <tableColumn id="3" xr3:uid="{10BA92E7-A8AC-46B9-9939-48EDBF630513}" name="Stock Before" dataDxfId="142"/>
    <tableColumn id="4" xr3:uid="{89A58CF5-EDCB-4EF1-963E-E9EB1A0CCFEF}" name="Stock After" dataDxfId="141"/>
    <tableColumn id="6" xr3:uid="{FF179CF1-10A5-4445-94E5-D3770F8EB2DA}" name="INFO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132" dataDxfId="131" tableBorderDxfId="130">
  <autoFilter ref="A1:Z100" xr:uid="{3C65767D-796D-455D-8592-2DCFC786B11E}"/>
  <sortState ref="A2:Z100">
    <sortCondition ref="A1:A100"/>
  </sortState>
  <tableColumns count="26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5" xr3:uid="{AF531B20-C2C7-43E4-88F6-C002EAFA6EF0}" name="In stock" dataDxfId="125"/>
    <tableColumn id="6" xr3:uid="{4AE22FEC-1D74-4166-880B-DE3C3B0F48C3}" name="Min in stock" dataDxfId="124">
      <calculatedColumnFormula>10</calculatedColumnFormula>
    </tableColumn>
    <tableColumn id="7" xr3:uid="{DDF25EC9-10A6-4A51-A3FF-5F173DC0429C}" name="Auto Order" dataDxfId="123">
      <calculatedColumnFormula>1</calculatedColumnFormula>
    </tableColumn>
    <tableColumn id="8" xr3:uid="{8FB77B6F-1796-445F-A628-6683E80A406B}" name="Default Art. Number" dataDxfId="122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21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20"/>
    <tableColumn id="11" xr3:uid="{904ACEAE-3EBB-4B5A-B40F-F27BEC67197D}" name="Unit price" dataDxfId="119"/>
    <tableColumn id="12" xr3:uid="{1C8E6FC8-F976-4331-BE85-AE9F5CCE5385}" name="Farnell Art. Number" dataDxfId="118"/>
    <tableColumn id="13" xr3:uid="{9CEB0B0D-E776-4EE1-BA17-F20F36573DF1}" name="Unit price2" dataDxfId="117"/>
    <tableColumn id="14" xr3:uid="{4835AE8C-6AA4-4E3D-AA3C-47D081785B10}" name="Distrelec Art. Number" dataDxfId="116"/>
    <tableColumn id="15" xr3:uid="{CFC19F72-EB6A-4DA4-8140-6E03AC8C87E2}" name="Unit price3" dataDxfId="115"/>
    <tableColumn id="16" xr3:uid="{440F2FEC-A527-4DB9-8F02-E02C455DD168}" name="Conrad Art. Number" dataDxfId="114"/>
    <tableColumn id="17" xr3:uid="{C15F9ED7-FCDD-4ED8-8193-766AD4AACE12}" name="Unit price4" dataDxfId="113"/>
    <tableColumn id="18" xr3:uid="{E8BE4F49-80E3-4D58-8712-2588048DD5B2}" name="Mouser Art. Number" dataDxfId="112"/>
    <tableColumn id="19" xr3:uid="{71B82CF1-AA7C-485A-B22F-DFCA002E3E0B}" name="Unit price5" dataDxfId="111"/>
    <tableColumn id="20" xr3:uid="{B372D927-D0BD-4305-A32A-0C014ACEEBAB}" name="Aliexpress Art. Number" dataDxfId="110"/>
    <tableColumn id="21" xr3:uid="{56A9B167-940C-4D6B-8B5D-F91623F90BD6}" name="Unit price6" dataDxfId="109"/>
    <tableColumn id="22" xr3:uid="{2E67C835-F42C-4886-A3E6-A86A66CF03DE}" name="Banggood Art. Number" dataDxfId="108"/>
    <tableColumn id="23" xr3:uid="{96EE1B48-7059-4798-A1ED-B830DB9D7D70}" name="Unit price7" dataDxfId="107"/>
    <tableColumn id="24" xr3:uid="{DFC2A0A6-4951-479C-8775-526D9FDB26B4}" name="Other Art. Number" dataDxfId="106"/>
    <tableColumn id="25" xr3:uid="{09619815-DA2C-43CD-A998-2BAAC30ACE14}" name="Unit price8" dataDxfId="105"/>
    <tableColumn id="26" xr3:uid="{CBAAFE5B-29D9-4E86-8241-3FA6E46052BB}" name="In next order" dataDxfId="104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3" dataDxfId="101" headerRowBorderDxfId="10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0"/>
    <tableColumn id="2" xr3:uid="{868F71A1-EA8D-4FE4-9E10-4FA4EE5293B1}" name="Man. Number" dataDxfId="99"/>
    <tableColumn id="3" xr3:uid="{2BE62D1D-359E-4098-A703-65FA8EB2A2EB}" name="Manufacturer" dataDxfId="98"/>
    <tableColumn id="4" xr3:uid="{AEC8A4D9-9242-49C2-8841-3FA0C13E4BF7}" name="Retailer" dataDxfId="97"/>
    <tableColumn id="5" xr3:uid="{727086BC-BBF9-470F-8005-62D7E303CEAD}" name="Description" dataDxfId="96"/>
    <tableColumn id="7" xr3:uid="{38960764-2FF5-4AE8-BD63-75EC1C594716}" name="Unit price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4" dataDxfId="92" headerRowBorderDxfId="93" tableBorderDxfId="91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90" totalsRowDxfId="89"/>
    <tableColumn id="1" xr3:uid="{B10D53AF-03D1-4287-B98C-B2EBD99019D4}" name="Ret. Art. Number" dataDxfId="88" totalsRowDxfId="87"/>
    <tableColumn id="3" xr3:uid="{4C487402-2AAB-4AF3-BE67-7394C36C842C}" name="Manufacturer" dataDxfId="86" totalsRowDxfId="85"/>
    <tableColumn id="4" xr3:uid="{8EC0DC8E-76AD-4B9F-83B7-1A0DD14BB27F}" name="Retailer" dataDxfId="84" totalsRowDxfId="83"/>
    <tableColumn id="5" xr3:uid="{F034F88F-58E3-461F-AA98-A329A317450C}" name="Place" dataDxfId="82" totalsRowDxfId="81"/>
    <tableColumn id="6" xr3:uid="{270626A5-5AC9-4B4B-BFA1-CB61FB278FF7}" name="Description" dataDxfId="80" totalsRowDxfId="79"/>
    <tableColumn id="7" xr3:uid="{6AED47F2-55E6-446F-831B-A118A7B0B1ED}" name="In stock" dataDxfId="78" totalsRowDxfId="77"/>
    <tableColumn id="8" xr3:uid="{AC92F839-E54E-493C-ABE5-5E0757E61859}" name="Min Stock" dataDxfId="76" totalsRowDxfId="75"/>
    <tableColumn id="11" xr3:uid="{FA19872E-A366-497E-9D69-828A97ECF042}" name="Unit price" dataDxfId="74" totalsRowDxfId="73"/>
    <tableColumn id="13" xr3:uid="{EA825846-8448-46C3-B6A4-847B2F364E4E}" name="Quantity" dataDxfId="72" totalsRowDxfId="7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0" totalsRowDxfId="69">
      <calculatedColumnFormula>Table8[[#This Row],[Quantity]]*Table8[[#This Row],[Unit price]]</calculatedColumnFormula>
    </tableColumn>
    <tableColumn id="9" xr3:uid="{CF148814-A309-4554-8503-283AD3C9BC12}" name="Bulk Add : Quantity" dataDxfId="68" totalsRowDxfId="67">
      <calculatedColumnFormula>Table8[[#This Row],[Quantity]]</calculatedColumnFormula>
    </tableColumn>
    <tableColumn id="10" xr3:uid="{B113FB1E-B792-4B87-9210-09F62D33E8F1}" name="Bulk Add : Product Number" dataDxfId="66" totalsRowDxfId="65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47" dataDxfId="45" headerRowBorderDxfId="46">
  <autoFilter ref="A1:H15" xr:uid="{06E2CB8E-61AB-472E-BCF2-E6E1E6F7BC5B}"/>
  <tableColumns count="8">
    <tableColumn id="2" xr3:uid="{9E0E6405-0958-4064-8395-03A32BA24ED3}" name="Man. Number" dataDxfId="44"/>
    <tableColumn id="5" xr3:uid="{BA21CA97-DCD9-408A-9894-96A639A19D11}" name="Description" dataDxfId="43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42"/>
    <tableColumn id="8" xr3:uid="{79E97D26-BF86-43B2-AEF5-CE725327DF74}" name="Quantity" dataDxfId="41"/>
    <tableColumn id="6" xr3:uid="{55CA5BD7-34A5-4A62-9044-29A0D9B81880}" name="In stock" dataDxfId="40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39">
      <calculatedColumnFormula>IF(Table146[[#This Row],[In stock]] &gt;= Table146[[#This Row],[Quantity]],"YES","NO")</calculatedColumnFormula>
    </tableColumn>
    <tableColumn id="3" xr3:uid="{A3EA9E6B-B1AC-439E-A8AB-942C2E65E112}" name="Total quantity" dataDxfId="38">
      <calculatedColumnFormula>Table146[[#This Row],[Quantity]]*$K$1</calculatedColumnFormula>
    </tableColumn>
    <tableColumn id="4" xr3:uid="{04D63216-7DC3-4D59-A043-09BBD0852B90}" name="Total available" dataDxfId="37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35" dataDxfId="33" headerRowBorderDxfId="34">
  <autoFilter ref="A1:H2" xr:uid="{06E2CB8E-61AB-472E-BCF2-E6E1E6F7BC5B}"/>
  <tableColumns count="8">
    <tableColumn id="2" xr3:uid="{E1B3591E-7FDF-432B-8B47-D1874E0B26F5}" name="Man. Number" dataDxfId="32"/>
    <tableColumn id="5" xr3:uid="{EE74CBB7-B4AE-4E4F-A276-4111D2262064}" name="Description" dataDxfId="31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30"/>
    <tableColumn id="8" xr3:uid="{C50EC552-0304-4799-AAF5-38B8D35A381E}" name="Quantity" dataDxfId="29"/>
    <tableColumn id="6" xr3:uid="{F740468C-0E09-4D56-BD5D-693ECC8337EF}" name="In stock" dataDxfId="28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27">
      <calculatedColumnFormula>IF(Table146810[[#This Row],[In stock]] &gt;= Table146810[[#This Row],[Quantity]],"YES","NO")</calculatedColumnFormula>
    </tableColumn>
    <tableColumn id="3" xr3:uid="{4A6F19BB-BD74-4582-AA81-751983BFF844}" name="Total quantity" dataDxfId="26">
      <calculatedColumnFormula>Table146810[[#This Row],[Quantity]]*$K$1</calculatedColumnFormula>
    </tableColumn>
    <tableColumn id="4" xr3:uid="{562176AD-2473-43BF-B998-A5B71A21527C}" name="Total available" dataDxfId="2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23" dataDxfId="21" headerRowBorderDxfId="22">
  <autoFilter ref="A1:H2" xr:uid="{06E2CB8E-61AB-472E-BCF2-E6E1E6F7BC5B}"/>
  <tableColumns count="8">
    <tableColumn id="2" xr3:uid="{AD6FF1DB-33D0-406A-BC62-5C920E3086F8}" name="Man. Number" dataDxfId="20"/>
    <tableColumn id="5" xr3:uid="{DE30DEEA-B1F2-49E6-90FB-A3A09084BC7F}" name="Description" dataDxfId="19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18"/>
    <tableColumn id="8" xr3:uid="{19242CC9-CDB5-49EB-B17E-553D3745B52B}" name="Quantity" dataDxfId="17"/>
    <tableColumn id="6" xr3:uid="{ECC39063-2325-4B34-AEC6-9D8392F57051}" name="In stock" dataDxfId="16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15">
      <calculatedColumnFormula>IF(Table146811[[#This Row],[In stock]] &gt;= Table146811[[#This Row],[Quantity]],"YES","NO")</calculatedColumnFormula>
    </tableColumn>
    <tableColumn id="3" xr3:uid="{DDAA5D15-9725-490B-BD3A-48CD27933BE8}" name="Total quantity" dataDxfId="14">
      <calculatedColumnFormula>Table146811[[#This Row],[Quantity]]*$K$1</calculatedColumnFormula>
    </tableColumn>
    <tableColumn id="4" xr3:uid="{DF2985A7-E964-4DBC-B346-C3ABD3D6D1AC}" name="Total available" dataDxfId="13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workbookViewId="0">
      <pane ySplit="1" topLeftCell="A165" activePane="bottomLeft" state="frozen"/>
      <selection pane="bottomLeft" activeCell="D189" sqref="D189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490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506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506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506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506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506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506</v>
      </c>
    </row>
    <row r="159" spans="1:6" x14ac:dyDescent="0.25">
      <c r="A159" s="50">
        <v>43574.645150462966</v>
      </c>
      <c r="B159" s="3" t="s">
        <v>473</v>
      </c>
      <c r="C159" s="13" t="s">
        <v>332</v>
      </c>
      <c r="D159" s="13">
        <v>0</v>
      </c>
      <c r="E159" s="13" t="s">
        <v>332</v>
      </c>
      <c r="F159" s="3" t="s">
        <v>506</v>
      </c>
    </row>
    <row r="160" spans="1:6" x14ac:dyDescent="0.25">
      <c r="A160" s="50">
        <v>43574.645162037035</v>
      </c>
      <c r="B160" s="3" t="s">
        <v>474</v>
      </c>
      <c r="C160" s="13" t="s">
        <v>332</v>
      </c>
      <c r="D160" s="13">
        <v>0</v>
      </c>
      <c r="E160" s="13" t="s">
        <v>332</v>
      </c>
      <c r="F160" s="3" t="s">
        <v>506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506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506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506</v>
      </c>
    </row>
    <row r="164" spans="1:6" x14ac:dyDescent="0.25">
      <c r="A164" s="50">
        <v>43574.645162037035</v>
      </c>
      <c r="B164" s="3" t="s">
        <v>477</v>
      </c>
      <c r="C164" s="13" t="s">
        <v>332</v>
      </c>
      <c r="D164" s="13">
        <v>0</v>
      </c>
      <c r="E164" s="13" t="s">
        <v>332</v>
      </c>
      <c r="F164" s="3" t="s">
        <v>506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506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506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506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506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506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506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516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516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516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516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516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516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516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516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516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516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516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516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516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516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516</v>
      </c>
    </row>
  </sheetData>
  <conditionalFormatting sqref="B40">
    <cfRule type="duplicateValues" dxfId="152" priority="6"/>
  </conditionalFormatting>
  <conditionalFormatting sqref="B41">
    <cfRule type="duplicateValues" dxfId="151" priority="5"/>
  </conditionalFormatting>
  <conditionalFormatting sqref="B42">
    <cfRule type="duplicateValues" dxfId="150" priority="4"/>
  </conditionalFormatting>
  <conditionalFormatting sqref="B43">
    <cfRule type="duplicateValues" dxfId="149" priority="3"/>
  </conditionalFormatting>
  <conditionalFormatting sqref="B44">
    <cfRule type="duplicateValues" dxfId="148" priority="2"/>
  </conditionalFormatting>
  <conditionalFormatting sqref="B45">
    <cfRule type="duplicateValues" dxfId="1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topLeftCell="L1" zoomScaleNormal="100" workbookViewId="0">
      <pane ySplit="1" topLeftCell="A2" activePane="bottomLeft" state="frozen"/>
      <selection activeCell="F1" sqref="F1"/>
      <selection pane="bottomLeft" activeCell="Z3" sqref="Z3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490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519</v>
      </c>
      <c r="H1" s="36" t="s">
        <v>517</v>
      </c>
      <c r="I1" s="37" t="s">
        <v>518</v>
      </c>
      <c r="J1" s="38" t="s">
        <v>485</v>
      </c>
      <c r="K1" s="37" t="s">
        <v>8</v>
      </c>
      <c r="L1" s="38" t="s">
        <v>487</v>
      </c>
      <c r="M1" s="37" t="s">
        <v>493</v>
      </c>
      <c r="N1" s="38" t="s">
        <v>486</v>
      </c>
      <c r="O1" s="37" t="s">
        <v>494</v>
      </c>
      <c r="P1" s="38" t="s">
        <v>489</v>
      </c>
      <c r="Q1" s="37" t="s">
        <v>495</v>
      </c>
      <c r="R1" s="38" t="s">
        <v>488</v>
      </c>
      <c r="S1" s="37" t="s">
        <v>496</v>
      </c>
      <c r="T1" s="38" t="s">
        <v>491</v>
      </c>
      <c r="U1" s="37" t="s">
        <v>497</v>
      </c>
      <c r="V1" s="38" t="s">
        <v>492</v>
      </c>
      <c r="W1" s="37" t="s">
        <v>498</v>
      </c>
      <c r="X1" s="37" t="s">
        <v>521</v>
      </c>
      <c r="Y1" s="37" t="s">
        <v>520</v>
      </c>
      <c r="Z1" s="35" t="s">
        <v>507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468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469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470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471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472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499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500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475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476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504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503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502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501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478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467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479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505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480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481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f>10</f>
        <v>10</v>
      </c>
      <c r="G91" s="44">
        <f>1</f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482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483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39" priority="36" operator="equal">
      <formula>0</formula>
    </cfRule>
  </conditionalFormatting>
  <conditionalFormatting sqref="Z1:Z100 AA101:AA1048576">
    <cfRule type="cellIs" dxfId="138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37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6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35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34" priority="2" operator="lessThanOrEqual">
      <formula>0</formula>
    </cfRule>
  </conditionalFormatting>
  <conditionalFormatting sqref="A2:A100">
    <cfRule type="duplicateValues" dxfId="133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K9" sqref="K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2" t="s">
        <v>512</v>
      </c>
      <c r="G2" s="19" t="s">
        <v>523</v>
      </c>
      <c r="J2" s="19" t="s">
        <v>522</v>
      </c>
    </row>
    <row r="3" spans="1:11" x14ac:dyDescent="0.25">
      <c r="B3" s="52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2" t="s">
        <v>513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2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2" t="s">
        <v>514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2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2" t="s">
        <v>515</v>
      </c>
      <c r="J11" t="s">
        <v>459</v>
      </c>
    </row>
    <row r="12" spans="1:11" x14ac:dyDescent="0.25">
      <c r="A12" s="48"/>
      <c r="B12" s="52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tabSelected="1" zoomScaleNormal="100" workbookViewId="0">
      <selection activeCell="N20" sqref="N20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511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508</v>
      </c>
      <c r="I1" s="18" t="s">
        <v>8</v>
      </c>
      <c r="J1" s="32" t="s">
        <v>138</v>
      </c>
      <c r="K1" s="29" t="s">
        <v>509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510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D19" sqref="D19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64" priority="3" operator="containsText" text="NO">
      <formula>NOT(ISERROR(SEARCH("NO",F2)))</formula>
    </cfRule>
  </conditionalFormatting>
  <conditionalFormatting sqref="A24">
    <cfRule type="duplicateValues" dxfId="6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0" priority="4" operator="containsText" text="NO">
      <formula>NOT(ISERROR(SEARCH("NO",F2)))</formula>
    </cfRule>
  </conditionalFormatting>
  <conditionalFormatting sqref="H2:H1048576">
    <cfRule type="containsText" dxfId="49" priority="3" operator="containsText" text="NO">
      <formula>NOT(ISERROR(SEARCH("NO",H2)))</formula>
    </cfRule>
  </conditionalFormatting>
  <conditionalFormatting sqref="A13:A14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VLOOKUP(Table146810[[#This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6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VLOOKUP(Table146811[[#This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C3" sqref="C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466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  <row r="10" spans="1:4" x14ac:dyDescent="0.25">
      <c r="A10">
        <v>3</v>
      </c>
      <c r="B10" t="s">
        <v>465</v>
      </c>
      <c r="C10" t="s">
        <v>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3" t="s">
        <v>353</v>
      </c>
      <c r="B2" s="53"/>
      <c r="C2" s="53"/>
      <c r="D2" s="53"/>
      <c r="F2" s="54" t="str">
        <f>IF(ISNUMBER(C5),"","Man. Number must be set")</f>
        <v/>
      </c>
      <c r="G2" s="54"/>
      <c r="H2" s="54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484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2019-04-19T22:48:48Z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