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3.xml" ContentType="application/vnd.openxmlformats-officedocument.drawing+xml"/>
  <Override PartName="/xl/ctrlProps/ctrlProp11.xml" ContentType="application/vnd.ms-excel.controlproperties+xml"/>
  <Override PartName="/xl/tables/table5.xml" ContentType="application/vnd.openxmlformats-officedocument.spreadsheetml.table+xml"/>
  <Override PartName="/xl/drawings/drawing4.xml" ContentType="application/vnd.openxmlformats-officedocument.drawing+xml"/>
  <Override PartName="/xl/ctrlProps/ctrlProp12.xml" ContentType="application/vnd.ms-excel.controlproperties+xml"/>
  <Override PartName="/xl/tables/table6.xml" ContentType="application/vnd.openxmlformats-officedocument.spreadsheetml.table+xml"/>
  <Override PartName="/xl/drawings/drawing5.xml" ContentType="application/vnd.openxmlformats-officedocument.drawing+xml"/>
  <Override PartName="/xl/ctrlProps/ctrlProp13.xml" ContentType="application/vnd.ms-excel.controlproperties+xml"/>
  <Override PartName="/xl/tables/table7.xml" ContentType="application/vnd.openxmlformats-officedocument.spreadsheetml.table+xml"/>
  <Override PartName="/xl/drawings/drawing6.xml" ContentType="application/vnd.openxmlformats-officedocument.drawing+xml"/>
  <Override PartName="/xl/ctrlProps/ctrlProp14.xml" ContentType="application/vnd.ms-excel.controlproperties+xml"/>
  <Override PartName="/xl/tables/table8.xml" ContentType="application/vnd.openxmlformats-officedocument.spreadsheetml.table+xml"/>
  <Override PartName="/xl/drawings/drawing7.xml" ContentType="application/vnd.openxmlformats-officedocument.drawing+xml"/>
  <Override PartName="/xl/ctrlProps/ctrlProp15.xml" ContentType="application/vnd.ms-excel.controlproperties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drawings/drawing8.xml" ContentType="application/vnd.openxmlformats-officedocument.drawing+xml"/>
  <Override PartName="/xl/ctrlProps/ctrlProp1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Space\_Stock\"/>
    </mc:Choice>
  </mc:AlternateContent>
  <xr:revisionPtr revIDLastSave="0" documentId="13_ncr:1_{90B76752-BD2D-4898-A752-5A5D513BFB40}" xr6:coauthVersionLast="41" xr6:coauthVersionMax="43" xr10:uidLastSave="{00000000-0000-0000-0000-000000000000}"/>
  <bookViews>
    <workbookView xWindow="-120" yWindow="-120" windowWidth="29040" windowHeight="15990" activeTab="3" xr2:uid="{CF2B30E1-39B2-4837-AEAE-671E5370CDE2}"/>
  </bookViews>
  <sheets>
    <sheet name="StockHistory" sheetId="6" r:id="rId1"/>
    <sheet name="Main" sheetId="4" r:id="rId2"/>
    <sheet name="Order" sheetId="15" r:id="rId3"/>
    <sheet name="Articles" sheetId="19" r:id="rId4"/>
    <sheet name="Articles_commandes" sheetId="5" state="hidden" r:id="rId5"/>
    <sheet name="LampeSolaire_v5" sheetId="20" r:id="rId6"/>
    <sheet name="LampeSolaire_v4" sheetId="3" r:id="rId7"/>
    <sheet name="TempoMetter_v1" sheetId="8" r:id="rId8"/>
    <sheet name="USB_Tool_v1" sheetId="16" r:id="rId9"/>
    <sheet name="ProductTemplate" sheetId="14" r:id="rId10"/>
    <sheet name="ProductConfig" sheetId="9" r:id="rId11"/>
    <sheet name="OrderAdder" sheetId="11" r:id="rId12"/>
    <sheet name="OrderAdder_work" sheetId="13" r:id="rId13"/>
  </sheets>
  <externalReferences>
    <externalReference r:id="rId14"/>
  </externalReferences>
  <definedNames>
    <definedName name="_xlnm._FilterDatabase" localSheetId="4" hidden="1">Articles_commandes!$A$1:$F$64</definedName>
    <definedName name="_xlnm._FilterDatabase" localSheetId="6" hidden="1">LampeSolaire_v4!$A$1:$E$40</definedName>
    <definedName name="_xlnm._FilterDatabase" localSheetId="5" hidden="1">LampeSolaire_v5!$A$1:$E$42</definedName>
    <definedName name="_xlnm._FilterDatabase" localSheetId="2" hidden="1">Order!$A$1:$L$58</definedName>
    <definedName name="_xlnm._FilterDatabase" localSheetId="9" hidden="1">ProductTemplate!$A$1:$E$2</definedName>
    <definedName name="_xlnm._FilterDatabase" localSheetId="7" hidden="1">TempoMetter_v1!$A$1:$E$15</definedName>
    <definedName name="_xlnm._FilterDatabase" localSheetId="8" hidden="1">USB_Tool_v1!$A$1:$E$35</definedName>
    <definedName name="RF_Transceiver" localSheetId="5">OrderAdder_work!#REF!</definedName>
    <definedName name="RF_Transceiver">OrderAdder_work!#REF!</definedName>
    <definedName name="zzzzzzzzzzz" localSheetId="5">OrderAdder_work!#REF!</definedName>
    <definedName name="zzzzzzzzzzz" localSheetId="9">OrderAdder_work!#REF!</definedName>
    <definedName name="zzzzzzzzzzz" localSheetId="8">OrderAdder_work!#REF!</definedName>
    <definedName name="zzzzzzzzzzz">OrderAdder_work!#REF!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1038" i="19" l="1"/>
  <c r="J1038" i="19"/>
  <c r="K1038" i="19"/>
  <c r="AC1038" i="19"/>
  <c r="I1037" i="19"/>
  <c r="J1037" i="19"/>
  <c r="K1037" i="19"/>
  <c r="AC1037" i="19"/>
  <c r="J58" i="15"/>
  <c r="K58" i="15" s="1"/>
  <c r="L58" i="15"/>
  <c r="J7" i="15"/>
  <c r="K7" i="15" s="1"/>
  <c r="J34" i="15"/>
  <c r="K34" i="15" s="1"/>
  <c r="J33" i="15"/>
  <c r="K33" i="15" s="1"/>
  <c r="J30" i="15"/>
  <c r="K30" i="15" s="1"/>
  <c r="J29" i="15"/>
  <c r="K29" i="15" s="1"/>
  <c r="J17" i="15"/>
  <c r="L17" i="15" s="1"/>
  <c r="J12" i="15"/>
  <c r="K12" i="15" s="1"/>
  <c r="J39" i="15"/>
  <c r="K39" i="15" s="1"/>
  <c r="J14" i="15"/>
  <c r="K14" i="15" s="1"/>
  <c r="J13" i="15"/>
  <c r="K13" i="15" s="1"/>
  <c r="J40" i="15"/>
  <c r="K40" i="15" s="1"/>
  <c r="J44" i="15"/>
  <c r="K44" i="15" s="1"/>
  <c r="J27" i="15"/>
  <c r="K27" i="15" s="1"/>
  <c r="J37" i="15"/>
  <c r="K37" i="15" s="1"/>
  <c r="J43" i="15"/>
  <c r="K43" i="15" s="1"/>
  <c r="J48" i="15"/>
  <c r="K48" i="15" s="1"/>
  <c r="J6" i="15"/>
  <c r="K6" i="15" s="1"/>
  <c r="K11" i="15"/>
  <c r="K38" i="15"/>
  <c r="K23" i="15"/>
  <c r="K36" i="15"/>
  <c r="K21" i="15"/>
  <c r="K19" i="15"/>
  <c r="K18" i="15"/>
  <c r="K57" i="15"/>
  <c r="K24" i="15"/>
  <c r="K28" i="15"/>
  <c r="K54" i="15"/>
  <c r="K53" i="15"/>
  <c r="K32" i="15"/>
  <c r="L32" i="15"/>
  <c r="K26" i="15"/>
  <c r="K16" i="15"/>
  <c r="L46" i="15"/>
  <c r="K22" i="15"/>
  <c r="K49" i="15"/>
  <c r="K41" i="15"/>
  <c r="K25" i="15"/>
  <c r="K9" i="15"/>
  <c r="K31" i="15"/>
  <c r="L20" i="15"/>
  <c r="K4" i="15"/>
  <c r="K42" i="15"/>
  <c r="K15" i="15"/>
  <c r="K55" i="15"/>
  <c r="K3" i="15"/>
  <c r="K52" i="15"/>
  <c r="K45" i="15"/>
  <c r="K47" i="15"/>
  <c r="K51" i="15"/>
  <c r="K10" i="15"/>
  <c r="K50" i="15"/>
  <c r="K5" i="15"/>
  <c r="K35" i="15"/>
  <c r="K8" i="15"/>
  <c r="K56" i="15"/>
  <c r="J2" i="15"/>
  <c r="K2" i="15" s="1"/>
  <c r="L7" i="15" l="1"/>
  <c r="L34" i="15"/>
  <c r="L33" i="15"/>
  <c r="L29" i="15"/>
  <c r="L30" i="15"/>
  <c r="K17" i="15"/>
  <c r="L12" i="15"/>
  <c r="L39" i="15"/>
  <c r="L14" i="15"/>
  <c r="L13" i="15"/>
  <c r="L40" i="15"/>
  <c r="L44" i="15"/>
  <c r="L27" i="15"/>
  <c r="L37" i="15"/>
  <c r="L43" i="15"/>
  <c r="L48" i="15"/>
  <c r="L6" i="15"/>
  <c r="L11" i="15"/>
  <c r="L38" i="15"/>
  <c r="L23" i="15"/>
  <c r="L36" i="15"/>
  <c r="L21" i="15"/>
  <c r="L19" i="15"/>
  <c r="L18" i="15"/>
  <c r="L57" i="15"/>
  <c r="L24" i="15"/>
  <c r="L28" i="15"/>
  <c r="L54" i="15"/>
  <c r="L53" i="15"/>
  <c r="L26" i="15"/>
  <c r="L16" i="15"/>
  <c r="K46" i="15"/>
  <c r="L22" i="15"/>
  <c r="L49" i="15"/>
  <c r="L41" i="15"/>
  <c r="L25" i="15"/>
  <c r="L9" i="15"/>
  <c r="L31" i="15"/>
  <c r="K20" i="15"/>
  <c r="L4" i="15"/>
  <c r="L42" i="15"/>
  <c r="L15" i="15"/>
  <c r="L55" i="15"/>
  <c r="L3" i="15"/>
  <c r="L52" i="15"/>
  <c r="L45" i="15"/>
  <c r="L47" i="15"/>
  <c r="L51" i="15"/>
  <c r="L10" i="15"/>
  <c r="L50" i="15"/>
  <c r="L5" i="15"/>
  <c r="L35" i="15"/>
  <c r="L8" i="15"/>
  <c r="I111" i="19"/>
  <c r="J111" i="19"/>
  <c r="K111" i="19"/>
  <c r="AC111" i="19"/>
  <c r="I125" i="19"/>
  <c r="J125" i="19"/>
  <c r="K125" i="19"/>
  <c r="AC125" i="19"/>
  <c r="I100" i="19"/>
  <c r="J100" i="19"/>
  <c r="K100" i="19"/>
  <c r="AC100" i="19"/>
  <c r="I76" i="19"/>
  <c r="J76" i="19"/>
  <c r="K76" i="19"/>
  <c r="AC76" i="19"/>
  <c r="I77" i="19"/>
  <c r="J77" i="19"/>
  <c r="K77" i="19"/>
  <c r="AC77" i="19"/>
  <c r="I131" i="19"/>
  <c r="J131" i="19"/>
  <c r="K131" i="19"/>
  <c r="AC131" i="19"/>
  <c r="I122" i="19"/>
  <c r="J122" i="19"/>
  <c r="K122" i="19"/>
  <c r="AC122" i="19"/>
  <c r="I145" i="19"/>
  <c r="J145" i="19"/>
  <c r="K145" i="19"/>
  <c r="AC145" i="19"/>
  <c r="I103" i="19"/>
  <c r="J103" i="19"/>
  <c r="K103" i="19"/>
  <c r="AC103" i="19"/>
  <c r="I137" i="19"/>
  <c r="J137" i="19"/>
  <c r="K137" i="19"/>
  <c r="AC137" i="19"/>
  <c r="I141" i="19"/>
  <c r="J141" i="19"/>
  <c r="K141" i="19"/>
  <c r="AC141" i="19"/>
  <c r="I147" i="19"/>
  <c r="J147" i="19"/>
  <c r="K147" i="19"/>
  <c r="AC147" i="19"/>
  <c r="I97" i="19"/>
  <c r="J97" i="19"/>
  <c r="K97" i="19"/>
  <c r="AC97" i="19"/>
  <c r="I155" i="19"/>
  <c r="J155" i="19"/>
  <c r="K155" i="19"/>
  <c r="AC155" i="19"/>
  <c r="I87" i="19"/>
  <c r="J87" i="19"/>
  <c r="K87" i="19"/>
  <c r="AC87" i="19"/>
  <c r="I148" i="19"/>
  <c r="J148" i="19"/>
  <c r="K148" i="19"/>
  <c r="AC148" i="19"/>
  <c r="I92" i="19"/>
  <c r="J92" i="19"/>
  <c r="K92" i="19"/>
  <c r="AC92" i="19"/>
  <c r="I146" i="19"/>
  <c r="J146" i="19"/>
  <c r="K146" i="19"/>
  <c r="AC146" i="19"/>
  <c r="I144" i="19"/>
  <c r="J144" i="19"/>
  <c r="K144" i="19"/>
  <c r="AC144" i="19"/>
  <c r="I83" i="19"/>
  <c r="J83" i="19"/>
  <c r="K83" i="19"/>
  <c r="AC83" i="19"/>
  <c r="I142" i="19"/>
  <c r="J142" i="19"/>
  <c r="K142" i="19"/>
  <c r="AC142" i="19"/>
  <c r="I129" i="19"/>
  <c r="J129" i="19"/>
  <c r="K129" i="19"/>
  <c r="AC129" i="19"/>
  <c r="I118" i="19"/>
  <c r="J118" i="19"/>
  <c r="K118" i="19"/>
  <c r="AC118" i="19"/>
  <c r="I153" i="19"/>
  <c r="J153" i="19"/>
  <c r="K153" i="19"/>
  <c r="AC153" i="19"/>
  <c r="I94" i="19"/>
  <c r="J94" i="19"/>
  <c r="K94" i="19"/>
  <c r="AC94" i="19"/>
  <c r="I90" i="19"/>
  <c r="J90" i="19"/>
  <c r="K90" i="19"/>
  <c r="AC90" i="19"/>
  <c r="I136" i="19"/>
  <c r="J136" i="19"/>
  <c r="K136" i="19"/>
  <c r="AC136" i="19"/>
  <c r="I149" i="19"/>
  <c r="J149" i="19"/>
  <c r="K149" i="19"/>
  <c r="AC149" i="19"/>
  <c r="I81" i="19"/>
  <c r="J81" i="19"/>
  <c r="K81" i="19"/>
  <c r="AC81" i="19"/>
  <c r="I123" i="19"/>
  <c r="J123" i="19"/>
  <c r="K123" i="19"/>
  <c r="AC123" i="19"/>
  <c r="I161" i="19"/>
  <c r="J161" i="19"/>
  <c r="K161" i="19"/>
  <c r="AC161" i="19"/>
  <c r="I130" i="19"/>
  <c r="J130" i="19"/>
  <c r="K130" i="19"/>
  <c r="AC130" i="19"/>
  <c r="I73" i="19"/>
  <c r="J73" i="19"/>
  <c r="K73" i="19"/>
  <c r="AC73" i="19"/>
  <c r="I116" i="19"/>
  <c r="J116" i="19"/>
  <c r="K116" i="19"/>
  <c r="AC116" i="19"/>
  <c r="I117" i="19"/>
  <c r="J117" i="19"/>
  <c r="K117" i="19"/>
  <c r="AC117" i="19"/>
  <c r="I159" i="19"/>
  <c r="J159" i="19"/>
  <c r="K159" i="19"/>
  <c r="AC159" i="19"/>
  <c r="I143" i="19"/>
  <c r="J143" i="19"/>
  <c r="K143" i="19"/>
  <c r="AC143" i="19"/>
  <c r="I120" i="19"/>
  <c r="J120" i="19"/>
  <c r="K120" i="19"/>
  <c r="AC120" i="19"/>
  <c r="I152" i="19"/>
  <c r="J152" i="19"/>
  <c r="K152" i="19"/>
  <c r="AC152" i="19"/>
  <c r="I86" i="19"/>
  <c r="J86" i="19"/>
  <c r="K86" i="19"/>
  <c r="AC86" i="19"/>
  <c r="I109" i="19"/>
  <c r="J109" i="19"/>
  <c r="K109" i="19"/>
  <c r="AC109" i="19"/>
  <c r="I74" i="19"/>
  <c r="J74" i="19"/>
  <c r="K74" i="19"/>
  <c r="AC74" i="19"/>
  <c r="I113" i="19"/>
  <c r="J113" i="19"/>
  <c r="K113" i="19"/>
  <c r="AC113" i="19"/>
  <c r="I72" i="19"/>
  <c r="J72" i="19"/>
  <c r="K72" i="19"/>
  <c r="AC72" i="19"/>
  <c r="I71" i="19"/>
  <c r="J71" i="19"/>
  <c r="K71" i="19"/>
  <c r="AC71" i="19"/>
  <c r="I101" i="19"/>
  <c r="J101" i="19"/>
  <c r="K101" i="19"/>
  <c r="AC101" i="19"/>
  <c r="I133" i="19"/>
  <c r="J133" i="19"/>
  <c r="K133" i="19"/>
  <c r="AC133" i="19"/>
  <c r="I121" i="19"/>
  <c r="J121" i="19"/>
  <c r="K121" i="19"/>
  <c r="AC121" i="19"/>
  <c r="I105" i="19"/>
  <c r="J105" i="19"/>
  <c r="K105" i="19"/>
  <c r="AC105" i="19"/>
  <c r="I158" i="19"/>
  <c r="J158" i="19"/>
  <c r="K158" i="19"/>
  <c r="AC158" i="19"/>
  <c r="I150" i="19"/>
  <c r="J150" i="19"/>
  <c r="K150" i="19"/>
  <c r="AC150" i="19"/>
  <c r="I139" i="19"/>
  <c r="J139" i="19"/>
  <c r="K139" i="19"/>
  <c r="AC139" i="19"/>
  <c r="I124" i="19"/>
  <c r="J124" i="19"/>
  <c r="K124" i="19"/>
  <c r="AC124" i="19"/>
  <c r="I91" i="19"/>
  <c r="J91" i="19"/>
  <c r="K91" i="19"/>
  <c r="AC91" i="19"/>
  <c r="I82" i="19"/>
  <c r="J82" i="19"/>
  <c r="K82" i="19"/>
  <c r="AC82" i="19"/>
  <c r="I106" i="19"/>
  <c r="J106" i="19"/>
  <c r="K106" i="19"/>
  <c r="AC106" i="19"/>
  <c r="I108" i="19"/>
  <c r="J108" i="19"/>
  <c r="K108" i="19"/>
  <c r="AC108" i="19"/>
  <c r="I99" i="19"/>
  <c r="J99" i="19"/>
  <c r="K99" i="19"/>
  <c r="AC99" i="19"/>
  <c r="I115" i="19"/>
  <c r="J115" i="19"/>
  <c r="K115" i="19"/>
  <c r="AC115" i="19"/>
  <c r="I128" i="19"/>
  <c r="J128" i="19"/>
  <c r="K128" i="19"/>
  <c r="AC128" i="19"/>
  <c r="I114" i="19"/>
  <c r="J114" i="19"/>
  <c r="K114" i="19"/>
  <c r="AC114" i="19"/>
  <c r="I112" i="19"/>
  <c r="J112" i="19"/>
  <c r="K112" i="19"/>
  <c r="AC112" i="19"/>
  <c r="I75" i="19"/>
  <c r="J75" i="19"/>
  <c r="K75" i="19"/>
  <c r="AC75" i="19"/>
  <c r="I126" i="19"/>
  <c r="J126" i="19"/>
  <c r="K126" i="19"/>
  <c r="AC126" i="19"/>
  <c r="I98" i="19"/>
  <c r="J98" i="19"/>
  <c r="K98" i="19"/>
  <c r="AC98" i="19"/>
  <c r="I127" i="19"/>
  <c r="J127" i="19"/>
  <c r="K127" i="19"/>
  <c r="AC127" i="19"/>
  <c r="I160" i="19"/>
  <c r="J160" i="19"/>
  <c r="K160" i="19"/>
  <c r="AC160" i="19"/>
  <c r="I138" i="19"/>
  <c r="J138" i="19"/>
  <c r="K138" i="19"/>
  <c r="AC138" i="19"/>
  <c r="I93" i="19"/>
  <c r="J93" i="19"/>
  <c r="K93" i="19"/>
  <c r="AC93" i="19"/>
  <c r="I84" i="19"/>
  <c r="J84" i="19"/>
  <c r="K84" i="19"/>
  <c r="AC84" i="19"/>
  <c r="I140" i="19"/>
  <c r="J140" i="19"/>
  <c r="K140" i="19"/>
  <c r="AC140" i="19"/>
  <c r="I88" i="19"/>
  <c r="J88" i="19"/>
  <c r="K88" i="19"/>
  <c r="AC88" i="19"/>
  <c r="I151" i="19"/>
  <c r="J151" i="19"/>
  <c r="K151" i="19"/>
  <c r="AC151" i="19"/>
  <c r="I119" i="19"/>
  <c r="J119" i="19"/>
  <c r="K119" i="19"/>
  <c r="AC119" i="19"/>
  <c r="I110" i="19"/>
  <c r="J110" i="19"/>
  <c r="K110" i="19"/>
  <c r="AC110" i="19"/>
  <c r="I154" i="19"/>
  <c r="J154" i="19"/>
  <c r="K154" i="19"/>
  <c r="AC154" i="19"/>
  <c r="I107" i="19"/>
  <c r="J107" i="19"/>
  <c r="K107" i="19"/>
  <c r="AC107" i="19"/>
  <c r="I89" i="19"/>
  <c r="J89" i="19"/>
  <c r="K89" i="19"/>
  <c r="AC89" i="19"/>
  <c r="I157" i="19"/>
  <c r="J157" i="19"/>
  <c r="K157" i="19"/>
  <c r="AC157" i="19"/>
  <c r="I134" i="19"/>
  <c r="J134" i="19"/>
  <c r="K134" i="19"/>
  <c r="AC134" i="19"/>
  <c r="I102" i="19"/>
  <c r="J102" i="19"/>
  <c r="K102" i="19"/>
  <c r="AC102" i="19"/>
  <c r="I156" i="19"/>
  <c r="J156" i="19"/>
  <c r="K156" i="19"/>
  <c r="AC156" i="19"/>
  <c r="I104" i="19"/>
  <c r="J104" i="19"/>
  <c r="K104" i="19"/>
  <c r="AC104" i="19"/>
  <c r="I78" i="19"/>
  <c r="J78" i="19"/>
  <c r="K78" i="19"/>
  <c r="AC78" i="19"/>
  <c r="I135" i="19"/>
  <c r="J135" i="19"/>
  <c r="K135" i="19"/>
  <c r="AC135" i="19"/>
  <c r="I85" i="19"/>
  <c r="J85" i="19"/>
  <c r="K85" i="19"/>
  <c r="AC85" i="19"/>
  <c r="I132" i="19"/>
  <c r="J132" i="19"/>
  <c r="K132" i="19"/>
  <c r="AC132" i="19"/>
  <c r="I95" i="19"/>
  <c r="J95" i="19"/>
  <c r="K95" i="19"/>
  <c r="AC95" i="19"/>
  <c r="I79" i="19"/>
  <c r="J79" i="19"/>
  <c r="K79" i="19"/>
  <c r="AC79" i="19"/>
  <c r="I80" i="19"/>
  <c r="J80" i="19"/>
  <c r="K80" i="19"/>
  <c r="AC80" i="19"/>
  <c r="I96" i="19"/>
  <c r="J96" i="19"/>
  <c r="K96" i="19"/>
  <c r="AC96" i="19"/>
  <c r="I70" i="19"/>
  <c r="J70" i="19"/>
  <c r="K70" i="19"/>
  <c r="AC70" i="19"/>
  <c r="D40" i="20" l="1"/>
  <c r="I1008" i="19"/>
  <c r="J1008" i="19"/>
  <c r="K1008" i="19"/>
  <c r="AC1008" i="19"/>
  <c r="I1007" i="19"/>
  <c r="J1007" i="19"/>
  <c r="K1007" i="19"/>
  <c r="AC1007" i="19"/>
  <c r="B42" i="20" l="1"/>
  <c r="E42" i="20"/>
  <c r="F42" i="20" s="1"/>
  <c r="G42" i="20"/>
  <c r="B41" i="20"/>
  <c r="E41" i="20"/>
  <c r="F41" i="20" s="1"/>
  <c r="G41" i="20"/>
  <c r="G40" i="20"/>
  <c r="B40" i="20"/>
  <c r="E40" i="20"/>
  <c r="F40" i="20" s="1"/>
  <c r="B19" i="20"/>
  <c r="E19" i="20"/>
  <c r="F19" i="20" s="1"/>
  <c r="G19" i="20"/>
  <c r="B21" i="20"/>
  <c r="E21" i="20"/>
  <c r="F21" i="20" s="1"/>
  <c r="G21" i="20"/>
  <c r="B13" i="20"/>
  <c r="E13" i="20"/>
  <c r="F13" i="20" s="1"/>
  <c r="G13" i="20"/>
  <c r="B36" i="20"/>
  <c r="E36" i="20"/>
  <c r="F36" i="20" s="1"/>
  <c r="G36" i="20"/>
  <c r="B35" i="20"/>
  <c r="E35" i="20"/>
  <c r="F35" i="20" s="1"/>
  <c r="G35" i="20"/>
  <c r="B38" i="20"/>
  <c r="E38" i="20"/>
  <c r="F38" i="20" s="1"/>
  <c r="G38" i="20"/>
  <c r="B37" i="20"/>
  <c r="E37" i="20"/>
  <c r="F37" i="20" s="1"/>
  <c r="G37" i="20"/>
  <c r="B34" i="20"/>
  <c r="E34" i="20"/>
  <c r="F34" i="20" s="1"/>
  <c r="G34" i="20"/>
  <c r="H42" i="20" l="1"/>
  <c r="H41" i="20"/>
  <c r="H40" i="20"/>
  <c r="H19" i="20"/>
  <c r="H21" i="20"/>
  <c r="H13" i="20"/>
  <c r="H36" i="20"/>
  <c r="H35" i="20"/>
  <c r="H38" i="20"/>
  <c r="H37" i="20"/>
  <c r="H34" i="20"/>
  <c r="H178" i="19"/>
  <c r="AC178" i="19" s="1"/>
  <c r="I178" i="19"/>
  <c r="J178" i="19"/>
  <c r="K178" i="19"/>
  <c r="L2" i="15"/>
  <c r="B28" i="16"/>
  <c r="E28" i="16"/>
  <c r="F28" i="16" s="1"/>
  <c r="G28" i="16"/>
  <c r="B34" i="16"/>
  <c r="E34" i="16"/>
  <c r="F34" i="16" s="1"/>
  <c r="G34" i="16"/>
  <c r="B13" i="16"/>
  <c r="E13" i="16"/>
  <c r="F13" i="16" s="1"/>
  <c r="G13" i="16"/>
  <c r="B32" i="16"/>
  <c r="E32" i="16"/>
  <c r="F32" i="16" s="1"/>
  <c r="G32" i="16"/>
  <c r="B30" i="16"/>
  <c r="E30" i="16"/>
  <c r="F30" i="16" s="1"/>
  <c r="G30" i="16"/>
  <c r="L56" i="15" l="1"/>
  <c r="H28" i="16"/>
  <c r="H34" i="16"/>
  <c r="H13" i="16"/>
  <c r="H32" i="16"/>
  <c r="H30" i="16"/>
  <c r="K166" i="19"/>
  <c r="K212" i="19"/>
  <c r="K179" i="19"/>
  <c r="K226" i="19"/>
  <c r="K213" i="19"/>
  <c r="K162" i="19"/>
  <c r="K192" i="19"/>
  <c r="K163" i="19"/>
  <c r="K193" i="19"/>
  <c r="K180" i="19"/>
  <c r="K1000" i="19"/>
  <c r="K997" i="19"/>
  <c r="K18" i="19"/>
  <c r="K20" i="19"/>
  <c r="K205" i="19"/>
  <c r="K203" i="19"/>
  <c r="K189" i="19"/>
  <c r="K181" i="19"/>
  <c r="K184" i="19"/>
  <c r="K1004" i="19"/>
  <c r="K164" i="19"/>
  <c r="K214" i="19"/>
  <c r="K216" i="19"/>
  <c r="K182" i="19"/>
  <c r="K183" i="19"/>
  <c r="K215" i="19"/>
  <c r="K194" i="19"/>
  <c r="K1002" i="19"/>
  <c r="K998" i="19"/>
  <c r="K186" i="19"/>
  <c r="K207" i="19"/>
  <c r="K202" i="19"/>
  <c r="K171" i="19"/>
  <c r="K172" i="19"/>
  <c r="K173" i="19"/>
  <c r="K174" i="19"/>
  <c r="K175" i="19"/>
  <c r="K185" i="19"/>
  <c r="K169" i="19"/>
  <c r="K1006" i="19"/>
  <c r="K200" i="19"/>
  <c r="K201" i="19"/>
  <c r="K187" i="19"/>
  <c r="K176" i="19"/>
  <c r="K233" i="19"/>
  <c r="K232" i="19"/>
  <c r="K234" i="19"/>
  <c r="K231" i="19"/>
  <c r="K235" i="19"/>
  <c r="K236" i="19"/>
  <c r="K230" i="19"/>
  <c r="K237" i="19"/>
  <c r="K229" i="19"/>
  <c r="K1012" i="19"/>
  <c r="K1011" i="19"/>
  <c r="K1013" i="19"/>
  <c r="K1010" i="19"/>
  <c r="K1015" i="19"/>
  <c r="K1016" i="19"/>
  <c r="K1014" i="19"/>
  <c r="K1017" i="19"/>
  <c r="K1018" i="19"/>
  <c r="K1009" i="19"/>
  <c r="K1019" i="19"/>
  <c r="K238" i="19"/>
  <c r="K1022" i="19"/>
  <c r="K1024" i="19"/>
  <c r="K1023" i="19"/>
  <c r="K1021" i="19"/>
  <c r="K1020" i="19"/>
  <c r="K1029" i="19"/>
  <c r="K1030" i="19"/>
  <c r="K1031" i="19"/>
  <c r="K1033" i="19"/>
  <c r="K1032" i="19"/>
  <c r="K1026" i="19"/>
  <c r="K1028" i="19"/>
  <c r="K1025" i="19"/>
  <c r="K1027" i="19"/>
  <c r="K1034" i="19"/>
  <c r="K1036" i="19"/>
  <c r="K1035" i="19"/>
  <c r="K218" i="19"/>
  <c r="K239" i="19"/>
  <c r="K219" i="19"/>
  <c r="K220" i="19"/>
  <c r="K221" i="19"/>
  <c r="K222" i="19"/>
  <c r="K223" i="19"/>
  <c r="K24" i="19"/>
  <c r="K30" i="19"/>
  <c r="K240" i="19"/>
  <c r="K27" i="19"/>
  <c r="K241" i="19"/>
  <c r="K242" i="19"/>
  <c r="K287" i="19"/>
  <c r="K243" i="19"/>
  <c r="K244" i="19"/>
  <c r="K245" i="19"/>
  <c r="K246" i="19"/>
  <c r="K247" i="19"/>
  <c r="K248" i="19"/>
  <c r="K249" i="19"/>
  <c r="K250" i="19"/>
  <c r="K251" i="19"/>
  <c r="K252" i="19"/>
  <c r="K253" i="19"/>
  <c r="K254" i="19"/>
  <c r="K255" i="19"/>
  <c r="K256" i="19"/>
  <c r="K257" i="19"/>
  <c r="K258" i="19"/>
  <c r="K259" i="19"/>
  <c r="K260" i="19"/>
  <c r="K261" i="19"/>
  <c r="K262" i="19"/>
  <c r="K263" i="19"/>
  <c r="K264" i="19"/>
  <c r="K265" i="19"/>
  <c r="K266" i="19"/>
  <c r="K267" i="19"/>
  <c r="K268" i="19"/>
  <c r="K269" i="19"/>
  <c r="K270" i="19"/>
  <c r="K271" i="19"/>
  <c r="K272" i="19"/>
  <c r="K273" i="19"/>
  <c r="K274" i="19"/>
  <c r="K275" i="19"/>
  <c r="K276" i="19"/>
  <c r="K277" i="19"/>
  <c r="K278" i="19"/>
  <c r="K279" i="19"/>
  <c r="K280" i="19"/>
  <c r="K281" i="19"/>
  <c r="K282" i="19"/>
  <c r="K283" i="19"/>
  <c r="K284" i="19"/>
  <c r="K285" i="19"/>
  <c r="K286" i="19"/>
  <c r="K298" i="19"/>
  <c r="K288" i="19"/>
  <c r="K289" i="19"/>
  <c r="K290" i="19"/>
  <c r="K291" i="19"/>
  <c r="K292" i="19"/>
  <c r="K293" i="19"/>
  <c r="K294" i="19"/>
  <c r="K295" i="19"/>
  <c r="K296" i="19"/>
  <c r="K297" i="19"/>
  <c r="K371" i="19"/>
  <c r="K299" i="19"/>
  <c r="K300" i="19"/>
  <c r="K301" i="19"/>
  <c r="K302" i="19"/>
  <c r="K303" i="19"/>
  <c r="K304" i="19"/>
  <c r="K305" i="19"/>
  <c r="K306" i="19"/>
  <c r="K307" i="19"/>
  <c r="K308" i="19"/>
  <c r="K309" i="19"/>
  <c r="K310" i="19"/>
  <c r="K311" i="19"/>
  <c r="K312" i="19"/>
  <c r="K313" i="19"/>
  <c r="K314" i="19"/>
  <c r="K315" i="19"/>
  <c r="K316" i="19"/>
  <c r="K317" i="19"/>
  <c r="K318" i="19"/>
  <c r="K319" i="19"/>
  <c r="K320" i="19"/>
  <c r="K321" i="19"/>
  <c r="K322" i="19"/>
  <c r="K323" i="19"/>
  <c r="K324" i="19"/>
  <c r="K325" i="19"/>
  <c r="K326" i="19"/>
  <c r="K327" i="19"/>
  <c r="K328" i="19"/>
  <c r="K329" i="19"/>
  <c r="K330" i="19"/>
  <c r="K331" i="19"/>
  <c r="K332" i="19"/>
  <c r="K333" i="19"/>
  <c r="K334" i="19"/>
  <c r="K335" i="19"/>
  <c r="K336" i="19"/>
  <c r="K337" i="19"/>
  <c r="K338" i="19"/>
  <c r="K339" i="19"/>
  <c r="K340" i="19"/>
  <c r="K341" i="19"/>
  <c r="K342" i="19"/>
  <c r="K343" i="19"/>
  <c r="K344" i="19"/>
  <c r="K345" i="19"/>
  <c r="K346" i="19"/>
  <c r="K347" i="19"/>
  <c r="K348" i="19"/>
  <c r="K349" i="19"/>
  <c r="K350" i="19"/>
  <c r="K351" i="19"/>
  <c r="K352" i="19"/>
  <c r="K353" i="19"/>
  <c r="K354" i="19"/>
  <c r="K355" i="19"/>
  <c r="K356" i="19"/>
  <c r="K357" i="19"/>
  <c r="K358" i="19"/>
  <c r="K359" i="19"/>
  <c r="K360" i="19"/>
  <c r="K361" i="19"/>
  <c r="K362" i="19"/>
  <c r="K363" i="19"/>
  <c r="K364" i="19"/>
  <c r="K365" i="19"/>
  <c r="K366" i="19"/>
  <c r="K367" i="19"/>
  <c r="K368" i="19"/>
  <c r="K369" i="19"/>
  <c r="K370" i="19"/>
  <c r="K996" i="19"/>
  <c r="K372" i="19"/>
  <c r="K373" i="19"/>
  <c r="K374" i="19"/>
  <c r="K375" i="19"/>
  <c r="K376" i="19"/>
  <c r="K377" i="19"/>
  <c r="K378" i="19"/>
  <c r="K379" i="19"/>
  <c r="K380" i="19"/>
  <c r="K381" i="19"/>
  <c r="K382" i="19"/>
  <c r="K383" i="19"/>
  <c r="K384" i="19"/>
  <c r="K385" i="19"/>
  <c r="K386" i="19"/>
  <c r="K387" i="19"/>
  <c r="K388" i="19"/>
  <c r="K389" i="19"/>
  <c r="K390" i="19"/>
  <c r="K391" i="19"/>
  <c r="K392" i="19"/>
  <c r="K393" i="19"/>
  <c r="K394" i="19"/>
  <c r="K395" i="19"/>
  <c r="K396" i="19"/>
  <c r="K397" i="19"/>
  <c r="K398" i="19"/>
  <c r="K399" i="19"/>
  <c r="K400" i="19"/>
  <c r="K401" i="19"/>
  <c r="K402" i="19"/>
  <c r="K403" i="19"/>
  <c r="K404" i="19"/>
  <c r="K405" i="19"/>
  <c r="K406" i="19"/>
  <c r="K407" i="19"/>
  <c r="K408" i="19"/>
  <c r="K409" i="19"/>
  <c r="K410" i="19"/>
  <c r="K411" i="19"/>
  <c r="K412" i="19"/>
  <c r="K413" i="19"/>
  <c r="K414" i="19"/>
  <c r="K415" i="19"/>
  <c r="K416" i="19"/>
  <c r="K417" i="19"/>
  <c r="K418" i="19"/>
  <c r="K419" i="19"/>
  <c r="K420" i="19"/>
  <c r="K421" i="19"/>
  <c r="K422" i="19"/>
  <c r="K423" i="19"/>
  <c r="K424" i="19"/>
  <c r="K425" i="19"/>
  <c r="K426" i="19"/>
  <c r="K427" i="19"/>
  <c r="K428" i="19"/>
  <c r="K429" i="19"/>
  <c r="K430" i="19"/>
  <c r="K431" i="19"/>
  <c r="K432" i="19"/>
  <c r="K433" i="19"/>
  <c r="K434" i="19"/>
  <c r="K435" i="19"/>
  <c r="K436" i="19"/>
  <c r="K437" i="19"/>
  <c r="K438" i="19"/>
  <c r="K439" i="19"/>
  <c r="K440" i="19"/>
  <c r="K441" i="19"/>
  <c r="K442" i="19"/>
  <c r="K443" i="19"/>
  <c r="K444" i="19"/>
  <c r="K445" i="19"/>
  <c r="K446" i="19"/>
  <c r="K447" i="19"/>
  <c r="K448" i="19"/>
  <c r="K449" i="19"/>
  <c r="K450" i="19"/>
  <c r="K451" i="19"/>
  <c r="K452" i="19"/>
  <c r="K453" i="19"/>
  <c r="K454" i="19"/>
  <c r="K455" i="19"/>
  <c r="K456" i="19"/>
  <c r="K457" i="19"/>
  <c r="K458" i="19"/>
  <c r="K459" i="19"/>
  <c r="K460" i="19"/>
  <c r="K461" i="19"/>
  <c r="K462" i="19"/>
  <c r="K463" i="19"/>
  <c r="K464" i="19"/>
  <c r="K465" i="19"/>
  <c r="K466" i="19"/>
  <c r="K467" i="19"/>
  <c r="K468" i="19"/>
  <c r="K469" i="19"/>
  <c r="K470" i="19"/>
  <c r="K471" i="19"/>
  <c r="K472" i="19"/>
  <c r="K473" i="19"/>
  <c r="K474" i="19"/>
  <c r="K475" i="19"/>
  <c r="K476" i="19"/>
  <c r="K477" i="19"/>
  <c r="K478" i="19"/>
  <c r="K479" i="19"/>
  <c r="K480" i="19"/>
  <c r="K481" i="19"/>
  <c r="K482" i="19"/>
  <c r="K483" i="19"/>
  <c r="K484" i="19"/>
  <c r="K485" i="19"/>
  <c r="K486" i="19"/>
  <c r="K487" i="19"/>
  <c r="K488" i="19"/>
  <c r="K489" i="19"/>
  <c r="K490" i="19"/>
  <c r="K491" i="19"/>
  <c r="K492" i="19"/>
  <c r="K493" i="19"/>
  <c r="K494" i="19"/>
  <c r="K495" i="19"/>
  <c r="K496" i="19"/>
  <c r="K497" i="19"/>
  <c r="K498" i="19"/>
  <c r="K499" i="19"/>
  <c r="K500" i="19"/>
  <c r="K501" i="19"/>
  <c r="K502" i="19"/>
  <c r="K503" i="19"/>
  <c r="K504" i="19"/>
  <c r="K505" i="19"/>
  <c r="K506" i="19"/>
  <c r="K507" i="19"/>
  <c r="K508" i="19"/>
  <c r="K509" i="19"/>
  <c r="K510" i="19"/>
  <c r="K511" i="19"/>
  <c r="K512" i="19"/>
  <c r="K513" i="19"/>
  <c r="K514" i="19"/>
  <c r="K515" i="19"/>
  <c r="K516" i="19"/>
  <c r="K517" i="19"/>
  <c r="K518" i="19"/>
  <c r="K519" i="19"/>
  <c r="K520" i="19"/>
  <c r="K521" i="19"/>
  <c r="K522" i="19"/>
  <c r="K523" i="19"/>
  <c r="K524" i="19"/>
  <c r="K525" i="19"/>
  <c r="K526" i="19"/>
  <c r="K527" i="19"/>
  <c r="K528" i="19"/>
  <c r="K529" i="19"/>
  <c r="K530" i="19"/>
  <c r="K531" i="19"/>
  <c r="K532" i="19"/>
  <c r="K533" i="19"/>
  <c r="K534" i="19"/>
  <c r="K535" i="19"/>
  <c r="K536" i="19"/>
  <c r="K537" i="19"/>
  <c r="K538" i="19"/>
  <c r="K539" i="19"/>
  <c r="K540" i="19"/>
  <c r="K541" i="19"/>
  <c r="K542" i="19"/>
  <c r="K543" i="19"/>
  <c r="K544" i="19"/>
  <c r="K545" i="19"/>
  <c r="K546" i="19"/>
  <c r="K547" i="19"/>
  <c r="K548" i="19"/>
  <c r="K549" i="19"/>
  <c r="K550" i="19"/>
  <c r="K551" i="19"/>
  <c r="K552" i="19"/>
  <c r="K553" i="19"/>
  <c r="K554" i="19"/>
  <c r="K555" i="19"/>
  <c r="K556" i="19"/>
  <c r="K557" i="19"/>
  <c r="K558" i="19"/>
  <c r="K559" i="19"/>
  <c r="K560" i="19"/>
  <c r="K561" i="19"/>
  <c r="K562" i="19"/>
  <c r="K563" i="19"/>
  <c r="K564" i="19"/>
  <c r="K565" i="19"/>
  <c r="K566" i="19"/>
  <c r="K567" i="19"/>
  <c r="K568" i="19"/>
  <c r="K569" i="19"/>
  <c r="K570" i="19"/>
  <c r="K571" i="19"/>
  <c r="K572" i="19"/>
  <c r="K573" i="19"/>
  <c r="K574" i="19"/>
  <c r="K575" i="19"/>
  <c r="K576" i="19"/>
  <c r="K577" i="19"/>
  <c r="K578" i="19"/>
  <c r="K579" i="19"/>
  <c r="K580" i="19"/>
  <c r="K581" i="19"/>
  <c r="K582" i="19"/>
  <c r="K583" i="19"/>
  <c r="K584" i="19"/>
  <c r="K585" i="19"/>
  <c r="K586" i="19"/>
  <c r="K587" i="19"/>
  <c r="K588" i="19"/>
  <c r="K589" i="19"/>
  <c r="K590" i="19"/>
  <c r="K591" i="19"/>
  <c r="K592" i="19"/>
  <c r="K593" i="19"/>
  <c r="K594" i="19"/>
  <c r="K595" i="19"/>
  <c r="K596" i="19"/>
  <c r="K597" i="19"/>
  <c r="K598" i="19"/>
  <c r="K599" i="19"/>
  <c r="K600" i="19"/>
  <c r="K601" i="19"/>
  <c r="K602" i="19"/>
  <c r="K603" i="19"/>
  <c r="K604" i="19"/>
  <c r="K605" i="19"/>
  <c r="K606" i="19"/>
  <c r="K607" i="19"/>
  <c r="K608" i="19"/>
  <c r="K609" i="19"/>
  <c r="K610" i="19"/>
  <c r="K611" i="19"/>
  <c r="K612" i="19"/>
  <c r="K613" i="19"/>
  <c r="K614" i="19"/>
  <c r="K615" i="19"/>
  <c r="K616" i="19"/>
  <c r="K617" i="19"/>
  <c r="K618" i="19"/>
  <c r="K619" i="19"/>
  <c r="K620" i="19"/>
  <c r="K621" i="19"/>
  <c r="K622" i="19"/>
  <c r="K623" i="19"/>
  <c r="K624" i="19"/>
  <c r="K625" i="19"/>
  <c r="K626" i="19"/>
  <c r="K627" i="19"/>
  <c r="K628" i="19"/>
  <c r="K629" i="19"/>
  <c r="K630" i="19"/>
  <c r="K2" i="19"/>
  <c r="K195" i="19"/>
  <c r="K631" i="19"/>
  <c r="K632" i="19"/>
  <c r="K633" i="19"/>
  <c r="K634" i="19"/>
  <c r="K635" i="19"/>
  <c r="K636" i="19"/>
  <c r="K637" i="19"/>
  <c r="K638" i="19"/>
  <c r="K639" i="19"/>
  <c r="K640" i="19"/>
  <c r="K641" i="19"/>
  <c r="K642" i="19"/>
  <c r="K643" i="19"/>
  <c r="K644" i="19"/>
  <c r="K645" i="19"/>
  <c r="K646" i="19"/>
  <c r="K647" i="19"/>
  <c r="K648" i="19"/>
  <c r="K649" i="19"/>
  <c r="K650" i="19"/>
  <c r="K651" i="19"/>
  <c r="K652" i="19"/>
  <c r="K653" i="19"/>
  <c r="K654" i="19"/>
  <c r="K655" i="19"/>
  <c r="K656" i="19"/>
  <c r="K657" i="19"/>
  <c r="K658" i="19"/>
  <c r="K659" i="19"/>
  <c r="K660" i="19"/>
  <c r="K661" i="19"/>
  <c r="K662" i="19"/>
  <c r="K663" i="19"/>
  <c r="K664" i="19"/>
  <c r="K665" i="19"/>
  <c r="K666" i="19"/>
  <c r="K667" i="19"/>
  <c r="K668" i="19"/>
  <c r="K669" i="19"/>
  <c r="K670" i="19"/>
  <c r="K671" i="19"/>
  <c r="K672" i="19"/>
  <c r="K673" i="19"/>
  <c r="K674" i="19"/>
  <c r="K675" i="19"/>
  <c r="K676" i="19"/>
  <c r="K677" i="19"/>
  <c r="K678" i="19"/>
  <c r="K679" i="19"/>
  <c r="K680" i="19"/>
  <c r="K681" i="19"/>
  <c r="K682" i="19"/>
  <c r="K683" i="19"/>
  <c r="K684" i="19"/>
  <c r="K685" i="19"/>
  <c r="K686" i="19"/>
  <c r="K687" i="19"/>
  <c r="K688" i="19"/>
  <c r="K689" i="19"/>
  <c r="K690" i="19"/>
  <c r="K691" i="19"/>
  <c r="K692" i="19"/>
  <c r="K693" i="19"/>
  <c r="K694" i="19"/>
  <c r="K695" i="19"/>
  <c r="K696" i="19"/>
  <c r="K697" i="19"/>
  <c r="K698" i="19"/>
  <c r="K699" i="19"/>
  <c r="K700" i="19"/>
  <c r="K701" i="19"/>
  <c r="K702" i="19"/>
  <c r="K703" i="19"/>
  <c r="K704" i="19"/>
  <c r="K705" i="19"/>
  <c r="K706" i="19"/>
  <c r="K707" i="19"/>
  <c r="K708" i="19"/>
  <c r="K709" i="19"/>
  <c r="K710" i="19"/>
  <c r="K711" i="19"/>
  <c r="K712" i="19"/>
  <c r="K713" i="19"/>
  <c r="K714" i="19"/>
  <c r="K715" i="19"/>
  <c r="K716" i="19"/>
  <c r="K717" i="19"/>
  <c r="K718" i="19"/>
  <c r="K719" i="19"/>
  <c r="K720" i="19"/>
  <c r="K721" i="19"/>
  <c r="K722" i="19"/>
  <c r="K723" i="19"/>
  <c r="K724" i="19"/>
  <c r="K725" i="19"/>
  <c r="K726" i="19"/>
  <c r="K727" i="19"/>
  <c r="K728" i="19"/>
  <c r="K729" i="19"/>
  <c r="K730" i="19"/>
  <c r="K731" i="19"/>
  <c r="K732" i="19"/>
  <c r="K733" i="19"/>
  <c r="K734" i="19"/>
  <c r="K735" i="19"/>
  <c r="K736" i="19"/>
  <c r="K737" i="19"/>
  <c r="K738" i="19"/>
  <c r="K739" i="19"/>
  <c r="K740" i="19"/>
  <c r="K741" i="19"/>
  <c r="K742" i="19"/>
  <c r="K743" i="19"/>
  <c r="K744" i="19"/>
  <c r="K745" i="19"/>
  <c r="K746" i="19"/>
  <c r="K747" i="19"/>
  <c r="K748" i="19"/>
  <c r="K749" i="19"/>
  <c r="K750" i="19"/>
  <c r="K751" i="19"/>
  <c r="K752" i="19"/>
  <c r="K753" i="19"/>
  <c r="K754" i="19"/>
  <c r="K755" i="19"/>
  <c r="K756" i="19"/>
  <c r="K757" i="19"/>
  <c r="K758" i="19"/>
  <c r="K759" i="19"/>
  <c r="K760" i="19"/>
  <c r="K761" i="19"/>
  <c r="K762" i="19"/>
  <c r="K763" i="19"/>
  <c r="K764" i="19"/>
  <c r="K765" i="19"/>
  <c r="K766" i="19"/>
  <c r="K767" i="19"/>
  <c r="K768" i="19"/>
  <c r="K769" i="19"/>
  <c r="K770" i="19"/>
  <c r="K771" i="19"/>
  <c r="K772" i="19"/>
  <c r="K773" i="19"/>
  <c r="K774" i="19"/>
  <c r="K775" i="19"/>
  <c r="K776" i="19"/>
  <c r="K777" i="19"/>
  <c r="K778" i="19"/>
  <c r="K779" i="19"/>
  <c r="K780" i="19"/>
  <c r="K781" i="19"/>
  <c r="K782" i="19"/>
  <c r="K783" i="19"/>
  <c r="K784" i="19"/>
  <c r="K785" i="19"/>
  <c r="K786" i="19"/>
  <c r="K787" i="19"/>
  <c r="K788" i="19"/>
  <c r="K789" i="19"/>
  <c r="K790" i="19"/>
  <c r="K791" i="19"/>
  <c r="K792" i="19"/>
  <c r="K793" i="19"/>
  <c r="K794" i="19"/>
  <c r="K795" i="19"/>
  <c r="K796" i="19"/>
  <c r="K797" i="19"/>
  <c r="K798" i="19"/>
  <c r="K799" i="19"/>
  <c r="K800" i="19"/>
  <c r="K801" i="19"/>
  <c r="K802" i="19"/>
  <c r="K803" i="19"/>
  <c r="K804" i="19"/>
  <c r="K805" i="19"/>
  <c r="K806" i="19"/>
  <c r="K807" i="19"/>
  <c r="K808" i="19"/>
  <c r="K809" i="19"/>
  <c r="K810" i="19"/>
  <c r="K811" i="19"/>
  <c r="K812" i="19"/>
  <c r="K813" i="19"/>
  <c r="K814" i="19"/>
  <c r="K815" i="19"/>
  <c r="K816" i="19"/>
  <c r="K817" i="19"/>
  <c r="K818" i="19"/>
  <c r="K819" i="19"/>
  <c r="K820" i="19"/>
  <c r="K821" i="19"/>
  <c r="K822" i="19"/>
  <c r="K823" i="19"/>
  <c r="K824" i="19"/>
  <c r="K825" i="19"/>
  <c r="K826" i="19"/>
  <c r="K827" i="19"/>
  <c r="K828" i="19"/>
  <c r="K829" i="19"/>
  <c r="K830" i="19"/>
  <c r="K831" i="19"/>
  <c r="K832" i="19"/>
  <c r="K833" i="19"/>
  <c r="K834" i="19"/>
  <c r="K835" i="19"/>
  <c r="K836" i="19"/>
  <c r="K837" i="19"/>
  <c r="K838" i="19"/>
  <c r="K839" i="19"/>
  <c r="K840" i="19"/>
  <c r="K841" i="19"/>
  <c r="K842" i="19"/>
  <c r="K843" i="19"/>
  <c r="K844" i="19"/>
  <c r="K845" i="19"/>
  <c r="K846" i="19"/>
  <c r="K847" i="19"/>
  <c r="K848" i="19"/>
  <c r="K849" i="19"/>
  <c r="K850" i="19"/>
  <c r="K851" i="19"/>
  <c r="K852" i="19"/>
  <c r="K853" i="19"/>
  <c r="K854" i="19"/>
  <c r="K855" i="19"/>
  <c r="K856" i="19"/>
  <c r="K857" i="19"/>
  <c r="K858" i="19"/>
  <c r="K859" i="19"/>
  <c r="K860" i="19"/>
  <c r="K861" i="19"/>
  <c r="K862" i="19"/>
  <c r="K863" i="19"/>
  <c r="K864" i="19"/>
  <c r="K865" i="19"/>
  <c r="K866" i="19"/>
  <c r="K867" i="19"/>
  <c r="K868" i="19"/>
  <c r="K869" i="19"/>
  <c r="K870" i="19"/>
  <c r="K871" i="19"/>
  <c r="K872" i="19"/>
  <c r="K873" i="19"/>
  <c r="K874" i="19"/>
  <c r="K875" i="19"/>
  <c r="K876" i="19"/>
  <c r="K877" i="19"/>
  <c r="K878" i="19"/>
  <c r="K879" i="19"/>
  <c r="K880" i="19"/>
  <c r="K881" i="19"/>
  <c r="K882" i="19"/>
  <c r="K883" i="19"/>
  <c r="K884" i="19"/>
  <c r="K885" i="19"/>
  <c r="K886" i="19"/>
  <c r="K887" i="19"/>
  <c r="K888" i="19"/>
  <c r="K889" i="19"/>
  <c r="K890" i="19"/>
  <c r="K891" i="19"/>
  <c r="K892" i="19"/>
  <c r="K893" i="19"/>
  <c r="K894" i="19"/>
  <c r="K895" i="19"/>
  <c r="K896" i="19"/>
  <c r="K897" i="19"/>
  <c r="K898" i="19"/>
  <c r="K899" i="19"/>
  <c r="K900" i="19"/>
  <c r="K901" i="19"/>
  <c r="K902" i="19"/>
  <c r="K903" i="19"/>
  <c r="K904" i="19"/>
  <c r="K905" i="19"/>
  <c r="K906" i="19"/>
  <c r="K907" i="19"/>
  <c r="K908" i="19"/>
  <c r="K909" i="19"/>
  <c r="K910" i="19"/>
  <c r="K911" i="19"/>
  <c r="K912" i="19"/>
  <c r="K913" i="19"/>
  <c r="K914" i="19"/>
  <c r="K915" i="19"/>
  <c r="K916" i="19"/>
  <c r="K917" i="19"/>
  <c r="K918" i="19"/>
  <c r="K919" i="19"/>
  <c r="K920" i="19"/>
  <c r="K921" i="19"/>
  <c r="K922" i="19"/>
  <c r="K923" i="19"/>
  <c r="K924" i="19"/>
  <c r="K925" i="19"/>
  <c r="K926" i="19"/>
  <c r="K927" i="19"/>
  <c r="K928" i="19"/>
  <c r="K929" i="19"/>
  <c r="K930" i="19"/>
  <c r="K931" i="19"/>
  <c r="K932" i="19"/>
  <c r="K933" i="19"/>
  <c r="K934" i="19"/>
  <c r="K935" i="19"/>
  <c r="K936" i="19"/>
  <c r="K937" i="19"/>
  <c r="K938" i="19"/>
  <c r="K939" i="19"/>
  <c r="K940" i="19"/>
  <c r="K941" i="19"/>
  <c r="K942" i="19"/>
  <c r="K943" i="19"/>
  <c r="K944" i="19"/>
  <c r="K945" i="19"/>
  <c r="K946" i="19"/>
  <c r="K947" i="19"/>
  <c r="K948" i="19"/>
  <c r="K949" i="19"/>
  <c r="K950" i="19"/>
  <c r="K951" i="19"/>
  <c r="K952" i="19"/>
  <c r="K953" i="19"/>
  <c r="K954" i="19"/>
  <c r="K955" i="19"/>
  <c r="K956" i="19"/>
  <c r="K957" i="19"/>
  <c r="K958" i="19"/>
  <c r="K959" i="19"/>
  <c r="K960" i="19"/>
  <c r="K961" i="19"/>
  <c r="K962" i="19"/>
  <c r="K963" i="19"/>
  <c r="K964" i="19"/>
  <c r="K965" i="19"/>
  <c r="K966" i="19"/>
  <c r="K967" i="19"/>
  <c r="K968" i="19"/>
  <c r="K969" i="19"/>
  <c r="K970" i="19"/>
  <c r="K971" i="19"/>
  <c r="K972" i="19"/>
  <c r="K973" i="19"/>
  <c r="K974" i="19"/>
  <c r="K975" i="19"/>
  <c r="K976" i="19"/>
  <c r="K977" i="19"/>
  <c r="K978" i="19"/>
  <c r="K979" i="19"/>
  <c r="K980" i="19"/>
  <c r="K981" i="19"/>
  <c r="K982" i="19"/>
  <c r="K983" i="19"/>
  <c r="K984" i="19"/>
  <c r="K985" i="19"/>
  <c r="K986" i="19"/>
  <c r="K987" i="19"/>
  <c r="K988" i="19"/>
  <c r="K989" i="19"/>
  <c r="K990" i="19"/>
  <c r="K991" i="19"/>
  <c r="K992" i="19"/>
  <c r="K993" i="19"/>
  <c r="K994" i="19"/>
  <c r="K995" i="19"/>
  <c r="K170" i="19"/>
  <c r="K199" i="19"/>
  <c r="K204" i="19"/>
  <c r="K198" i="19"/>
  <c r="K177" i="19"/>
  <c r="K23" i="19"/>
  <c r="K26" i="19"/>
  <c r="K29" i="19"/>
  <c r="K31" i="19"/>
  <c r="K9" i="19"/>
  <c r="K168" i="19"/>
  <c r="K5" i="19"/>
  <c r="K6" i="19"/>
  <c r="K165" i="19"/>
  <c r="K7" i="19"/>
  <c r="K10" i="19"/>
  <c r="K25" i="19"/>
  <c r="K28" i="19"/>
  <c r="K196" i="19"/>
  <c r="K197" i="19"/>
  <c r="K13" i="19"/>
  <c r="K17" i="19"/>
  <c r="K217" i="19"/>
  <c r="K11" i="19"/>
  <c r="K225" i="19"/>
  <c r="K209" i="19"/>
  <c r="K210" i="19"/>
  <c r="K15" i="19"/>
  <c r="K16" i="19"/>
  <c r="K14" i="19"/>
  <c r="K211" i="19"/>
  <c r="K167" i="19"/>
  <c r="K3" i="19"/>
  <c r="K1001" i="19"/>
  <c r="K191" i="19"/>
  <c r="K12" i="19"/>
  <c r="K8" i="19"/>
  <c r="K999" i="19"/>
  <c r="K206" i="19"/>
  <c r="K1005" i="19"/>
  <c r="K21" i="19"/>
  <c r="K4" i="19"/>
  <c r="K190" i="19"/>
  <c r="K1003" i="19"/>
  <c r="K208" i="19"/>
  <c r="K22" i="19"/>
  <c r="K19" i="19"/>
  <c r="K227" i="19"/>
  <c r="K228" i="19"/>
  <c r="K188" i="19"/>
  <c r="K32" i="19"/>
  <c r="K58" i="19"/>
  <c r="K33" i="19"/>
  <c r="K59" i="19"/>
  <c r="K34" i="19"/>
  <c r="K60" i="19"/>
  <c r="K35" i="19"/>
  <c r="K61" i="19"/>
  <c r="K36" i="19"/>
  <c r="K62" i="19"/>
  <c r="K37" i="19"/>
  <c r="K38" i="19"/>
  <c r="K63" i="19"/>
  <c r="K39" i="19"/>
  <c r="K64" i="19"/>
  <c r="K40" i="19"/>
  <c r="K66" i="19"/>
  <c r="K41" i="19"/>
  <c r="K68" i="19"/>
  <c r="K42" i="19"/>
  <c r="K43" i="19"/>
  <c r="K65" i="19"/>
  <c r="K67" i="19"/>
  <c r="K69" i="19"/>
  <c r="K44" i="19"/>
  <c r="K47" i="19"/>
  <c r="K45" i="19"/>
  <c r="K46" i="19"/>
  <c r="K48" i="19"/>
  <c r="K50" i="19"/>
  <c r="K52" i="19"/>
  <c r="K51" i="19"/>
  <c r="K49" i="19"/>
  <c r="K53" i="19"/>
  <c r="K56" i="19"/>
  <c r="K54" i="19"/>
  <c r="K55" i="19"/>
  <c r="K57" i="19"/>
  <c r="K224" i="19"/>
  <c r="AC224" i="19"/>
  <c r="I224" i="19"/>
  <c r="J224" i="19"/>
  <c r="B27" i="16"/>
  <c r="E27" i="16"/>
  <c r="F27" i="16" s="1"/>
  <c r="G27" i="16"/>
  <c r="B33" i="16"/>
  <c r="E33" i="16"/>
  <c r="F33" i="16" s="1"/>
  <c r="G33" i="16"/>
  <c r="B12" i="16"/>
  <c r="E12" i="16"/>
  <c r="F12" i="16" s="1"/>
  <c r="G12" i="16"/>
  <c r="B31" i="16"/>
  <c r="E31" i="16"/>
  <c r="F31" i="16" s="1"/>
  <c r="G31" i="16"/>
  <c r="B29" i="16"/>
  <c r="E29" i="16"/>
  <c r="F29" i="16" s="1"/>
  <c r="G29" i="16"/>
  <c r="I57" i="19"/>
  <c r="J57" i="19"/>
  <c r="AC57" i="19"/>
  <c r="AC55" i="19"/>
  <c r="I55" i="19"/>
  <c r="J55" i="19"/>
  <c r="I54" i="19"/>
  <c r="J54" i="19"/>
  <c r="AC54" i="19"/>
  <c r="AC56" i="19"/>
  <c r="I56" i="19"/>
  <c r="J56" i="19"/>
  <c r="I53" i="19"/>
  <c r="J53" i="19"/>
  <c r="AC53" i="19"/>
  <c r="AC49" i="19"/>
  <c r="I49" i="19"/>
  <c r="J49" i="19"/>
  <c r="AC51" i="19"/>
  <c r="I51" i="19"/>
  <c r="J51" i="19"/>
  <c r="AC52" i="19"/>
  <c r="I52" i="19"/>
  <c r="J52" i="19"/>
  <c r="I50" i="19"/>
  <c r="J50" i="19"/>
  <c r="AC50" i="19"/>
  <c r="AC48" i="19"/>
  <c r="I48" i="19"/>
  <c r="J48" i="19"/>
  <c r="AC46" i="19"/>
  <c r="I46" i="19"/>
  <c r="J46" i="19"/>
  <c r="AC45" i="19"/>
  <c r="I45" i="19"/>
  <c r="J45" i="19"/>
  <c r="I47" i="19"/>
  <c r="J47" i="19"/>
  <c r="AC47" i="19"/>
  <c r="I44" i="19"/>
  <c r="J44" i="19"/>
  <c r="AC44" i="19"/>
  <c r="I69" i="19"/>
  <c r="J69" i="19"/>
  <c r="AC69" i="19"/>
  <c r="I67" i="19"/>
  <c r="J67" i="19"/>
  <c r="AC67" i="19"/>
  <c r="I65" i="19"/>
  <c r="J65" i="19"/>
  <c r="AC65" i="19"/>
  <c r="I43" i="19"/>
  <c r="J43" i="19"/>
  <c r="AC43" i="19"/>
  <c r="I42" i="19"/>
  <c r="J42" i="19"/>
  <c r="AC42" i="19"/>
  <c r="I68" i="19"/>
  <c r="J68" i="19"/>
  <c r="AC68" i="19"/>
  <c r="I41" i="19"/>
  <c r="J41" i="19"/>
  <c r="AC41" i="19"/>
  <c r="AC66" i="19"/>
  <c r="I66" i="19"/>
  <c r="J66" i="19"/>
  <c r="AC40" i="19"/>
  <c r="I40" i="19"/>
  <c r="J40" i="19"/>
  <c r="AC64" i="19"/>
  <c r="I64" i="19"/>
  <c r="J64" i="19"/>
  <c r="AC39" i="19"/>
  <c r="I39" i="19"/>
  <c r="J39" i="19"/>
  <c r="AC63" i="19"/>
  <c r="I63" i="19"/>
  <c r="J63" i="19"/>
  <c r="I38" i="19"/>
  <c r="J38" i="19"/>
  <c r="AC38" i="19"/>
  <c r="AC37" i="19"/>
  <c r="I37" i="19"/>
  <c r="J37" i="19"/>
  <c r="AC62" i="19"/>
  <c r="I62" i="19"/>
  <c r="J62" i="19"/>
  <c r="I36" i="19"/>
  <c r="J36" i="19"/>
  <c r="AC36" i="19"/>
  <c r="I61" i="19"/>
  <c r="J61" i="19"/>
  <c r="AC61" i="19"/>
  <c r="I35" i="19"/>
  <c r="J35" i="19"/>
  <c r="AC35" i="19"/>
  <c r="AC60" i="19"/>
  <c r="I60" i="19"/>
  <c r="J60" i="19"/>
  <c r="I34" i="19"/>
  <c r="J34" i="19"/>
  <c r="AC34" i="19"/>
  <c r="AC59" i="19"/>
  <c r="I59" i="19"/>
  <c r="J59" i="19"/>
  <c r="I33" i="19"/>
  <c r="J33" i="19"/>
  <c r="AC33" i="19"/>
  <c r="AC58" i="19"/>
  <c r="I58" i="19"/>
  <c r="J58" i="19"/>
  <c r="AC32" i="19"/>
  <c r="I32" i="19"/>
  <c r="J32" i="19"/>
  <c r="AC188" i="19"/>
  <c r="I188" i="19"/>
  <c r="J188" i="19"/>
  <c r="D11" i="16"/>
  <c r="G11" i="16" s="1"/>
  <c r="B11" i="16"/>
  <c r="E11" i="16"/>
  <c r="I452" i="19"/>
  <c r="J452" i="19"/>
  <c r="AC452" i="19"/>
  <c r="I260" i="19"/>
  <c r="J260" i="19"/>
  <c r="AC260" i="19"/>
  <c r="AC258" i="19"/>
  <c r="I258" i="19"/>
  <c r="J258" i="19"/>
  <c r="AC254" i="19"/>
  <c r="I254" i="19"/>
  <c r="J254" i="19"/>
  <c r="AC253" i="19"/>
  <c r="I253" i="19"/>
  <c r="J253" i="19"/>
  <c r="AC335" i="19"/>
  <c r="I335" i="19"/>
  <c r="J335" i="19"/>
  <c r="AC609" i="19"/>
  <c r="I609" i="19"/>
  <c r="J609" i="19"/>
  <c r="AC356" i="19"/>
  <c r="I356" i="19"/>
  <c r="J356" i="19"/>
  <c r="AC385" i="19"/>
  <c r="I385" i="19"/>
  <c r="J385" i="19"/>
  <c r="AC508" i="19"/>
  <c r="I508" i="19"/>
  <c r="J508" i="19"/>
  <c r="AC314" i="19"/>
  <c r="I314" i="19"/>
  <c r="J314" i="19"/>
  <c r="AC365" i="19"/>
  <c r="I365" i="19"/>
  <c r="J365" i="19"/>
  <c r="AC347" i="19"/>
  <c r="I347" i="19"/>
  <c r="J347" i="19"/>
  <c r="AC594" i="19"/>
  <c r="I594" i="19"/>
  <c r="J594" i="19"/>
  <c r="AC496" i="19"/>
  <c r="I496" i="19"/>
  <c r="J496" i="19"/>
  <c r="AC332" i="19"/>
  <c r="I332" i="19"/>
  <c r="J332" i="19"/>
  <c r="AC604" i="19"/>
  <c r="I604" i="19"/>
  <c r="J604" i="19"/>
  <c r="AC307" i="19"/>
  <c r="I307" i="19"/>
  <c r="J307" i="19"/>
  <c r="AC608" i="19"/>
  <c r="I608" i="19"/>
  <c r="J608" i="19"/>
  <c r="AC346" i="19"/>
  <c r="I346" i="19"/>
  <c r="J346" i="19"/>
  <c r="AC403" i="19"/>
  <c r="I403" i="19"/>
  <c r="J403" i="19"/>
  <c r="AC362" i="19"/>
  <c r="I362" i="19"/>
  <c r="J362" i="19"/>
  <c r="AC374" i="19"/>
  <c r="I374" i="19"/>
  <c r="J374" i="19"/>
  <c r="AC416" i="19"/>
  <c r="I416" i="19"/>
  <c r="J416" i="19"/>
  <c r="AC291" i="19"/>
  <c r="I291" i="19"/>
  <c r="J291" i="19"/>
  <c r="AC540" i="19"/>
  <c r="I540" i="19"/>
  <c r="J540" i="19"/>
  <c r="AC527" i="19"/>
  <c r="I527" i="19"/>
  <c r="J527" i="19"/>
  <c r="AC566" i="19"/>
  <c r="I566" i="19"/>
  <c r="J566" i="19"/>
  <c r="AC412" i="19"/>
  <c r="I412" i="19"/>
  <c r="J412" i="19"/>
  <c r="AC587" i="19"/>
  <c r="I587" i="19"/>
  <c r="J587" i="19"/>
  <c r="AC567" i="19"/>
  <c r="I567" i="19"/>
  <c r="J567" i="19"/>
  <c r="AC368" i="19"/>
  <c r="I368" i="19"/>
  <c r="J368" i="19"/>
  <c r="AC498" i="19"/>
  <c r="I498" i="19"/>
  <c r="J498" i="19"/>
  <c r="AC507" i="19"/>
  <c r="I507" i="19"/>
  <c r="J507" i="19"/>
  <c r="AC384" i="19"/>
  <c r="I384" i="19"/>
  <c r="J384" i="19"/>
  <c r="AC398" i="19"/>
  <c r="I398" i="19"/>
  <c r="J398" i="19"/>
  <c r="AC337" i="19"/>
  <c r="I337" i="19"/>
  <c r="J337" i="19"/>
  <c r="AC547" i="19"/>
  <c r="I547" i="19"/>
  <c r="J547" i="19"/>
  <c r="AC565" i="19"/>
  <c r="I565" i="19"/>
  <c r="J565" i="19"/>
  <c r="AC563" i="19"/>
  <c r="I563" i="19"/>
  <c r="J563" i="19"/>
  <c r="AC370" i="19"/>
  <c r="I370" i="19"/>
  <c r="J370" i="19"/>
  <c r="AC351" i="19"/>
  <c r="I351" i="19"/>
  <c r="J351" i="19"/>
  <c r="AC560" i="19"/>
  <c r="I560" i="19"/>
  <c r="J560" i="19"/>
  <c r="AC324" i="19"/>
  <c r="I324" i="19"/>
  <c r="J324" i="19"/>
  <c r="AC519" i="19"/>
  <c r="I519" i="19"/>
  <c r="J519" i="19"/>
  <c r="AC627" i="19"/>
  <c r="I627" i="19"/>
  <c r="J627" i="19"/>
  <c r="AC574" i="19"/>
  <c r="I574" i="19"/>
  <c r="J574" i="19"/>
  <c r="AC583" i="19"/>
  <c r="I583" i="19"/>
  <c r="J583" i="19"/>
  <c r="AC570" i="19"/>
  <c r="I570" i="19"/>
  <c r="J570" i="19"/>
  <c r="AC283" i="19"/>
  <c r="I283" i="19"/>
  <c r="J283" i="19"/>
  <c r="AC366" i="19"/>
  <c r="I366" i="19"/>
  <c r="J366" i="19"/>
  <c r="AC599" i="19"/>
  <c r="I599" i="19"/>
  <c r="J599" i="19"/>
  <c r="AC588" i="19"/>
  <c r="I588" i="19"/>
  <c r="J588" i="19"/>
  <c r="AC618" i="19"/>
  <c r="I618" i="19"/>
  <c r="J618" i="19"/>
  <c r="AC620" i="19"/>
  <c r="I620" i="19"/>
  <c r="J620" i="19"/>
  <c r="AC341" i="19"/>
  <c r="I341" i="19"/>
  <c r="J341" i="19"/>
  <c r="AC272" i="19"/>
  <c r="I272" i="19"/>
  <c r="J272" i="19"/>
  <c r="AC556" i="19"/>
  <c r="I556" i="19"/>
  <c r="J556" i="19"/>
  <c r="AC309" i="19"/>
  <c r="I309" i="19"/>
  <c r="J309" i="19"/>
  <c r="AC375" i="19"/>
  <c r="I375" i="19"/>
  <c r="J375" i="19"/>
  <c r="AC514" i="19"/>
  <c r="I514" i="19"/>
  <c r="J514" i="19"/>
  <c r="I610" i="19"/>
  <c r="J610" i="19"/>
  <c r="AC610" i="19"/>
  <c r="AC630" i="19"/>
  <c r="I630" i="19"/>
  <c r="J630" i="19"/>
  <c r="AC399" i="19"/>
  <c r="I399" i="19"/>
  <c r="J399" i="19"/>
  <c r="AC612" i="19"/>
  <c r="I612" i="19"/>
  <c r="J612" i="19"/>
  <c r="AC406" i="19"/>
  <c r="I406" i="19"/>
  <c r="J406" i="19"/>
  <c r="I571" i="19"/>
  <c r="J571" i="19"/>
  <c r="AC571" i="19"/>
  <c r="AC528" i="19"/>
  <c r="I528" i="19"/>
  <c r="J528" i="19"/>
  <c r="AC408" i="19"/>
  <c r="I408" i="19"/>
  <c r="J408" i="19"/>
  <c r="AC280" i="19"/>
  <c r="I280" i="19"/>
  <c r="J280" i="19"/>
  <c r="AC357" i="19"/>
  <c r="I357" i="19"/>
  <c r="J357" i="19"/>
  <c r="AC418" i="19"/>
  <c r="I418" i="19"/>
  <c r="J418" i="19"/>
  <c r="AC326" i="19"/>
  <c r="I326" i="19"/>
  <c r="J326" i="19"/>
  <c r="AC327" i="19"/>
  <c r="I327" i="19"/>
  <c r="J327" i="19"/>
  <c r="AC269" i="19"/>
  <c r="I269" i="19"/>
  <c r="J269" i="19"/>
  <c r="AC277" i="19"/>
  <c r="I277" i="19"/>
  <c r="J277" i="19"/>
  <c r="AC520" i="19"/>
  <c r="I520" i="19"/>
  <c r="J520" i="19"/>
  <c r="AC523" i="19"/>
  <c r="I523" i="19"/>
  <c r="J523" i="19"/>
  <c r="I577" i="19"/>
  <c r="J577" i="19"/>
  <c r="AC577" i="19"/>
  <c r="I497" i="19"/>
  <c r="J497" i="19"/>
  <c r="AC497" i="19"/>
  <c r="AC578" i="19"/>
  <c r="I578" i="19"/>
  <c r="J578" i="19"/>
  <c r="I315" i="19"/>
  <c r="J315" i="19"/>
  <c r="AC315" i="19"/>
  <c r="AC301" i="19"/>
  <c r="I301" i="19"/>
  <c r="J301" i="19"/>
  <c r="AC294" i="19"/>
  <c r="I294" i="19"/>
  <c r="J294" i="19"/>
  <c r="AC500" i="19"/>
  <c r="I500" i="19"/>
  <c r="J500" i="19"/>
  <c r="AC623" i="19"/>
  <c r="I623" i="19"/>
  <c r="J623" i="19"/>
  <c r="I308" i="19"/>
  <c r="J308" i="19"/>
  <c r="AC308" i="19"/>
  <c r="AC569" i="19"/>
  <c r="I569" i="19"/>
  <c r="J569" i="19"/>
  <c r="AC420" i="19"/>
  <c r="I420" i="19"/>
  <c r="J420" i="19"/>
  <c r="AC387" i="19"/>
  <c r="I387" i="19"/>
  <c r="J387" i="19"/>
  <c r="AC349" i="19"/>
  <c r="I349" i="19"/>
  <c r="J349" i="19"/>
  <c r="AC536" i="19"/>
  <c r="I536" i="19"/>
  <c r="J536" i="19"/>
  <c r="AC502" i="19"/>
  <c r="I502" i="19"/>
  <c r="J502" i="19"/>
  <c r="AC397" i="19"/>
  <c r="I397" i="19"/>
  <c r="J397" i="19"/>
  <c r="AC392" i="19"/>
  <c r="I392" i="19"/>
  <c r="J392" i="19"/>
  <c r="AC624" i="19"/>
  <c r="I624" i="19"/>
  <c r="J624" i="19"/>
  <c r="AC619" i="19"/>
  <c r="I619" i="19"/>
  <c r="J619" i="19"/>
  <c r="AC611" i="19"/>
  <c r="I611" i="19"/>
  <c r="J611" i="19"/>
  <c r="AC607" i="19"/>
  <c r="I607" i="19"/>
  <c r="J607" i="19"/>
  <c r="I601" i="19"/>
  <c r="J601" i="19"/>
  <c r="AC601" i="19"/>
  <c r="AC595" i="19"/>
  <c r="I595" i="19"/>
  <c r="J595" i="19"/>
  <c r="AC561" i="19"/>
  <c r="I561" i="19"/>
  <c r="J561" i="19"/>
  <c r="AC525" i="19"/>
  <c r="I525" i="19"/>
  <c r="J525" i="19"/>
  <c r="AC524" i="19"/>
  <c r="I524" i="19"/>
  <c r="J524" i="19"/>
  <c r="I421" i="19"/>
  <c r="J421" i="19"/>
  <c r="AC421" i="19"/>
  <c r="AC414" i="19"/>
  <c r="I414" i="19"/>
  <c r="J414" i="19"/>
  <c r="AC413" i="19"/>
  <c r="I413" i="19"/>
  <c r="J413" i="19"/>
  <c r="AC407" i="19"/>
  <c r="I407" i="19"/>
  <c r="J407" i="19"/>
  <c r="AC353" i="19"/>
  <c r="I353" i="19"/>
  <c r="J353" i="19"/>
  <c r="AC352" i="19"/>
  <c r="I352" i="19"/>
  <c r="J352" i="19"/>
  <c r="AC304" i="19"/>
  <c r="I304" i="19"/>
  <c r="J304" i="19"/>
  <c r="AC296" i="19"/>
  <c r="I296" i="19"/>
  <c r="J296" i="19"/>
  <c r="AC285" i="19"/>
  <c r="I285" i="19"/>
  <c r="J285" i="19"/>
  <c r="AC284" i="19"/>
  <c r="I284" i="19"/>
  <c r="J284" i="19"/>
  <c r="AC273" i="19"/>
  <c r="I273" i="19"/>
  <c r="J273" i="19"/>
  <c r="AC600" i="19"/>
  <c r="I600" i="19"/>
  <c r="J600" i="19"/>
  <c r="AC580" i="19"/>
  <c r="I580" i="19"/>
  <c r="J580" i="19"/>
  <c r="AC554" i="19"/>
  <c r="I554" i="19"/>
  <c r="J554" i="19"/>
  <c r="AC501" i="19"/>
  <c r="I501" i="19"/>
  <c r="J501" i="19"/>
  <c r="AC606" i="19"/>
  <c r="I606" i="19"/>
  <c r="J606" i="19"/>
  <c r="AC589" i="19"/>
  <c r="I589" i="19"/>
  <c r="J589" i="19"/>
  <c r="AC559" i="19"/>
  <c r="I559" i="19"/>
  <c r="J559" i="19"/>
  <c r="AC551" i="19"/>
  <c r="I551" i="19"/>
  <c r="J551" i="19"/>
  <c r="AC542" i="19"/>
  <c r="I542" i="19"/>
  <c r="J542" i="19"/>
  <c r="AC513" i="19"/>
  <c r="I513" i="19"/>
  <c r="J513" i="19"/>
  <c r="AC422" i="19"/>
  <c r="I422" i="19"/>
  <c r="J422" i="19"/>
  <c r="AC419" i="19"/>
  <c r="I419" i="19"/>
  <c r="J419" i="19"/>
  <c r="AC405" i="19"/>
  <c r="I405" i="19"/>
  <c r="J405" i="19"/>
  <c r="AC401" i="19"/>
  <c r="I401" i="19"/>
  <c r="J401" i="19"/>
  <c r="I400" i="19"/>
  <c r="J400" i="19"/>
  <c r="AC400" i="19"/>
  <c r="AC393" i="19"/>
  <c r="I393" i="19"/>
  <c r="J393" i="19"/>
  <c r="AC389" i="19"/>
  <c r="I389" i="19"/>
  <c r="J389" i="19"/>
  <c r="AC386" i="19"/>
  <c r="I386" i="19"/>
  <c r="J386" i="19"/>
  <c r="AC382" i="19"/>
  <c r="I382" i="19"/>
  <c r="J382" i="19"/>
  <c r="I367" i="19"/>
  <c r="J367" i="19"/>
  <c r="AC367" i="19"/>
  <c r="AC364" i="19"/>
  <c r="I364" i="19"/>
  <c r="J364" i="19"/>
  <c r="AC363" i="19"/>
  <c r="I363" i="19"/>
  <c r="J363" i="19"/>
  <c r="AC359" i="19"/>
  <c r="I359" i="19"/>
  <c r="J359" i="19"/>
  <c r="AC348" i="19"/>
  <c r="I348" i="19"/>
  <c r="J348" i="19"/>
  <c r="AC342" i="19"/>
  <c r="I342" i="19"/>
  <c r="J342" i="19"/>
  <c r="AC325" i="19"/>
  <c r="I325" i="19"/>
  <c r="J325" i="19"/>
  <c r="AC322" i="19"/>
  <c r="I322" i="19"/>
  <c r="J322" i="19"/>
  <c r="AC320" i="19"/>
  <c r="I320" i="19"/>
  <c r="J320" i="19"/>
  <c r="AC305" i="19"/>
  <c r="I305" i="19"/>
  <c r="J305" i="19"/>
  <c r="AC302" i="19"/>
  <c r="I302" i="19"/>
  <c r="J302" i="19"/>
  <c r="AC290" i="19"/>
  <c r="I290" i="19"/>
  <c r="J290" i="19"/>
  <c r="AC282" i="19"/>
  <c r="I282" i="19"/>
  <c r="J282" i="19"/>
  <c r="AC279" i="19"/>
  <c r="I279" i="19"/>
  <c r="J279" i="19"/>
  <c r="AC271" i="19"/>
  <c r="I271" i="19"/>
  <c r="J271" i="19"/>
  <c r="AC270" i="19"/>
  <c r="I270" i="19"/>
  <c r="J270" i="19"/>
  <c r="AC321" i="19"/>
  <c r="I321" i="19"/>
  <c r="J321" i="19"/>
  <c r="AC629" i="19"/>
  <c r="I629" i="19"/>
  <c r="J629" i="19"/>
  <c r="AC628" i="19"/>
  <c r="I628" i="19"/>
  <c r="J628" i="19"/>
  <c r="AC626" i="19"/>
  <c r="I626" i="19"/>
  <c r="J626" i="19"/>
  <c r="AC625" i="19"/>
  <c r="I625" i="19"/>
  <c r="J625" i="19"/>
  <c r="AC622" i="19"/>
  <c r="I622" i="19"/>
  <c r="J622" i="19"/>
  <c r="AC603" i="19"/>
  <c r="I603" i="19"/>
  <c r="J603" i="19"/>
  <c r="AC598" i="19"/>
  <c r="I598" i="19"/>
  <c r="J598" i="19"/>
  <c r="AC582" i="19"/>
  <c r="I582" i="19"/>
  <c r="J582" i="19"/>
  <c r="AC575" i="19"/>
  <c r="I575" i="19"/>
  <c r="J575" i="19"/>
  <c r="AC568" i="19"/>
  <c r="I568" i="19"/>
  <c r="J568" i="19"/>
  <c r="AC541" i="19"/>
  <c r="I541" i="19"/>
  <c r="J541" i="19"/>
  <c r="AC535" i="19"/>
  <c r="I535" i="19"/>
  <c r="J535" i="19"/>
  <c r="AC530" i="19"/>
  <c r="I530" i="19"/>
  <c r="J530" i="19"/>
  <c r="AC515" i="19"/>
  <c r="I515" i="19"/>
  <c r="J515" i="19"/>
  <c r="AC509" i="19"/>
  <c r="I509" i="19"/>
  <c r="J509" i="19"/>
  <c r="AC499" i="19"/>
  <c r="I499" i="19"/>
  <c r="J499" i="19"/>
  <c r="AC417" i="19"/>
  <c r="I417" i="19"/>
  <c r="J417" i="19"/>
  <c r="AC467" i="19"/>
  <c r="I467" i="19"/>
  <c r="J467" i="19"/>
  <c r="AC251" i="19"/>
  <c r="I251" i="19"/>
  <c r="J251" i="19"/>
  <c r="AC247" i="19"/>
  <c r="I247" i="19"/>
  <c r="J247" i="19"/>
  <c r="AC244" i="19"/>
  <c r="I244" i="19"/>
  <c r="J244" i="19"/>
  <c r="AC605" i="19"/>
  <c r="I605" i="19"/>
  <c r="J605" i="19"/>
  <c r="AC411" i="19"/>
  <c r="I411" i="19"/>
  <c r="J411" i="19"/>
  <c r="AC410" i="19"/>
  <c r="I410" i="19"/>
  <c r="J410" i="19"/>
  <c r="AC409" i="19"/>
  <c r="I409" i="19"/>
  <c r="J409" i="19"/>
  <c r="AC402" i="19"/>
  <c r="I402" i="19"/>
  <c r="J402" i="19"/>
  <c r="AC394" i="19"/>
  <c r="I394" i="19"/>
  <c r="J394" i="19"/>
  <c r="AC391" i="19"/>
  <c r="I391" i="19"/>
  <c r="J391" i="19"/>
  <c r="AC380" i="19"/>
  <c r="I380" i="19"/>
  <c r="J380" i="19"/>
  <c r="AC373" i="19"/>
  <c r="I373" i="19"/>
  <c r="J373" i="19"/>
  <c r="AC361" i="19"/>
  <c r="I361" i="19"/>
  <c r="J361" i="19"/>
  <c r="AC354" i="19"/>
  <c r="I354" i="19"/>
  <c r="J354" i="19"/>
  <c r="AC350" i="19"/>
  <c r="I350" i="19"/>
  <c r="J350" i="19"/>
  <c r="AC340" i="19"/>
  <c r="I340" i="19"/>
  <c r="J340" i="19"/>
  <c r="AC339" i="19"/>
  <c r="I339" i="19"/>
  <c r="J339" i="19"/>
  <c r="AC330" i="19"/>
  <c r="I330" i="19"/>
  <c r="J330" i="19"/>
  <c r="AC299" i="19"/>
  <c r="I299" i="19"/>
  <c r="J299" i="19"/>
  <c r="AC292" i="19"/>
  <c r="I292" i="19"/>
  <c r="J292" i="19"/>
  <c r="AC278" i="19"/>
  <c r="I278" i="19"/>
  <c r="J278" i="19"/>
  <c r="AC276" i="19"/>
  <c r="I276" i="19"/>
  <c r="J276" i="19"/>
  <c r="I310" i="19"/>
  <c r="J310" i="19"/>
  <c r="AC310" i="19"/>
  <c r="AC293" i="19"/>
  <c r="I293" i="19"/>
  <c r="J293" i="19"/>
  <c r="AC267" i="19"/>
  <c r="I267" i="19"/>
  <c r="J267" i="19"/>
  <c r="AC615" i="19"/>
  <c r="I615" i="19"/>
  <c r="J615" i="19"/>
  <c r="AC558" i="19"/>
  <c r="I558" i="19"/>
  <c r="J558" i="19"/>
  <c r="I557" i="19"/>
  <c r="J557" i="19"/>
  <c r="AC557" i="19"/>
  <c r="AC552" i="19"/>
  <c r="I552" i="19"/>
  <c r="J552" i="19"/>
  <c r="AC534" i="19"/>
  <c r="I534" i="19"/>
  <c r="J534" i="19"/>
  <c r="AC521" i="19"/>
  <c r="I521" i="19"/>
  <c r="J521" i="19"/>
  <c r="AC517" i="19"/>
  <c r="I517" i="19"/>
  <c r="J517" i="19"/>
  <c r="AC511" i="19"/>
  <c r="I511" i="19"/>
  <c r="J511" i="19"/>
  <c r="AC355" i="19"/>
  <c r="I355" i="19"/>
  <c r="J355" i="19"/>
  <c r="AC318" i="19"/>
  <c r="I318" i="19"/>
  <c r="J318" i="19"/>
  <c r="AC432" i="19"/>
  <c r="I432" i="19"/>
  <c r="J432" i="19"/>
  <c r="AC471" i="19"/>
  <c r="I471" i="19"/>
  <c r="J471" i="19"/>
  <c r="AC486" i="19"/>
  <c r="I486" i="19"/>
  <c r="J486" i="19"/>
  <c r="AC450" i="19"/>
  <c r="I450" i="19"/>
  <c r="J450" i="19"/>
  <c r="AC451" i="19"/>
  <c r="I451" i="19"/>
  <c r="J451" i="19"/>
  <c r="I465" i="19"/>
  <c r="J465" i="19"/>
  <c r="AC465" i="19"/>
  <c r="AC485" i="19"/>
  <c r="I485" i="19"/>
  <c r="J485" i="19"/>
  <c r="AC491" i="19"/>
  <c r="I491" i="19"/>
  <c r="J491" i="19"/>
  <c r="AC449" i="19"/>
  <c r="I449" i="19"/>
  <c r="J449" i="19"/>
  <c r="AC435" i="19"/>
  <c r="I435" i="19"/>
  <c r="J435" i="19"/>
  <c r="AC478" i="19"/>
  <c r="I478" i="19"/>
  <c r="J478" i="19"/>
  <c r="AC480" i="19"/>
  <c r="I480" i="19"/>
  <c r="J480" i="19"/>
  <c r="AC463" i="19"/>
  <c r="I463" i="19"/>
  <c r="J463" i="19"/>
  <c r="AC433" i="19"/>
  <c r="I433" i="19"/>
  <c r="J433" i="19"/>
  <c r="AC440" i="19"/>
  <c r="I440" i="19"/>
  <c r="J440" i="19"/>
  <c r="AC490" i="19"/>
  <c r="I490" i="19"/>
  <c r="J490" i="19"/>
  <c r="AC470" i="19"/>
  <c r="I470" i="19"/>
  <c r="J470" i="19"/>
  <c r="AC459" i="19"/>
  <c r="I459" i="19"/>
  <c r="J459" i="19"/>
  <c r="AC444" i="19"/>
  <c r="I444" i="19"/>
  <c r="J444" i="19"/>
  <c r="AC453" i="19"/>
  <c r="I453" i="19"/>
  <c r="J453" i="19"/>
  <c r="AC462" i="19"/>
  <c r="I462" i="19"/>
  <c r="J462" i="19"/>
  <c r="AC484" i="19"/>
  <c r="I484" i="19"/>
  <c r="J484" i="19"/>
  <c r="AC245" i="19"/>
  <c r="I245" i="19"/>
  <c r="J245" i="19"/>
  <c r="AC252" i="19"/>
  <c r="I252" i="19"/>
  <c r="J252" i="19"/>
  <c r="AC257" i="19"/>
  <c r="I257" i="19"/>
  <c r="J257" i="19"/>
  <c r="AC246" i="19"/>
  <c r="I246" i="19"/>
  <c r="J246" i="19"/>
  <c r="AC266" i="19"/>
  <c r="I266" i="19"/>
  <c r="J266" i="19"/>
  <c r="AC576" i="19"/>
  <c r="I576" i="19"/>
  <c r="J576" i="19"/>
  <c r="AC381" i="19"/>
  <c r="I381" i="19"/>
  <c r="J381" i="19"/>
  <c r="AC543" i="19"/>
  <c r="I543" i="19"/>
  <c r="J543" i="19"/>
  <c r="AC336" i="19"/>
  <c r="I336" i="19"/>
  <c r="J336" i="19"/>
  <c r="AC597" i="19"/>
  <c r="I597" i="19"/>
  <c r="J597" i="19"/>
  <c r="AC319" i="19"/>
  <c r="I319" i="19"/>
  <c r="J319" i="19"/>
  <c r="AC596" i="19"/>
  <c r="I596" i="19"/>
  <c r="J596" i="19"/>
  <c r="AC516" i="19"/>
  <c r="I516" i="19"/>
  <c r="J516" i="19"/>
  <c r="AC288" i="19"/>
  <c r="I288" i="19"/>
  <c r="J288" i="19"/>
  <c r="AC300" i="19"/>
  <c r="I300" i="19"/>
  <c r="J300" i="19"/>
  <c r="AC593" i="19"/>
  <c r="I593" i="19"/>
  <c r="J593" i="19"/>
  <c r="AC379" i="19"/>
  <c r="I379" i="19"/>
  <c r="J379" i="19"/>
  <c r="AC614" i="19"/>
  <c r="I614" i="19"/>
  <c r="J614" i="19"/>
  <c r="AC572" i="19"/>
  <c r="I572" i="19"/>
  <c r="J572" i="19"/>
  <c r="H371" i="19"/>
  <c r="AC371" i="19" s="1"/>
  <c r="I371" i="19"/>
  <c r="J371" i="19"/>
  <c r="AC345" i="19"/>
  <c r="I345" i="19"/>
  <c r="J345" i="19"/>
  <c r="AC329" i="19"/>
  <c r="I329" i="19"/>
  <c r="J329" i="19"/>
  <c r="AC613" i="19"/>
  <c r="I613" i="19"/>
  <c r="J613" i="19"/>
  <c r="AC268" i="19"/>
  <c r="I268" i="19"/>
  <c r="J268" i="19"/>
  <c r="AC404" i="19"/>
  <c r="I404" i="19"/>
  <c r="J404" i="19"/>
  <c r="AC494" i="19"/>
  <c r="I494" i="19"/>
  <c r="J494" i="19"/>
  <c r="AC295" i="19"/>
  <c r="I295" i="19"/>
  <c r="J295" i="19"/>
  <c r="AC510" i="19"/>
  <c r="I510" i="19"/>
  <c r="J510" i="19"/>
  <c r="AC531" i="19"/>
  <c r="I531" i="19"/>
  <c r="J531" i="19"/>
  <c r="I306" i="19"/>
  <c r="J306" i="19"/>
  <c r="AC306" i="19"/>
  <c r="AC289" i="19"/>
  <c r="I289" i="19"/>
  <c r="J289" i="19"/>
  <c r="AC312" i="19"/>
  <c r="I312" i="19"/>
  <c r="J312" i="19"/>
  <c r="AC512" i="19"/>
  <c r="I512" i="19"/>
  <c r="J512" i="19"/>
  <c r="AC383" i="19"/>
  <c r="I383" i="19"/>
  <c r="J383" i="19"/>
  <c r="AC286" i="19"/>
  <c r="I286" i="19"/>
  <c r="J286" i="19"/>
  <c r="AC544" i="19"/>
  <c r="I544" i="19"/>
  <c r="J544" i="19"/>
  <c r="AC592" i="19"/>
  <c r="I592" i="19"/>
  <c r="J592" i="19"/>
  <c r="AC585" i="19"/>
  <c r="I585" i="19"/>
  <c r="J585" i="19"/>
  <c r="AC334" i="19"/>
  <c r="I334" i="19"/>
  <c r="J334" i="19"/>
  <c r="AC317" i="19"/>
  <c r="I317" i="19"/>
  <c r="J317" i="19"/>
  <c r="AC442" i="19"/>
  <c r="I442" i="19"/>
  <c r="J442" i="19"/>
  <c r="AC441" i="19"/>
  <c r="I441" i="19"/>
  <c r="J441" i="19"/>
  <c r="AC489" i="19"/>
  <c r="I489" i="19"/>
  <c r="J489" i="19"/>
  <c r="AC482" i="19"/>
  <c r="I482" i="19"/>
  <c r="J482" i="19"/>
  <c r="AC481" i="19"/>
  <c r="I481" i="19"/>
  <c r="J481" i="19"/>
  <c r="AC475" i="19"/>
  <c r="I475" i="19"/>
  <c r="J475" i="19"/>
  <c r="AC461" i="19"/>
  <c r="I461" i="19"/>
  <c r="J461" i="19"/>
  <c r="AC460" i="19"/>
  <c r="I460" i="19"/>
  <c r="J460" i="19"/>
  <c r="AC447" i="19"/>
  <c r="I447" i="19"/>
  <c r="J447" i="19"/>
  <c r="AC443" i="19"/>
  <c r="I443" i="19"/>
  <c r="J443" i="19"/>
  <c r="AC437" i="19"/>
  <c r="I437" i="19"/>
  <c r="J437" i="19"/>
  <c r="AC434" i="19"/>
  <c r="I434" i="19"/>
  <c r="J434" i="19"/>
  <c r="AC466" i="19"/>
  <c r="I466" i="19"/>
  <c r="J466" i="19"/>
  <c r="AC428" i="19"/>
  <c r="I428" i="19"/>
  <c r="J428" i="19"/>
  <c r="AC488" i="19"/>
  <c r="I488" i="19"/>
  <c r="J488" i="19"/>
  <c r="AC473" i="19"/>
  <c r="I473" i="19"/>
  <c r="J473" i="19"/>
  <c r="AC274" i="19"/>
  <c r="I274" i="19"/>
  <c r="J274" i="19"/>
  <c r="I617" i="19"/>
  <c r="J617" i="19"/>
  <c r="AC617" i="19"/>
  <c r="AC555" i="19"/>
  <c r="I555" i="19"/>
  <c r="J555" i="19"/>
  <c r="AC550" i="19"/>
  <c r="I550" i="19"/>
  <c r="J550" i="19"/>
  <c r="AC506" i="19"/>
  <c r="I506" i="19"/>
  <c r="J506" i="19"/>
  <c r="AC358" i="19"/>
  <c r="I358" i="19"/>
  <c r="J358" i="19"/>
  <c r="AC579" i="19"/>
  <c r="I579" i="19"/>
  <c r="J579" i="19"/>
  <c r="AC546" i="19"/>
  <c r="I546" i="19"/>
  <c r="J546" i="19"/>
  <c r="I545" i="19"/>
  <c r="J545" i="19"/>
  <c r="AC545" i="19"/>
  <c r="AC518" i="19"/>
  <c r="I518" i="19"/>
  <c r="J518" i="19"/>
  <c r="AC331" i="19"/>
  <c r="I331" i="19"/>
  <c r="J331" i="19"/>
  <c r="I503" i="19"/>
  <c r="J503" i="19"/>
  <c r="AC503" i="19"/>
  <c r="AC474" i="19"/>
  <c r="I474" i="19"/>
  <c r="J474" i="19"/>
  <c r="AC455" i="19"/>
  <c r="I455" i="19"/>
  <c r="J455" i="19"/>
  <c r="AC436" i="19"/>
  <c r="I436" i="19"/>
  <c r="J436" i="19"/>
  <c r="AC431" i="19"/>
  <c r="I431" i="19"/>
  <c r="J431" i="19"/>
  <c r="AC477" i="19"/>
  <c r="I477" i="19"/>
  <c r="J477" i="19"/>
  <c r="AC458" i="19"/>
  <c r="I458" i="19"/>
  <c r="J458" i="19"/>
  <c r="AC430" i="19"/>
  <c r="I430" i="19"/>
  <c r="J430" i="19"/>
  <c r="AC429" i="19"/>
  <c r="I429" i="19"/>
  <c r="J429" i="19"/>
  <c r="AC476" i="19"/>
  <c r="I476" i="19"/>
  <c r="J476" i="19"/>
  <c r="AC464" i="19"/>
  <c r="I464" i="19"/>
  <c r="J464" i="19"/>
  <c r="AC456" i="19"/>
  <c r="I456" i="19"/>
  <c r="J456" i="19"/>
  <c r="AC445" i="19"/>
  <c r="I445" i="19"/>
  <c r="J445" i="19"/>
  <c r="I457" i="19"/>
  <c r="J457" i="19"/>
  <c r="AC457" i="19"/>
  <c r="AC446" i="19"/>
  <c r="I446" i="19"/>
  <c r="J446" i="19"/>
  <c r="AC487" i="19"/>
  <c r="I487" i="19"/>
  <c r="J487" i="19"/>
  <c r="AC472" i="19"/>
  <c r="I472" i="19"/>
  <c r="J472" i="19"/>
  <c r="AC438" i="19"/>
  <c r="I438" i="19"/>
  <c r="J438" i="19"/>
  <c r="I426" i="19"/>
  <c r="J426" i="19"/>
  <c r="AC426" i="19"/>
  <c r="AC468" i="19"/>
  <c r="I468" i="19"/>
  <c r="J468" i="19"/>
  <c r="AC454" i="19"/>
  <c r="I454" i="19"/>
  <c r="J454" i="19"/>
  <c r="AC423" i="19"/>
  <c r="I423" i="19"/>
  <c r="J423" i="19"/>
  <c r="AC425" i="19"/>
  <c r="I425" i="19"/>
  <c r="J425" i="19"/>
  <c r="AC479" i="19"/>
  <c r="I479" i="19"/>
  <c r="J479" i="19"/>
  <c r="AC448" i="19"/>
  <c r="I448" i="19"/>
  <c r="J448" i="19"/>
  <c r="AC483" i="19"/>
  <c r="I483" i="19"/>
  <c r="J483" i="19"/>
  <c r="AC439" i="19"/>
  <c r="I439" i="19"/>
  <c r="J439" i="19"/>
  <c r="AC469" i="19"/>
  <c r="I469" i="19"/>
  <c r="J469" i="19"/>
  <c r="AC255" i="19"/>
  <c r="I255" i="19"/>
  <c r="J255" i="19"/>
  <c r="AC249" i="19"/>
  <c r="I249" i="19"/>
  <c r="J249" i="19"/>
  <c r="AC248" i="19"/>
  <c r="I248" i="19"/>
  <c r="J248" i="19"/>
  <c r="I250" i="19"/>
  <c r="J250" i="19"/>
  <c r="AC250" i="19"/>
  <c r="AC259" i="19"/>
  <c r="I259" i="19"/>
  <c r="J259" i="19"/>
  <c r="AC256" i="19"/>
  <c r="I256" i="19"/>
  <c r="J256" i="19"/>
  <c r="H287" i="19"/>
  <c r="AC287" i="19" s="1"/>
  <c r="I287" i="19"/>
  <c r="J287" i="19"/>
  <c r="AC415" i="19"/>
  <c r="I415" i="19"/>
  <c r="J415" i="19"/>
  <c r="AC333" i="19"/>
  <c r="I333" i="19"/>
  <c r="J333" i="19"/>
  <c r="AC313" i="19"/>
  <c r="I313" i="19"/>
  <c r="J313" i="19"/>
  <c r="AC265" i="19"/>
  <c r="I265" i="19"/>
  <c r="J265" i="19"/>
  <c r="AC616" i="19"/>
  <c r="I616" i="19"/>
  <c r="J616" i="19"/>
  <c r="AC573" i="19"/>
  <c r="I573" i="19"/>
  <c r="J573" i="19"/>
  <c r="AC564" i="19"/>
  <c r="I564" i="19"/>
  <c r="J564" i="19"/>
  <c r="AC533" i="19"/>
  <c r="I533" i="19"/>
  <c r="J533" i="19"/>
  <c r="AC505" i="19"/>
  <c r="I505" i="19"/>
  <c r="J505" i="19"/>
  <c r="AC388" i="19"/>
  <c r="I388" i="19"/>
  <c r="J388" i="19"/>
  <c r="I591" i="19"/>
  <c r="J591" i="19"/>
  <c r="AC591" i="19"/>
  <c r="AC553" i="19"/>
  <c r="I553" i="19"/>
  <c r="J553" i="19"/>
  <c r="AC396" i="19"/>
  <c r="I396" i="19"/>
  <c r="J396" i="19"/>
  <c r="AC328" i="19"/>
  <c r="I328" i="19"/>
  <c r="J328" i="19"/>
  <c r="AC372" i="19"/>
  <c r="I372" i="19"/>
  <c r="J372" i="19"/>
  <c r="AC586" i="19"/>
  <c r="I586" i="19"/>
  <c r="J586" i="19"/>
  <c r="AC584" i="19"/>
  <c r="I584" i="19"/>
  <c r="J584" i="19"/>
  <c r="AC562" i="19"/>
  <c r="I562" i="19"/>
  <c r="J562" i="19"/>
  <c r="AC548" i="19"/>
  <c r="I548" i="19"/>
  <c r="J548" i="19"/>
  <c r="AC526" i="19"/>
  <c r="I526" i="19"/>
  <c r="J526" i="19"/>
  <c r="AC378" i="19"/>
  <c r="I378" i="19"/>
  <c r="J378" i="19"/>
  <c r="AC281" i="19"/>
  <c r="I281" i="19"/>
  <c r="J281" i="19"/>
  <c r="AC297" i="19"/>
  <c r="I297" i="19"/>
  <c r="J297" i="19"/>
  <c r="AC343" i="19"/>
  <c r="I343" i="19"/>
  <c r="J343" i="19"/>
  <c r="AC529" i="19"/>
  <c r="I529" i="19"/>
  <c r="J529" i="19"/>
  <c r="AC338" i="19"/>
  <c r="I338" i="19"/>
  <c r="J338" i="19"/>
  <c r="AC360" i="19"/>
  <c r="I360" i="19"/>
  <c r="J360" i="19"/>
  <c r="AC395" i="19"/>
  <c r="I395" i="19"/>
  <c r="J395" i="19"/>
  <c r="AC537" i="19"/>
  <c r="I537" i="19"/>
  <c r="J537" i="19"/>
  <c r="H996" i="19"/>
  <c r="AC996" i="19" s="1"/>
  <c r="I996" i="19"/>
  <c r="J996" i="19"/>
  <c r="H298" i="19"/>
  <c r="AC298" i="19" s="1"/>
  <c r="I298" i="19"/>
  <c r="J298" i="19"/>
  <c r="AC390" i="19"/>
  <c r="I390" i="19"/>
  <c r="J390" i="19"/>
  <c r="AC311" i="19"/>
  <c r="I311" i="19"/>
  <c r="J311" i="19"/>
  <c r="I549" i="19"/>
  <c r="J549" i="19"/>
  <c r="AC549" i="19"/>
  <c r="AC532" i="19"/>
  <c r="I532" i="19"/>
  <c r="J532" i="19"/>
  <c r="AC602" i="19"/>
  <c r="I602" i="19"/>
  <c r="J602" i="19"/>
  <c r="AC323" i="19"/>
  <c r="I323" i="19"/>
  <c r="J323" i="19"/>
  <c r="AC581" i="19"/>
  <c r="I581" i="19"/>
  <c r="J581" i="19"/>
  <c r="AC539" i="19"/>
  <c r="I539" i="19"/>
  <c r="J539" i="19"/>
  <c r="AC504" i="19"/>
  <c r="I504" i="19"/>
  <c r="J504" i="19"/>
  <c r="AC377" i="19"/>
  <c r="I377" i="19"/>
  <c r="J377" i="19"/>
  <c r="AC369" i="19"/>
  <c r="I369" i="19"/>
  <c r="J369" i="19"/>
  <c r="AC376" i="19"/>
  <c r="I376" i="19"/>
  <c r="J376" i="19"/>
  <c r="AC275" i="19"/>
  <c r="I275" i="19"/>
  <c r="J275" i="19"/>
  <c r="I344" i="19"/>
  <c r="J344" i="19"/>
  <c r="AC344" i="19"/>
  <c r="AC303" i="19"/>
  <c r="I303" i="19"/>
  <c r="J303" i="19"/>
  <c r="AC621" i="19"/>
  <c r="I621" i="19"/>
  <c r="J621" i="19"/>
  <c r="AC495" i="19"/>
  <c r="I495" i="19"/>
  <c r="J495" i="19"/>
  <c r="AC590" i="19"/>
  <c r="I590" i="19"/>
  <c r="J590" i="19"/>
  <c r="AC316" i="19"/>
  <c r="I316" i="19"/>
  <c r="J316" i="19"/>
  <c r="AC492" i="19"/>
  <c r="I492" i="19"/>
  <c r="J492" i="19"/>
  <c r="AC493" i="19"/>
  <c r="I493" i="19"/>
  <c r="J493" i="19"/>
  <c r="AC264" i="19"/>
  <c r="I264" i="19"/>
  <c r="J264" i="19"/>
  <c r="AC262" i="19"/>
  <c r="I262" i="19"/>
  <c r="J262" i="19"/>
  <c r="AC538" i="19"/>
  <c r="I538" i="19"/>
  <c r="J538" i="19"/>
  <c r="AC522" i="19"/>
  <c r="I522" i="19"/>
  <c r="J522" i="19"/>
  <c r="AC424" i="19"/>
  <c r="I424" i="19"/>
  <c r="J424" i="19"/>
  <c r="I427" i="19"/>
  <c r="J427" i="19"/>
  <c r="AC427" i="19"/>
  <c r="AC241" i="19"/>
  <c r="I241" i="19"/>
  <c r="J241" i="19"/>
  <c r="H242" i="19"/>
  <c r="AC242" i="19" s="1"/>
  <c r="I242" i="19"/>
  <c r="J242" i="19"/>
  <c r="AC243" i="19"/>
  <c r="I243" i="19"/>
  <c r="J243" i="19"/>
  <c r="AC261" i="19"/>
  <c r="I261" i="19"/>
  <c r="J261" i="19"/>
  <c r="AC263" i="19"/>
  <c r="I263" i="19"/>
  <c r="J263" i="19"/>
  <c r="B20" i="16"/>
  <c r="E20" i="16"/>
  <c r="F20" i="16" s="1"/>
  <c r="G20" i="16"/>
  <c r="AC707" i="19"/>
  <c r="I707" i="19"/>
  <c r="J707" i="19"/>
  <c r="AC894" i="19"/>
  <c r="I894" i="19"/>
  <c r="J894" i="19"/>
  <c r="AC636" i="19"/>
  <c r="I636" i="19"/>
  <c r="J636" i="19"/>
  <c r="AC806" i="19"/>
  <c r="I806" i="19"/>
  <c r="J806" i="19"/>
  <c r="AC741" i="19"/>
  <c r="I741" i="19"/>
  <c r="J741" i="19"/>
  <c r="AC848" i="19"/>
  <c r="I848" i="19"/>
  <c r="J848" i="19"/>
  <c r="AC716" i="19"/>
  <c r="I716" i="19"/>
  <c r="J716" i="19"/>
  <c r="AC941" i="19"/>
  <c r="I941" i="19"/>
  <c r="J941" i="19"/>
  <c r="AC696" i="19"/>
  <c r="I696" i="19"/>
  <c r="J696" i="19"/>
  <c r="AC807" i="19"/>
  <c r="I807" i="19"/>
  <c r="J807" i="19"/>
  <c r="AC879" i="19"/>
  <c r="I879" i="19"/>
  <c r="J879" i="19"/>
  <c r="AC653" i="19"/>
  <c r="I653" i="19"/>
  <c r="J653" i="19"/>
  <c r="AC699" i="19"/>
  <c r="I699" i="19"/>
  <c r="J699" i="19"/>
  <c r="AC801" i="19"/>
  <c r="I801" i="19"/>
  <c r="J801" i="19"/>
  <c r="AC825" i="19"/>
  <c r="I825" i="19"/>
  <c r="J825" i="19"/>
  <c r="AC783" i="19"/>
  <c r="I783" i="19"/>
  <c r="J783" i="19"/>
  <c r="AC763" i="19"/>
  <c r="I763" i="19"/>
  <c r="J763" i="19"/>
  <c r="AC795" i="19"/>
  <c r="I795" i="19"/>
  <c r="J795" i="19"/>
  <c r="AC664" i="19"/>
  <c r="I664" i="19"/>
  <c r="J664" i="19"/>
  <c r="AC912" i="19"/>
  <c r="I912" i="19"/>
  <c r="J912" i="19"/>
  <c r="AC724" i="19"/>
  <c r="I724" i="19"/>
  <c r="J724" i="19"/>
  <c r="AC793" i="19"/>
  <c r="I793" i="19"/>
  <c r="J793" i="19"/>
  <c r="AC790" i="19"/>
  <c r="I790" i="19"/>
  <c r="J790" i="19"/>
  <c r="AC827" i="19"/>
  <c r="I827" i="19"/>
  <c r="J827" i="19"/>
  <c r="AC762" i="19"/>
  <c r="I762" i="19"/>
  <c r="J762" i="19"/>
  <c r="AC799" i="19"/>
  <c r="I799" i="19"/>
  <c r="J799" i="19"/>
  <c r="AC704" i="19"/>
  <c r="I704" i="19"/>
  <c r="J704" i="19"/>
  <c r="AC845" i="19"/>
  <c r="I845" i="19"/>
  <c r="J845" i="19"/>
  <c r="AC931" i="19"/>
  <c r="I931" i="19"/>
  <c r="J931" i="19"/>
  <c r="AC642" i="19"/>
  <c r="I642" i="19"/>
  <c r="J642" i="19"/>
  <c r="AC780" i="19"/>
  <c r="I780" i="19"/>
  <c r="J780" i="19"/>
  <c r="AC991" i="19"/>
  <c r="I991" i="19"/>
  <c r="J991" i="19"/>
  <c r="AC994" i="19"/>
  <c r="I994" i="19"/>
  <c r="J994" i="19"/>
  <c r="AC985" i="19"/>
  <c r="I985" i="19"/>
  <c r="J985" i="19"/>
  <c r="AC987" i="19"/>
  <c r="I987" i="19"/>
  <c r="J987" i="19"/>
  <c r="AC979" i="19"/>
  <c r="I979" i="19"/>
  <c r="J979" i="19"/>
  <c r="AC968" i="19"/>
  <c r="I968" i="19"/>
  <c r="J968" i="19"/>
  <c r="AC963" i="19"/>
  <c r="I963" i="19"/>
  <c r="J963" i="19"/>
  <c r="AC959" i="19"/>
  <c r="I959" i="19"/>
  <c r="J959" i="19"/>
  <c r="AC958" i="19"/>
  <c r="I958" i="19"/>
  <c r="J958" i="19"/>
  <c r="I952" i="19"/>
  <c r="J952" i="19"/>
  <c r="AC952" i="19"/>
  <c r="AC947" i="19"/>
  <c r="I947" i="19"/>
  <c r="J947" i="19"/>
  <c r="AC944" i="19"/>
  <c r="I944" i="19"/>
  <c r="J944" i="19"/>
  <c r="AC938" i="19"/>
  <c r="I938" i="19"/>
  <c r="J938" i="19"/>
  <c r="AC932" i="19"/>
  <c r="I932" i="19"/>
  <c r="J932" i="19"/>
  <c r="AC919" i="19"/>
  <c r="I919" i="19"/>
  <c r="J919" i="19"/>
  <c r="AC907" i="19"/>
  <c r="I907" i="19"/>
  <c r="J907" i="19"/>
  <c r="AC898" i="19"/>
  <c r="I898" i="19"/>
  <c r="J898" i="19"/>
  <c r="AC859" i="19"/>
  <c r="I859" i="19"/>
  <c r="J859" i="19"/>
  <c r="AC853" i="19"/>
  <c r="I853" i="19"/>
  <c r="J853" i="19"/>
  <c r="AC844" i="19"/>
  <c r="I844" i="19"/>
  <c r="J844" i="19"/>
  <c r="AC828" i="19"/>
  <c r="I828" i="19"/>
  <c r="J828" i="19"/>
  <c r="AC820" i="19"/>
  <c r="I820" i="19"/>
  <c r="J820" i="19"/>
  <c r="AC817" i="19"/>
  <c r="I817" i="19"/>
  <c r="J817" i="19"/>
  <c r="AC803" i="19"/>
  <c r="I803" i="19"/>
  <c r="J803" i="19"/>
  <c r="AC789" i="19"/>
  <c r="I789" i="19"/>
  <c r="J789" i="19"/>
  <c r="AC788" i="19"/>
  <c r="I788" i="19"/>
  <c r="J788" i="19"/>
  <c r="AC773" i="19"/>
  <c r="I773" i="19"/>
  <c r="J773" i="19"/>
  <c r="AC766" i="19"/>
  <c r="I766" i="19"/>
  <c r="J766" i="19"/>
  <c r="AC759" i="19"/>
  <c r="I759" i="19"/>
  <c r="J759" i="19"/>
  <c r="AC740" i="19"/>
  <c r="I740" i="19"/>
  <c r="J740" i="19"/>
  <c r="AC737" i="19"/>
  <c r="I737" i="19"/>
  <c r="J737" i="19"/>
  <c r="AC736" i="19"/>
  <c r="I736" i="19"/>
  <c r="J736" i="19"/>
  <c r="I735" i="19"/>
  <c r="J735" i="19"/>
  <c r="AC735" i="19"/>
  <c r="AC732" i="19"/>
  <c r="I732" i="19"/>
  <c r="J732" i="19"/>
  <c r="AC721" i="19"/>
  <c r="I721" i="19"/>
  <c r="J721" i="19"/>
  <c r="AC700" i="19"/>
  <c r="I700" i="19"/>
  <c r="J700" i="19"/>
  <c r="AC691" i="19"/>
  <c r="I691" i="19"/>
  <c r="J691" i="19"/>
  <c r="AC690" i="19"/>
  <c r="I690" i="19"/>
  <c r="J690" i="19"/>
  <c r="AC683" i="19"/>
  <c r="I683" i="19"/>
  <c r="J683" i="19"/>
  <c r="AC676" i="19"/>
  <c r="I676" i="19"/>
  <c r="J676" i="19"/>
  <c r="AC674" i="19"/>
  <c r="I674" i="19"/>
  <c r="J674" i="19"/>
  <c r="AC670" i="19"/>
  <c r="I670" i="19"/>
  <c r="J670" i="19"/>
  <c r="AC669" i="19"/>
  <c r="I669" i="19"/>
  <c r="J669" i="19"/>
  <c r="AC650" i="19"/>
  <c r="I650" i="19"/>
  <c r="J650" i="19"/>
  <c r="AC649" i="19"/>
  <c r="I649" i="19"/>
  <c r="J649" i="19"/>
  <c r="AC638" i="19"/>
  <c r="I638" i="19"/>
  <c r="J638" i="19"/>
  <c r="AC988" i="19"/>
  <c r="I988" i="19"/>
  <c r="J988" i="19"/>
  <c r="AC969" i="19"/>
  <c r="I969" i="19"/>
  <c r="J969" i="19"/>
  <c r="AC964" i="19"/>
  <c r="I964" i="19"/>
  <c r="J964" i="19"/>
  <c r="AC910" i="19"/>
  <c r="I910" i="19"/>
  <c r="J910" i="19"/>
  <c r="AC902" i="19"/>
  <c r="I902" i="19"/>
  <c r="J902" i="19"/>
  <c r="AC854" i="19"/>
  <c r="I854" i="19"/>
  <c r="J854" i="19"/>
  <c r="AC802" i="19"/>
  <c r="I802" i="19"/>
  <c r="J802" i="19"/>
  <c r="AC767" i="19"/>
  <c r="I767" i="19"/>
  <c r="J767" i="19"/>
  <c r="AC758" i="19"/>
  <c r="I758" i="19"/>
  <c r="J758" i="19"/>
  <c r="AC756" i="19"/>
  <c r="I756" i="19"/>
  <c r="J756" i="19"/>
  <c r="AC734" i="19"/>
  <c r="I734" i="19"/>
  <c r="J734" i="19"/>
  <c r="AC673" i="19"/>
  <c r="I673" i="19"/>
  <c r="J673" i="19"/>
  <c r="AC658" i="19"/>
  <c r="I658" i="19"/>
  <c r="J658" i="19"/>
  <c r="AC842" i="19"/>
  <c r="I842" i="19"/>
  <c r="J842" i="19"/>
  <c r="AC990" i="19"/>
  <c r="I990" i="19"/>
  <c r="J990" i="19"/>
  <c r="AC992" i="19"/>
  <c r="I992" i="19"/>
  <c r="J992" i="19"/>
  <c r="AC986" i="19"/>
  <c r="I986" i="19"/>
  <c r="J986" i="19"/>
  <c r="AC984" i="19"/>
  <c r="I984" i="19"/>
  <c r="J984" i="19"/>
  <c r="AC891" i="19"/>
  <c r="I891" i="19"/>
  <c r="J891" i="19"/>
  <c r="AC742" i="19"/>
  <c r="I742" i="19"/>
  <c r="J742" i="19"/>
  <c r="I905" i="19"/>
  <c r="J905" i="19"/>
  <c r="AC905" i="19"/>
  <c r="AC631" i="19"/>
  <c r="I631" i="19"/>
  <c r="J631" i="19"/>
  <c r="AC973" i="19"/>
  <c r="I973" i="19"/>
  <c r="J973" i="19"/>
  <c r="AC863" i="19"/>
  <c r="I863" i="19"/>
  <c r="J863" i="19"/>
  <c r="AC728" i="19"/>
  <c r="I728" i="19"/>
  <c r="J728" i="19"/>
  <c r="AC831" i="19"/>
  <c r="I831" i="19"/>
  <c r="J831" i="19"/>
  <c r="AC873" i="19"/>
  <c r="I873" i="19"/>
  <c r="J873" i="19"/>
  <c r="AC864" i="19"/>
  <c r="I864" i="19"/>
  <c r="J864" i="19"/>
  <c r="AC666" i="19"/>
  <c r="I666" i="19"/>
  <c r="J666" i="19"/>
  <c r="AC726" i="19"/>
  <c r="I726" i="19"/>
  <c r="J726" i="19"/>
  <c r="AC725" i="19"/>
  <c r="I725" i="19"/>
  <c r="J725" i="19"/>
  <c r="I797" i="19"/>
  <c r="J797" i="19"/>
  <c r="AC797" i="19"/>
  <c r="AC686" i="19"/>
  <c r="I686" i="19"/>
  <c r="J686" i="19"/>
  <c r="AC684" i="19"/>
  <c r="I684" i="19"/>
  <c r="J684" i="19"/>
  <c r="AC926" i="19"/>
  <c r="I926" i="19"/>
  <c r="J926" i="19"/>
  <c r="AC875" i="19"/>
  <c r="I875" i="19"/>
  <c r="J875" i="19"/>
  <c r="AC747" i="19"/>
  <c r="I747" i="19"/>
  <c r="J747" i="19"/>
  <c r="AC685" i="19"/>
  <c r="I685" i="19"/>
  <c r="J685" i="19"/>
  <c r="I846" i="19"/>
  <c r="J846" i="19"/>
  <c r="AC846" i="19"/>
  <c r="AC651" i="19"/>
  <c r="I651" i="19"/>
  <c r="J651" i="19"/>
  <c r="AC976" i="19"/>
  <c r="I976" i="19"/>
  <c r="J976" i="19"/>
  <c r="I791" i="19"/>
  <c r="J791" i="19"/>
  <c r="AC791" i="19"/>
  <c r="AC840" i="19"/>
  <c r="I840" i="19"/>
  <c r="J840" i="19"/>
  <c r="AC876" i="19"/>
  <c r="I876" i="19"/>
  <c r="J876" i="19"/>
  <c r="I679" i="19"/>
  <c r="J679" i="19"/>
  <c r="AC679" i="19"/>
  <c r="AC874" i="19"/>
  <c r="I874" i="19"/>
  <c r="J874" i="19"/>
  <c r="AC885" i="19"/>
  <c r="I885" i="19"/>
  <c r="J885" i="19"/>
  <c r="AC751" i="19"/>
  <c r="I751" i="19"/>
  <c r="J751" i="19"/>
  <c r="AC906" i="19"/>
  <c r="I906" i="19"/>
  <c r="J906" i="19"/>
  <c r="AC701" i="19"/>
  <c r="I701" i="19"/>
  <c r="J701" i="19"/>
  <c r="AC753" i="19"/>
  <c r="I753" i="19"/>
  <c r="J753" i="19"/>
  <c r="AC722" i="19"/>
  <c r="I722" i="19"/>
  <c r="J722" i="19"/>
  <c r="AC792" i="19"/>
  <c r="I792" i="19"/>
  <c r="J792" i="19"/>
  <c r="AC887" i="19"/>
  <c r="I887" i="19"/>
  <c r="J887" i="19"/>
  <c r="AC717" i="19"/>
  <c r="I717" i="19"/>
  <c r="J717" i="19"/>
  <c r="AC764" i="19"/>
  <c r="I764" i="19"/>
  <c r="J764" i="19"/>
  <c r="AC655" i="19"/>
  <c r="I655" i="19"/>
  <c r="J655" i="19"/>
  <c r="AC970" i="19"/>
  <c r="I970" i="19"/>
  <c r="J970" i="19"/>
  <c r="AC866" i="19"/>
  <c r="I866" i="19"/>
  <c r="J866" i="19"/>
  <c r="I878" i="19"/>
  <c r="J878" i="19"/>
  <c r="AC878" i="19"/>
  <c r="AC703" i="19"/>
  <c r="I703" i="19"/>
  <c r="J703" i="19"/>
  <c r="AC924" i="19"/>
  <c r="I924" i="19"/>
  <c r="J924" i="19"/>
  <c r="AC811" i="19"/>
  <c r="I811" i="19"/>
  <c r="J811" i="19"/>
  <c r="AC860" i="19"/>
  <c r="I860" i="19"/>
  <c r="J860" i="19"/>
  <c r="AC727" i="19"/>
  <c r="I727" i="19"/>
  <c r="J727" i="19"/>
  <c r="AC829" i="19"/>
  <c r="I829" i="19"/>
  <c r="J829" i="19"/>
  <c r="AC645" i="19"/>
  <c r="I645" i="19"/>
  <c r="J645" i="19"/>
  <c r="AC869" i="19"/>
  <c r="I869" i="19"/>
  <c r="J869" i="19"/>
  <c r="AC837" i="19"/>
  <c r="I837" i="19"/>
  <c r="J837" i="19"/>
  <c r="AC748" i="19"/>
  <c r="I748" i="19"/>
  <c r="J748" i="19"/>
  <c r="AC834" i="19"/>
  <c r="I834" i="19"/>
  <c r="J834" i="19"/>
  <c r="AC977" i="19"/>
  <c r="I977" i="19"/>
  <c r="J977" i="19"/>
  <c r="AC914" i="19"/>
  <c r="I914" i="19"/>
  <c r="J914" i="19"/>
  <c r="AC715" i="19"/>
  <c r="I715" i="19"/>
  <c r="J715" i="19"/>
  <c r="AC933" i="19"/>
  <c r="I933" i="19"/>
  <c r="J933" i="19"/>
  <c r="AC967" i="19"/>
  <c r="I967" i="19"/>
  <c r="J967" i="19"/>
  <c r="AC720" i="19"/>
  <c r="I720" i="19"/>
  <c r="J720" i="19"/>
  <c r="AC975" i="19"/>
  <c r="I975" i="19"/>
  <c r="J975" i="19"/>
  <c r="AC936" i="19"/>
  <c r="I936" i="19"/>
  <c r="J936" i="19"/>
  <c r="AC917" i="19"/>
  <c r="I917" i="19"/>
  <c r="J917" i="19"/>
  <c r="AC980" i="19"/>
  <c r="I980" i="19"/>
  <c r="J980" i="19"/>
  <c r="AC928" i="19"/>
  <c r="I928" i="19"/>
  <c r="J928" i="19"/>
  <c r="AC749" i="19"/>
  <c r="I749" i="19"/>
  <c r="J749" i="19"/>
  <c r="AC858" i="19"/>
  <c r="I858" i="19"/>
  <c r="J858" i="19"/>
  <c r="AC643" i="19"/>
  <c r="I643" i="19"/>
  <c r="J643" i="19"/>
  <c r="AC646" i="19"/>
  <c r="I646" i="19"/>
  <c r="J646" i="19"/>
  <c r="AC945" i="19"/>
  <c r="I945" i="19"/>
  <c r="J945" i="19"/>
  <c r="AC718" i="19"/>
  <c r="I718" i="19"/>
  <c r="J718" i="19"/>
  <c r="AC711" i="19"/>
  <c r="I711" i="19"/>
  <c r="J711" i="19"/>
  <c r="AC816" i="19"/>
  <c r="I816" i="19"/>
  <c r="J816" i="19"/>
  <c r="AC709" i="19"/>
  <c r="I709" i="19"/>
  <c r="J709" i="19"/>
  <c r="AC746" i="19"/>
  <c r="I746" i="19"/>
  <c r="J746" i="19"/>
  <c r="AC637" i="19"/>
  <c r="I637" i="19"/>
  <c r="J637" i="19"/>
  <c r="AC785" i="19"/>
  <c r="I785" i="19"/>
  <c r="J785" i="19"/>
  <c r="AC632" i="19"/>
  <c r="I632" i="19"/>
  <c r="J632" i="19"/>
  <c r="AC824" i="19"/>
  <c r="I824" i="19"/>
  <c r="J824" i="19"/>
  <c r="I971" i="19"/>
  <c r="J971" i="19"/>
  <c r="AC971" i="19"/>
  <c r="AC738" i="19"/>
  <c r="I738" i="19"/>
  <c r="J738" i="19"/>
  <c r="AC826" i="19"/>
  <c r="I826" i="19"/>
  <c r="J826" i="19"/>
  <c r="AC705" i="19"/>
  <c r="I705" i="19"/>
  <c r="J705" i="19"/>
  <c r="AC954" i="19"/>
  <c r="I954" i="19"/>
  <c r="J954" i="19"/>
  <c r="I787" i="19"/>
  <c r="J787" i="19"/>
  <c r="AC787" i="19"/>
  <c r="AC888" i="19"/>
  <c r="I888" i="19"/>
  <c r="J888" i="19"/>
  <c r="AC662" i="19"/>
  <c r="I662" i="19"/>
  <c r="J662" i="19"/>
  <c r="AC822" i="19"/>
  <c r="I822" i="19"/>
  <c r="J822" i="19"/>
  <c r="AC962" i="19"/>
  <c r="I962" i="19"/>
  <c r="J962" i="19"/>
  <c r="AC778" i="19"/>
  <c r="I778" i="19"/>
  <c r="J778" i="19"/>
  <c r="AC723" i="19"/>
  <c r="I723" i="19"/>
  <c r="J723" i="19"/>
  <c r="AC772" i="19"/>
  <c r="I772" i="19"/>
  <c r="J772" i="19"/>
  <c r="AC852" i="19"/>
  <c r="I852" i="19"/>
  <c r="J852" i="19"/>
  <c r="AC815" i="19"/>
  <c r="I815" i="19"/>
  <c r="J815" i="19"/>
  <c r="AC675" i="19"/>
  <c r="I675" i="19"/>
  <c r="J675" i="19"/>
  <c r="AC768" i="19"/>
  <c r="I768" i="19"/>
  <c r="J768" i="19"/>
  <c r="AC921" i="19"/>
  <c r="I921" i="19"/>
  <c r="J921" i="19"/>
  <c r="AC922" i="19"/>
  <c r="I922" i="19"/>
  <c r="J922" i="19"/>
  <c r="AC972" i="19"/>
  <c r="I972" i="19"/>
  <c r="J972" i="19"/>
  <c r="AC663" i="19"/>
  <c r="I663" i="19"/>
  <c r="J663" i="19"/>
  <c r="AC890" i="19"/>
  <c r="I890" i="19"/>
  <c r="J890" i="19"/>
  <c r="AC981" i="19"/>
  <c r="I981" i="19"/>
  <c r="J981" i="19"/>
  <c r="AC779" i="19"/>
  <c r="I779" i="19"/>
  <c r="J779" i="19"/>
  <c r="AC719" i="19"/>
  <c r="I719" i="19"/>
  <c r="J719" i="19"/>
  <c r="AC918" i="19"/>
  <c r="I918" i="19"/>
  <c r="J918" i="19"/>
  <c r="AC639" i="19"/>
  <c r="I639" i="19"/>
  <c r="J639" i="19"/>
  <c r="AC909" i="19"/>
  <c r="I909" i="19"/>
  <c r="J909" i="19"/>
  <c r="AC836" i="19"/>
  <c r="I836" i="19"/>
  <c r="J836" i="19"/>
  <c r="AC682" i="19"/>
  <c r="I682" i="19"/>
  <c r="J682" i="19"/>
  <c r="AC668" i="19"/>
  <c r="I668" i="19"/>
  <c r="J668" i="19"/>
  <c r="AC901" i="19"/>
  <c r="I901" i="19"/>
  <c r="J901" i="19"/>
  <c r="AC733" i="19"/>
  <c r="I733" i="19"/>
  <c r="J733" i="19"/>
  <c r="AC647" i="19"/>
  <c r="I647" i="19"/>
  <c r="J647" i="19"/>
  <c r="AC818" i="19"/>
  <c r="I818" i="19"/>
  <c r="J818" i="19"/>
  <c r="AC982" i="19"/>
  <c r="I982" i="19"/>
  <c r="J982" i="19"/>
  <c r="AC965" i="19"/>
  <c r="I965" i="19"/>
  <c r="J965" i="19"/>
  <c r="AC978" i="19"/>
  <c r="I978" i="19"/>
  <c r="J978" i="19"/>
  <c r="AC920" i="19"/>
  <c r="I920" i="19"/>
  <c r="J920" i="19"/>
  <c r="AC702" i="19"/>
  <c r="I702" i="19"/>
  <c r="J702" i="19"/>
  <c r="I648" i="19"/>
  <c r="J648" i="19"/>
  <c r="AC648" i="19"/>
  <c r="AC804" i="19"/>
  <c r="I804" i="19"/>
  <c r="J804" i="19"/>
  <c r="AC694" i="19"/>
  <c r="I694" i="19"/>
  <c r="J694" i="19"/>
  <c r="I950" i="19"/>
  <c r="J950" i="19"/>
  <c r="AC950" i="19"/>
  <c r="AC712" i="19"/>
  <c r="I712" i="19"/>
  <c r="J712" i="19"/>
  <c r="AC835" i="19"/>
  <c r="I835" i="19"/>
  <c r="J835" i="19"/>
  <c r="AC786" i="19"/>
  <c r="I786" i="19"/>
  <c r="J786" i="19"/>
  <c r="AC955" i="19"/>
  <c r="I955" i="19"/>
  <c r="J955" i="19"/>
  <c r="AC680" i="19"/>
  <c r="I680" i="19"/>
  <c r="J680" i="19"/>
  <c r="AC886" i="19"/>
  <c r="I886" i="19"/>
  <c r="J886" i="19"/>
  <c r="AC656" i="19"/>
  <c r="I656" i="19"/>
  <c r="J656" i="19"/>
  <c r="AC677" i="19"/>
  <c r="I677" i="19"/>
  <c r="J677" i="19"/>
  <c r="AC935" i="19"/>
  <c r="I935" i="19"/>
  <c r="J935" i="19"/>
  <c r="AC769" i="19"/>
  <c r="I769" i="19"/>
  <c r="J769" i="19"/>
  <c r="AC946" i="19"/>
  <c r="I946" i="19"/>
  <c r="J946" i="19"/>
  <c r="AC966" i="19"/>
  <c r="I966" i="19"/>
  <c r="J966" i="19"/>
  <c r="AC695" i="19"/>
  <c r="I695" i="19"/>
  <c r="J695" i="19"/>
  <c r="AC750" i="19"/>
  <c r="I750" i="19"/>
  <c r="J750" i="19"/>
  <c r="AC731" i="19"/>
  <c r="I731" i="19"/>
  <c r="J731" i="19"/>
  <c r="AC692" i="19"/>
  <c r="I692" i="19"/>
  <c r="J692" i="19"/>
  <c r="AC908" i="19"/>
  <c r="I908" i="19"/>
  <c r="J908" i="19"/>
  <c r="AC800" i="19"/>
  <c r="I800" i="19"/>
  <c r="J800" i="19"/>
  <c r="AC671" i="19"/>
  <c r="I671" i="19"/>
  <c r="J671" i="19"/>
  <c r="AC660" i="19"/>
  <c r="I660" i="19"/>
  <c r="J660" i="19"/>
  <c r="AC956" i="19"/>
  <c r="I956" i="19"/>
  <c r="J956" i="19"/>
  <c r="AC961" i="19"/>
  <c r="I961" i="19"/>
  <c r="J961" i="19"/>
  <c r="AC851" i="19"/>
  <c r="I851" i="19"/>
  <c r="J851" i="19"/>
  <c r="AC710" i="19"/>
  <c r="I710" i="19"/>
  <c r="J710" i="19"/>
  <c r="AC856" i="19"/>
  <c r="I856" i="19"/>
  <c r="J856" i="19"/>
  <c r="AC708" i="19"/>
  <c r="I708" i="19"/>
  <c r="J708" i="19"/>
  <c r="AC784" i="19"/>
  <c r="I784" i="19"/>
  <c r="J784" i="19"/>
  <c r="AC821" i="19"/>
  <c r="I821" i="19"/>
  <c r="J821" i="19"/>
  <c r="AC771" i="19"/>
  <c r="I771" i="19"/>
  <c r="J771" i="19"/>
  <c r="AC819" i="19"/>
  <c r="I819" i="19"/>
  <c r="J819" i="19"/>
  <c r="AC847" i="19"/>
  <c r="I847" i="19"/>
  <c r="J847" i="19"/>
  <c r="AC993" i="19"/>
  <c r="I993" i="19"/>
  <c r="J993" i="19"/>
  <c r="AC989" i="19"/>
  <c r="I989" i="19"/>
  <c r="J989" i="19"/>
  <c r="AC983" i="19"/>
  <c r="I983" i="19"/>
  <c r="J983" i="19"/>
  <c r="AC960" i="19"/>
  <c r="I960" i="19"/>
  <c r="J960" i="19"/>
  <c r="AC949" i="19"/>
  <c r="I949" i="19"/>
  <c r="J949" i="19"/>
  <c r="AC948" i="19"/>
  <c r="I948" i="19"/>
  <c r="J948" i="19"/>
  <c r="AC943" i="19"/>
  <c r="I943" i="19"/>
  <c r="J943" i="19"/>
  <c r="AC942" i="19"/>
  <c r="I942" i="19"/>
  <c r="J942" i="19"/>
  <c r="AC937" i="19"/>
  <c r="I937" i="19"/>
  <c r="J937" i="19"/>
  <c r="AC934" i="19"/>
  <c r="I934" i="19"/>
  <c r="J934" i="19"/>
  <c r="AC929" i="19"/>
  <c r="I929" i="19"/>
  <c r="J929" i="19"/>
  <c r="AC904" i="19"/>
  <c r="I904" i="19"/>
  <c r="J904" i="19"/>
  <c r="AC903" i="19"/>
  <c r="I903" i="19"/>
  <c r="J903" i="19"/>
  <c r="AC900" i="19"/>
  <c r="I900" i="19"/>
  <c r="J900" i="19"/>
  <c r="AC892" i="19"/>
  <c r="I892" i="19"/>
  <c r="J892" i="19"/>
  <c r="AC889" i="19"/>
  <c r="I889" i="19"/>
  <c r="J889" i="19"/>
  <c r="AC884" i="19"/>
  <c r="I884" i="19"/>
  <c r="J884" i="19"/>
  <c r="AC883" i="19"/>
  <c r="I883" i="19"/>
  <c r="J883" i="19"/>
  <c r="AC870" i="19"/>
  <c r="I870" i="19"/>
  <c r="J870" i="19"/>
  <c r="AC861" i="19"/>
  <c r="I861" i="19"/>
  <c r="J861" i="19"/>
  <c r="AC857" i="19"/>
  <c r="I857" i="19"/>
  <c r="J857" i="19"/>
  <c r="AC843" i="19"/>
  <c r="I843" i="19"/>
  <c r="J843" i="19"/>
  <c r="AC814" i="19"/>
  <c r="I814" i="19"/>
  <c r="J814" i="19"/>
  <c r="AC805" i="19"/>
  <c r="I805" i="19"/>
  <c r="J805" i="19"/>
  <c r="AC798" i="19"/>
  <c r="I798" i="19"/>
  <c r="J798" i="19"/>
  <c r="AC782" i="19"/>
  <c r="I782" i="19"/>
  <c r="J782" i="19"/>
  <c r="AC781" i="19"/>
  <c r="I781" i="19"/>
  <c r="J781" i="19"/>
  <c r="AC774" i="19"/>
  <c r="I774" i="19"/>
  <c r="J774" i="19"/>
  <c r="AC761" i="19"/>
  <c r="I761" i="19"/>
  <c r="J761" i="19"/>
  <c r="AC755" i="19"/>
  <c r="I755" i="19"/>
  <c r="J755" i="19"/>
  <c r="AC752" i="19"/>
  <c r="I752" i="19"/>
  <c r="J752" i="19"/>
  <c r="AC739" i="19"/>
  <c r="I739" i="19"/>
  <c r="J739" i="19"/>
  <c r="AC713" i="19"/>
  <c r="I713" i="19"/>
  <c r="J713" i="19"/>
  <c r="AC706" i="19"/>
  <c r="I706" i="19"/>
  <c r="J706" i="19"/>
  <c r="AC697" i="19"/>
  <c r="I697" i="19"/>
  <c r="J697" i="19"/>
  <c r="AC693" i="19"/>
  <c r="I693" i="19"/>
  <c r="J693" i="19"/>
  <c r="AC689" i="19"/>
  <c r="I689" i="19"/>
  <c r="J689" i="19"/>
  <c r="AC681" i="19"/>
  <c r="I681" i="19"/>
  <c r="J681" i="19"/>
  <c r="AC672" i="19"/>
  <c r="I672" i="19"/>
  <c r="J672" i="19"/>
  <c r="AC657" i="19"/>
  <c r="I657" i="19"/>
  <c r="J657" i="19"/>
  <c r="AC640" i="19"/>
  <c r="I640" i="19"/>
  <c r="J640" i="19"/>
  <c r="AC927" i="19"/>
  <c r="I927" i="19"/>
  <c r="J927" i="19"/>
  <c r="AC850" i="19"/>
  <c r="I850" i="19"/>
  <c r="J850" i="19"/>
  <c r="AC823" i="19"/>
  <c r="I823" i="19"/>
  <c r="J823" i="19"/>
  <c r="AC911" i="19"/>
  <c r="I911" i="19"/>
  <c r="J911" i="19"/>
  <c r="AC760" i="19"/>
  <c r="I760" i="19"/>
  <c r="J760" i="19"/>
  <c r="AC862" i="19"/>
  <c r="I862" i="19"/>
  <c r="J862" i="19"/>
  <c r="AC951" i="19"/>
  <c r="I951" i="19"/>
  <c r="J951" i="19"/>
  <c r="AC940" i="19"/>
  <c r="I940" i="19"/>
  <c r="J940" i="19"/>
  <c r="AC939" i="19"/>
  <c r="I939" i="19"/>
  <c r="J939" i="19"/>
  <c r="AC930" i="19"/>
  <c r="I930" i="19"/>
  <c r="J930" i="19"/>
  <c r="AC913" i="19"/>
  <c r="I913" i="19"/>
  <c r="J913" i="19"/>
  <c r="AC899" i="19"/>
  <c r="I899" i="19"/>
  <c r="J899" i="19"/>
  <c r="AC895" i="19"/>
  <c r="I895" i="19"/>
  <c r="J895" i="19"/>
  <c r="I868" i="19"/>
  <c r="J868" i="19"/>
  <c r="AC868" i="19"/>
  <c r="AC849" i="19"/>
  <c r="I849" i="19"/>
  <c r="J849" i="19"/>
  <c r="AC839" i="19"/>
  <c r="I839" i="19"/>
  <c r="J839" i="19"/>
  <c r="AC833" i="19"/>
  <c r="I833" i="19"/>
  <c r="J833" i="19"/>
  <c r="AC830" i="19"/>
  <c r="I830" i="19"/>
  <c r="J830" i="19"/>
  <c r="AC813" i="19"/>
  <c r="I813" i="19"/>
  <c r="J813" i="19"/>
  <c r="AC810" i="19"/>
  <c r="I810" i="19"/>
  <c r="J810" i="19"/>
  <c r="AC796" i="19"/>
  <c r="I796" i="19"/>
  <c r="J796" i="19"/>
  <c r="AC776" i="19"/>
  <c r="I776" i="19"/>
  <c r="J776" i="19"/>
  <c r="AC775" i="19"/>
  <c r="I775" i="19"/>
  <c r="J775" i="19"/>
  <c r="AC765" i="19"/>
  <c r="I765" i="19"/>
  <c r="J765" i="19"/>
  <c r="AC757" i="19"/>
  <c r="I757" i="19"/>
  <c r="J757" i="19"/>
  <c r="AC754" i="19"/>
  <c r="I754" i="19"/>
  <c r="J754" i="19"/>
  <c r="AC714" i="19"/>
  <c r="I714" i="19"/>
  <c r="J714" i="19"/>
  <c r="AC678" i="19"/>
  <c r="I678" i="19"/>
  <c r="J678" i="19"/>
  <c r="AC665" i="19"/>
  <c r="I665" i="19"/>
  <c r="J665" i="19"/>
  <c r="AC661" i="19"/>
  <c r="I661" i="19"/>
  <c r="J661" i="19"/>
  <c r="AC659" i="19"/>
  <c r="I659" i="19"/>
  <c r="J659" i="19"/>
  <c r="AC644" i="19"/>
  <c r="I644" i="19"/>
  <c r="J644" i="19"/>
  <c r="AC974" i="19"/>
  <c r="I974" i="19"/>
  <c r="J974" i="19"/>
  <c r="AC915" i="19"/>
  <c r="I915" i="19"/>
  <c r="J915" i="19"/>
  <c r="AC812" i="19"/>
  <c r="I812" i="19"/>
  <c r="J812" i="19"/>
  <c r="AC770" i="19"/>
  <c r="I770" i="19"/>
  <c r="J770" i="19"/>
  <c r="AC688" i="19"/>
  <c r="I688" i="19"/>
  <c r="J688" i="19"/>
  <c r="AC957" i="19"/>
  <c r="I957" i="19"/>
  <c r="J957" i="19"/>
  <c r="I923" i="19"/>
  <c r="J923" i="19"/>
  <c r="AC923" i="19"/>
  <c r="AC916" i="19"/>
  <c r="I916" i="19"/>
  <c r="J916" i="19"/>
  <c r="AC897" i="19"/>
  <c r="I897" i="19"/>
  <c r="J897" i="19"/>
  <c r="AC880" i="19"/>
  <c r="I880" i="19"/>
  <c r="J880" i="19"/>
  <c r="AC871" i="19"/>
  <c r="I871" i="19"/>
  <c r="J871" i="19"/>
  <c r="AC841" i="19"/>
  <c r="I841" i="19"/>
  <c r="J841" i="19"/>
  <c r="AC838" i="19"/>
  <c r="I838" i="19"/>
  <c r="J838" i="19"/>
  <c r="AC808" i="19"/>
  <c r="I808" i="19"/>
  <c r="J808" i="19"/>
  <c r="AC667" i="19"/>
  <c r="I667" i="19"/>
  <c r="J667" i="19"/>
  <c r="AC652" i="19"/>
  <c r="I652" i="19"/>
  <c r="J652" i="19"/>
  <c r="AC953" i="19"/>
  <c r="I953" i="19"/>
  <c r="J953" i="19"/>
  <c r="AC896" i="19"/>
  <c r="I896" i="19"/>
  <c r="J896" i="19"/>
  <c r="AC855" i="19"/>
  <c r="I855" i="19"/>
  <c r="J855" i="19"/>
  <c r="AC687" i="19"/>
  <c r="I687" i="19"/>
  <c r="J687" i="19"/>
  <c r="AC654" i="19"/>
  <c r="I654" i="19"/>
  <c r="J654" i="19"/>
  <c r="AC698" i="19"/>
  <c r="I698" i="19"/>
  <c r="J698" i="19"/>
  <c r="AC881" i="19"/>
  <c r="I881" i="19"/>
  <c r="J881" i="19"/>
  <c r="AC893" i="19"/>
  <c r="I893" i="19"/>
  <c r="J893" i="19"/>
  <c r="AC995" i="19"/>
  <c r="I995" i="19"/>
  <c r="J995" i="19"/>
  <c r="AC925" i="19"/>
  <c r="I925" i="19"/>
  <c r="J925" i="19"/>
  <c r="AC872" i="19"/>
  <c r="I872" i="19"/>
  <c r="J872" i="19"/>
  <c r="AC641" i="19"/>
  <c r="I641" i="19"/>
  <c r="J641" i="19"/>
  <c r="AC865" i="19"/>
  <c r="I865" i="19"/>
  <c r="J865" i="19"/>
  <c r="AC809" i="19"/>
  <c r="I809" i="19"/>
  <c r="J809" i="19"/>
  <c r="AC743" i="19"/>
  <c r="I743" i="19"/>
  <c r="J743" i="19"/>
  <c r="AC867" i="19"/>
  <c r="I867" i="19"/>
  <c r="J867" i="19"/>
  <c r="AC794" i="19"/>
  <c r="I794" i="19"/>
  <c r="J794" i="19"/>
  <c r="AC745" i="19"/>
  <c r="I745" i="19"/>
  <c r="J745" i="19"/>
  <c r="AC832" i="19"/>
  <c r="I832" i="19"/>
  <c r="J832" i="19"/>
  <c r="AC730" i="19"/>
  <c r="I730" i="19"/>
  <c r="J730" i="19"/>
  <c r="AC882" i="19"/>
  <c r="I882" i="19"/>
  <c r="J882" i="19"/>
  <c r="AC877" i="19"/>
  <c r="I877" i="19"/>
  <c r="J877" i="19"/>
  <c r="AC777" i="19"/>
  <c r="I777" i="19"/>
  <c r="J777" i="19"/>
  <c r="AC635" i="19"/>
  <c r="I635" i="19"/>
  <c r="J635" i="19"/>
  <c r="AC744" i="19"/>
  <c r="I744" i="19"/>
  <c r="J744" i="19"/>
  <c r="AC634" i="19"/>
  <c r="I634" i="19"/>
  <c r="J634" i="19"/>
  <c r="AC729" i="19"/>
  <c r="I729" i="19"/>
  <c r="J729" i="19"/>
  <c r="I633" i="19"/>
  <c r="J633" i="19"/>
  <c r="AC633" i="19"/>
  <c r="B14" i="16"/>
  <c r="E14" i="16"/>
  <c r="F14" i="16" s="1"/>
  <c r="G14" i="16"/>
  <c r="B15" i="16"/>
  <c r="E15" i="16"/>
  <c r="F15" i="16" s="1"/>
  <c r="G15" i="16"/>
  <c r="B21" i="16"/>
  <c r="E21" i="16"/>
  <c r="F21" i="16" s="1"/>
  <c r="G21" i="16"/>
  <c r="H173" i="19"/>
  <c r="I173" i="19"/>
  <c r="J173" i="19"/>
  <c r="H175" i="19"/>
  <c r="I175" i="19"/>
  <c r="J175" i="19"/>
  <c r="H174" i="19"/>
  <c r="AC174" i="19" s="1"/>
  <c r="I174" i="19"/>
  <c r="J174" i="19"/>
  <c r="I172" i="19"/>
  <c r="J172" i="19"/>
  <c r="B26" i="16"/>
  <c r="E26" i="16"/>
  <c r="F26" i="16" s="1"/>
  <c r="G26" i="16"/>
  <c r="F11" i="16" l="1"/>
  <c r="H27" i="16"/>
  <c r="H33" i="16"/>
  <c r="H12" i="16"/>
  <c r="H31" i="16"/>
  <c r="H29" i="16"/>
  <c r="AC175" i="19"/>
  <c r="H11" i="16"/>
  <c r="H20" i="16"/>
  <c r="AC173" i="19"/>
  <c r="AC172" i="19"/>
  <c r="H14" i="16"/>
  <c r="H15" i="16"/>
  <c r="H21" i="16"/>
  <c r="H26" i="16"/>
  <c r="AC180" i="19"/>
  <c r="AC184" i="19"/>
  <c r="AC214" i="19"/>
  <c r="AC216" i="19"/>
  <c r="AC186" i="19"/>
  <c r="AC185" i="19"/>
  <c r="AC168" i="19"/>
  <c r="AC6" i="19"/>
  <c r="AC165" i="19"/>
  <c r="AC17" i="19"/>
  <c r="AC1005" i="19"/>
  <c r="G2" i="14" l="1"/>
  <c r="G2" i="16"/>
  <c r="G3" i="16"/>
  <c r="G4" i="16"/>
  <c r="G5" i="16"/>
  <c r="G6" i="16"/>
  <c r="G7" i="16"/>
  <c r="G8" i="16"/>
  <c r="G9" i="16"/>
  <c r="G10" i="16"/>
  <c r="G16" i="16"/>
  <c r="G17" i="16"/>
  <c r="G18" i="16"/>
  <c r="G19" i="16"/>
  <c r="G22" i="16"/>
  <c r="G23" i="16"/>
  <c r="G24" i="16"/>
  <c r="G25" i="16"/>
  <c r="G35" i="16"/>
  <c r="E2" i="14"/>
  <c r="F2" i="14" s="1"/>
  <c r="E2" i="16"/>
  <c r="E3" i="16"/>
  <c r="H3" i="16" s="1"/>
  <c r="E4" i="16"/>
  <c r="E5" i="16"/>
  <c r="E6" i="16"/>
  <c r="E7" i="16"/>
  <c r="E8" i="16"/>
  <c r="E9" i="16"/>
  <c r="E10" i="16"/>
  <c r="E16" i="16"/>
  <c r="H16" i="16" s="1"/>
  <c r="E17" i="16"/>
  <c r="H17" i="16" s="1"/>
  <c r="E18" i="16"/>
  <c r="E19" i="16"/>
  <c r="E22" i="16"/>
  <c r="E23" i="16"/>
  <c r="E24" i="16"/>
  <c r="E25" i="16"/>
  <c r="E35" i="16"/>
  <c r="H35" i="16" s="1"/>
  <c r="E2" i="8"/>
  <c r="B2" i="14"/>
  <c r="B2" i="8"/>
  <c r="B3" i="8"/>
  <c r="B4" i="8"/>
  <c r="B5" i="8"/>
  <c r="B6" i="8"/>
  <c r="B7" i="8"/>
  <c r="B8" i="8"/>
  <c r="B9" i="8"/>
  <c r="B10" i="8"/>
  <c r="B11" i="8"/>
  <c r="B12" i="8"/>
  <c r="B13" i="8"/>
  <c r="B14" i="8"/>
  <c r="B15" i="8"/>
  <c r="B2" i="16"/>
  <c r="B3" i="16"/>
  <c r="B4" i="16"/>
  <c r="B5" i="16"/>
  <c r="B6" i="16"/>
  <c r="B7" i="16"/>
  <c r="B8" i="16"/>
  <c r="B9" i="16"/>
  <c r="B10" i="16"/>
  <c r="B16" i="16"/>
  <c r="B17" i="16"/>
  <c r="B18" i="16"/>
  <c r="B19" i="16"/>
  <c r="B22" i="16"/>
  <c r="B23" i="16"/>
  <c r="B24" i="16"/>
  <c r="B25" i="16"/>
  <c r="B35" i="16"/>
  <c r="H10" i="16" l="1"/>
  <c r="H24" i="16"/>
  <c r="H25" i="16"/>
  <c r="H23" i="16"/>
  <c r="H18" i="16"/>
  <c r="H5" i="16"/>
  <c r="H2" i="16"/>
  <c r="H4" i="16"/>
  <c r="H19" i="16"/>
  <c r="H6" i="16"/>
  <c r="H8" i="16"/>
  <c r="H22" i="16"/>
  <c r="H7" i="16"/>
  <c r="H9" i="16"/>
  <c r="F22" i="16"/>
  <c r="F7" i="16"/>
  <c r="F19" i="16"/>
  <c r="F6" i="16"/>
  <c r="F18" i="16"/>
  <c r="F5" i="16"/>
  <c r="F35" i="16"/>
  <c r="F17" i="16"/>
  <c r="F4" i="16"/>
  <c r="F16" i="16"/>
  <c r="F3" i="16"/>
  <c r="F25" i="16"/>
  <c r="F10" i="16"/>
  <c r="F2" i="16"/>
  <c r="F24" i="16"/>
  <c r="F9" i="16"/>
  <c r="H2" i="14"/>
  <c r="F23" i="16"/>
  <c r="F8" i="16"/>
  <c r="I1019" i="19"/>
  <c r="J1019" i="19"/>
  <c r="I237" i="19"/>
  <c r="J237" i="19"/>
  <c r="I1017" i="19"/>
  <c r="J1017" i="19"/>
  <c r="I1012" i="19"/>
  <c r="J1012" i="19"/>
  <c r="I233" i="19"/>
  <c r="J233" i="19"/>
  <c r="I1033" i="19"/>
  <c r="J1033" i="19"/>
  <c r="I1031" i="19"/>
  <c r="J1031" i="19"/>
  <c r="I1029" i="19"/>
  <c r="J1029" i="19"/>
  <c r="I1016" i="19"/>
  <c r="J1016" i="19"/>
  <c r="I1013" i="19"/>
  <c r="J1013" i="19"/>
  <c r="I235" i="19"/>
  <c r="J235" i="19"/>
  <c r="I1035" i="19"/>
  <c r="J1035" i="19"/>
  <c r="I1034" i="19"/>
  <c r="J1034" i="19"/>
  <c r="I1028" i="19"/>
  <c r="J1028" i="19"/>
  <c r="I1021" i="19"/>
  <c r="J1021" i="19"/>
  <c r="I1009" i="19"/>
  <c r="J1009" i="19"/>
  <c r="I1018" i="19"/>
  <c r="J1018" i="19"/>
  <c r="I230" i="19"/>
  <c r="J230" i="19"/>
  <c r="I236" i="19"/>
  <c r="J236" i="19"/>
  <c r="AC1036" i="19"/>
  <c r="I1036" i="19"/>
  <c r="J1036" i="19"/>
  <c r="I1030" i="19"/>
  <c r="J1030" i="19"/>
  <c r="I1024" i="19"/>
  <c r="J1024" i="19"/>
  <c r="I1015" i="19"/>
  <c r="J1015" i="19"/>
  <c r="I1011" i="19"/>
  <c r="J1011" i="19"/>
  <c r="I1032" i="19"/>
  <c r="J1032" i="19"/>
  <c r="I1023" i="19"/>
  <c r="J1023" i="19"/>
  <c r="I1022" i="19"/>
  <c r="J1022" i="19"/>
  <c r="AC1014" i="19"/>
  <c r="I1014" i="19"/>
  <c r="J1014" i="19"/>
  <c r="I1010" i="19"/>
  <c r="J1010" i="19"/>
  <c r="I231" i="19"/>
  <c r="J231" i="19"/>
  <c r="I1027" i="19"/>
  <c r="J1027" i="19"/>
  <c r="I1025" i="19"/>
  <c r="J1025" i="19"/>
  <c r="I1020" i="19"/>
  <c r="J1020" i="19"/>
  <c r="I238" i="19"/>
  <c r="J238" i="19"/>
  <c r="I229" i="19"/>
  <c r="J229" i="19"/>
  <c r="AC234" i="19"/>
  <c r="I234" i="19"/>
  <c r="J234" i="19"/>
  <c r="AC1025" i="19" l="1"/>
  <c r="AC229" i="19"/>
  <c r="AC1022" i="19"/>
  <c r="AC231" i="19"/>
  <c r="AC1024" i="19"/>
  <c r="AC1028" i="19"/>
  <c r="AC1033" i="19"/>
  <c r="AC1035" i="19"/>
  <c r="AC1012" i="19"/>
  <c r="AC1011" i="19"/>
  <c r="AC1009" i="19"/>
  <c r="AC1029" i="19"/>
  <c r="AC236" i="19"/>
  <c r="AC235" i="19"/>
  <c r="AC1017" i="19"/>
  <c r="AC238" i="19"/>
  <c r="AC1023" i="19"/>
  <c r="AC230" i="19"/>
  <c r="AC1013" i="19"/>
  <c r="AC237" i="19"/>
  <c r="AC1010" i="19"/>
  <c r="AC1030" i="19"/>
  <c r="AC1034" i="19"/>
  <c r="AC233" i="19"/>
  <c r="AC1020" i="19"/>
  <c r="AC1032" i="19"/>
  <c r="AC1018" i="19"/>
  <c r="AC1016" i="19"/>
  <c r="AC1019" i="19"/>
  <c r="AC1027" i="19"/>
  <c r="AC1015" i="19"/>
  <c r="AC1021" i="19"/>
  <c r="AC1031" i="19"/>
  <c r="B2" i="3"/>
  <c r="B3" i="3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G23" i="20"/>
  <c r="E23" i="20"/>
  <c r="B23" i="20"/>
  <c r="G24" i="20"/>
  <c r="E24" i="20"/>
  <c r="B24" i="20"/>
  <c r="G26" i="20"/>
  <c r="E26" i="20"/>
  <c r="F26" i="20" s="1"/>
  <c r="B26" i="20"/>
  <c r="G28" i="20"/>
  <c r="E28" i="20"/>
  <c r="B28" i="20"/>
  <c r="G15" i="20"/>
  <c r="E15" i="20"/>
  <c r="B15" i="20"/>
  <c r="G14" i="20"/>
  <c r="E14" i="20"/>
  <c r="F14" i="20" s="1"/>
  <c r="B14" i="20"/>
  <c r="G20" i="20"/>
  <c r="E20" i="20"/>
  <c r="B20" i="20"/>
  <c r="G18" i="20"/>
  <c r="E18" i="20"/>
  <c r="B18" i="20"/>
  <c r="G10" i="20"/>
  <c r="E10" i="20"/>
  <c r="B10" i="20"/>
  <c r="G27" i="20"/>
  <c r="E27" i="20"/>
  <c r="B27" i="20"/>
  <c r="G17" i="20"/>
  <c r="E17" i="20"/>
  <c r="F17" i="20" s="1"/>
  <c r="B17" i="20"/>
  <c r="G16" i="20"/>
  <c r="E16" i="20"/>
  <c r="B16" i="20"/>
  <c r="G33" i="20"/>
  <c r="E33" i="20"/>
  <c r="F33" i="20" s="1"/>
  <c r="B33" i="20"/>
  <c r="G31" i="20"/>
  <c r="E31" i="20"/>
  <c r="B31" i="20"/>
  <c r="G12" i="20"/>
  <c r="E12" i="20"/>
  <c r="B12" i="20"/>
  <c r="G5" i="20"/>
  <c r="E5" i="20"/>
  <c r="B5" i="20"/>
  <c r="G22" i="20"/>
  <c r="E22" i="20"/>
  <c r="F22" i="20" s="1"/>
  <c r="B22" i="20"/>
  <c r="G11" i="20"/>
  <c r="E11" i="20"/>
  <c r="B11" i="20"/>
  <c r="G30" i="20"/>
  <c r="E30" i="20"/>
  <c r="B30" i="20"/>
  <c r="G9" i="20"/>
  <c r="E9" i="20"/>
  <c r="F9" i="20" s="1"/>
  <c r="B9" i="20"/>
  <c r="G4" i="20"/>
  <c r="E4" i="20"/>
  <c r="B4" i="20"/>
  <c r="G6" i="20"/>
  <c r="E6" i="20"/>
  <c r="F6" i="20" s="1"/>
  <c r="B6" i="20"/>
  <c r="G7" i="20"/>
  <c r="E7" i="20"/>
  <c r="F7" i="20" s="1"/>
  <c r="B7" i="20"/>
  <c r="G8" i="20"/>
  <c r="E8" i="20"/>
  <c r="B8" i="20"/>
  <c r="G29" i="20"/>
  <c r="E29" i="20"/>
  <c r="B29" i="20"/>
  <c r="G25" i="20"/>
  <c r="E25" i="20"/>
  <c r="F25" i="20" s="1"/>
  <c r="B25" i="20"/>
  <c r="G3" i="20"/>
  <c r="E3" i="20"/>
  <c r="B3" i="20"/>
  <c r="G2" i="20"/>
  <c r="E2" i="20"/>
  <c r="F2" i="20" s="1"/>
  <c r="B2" i="20"/>
  <c r="G32" i="20"/>
  <c r="E32" i="20"/>
  <c r="B32" i="20"/>
  <c r="G39" i="20"/>
  <c r="E39" i="20"/>
  <c r="B39" i="20"/>
  <c r="J162" i="19"/>
  <c r="J163" i="19"/>
  <c r="J164" i="19"/>
  <c r="J5" i="19"/>
  <c r="J6" i="19"/>
  <c r="J165" i="19"/>
  <c r="J7" i="19"/>
  <c r="J166" i="19"/>
  <c r="J167" i="19"/>
  <c r="J168" i="19"/>
  <c r="J169" i="19"/>
  <c r="J170" i="19"/>
  <c r="J171" i="19"/>
  <c r="J176" i="19"/>
  <c r="J177" i="19"/>
  <c r="J23" i="19"/>
  <c r="J22" i="19"/>
  <c r="J180" i="19"/>
  <c r="J179" i="19"/>
  <c r="J186" i="19"/>
  <c r="J181" i="19"/>
  <c r="J184" i="19"/>
  <c r="J182" i="19"/>
  <c r="J183" i="19"/>
  <c r="J185" i="19"/>
  <c r="J187" i="19"/>
  <c r="J189" i="19"/>
  <c r="J4" i="19"/>
  <c r="J190" i="19"/>
  <c r="J191" i="19"/>
  <c r="J193" i="19"/>
  <c r="J194" i="19"/>
  <c r="J195" i="19"/>
  <c r="J198" i="19"/>
  <c r="J196" i="19"/>
  <c r="J197" i="19"/>
  <c r="J192" i="19"/>
  <c r="J199" i="19"/>
  <c r="J9" i="19"/>
  <c r="J10" i="19"/>
  <c r="J17" i="19"/>
  <c r="J200" i="19"/>
  <c r="J201" i="19"/>
  <c r="J203" i="19"/>
  <c r="J202" i="19"/>
  <c r="J204" i="19"/>
  <c r="J13" i="19"/>
  <c r="J11" i="19"/>
  <c r="J20" i="19"/>
  <c r="J205" i="19"/>
  <c r="J207" i="19"/>
  <c r="J206" i="19"/>
  <c r="J21" i="19"/>
  <c r="J208" i="19"/>
  <c r="J12" i="19"/>
  <c r="J8" i="19"/>
  <c r="J209" i="19"/>
  <c r="J210" i="19"/>
  <c r="J15" i="19"/>
  <c r="J16" i="19"/>
  <c r="J14" i="19"/>
  <c r="J211" i="19"/>
  <c r="J212" i="19"/>
  <c r="J213" i="19"/>
  <c r="J214" i="19"/>
  <c r="J216" i="19"/>
  <c r="J215" i="19"/>
  <c r="J217" i="19"/>
  <c r="J218" i="19"/>
  <c r="J219" i="19"/>
  <c r="J220" i="19"/>
  <c r="J221" i="19"/>
  <c r="J222" i="19"/>
  <c r="J223" i="19"/>
  <c r="J225" i="19"/>
  <c r="J226" i="19"/>
  <c r="J19" i="19"/>
  <c r="J227" i="19"/>
  <c r="J228" i="19"/>
  <c r="J18" i="19"/>
  <c r="J232" i="19"/>
  <c r="J1026" i="19"/>
  <c r="J239" i="19"/>
  <c r="J24" i="19"/>
  <c r="J30" i="19"/>
  <c r="J240" i="19"/>
  <c r="J27" i="19"/>
  <c r="J26" i="19"/>
  <c r="J29" i="19"/>
  <c r="J31" i="19"/>
  <c r="J25" i="19"/>
  <c r="J28" i="19"/>
  <c r="J997" i="19"/>
  <c r="J998" i="19"/>
  <c r="J999" i="19"/>
  <c r="J1000" i="19"/>
  <c r="J1001" i="19"/>
  <c r="J1002" i="19"/>
  <c r="J1003" i="19"/>
  <c r="J2" i="19"/>
  <c r="J3" i="19"/>
  <c r="J1004" i="19"/>
  <c r="J1005" i="19"/>
  <c r="J1006" i="19"/>
  <c r="I162" i="19"/>
  <c r="I163" i="19"/>
  <c r="I164" i="19"/>
  <c r="I5" i="19"/>
  <c r="I6" i="19"/>
  <c r="I165" i="19"/>
  <c r="I7" i="19"/>
  <c r="I166" i="19"/>
  <c r="I167" i="19"/>
  <c r="I168" i="19"/>
  <c r="I169" i="19"/>
  <c r="I170" i="19"/>
  <c r="I171" i="19"/>
  <c r="I176" i="19"/>
  <c r="I177" i="19"/>
  <c r="I23" i="19"/>
  <c r="I22" i="19"/>
  <c r="I180" i="19"/>
  <c r="I179" i="19"/>
  <c r="I186" i="19"/>
  <c r="I181" i="19"/>
  <c r="I184" i="19"/>
  <c r="I182" i="19"/>
  <c r="I183" i="19"/>
  <c r="I185" i="19"/>
  <c r="I187" i="19"/>
  <c r="I189" i="19"/>
  <c r="I4" i="19"/>
  <c r="I190" i="19"/>
  <c r="I191" i="19"/>
  <c r="I193" i="19"/>
  <c r="I194" i="19"/>
  <c r="I195" i="19"/>
  <c r="I198" i="19"/>
  <c r="I196" i="19"/>
  <c r="I197" i="19"/>
  <c r="I192" i="19"/>
  <c r="I199" i="19"/>
  <c r="I9" i="19"/>
  <c r="I10" i="19"/>
  <c r="I17" i="19"/>
  <c r="I200" i="19"/>
  <c r="I201" i="19"/>
  <c r="I203" i="19"/>
  <c r="I202" i="19"/>
  <c r="I204" i="19"/>
  <c r="I13" i="19"/>
  <c r="I11" i="19"/>
  <c r="I20" i="19"/>
  <c r="I205" i="19"/>
  <c r="I207" i="19"/>
  <c r="I206" i="19"/>
  <c r="I21" i="19"/>
  <c r="I208" i="19"/>
  <c r="I12" i="19"/>
  <c r="I8" i="19"/>
  <c r="I209" i="19"/>
  <c r="I210" i="19"/>
  <c r="I15" i="19"/>
  <c r="I16" i="19"/>
  <c r="I14" i="19"/>
  <c r="I211" i="19"/>
  <c r="I212" i="19"/>
  <c r="I213" i="19"/>
  <c r="I214" i="19"/>
  <c r="I216" i="19"/>
  <c r="I215" i="19"/>
  <c r="I217" i="19"/>
  <c r="I218" i="19"/>
  <c r="I219" i="19"/>
  <c r="I220" i="19"/>
  <c r="I221" i="19"/>
  <c r="I222" i="19"/>
  <c r="I223" i="19"/>
  <c r="I225" i="19"/>
  <c r="I226" i="19"/>
  <c r="I19" i="19"/>
  <c r="I227" i="19"/>
  <c r="I228" i="19"/>
  <c r="I18" i="19"/>
  <c r="I232" i="19"/>
  <c r="I1026" i="19"/>
  <c r="I239" i="19"/>
  <c r="I24" i="19"/>
  <c r="I30" i="19"/>
  <c r="I240" i="19"/>
  <c r="I27" i="19"/>
  <c r="I26" i="19"/>
  <c r="I29" i="19"/>
  <c r="I31" i="19"/>
  <c r="I25" i="19"/>
  <c r="I28" i="19"/>
  <c r="I997" i="19"/>
  <c r="I998" i="19"/>
  <c r="I999" i="19"/>
  <c r="I1000" i="19"/>
  <c r="I1001" i="19"/>
  <c r="I1002" i="19"/>
  <c r="I1003" i="19"/>
  <c r="I2" i="19"/>
  <c r="I3" i="19"/>
  <c r="I1004" i="19"/>
  <c r="I1005" i="19"/>
  <c r="I1006" i="19"/>
  <c r="H5" i="20" l="1"/>
  <c r="H3" i="20"/>
  <c r="H10" i="20"/>
  <c r="H27" i="20"/>
  <c r="H12" i="20"/>
  <c r="H18" i="20"/>
  <c r="H28" i="20"/>
  <c r="H11" i="20"/>
  <c r="H16" i="20"/>
  <c r="H15" i="20"/>
  <c r="H24" i="20"/>
  <c r="H4" i="20"/>
  <c r="H31" i="20"/>
  <c r="H20" i="20"/>
  <c r="H23" i="20"/>
  <c r="H25" i="20"/>
  <c r="F28" i="20"/>
  <c r="H32" i="20"/>
  <c r="F12" i="20"/>
  <c r="F10" i="20"/>
  <c r="F24" i="20"/>
  <c r="F5" i="20"/>
  <c r="H33" i="20"/>
  <c r="H29" i="20"/>
  <c r="F27" i="20"/>
  <c r="H14" i="20"/>
  <c r="H9" i="20"/>
  <c r="F3" i="20"/>
  <c r="H8" i="20"/>
  <c r="F18" i="20"/>
  <c r="H39" i="20"/>
  <c r="H6" i="20"/>
  <c r="H30" i="20"/>
  <c r="H26" i="20"/>
  <c r="H2" i="20"/>
  <c r="H7" i="20"/>
  <c r="F32" i="20"/>
  <c r="F8" i="20"/>
  <c r="F16" i="20"/>
  <c r="F15" i="20"/>
  <c r="H22" i="20"/>
  <c r="F11" i="20"/>
  <c r="F4" i="20"/>
  <c r="F31" i="20"/>
  <c r="F20" i="20"/>
  <c r="F23" i="20"/>
  <c r="H17" i="20"/>
  <c r="F39" i="20"/>
  <c r="F29" i="20"/>
  <c r="F30" i="20"/>
  <c r="H192" i="19" l="1"/>
  <c r="AC192" i="19" s="1"/>
  <c r="H211" i="19"/>
  <c r="AC211" i="19" s="1"/>
  <c r="AC217" i="19"/>
  <c r="H218" i="19"/>
  <c r="AC218" i="19" s="1"/>
  <c r="AC215" i="19" l="1"/>
  <c r="AC164" i="19"/>
  <c r="AC182" i="19"/>
  <c r="AC183" i="19"/>
  <c r="AC166" i="19"/>
  <c r="AC212" i="19"/>
  <c r="H179" i="19"/>
  <c r="AC179" i="19" s="1"/>
  <c r="AC226" i="19"/>
  <c r="AC213" i="19"/>
  <c r="AC194" i="19"/>
  <c r="AC1002" i="19"/>
  <c r="AC18" i="19"/>
  <c r="AC205" i="19"/>
  <c r="AC169" i="19"/>
  <c r="H225" i="19"/>
  <c r="AC225" i="19" s="1"/>
  <c r="AC209" i="19"/>
  <c r="AC210" i="19"/>
  <c r="H15" i="19"/>
  <c r="AC15" i="19" s="1"/>
  <c r="AC14" i="19"/>
  <c r="AC167" i="19"/>
  <c r="AC208" i="19"/>
  <c r="H193" i="19"/>
  <c r="AC193" i="19" s="1"/>
  <c r="AC227" i="19"/>
  <c r="AC228" i="19"/>
  <c r="AC1026" i="19"/>
  <c r="AC204" i="19"/>
  <c r="AC206" i="19"/>
  <c r="H191" i="19"/>
  <c r="AC191" i="19" s="1"/>
  <c r="AC16" i="19"/>
  <c r="AC13" i="19"/>
  <c r="H187" i="19"/>
  <c r="AC187" i="19" s="1"/>
  <c r="H20" i="19"/>
  <c r="H21" i="19"/>
  <c r="AC21" i="19" s="1"/>
  <c r="H1001" i="19"/>
  <c r="AC1001" i="19" s="1"/>
  <c r="H1000" i="19"/>
  <c r="AC1000" i="19" s="1"/>
  <c r="H176" i="19"/>
  <c r="AC176" i="19" s="1"/>
  <c r="AC240" i="19"/>
  <c r="AC232" i="19"/>
  <c r="AC239" i="19"/>
  <c r="AC201" i="19"/>
  <c r="AC200" i="19"/>
  <c r="AC171" i="19"/>
  <c r="AC1006" i="19"/>
  <c r="AC196" i="19"/>
  <c r="AC197" i="19"/>
  <c r="AC199" i="19"/>
  <c r="H1003" i="19"/>
  <c r="AC1003" i="19" s="1"/>
  <c r="AC170" i="19"/>
  <c r="H195" i="19"/>
  <c r="AC195" i="19" s="1"/>
  <c r="AC219" i="19"/>
  <c r="AC220" i="19"/>
  <c r="AC221" i="19"/>
  <c r="AC222" i="19"/>
  <c r="AC223" i="19"/>
  <c r="AC30" i="19"/>
  <c r="AC24" i="19"/>
  <c r="AC162" i="19"/>
  <c r="AC163" i="19"/>
  <c r="H997" i="19"/>
  <c r="AC997" i="19" s="1"/>
  <c r="H189" i="19"/>
  <c r="H181" i="19"/>
  <c r="AC181" i="19" s="1"/>
  <c r="AC1004" i="19"/>
  <c r="H998" i="19"/>
  <c r="AC998" i="19" s="1"/>
  <c r="H207" i="19"/>
  <c r="AC207" i="19" s="1"/>
  <c r="AC202" i="19"/>
  <c r="AC27" i="19"/>
  <c r="H2" i="19"/>
  <c r="H198" i="19"/>
  <c r="AC198" i="19" s="1"/>
  <c r="H177" i="19"/>
  <c r="AC177" i="19" s="1"/>
  <c r="H23" i="19"/>
  <c r="AC23" i="19" s="1"/>
  <c r="AC31" i="19"/>
  <c r="H9" i="19"/>
  <c r="AC9" i="19" s="1"/>
  <c r="AC5" i="19"/>
  <c r="AC7" i="19"/>
  <c r="H10" i="19"/>
  <c r="AC10" i="19" s="1"/>
  <c r="AC25" i="19"/>
  <c r="AC28" i="19"/>
  <c r="H11" i="19"/>
  <c r="AC11" i="19" s="1"/>
  <c r="H3" i="19"/>
  <c r="AC3" i="19" s="1"/>
  <c r="AC12" i="19"/>
  <c r="AC8" i="19"/>
  <c r="H999" i="19"/>
  <c r="AC999" i="19" s="1"/>
  <c r="H4" i="19"/>
  <c r="AC4" i="19" s="1"/>
  <c r="AC190" i="19"/>
  <c r="AC22" i="19"/>
  <c r="AC19" i="19"/>
  <c r="G20" i="19"/>
  <c r="G189" i="19"/>
  <c r="G2" i="19"/>
  <c r="AC203" i="19" l="1"/>
  <c r="AC29" i="19"/>
  <c r="AC26" i="19"/>
  <c r="AC189" i="19"/>
  <c r="AC2" i="19"/>
  <c r="AC20" i="19"/>
  <c r="E15" i="8"/>
  <c r="E14" i="8"/>
  <c r="E13" i="8"/>
  <c r="E12" i="8"/>
  <c r="E11" i="8"/>
  <c r="E10" i="8"/>
  <c r="E9" i="8"/>
  <c r="E8" i="8"/>
  <c r="E7" i="8"/>
  <c r="E6" i="8"/>
  <c r="E5" i="8"/>
  <c r="E4" i="8"/>
  <c r="E3" i="8"/>
  <c r="E2" i="3"/>
  <c r="E3" i="3"/>
  <c r="E4" i="3"/>
  <c r="E5" i="3"/>
  <c r="E6" i="3"/>
  <c r="E7" i="3"/>
  <c r="E8" i="3"/>
  <c r="E9" i="3"/>
  <c r="E10" i="3"/>
  <c r="E11" i="3"/>
  <c r="E12" i="3"/>
  <c r="E13" i="3"/>
  <c r="E14" i="3"/>
  <c r="E15" i="3"/>
  <c r="E16" i="3"/>
  <c r="E17" i="3"/>
  <c r="E18" i="3"/>
  <c r="E19" i="3"/>
  <c r="E20" i="3"/>
  <c r="E21" i="3"/>
  <c r="E22" i="3"/>
  <c r="E23" i="3"/>
  <c r="E24" i="3"/>
  <c r="E25" i="3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0" i="3"/>
  <c r="K59" i="15" l="1"/>
  <c r="F2" i="11" l="1"/>
  <c r="F33" i="3" l="1"/>
  <c r="G33" i="3"/>
  <c r="F32" i="3"/>
  <c r="G32" i="3"/>
  <c r="H33" i="3" l="1"/>
  <c r="H32" i="3"/>
  <c r="F17" i="3"/>
  <c r="G17" i="3"/>
  <c r="H17" i="3" l="1"/>
  <c r="F15" i="8"/>
  <c r="G15" i="8"/>
  <c r="F21" i="3"/>
  <c r="G21" i="3"/>
  <c r="F23" i="3"/>
  <c r="G23" i="3"/>
  <c r="H15" i="8" l="1"/>
  <c r="H21" i="3"/>
  <c r="H23" i="3"/>
  <c r="G14" i="8" l="1"/>
  <c r="G13" i="8"/>
  <c r="G12" i="8"/>
  <c r="G11" i="8"/>
  <c r="G10" i="8"/>
  <c r="G9" i="8"/>
  <c r="G8" i="8"/>
  <c r="G7" i="8"/>
  <c r="G6" i="8"/>
  <c r="G5" i="8"/>
  <c r="G4" i="8"/>
  <c r="G3" i="8"/>
  <c r="G2" i="8"/>
  <c r="H7" i="8" l="1"/>
  <c r="H13" i="8"/>
  <c r="H14" i="8"/>
  <c r="H12" i="8"/>
  <c r="H11" i="8"/>
  <c r="H10" i="8"/>
  <c r="H9" i="8"/>
  <c r="H8" i="8"/>
  <c r="H6" i="8"/>
  <c r="H5" i="8"/>
  <c r="H4" i="8"/>
  <c r="H3" i="8"/>
  <c r="H2" i="8"/>
  <c r="F2" i="8"/>
  <c r="F4" i="8"/>
  <c r="F6" i="8"/>
  <c r="F8" i="8"/>
  <c r="F10" i="8"/>
  <c r="F12" i="8"/>
  <c r="F14" i="8"/>
  <c r="F3" i="8"/>
  <c r="F5" i="8"/>
  <c r="F7" i="8"/>
  <c r="F9" i="8"/>
  <c r="F11" i="8"/>
  <c r="F13" i="8"/>
  <c r="G24" i="3"/>
  <c r="G15" i="3"/>
  <c r="G12" i="3"/>
  <c r="G5" i="3"/>
  <c r="G7" i="3"/>
  <c r="G8" i="3"/>
  <c r="G9" i="3"/>
  <c r="G38" i="3"/>
  <c r="G29" i="3"/>
  <c r="G6" i="3"/>
  <c r="G13" i="3"/>
  <c r="G14" i="3"/>
  <c r="G19" i="3"/>
  <c r="G11" i="3"/>
  <c r="G27" i="3"/>
  <c r="G40" i="3"/>
  <c r="G39" i="3"/>
  <c r="G28" i="3"/>
  <c r="G22" i="3"/>
  <c r="G31" i="3"/>
  <c r="G35" i="3"/>
  <c r="G26" i="3"/>
  <c r="G36" i="3"/>
  <c r="G34" i="3"/>
  <c r="G30" i="3"/>
  <c r="G2" i="3"/>
  <c r="G18" i="3"/>
  <c r="G4" i="3"/>
  <c r="G20" i="3"/>
  <c r="G3" i="3"/>
  <c r="H3" i="3" s="1"/>
  <c r="G10" i="3"/>
  <c r="G37" i="3"/>
  <c r="G25" i="3"/>
  <c r="F16" i="3" l="1"/>
  <c r="H40" i="3" l="1"/>
  <c r="F40" i="3"/>
  <c r="H38" i="3"/>
  <c r="F38" i="3"/>
  <c r="H29" i="3"/>
  <c r="F29" i="3"/>
  <c r="H10" i="3"/>
  <c r="F10" i="3"/>
  <c r="H26" i="3"/>
  <c r="F26" i="3"/>
  <c r="H27" i="3"/>
  <c r="F27" i="3"/>
  <c r="H9" i="3"/>
  <c r="F9" i="3"/>
  <c r="H34" i="3"/>
  <c r="F34" i="3"/>
  <c r="H36" i="3"/>
  <c r="F36" i="3"/>
  <c r="F3" i="3"/>
  <c r="H20" i="3"/>
  <c r="F20" i="3"/>
  <c r="H35" i="3"/>
  <c r="F35" i="3"/>
  <c r="H11" i="3"/>
  <c r="F11" i="3"/>
  <c r="H8" i="3"/>
  <c r="F8" i="3"/>
  <c r="H37" i="3"/>
  <c r="F37" i="3"/>
  <c r="H4" i="3"/>
  <c r="F4" i="3"/>
  <c r="H31" i="3"/>
  <c r="F31" i="3"/>
  <c r="H19" i="3"/>
  <c r="F19" i="3"/>
  <c r="H7" i="3"/>
  <c r="F7" i="3"/>
  <c r="H18" i="3"/>
  <c r="F18" i="3"/>
  <c r="H22" i="3"/>
  <c r="F22" i="3"/>
  <c r="H14" i="3"/>
  <c r="F14" i="3"/>
  <c r="H5" i="3"/>
  <c r="F5" i="3"/>
  <c r="H24" i="3"/>
  <c r="F24" i="3"/>
  <c r="H2" i="3"/>
  <c r="F2" i="3"/>
  <c r="H28" i="3"/>
  <c r="F28" i="3"/>
  <c r="H13" i="3"/>
  <c r="F13" i="3"/>
  <c r="H12" i="3"/>
  <c r="F12" i="3"/>
  <c r="H25" i="3"/>
  <c r="F25" i="3"/>
  <c r="H30" i="3"/>
  <c r="F30" i="3"/>
  <c r="H39" i="3"/>
  <c r="F39" i="3"/>
  <c r="H6" i="3"/>
  <c r="F6" i="3"/>
  <c r="H15" i="3"/>
  <c r="F15" i="3"/>
  <c r="G16" i="3"/>
  <c r="H16" i="3" s="1"/>
</calcChain>
</file>

<file path=xl/sharedStrings.xml><?xml version="1.0" encoding="utf-8"?>
<sst xmlns="http://schemas.openxmlformats.org/spreadsheetml/2006/main" count="9580" uniqueCount="3393">
  <si>
    <t>Man. Number</t>
  </si>
  <si>
    <t>Art. Number</t>
  </si>
  <si>
    <t>Description</t>
  </si>
  <si>
    <t>In stock</t>
  </si>
  <si>
    <t>Retailer</t>
  </si>
  <si>
    <t>Farnell</t>
  </si>
  <si>
    <t>Manufacturer</t>
  </si>
  <si>
    <t>3M</t>
  </si>
  <si>
    <t>Unit price</t>
  </si>
  <si>
    <t xml:space="preserve">SN74LV00AD </t>
  </si>
  <si>
    <t>Porte Logique NON-ET, 4 Portes, 2 entrées, 12 mA, 2V à 5.5V</t>
  </si>
  <si>
    <t>Condensateur électrolytique, 4.7 µF, 35 V, Série MCGPR, ± 20%, À sorties radiales, 5 mm</t>
  </si>
  <si>
    <t>MCGPR35V475M5X11</t>
  </si>
  <si>
    <t>Condensateur électrolytique, 10 µF, 35 V, Série MCGPR, ± 20%, À sorties radiales, 5 mm</t>
  </si>
  <si>
    <t>MCGPR35V106M5X11</t>
  </si>
  <si>
    <t>Fusible à cartouche, Action rapide, 630 mA, 250 V</t>
  </si>
  <si>
    <t>MC000886</t>
  </si>
  <si>
    <t>Amplificateur opérationnel, Simple, 1 amplificateur, 1 MHz, 0.6 V/µs, 1.8V à 6V</t>
  </si>
  <si>
    <t>MCP6001RT-I/OT</t>
  </si>
  <si>
    <t>LED haute luminosité, Little Star Series, Blanc froid, 120 °, 100 lm, 350 mA</t>
  </si>
  <si>
    <t>VLMW712U2U3XV-GS08</t>
  </si>
  <si>
    <t>Chargeur de batterie pour 1 cellule Li-Ion, batterie Li-Pol, entrée 6V, charge 4.2V/500mA</t>
  </si>
  <si>
    <t>MCP73832T-2ACI/OT</t>
  </si>
  <si>
    <t>Superviseur, Reset drain ouvert, actif à l'état bas, 1V-5.5Vin</t>
  </si>
  <si>
    <t>MCP121T-315E/TT</t>
  </si>
  <si>
    <t>Régulateur LDO, Fixe, Entrée 1.7 V à 5,5 V, Sortie 3.3 V/300 mA, Chute de 150 mV</t>
  </si>
  <si>
    <t xml:space="preserve"> ON SEMICONDUCTOR</t>
  </si>
  <si>
    <t>NCP114ASN330T1G</t>
  </si>
  <si>
    <t>Cavalier (barre bus), Shunt, Shunt, Embases au pas de 0.100", 2 Voies, 2.54 mm</t>
  </si>
  <si>
    <t>Porte fusible, Design ouvert, 500V, 10A, 5 x 20mm, traversant, noir</t>
  </si>
  <si>
    <t>Accessoire de fusible, Fusible cartouche, 5 x 20mm, OGN et OGN-SMD, Noir, Poignée</t>
  </si>
  <si>
    <t>0853.1201</t>
  </si>
  <si>
    <t>LED, Rouge, Traversant, 3mm, 20 mA, 1.8 V, 643 nm</t>
  </si>
  <si>
    <t>MULTICOMP</t>
  </si>
  <si>
    <t>703-0090</t>
  </si>
  <si>
    <t>Condensateur céramique multicouche CMS, 1206 [3216 Metric], 0.1 µF, 25 V, ± 10%, X7R</t>
  </si>
  <si>
    <t>VJ1206Y104KXXCW1BC</t>
  </si>
  <si>
    <t>Potentiomètres variables, 10 ohm, 15 Tour(s), Traversant</t>
  </si>
  <si>
    <t>3006P-1-100LF</t>
  </si>
  <si>
    <t>Connecteur carte-à-carte, 2.54 mm, 36 Contact(s), Embase</t>
  </si>
  <si>
    <t xml:space="preserve">929974-01-36-RK </t>
  </si>
  <si>
    <t>Transistor MOSFET, Canal P, -7.1 A, -12 V, 28.5 mohm, -4.5 V, -400 mV</t>
  </si>
  <si>
    <t>VISHAY</t>
  </si>
  <si>
    <t>SI2333CDS-T1-GE3</t>
  </si>
  <si>
    <t>Transistor MOSFET, Canal N, 2.2 A, 30 V, 65 mohm, 4.5 V, 700 mV</t>
  </si>
  <si>
    <t>ON SEMICONDUCTOR</t>
  </si>
  <si>
    <t>FDN337N</t>
  </si>
  <si>
    <t>Potentiomètres variables, 100 kohm, 23 Tour(s), Traversant</t>
  </si>
  <si>
    <t xml:space="preserve">VISHAY </t>
  </si>
  <si>
    <t>T93XA104KT20</t>
  </si>
  <si>
    <t>Résistance à puce CMS, Couche épaisse, 150 kohm</t>
  </si>
  <si>
    <t xml:space="preserve">MULTICOMP </t>
  </si>
  <si>
    <t>MCWR08X1503FTL</t>
  </si>
  <si>
    <t>Résistance à puce CMS, Céramique, 4.7 kohm</t>
  </si>
  <si>
    <t>MCMR08X4701FTL</t>
  </si>
  <si>
    <t>Résistance à puce CMS, Céramique, 22 ohm</t>
  </si>
  <si>
    <t>MCMR08X22R0FTL</t>
  </si>
  <si>
    <t>Résistance à puce CMS, Couche épaisse, 110 kohm</t>
  </si>
  <si>
    <t xml:space="preserve">PANASONIC ELECTRONIC COMPONENTS  </t>
  </si>
  <si>
    <t>ERJ6RED1103V</t>
  </si>
  <si>
    <t>Résistance à puce CMS, Couche épaisse, 1 Mohm</t>
  </si>
  <si>
    <t>MCHP05W4F1004T5E</t>
  </si>
  <si>
    <t>Résistance à puce CMS, 100 kohm</t>
  </si>
  <si>
    <t>MCWF08P1003FTL</t>
  </si>
  <si>
    <t>377-2428-ND</t>
  </si>
  <si>
    <t>-</t>
  </si>
  <si>
    <t>BOX PLASTIC GRY/CLR 4.9"LX4.92"W</t>
  </si>
  <si>
    <t>PB1175CT-ND</t>
  </si>
  <si>
    <t>RELAY TELECOM DPDT 5A 2.4V</t>
  </si>
  <si>
    <t>TE Connectivity Potter &amp; Brumfield Relays</t>
  </si>
  <si>
    <t>NSL-19M51-ND</t>
  </si>
  <si>
    <t>PHOTOCELL</t>
  </si>
  <si>
    <t>Luna Optoelectronics</t>
  </si>
  <si>
    <t>NSL-19M51</t>
  </si>
  <si>
    <t>668-1204-ND</t>
  </si>
  <si>
    <t>AUDIO PIEZO INDICATOR 2-5V TH</t>
  </si>
  <si>
    <t>PUI Audio, Inc.</t>
  </si>
  <si>
    <t>AI-3035-TWT-3V-R</t>
  </si>
  <si>
    <t>PIC16LF1827-I/P-ND</t>
  </si>
  <si>
    <t>IC MCU 8BIT 7KB FLASH 18DIP</t>
  </si>
  <si>
    <t>Microchip Technology</t>
  </si>
  <si>
    <t>PIC16LF1827-I/P</t>
  </si>
  <si>
    <t>Digikey</t>
  </si>
  <si>
    <t>Panneau solaire</t>
  </si>
  <si>
    <t>Batterie</t>
  </si>
  <si>
    <t>Communication RF</t>
  </si>
  <si>
    <t>DC Step-up</t>
  </si>
  <si>
    <t>Porte-batterie</t>
  </si>
  <si>
    <t>Banggood</t>
  </si>
  <si>
    <t>1822046</t>
  </si>
  <si>
    <t>827914-1</t>
  </si>
  <si>
    <t>TE CONNECTIVITY</t>
  </si>
  <si>
    <t>BOURNS</t>
  </si>
  <si>
    <t>SCHURTER</t>
  </si>
  <si>
    <t>MICROCHIP</t>
  </si>
  <si>
    <t>Bud Industries</t>
  </si>
  <si>
    <t>Cavalier (barre bus), Shunt, Shunt, Embases au pas de 0.100"</t>
  </si>
  <si>
    <t xml:space="preserve">1N4148TR </t>
  </si>
  <si>
    <t>Diode signaux faibles</t>
  </si>
  <si>
    <t>8540861</t>
  </si>
  <si>
    <t>MCP6004-I/ST</t>
  </si>
  <si>
    <t>MCP6002-I/MS</t>
  </si>
  <si>
    <t>Amplificateur opérationnel, Double</t>
  </si>
  <si>
    <t>8540853</t>
  </si>
  <si>
    <t>Amplificateur opérationnel, Quadruple</t>
  </si>
  <si>
    <t>MCP6004-I/P.</t>
  </si>
  <si>
    <t>1605571</t>
  </si>
  <si>
    <t>22-28-4360</t>
  </si>
  <si>
    <t>MOLEX</t>
  </si>
  <si>
    <t>1654535</t>
  </si>
  <si>
    <t>Connecteur carte-à-carte, Angle Droit, 2.54 mm, 40 Contact(s)</t>
  </si>
  <si>
    <t>2356192</t>
  </si>
  <si>
    <t>WURTH ELEKTRONIK</t>
  </si>
  <si>
    <t>2213S-40G</t>
  </si>
  <si>
    <t>2725179</t>
  </si>
  <si>
    <t>Connecteur carte-à-carte, Vertical, 2.54 mm, 36 Contact(s)</t>
  </si>
  <si>
    <t>Connecteur carte-à-carte, 2.54 mm, 40 Contact(s)</t>
  </si>
  <si>
    <t>0031.8201</t>
  </si>
  <si>
    <t>1-881545-1</t>
  </si>
  <si>
    <t>Supports CI, 20 Contact(s), Fiche femelle DIP, 2.54 mm</t>
  </si>
  <si>
    <t>SPC15501</t>
  </si>
  <si>
    <t>2678574</t>
  </si>
  <si>
    <t>Supports CI, 18 Contact(s), Fiche femelle DIP, 2.54 mm</t>
  </si>
  <si>
    <t>1-2199298-5</t>
  </si>
  <si>
    <t>2445623</t>
  </si>
  <si>
    <t>Réseau de transistors bipolaires, Darlington, NPN, 50 V, 350 mA</t>
  </si>
  <si>
    <t>ULN2004AN</t>
  </si>
  <si>
    <t>TEXAS INSTRUMENTS</t>
  </si>
  <si>
    <t>1103041</t>
  </si>
  <si>
    <t>ULN2003ADRG3</t>
  </si>
  <si>
    <t>2769437</t>
  </si>
  <si>
    <t>Réseau de transistors bipolaires, NPN, 50 V, 500 mA</t>
  </si>
  <si>
    <t>Supports CI, 16 Contact(s), Fiche femelle DIP, 2.54 mm</t>
  </si>
  <si>
    <t>4816-3004-CP</t>
  </si>
  <si>
    <t>2672298</t>
  </si>
  <si>
    <t>Porte Logique Inverseur, 1 entrée, 8 mA, 2V à 5.5V</t>
  </si>
  <si>
    <t>SN74AHC1G04QDCKRQ1</t>
  </si>
  <si>
    <t>2334901</t>
  </si>
  <si>
    <t>Quantity</t>
  </si>
  <si>
    <t>1462039-9</t>
  </si>
  <si>
    <t>732-4998-1-ND</t>
  </si>
  <si>
    <t>150141M173100</t>
  </si>
  <si>
    <t>LED RGB CLEAR 3528 SMD</t>
  </si>
  <si>
    <t>VEML6040A3OGCT-ND</t>
  </si>
  <si>
    <t>VEML6040A3OG</t>
  </si>
  <si>
    <t>RGBW COLOR SENSOR I2C INTERFACE</t>
  </si>
  <si>
    <t>PIC16LF1827-I/SS-ND</t>
  </si>
  <si>
    <t>PIC16LF1827-I/SS</t>
  </si>
  <si>
    <t>IC MCU 8BIT 7KB FLASH 20SSOP</t>
  </si>
  <si>
    <t>PIC16LF18346-E/SO-ND</t>
  </si>
  <si>
    <t>PIC16LF18346-E/SO</t>
  </si>
  <si>
    <t>IC MCU 8BIT 28KB FLASH 20SOIC</t>
  </si>
  <si>
    <t>PIC16F18346-I/P-ND</t>
  </si>
  <si>
    <t>PIC16F18346-I/P</t>
  </si>
  <si>
    <t>IC MCU 8BIT 28KB FLASH 20DIP</t>
  </si>
  <si>
    <t>609-4052-1-ND</t>
  </si>
  <si>
    <t>10104110-0001LF</t>
  </si>
  <si>
    <t>CONN RCPT STD MICRO USB TYPE B</t>
  </si>
  <si>
    <t>PTS-25310-C</t>
  </si>
  <si>
    <t>9843680</t>
  </si>
  <si>
    <t>Wurth Electronics Inc.</t>
  </si>
  <si>
    <t>Vishay Semiconductor Opto Division</t>
  </si>
  <si>
    <t>Amphenol FCI</t>
  </si>
  <si>
    <t>9451234</t>
  </si>
  <si>
    <t>1822174</t>
  </si>
  <si>
    <t>Available</t>
  </si>
  <si>
    <t>Multiplier</t>
  </si>
  <si>
    <t>Total quantity</t>
  </si>
  <si>
    <t>3006P-1-100LF-ND</t>
  </si>
  <si>
    <t>Bourns Inc.</t>
  </si>
  <si>
    <t>Date</t>
  </si>
  <si>
    <t>Creation</t>
  </si>
  <si>
    <t>INFO</t>
  </si>
  <si>
    <t>Stock Before</t>
  </si>
  <si>
    <t>Stock After</t>
  </si>
  <si>
    <t>Total available</t>
  </si>
  <si>
    <t>Modification</t>
  </si>
  <si>
    <t>MAN</t>
  </si>
  <si>
    <t>F10794-ND</t>
  </si>
  <si>
    <t>08743.15MXEP</t>
  </si>
  <si>
    <t>FUSE CERAMIC 3.15A 250VAC AXIAL</t>
  </si>
  <si>
    <t>XQDAWT-00-0000-00000BF50CT-ND</t>
  </si>
  <si>
    <t>XQDAWT-00-0000-00000BF50</t>
  </si>
  <si>
    <t>LED XLAMP COOL WHITE 6200K 0606</t>
  </si>
  <si>
    <t>XTEAWT-00-0000-000000KE1CT-ND</t>
  </si>
  <si>
    <t>XTEAWT-00-0000-000000KE1</t>
  </si>
  <si>
    <t>LED XLAMP XT-E 6500K WHITE SMD</t>
  </si>
  <si>
    <t>541-4131-1-ND</t>
  </si>
  <si>
    <t>CRCW08054K70FKEAC</t>
  </si>
  <si>
    <t>RES SMD 4.7K OHM 1% 1/8W 0805</t>
  </si>
  <si>
    <t>296-46314-1-ND</t>
  </si>
  <si>
    <t>LP38511MRX-ADJ/NOPB</t>
  </si>
  <si>
    <t>IC REG LIN POS ADJ 800MA 8SO</t>
  </si>
  <si>
    <t>1510-2262-1-ND</t>
  </si>
  <si>
    <t>SPHWHTL3DA0CF4QTW6</t>
  </si>
  <si>
    <t>LED WHITE CERAMIC LH351D</t>
  </si>
  <si>
    <t>SMD291-ND</t>
  </si>
  <si>
    <t>SMD291</t>
  </si>
  <si>
    <t>FLUX NO-CLEAN 10CC SYR SMD</t>
  </si>
  <si>
    <t>Commande Digikey</t>
  </si>
  <si>
    <t>1004068</t>
  </si>
  <si>
    <t>90990</t>
  </si>
  <si>
    <t>912951</t>
  </si>
  <si>
    <t>1181876</t>
  </si>
  <si>
    <t>965083</t>
  </si>
  <si>
    <t>Utilisation du fin de stock</t>
  </si>
  <si>
    <t>Réparation pasata maker philips</t>
  </si>
  <si>
    <t>Modification LampeSolaire_v1_1</t>
  </si>
  <si>
    <t>LampeSolaire_v1_2</t>
  </si>
  <si>
    <t>Index</t>
  </si>
  <si>
    <t>Name</t>
  </si>
  <si>
    <t>SheetName</t>
  </si>
  <si>
    <t>Tempo metter v1</t>
  </si>
  <si>
    <t>TempoMetter_v1</t>
  </si>
  <si>
    <t>IC MCU 8BIT 7KB FLASH 14SOIC</t>
  </si>
  <si>
    <t>PIC16LF18324-I/SL</t>
  </si>
  <si>
    <t>MMA8452QR1</t>
  </si>
  <si>
    <t>ACCELEROMETER 2-8G I2C 16QFN</t>
  </si>
  <si>
    <t>MMA8452QR1CT-ND</t>
  </si>
  <si>
    <t>NXP USA Inc.</t>
  </si>
  <si>
    <t>PIC16LF18324-I/SL-ND</t>
  </si>
  <si>
    <t>MIC5504-2.5YM5-TR</t>
  </si>
  <si>
    <t>IC REG LINEAR 2.5V 300MA SOT23-5</t>
  </si>
  <si>
    <t>576-4880-1-ND</t>
  </si>
  <si>
    <t>BU2032SM-JJ-GCT-ND</t>
  </si>
  <si>
    <t>BU2032SM-JJ-GTR</t>
  </si>
  <si>
    <t>MPD (Memory Protection Devices)</t>
  </si>
  <si>
    <t>BATTERY HOLDER COIN 20MM SMD</t>
  </si>
  <si>
    <t>732-4980-1-ND</t>
  </si>
  <si>
    <t>150060VS75000</t>
  </si>
  <si>
    <t>LED GREEN CLEAR 0603 SMD</t>
  </si>
  <si>
    <t>TLMS1000-GS08</t>
  </si>
  <si>
    <t>LED RED 0603 SMD</t>
  </si>
  <si>
    <t>679-3547-ND</t>
  </si>
  <si>
    <t>SLB12814</t>
  </si>
  <si>
    <t>APEM Inc.</t>
  </si>
  <si>
    <t>SWITCH SLIDE SPDT 300MA 125V</t>
  </si>
  <si>
    <t>1-1825059-3-ND</t>
  </si>
  <si>
    <t>1-1825059-3</t>
  </si>
  <si>
    <t>TE Connectivity ALCOSWITCH Switches</t>
  </si>
  <si>
    <t>SWITCH SLIDE DIP SPST 100MA 24V</t>
  </si>
  <si>
    <t>1276-3178-1-ND</t>
  </si>
  <si>
    <t>CL31B475KAHNNWE</t>
  </si>
  <si>
    <t>Samsung Electro-Mechanics</t>
  </si>
  <si>
    <t>CAP CER 4.7UF 25V X7R 1206</t>
  </si>
  <si>
    <t>P150CCT-ND</t>
  </si>
  <si>
    <t>ERJ-6ENF1500V</t>
  </si>
  <si>
    <t>Panasonic Electronic Components</t>
  </si>
  <si>
    <t>RES SMD 150 OHM 1% 1/8W 0805</t>
  </si>
  <si>
    <t>541-3979-1-ND</t>
  </si>
  <si>
    <t>CRCW0805100RFKEAC</t>
  </si>
  <si>
    <t>Vishay Dale</t>
  </si>
  <si>
    <t>RES SMD 100 OHM 1% 1/8W 0805</t>
  </si>
  <si>
    <t>EsseivaN</t>
  </si>
  <si>
    <t>PCB Lampe solaire v1</t>
  </si>
  <si>
    <t>PCB Lampe solaire v2</t>
  </si>
  <si>
    <t>PCB TempoMetter v1</t>
  </si>
  <si>
    <t>Commande JLCPCB</t>
  </si>
  <si>
    <t>Unknown</t>
  </si>
  <si>
    <t>Starting row</t>
  </si>
  <si>
    <t>Art. number</t>
  </si>
  <si>
    <t>A129415CT-ND</t>
  </si>
  <si>
    <t>RES 22 OHM 1W 5% AXIAL</t>
  </si>
  <si>
    <t>495-5633-1-ND</t>
  </si>
  <si>
    <t>FIXED IND 470UH 510MA 1.9 OHM TH</t>
  </si>
  <si>
    <t>495-5623-1-ND</t>
  </si>
  <si>
    <t>FIXED IND 470UH 280MA 2.5 OHM TH</t>
  </si>
  <si>
    <t>732-8886-1-ND</t>
  </si>
  <si>
    <t>CAP ALUM 4.7UF 20% 400V RADIAL</t>
  </si>
  <si>
    <t>495-1433-ND</t>
  </si>
  <si>
    <t>VARISTOR 430V 3.5KA DISC 10MM</t>
  </si>
  <si>
    <t>173-36-289</t>
  </si>
  <si>
    <t>LNK304PN</t>
  </si>
  <si>
    <t>Power Integrations</t>
  </si>
  <si>
    <t>Switching controller IC DIL-8</t>
  </si>
  <si>
    <t>Commande Digikey 57887296</t>
  </si>
  <si>
    <t>Commande Digikey 57887297</t>
  </si>
  <si>
    <t>Commande Digikey 57887298</t>
  </si>
  <si>
    <t>Commande Digikey 57887299</t>
  </si>
  <si>
    <t>Commande Digikey 57887300</t>
  </si>
  <si>
    <t>Commande Digikey 57887301</t>
  </si>
  <si>
    <t>Commande Digikey 57887302</t>
  </si>
  <si>
    <t>Commande Digikey 57887303</t>
  </si>
  <si>
    <t>Commande Digikey 57887304</t>
  </si>
  <si>
    <t>Commande Digikey 57887305</t>
  </si>
  <si>
    <t>Commande Digikey 57887306</t>
  </si>
  <si>
    <t>Commande Digikey 57887307</t>
  </si>
  <si>
    <t>MFU0805.63CT-ND</t>
  </si>
  <si>
    <t>Vishay Beyschlag</t>
  </si>
  <si>
    <t>FUSE BOARD MNT 630MA 32VDC 0805</t>
  </si>
  <si>
    <t>MFU1206FF00630P100</t>
  </si>
  <si>
    <t>FUSE BOARD MNT 630MA 63VDC 1206</t>
  </si>
  <si>
    <t>F1</t>
  </si>
  <si>
    <t>C3..6</t>
  </si>
  <si>
    <t>C1</t>
  </si>
  <si>
    <t>C2</t>
  </si>
  <si>
    <t>U6</t>
  </si>
  <si>
    <t>U1</t>
  </si>
  <si>
    <t>P1</t>
  </si>
  <si>
    <t>U2</t>
  </si>
  <si>
    <t>U3</t>
  </si>
  <si>
    <t>P2, P3</t>
  </si>
  <si>
    <t>R13, R14</t>
  </si>
  <si>
    <t>T1, T2</t>
  </si>
  <si>
    <t>T3..7</t>
  </si>
  <si>
    <t>R2</t>
  </si>
  <si>
    <t>R3, R9, R10</t>
  </si>
  <si>
    <t>R5..8</t>
  </si>
  <si>
    <t>R12</t>
  </si>
  <si>
    <t>R11</t>
  </si>
  <si>
    <t>R2, R4</t>
  </si>
  <si>
    <t>K1</t>
  </si>
  <si>
    <t>X4</t>
  </si>
  <si>
    <t>U5</t>
  </si>
  <si>
    <t>SC1</t>
  </si>
  <si>
    <t>V1</t>
  </si>
  <si>
    <t>U4</t>
  </si>
  <si>
    <t>R1</t>
  </si>
  <si>
    <t>Résistance SMD 1k OHM 0805</t>
  </si>
  <si>
    <t>Résistance SMD 3.3k OHM 0805</t>
  </si>
  <si>
    <t>E-R-3301</t>
  </si>
  <si>
    <t>E-R-1001</t>
  </si>
  <si>
    <t>E-PCB-000-000</t>
  </si>
  <si>
    <t>E-PCB-000-001</t>
  </si>
  <si>
    <t>E-PCB-001-000</t>
  </si>
  <si>
    <t>E-PCB-002-000</t>
  </si>
  <si>
    <t>E-PCB-000-002</t>
  </si>
  <si>
    <t>PCB Lampe solaire v4</t>
  </si>
  <si>
    <t>301-18-567</t>
  </si>
  <si>
    <t>VEL-EC60217</t>
  </si>
  <si>
    <t>VELCRO</t>
  </si>
  <si>
    <t>Crochet et boucle adhésifs noir 20 mmx5 m</t>
  </si>
  <si>
    <t>0</t>
  </si>
  <si>
    <t>Ajout article</t>
  </si>
  <si>
    <t>155-79-878</t>
  </si>
  <si>
    <t>LIYV 0,50 MM² RED</t>
  </si>
  <si>
    <t>Kabeltronik</t>
  </si>
  <si>
    <t>Toron 0.5 mm² Toron à fil en cuivre étamé Rouge 100 m</t>
  </si>
  <si>
    <t>133-18-751</t>
  </si>
  <si>
    <t>FP300</t>
  </si>
  <si>
    <t>Beha-Amprobe</t>
  </si>
  <si>
    <t>Fusible 315 mA 1 kV FF Paquet à 4 pièces</t>
  </si>
  <si>
    <t>418973 - 62</t>
  </si>
  <si>
    <t>431015</t>
  </si>
  <si>
    <t>ESKA</t>
  </si>
  <si>
    <t>Fusible CMS ESKA 431015 rapide -F- CMS 1206 630 mA 125 V</t>
  </si>
  <si>
    <t>1558118 - 62</t>
  </si>
  <si>
    <t>435-0011-03-SP</t>
  </si>
  <si>
    <t>FLIR</t>
  </si>
  <si>
    <t>Caméra thermique FLIR 435-0011-03-SP -20 à +400 °C 160 x 120 pixels 8.7 Hz</t>
  </si>
  <si>
    <t>Dgikey xlsx</t>
  </si>
  <si>
    <t>Place</t>
  </si>
  <si>
    <t>None</t>
  </si>
  <si>
    <t>Config :</t>
  </si>
  <si>
    <t>Qty</t>
  </si>
  <si>
    <t>Man. Art.  Number</t>
  </si>
  <si>
    <t>Ref</t>
  </si>
  <si>
    <t>Reference</t>
  </si>
  <si>
    <t>Lampe solaire v4</t>
  </si>
  <si>
    <t>LampeSolaire_v4</t>
  </si>
  <si>
    <t>32867696371</t>
  </si>
  <si>
    <t>SHANGSIMOUDLECX</t>
  </si>
  <si>
    <t>ESP32 Development Board</t>
  </si>
  <si>
    <t>1</t>
  </si>
  <si>
    <t>32845056564</t>
  </si>
  <si>
    <t>QIACHIP</t>
  </si>
  <si>
    <t>433mhz RF Receiver Learning Code Decoding Receiving Module</t>
  </si>
  <si>
    <t>32673925190</t>
  </si>
  <si>
    <t>Antenna For 433mhz RF Receiver and transmitter</t>
  </si>
  <si>
    <t>32710723814</t>
  </si>
  <si>
    <t>433 Mhz Remote Control</t>
  </si>
  <si>
    <t>D002-XXXX</t>
  </si>
  <si>
    <t>D001-XXXX</t>
  </si>
  <si>
    <t>Valise transparente</t>
  </si>
  <si>
    <t>Malette ESD 144</t>
  </si>
  <si>
    <t>Malette ESD 96</t>
  </si>
  <si>
    <t>Rangement tiroirs 1</t>
  </si>
  <si>
    <t>Rangement tiroirs 2</t>
  </si>
  <si>
    <t>E-PCB-000</t>
  </si>
  <si>
    <t>E-PCB-001</t>
  </si>
  <si>
    <t>E-PCB-002</t>
  </si>
  <si>
    <t>E-PCB-003</t>
  </si>
  <si>
    <t>E-PCB-004</t>
  </si>
  <si>
    <t>PCB Lampe solaire</t>
  </si>
  <si>
    <t>PCB led adaptateur</t>
  </si>
  <si>
    <t>PCB Led adaptateur v1</t>
  </si>
  <si>
    <t>PCB TempoMetter</t>
  </si>
  <si>
    <t>D001-001</t>
  </si>
  <si>
    <t>D001-002</t>
  </si>
  <si>
    <t>D001-000</t>
  </si>
  <si>
    <t>Batterie Li-Po 3.7V 2000mAh</t>
  </si>
  <si>
    <t>Article infos updated</t>
  </si>
  <si>
    <t>8540829</t>
  </si>
  <si>
    <t>D001-003</t>
  </si>
  <si>
    <t>D001-004</t>
  </si>
  <si>
    <t>D001-005</t>
  </si>
  <si>
    <t>1287598</t>
  </si>
  <si>
    <t>D001-012</t>
  </si>
  <si>
    <t>Commande conrad</t>
  </si>
  <si>
    <t>1851909</t>
  </si>
  <si>
    <t>D001-013</t>
  </si>
  <si>
    <t>1332159</t>
  </si>
  <si>
    <t>D001-014</t>
  </si>
  <si>
    <t>2677151</t>
  </si>
  <si>
    <t>D001-015</t>
  </si>
  <si>
    <t>D001-016</t>
  </si>
  <si>
    <t>D001-017</t>
  </si>
  <si>
    <t>D001-024</t>
  </si>
  <si>
    <t>D001-025</t>
  </si>
  <si>
    <t>D001-026</t>
  </si>
  <si>
    <t>D001-027</t>
  </si>
  <si>
    <t>D001-032</t>
  </si>
  <si>
    <t>2682731</t>
  </si>
  <si>
    <t>D001-036</t>
  </si>
  <si>
    <t>D001-049</t>
  </si>
  <si>
    <t>D001-048</t>
  </si>
  <si>
    <t>Undo LampeSolaire_v1_2 because not done</t>
  </si>
  <si>
    <t>0.639</t>
  </si>
  <si>
    <t>32845729569</t>
  </si>
  <si>
    <t>Mayitr</t>
  </si>
  <si>
    <t>Jack Plugs Male conector 2.1mm x 5.5mm</t>
  </si>
  <si>
    <t>Female socket adapter 2.1mm x 5.5mm</t>
  </si>
  <si>
    <t>5</t>
  </si>
  <si>
    <t>10</t>
  </si>
  <si>
    <t>2896645</t>
  </si>
  <si>
    <t>D001-C104</t>
  </si>
  <si>
    <t>D001-C475</t>
  </si>
  <si>
    <t>D001-R1001</t>
  </si>
  <si>
    <t>2694097</t>
  </si>
  <si>
    <t>D001-R1003</t>
  </si>
  <si>
    <t>1576507</t>
  </si>
  <si>
    <t>D001-R1004</t>
  </si>
  <si>
    <t>2380458</t>
  </si>
  <si>
    <t>D001-R1103</t>
  </si>
  <si>
    <t>2447573</t>
  </si>
  <si>
    <t>D001-R1503</t>
  </si>
  <si>
    <t>2073701</t>
  </si>
  <si>
    <t>D001-R220</t>
  </si>
  <si>
    <t>D001-R3301</t>
  </si>
  <si>
    <t>2073779</t>
  </si>
  <si>
    <t>D001-R4701</t>
  </si>
  <si>
    <t>Update place D001-XXXX to D001-RXXXX for resistors</t>
  </si>
  <si>
    <t>Update place D001-XXXX to D001-CXXXX for capacitors</t>
  </si>
  <si>
    <t>JLCPCB Command</t>
  </si>
  <si>
    <t>D010-XXXX</t>
  </si>
  <si>
    <t>D020-XXXX</t>
  </si>
  <si>
    <t>D100-XXXX</t>
  </si>
  <si>
    <t>D101-XXXX</t>
  </si>
  <si>
    <t>Boite avec conteneurs transparents</t>
  </si>
  <si>
    <t>Envoi pour demande d'échange USB C</t>
  </si>
  <si>
    <t>Demande acceptée, USB C</t>
  </si>
  <si>
    <t>Min in stock</t>
  </si>
  <si>
    <t>MFU1206.63CT-ND</t>
  </si>
  <si>
    <t>PCB USB Tool</t>
  </si>
  <si>
    <t>PCB RF Transceiver</t>
  </si>
  <si>
    <t>E-PCB-005</t>
  </si>
  <si>
    <t>E-PCB-006</t>
  </si>
  <si>
    <t>E-PCB-007</t>
  </si>
  <si>
    <t>E-PCB-008</t>
  </si>
  <si>
    <t>E-PCB-009</t>
  </si>
  <si>
    <t>E-PCB-010</t>
  </si>
  <si>
    <t>USB Tool v1</t>
  </si>
  <si>
    <t>USB_Tool_v1</t>
  </si>
  <si>
    <t>596-1023-5-ND</t>
  </si>
  <si>
    <t>732-5350-ND</t>
  </si>
  <si>
    <t>486-1258-ND</t>
  </si>
  <si>
    <t>486-3662-ND</t>
  </si>
  <si>
    <t>A120350-ND</t>
  </si>
  <si>
    <t>A107340-ND</t>
  </si>
  <si>
    <t>1N4148TR</t>
  </si>
  <si>
    <t>0022284360</t>
  </si>
  <si>
    <t>3M5475-ND</t>
  </si>
  <si>
    <t>A106373-ND</t>
  </si>
  <si>
    <t>929974-01-36-RK</t>
  </si>
  <si>
    <t>FDN337NCT-ND</t>
  </si>
  <si>
    <t>MCP121T-315E/TTCT-ND</t>
  </si>
  <si>
    <t>NCP114ASN330T1GOSCT-ND</t>
  </si>
  <si>
    <t>SI2333CDS-T1-GE3CT-ND</t>
  </si>
  <si>
    <t>T93XA-100K-ND</t>
  </si>
  <si>
    <t>720-1805-1-ND</t>
  </si>
  <si>
    <t>Dgikey Bom</t>
  </si>
  <si>
    <t>Article Number</t>
  </si>
  <si>
    <t>32845729569A</t>
  </si>
  <si>
    <t>32845729569B</t>
  </si>
  <si>
    <t>EP1WS22RJ</t>
  </si>
  <si>
    <t>B82145A1474J000</t>
  </si>
  <si>
    <t>B82144A2474J000</t>
  </si>
  <si>
    <t>B72210S2271K101</t>
  </si>
  <si>
    <t>MFU0805FF00630P100</t>
  </si>
  <si>
    <t>Migration articles chez Digikey</t>
  </si>
  <si>
    <t>In next order</t>
  </si>
  <si>
    <t>Min Stock</t>
  </si>
  <si>
    <t>Total price</t>
  </si>
  <si>
    <t>Total</t>
  </si>
  <si>
    <t>Ret. Art. Number</t>
  </si>
  <si>
    <t>Ctrl + N</t>
  </si>
  <si>
    <t>Ctrl + K</t>
  </si>
  <si>
    <t>Ctrl + P</t>
  </si>
  <si>
    <t>Ctrl + O</t>
  </si>
  <si>
    <t>Fixed errors during file modification</t>
  </si>
  <si>
    <t>Default Art. Number</t>
  </si>
  <si>
    <t>Default Unit price</t>
  </si>
  <si>
    <t>Auto Order</t>
  </si>
  <si>
    <t>Components</t>
  </si>
  <si>
    <t>Places</t>
  </si>
  <si>
    <t>MCP2210-I/SS</t>
  </si>
  <si>
    <t>MCP2210-I/SS-ND</t>
  </si>
  <si>
    <t>IC CONVERTER USB-SPI 20-SSOP</t>
  </si>
  <si>
    <t>DSC6003JI2A-012.0000T</t>
  </si>
  <si>
    <t>DSC6003JI2A-012.0000TCT-ND</t>
  </si>
  <si>
    <t>MEMS OSC XO 12.0000MHZ CMOS SMD</t>
  </si>
  <si>
    <t>MRF89XAM8A-I/RM</t>
  </si>
  <si>
    <t>MRF89XAM8A-I/RM-ND</t>
  </si>
  <si>
    <t>PIC18F46K40-I/PT</t>
  </si>
  <si>
    <t>PIC18F46K40-I/PT-ND</t>
  </si>
  <si>
    <t>IC MCU 8BIT 64KB FLASH 44TQFP</t>
  </si>
  <si>
    <t>0679H0500-01</t>
  </si>
  <si>
    <t>Bel Fuse Inc.</t>
  </si>
  <si>
    <t>507-2023-1-ND</t>
  </si>
  <si>
    <t>FUSE BRD MNT 500MA 350VAC 72VDC</t>
  </si>
  <si>
    <t>Article added</t>
  </si>
  <si>
    <t>New oder</t>
  </si>
  <si>
    <t>860021374008</t>
  </si>
  <si>
    <t>JLCPCB</t>
  </si>
  <si>
    <t>Default retailer</t>
  </si>
  <si>
    <t>Conrad</t>
  </si>
  <si>
    <t>Distrelec</t>
  </si>
  <si>
    <t>Mouser</t>
  </si>
  <si>
    <t>Aliexpress</t>
  </si>
  <si>
    <t>Other</t>
  </si>
  <si>
    <t>Unit price - Digikey</t>
  </si>
  <si>
    <t>Unit price - Farnell</t>
  </si>
  <si>
    <t>Unit price - Distrelec</t>
  </si>
  <si>
    <t>Unit price - Conrad</t>
  </si>
  <si>
    <t>Unit price - Mouser</t>
  </si>
  <si>
    <t>Unit price - Aliexpress</t>
  </si>
  <si>
    <t>Unit price - Banggood</t>
  </si>
  <si>
    <t>Unit price - Other</t>
  </si>
  <si>
    <t>WM50014-36-ND</t>
  </si>
  <si>
    <t>929974E-01-36-ND</t>
  </si>
  <si>
    <t>Category</t>
  </si>
  <si>
    <t>Battery</t>
  </si>
  <si>
    <t>Fuse</t>
  </si>
  <si>
    <t>Connector</t>
  </si>
  <si>
    <t>Module</t>
  </si>
  <si>
    <t>Power</t>
  </si>
  <si>
    <t>Accessory</t>
  </si>
  <si>
    <t>Capacitor</t>
  </si>
  <si>
    <t>Switch</t>
  </si>
  <si>
    <t>Relay</t>
  </si>
  <si>
    <t>Led</t>
  </si>
  <si>
    <t>Diode</t>
  </si>
  <si>
    <t>Varistor</t>
  </si>
  <si>
    <t>Support</t>
  </si>
  <si>
    <t>Jumper</t>
  </si>
  <si>
    <t>Trimmer</t>
  </si>
  <si>
    <t>Tool</t>
  </si>
  <si>
    <t>Buzzer</t>
  </si>
  <si>
    <t>Inductor</t>
  </si>
  <si>
    <t>Resistor</t>
  </si>
  <si>
    <t>PCB</t>
  </si>
  <si>
    <t>Transistor</t>
  </si>
  <si>
    <t>Cable</t>
  </si>
  <si>
    <t>IC</t>
  </si>
  <si>
    <t>LDO</t>
  </si>
  <si>
    <t>AOP</t>
  </si>
  <si>
    <t>Photocell</t>
  </si>
  <si>
    <t>MCU</t>
  </si>
  <si>
    <t>Box</t>
  </si>
  <si>
    <t>Flux</t>
  </si>
  <si>
    <t>Logic</t>
  </si>
  <si>
    <t>Driver</t>
  </si>
  <si>
    <t>Power Led</t>
  </si>
  <si>
    <t>Bridge</t>
  </si>
  <si>
    <t>Oscillator</t>
  </si>
  <si>
    <t>Ctrl + B</t>
  </si>
  <si>
    <t>C6</t>
  </si>
  <si>
    <t>J1</t>
  </si>
  <si>
    <t>Y1</t>
  </si>
  <si>
    <t>R3..5,R9,R10</t>
  </si>
  <si>
    <t>C4,C7</t>
  </si>
  <si>
    <t>C5</t>
  </si>
  <si>
    <t>885012207076</t>
  </si>
  <si>
    <t>885012107018</t>
  </si>
  <si>
    <t>885012207078</t>
  </si>
  <si>
    <t>885012207064</t>
  </si>
  <si>
    <t>KTR18EZPF5600</t>
  </si>
  <si>
    <t>ESR10EZPJ273</t>
  </si>
  <si>
    <t>Connecteur carte-à-carte, femelle, 2.54 mm, 36 Contact(s), Embase</t>
  </si>
  <si>
    <t>Connector Header Through Hole, male, 36 position 0.100" (2.54mm)</t>
  </si>
  <si>
    <t>22284360</t>
  </si>
  <si>
    <t>61304011021</t>
  </si>
  <si>
    <t>Connecteur carte-à-carte, male, Angle Droit, 2.54 mm, 40 Contact(s)</t>
  </si>
  <si>
    <t>Lampe solaire v5</t>
  </si>
  <si>
    <t>LampeSolaire_v5</t>
  </si>
  <si>
    <t>CRCW080510K0FKEAC</t>
  </si>
  <si>
    <t>541-3976-1-ND</t>
  </si>
  <si>
    <t>RES SMD 10K OHM 1% 1/8W 0805</t>
  </si>
  <si>
    <t>CRCW08051R00FKEAC</t>
  </si>
  <si>
    <t>541-4140-1-ND</t>
  </si>
  <si>
    <t>RES SMD 1 OHM 1% 1/8W 0805</t>
  </si>
  <si>
    <t>CRCW08052R00FKEAC</t>
  </si>
  <si>
    <t>541-4155-1-ND</t>
  </si>
  <si>
    <t>RES SMD 2 OHM 1% 1/8W 0805</t>
  </si>
  <si>
    <t>CRCW08053R30FKEAC</t>
  </si>
  <si>
    <t>541-4152-1-ND</t>
  </si>
  <si>
    <t>RES SMD 3.3 OHM 1% 1/8W 0805</t>
  </si>
  <si>
    <t>CRCW08054R70FKEAC</t>
  </si>
  <si>
    <t>541-4156-1-ND</t>
  </si>
  <si>
    <t>RES SMD 4.7 OHM 1% 1/8W 0805</t>
  </si>
  <si>
    <t>CRCW08054R99FKEAC</t>
  </si>
  <si>
    <t>541-4145-1-ND</t>
  </si>
  <si>
    <t>RES SMD 4.99 OHM 1% 1/8W 0805</t>
  </si>
  <si>
    <t>CRCW080510R0FKEAC</t>
  </si>
  <si>
    <t>541-4132-1-ND</t>
  </si>
  <si>
    <t>RES SMD 10 OHM 1% 1/8W 0805</t>
  </si>
  <si>
    <t>CRCW080520R0FKEAC</t>
  </si>
  <si>
    <t>541-4148-1-ND</t>
  </si>
  <si>
    <t>RES SMD 20 OHM 1% 1/8W 0805</t>
  </si>
  <si>
    <t>CRCW080522R0FKEAC</t>
  </si>
  <si>
    <t>541-4151-1-ND</t>
  </si>
  <si>
    <t>RES SMD 22 OHM 1% 1/8W 0805</t>
  </si>
  <si>
    <t>CRCW080530R0FKEAC</t>
  </si>
  <si>
    <t>541-4153-1-ND</t>
  </si>
  <si>
    <t>RES SMD 30 OHM 1% 1/8W 0805</t>
  </si>
  <si>
    <t>CRCW080533R0FKEAC</t>
  </si>
  <si>
    <t>541-4149-1-ND</t>
  </si>
  <si>
    <t>RES SMD 33 OHM 1% 1/8W 0805</t>
  </si>
  <si>
    <t>CRCW080549R9FKEAC</t>
  </si>
  <si>
    <t>541-4144-1-ND</t>
  </si>
  <si>
    <t>RES SMD 49.9 OHM 1% 1/8W 0805</t>
  </si>
  <si>
    <t>CRCW0805200RFKEAC</t>
  </si>
  <si>
    <t>541-4146-1-ND</t>
  </si>
  <si>
    <t>RES SMD 200 OHM 1% 1/8W 0805</t>
  </si>
  <si>
    <t>CRCW0805220RFKEAC</t>
  </si>
  <si>
    <t>541-4154-1-ND</t>
  </si>
  <si>
    <t>RES SMD 220 OHM 1% 1/8W 0805</t>
  </si>
  <si>
    <t>CRCW0805330RFKEAC</t>
  </si>
  <si>
    <t>541-4142-1-ND</t>
  </si>
  <si>
    <t>RES SMD 330 OHM 1% 1/8W 0805</t>
  </si>
  <si>
    <t>CRCW0805470RFKEAC</t>
  </si>
  <si>
    <t>541-4147-1-ND</t>
  </si>
  <si>
    <t>RES SMD 470 OHM 1% 1/8W 0805</t>
  </si>
  <si>
    <t>CRCW0805820RFKEAC</t>
  </si>
  <si>
    <t>541-4157-1-ND</t>
  </si>
  <si>
    <t>RES SMD 820 OHM 1% 1/8W 0805</t>
  </si>
  <si>
    <t>CRCW08051K00FKEAC</t>
  </si>
  <si>
    <t>541-3977-1-ND</t>
  </si>
  <si>
    <t>RES SMD 1K OHM 1% 1/8W 0805</t>
  </si>
  <si>
    <t>CRCW08051K50FKEAC</t>
  </si>
  <si>
    <t>541-4161-1-ND</t>
  </si>
  <si>
    <t>RES SMD 1.5K OHM 1% 1/8W 0805</t>
  </si>
  <si>
    <t>CRCW08052K00FKEAC</t>
  </si>
  <si>
    <t>541-4134-1-ND</t>
  </si>
  <si>
    <t>RES SMD 2K OHM 1% 1/8W 0805</t>
  </si>
  <si>
    <t>CRCW08052K20FKEAC</t>
  </si>
  <si>
    <t>541-4139-1-ND</t>
  </si>
  <si>
    <t>RES SMD 2.2K OHM 1% 1/8W 0805</t>
  </si>
  <si>
    <t>CRCW08053K30FKEAC</t>
  </si>
  <si>
    <t>541-4143-1-ND</t>
  </si>
  <si>
    <t>RES SMD 3.3K OHM 1% 1/8W 0805</t>
  </si>
  <si>
    <t>CRCW08054K99FKEAC</t>
  </si>
  <si>
    <t>541-4138-1-ND</t>
  </si>
  <si>
    <t>RES SMD 4.99K OHM 1% 1/8W 0805</t>
  </si>
  <si>
    <t>CRCW08055K11FKEAC</t>
  </si>
  <si>
    <t>541-4160-1-ND</t>
  </si>
  <si>
    <t>RES SMD 5.11K OHM 1% 1/8W 0805</t>
  </si>
  <si>
    <t>CRCW08058K25FKEAC</t>
  </si>
  <si>
    <t>541-4158-1-ND</t>
  </si>
  <si>
    <t>RES SMD 8.25K OHM 1% 1/8W 0805</t>
  </si>
  <si>
    <t>CRCW080515K0FKEAC</t>
  </si>
  <si>
    <t>541-4136-1-ND</t>
  </si>
  <si>
    <t>RES SMD 15K OHM 1% 1/8W 0805</t>
  </si>
  <si>
    <t>CRCW080520K0FKEAC</t>
  </si>
  <si>
    <t>541-4133-1-ND</t>
  </si>
  <si>
    <t>RES SMD 20K OHM 1% 1/8W 0805</t>
  </si>
  <si>
    <t>CRCW080522K0FKEAC</t>
  </si>
  <si>
    <t>541-4150-1-ND</t>
  </si>
  <si>
    <t>RES SMD 22K OHM 1% 1/8W 0805</t>
  </si>
  <si>
    <t>CRCW080542K2FKECC</t>
  </si>
  <si>
    <t>541-4130-1-ND</t>
  </si>
  <si>
    <t>RES SMD 42.2K OHM 1% 1/8W 0805</t>
  </si>
  <si>
    <t>CRCW080547K0FKEAC</t>
  </si>
  <si>
    <t>541-4137-1-ND</t>
  </si>
  <si>
    <t>RES SMD 47K OHM 1% 1/8W 0805</t>
  </si>
  <si>
    <t>CRCW080549K9FKEAC</t>
  </si>
  <si>
    <t>541-4141-1-ND</t>
  </si>
  <si>
    <t>RES SMD 49.9K OHM 1% 1/8W 0805</t>
  </si>
  <si>
    <t>CRCW0805100KFKEAC</t>
  </si>
  <si>
    <t>541-3978-1-ND</t>
  </si>
  <si>
    <t>RES SMD 100K OHM 1% 1/8W 0805</t>
  </si>
  <si>
    <t>CRCW0805200KFKEAC</t>
  </si>
  <si>
    <t>541-4159-1-ND</t>
  </si>
  <si>
    <t>RES SMD 200K OHM 1% 1/8W 0805</t>
  </si>
  <si>
    <t>CRCW0805249KFKECC</t>
  </si>
  <si>
    <t>541-4128-1-ND</t>
  </si>
  <si>
    <t>RES SMD 249K OHM 1% 1/8W 0805</t>
  </si>
  <si>
    <t>CRCW08051M00FKEAC</t>
  </si>
  <si>
    <t>541-4135-1-ND</t>
  </si>
  <si>
    <t>RES SMD 1M OHM 1% 1/8W 0805</t>
  </si>
  <si>
    <t>CRCW08052M00FKECC</t>
  </si>
  <si>
    <t>541-4129-1-ND</t>
  </si>
  <si>
    <t>RES SMD 2M OHM 1% 1/8W 0805</t>
  </si>
  <si>
    <t>4.7µF ±20% 25V Ceramic Capacitor X5R 0805 (2012 Metric)</t>
  </si>
  <si>
    <t>732-7628-1-ND</t>
  </si>
  <si>
    <t>0.47µF ±10% 25V Ceramic Capacitor X7R 0805 (2012 Metric)</t>
  </si>
  <si>
    <t>732-7670-1-ND</t>
  </si>
  <si>
    <t>1µF ±10% 25V Ceramic Capacitor X7R 0805 (2012 Metric)</t>
  </si>
  <si>
    <t>732-7672-1-ND</t>
  </si>
  <si>
    <t>4700pF ±10% 25V Ceramic Capacitor X7R 0805 (2012 Metric)</t>
  </si>
  <si>
    <t>732-8053-1-ND</t>
  </si>
  <si>
    <t>SW1</t>
  </si>
  <si>
    <t>P2</t>
  </si>
  <si>
    <t>Rohm Semiconductor</t>
  </si>
  <si>
    <t>RES SMD 27K OHM 5% 0.4W 0805</t>
  </si>
  <si>
    <t>RHM27KKCT-ND</t>
  </si>
  <si>
    <t>R2,R6,R7</t>
  </si>
  <si>
    <t>RHM10.0KAHCT-ND</t>
  </si>
  <si>
    <t>KTR10EZPF1002</t>
  </si>
  <si>
    <t>RHM200KAHCT-ND</t>
  </si>
  <si>
    <t>KTR10EZPF2003</t>
  </si>
  <si>
    <t>RHM100KAHCT-ND</t>
  </si>
  <si>
    <t>KTR10EZPF1003</t>
  </si>
  <si>
    <t>RHM220KAHCT-ND</t>
  </si>
  <si>
    <t>KTR10EZPF2203</t>
  </si>
  <si>
    <t>RES SMD 220K OHM 1% 1/8W 0805</t>
  </si>
  <si>
    <t>RHM1.00MAHCT-ND</t>
  </si>
  <si>
    <t>KTR10EZPF1004</t>
  </si>
  <si>
    <t>RHM270KAHCT-ND</t>
  </si>
  <si>
    <t>KTR10EZPF2703</t>
  </si>
  <si>
    <t>RES SMD 270K OHM 1% 1/8W 0805</t>
  </si>
  <si>
    <t>RHM4.70AHCT-ND</t>
  </si>
  <si>
    <t>KTR10EZPF4R70</t>
  </si>
  <si>
    <t>RHM5.10MAHCT-ND</t>
  </si>
  <si>
    <t>KTR10EZPF5104</t>
  </si>
  <si>
    <t>RES SMD 5.1M OHM 1% 1/8W 0805</t>
  </si>
  <si>
    <t>RHM2.00MAHCT-ND</t>
  </si>
  <si>
    <t>KTR10EZPF2004</t>
  </si>
  <si>
    <t>RHM390KAHCT-ND</t>
  </si>
  <si>
    <t>KTR10EZPF3903</t>
  </si>
  <si>
    <t>RES SMD 390K OHM 1% 1/8W 0805</t>
  </si>
  <si>
    <t>RHM2.20MAHCT-ND</t>
  </si>
  <si>
    <t>KTR10EZPF2204</t>
  </si>
  <si>
    <t>RES SMD 2.2M OHM 1% 1/8W 0805</t>
  </si>
  <si>
    <t>RHM3.00MAHCT-ND</t>
  </si>
  <si>
    <t>KTR10EZPF3004</t>
  </si>
  <si>
    <t>RES SMD 3M OHM 1% 1/8W 0805</t>
  </si>
  <si>
    <t>RHM4.70MAHCT-ND</t>
  </si>
  <si>
    <t>KTR10EZPF4704</t>
  </si>
  <si>
    <t>RES SMD 4.7M OHM 1% 1/8W 0805</t>
  </si>
  <si>
    <t>RHM22KAHCT-ND</t>
  </si>
  <si>
    <t>KTR10EZPF2202</t>
  </si>
  <si>
    <t>RHM3.30MAHCT-ND</t>
  </si>
  <si>
    <t>KTR10EZPF3304</t>
  </si>
  <si>
    <t>RES SMD 3.3M OHM 1% 1/8W 0805</t>
  </si>
  <si>
    <t>RHM47.0KAHCT-ND</t>
  </si>
  <si>
    <t>KTR10EZPF4702</t>
  </si>
  <si>
    <t>RHM10AHCT-ND</t>
  </si>
  <si>
    <t>KTR10EZPF10R0</t>
  </si>
  <si>
    <t>RHM499AHCT-ND</t>
  </si>
  <si>
    <t>KTR10EZPF4990</t>
  </si>
  <si>
    <t>RES SMD 499 OHM 1% 1/8W 0805</t>
  </si>
  <si>
    <t>RHM680AHCT-ND</t>
  </si>
  <si>
    <t>KTR10EZPF6800</t>
  </si>
  <si>
    <t>RES SMD 680 OHM 1% 1/8W 0805</t>
  </si>
  <si>
    <t>RHM470KBCT-ND</t>
  </si>
  <si>
    <t>KTR10EZPJ474</t>
  </si>
  <si>
    <t>RES SMD 470K OHM 5% 1/8W 0805</t>
  </si>
  <si>
    <t>RHM549KAHCT-ND</t>
  </si>
  <si>
    <t>KTR10EZPF5493</t>
  </si>
  <si>
    <t>RES SMD 549K OHM 1% 1/8W 0805</t>
  </si>
  <si>
    <t>RHM510KAHCT-ND</t>
  </si>
  <si>
    <t>KTR10EZPF5103</t>
  </si>
  <si>
    <t>RES SMD 510K OHM 1% 1/8W 0805</t>
  </si>
  <si>
    <t>RHM160KAHCT-ND</t>
  </si>
  <si>
    <t>KTR10EZPF1603</t>
  </si>
  <si>
    <t>RES SMD 160K OHM 1% 1/8W 0805</t>
  </si>
  <si>
    <t>RHM120KAHCT-ND</t>
  </si>
  <si>
    <t>KTR10EZPF1203</t>
  </si>
  <si>
    <t>RES SMD 120K OHM 1% 1/8W 0805</t>
  </si>
  <si>
    <t>RHM150KAHCT-ND</t>
  </si>
  <si>
    <t>KTR10EZPF1503</t>
  </si>
  <si>
    <t>RES SMD 150K OHM 1% 1/8W 0805</t>
  </si>
  <si>
    <t>RHM4.42KAHCT-ND</t>
  </si>
  <si>
    <t>KTR10EZPF4421</t>
  </si>
  <si>
    <t>RES SMD 4.42K OHM 1% 1/8W 0805</t>
  </si>
  <si>
    <t>RHM560KAHCT-ND</t>
  </si>
  <si>
    <t>KTR10EZPF5603</t>
  </si>
  <si>
    <t>RES SMD 560K OHM 1% 1/8W 0805</t>
  </si>
  <si>
    <t>RHM820KAHCT-ND</t>
  </si>
  <si>
    <t>KTR10EZPF8203</t>
  </si>
  <si>
    <t>RES SMD 820K OHM 1% 1/8W 0805</t>
  </si>
  <si>
    <t>RHM1.2KAHCT-ND</t>
  </si>
  <si>
    <t>KTR10EZPF1201</t>
  </si>
  <si>
    <t>RES SMD 1.2K OHM 1% 1/8W 0805</t>
  </si>
  <si>
    <t>RHM1.3MAHCT-ND</t>
  </si>
  <si>
    <t>KTR10EZPF1304</t>
  </si>
  <si>
    <t>RES SMD 1.3M OHM 1% 1/8W 0805</t>
  </si>
  <si>
    <t>RHM33KAHCT-ND</t>
  </si>
  <si>
    <t>KTR10EZPF3302</t>
  </si>
  <si>
    <t>RES SMD 33K OHM 1% 1/8W 0805</t>
  </si>
  <si>
    <t>RHM39AHCT-ND</t>
  </si>
  <si>
    <t>KTR10EZPF39R0</t>
  </si>
  <si>
    <t>RES SMD 39 OHM 1% 1/8W 0805</t>
  </si>
  <si>
    <t>RHM40.2KAHCT-ND</t>
  </si>
  <si>
    <t>KTR10EZPF4022</t>
  </si>
  <si>
    <t>RES SMD 40.2K OHM 1% 1/8W 0805</t>
  </si>
  <si>
    <t>RHM47AHCT-ND</t>
  </si>
  <si>
    <t>KTR10EZPF47R0</t>
  </si>
  <si>
    <t>RES SMD 47 OHM 1% 1/8W 0805</t>
  </si>
  <si>
    <t>RHM51KAHCT-ND</t>
  </si>
  <si>
    <t>KTR10EZPF5102</t>
  </si>
  <si>
    <t>RES SMD 51K OHM 1% 1/8W 0805</t>
  </si>
  <si>
    <t>RHM5.6MAHCT-ND</t>
  </si>
  <si>
    <t>KTR10EZPF5604</t>
  </si>
  <si>
    <t>RES SMD 5.6M OHM 1% 1/8W 0805</t>
  </si>
  <si>
    <t>RHM62AHCT-ND</t>
  </si>
  <si>
    <t>KTR10EZPF62R0</t>
  </si>
  <si>
    <t>RES SMD 62 OHM 1% 1/8W 0805</t>
  </si>
  <si>
    <t>RHM66.5KAHCT-ND</t>
  </si>
  <si>
    <t>KTR10EZPF6652</t>
  </si>
  <si>
    <t>RES SMD 66.5K OHM 1% 1/8W 0805</t>
  </si>
  <si>
    <t>RHM82AHCT-ND</t>
  </si>
  <si>
    <t>KTR10EZPF82R0</t>
  </si>
  <si>
    <t>RES SMD 82 OHM 1% 1/8W 0805</t>
  </si>
  <si>
    <t>RHM1.50MAHCT-ND</t>
  </si>
  <si>
    <t>KTR10EZPF1504</t>
  </si>
  <si>
    <t>RES SMD 1.5M OHM 1% 1/8W 0805</t>
  </si>
  <si>
    <t>RHM255KAHCT-ND</t>
  </si>
  <si>
    <t>KTR10EZPF2553</t>
  </si>
  <si>
    <t>RES SMD 255K OHM 1% 1/8W 0805</t>
  </si>
  <si>
    <t>RHM332KAHCT-ND</t>
  </si>
  <si>
    <t>KTR10EZPF3323</t>
  </si>
  <si>
    <t>RES SMD 332K OHM 1% 1/8W 0805</t>
  </si>
  <si>
    <t>RHM6.20MAHCT-ND</t>
  </si>
  <si>
    <t>KTR10EZPF6204</t>
  </si>
  <si>
    <t>RES SMD 6.2M OHM 1% 1/8W 0805</t>
  </si>
  <si>
    <t>RHM910KAHCT-ND</t>
  </si>
  <si>
    <t>KTR10EZPF9103</t>
  </si>
  <si>
    <t>RES SMD 910K OHM 1% 1/8W 0805</t>
  </si>
  <si>
    <t>RHM11KAHCT-ND</t>
  </si>
  <si>
    <t>KTR10EZPF1102</t>
  </si>
  <si>
    <t>RES SMD 11K OHM 1% 1/8W 0805</t>
  </si>
  <si>
    <t>RHM124KAHCT-ND</t>
  </si>
  <si>
    <t>KTR10EZPF1243</t>
  </si>
  <si>
    <t>RES SMD 124K OHM 1% 1/8W 0805</t>
  </si>
  <si>
    <t>RHM12.7KAHCT-ND</t>
  </si>
  <si>
    <t>KTR10EZPF1272</t>
  </si>
  <si>
    <t>RES SMD 12.7K OHM 1% 1/8W 0805</t>
  </si>
  <si>
    <t>RHM1.3KAHCT-ND</t>
  </si>
  <si>
    <t>KTR10EZPF1301</t>
  </si>
  <si>
    <t>RES SMD 1.3K OHM 1% 1/8W 0805</t>
  </si>
  <si>
    <t>RHM14KAHCT-ND</t>
  </si>
  <si>
    <t>KTR10EZPF1402</t>
  </si>
  <si>
    <t>RES SMD 14K OHM 1% 1/8W 0805</t>
  </si>
  <si>
    <t>RHM1.8KAHCT-ND</t>
  </si>
  <si>
    <t>KTR10EZPF1801</t>
  </si>
  <si>
    <t>RES SMD 1.8K OHM 1% 1/8W 0805</t>
  </si>
  <si>
    <t>RHM237KAHCT-ND</t>
  </si>
  <si>
    <t>KTR10EZPF2373</t>
  </si>
  <si>
    <t>RES SMD 237K OHM 1% 1/8W 0805</t>
  </si>
  <si>
    <t>RHM2.4KAHCT-ND</t>
  </si>
  <si>
    <t>KTR10EZPF2401</t>
  </si>
  <si>
    <t>RES SMD 2.4K OHM 1% 1/8W 0805</t>
  </si>
  <si>
    <t>RHM249KAHCT-ND</t>
  </si>
  <si>
    <t>KTR10EZPF2493</t>
  </si>
  <si>
    <t>RHM270AHCT-ND</t>
  </si>
  <si>
    <t>KTR10EZPF2700</t>
  </si>
  <si>
    <t>RES SMD 270 OHM 1% 1/8W 0805</t>
  </si>
  <si>
    <t>RHM27KAHCT-ND</t>
  </si>
  <si>
    <t>KTR10EZPF2702</t>
  </si>
  <si>
    <t>RES SMD 27K OHM 1% 1/8W 0805</t>
  </si>
  <si>
    <t>RHM3.01KAHCT-ND</t>
  </si>
  <si>
    <t>KTR10EZPF3011</t>
  </si>
  <si>
    <t>RES SMD 3.01K OHM 1% 1/8W 0805</t>
  </si>
  <si>
    <t>RHM3.32KAHCT-ND</t>
  </si>
  <si>
    <t>KTR10EZPF3321</t>
  </si>
  <si>
    <t>RES SMD 3.32K OHM 1% 1/8W 0805</t>
  </si>
  <si>
    <t>RHM33AHCT-ND</t>
  </si>
  <si>
    <t>KTR10EZPF33R0</t>
  </si>
  <si>
    <t>RHM3.9KAHCT-ND</t>
  </si>
  <si>
    <t>KTR10EZPF3901</t>
  </si>
  <si>
    <t>RES SMD 3.9K OHM 1% 1/8W 0805</t>
  </si>
  <si>
    <t>RHM3.9MAHCT-ND</t>
  </si>
  <si>
    <t>KTR10EZPF3904</t>
  </si>
  <si>
    <t>RES SMD 3.9M OHM 1% 1/8W 0805</t>
  </si>
  <si>
    <t>RHM402AHCT-ND</t>
  </si>
  <si>
    <t>KTR10EZPF4020</t>
  </si>
  <si>
    <t>RES SMD 402 OHM 1% 1/8W 0805</t>
  </si>
  <si>
    <t>RHM430KAHCT-ND</t>
  </si>
  <si>
    <t>KTR10EZPF4303</t>
  </si>
  <si>
    <t>RES SMD 430K OHM 1% 1/8W 0805</t>
  </si>
  <si>
    <t>RHM4.75KAHCT-ND</t>
  </si>
  <si>
    <t>KTR10EZPF4751</t>
  </si>
  <si>
    <t>RES SMD 4.75K OHM 1% 1/8W 0805</t>
  </si>
  <si>
    <t>RHM56KAHCT-ND</t>
  </si>
  <si>
    <t>KTR10EZPF5602</t>
  </si>
  <si>
    <t>RES SMD 56K OHM 1% 1/8W 0805</t>
  </si>
  <si>
    <t>RHM56AHCT-ND</t>
  </si>
  <si>
    <t>KTR10EZPF56R0</t>
  </si>
  <si>
    <t>RES SMD 56 OHM 1% 1/8W 0805</t>
  </si>
  <si>
    <t>RHM6.2KAHCT-ND</t>
  </si>
  <si>
    <t>KTR10EZPF6201</t>
  </si>
  <si>
    <t>RES SMD 6.2K OHM 1% 1/8W 0805</t>
  </si>
  <si>
    <t>RHM68AHCT-ND</t>
  </si>
  <si>
    <t>KTR10EZPF68R0</t>
  </si>
  <si>
    <t>RES SMD 68 OHM 1% 1/8W 0805</t>
  </si>
  <si>
    <t>RHM75KAHCT-ND</t>
  </si>
  <si>
    <t>KTR10EZPF7502</t>
  </si>
  <si>
    <t>RES SMD 75K OHM 1% 1/8W 0805</t>
  </si>
  <si>
    <t>RHM750KAHCT-ND</t>
  </si>
  <si>
    <t>KTR10EZPF7503</t>
  </si>
  <si>
    <t>RES SMD 750K OHM 1% 1/8W 0805</t>
  </si>
  <si>
    <t>RHM820AHCT-ND</t>
  </si>
  <si>
    <t>KTR10EZPF8200</t>
  </si>
  <si>
    <t>RHM464KAHCT-ND</t>
  </si>
  <si>
    <t>KTR10EZPF4643</t>
  </si>
  <si>
    <t>RES SMD 464K OHM 1% 1/8W 0805</t>
  </si>
  <si>
    <t>RHM2.43KAHCT-ND</t>
  </si>
  <si>
    <t>KTR10EZPF2431</t>
  </si>
  <si>
    <t>RES SMD 2.43K OHM 1% 1/8W 0805</t>
  </si>
  <si>
    <t>RHM619KAHCT-ND</t>
  </si>
  <si>
    <t>KTR10EZPF6193</t>
  </si>
  <si>
    <t>RES SMD 619K OHM 1% 1/8W 0805</t>
  </si>
  <si>
    <t>RHM36.0KAHCT-ND</t>
  </si>
  <si>
    <t>KTR10EZPF3602</t>
  </si>
  <si>
    <t>RES SMD 36K OHM 1% 1/8W 0805</t>
  </si>
  <si>
    <t>RHM4.30MAHCT-ND</t>
  </si>
  <si>
    <t>KTR10EZPF4304</t>
  </si>
  <si>
    <t>RES SMD 4.3M OHM 1% 1/8W 0805</t>
  </si>
  <si>
    <t>RHM680KAHCT-ND</t>
  </si>
  <si>
    <t>KTR10EZPF6803</t>
  </si>
  <si>
    <t>RES SMD 680K OHM 1% 1/8W 0805</t>
  </si>
  <si>
    <t>RHM10.7KAHCT-ND</t>
  </si>
  <si>
    <t>KTR10EZPF1072</t>
  </si>
  <si>
    <t>RES SMD 10.7K OHM 1% 1/8W 0805</t>
  </si>
  <si>
    <t>RHM121KAHCT-ND</t>
  </si>
  <si>
    <t>KTR10EZPF1213</t>
  </si>
  <si>
    <t>RES SMD 121K OHM 1% 1/8W 0805</t>
  </si>
  <si>
    <t>RHM1.37KAHCT-ND</t>
  </si>
  <si>
    <t>KTR10EZPF1371</t>
  </si>
  <si>
    <t>RES SMD 1.37K OHM 1% 1/8W 0805</t>
  </si>
  <si>
    <t>RHM14.3KAHCT-ND</t>
  </si>
  <si>
    <t>KTR10EZPF1432</t>
  </si>
  <si>
    <t>RES SMD 14.3K OHM 1% 1/8W 0805</t>
  </si>
  <si>
    <t>RHM1.54KAHCT-ND</t>
  </si>
  <si>
    <t>KTR10EZPF1541</t>
  </si>
  <si>
    <t>RES SMD 1.54K OHM 1% 1/8W 0805</t>
  </si>
  <si>
    <t>RHM1.58KAHCT-ND</t>
  </si>
  <si>
    <t>KTR10EZPF1581</t>
  </si>
  <si>
    <t>RES SMD 1.58K OHM 1% 1/8W 0805</t>
  </si>
  <si>
    <t>RHM1.6KAHCT-ND</t>
  </si>
  <si>
    <t>KTR10EZPF1601</t>
  </si>
  <si>
    <t>RES SMD 1.6K OHM 1% 1/8W 0805</t>
  </si>
  <si>
    <t>RHM1.69KAHCT-ND</t>
  </si>
  <si>
    <t>KTR10EZPF1691</t>
  </si>
  <si>
    <t>RES SMD 1.69K OHM 1% 1/8W 0805</t>
  </si>
  <si>
    <t>RHM180AHCT-ND</t>
  </si>
  <si>
    <t>KTR10EZPF1800</t>
  </si>
  <si>
    <t>RES SMD 180 OHM 1% 1/8W 0805</t>
  </si>
  <si>
    <t>RHM21.5KAHCT-ND</t>
  </si>
  <si>
    <t>KTR10EZPF2152</t>
  </si>
  <si>
    <t>RES SMD 21.5K OHM 1% 1/8W 0805</t>
  </si>
  <si>
    <t>RHM232KAHCT-ND</t>
  </si>
  <si>
    <t>KTR10EZPF2323</t>
  </si>
  <si>
    <t>RES SMD 232K OHM 1% 1/8W 0805</t>
  </si>
  <si>
    <t>RHM23.7AHCT-ND</t>
  </si>
  <si>
    <t>KTR10EZPF23R7</t>
  </si>
  <si>
    <t>RES SMD 23.7 OHM 1% 1/8W 0805</t>
  </si>
  <si>
    <t>RHM24.3KAHCT-ND</t>
  </si>
  <si>
    <t>KTR10EZPF2432</t>
  </si>
  <si>
    <t>RES SMD 24.3K OHM 1% 1/8W 0805</t>
  </si>
  <si>
    <t>RHM26.7KAHCT-ND</t>
  </si>
  <si>
    <t>KTR10EZPF2672</t>
  </si>
  <si>
    <t>RES SMD 26.7K OHM 1% 1/8W 0805</t>
  </si>
  <si>
    <t>RHM2.8KAHCT-ND</t>
  </si>
  <si>
    <t>KTR10EZPF2801</t>
  </si>
  <si>
    <t>RES SMD 2.8K OHM 1% 1/8W 0805</t>
  </si>
  <si>
    <t>RHM28KAHCT-ND</t>
  </si>
  <si>
    <t>KTR10EZPF2802</t>
  </si>
  <si>
    <t>RES SMD 28K OHM 1% 1/8W 0805</t>
  </si>
  <si>
    <t>RHM309KAHCT-ND</t>
  </si>
  <si>
    <t>KTR10EZPF3093</t>
  </si>
  <si>
    <t>RES SMD 309K OHM 1% 1/8W 0805</t>
  </si>
  <si>
    <t>RHM32.4KAHCT-ND</t>
  </si>
  <si>
    <t>KTR10EZPF3242</t>
  </si>
  <si>
    <t>RES SMD 32.4K OHM 1% 1/8W 0805</t>
  </si>
  <si>
    <t>RHM33.2AHCT-ND</t>
  </si>
  <si>
    <t>KTR10EZPF33R2</t>
  </si>
  <si>
    <t>RES SMD 33.2 OHM 1% 1/8W 0805</t>
  </si>
  <si>
    <t>RHM40.2AHCT-ND</t>
  </si>
  <si>
    <t>KTR10EZPF40R2</t>
  </si>
  <si>
    <t>RES SMD 40.2 OHM 1% 1/8W 0805</t>
  </si>
  <si>
    <t>RHM442KAHCT-ND</t>
  </si>
  <si>
    <t>KTR10EZPF4423</t>
  </si>
  <si>
    <t>RES SMD 442K OHM 1% 1/8W 0805</t>
  </si>
  <si>
    <t>RHM46.4KAHCT-ND</t>
  </si>
  <si>
    <t>KTR10EZPF4642</t>
  </si>
  <si>
    <t>RES SMD 46.4K OHM 1% 1/8W 0805</t>
  </si>
  <si>
    <t>RHM475KAHCT-ND</t>
  </si>
  <si>
    <t>KTR10EZPF4753</t>
  </si>
  <si>
    <t>RES SMD 475K OHM 1% 1/8W 0805</t>
  </si>
  <si>
    <t>RHM5.11KAHCT-ND</t>
  </si>
  <si>
    <t>KTR10EZPF5111</t>
  </si>
  <si>
    <t>RHM511KAHCT-ND</t>
  </si>
  <si>
    <t>KTR10EZPF5113</t>
  </si>
  <si>
    <t>RES SMD 511K OHM 1% 1/8W 0805</t>
  </si>
  <si>
    <t>RHM536AHCT-ND</t>
  </si>
  <si>
    <t>KTR10EZPF5360</t>
  </si>
  <si>
    <t>RES SMD 536 OHM 1% 1/8W 0805</t>
  </si>
  <si>
    <t>RHM54.9KAHCT-ND</t>
  </si>
  <si>
    <t>KTR10EZPF5492</t>
  </si>
  <si>
    <t>RES SMD 54.9K OHM 1% 1/8W 0805</t>
  </si>
  <si>
    <t>RHM5.76KAHCT-ND</t>
  </si>
  <si>
    <t>KTR10EZPF5761</t>
  </si>
  <si>
    <t>RES SMD 5.76K OHM 1% 1/8W 0805</t>
  </si>
  <si>
    <t>RHM59KAHCT-ND</t>
  </si>
  <si>
    <t>KTR10EZPF5902</t>
  </si>
  <si>
    <t>RES SMD 59K OHM 1% 1/8W 0805</t>
  </si>
  <si>
    <t>RHM590KAHCT-ND</t>
  </si>
  <si>
    <t>KTR10EZPF5903</t>
  </si>
  <si>
    <t>RES SMD 590K OHM 1% 1/8W 0805</t>
  </si>
  <si>
    <t>RHM6.81KAHCT-ND</t>
  </si>
  <si>
    <t>KTR10EZPF6811</t>
  </si>
  <si>
    <t>RES SMD 6.81K OHM 1% 1/8W 0805</t>
  </si>
  <si>
    <t>RHM715KAHCT-ND</t>
  </si>
  <si>
    <t>KTR10EZPF7153</t>
  </si>
  <si>
    <t>RES SMD 715K OHM 1% 1/8W 0805</t>
  </si>
  <si>
    <t>RHM732KAHCT-ND</t>
  </si>
  <si>
    <t>KTR10EZPF7323</t>
  </si>
  <si>
    <t>RES SMD 732K OHM 1% 1/8W 0805</t>
  </si>
  <si>
    <t>RHM75AHCT-ND</t>
  </si>
  <si>
    <t>KTR10EZPF75R0</t>
  </si>
  <si>
    <t>RES SMD 75 OHM 1% 1/8W 0805</t>
  </si>
  <si>
    <t>RHM7.87KAHCT-ND</t>
  </si>
  <si>
    <t>KTR10EZPF7871</t>
  </si>
  <si>
    <t>RES SMD 7.87K OHM 1% 1/8W 0805</t>
  </si>
  <si>
    <t>RHM80.6KAHCT-ND</t>
  </si>
  <si>
    <t>KTR10EZPF8062</t>
  </si>
  <si>
    <t>RES SMD 80.6K OHM 1% 1/8W 0805</t>
  </si>
  <si>
    <t>RHM806KAHCT-ND</t>
  </si>
  <si>
    <t>KTR10EZPF8063</t>
  </si>
  <si>
    <t>RES SMD 806K OHM 1% 1/8W 0805</t>
  </si>
  <si>
    <t>RHM84.5KAHCT-ND</t>
  </si>
  <si>
    <t>KTR10EZPF8452</t>
  </si>
  <si>
    <t>RES SMD 84.5K OHM 1% 1/8W 0805</t>
  </si>
  <si>
    <t>RHM1.0KBCT-ND</t>
  </si>
  <si>
    <t>KTR10EZPJ102</t>
  </si>
  <si>
    <t>RES SMD 1K OHM 5% 1/8W 0805</t>
  </si>
  <si>
    <t>RHM22KBCT-ND</t>
  </si>
  <si>
    <t>KTR10EZPJ223</t>
  </si>
  <si>
    <t>RES SMD 22K OHM 5% 1/8W 0805</t>
  </si>
  <si>
    <t>RHM330KBCT-ND</t>
  </si>
  <si>
    <t>KTR10EZPJ334</t>
  </si>
  <si>
    <t>RES SMD 330K OHM 5% 1/8W 0805</t>
  </si>
  <si>
    <t>RHM42.2KAHCT-ND</t>
  </si>
  <si>
    <t>KTR10EZPF4222</t>
  </si>
  <si>
    <t>RHM348KAHCT-ND</t>
  </si>
  <si>
    <t>KTR10EZPF3483</t>
  </si>
  <si>
    <t>RES SMD 348K OHM 1% 1/8W 0805</t>
  </si>
  <si>
    <t>RHM261AHCT-ND</t>
  </si>
  <si>
    <t>KTR10EZPF2610</t>
  </si>
  <si>
    <t>RES SMD 261 OHM 1% 1/8W 0805</t>
  </si>
  <si>
    <t>RHM35.7AHCT-ND</t>
  </si>
  <si>
    <t>KTR10EZPF35R7</t>
  </si>
  <si>
    <t>RES SMD 35.7 OHM 1% 1/8W 0805</t>
  </si>
  <si>
    <t>RHM287AHCT-ND</t>
  </si>
  <si>
    <t>KTR10EZPF2870</t>
  </si>
  <si>
    <t>RES SMD 287 OHM 1% 1/8W 0805</t>
  </si>
  <si>
    <t>RHM1.69MAHCT-ND</t>
  </si>
  <si>
    <t>KTR10EZPF1694</t>
  </si>
  <si>
    <t>RES SMD 1.69M OHM 1% 1/8W 0805</t>
  </si>
  <si>
    <t>RHM44.2KAHCT-ND</t>
  </si>
  <si>
    <t>KTR10EZPF4422</t>
  </si>
  <si>
    <t>RES SMD 44.2K OHM 1% 1/8W 0805</t>
  </si>
  <si>
    <t>RHM17.4KAHCT-ND</t>
  </si>
  <si>
    <t>KTR10EZPF1742</t>
  </si>
  <si>
    <t>RES SMD 17.4K OHM 1% 1/8W 0805</t>
  </si>
  <si>
    <t>RHM432AHCT-ND</t>
  </si>
  <si>
    <t>KTR10EZPF4320</t>
  </si>
  <si>
    <t>RES SMD 432 OHM 1% 1/8W 0805</t>
  </si>
  <si>
    <t>RHM845KAHCT-ND</t>
  </si>
  <si>
    <t>KTR10EZPF8453</t>
  </si>
  <si>
    <t>RES SMD 845K OHM 1% 1/8W 0805</t>
  </si>
  <si>
    <t>RHM825KAHCT-ND</t>
  </si>
  <si>
    <t>KTR10EZPF8253</t>
  </si>
  <si>
    <t>RES SMD 825K OHM 1% 1/8W 0805</t>
  </si>
  <si>
    <t>RHM1.27KAHCT-ND</t>
  </si>
  <si>
    <t>KTR10EZPF1271</t>
  </si>
  <si>
    <t>RES SMD 1.27K OHM 1% 1/8W 0805</t>
  </si>
  <si>
    <t>RHM1.33MAHCT-ND</t>
  </si>
  <si>
    <t>KTR10EZPF1334</t>
  </si>
  <si>
    <t>RES SMD 1.33M OHM 1% 1/8W 0805</t>
  </si>
  <si>
    <t>RHM316AHCT-ND</t>
  </si>
  <si>
    <t>KTR10EZPF3160</t>
  </si>
  <si>
    <t>RES SMD 316 OHM 1% 1/8W 0805</t>
  </si>
  <si>
    <t>RHM60.4KAHCT-ND</t>
  </si>
  <si>
    <t>KTR10EZPF6042</t>
  </si>
  <si>
    <t>RES SMD 60.4K OHM 1% 1/8W 0805</t>
  </si>
  <si>
    <t>RHM1.54MAHCT-ND</t>
  </si>
  <si>
    <t>KTR10EZPF1544</t>
  </si>
  <si>
    <t>RES SMD 1.54M OHM 1% 1/8W 0805</t>
  </si>
  <si>
    <t>RHM205AHCT-ND</t>
  </si>
  <si>
    <t>KTR10EZPF2050</t>
  </si>
  <si>
    <t>RES SMD 205 OHM 1% 1/8W 0805</t>
  </si>
  <si>
    <t>RHM22.6KAHCT-ND</t>
  </si>
  <si>
    <t>KTR10EZPF2262</t>
  </si>
  <si>
    <t>RES SMD 22.6K OHM 1% 1/8W 0805</t>
  </si>
  <si>
    <t>RHM1.58MAHCT-ND</t>
  </si>
  <si>
    <t>KTR10EZPF1584</t>
  </si>
  <si>
    <t>RES SMD 1.58M OHM 1% 1/8W 0805</t>
  </si>
  <si>
    <t>RHM887KAHCT-ND</t>
  </si>
  <si>
    <t>KTR10EZPF8873</t>
  </si>
  <si>
    <t>RES SMD 887K OHM 1% 1/8W 0805</t>
  </si>
  <si>
    <t>RHM806AHCT-ND</t>
  </si>
  <si>
    <t>KTR10EZPF8060</t>
  </si>
  <si>
    <t>RES SMD 806 OHM 1% 1/8W 0805</t>
  </si>
  <si>
    <t>RHM2.55KAHCT-ND</t>
  </si>
  <si>
    <t>KTR10EZPF2551</t>
  </si>
  <si>
    <t>RES SMD 2.55K OHM 1% 1/8W 0805</t>
  </si>
  <si>
    <t>RHM71.5AHCT-ND</t>
  </si>
  <si>
    <t>KTR10EZPF71R5</t>
  </si>
  <si>
    <t>RES SMD 71.5 OHM 1% 1/8W 0805</t>
  </si>
  <si>
    <t>RHM1.4KAHCT-ND</t>
  </si>
  <si>
    <t>KTR10EZPF1401</t>
  </si>
  <si>
    <t>RES SMD 1.4K OHM 1% 1/8W 0805</t>
  </si>
  <si>
    <t>RHM121AHCT-ND</t>
  </si>
  <si>
    <t>KTR10EZPF1210</t>
  </si>
  <si>
    <t>RES SMD 121 OHM 1% 1/8W 0805</t>
  </si>
  <si>
    <t>RHM51.1AHCT-ND</t>
  </si>
  <si>
    <t>KTR10EZPF51R1</t>
  </si>
  <si>
    <t>RES SMD 51.1 OHM 1% 1/8W 0805</t>
  </si>
  <si>
    <t>RHM1.4MAHCT-ND</t>
  </si>
  <si>
    <t>KTR10EZPF1404</t>
  </si>
  <si>
    <t>RES SMD 1.4M OHM 1% 1/8W 0805</t>
  </si>
  <si>
    <t>RHM82.5KAHCT-ND</t>
  </si>
  <si>
    <t>KTR10EZPF8252</t>
  </si>
  <si>
    <t>RES SMD 82.5K OHM 1% 1/8W 0805</t>
  </si>
  <si>
    <t>RHM28AHCT-ND</t>
  </si>
  <si>
    <t>KTR10EZPF28R0</t>
  </si>
  <si>
    <t>RES SMD 28 OHM 1% 1/8W 0805</t>
  </si>
  <si>
    <t>RHM3.92KAHCT-ND</t>
  </si>
  <si>
    <t>KTR10EZPF3921</t>
  </si>
  <si>
    <t>RES SMD 3.92K OHM 1% 1/8W 0805</t>
  </si>
  <si>
    <t>RHM17.8AHCT-ND</t>
  </si>
  <si>
    <t>KTR10EZPF17R8</t>
  </si>
  <si>
    <t>RES SMD 17.8 OHM 1% 1/8W 0805</t>
  </si>
  <si>
    <t>RHM80.6AHCT-ND</t>
  </si>
  <si>
    <t>KTR10EZPF80R6</t>
  </si>
  <si>
    <t>RES SMD 80.6 OHM 1% 1/8W 0805</t>
  </si>
  <si>
    <t>RHM15.8KAHCT-ND</t>
  </si>
  <si>
    <t>KTR10EZPF1582</t>
  </si>
  <si>
    <t>RES SMD 15.8K OHM 1% 1/8W 0805</t>
  </si>
  <si>
    <t>RHM324AHCT-ND</t>
  </si>
  <si>
    <t>KTR10EZPF3240</t>
  </si>
  <si>
    <t>RES SMD 324 OHM 1% 1/8W 0805</t>
  </si>
  <si>
    <t>RHM115KAHCT-ND</t>
  </si>
  <si>
    <t>KTR10EZPF1153</t>
  </si>
  <si>
    <t>RES SMD 115K OHM 1% 1/8W 0805</t>
  </si>
  <si>
    <t>RHM1.65KAHCT-ND</t>
  </si>
  <si>
    <t>KTR10EZPF1651</t>
  </si>
  <si>
    <t>RES SMD 1.65K OHM 1% 1/8W 0805</t>
  </si>
  <si>
    <t>RHM64.9AHCT-ND</t>
  </si>
  <si>
    <t>KTR10EZPF64R9</t>
  </si>
  <si>
    <t>RES SMD 64.9 OHM 1% 1/8W 0805</t>
  </si>
  <si>
    <t>RHM93.1KAHCT-ND</t>
  </si>
  <si>
    <t>KTR10EZPF9312</t>
  </si>
  <si>
    <t>RES SMD 93.1K OHM 1% 1/8W 0805</t>
  </si>
  <si>
    <t>RHM8.87KAHCT-ND</t>
  </si>
  <si>
    <t>KTR10EZPF8871</t>
  </si>
  <si>
    <t>RES SMD 8.87K OHM 1% 1/8W 0805</t>
  </si>
  <si>
    <t>RHM9.76KAHCT-ND</t>
  </si>
  <si>
    <t>KTR10EZPF9761</t>
  </si>
  <si>
    <t>RES SMD 9.76K OHM 1% 1/8W 0805</t>
  </si>
  <si>
    <t>RHM34.8KAHCT-ND</t>
  </si>
  <si>
    <t>KTR10EZPF3482</t>
  </si>
  <si>
    <t>RES SMD 34.8K OHM 1% 1/8W 0805</t>
  </si>
  <si>
    <t>RHM11.5KAHCT-ND</t>
  </si>
  <si>
    <t>KTR10EZPF1152</t>
  </si>
  <si>
    <t>RES SMD 11.5K OHM 1% 1/8W 0805</t>
  </si>
  <si>
    <t>RHM205KAHCT-ND</t>
  </si>
  <si>
    <t>KTR10EZPF2053</t>
  </si>
  <si>
    <t>RES SMD 205K OHM 1% 1/8W 0805</t>
  </si>
  <si>
    <t>RHM576KAHCT-ND</t>
  </si>
  <si>
    <t>KTR10EZPF5763</t>
  </si>
  <si>
    <t>RES SMD 576K OHM 1% 1/8W 0805</t>
  </si>
  <si>
    <t>RHM1.33KAHCT-ND</t>
  </si>
  <si>
    <t>KTR10EZPF1331</t>
  </si>
  <si>
    <t>RES SMD 1.33K OHM 1% 1/8W 0805</t>
  </si>
  <si>
    <t>RHM1.47KAHCT-ND</t>
  </si>
  <si>
    <t>KTR10EZPF1471</t>
  </si>
  <si>
    <t>RES SMD 1.47K OHM 1% 1/8W 0805</t>
  </si>
  <si>
    <t>RHM39.2KAHCT-ND</t>
  </si>
  <si>
    <t>KTR10EZPF3922</t>
  </si>
  <si>
    <t>RES SMD 39.2K OHM 1% 1/8W 0805</t>
  </si>
  <si>
    <t>RHM604KAHCT-ND</t>
  </si>
  <si>
    <t>KTR10EZPF6043</t>
  </si>
  <si>
    <t>RES SMD 604K OHM 1% 1/8W 0805</t>
  </si>
  <si>
    <t>RHM1.07KAHCT-ND</t>
  </si>
  <si>
    <t>KTR10EZPF1071</t>
  </si>
  <si>
    <t>RES SMD 1.07K OHM 1% 1/8W 0805</t>
  </si>
  <si>
    <t>RHM6.49KAHCT-ND</t>
  </si>
  <si>
    <t>KTR10EZPF6491</t>
  </si>
  <si>
    <t>RES SMD 6.49K OHM 1% 1/8W 0805</t>
  </si>
  <si>
    <t>RHM187AHCT-ND</t>
  </si>
  <si>
    <t>KTR10EZPF1870</t>
  </si>
  <si>
    <t>RES SMD 187 OHM 1% 1/8W 0805</t>
  </si>
  <si>
    <t>RHM27.4KAHCT-ND</t>
  </si>
  <si>
    <t>KTR10EZPF2742</t>
  </si>
  <si>
    <t>RES SMD 27.4K OHM 1% 1/8W 0805</t>
  </si>
  <si>
    <t>RHM976AHCT-ND</t>
  </si>
  <si>
    <t>KTR10EZPF9760</t>
  </si>
  <si>
    <t>RES SMD 976 OHM 1% 1/8W 0805</t>
  </si>
  <si>
    <t>RHM53.6KAHCT-ND</t>
  </si>
  <si>
    <t>KTR10EZPF5362</t>
  </si>
  <si>
    <t>RES SMD 53.6K OHM 1% 1/8W 0805</t>
  </si>
  <si>
    <t>RHM12AHCT-ND</t>
  </si>
  <si>
    <t>KTR10EZPF12R0</t>
  </si>
  <si>
    <t>RES SMD 12 OHM 1% 1/8W 0805</t>
  </si>
  <si>
    <t>RHM910AHCT-ND</t>
  </si>
  <si>
    <t>KTR10EZPF9100</t>
  </si>
  <si>
    <t>RES SMD 910 OHM 1% 1/8W 0805</t>
  </si>
  <si>
    <t>RHM6.65KAHCT-ND</t>
  </si>
  <si>
    <t>KTR10EZPF6651</t>
  </si>
  <si>
    <t>RES SMD 6.65K OHM 1% 1/8W 0805</t>
  </si>
  <si>
    <t>RHM665AHCT-ND</t>
  </si>
  <si>
    <t>KTR10EZPF6650</t>
  </si>
  <si>
    <t>RES SMD 665 OHM 1% 1/8W 0805</t>
  </si>
  <si>
    <t>RHM255AHCT-ND</t>
  </si>
  <si>
    <t>KTR10EZPF2550</t>
  </si>
  <si>
    <t>RES SMD 255 OHM 1% 1/8W 0805</t>
  </si>
  <si>
    <t>RHM13.3AHCT-ND</t>
  </si>
  <si>
    <t>KTR10EZPF13R3</t>
  </si>
  <si>
    <t>RES SMD 13.3 OHM 1% 1/8W 0805</t>
  </si>
  <si>
    <t>RHM340AHCT-ND</t>
  </si>
  <si>
    <t>KTR10EZPF3400</t>
  </si>
  <si>
    <t>RES SMD 340 OHM 1% 1/8W 0805</t>
  </si>
  <si>
    <t>RHM4.32KAHCT-ND</t>
  </si>
  <si>
    <t>KTR10EZPF4321</t>
  </si>
  <si>
    <t>RES SMD 4.32K OHM 1% 1/8W 0805</t>
  </si>
  <si>
    <t>RHM26.1KAHCT-ND</t>
  </si>
  <si>
    <t>KTR10EZPF2612</t>
  </si>
  <si>
    <t>RES SMD 26.1K OHM 1% 1/8W 0805</t>
  </si>
  <si>
    <t>RHM19.1KAHCT-ND</t>
  </si>
  <si>
    <t>KTR10EZPF1912</t>
  </si>
  <si>
    <t>RES SMD 19.1K OHM 1% 1/8W 0805</t>
  </si>
  <si>
    <t>RHM274AHCT-ND</t>
  </si>
  <si>
    <t>KTR10EZPF2740</t>
  </si>
  <si>
    <t>RES SMD 274 OHM 1% 1/8W 0805</t>
  </si>
  <si>
    <t>RHM866AHCT-ND</t>
  </si>
  <si>
    <t>KTR10EZPF8660</t>
  </si>
  <si>
    <t>RES SMD 866 OHM 1% 1/8W 0805</t>
  </si>
  <si>
    <t>RHM360AHCT-ND</t>
  </si>
  <si>
    <t>KTR10EZPF3600</t>
  </si>
  <si>
    <t>RES SMD 360 OHM 1% 1/8W 0805</t>
  </si>
  <si>
    <t>RHM127KAHCT-ND</t>
  </si>
  <si>
    <t>KTR10EZPF1273</t>
  </si>
  <si>
    <t>RES SMD 127K OHM 1% 1/8W 0805</t>
  </si>
  <si>
    <t>RHM5.23KAHCT-ND</t>
  </si>
  <si>
    <t>KTR10EZPF5231</t>
  </si>
  <si>
    <t>RES SMD 5.23K OHM 1% 1/8W 0805</t>
  </si>
  <si>
    <t>RHM28.7AHCT-ND</t>
  </si>
  <si>
    <t>KTR10EZPF28R7</t>
  </si>
  <si>
    <t>RES SMD 28.7 OHM 1% 1/8W 0805</t>
  </si>
  <si>
    <t>RHM8.25KAHCT-ND</t>
  </si>
  <si>
    <t>KTR10EZPF8251</t>
  </si>
  <si>
    <t>RHM169AHCT-ND</t>
  </si>
  <si>
    <t>KTR10EZPF1690</t>
  </si>
  <si>
    <t>RES SMD 169 OHM 1% 1/8W 0805</t>
  </si>
  <si>
    <t>RHM3.74KAHCT-ND</t>
  </si>
  <si>
    <t>KTR10EZPF3741</t>
  </si>
  <si>
    <t>RES SMD 3.74K OHM 1% 1/8W 0805</t>
  </si>
  <si>
    <t>RHM215AHCT-ND</t>
  </si>
  <si>
    <t>KTR10EZPF2150</t>
  </si>
  <si>
    <t>RES SMD 215 OHM 1% 1/8W 0805</t>
  </si>
  <si>
    <t>RHM90.9AHCT-ND</t>
  </si>
  <si>
    <t>KTR10EZPF90R9</t>
  </si>
  <si>
    <t>RES SMD 90.9 OHM 1% 1/8W 0805</t>
  </si>
  <si>
    <t>RHM3.65KAHCT-ND</t>
  </si>
  <si>
    <t>KTR10EZPF3651</t>
  </si>
  <si>
    <t>RES SMD 3.65K OHM 1% 1/8W 0805</t>
  </si>
  <si>
    <t>RHM1.00KAHCT-ND</t>
  </si>
  <si>
    <t>KTR10EZPF1001</t>
  </si>
  <si>
    <t>RHM28.7KAHCT-ND</t>
  </si>
  <si>
    <t>KTR10EZPF2872</t>
  </si>
  <si>
    <t>RES SMD 28.7K OHM 1% 1/8W 0805</t>
  </si>
  <si>
    <t>RHM10.2KAHCT-ND</t>
  </si>
  <si>
    <t>KTR10EZPF1022</t>
  </si>
  <si>
    <t>RES SMD 10.2K OHM 1% 1/8W 0805</t>
  </si>
  <si>
    <t>RHM221AHCT-ND</t>
  </si>
  <si>
    <t>KTR10EZPF2210</t>
  </si>
  <si>
    <t>RES SMD 221 OHM 1% 1/8W 0805</t>
  </si>
  <si>
    <t>RHM1.74KAHCT-ND</t>
  </si>
  <si>
    <t>KTR10EZPF1741</t>
  </si>
  <si>
    <t>RES SMD 1.74K OHM 1% 1/8W 0805</t>
  </si>
  <si>
    <t>RHM3.4KAHCT-ND</t>
  </si>
  <si>
    <t>KTR10EZPF3401</t>
  </si>
  <si>
    <t>RES SMD 3.4K OHM 1% 1/8W 0805</t>
  </si>
  <si>
    <t>RHM174KAHCT-ND</t>
  </si>
  <si>
    <t>KTR10EZPF1743</t>
  </si>
  <si>
    <t>RES SMD 174K OHM 1% 1/8W 0805</t>
  </si>
  <si>
    <t>RHM18.2KAHCT-ND</t>
  </si>
  <si>
    <t>KTR10EZPF1822</t>
  </si>
  <si>
    <t>RES SMD 18.2K OHM 1% 1/8W 0805</t>
  </si>
  <si>
    <t>RHM787KAHCT-ND</t>
  </si>
  <si>
    <t>KTR10EZPF7873</t>
  </si>
  <si>
    <t>RES SMD 787K OHM 1% 1/8W 0805</t>
  </si>
  <si>
    <t>RHM1.10MAHCT-ND</t>
  </si>
  <si>
    <t>KTR10EZPF1104</t>
  </si>
  <si>
    <t>RES SMD 1.1M OHM 1% 1/8W 0805</t>
  </si>
  <si>
    <t>RHM1.1KAHCT-ND</t>
  </si>
  <si>
    <t>KTR10EZPF1101</t>
  </si>
  <si>
    <t>RES SMD 1.1K OHM 1% 1/8W 0805</t>
  </si>
  <si>
    <t>RHM453KAHCT-ND</t>
  </si>
  <si>
    <t>KTR10EZPF4533</t>
  </si>
  <si>
    <t>RES SMD 453K OHM 1% 1/8W 0805</t>
  </si>
  <si>
    <t>RHM2.26KAHCT-ND</t>
  </si>
  <si>
    <t>KTR10EZPF2261</t>
  </si>
  <si>
    <t>RES SMD 2.26K OHM 1% 1/8W 0805</t>
  </si>
  <si>
    <t>RHM681AHCT-ND</t>
  </si>
  <si>
    <t>KTR10EZPF6810</t>
  </si>
  <si>
    <t>RES SMD 681 OHM 1% 1/8W 0805</t>
  </si>
  <si>
    <t>RHM95.3KAHCT-ND</t>
  </si>
  <si>
    <t>KTR10EZPF9532</t>
  </si>
  <si>
    <t>RES SMD 95.3K OHM 1% 1/8W 0805</t>
  </si>
  <si>
    <t>RHM63.4KAHCT-ND</t>
  </si>
  <si>
    <t>KTR10EZPF6342</t>
  </si>
  <si>
    <t>RES SMD 63.4K OHM 1% 1/8W 0805</t>
  </si>
  <si>
    <t>RHM732AHCT-ND</t>
  </si>
  <si>
    <t>KTR10EZPF7320</t>
  </si>
  <si>
    <t>RES SMD 732 OHM 1% 1/8W 0805</t>
  </si>
  <si>
    <t>RHM9.10MAHCT-ND</t>
  </si>
  <si>
    <t>KTR10EZPF9104</t>
  </si>
  <si>
    <t>RES SMD 9.1M OHM 1% 1/8W 0805</t>
  </si>
  <si>
    <t>RHM18.7KAHCT-ND</t>
  </si>
  <si>
    <t>KTR10EZPF1872</t>
  </si>
  <si>
    <t>RES SMD 18.7K OHM 1% 1/8W 0805</t>
  </si>
  <si>
    <t>RHM909AHCT-ND</t>
  </si>
  <si>
    <t>KTR10EZPF9090</t>
  </si>
  <si>
    <t>RES SMD 909 OHM 1% 1/8W 0805</t>
  </si>
  <si>
    <t>RHM7.15KAHCT-ND</t>
  </si>
  <si>
    <t>KTR10EZPF7151</t>
  </si>
  <si>
    <t>RES SMD 7.15K OHM 1% 1/8W 0805</t>
  </si>
  <si>
    <t>RHM18KAHCT-ND</t>
  </si>
  <si>
    <t>KTR10EZPF1802</t>
  </si>
  <si>
    <t>RES SMD 18K OHM 1% 1/8W 0805</t>
  </si>
  <si>
    <t>RHM62KAHCT-ND</t>
  </si>
  <si>
    <t>KTR10EZPF6202</t>
  </si>
  <si>
    <t>RES SMD 62K OHM 1% 1/8W 0805</t>
  </si>
  <si>
    <t>RHM9.31KAHCT-ND</t>
  </si>
  <si>
    <t>KTR10EZPF9311</t>
  </si>
  <si>
    <t>RES SMD 9.31K OHM 1% 1/8W 0805</t>
  </si>
  <si>
    <t>RHM392AHCT-ND</t>
  </si>
  <si>
    <t>KTR10EZPF3920</t>
  </si>
  <si>
    <t>RES SMD 392 OHM 1% 1/8W 0805</t>
  </si>
  <si>
    <t>RHM221KAHCT-ND</t>
  </si>
  <si>
    <t>KTR10EZPF2213</t>
  </si>
  <si>
    <t>RES SMD 221K OHM 1% 1/8W 0805</t>
  </si>
  <si>
    <t>RHM392KAHCT-ND</t>
  </si>
  <si>
    <t>KTR10EZPF3923</t>
  </si>
  <si>
    <t>RES SMD 392K OHM 1% 1/8W 0805</t>
  </si>
  <si>
    <t>RHM47.5KAHCT-ND</t>
  </si>
  <si>
    <t>KTR10EZPF4752</t>
  </si>
  <si>
    <t>RES SMD 47.5K OHM 1% 1/8W 0805</t>
  </si>
  <si>
    <t>RHM110KAHCT-ND</t>
  </si>
  <si>
    <t>KTR10EZPF1103</t>
  </si>
  <si>
    <t>RES SMD 110K OHM 1% 1/8W 0805</t>
  </si>
  <si>
    <t>RHM390AHCT-ND</t>
  </si>
  <si>
    <t>KTR10EZPF3900</t>
  </si>
  <si>
    <t>RES SMD 390 OHM 1% 1/8W 0805</t>
  </si>
  <si>
    <t>RHM2KAHCT-ND</t>
  </si>
  <si>
    <t>KTR10EZPF2001</t>
  </si>
  <si>
    <t>RHM4.64KAHCT-ND</t>
  </si>
  <si>
    <t>KTR10EZPF4641</t>
  </si>
  <si>
    <t>RES SMD 4.64K OHM 1% 1/8W 0805</t>
  </si>
  <si>
    <t>RHM33.2KAHCT-ND</t>
  </si>
  <si>
    <t>KTR10EZPF3322</t>
  </si>
  <si>
    <t>RES SMD 33.2K OHM 1% 1/8W 0805</t>
  </si>
  <si>
    <t>RHM665KAHCT-ND</t>
  </si>
  <si>
    <t>KTR10EZPF6653</t>
  </si>
  <si>
    <t>RES SMD 665K OHM 1% 1/8W 0805</t>
  </si>
  <si>
    <t>RHM16.5KAHCT-ND</t>
  </si>
  <si>
    <t>KTR10EZPF1652</t>
  </si>
  <si>
    <t>RES SMD 16.5K OHM 1% 1/8W 0805</t>
  </si>
  <si>
    <t>RHM510AHCT-ND</t>
  </si>
  <si>
    <t>KTR10EZPF5100</t>
  </si>
  <si>
    <t>RES SMD 510 OHM 1% 1/8W 0805</t>
  </si>
  <si>
    <t>RHM470KAHCT-ND</t>
  </si>
  <si>
    <t>KTR10EZPF4703</t>
  </si>
  <si>
    <t>RES SMD 470K OHM 1% 1/8W 0805</t>
  </si>
  <si>
    <t>RHM909KAHCT-ND</t>
  </si>
  <si>
    <t>KTR10EZPF9093</t>
  </si>
  <si>
    <t>RES SMD 909K OHM 1% 1/8W 0805</t>
  </si>
  <si>
    <t>RHM1.20MAHCT-ND</t>
  </si>
  <si>
    <t>KTR10EZPF1204</t>
  </si>
  <si>
    <t>RES SMD 1.2M OHM 1% 1/8W 0805</t>
  </si>
  <si>
    <t>RHM24.9KAHCT-ND</t>
  </si>
  <si>
    <t>KTR10EZPF2492</t>
  </si>
  <si>
    <t>RES SMD 24.9K OHM 1% 1/8W 0805</t>
  </si>
  <si>
    <t>RHM1.80MAHCT-ND</t>
  </si>
  <si>
    <t>KTR10EZPF1804</t>
  </si>
  <si>
    <t>RES SMD 1.8M OHM 1% 1/8W 0805</t>
  </si>
  <si>
    <t>RHM523AHCT-ND</t>
  </si>
  <si>
    <t>KTR10EZPF5230</t>
  </si>
  <si>
    <t>RES SMD 523 OHM 1% 1/8W 0805</t>
  </si>
  <si>
    <t>RHM30KAHCT-ND</t>
  </si>
  <si>
    <t>KTR10EZPF3002</t>
  </si>
  <si>
    <t>RES SMD 30K OHM 1% 1/8W 0805</t>
  </si>
  <si>
    <t>RHM1.91KAHCT-ND</t>
  </si>
  <si>
    <t>KTR10EZPF1911</t>
  </si>
  <si>
    <t>RES SMD 1.91K OHM 1% 1/8W 0805</t>
  </si>
  <si>
    <t>RHM23.7KAHCT-ND</t>
  </si>
  <si>
    <t>KTR10EZPF2372</t>
  </si>
  <si>
    <t>RES SMD 23.7K OHM 1% 1/8W 0805</t>
  </si>
  <si>
    <t>RHM165AHCT-ND</t>
  </si>
  <si>
    <t>KTR10EZPF1650</t>
  </si>
  <si>
    <t>RES SMD 165 OHM 1% 1/8W 0805</t>
  </si>
  <si>
    <t>RHM604AHCT-ND</t>
  </si>
  <si>
    <t>KTR10EZPF6040</t>
  </si>
  <si>
    <t>RES SMD 604 OHM 1% 1/8W 0805</t>
  </si>
  <si>
    <t>RHM22AHCT-ND</t>
  </si>
  <si>
    <t>KTR10EZPF22R0</t>
  </si>
  <si>
    <t>RHM51.0AHCT-ND</t>
  </si>
  <si>
    <t>KTR10EZPF51R0</t>
  </si>
  <si>
    <t>RES SMD 51 OHM 1% 1/8W 0805</t>
  </si>
  <si>
    <t>RHM49.9KAHCT-ND</t>
  </si>
  <si>
    <t>KTR10EZPF4992</t>
  </si>
  <si>
    <t>RHM140KAHCT-ND</t>
  </si>
  <si>
    <t>KTR10EZPF1403</t>
  </si>
  <si>
    <t>RES SMD 140K OHM 1% 1/8W 0805</t>
  </si>
  <si>
    <t>RHM49.9AHCT-ND</t>
  </si>
  <si>
    <t>KTR10EZPF49R9</t>
  </si>
  <si>
    <t>RHM4.02KAHCT-ND</t>
  </si>
  <si>
    <t>KTR10EZPF4021</t>
  </si>
  <si>
    <t>RES SMD 4.02K OHM 1% 1/8W 0805</t>
  </si>
  <si>
    <t>RHM3KAHCT-ND</t>
  </si>
  <si>
    <t>KTR10EZPF3001</t>
  </si>
  <si>
    <t>RES SMD 3K OHM 1% 1/8W 0805</t>
  </si>
  <si>
    <t>RHM91AHCT-ND</t>
  </si>
  <si>
    <t>KTR10EZPF91R0</t>
  </si>
  <si>
    <t>RES SMD 91 OHM 1% 1/8W 0805</t>
  </si>
  <si>
    <t>RHM120AHCT-ND</t>
  </si>
  <si>
    <t>KTR10EZPF1200</t>
  </si>
  <si>
    <t>RES SMD 120 OHM 1% 1/8W 0805</t>
  </si>
  <si>
    <t>RHM4.22KAHCT-ND</t>
  </si>
  <si>
    <t>KTR10EZPF4221</t>
  </si>
  <si>
    <t>RES SMD 4.22K OHM 1% 1/8W 0805</t>
  </si>
  <si>
    <t>RHM1.5KAHCT-ND</t>
  </si>
  <si>
    <t>KTR10EZPF1501</t>
  </si>
  <si>
    <t>RHM22.1KAHCT-ND</t>
  </si>
  <si>
    <t>KTR10EZPF2212</t>
  </si>
  <si>
    <t>RES SMD 22.1K OHM 1% 1/8W 0805</t>
  </si>
  <si>
    <t>RHM499KAHCT-ND</t>
  </si>
  <si>
    <t>KTR10EZPF4993</t>
  </si>
  <si>
    <t>RES SMD 499K OHM 1% 1/8W 0805</t>
  </si>
  <si>
    <t>RHM6.8KAHCT-ND</t>
  </si>
  <si>
    <t>KTR10EZPF6801</t>
  </si>
  <si>
    <t>RES SMD 6.8K OHM 1% 1/8W 0805</t>
  </si>
  <si>
    <t>RHM150AHCT-ND</t>
  </si>
  <si>
    <t>KTR10EZPF1500</t>
  </si>
  <si>
    <t>RHM15KAHCT-ND</t>
  </si>
  <si>
    <t>KTR10EZPF1502</t>
  </si>
  <si>
    <t>RHM30.1KAHCT-ND</t>
  </si>
  <si>
    <t>KTR10EZPF3012</t>
  </si>
  <si>
    <t>RES SMD 30.1K OHM 1% 1/8W 0805</t>
  </si>
  <si>
    <t>RHM1MAHCT-ND</t>
  </si>
  <si>
    <t>KTR10EZPF1R00</t>
  </si>
  <si>
    <t>RHM200AHCT-ND</t>
  </si>
  <si>
    <t>KTR10EZPF2000</t>
  </si>
  <si>
    <t>RHM130KAHCT-ND</t>
  </si>
  <si>
    <t>KTR10EZPF1303</t>
  </si>
  <si>
    <t>RES SMD 130K OHM 1% 1/8W 0805</t>
  </si>
  <si>
    <t>RHM4.70KAHCT-ND</t>
  </si>
  <si>
    <t>KTR10EZPF4701</t>
  </si>
  <si>
    <t>RHM4.99KAHCT-ND</t>
  </si>
  <si>
    <t>KTR10EZPF4991</t>
  </si>
  <si>
    <t>RHM39KAHCT-ND</t>
  </si>
  <si>
    <t>KTR10EZPF3902</t>
  </si>
  <si>
    <t>RES SMD 39K OHM 1% 1/8W 0805</t>
  </si>
  <si>
    <t>RHM20.0KAHCT-ND</t>
  </si>
  <si>
    <t>KTR10EZPF2002</t>
  </si>
  <si>
    <t>RHM470AHCT-ND</t>
  </si>
  <si>
    <t>KTR10EZPF4700</t>
  </si>
  <si>
    <t>RHM9.1KAHCT-ND</t>
  </si>
  <si>
    <t>KTR10EZPF9101</t>
  </si>
  <si>
    <t>RES SMD 9.1K OHM 1% 1/8W 0805</t>
  </si>
  <si>
    <t>RHM100AHCT-ND</t>
  </si>
  <si>
    <t>KTR10EZPF1000</t>
  </si>
  <si>
    <t>RHM5.10AHCT-ND</t>
  </si>
  <si>
    <t>KTR10EZPF5R10</t>
  </si>
  <si>
    <t>RES SMD 5.1 OHM 1% 1/8W 0805</t>
  </si>
  <si>
    <t>RHM2.2KAHCT-ND</t>
  </si>
  <si>
    <t>KTR10EZPF2201</t>
  </si>
  <si>
    <t>RHM536KAHCT-ND</t>
  </si>
  <si>
    <t>KTR10EZPF5363</t>
  </si>
  <si>
    <t>RES SMD 536K OHM 1% 1/8W 0805</t>
  </si>
  <si>
    <t>RHM10KBCT-ND</t>
  </si>
  <si>
    <t>KTR10EZPJ103</t>
  </si>
  <si>
    <t>RES SMD 10K OHM 5% 1/8W 0805</t>
  </si>
  <si>
    <t>RHM1.0MBCT-ND</t>
  </si>
  <si>
    <t>KTR10EZPJ105</t>
  </si>
  <si>
    <t>RES SMD 1M OHM 5% 1/8W 0805</t>
  </si>
  <si>
    <t>RHM30MBCT-ND</t>
  </si>
  <si>
    <t>KTR10EZPJ306</t>
  </si>
  <si>
    <t>RES SMD 30M OHM 5% 1/8W 0805</t>
  </si>
  <si>
    <t>RHM2.2MBCT-ND</t>
  </si>
  <si>
    <t>KTR10EZPJ225</t>
  </si>
  <si>
    <t>RES SMD 2.2M OHM 5% 1/8W 0805</t>
  </si>
  <si>
    <t>RHM402KAHCT-ND</t>
  </si>
  <si>
    <t>KTR10EZPF4023</t>
  </si>
  <si>
    <t>RES SMD 402K OHM 1% 1/8W 0805</t>
  </si>
  <si>
    <t>RHM12.4KAHCT-ND</t>
  </si>
  <si>
    <t>KTR10EZPF1242</t>
  </si>
  <si>
    <t>RES SMD 12.4K OHM 1% 1/8W 0805</t>
  </si>
  <si>
    <t>RHM13.7KAHCT-ND</t>
  </si>
  <si>
    <t>KTR10EZPF1372</t>
  </si>
  <si>
    <t>RES SMD 13.7K OHM 1% 1/8W 0805</t>
  </si>
  <si>
    <t>RHM20AHCT-ND</t>
  </si>
  <si>
    <t>KTR10EZPF20R0</t>
  </si>
  <si>
    <t>RHM240AHCT-ND</t>
  </si>
  <si>
    <t>KTR10EZPF2400</t>
  </si>
  <si>
    <t>RES SMD 240 OHM 1% 1/8W 0805</t>
  </si>
  <si>
    <t>RHM24KAHCT-ND</t>
  </si>
  <si>
    <t>KTR10EZPF2402</t>
  </si>
  <si>
    <t>RES SMD 24K OHM 1% 1/8W 0805</t>
  </si>
  <si>
    <t>RHM24.9AHCT-ND</t>
  </si>
  <si>
    <t>KTR10EZPF24R9</t>
  </si>
  <si>
    <t>RES SMD 24.9 OHM 1% 1/8W 0805</t>
  </si>
  <si>
    <t>RHM31.6KAHCT-ND</t>
  </si>
  <si>
    <t>KTR10EZPF3162</t>
  </si>
  <si>
    <t>RES SMD 31.6K OHM 1% 1/8W 0805</t>
  </si>
  <si>
    <t>RHM442AHCT-ND</t>
  </si>
  <si>
    <t>KTR10EZPF4420</t>
  </si>
  <si>
    <t>RES SMD 442 OHM 1% 1/8W 0805</t>
  </si>
  <si>
    <t>RHM590AHCT-ND</t>
  </si>
  <si>
    <t>KTR10EZPF5900</t>
  </si>
  <si>
    <t>RES SMD 590 OHM 1% 1/8W 0805</t>
  </si>
  <si>
    <t>RHM60.4AHCT-ND</t>
  </si>
  <si>
    <t>KTR10EZPF60R4</t>
  </si>
  <si>
    <t>RES SMD 60.4 OHM 1% 1/8W 0805</t>
  </si>
  <si>
    <t>RHM86.6KAHCT-ND</t>
  </si>
  <si>
    <t>KTR10EZPF8662</t>
  </si>
  <si>
    <t>RES SMD 86.6K OHM 1% 1/8W 0805</t>
  </si>
  <si>
    <t>RHM90.9KAHCT-ND</t>
  </si>
  <si>
    <t>KTR10EZPF9092</t>
  </si>
  <si>
    <t>RES SMD 90.9K OHM 1% 1/8W 0805</t>
  </si>
  <si>
    <t>RHM2.0MBCT-ND</t>
  </si>
  <si>
    <t>KTR10EZPJ205</t>
  </si>
  <si>
    <t>RES SMD 2M OHM 5% 1/8W 0805</t>
  </si>
  <si>
    <t>RHM102KAHCT-ND</t>
  </si>
  <si>
    <t>KTR10EZPF1023</t>
  </si>
  <si>
    <t>RES SMD 102K OHM 1% 1/8W 0805</t>
  </si>
  <si>
    <t>RHM118KAHCT-ND</t>
  </si>
  <si>
    <t>KTR10EZPF1183</t>
  </si>
  <si>
    <t>RES SMD 118K OHM 1% 1/8W 0805</t>
  </si>
  <si>
    <t>RHM11AHCT-ND</t>
  </si>
  <si>
    <t>KTR10EZPF11R0</t>
  </si>
  <si>
    <t>RES SMD 11 OHM 1% 1/8W 0805</t>
  </si>
  <si>
    <t>RHM13.3KAHCT-ND</t>
  </si>
  <si>
    <t>KTR10EZPF1332</t>
  </si>
  <si>
    <t>RES SMD 13.3K OHM 1% 1/8W 0805</t>
  </si>
  <si>
    <t>RHM133KAHCT-ND</t>
  </si>
  <si>
    <t>KTR10EZPF1333</t>
  </si>
  <si>
    <t>RES SMD 133K OHM 1% 1/8W 0805</t>
  </si>
  <si>
    <t>RHM137KAHCT-ND</t>
  </si>
  <si>
    <t>KTR10EZPF1373</t>
  </si>
  <si>
    <t>RES SMD 137K OHM 1% 1/8W 0805</t>
  </si>
  <si>
    <t>RHM140AHCT-ND</t>
  </si>
  <si>
    <t>KTR10EZPF1400</t>
  </si>
  <si>
    <t>RES SMD 140 OHM 1% 1/8W 0805</t>
  </si>
  <si>
    <t>RHM14.7KAHCT-ND</t>
  </si>
  <si>
    <t>KTR10EZPF1472</t>
  </si>
  <si>
    <t>RES SMD 14.7K OHM 1% 1/8W 0805</t>
  </si>
  <si>
    <t>RHM15.4KAHCT-ND</t>
  </si>
  <si>
    <t>KTR10EZPF1542</t>
  </si>
  <si>
    <t>RES SMD 15.4K OHM 1% 1/8W 0805</t>
  </si>
  <si>
    <t>RHM154KAHCT-ND</t>
  </si>
  <si>
    <t>KTR10EZPF1543</t>
  </si>
  <si>
    <t>RES SMD 154K OHM 1% 1/8W 0805</t>
  </si>
  <si>
    <t>RHM1.62KAHCT-ND</t>
  </si>
  <si>
    <t>KTR10EZPF1621</t>
  </si>
  <si>
    <t>RES SMD 1.62K OHM 1% 1/8W 0805</t>
  </si>
  <si>
    <t>RHM187KAHCT-ND</t>
  </si>
  <si>
    <t>KTR10EZPF1873</t>
  </si>
  <si>
    <t>RES SMD 187K OHM 1% 1/8W 0805</t>
  </si>
  <si>
    <t>RHM20.5KAHCT-ND</t>
  </si>
  <si>
    <t>KTR10EZPF2052</t>
  </si>
  <si>
    <t>RES SMD 20.5K OHM 1% 1/8W 0805</t>
  </si>
  <si>
    <t>RHM210AHCT-ND</t>
  </si>
  <si>
    <t>KTR10EZPF2100</t>
  </si>
  <si>
    <t>RES SMD 210 OHM 1% 1/8W 0805</t>
  </si>
  <si>
    <t>RHM21KAHCT-ND</t>
  </si>
  <si>
    <t>KTR10EZPF2102</t>
  </si>
  <si>
    <t>RES SMD 21K OHM 1% 1/8W 0805</t>
  </si>
  <si>
    <t>RHM210KAHCT-ND</t>
  </si>
  <si>
    <t>KTR10EZPF2103</t>
  </si>
  <si>
    <t>RES SMD 210K OHM 1% 1/8W 0805</t>
  </si>
  <si>
    <t>RHM21AHCT-ND</t>
  </si>
  <si>
    <t>KTR10EZPF21R0</t>
  </si>
  <si>
    <t>RES SMD 21 OHM 1% 1/8W 0805</t>
  </si>
  <si>
    <t>RHM243AHCT-ND</t>
  </si>
  <si>
    <t>KTR10EZPF2430</t>
  </si>
  <si>
    <t>RES SMD 243 OHM 1% 1/8W 0805</t>
  </si>
  <si>
    <t>RHM24AHCT-ND</t>
  </si>
  <si>
    <t>KTR10EZPF24R0</t>
  </si>
  <si>
    <t>RES SMD 24 OHM 1% 1/8W 0805</t>
  </si>
  <si>
    <t>RHM2.67KAHCT-ND</t>
  </si>
  <si>
    <t>KTR10EZPF2671</t>
  </si>
  <si>
    <t>RES SMD 2.67K OHM 1% 1/8W 0805</t>
  </si>
  <si>
    <t>RHM294AHCT-ND</t>
  </si>
  <si>
    <t>KTR10EZPF2940</t>
  </si>
  <si>
    <t>RES SMD 294 OHM 1% 1/8W 0805</t>
  </si>
  <si>
    <t>RHM294KAHCT-ND</t>
  </si>
  <si>
    <t>KTR10EZPF2943</t>
  </si>
  <si>
    <t>RES SMD 294K OHM 1% 1/8W 0805</t>
  </si>
  <si>
    <t>RHM31.6AHCT-ND</t>
  </si>
  <si>
    <t>KTR10EZPF31R6</t>
  </si>
  <si>
    <t>RES SMD 31.6 OHM 1% 1/8W 0805</t>
  </si>
  <si>
    <t>RHM340KAHCT-ND</t>
  </si>
  <si>
    <t>KTR10EZPF3403</t>
  </si>
  <si>
    <t>RES SMD 340K OHM 1% 1/8W 0805</t>
  </si>
  <si>
    <t>RHM357AHCT-ND</t>
  </si>
  <si>
    <t>KTR10EZPF3570</t>
  </si>
  <si>
    <t>RES SMD 357 OHM 1% 1/8W 0805</t>
  </si>
  <si>
    <t>RHM383KAHCT-ND</t>
  </si>
  <si>
    <t>KTR10EZPF3833</t>
  </si>
  <si>
    <t>RES SMD 383K OHM 1% 1/8W 0805</t>
  </si>
  <si>
    <t>RHM41.2KAHCT-ND</t>
  </si>
  <si>
    <t>KTR10EZPF4122</t>
  </si>
  <si>
    <t>RES SMD 41.2K OHM 1% 1/8W 0805</t>
  </si>
  <si>
    <t>RHM43.2KAHCT-ND</t>
  </si>
  <si>
    <t>KTR10EZPF4322</t>
  </si>
  <si>
    <t>RES SMD 43.2K OHM 1% 1/8W 0805</t>
  </si>
  <si>
    <t>RHM464AHCT-ND</t>
  </si>
  <si>
    <t>KTR10EZPF4640</t>
  </si>
  <si>
    <t>RES SMD 464 OHM 1% 1/8W 0805</t>
  </si>
  <si>
    <t>RHM56.2KAHCT-ND</t>
  </si>
  <si>
    <t>KTR10EZPF5622</t>
  </si>
  <si>
    <t>RES SMD 56.2K OHM 1% 1/8W 0805</t>
  </si>
  <si>
    <t>RHM6.04KAHCT-ND</t>
  </si>
  <si>
    <t>KTR10EZPF6041</t>
  </si>
  <si>
    <t>RES SMD 6.04K OHM 1% 1/8W 0805</t>
  </si>
  <si>
    <t>RHM649KAHCT-ND</t>
  </si>
  <si>
    <t>KTR10EZPF6493</t>
  </si>
  <si>
    <t>RES SMD 649K OHM 1% 1/8W 0805</t>
  </si>
  <si>
    <t>RHM69.8AHCT-ND</t>
  </si>
  <si>
    <t>KTR10EZPF69R8</t>
  </si>
  <si>
    <t>RES SMD 69.8 OHM 1% 1/8W 0805</t>
  </si>
  <si>
    <t>RHM7.5KAHCT-ND</t>
  </si>
  <si>
    <t>KTR10EZPF7501</t>
  </si>
  <si>
    <t>RES SMD 7.5K OHM 1% 1/8W 0805</t>
  </si>
  <si>
    <t>RHM78.7KAHCT-ND</t>
  </si>
  <si>
    <t>KTR10EZPF7872</t>
  </si>
  <si>
    <t>RES SMD 78.7K OHM 1% 1/8W 0805</t>
  </si>
  <si>
    <t>RHM8.06KAHCT-ND</t>
  </si>
  <si>
    <t>KTR10EZPF8061</t>
  </si>
  <si>
    <t>RES SMD 8.06K OHM 1% 1/8W 0805</t>
  </si>
  <si>
    <t>RHM82KAHCT-ND</t>
  </si>
  <si>
    <t>KTR10EZPF8202</t>
  </si>
  <si>
    <t>RES SMD 82K OHM 1% 1/8W 0805</t>
  </si>
  <si>
    <t>RHM82.5AHCT-ND</t>
  </si>
  <si>
    <t>KTR10EZPF82R5</t>
  </si>
  <si>
    <t>RES SMD 82.5 OHM 1% 1/8W 0805</t>
  </si>
  <si>
    <t>RHM8.45KAHCT-ND</t>
  </si>
  <si>
    <t>KTR10EZPF8451</t>
  </si>
  <si>
    <t>RES SMD 8.45K OHM 1% 1/8W 0805</t>
  </si>
  <si>
    <t>RHM8.66KAHCT-ND</t>
  </si>
  <si>
    <t>KTR10EZPF8661</t>
  </si>
  <si>
    <t>RES SMD 8.66K OHM 1% 1/8W 0805</t>
  </si>
  <si>
    <t>RHM9.09KAHCT-ND</t>
  </si>
  <si>
    <t>KTR10EZPF9091</t>
  </si>
  <si>
    <t>RES SMD 9.09K OHM 1% 1/8W 0805</t>
  </si>
  <si>
    <t>RHM9.53KAHCT-ND</t>
  </si>
  <si>
    <t>KTR10EZPF9531</t>
  </si>
  <si>
    <t>RES SMD 9.53K OHM 1% 1/8W 0805</t>
  </si>
  <si>
    <t>RHM10MBCT-ND</t>
  </si>
  <si>
    <t>KTR10EZPJ106</t>
  </si>
  <si>
    <t>RES SMD 10M OHM 5% 1/8W 0805</t>
  </si>
  <si>
    <t>RHM100KBCT-ND</t>
  </si>
  <si>
    <t>KTR10EZPJ104</t>
  </si>
  <si>
    <t>RES SMD 100K OHM 5% 1/8W 0805</t>
  </si>
  <si>
    <t>RHM47BCT-ND</t>
  </si>
  <si>
    <t>KTR10EZPJ470</t>
  </si>
  <si>
    <t>RES SMD 47 OHM 5% 1/8W 0805</t>
  </si>
  <si>
    <t>RHM300BCT-ND</t>
  </si>
  <si>
    <t>KTR10EZPJ301</t>
  </si>
  <si>
    <t>RES SMD 300 OHM 5% 1/8W 0805</t>
  </si>
  <si>
    <t>RHM280AHCT-ND</t>
  </si>
  <si>
    <t>KTR10EZPF2800</t>
  </si>
  <si>
    <t>RES SMD 280 OHM 1% 1/8W 0805</t>
  </si>
  <si>
    <t>RHM110AHCT-ND</t>
  </si>
  <si>
    <t>KTR10EZPF1100</t>
  </si>
  <si>
    <t>RES SMD 110 OHM 1% 1/8W 0805</t>
  </si>
  <si>
    <t>RHM698AHCT-ND</t>
  </si>
  <si>
    <t>KTR10EZPF6980</t>
  </si>
  <si>
    <t>RES SMD 698 OHM 1% 1/8W 0805</t>
  </si>
  <si>
    <t>RHM412KAHCT-ND</t>
  </si>
  <si>
    <t>KTR10EZPF4123</t>
  </si>
  <si>
    <t>RES SMD 412K OHM 1% 1/8W 0805</t>
  </si>
  <si>
    <t>RHM165KAHCT-ND</t>
  </si>
  <si>
    <t>KTR10EZPF1653</t>
  </si>
  <si>
    <t>RES SMD 165K OHM 1% 1/8W 0805</t>
  </si>
  <si>
    <t>RHM30.1AHCT-ND</t>
  </si>
  <si>
    <t>KTR10EZPF30R1</t>
  </si>
  <si>
    <t>RES SMD 30.1 OHM 1% 1/8W 0805</t>
  </si>
  <si>
    <t>RHM249AHCT-ND</t>
  </si>
  <si>
    <t>KTR10EZPF2490</t>
  </si>
  <si>
    <t>RES SMD 249 OHM 1% 1/8W 0805</t>
  </si>
  <si>
    <t>RHM37.4KAHCT-ND</t>
  </si>
  <si>
    <t>KTR10EZPF3742</t>
  </si>
  <si>
    <t>RES SMD 37.4K OHM 1% 1/8W 0805</t>
  </si>
  <si>
    <t>RHM300AHCT-ND</t>
  </si>
  <si>
    <t>KTR10EZPF3000</t>
  </si>
  <si>
    <t>RES SMD 300 OHM 1% 1/8W 0805</t>
  </si>
  <si>
    <t>RHM300KAHCT-ND</t>
  </si>
  <si>
    <t>KTR10EZPF3003</t>
  </si>
  <si>
    <t>RES SMD 300K OHM 1% 1/8W 0805</t>
  </si>
  <si>
    <t>RHM19.6KAHCT-ND</t>
  </si>
  <si>
    <t>KTR10EZPF1962</t>
  </si>
  <si>
    <t>RES SMD 19.6K OHM 1% 1/8W 0805</t>
  </si>
  <si>
    <t>RHM620AHCT-ND</t>
  </si>
  <si>
    <t>KTR10EZPF6200</t>
  </si>
  <si>
    <t>RES SMD 620 OHM 1% 1/8W 0805</t>
  </si>
  <si>
    <t>RHM130AHCT-ND</t>
  </si>
  <si>
    <t>KTR10EZPF1300</t>
  </si>
  <si>
    <t>RES SMD 130 OHM 1% 1/8W 0805</t>
  </si>
  <si>
    <t>RHM301AHCT-ND</t>
  </si>
  <si>
    <t>KTR10EZPF3010</t>
  </si>
  <si>
    <t>RES SMD 301 OHM 1% 1/8W 0805</t>
  </si>
  <si>
    <t>RHM2.49KAHCT-ND</t>
  </si>
  <si>
    <t>KTR10EZPF2491</t>
  </si>
  <si>
    <t>RES SMD 2.49K OHM 1% 1/8W 0805</t>
  </si>
  <si>
    <t>RHM280KAHCT-ND</t>
  </si>
  <si>
    <t>KTR10EZPF2803</t>
  </si>
  <si>
    <t>RES SMD 280K OHM 1% 1/8W 0805</t>
  </si>
  <si>
    <t>RHM365KAHCT-ND</t>
  </si>
  <si>
    <t>KTR10EZPF3653</t>
  </si>
  <si>
    <t>RES SMD 365K OHM 1% 1/8W 0805</t>
  </si>
  <si>
    <t>RHM3.16KAHCT-ND</t>
  </si>
  <si>
    <t>KTR10EZPF3161</t>
  </si>
  <si>
    <t>RES SMD 3.16K OHM 1% 1/8W 0805</t>
  </si>
  <si>
    <t>RHM1.60MAHCT-ND</t>
  </si>
  <si>
    <t>KTR10EZPF1604</t>
  </si>
  <si>
    <t>RES SMD 1.6M OHM 1% 1/8W 0805</t>
  </si>
  <si>
    <t>RHM12KAHCT-ND</t>
  </si>
  <si>
    <t>KTR10EZPF1202</t>
  </si>
  <si>
    <t>RES SMD 12K OHM 1% 1/8W 0805</t>
  </si>
  <si>
    <t>RHM5.1KAHCT-ND</t>
  </si>
  <si>
    <t>KTR10EZPF5101</t>
  </si>
  <si>
    <t>RES SMD 5.1K OHM 1% 1/8W 0805</t>
  </si>
  <si>
    <t>RHM3.3KAHCT-ND</t>
  </si>
  <si>
    <t>KTR10EZPF3301</t>
  </si>
  <si>
    <t>RHM15AHCT-ND</t>
  </si>
  <si>
    <t>KTR10EZPF15R0</t>
  </si>
  <si>
    <t>RES SMD 15 OHM 1% 1/8W 0805</t>
  </si>
  <si>
    <t>RHM7.5MAHCT-ND</t>
  </si>
  <si>
    <t>KTR10EZPF7504</t>
  </si>
  <si>
    <t>RES SMD 7.5M OHM 1% 1/8W 0805</t>
  </si>
  <si>
    <t>RHM180KAHCT-ND</t>
  </si>
  <si>
    <t>KTR10EZPF1803</t>
  </si>
  <si>
    <t>RES SMD 180K OHM 1% 1/8W 0805</t>
  </si>
  <si>
    <t>RHM430AHCT-ND</t>
  </si>
  <si>
    <t>KTR10EZPF4300</t>
  </si>
  <si>
    <t>RES SMD 430 OHM 1% 1/8W 0805</t>
  </si>
  <si>
    <t>RHM220AHCT-ND</t>
  </si>
  <si>
    <t>KTR10EZPF2200</t>
  </si>
  <si>
    <t>RHM330AHCT-ND</t>
  </si>
  <si>
    <t>KTR10EZPF3300</t>
  </si>
  <si>
    <t>RHM10.0MAHCT-ND</t>
  </si>
  <si>
    <t>KTR10EZPF1005</t>
  </si>
  <si>
    <t>RES SMD 10M OHM 1% 1/8W 0805</t>
  </si>
  <si>
    <t>RHM5.6KAHCT-ND</t>
  </si>
  <si>
    <t>KTR10EZPF5601</t>
  </si>
  <si>
    <t>RES SMD 5.6K OHM 1% 1/8W 0805</t>
  </si>
  <si>
    <t>RHM16.9KAHCT-ND</t>
  </si>
  <si>
    <t>KTR10EZPF1692</t>
  </si>
  <si>
    <t>RES SMD 16.9K OHM 1% 1/8W 0805</t>
  </si>
  <si>
    <t>Ret. Number</t>
  </si>
  <si>
    <t>"0"</t>
  </si>
  <si>
    <t>Dgikey Table</t>
  </si>
  <si>
    <t>R8</t>
  </si>
  <si>
    <t>RHM1.0KDCT-ND</t>
  </si>
  <si>
    <t>ESR03EZPJ102</t>
  </si>
  <si>
    <t>RES SMD 1K OHM 5% 1/4W 0603</t>
  </si>
  <si>
    <t>RHM10DCT-ND</t>
  </si>
  <si>
    <t>ESR03EZPJ100</t>
  </si>
  <si>
    <t>RES SMD 10 OHM 5% 1/4W 0603</t>
  </si>
  <si>
    <t>RHM10.0ADCT-ND</t>
  </si>
  <si>
    <t>ESR03EZPF10R0</t>
  </si>
  <si>
    <t>RES SMD 10 OHM 1% 1/4W 0603</t>
  </si>
  <si>
    <t>RHM10KADCT-ND</t>
  </si>
  <si>
    <t>ESR03EZPF1002</t>
  </si>
  <si>
    <t>RES SMD 10K OHM 1% 1/4W 0603</t>
  </si>
  <si>
    <t>RHM1.00KADCT-ND</t>
  </si>
  <si>
    <t>ESR03EZPF1001</t>
  </si>
  <si>
    <t>RES SMD 1K OHM 1% 1/4W 0603</t>
  </si>
  <si>
    <t>RHM10.0AECT-ND</t>
  </si>
  <si>
    <t>ESR10EZPF10R0</t>
  </si>
  <si>
    <t>RES SMD 10 OHM 1% 0.4W 0805</t>
  </si>
  <si>
    <t>RHM1.00KAECT-ND</t>
  </si>
  <si>
    <t>ESR10EZPF1001</t>
  </si>
  <si>
    <t>RES SMD 1K OHM 1% 0.4W 0805</t>
  </si>
  <si>
    <t>RHM1.8KKCT-ND</t>
  </si>
  <si>
    <t>ESR10EZPJ182</t>
  </si>
  <si>
    <t>RES SMD 1.8K OHM 5% 0.4W 0805</t>
  </si>
  <si>
    <t>RHM220KCT-ND</t>
  </si>
  <si>
    <t>ESR10EZPJ221</t>
  </si>
  <si>
    <t>RES SMD 220 OHM 5% 0.4W 0805</t>
  </si>
  <si>
    <t>RHM100DCT-ND</t>
  </si>
  <si>
    <t>ESR03EZPJ101</t>
  </si>
  <si>
    <t>RES SMD 100 OHM 5% 1/4W 0603</t>
  </si>
  <si>
    <t>RHM10KDCT-ND</t>
  </si>
  <si>
    <t>ESR03EZPJ103</t>
  </si>
  <si>
    <t>RES SMD 10K OHM 5% 1/4W 0603</t>
  </si>
  <si>
    <t>RHM100KCT-ND</t>
  </si>
  <si>
    <t>ESR10EZPJ101</t>
  </si>
  <si>
    <t>RES SMD 100 OHM 5% 0.4W 0805</t>
  </si>
  <si>
    <t>RHM10KCT-ND</t>
  </si>
  <si>
    <t>ESR10EZPJ100</t>
  </si>
  <si>
    <t>RES SMD 10 OHM 5% 0.4W 0805</t>
  </si>
  <si>
    <t>RHM22DCT-ND</t>
  </si>
  <si>
    <t>ESR03EZPJ220</t>
  </si>
  <si>
    <t>RES SMD 22 OHM 5% 1/4W 0603</t>
  </si>
  <si>
    <t>RHM4.7KCT-ND</t>
  </si>
  <si>
    <t>ESR10EZPJ4R7</t>
  </si>
  <si>
    <t>RES SMD 4.7 OHM 5% 0.4W 0805</t>
  </si>
  <si>
    <t>RHM10KKCT-ND</t>
  </si>
  <si>
    <t>ESR10EZPJ103</t>
  </si>
  <si>
    <t>RES SMD 10K OHM 5% 0.4W 0805</t>
  </si>
  <si>
    <t>RHM82KCT-ND</t>
  </si>
  <si>
    <t>ESR10EZPJ820</t>
  </si>
  <si>
    <t>RES SMD 82 OHM 5% 0.4W 0805</t>
  </si>
  <si>
    <t>RHM1DCT-ND</t>
  </si>
  <si>
    <t>ESR03EZPJ1R0</t>
  </si>
  <si>
    <t>RES SMD 1 OHM 5% 1/4W 0603</t>
  </si>
  <si>
    <t>RHM330DCT-ND</t>
  </si>
  <si>
    <t>ESR03EZPJ331</t>
  </si>
  <si>
    <t>RES SMD 330 OHM 5% 1/4W 0603</t>
  </si>
  <si>
    <t>RHM120DCT-ND</t>
  </si>
  <si>
    <t>ESR03EZPJ121</t>
  </si>
  <si>
    <t>RES SMD 120 OHM 5% 1/4W 0603</t>
  </si>
  <si>
    <t>RHM4.7DCT-ND</t>
  </si>
  <si>
    <t>ESR03EZPJ4R7</t>
  </si>
  <si>
    <t>RES SMD 4.7 OHM 5% 1/4W 0603</t>
  </si>
  <si>
    <t>RHM47DCT-ND</t>
  </si>
  <si>
    <t>ESR03EZPJ470</t>
  </si>
  <si>
    <t>RES SMD 47 OHM 5% 1/4W 0603</t>
  </si>
  <si>
    <t>RHM51DCT-ND</t>
  </si>
  <si>
    <t>ESR03EZPJ510</t>
  </si>
  <si>
    <t>RES SMD 51 OHM 5% 1/4W 0603</t>
  </si>
  <si>
    <t>RHM120KCT-ND</t>
  </si>
  <si>
    <t>ESR10EZPJ121</t>
  </si>
  <si>
    <t>RES SMD 120 OHM 5% 0.4W 0805</t>
  </si>
  <si>
    <t>RHM2.2KKCT-ND</t>
  </si>
  <si>
    <t>ESR10EZPJ222</t>
  </si>
  <si>
    <t>RES SMD 2.2K OHM 5% 0.4W 0805</t>
  </si>
  <si>
    <t>RHM430KCT-ND</t>
  </si>
  <si>
    <t>ESR10EZPJ431</t>
  </si>
  <si>
    <t>RES SMD 430 OHM 5% 0.4W 0805</t>
  </si>
  <si>
    <t>RHM240DCT-ND</t>
  </si>
  <si>
    <t>ESR03EZPJ241</t>
  </si>
  <si>
    <t>RES SMD 240 OHM 5% 1/4W 0603</t>
  </si>
  <si>
    <t>RHM5.1KCT-ND</t>
  </si>
  <si>
    <t>ESR10EZPJ5R1</t>
  </si>
  <si>
    <t>RES SMD 5.1 OHM 5% 0.4W 0805</t>
  </si>
  <si>
    <t>RHM200KCT-ND</t>
  </si>
  <si>
    <t>ESR10EZPJ201</t>
  </si>
  <si>
    <t>RES SMD 200 OHM 5% 0.4W 0805</t>
  </si>
  <si>
    <t>RHM2.7KKCT-ND</t>
  </si>
  <si>
    <t>ESR10EZPJ272</t>
  </si>
  <si>
    <t>RES SMD 2.7K OHM 5% 0.4W 0805</t>
  </si>
  <si>
    <t>RHM200DCT-ND</t>
  </si>
  <si>
    <t>ESR03EZPJ201</t>
  </si>
  <si>
    <t>RES SMD 200 OHM 5% 1/4W 0603</t>
  </si>
  <si>
    <t>RHM62DCT-ND</t>
  </si>
  <si>
    <t>ESR03EZPJ620</t>
  </si>
  <si>
    <t>RES SMD 62 OHM 5% 1/4W 0603</t>
  </si>
  <si>
    <t>RHM150DCT-ND</t>
  </si>
  <si>
    <t>ESR03EZPJ151</t>
  </si>
  <si>
    <t>RES SMD 150 OHM 5% 1/4W 0603</t>
  </si>
  <si>
    <t>RHM4.7KDCT-ND</t>
  </si>
  <si>
    <t>ESR03EZPJ472</t>
  </si>
  <si>
    <t>RES SMD 4.7K OHM 5% 1/4W 0603</t>
  </si>
  <si>
    <t>RHM22KCT-ND</t>
  </si>
  <si>
    <t>ESR10EZPJ220</t>
  </si>
  <si>
    <t>RES SMD 22 OHM 5% 0.4W 0805</t>
  </si>
  <si>
    <t>RHM680DCT-ND</t>
  </si>
  <si>
    <t>ESR03EZPJ681</t>
  </si>
  <si>
    <t>RES SMD 680 OHM 5% 1/4W 0603</t>
  </si>
  <si>
    <t>RHM3DCT-ND</t>
  </si>
  <si>
    <t>ESR03EZPJ3R0</t>
  </si>
  <si>
    <t>RES SMD 3 OHM 5% 1/4W 0603</t>
  </si>
  <si>
    <t>RHM300DCT-ND</t>
  </si>
  <si>
    <t>ESR03EZPJ301</t>
  </si>
  <si>
    <t>RES SMD 300 OHM 5% 1/4W 0603</t>
  </si>
  <si>
    <t>RHM1.5KCT-ND</t>
  </si>
  <si>
    <t>ESR10EZPJ1R5</t>
  </si>
  <si>
    <t>RES SMD 1.5 OHM 5% 0.4W 0805</t>
  </si>
  <si>
    <t>RHM33DCT-ND</t>
  </si>
  <si>
    <t>ESR03EZPJ330</t>
  </si>
  <si>
    <t>RES SMD 33 OHM 5% 1/4W 0603</t>
  </si>
  <si>
    <t>RHM18DCT-ND</t>
  </si>
  <si>
    <t>ESR03EZPJ180</t>
  </si>
  <si>
    <t>RES SMD 18 OHM 5% 1/4W 0603</t>
  </si>
  <si>
    <t>RHM130DCT-ND</t>
  </si>
  <si>
    <t>ESR03EZPJ131</t>
  </si>
  <si>
    <t>RES SMD 130 OHM 5% 1/4W 0603</t>
  </si>
  <si>
    <t>RHM510DCT-ND</t>
  </si>
  <si>
    <t>ESR03EZPJ511</t>
  </si>
  <si>
    <t>RES SMD 510 OHM 5% 1/4W 0603</t>
  </si>
  <si>
    <t>RHM1KCT-ND</t>
  </si>
  <si>
    <t>ESR10EZPJ1R0</t>
  </si>
  <si>
    <t>RES SMD 1 OHM 5% 0.4W 0805</t>
  </si>
  <si>
    <t>RHM270KCT-ND</t>
  </si>
  <si>
    <t>ESR10EZPJ271</t>
  </si>
  <si>
    <t>RES SMD 270 OHM 5% 0.4W 0805</t>
  </si>
  <si>
    <t>RHM33KCT-ND</t>
  </si>
  <si>
    <t>ESR10EZPJ330</t>
  </si>
  <si>
    <t>RES SMD 33 OHM 5% 0.4W 0805</t>
  </si>
  <si>
    <t>RHM47KCT-ND</t>
  </si>
  <si>
    <t>ESR10EZPJ470</t>
  </si>
  <si>
    <t>RES SMD 47 OHM 5% 0.4W 0805</t>
  </si>
  <si>
    <t>RHM47KKCT-ND</t>
  </si>
  <si>
    <t>ESR10EZPJ473</t>
  </si>
  <si>
    <t>RES SMD 47K OHM 5% 0.4W 0805</t>
  </si>
  <si>
    <t>RHM47KDCT-ND</t>
  </si>
  <si>
    <t>ESR03EZPJ473</t>
  </si>
  <si>
    <t>RES SMD 47K OHM 5% 1/4W 0603</t>
  </si>
  <si>
    <t>RHM27DCT-ND</t>
  </si>
  <si>
    <t>ESR03EZPJ270</t>
  </si>
  <si>
    <t>RES SMD 27 OHM 5% 1/4W 0603</t>
  </si>
  <si>
    <t>RHM6.8KDCT-ND</t>
  </si>
  <si>
    <t>ESR03EZPJ682</t>
  </si>
  <si>
    <t>RES SMD 6.8K OHM 5% 1/4W 0603</t>
  </si>
  <si>
    <t>RHM2.2KCT-ND</t>
  </si>
  <si>
    <t>ESR10EZPJ2R2</t>
  </si>
  <si>
    <t>RES SMD 2.2 OHM 5% 0.4W 0805</t>
  </si>
  <si>
    <t>RHM51KCT-ND</t>
  </si>
  <si>
    <t>ESR10EZPJ510</t>
  </si>
  <si>
    <t>RES SMD 51 OHM 5% 0.4W 0805</t>
  </si>
  <si>
    <t>RHM5.1DCT-ND</t>
  </si>
  <si>
    <t>ESR03EZPJ5R1</t>
  </si>
  <si>
    <t>RES SMD 5.1 OHM 5% 1/4W 0603</t>
  </si>
  <si>
    <t>RHM1.2KKCT-ND</t>
  </si>
  <si>
    <t>ESR10EZPJ122</t>
  </si>
  <si>
    <t>RES SMD 1.2K OHM 5% 0.4W 0805</t>
  </si>
  <si>
    <t>RHM2.0KKCT-ND</t>
  </si>
  <si>
    <t>ESR10EZPJ202</t>
  </si>
  <si>
    <t>RES SMD 2K OHM 5% 0.4W 0805</t>
  </si>
  <si>
    <t>RHM3.3KKCT-ND</t>
  </si>
  <si>
    <t>ESR10EZPJ332</t>
  </si>
  <si>
    <t>RES SMD 3.3K OHM 5% 0.4W 0805</t>
  </si>
  <si>
    <t>RHM390KCT-ND</t>
  </si>
  <si>
    <t>ESR10EZPJ391</t>
  </si>
  <si>
    <t>RES SMD 390 OHM 5% 0.4W 0805</t>
  </si>
  <si>
    <t>RHM750KCT-ND</t>
  </si>
  <si>
    <t>ESR10EZPJ751</t>
  </si>
  <si>
    <t>RES SMD 750 OHM 5% 0.4W 0805</t>
  </si>
  <si>
    <t>RHM100KDCT-ND</t>
  </si>
  <si>
    <t>ESR03EZPJ104</t>
  </si>
  <si>
    <t>RES SMD 100K OHM 5% 1/4W 0603</t>
  </si>
  <si>
    <t>RHM20KDCT-ND</t>
  </si>
  <si>
    <t>ESR03EZPJ203</t>
  </si>
  <si>
    <t>RES SMD 20K OHM 5% 1/4W 0603</t>
  </si>
  <si>
    <t>RHM2DCT-ND</t>
  </si>
  <si>
    <t>ESR03EZPJ2R0</t>
  </si>
  <si>
    <t>RES SMD 2 OHM 5% 1/4W 0603</t>
  </si>
  <si>
    <t>RHM8.2DCT-ND</t>
  </si>
  <si>
    <t>ESR03EZPJ8R2</t>
  </si>
  <si>
    <t>RES SMD 8.2 OHM 5% 1/4W 0603</t>
  </si>
  <si>
    <t>RHM100KADCT-ND</t>
  </si>
  <si>
    <t>ESR03EZPF1003</t>
  </si>
  <si>
    <t>RES SMD 100K OHM 1% 1/4W 0603</t>
  </si>
  <si>
    <t>RHM51.0ADCT-ND</t>
  </si>
  <si>
    <t>ESR03EZPF51R0</t>
  </si>
  <si>
    <t>RES SMD 51 OHM 1% 1/4W 0603</t>
  </si>
  <si>
    <t>RHM75.0ADCT-ND</t>
  </si>
  <si>
    <t>ESR03EZPF75R0</t>
  </si>
  <si>
    <t>RES SMD 75 OHM 1% 1/4W 0603</t>
  </si>
  <si>
    <t>RHM220KADCT-ND</t>
  </si>
  <si>
    <t>ESR03EZPF2203</t>
  </si>
  <si>
    <t>RES SMD 220K OHM 1% 1/4W 0603</t>
  </si>
  <si>
    <t>RHM200ADCT-ND</t>
  </si>
  <si>
    <t>ESR03EZPF2000</t>
  </si>
  <si>
    <t>RES SMD 200 OHM 1% 1/4W 0603</t>
  </si>
  <si>
    <t>RHM20.0KADCT-ND</t>
  </si>
  <si>
    <t>ESR03EZPF2002</t>
  </si>
  <si>
    <t>RES SMD 20K OHM 1% 1/4W 0603</t>
  </si>
  <si>
    <t>RHM470ADCT-ND</t>
  </si>
  <si>
    <t>ESR03EZPF4700</t>
  </si>
  <si>
    <t>RES SMD 470 OHM 1% 1/4W 0603</t>
  </si>
  <si>
    <t>RHM49.9AECT-ND</t>
  </si>
  <si>
    <t>ESR10EZPF49R9</t>
  </si>
  <si>
    <t>RES SMD 49.9 OHM 1% 0.4W 0805</t>
  </si>
  <si>
    <t>RHM16.0AECT-ND</t>
  </si>
  <si>
    <t>ESR10EZPF16R0</t>
  </si>
  <si>
    <t>RES SMD 16 OHM 1% 0.4W 0805</t>
  </si>
  <si>
    <t>RHM6.80KAECT-ND</t>
  </si>
  <si>
    <t>ESR10EZPF6801</t>
  </si>
  <si>
    <t>RES SMD 6.8K OHM 1% 0.4W 0805</t>
  </si>
  <si>
    <t>RHM220AECT-ND</t>
  </si>
  <si>
    <t>ESR10EZPF2200</t>
  </si>
  <si>
    <t>RES SMD 220 OHM 1% 0.4W 0805</t>
  </si>
  <si>
    <t>RHM5.10AECT-ND</t>
  </si>
  <si>
    <t>ESR10EZPF5R10</t>
  </si>
  <si>
    <t>RES SMD 5.1 OHM 1% 0.4W 0805</t>
  </si>
  <si>
    <t>RHM10.0KAECT-ND</t>
  </si>
  <si>
    <t>ESR10EZPF1002</t>
  </si>
  <si>
    <t>RES SMD 10K OHM 1% 0.4W 0805</t>
  </si>
  <si>
    <t>RHM100AECT-ND</t>
  </si>
  <si>
    <t>ESR10EZPF1000</t>
  </si>
  <si>
    <t>RES SMD 100 OHM 1% 0.4W 0805</t>
  </si>
  <si>
    <t>RHM2.00AECT-ND</t>
  </si>
  <si>
    <t>ESR10EZPF2R00</t>
  </si>
  <si>
    <t>RES SMD 2 OHM 1% 0.4W 0805</t>
  </si>
  <si>
    <t>RHM47.0KAECT-ND</t>
  </si>
  <si>
    <t>ESR10EZPF4702</t>
  </si>
  <si>
    <t>RES SMD 47K OHM 1% 0.4W 0805</t>
  </si>
  <si>
    <t>RHM100KAECT-ND</t>
  </si>
  <si>
    <t>ESR10EZPF1003</t>
  </si>
  <si>
    <t>RES SMD 100K OHM 1% 0.4W 0805</t>
  </si>
  <si>
    <t>RHM15.0AECT-ND</t>
  </si>
  <si>
    <t>ESR10EZPF15R0</t>
  </si>
  <si>
    <t>RES SMD 15 OHM 1% 0.4W 0805</t>
  </si>
  <si>
    <t>RHM4.70AECT-ND</t>
  </si>
  <si>
    <t>ESR10EZPF4R70</t>
  </si>
  <si>
    <t>RES SMD 4.7 OHM 1% 0.4W 0805</t>
  </si>
  <si>
    <t>RHM75.0AECT-ND</t>
  </si>
  <si>
    <t>ESR10EZPF75R0</t>
  </si>
  <si>
    <t>RES SMD 75 OHM 1% 0.4W 0805</t>
  </si>
  <si>
    <t>RHM20.0AECT-ND</t>
  </si>
  <si>
    <t>ESR10EZPF20R0</t>
  </si>
  <si>
    <t>RES SMD 20 OHM 1% 0.4W 0805</t>
  </si>
  <si>
    <t>RHM330AECT-ND</t>
  </si>
  <si>
    <t>ESR10EZPF3300</t>
  </si>
  <si>
    <t>RES SMD 330 OHM 1% 0.4W 0805</t>
  </si>
  <si>
    <t>RHM2.00KAECT-ND</t>
  </si>
  <si>
    <t>ESR10EZPF2001</t>
  </si>
  <si>
    <t>RES SMD 2K OHM 1% 0.4W 0805</t>
  </si>
  <si>
    <t>RHM30.0AECT-ND</t>
  </si>
  <si>
    <t>ESR10EZPF30R0</t>
  </si>
  <si>
    <t>RES SMD 30 OHM 1% 0.4W 0805</t>
  </si>
  <si>
    <t>RHM430AECT-ND</t>
  </si>
  <si>
    <t>ESR10EZPF4300</t>
  </si>
  <si>
    <t>RES SMD 430 OHM 1% 0.4W 0805</t>
  </si>
  <si>
    <t>RHM5.60KAECT-ND</t>
  </si>
  <si>
    <t>ESR10EZPF5601</t>
  </si>
  <si>
    <t>RES SMD 5.6K OHM 1% 0.4W 0805</t>
  </si>
  <si>
    <t>RHM120AECT-ND</t>
  </si>
  <si>
    <t>ESR10EZPF1200</t>
  </si>
  <si>
    <t>RES SMD 120 OHM 1% 0.4W 0805</t>
  </si>
  <si>
    <t>RHM1.20KAECT-ND</t>
  </si>
  <si>
    <t>ESR10EZPF1201</t>
  </si>
  <si>
    <t>RES SMD 1.2K OHM 1% 0.4W 0805</t>
  </si>
  <si>
    <t>RHM3.30KAECT-ND</t>
  </si>
  <si>
    <t>ESR10EZPF3301</t>
  </si>
  <si>
    <t>RES SMD 3.3K OHM 1% 0.4W 0805</t>
  </si>
  <si>
    <t>RHM56.0AECT-ND</t>
  </si>
  <si>
    <t>ESR10EZPF56R0</t>
  </si>
  <si>
    <t>RES SMD 56 OHM 1% 0.4W 0805</t>
  </si>
  <si>
    <t>RHM1.30KAECT-ND</t>
  </si>
  <si>
    <t>ESR10EZPF1301</t>
  </si>
  <si>
    <t>RES SMD 1.3K OHM 1% 0.4W 0805</t>
  </si>
  <si>
    <t>RHM15.0KAECT-ND</t>
  </si>
  <si>
    <t>ESR10EZPF1502</t>
  </si>
  <si>
    <t>RES SMD 15K OHM 1% 0.4W 0805</t>
  </si>
  <si>
    <t>RHM3.00KAECT-ND</t>
  </si>
  <si>
    <t>ESR10EZPF3001</t>
  </si>
  <si>
    <t>RES SMD 3K OHM 1% 0.4W 0805</t>
  </si>
  <si>
    <t>RHM5.10KAECT-ND</t>
  </si>
  <si>
    <t>ESR10EZPF5101</t>
  </si>
  <si>
    <t>RES SMD 5.1K OHM 1% 0.4W 0805</t>
  </si>
  <si>
    <t>RHM12KCT-ND</t>
  </si>
  <si>
    <t>ESR10EZPJ120</t>
  </si>
  <si>
    <t>RES SMD 12 OHM 5% 0.4W 0805</t>
  </si>
  <si>
    <t>RHM27KDCT-ND</t>
  </si>
  <si>
    <t>ESR03EZPJ273</t>
  </si>
  <si>
    <t>RES SMD 27K OHM 5% 1/4W 0603</t>
  </si>
  <si>
    <t>RHM1.6KKCT-ND</t>
  </si>
  <si>
    <t>ESR10EZPJ162</t>
  </si>
  <si>
    <t>RES SMD 1.6K OHM 5% 0.4W 0805</t>
  </si>
  <si>
    <t>RHM2.4KKCT-ND</t>
  </si>
  <si>
    <t>ESR10EZPJ242</t>
  </si>
  <si>
    <t>RES SMD 2.4K OHM 5% 0.4W 0805</t>
  </si>
  <si>
    <t>RHM24KKCT-ND</t>
  </si>
  <si>
    <t>ESR10EZPJ243</t>
  </si>
  <si>
    <t>RES SMD 24K OHM 5% 0.4W 0805</t>
  </si>
  <si>
    <t>RHM3.9KCT-ND</t>
  </si>
  <si>
    <t>ESR10EZPJ3R9</t>
  </si>
  <si>
    <t>RES SMD 3.9 OHM 5% 0.4W 0805</t>
  </si>
  <si>
    <t>RHM390KDCT-ND</t>
  </si>
  <si>
    <t>ESR03EZPJ394</t>
  </si>
  <si>
    <t>RES SMD 390K OHM 5% 1/4W 0603</t>
  </si>
  <si>
    <t>RHM12KKCT-ND</t>
  </si>
  <si>
    <t>ESR10EZPJ123</t>
  </si>
  <si>
    <t>RES SMD 12K OHM 5% 0.4W 0805</t>
  </si>
  <si>
    <t>RHM2.7KCT-ND</t>
  </si>
  <si>
    <t>ESR10EZPJ2R7</t>
  </si>
  <si>
    <t>RES SMD 2.7 OHM 5% 0.4W 0805</t>
  </si>
  <si>
    <t>RHM7.5KKCT-ND</t>
  </si>
  <si>
    <t>ESR10EZPJ752</t>
  </si>
  <si>
    <t>RES SMD 7.5K OHM 5% 0.4W 0805</t>
  </si>
  <si>
    <t>RHM12DCT-ND</t>
  </si>
  <si>
    <t>ESR03EZPJ120</t>
  </si>
  <si>
    <t>RES SMD 12 OHM 5% 1/4W 0603</t>
  </si>
  <si>
    <t>RHM4.75AECT-ND</t>
  </si>
  <si>
    <t>ESR10EZPF4R75</t>
  </si>
  <si>
    <t>RES SMD 4.75 OHM 1% 0.4W 0805</t>
  </si>
  <si>
    <t>RHM7.50AECT-ND</t>
  </si>
  <si>
    <t>ESR10EZPF7R50</t>
  </si>
  <si>
    <t>RES SMD 7.5 OHM 1% 0.4W 0805</t>
  </si>
  <si>
    <t>RHM1.10KAECT-ND</t>
  </si>
  <si>
    <t>ESR10EZPF1101</t>
  </si>
  <si>
    <t>RES SMD 1.1K OHM 1% 0.4W 0805</t>
  </si>
  <si>
    <t>RHM43.0AECT-ND</t>
  </si>
  <si>
    <t>ESR10EZPF43R0</t>
  </si>
  <si>
    <t>RES SMD 43 OHM 1% 0.4W 0805</t>
  </si>
  <si>
    <t>RHM14.0AECT-ND</t>
  </si>
  <si>
    <t>ESR10EZPF14R0</t>
  </si>
  <si>
    <t>RES SMD 14 OHM 1% 0.4W 0805</t>
  </si>
  <si>
    <t>RHM150KAECT-ND</t>
  </si>
  <si>
    <t>ESR10EZPF1503</t>
  </si>
  <si>
    <t>RES SMD 150K OHM 1% 0.4W 0805</t>
  </si>
  <si>
    <t>RHM1.30AECT-ND</t>
  </si>
  <si>
    <t>ESR10EZPF1R30</t>
  </si>
  <si>
    <t>RES SMD 1.3 OHM 1% 0.4W 0805</t>
  </si>
  <si>
    <t>RHM20.5AECT-ND</t>
  </si>
  <si>
    <t>ESR10EZPF20R5</t>
  </si>
  <si>
    <t>RES SMD 20.5 OHM 1% 0.4W 0805</t>
  </si>
  <si>
    <t>RHM3.90KAECT-ND</t>
  </si>
  <si>
    <t>ESR10EZPF3901</t>
  </si>
  <si>
    <t>RES SMD 3.9K OHM 1% 0.4W 0805</t>
  </si>
  <si>
    <t>RHM390KAECT-ND</t>
  </si>
  <si>
    <t>ESR10EZPF3903</t>
  </si>
  <si>
    <t>RES SMD 390K OHM 1% 0.4W 0805</t>
  </si>
  <si>
    <t>RHM51.0KAECT-ND</t>
  </si>
  <si>
    <t>ESR10EZPF5102</t>
  </si>
  <si>
    <t>RES SMD 51K OHM 1% 0.4W 0805</t>
  </si>
  <si>
    <t>RHM5.90AECT-ND</t>
  </si>
  <si>
    <t>ESR10EZPF5R90</t>
  </si>
  <si>
    <t>RES SMD 5.9 OHM 1% 0.4W 0805</t>
  </si>
  <si>
    <t>RHM6.19KAECT-ND</t>
  </si>
  <si>
    <t>ESR10EZPF6191</t>
  </si>
  <si>
    <t>RES SMD 6.19K OHM 1% 0.4W 0805</t>
  </si>
  <si>
    <t>RHM82.0AECT-ND</t>
  </si>
  <si>
    <t>ESR10EZPF82R0</t>
  </si>
  <si>
    <t>RES SMD 82 OHM 1% 0.4W 0805</t>
  </si>
  <si>
    <t>RHM18.2AECT-ND</t>
  </si>
  <si>
    <t>ESR10EZPF18R2</t>
  </si>
  <si>
    <t>RES SMD 18.2 OHM 1% 0.4W 0805</t>
  </si>
  <si>
    <t>RHM18.7AECT-ND</t>
  </si>
  <si>
    <t>ESR10EZPF18R7</t>
  </si>
  <si>
    <t>RES SMD 18.7 OHM 1% 0.4W 0805</t>
  </si>
  <si>
    <t>RHM220DCT-ND</t>
  </si>
  <si>
    <t>ESR03EZPJ221</t>
  </si>
  <si>
    <t>RES SMD 220 OHM 5% 1/4W 0603</t>
  </si>
  <si>
    <t>RHM2.2DCT-ND</t>
  </si>
  <si>
    <t>ESR03EZPJ2R2</t>
  </si>
  <si>
    <t>RES SMD 2.2 OHM 5% 1/4W 0603</t>
  </si>
  <si>
    <t>RHM4.7KKCT-ND</t>
  </si>
  <si>
    <t>ESR10EZPJ472</t>
  </si>
  <si>
    <t>RES SMD 4.7K OHM 5% 0.4W 0805</t>
  </si>
  <si>
    <t>RHM510KCT-ND</t>
  </si>
  <si>
    <t>ESR10EZPJ511</t>
  </si>
  <si>
    <t>RES SMD 510 OHM 5% 0.4W 0805</t>
  </si>
  <si>
    <t>RHM240KCT-ND</t>
  </si>
  <si>
    <t>ESR10EZPJ241</t>
  </si>
  <si>
    <t>RES SMD 240 OHM 5% 0.4W 0805</t>
  </si>
  <si>
    <t>RHM15DCT-ND</t>
  </si>
  <si>
    <t>ESR03EZPJ150</t>
  </si>
  <si>
    <t>RES SMD 15 OHM 5% 1/4W 0603</t>
  </si>
  <si>
    <t>RHM56DCT-ND</t>
  </si>
  <si>
    <t>ESR03EZPJ560</t>
  </si>
  <si>
    <t>RES SMD 56 OHM 5% 1/4W 0603</t>
  </si>
  <si>
    <t>RHM1.5KKCT-ND</t>
  </si>
  <si>
    <t>ESR10EZPJ152</t>
  </si>
  <si>
    <t>RES SMD 1.5K OHM 5% 0.4W 0805</t>
  </si>
  <si>
    <t>RHM2.0KDCT-ND</t>
  </si>
  <si>
    <t>ESR03EZPJ202</t>
  </si>
  <si>
    <t>RES SMD 2K OHM 5% 1/4W 0603</t>
  </si>
  <si>
    <t>RHM15KDCT-ND</t>
  </si>
  <si>
    <t>ESR03EZPJ153</t>
  </si>
  <si>
    <t>RES SMD 15K OHM 5% 1/4W 0603</t>
  </si>
  <si>
    <t>RHM1.3DCT-ND</t>
  </si>
  <si>
    <t>ESR03EZPJ1R3</t>
  </si>
  <si>
    <t>RES SMD 1.3 OHM 5% 1/4W 0603</t>
  </si>
  <si>
    <t>RHM20KCT-ND</t>
  </si>
  <si>
    <t>ESR10EZPJ200</t>
  </si>
  <si>
    <t>RES SMD 20 OHM 5% 0.4W 0805</t>
  </si>
  <si>
    <t>RHM13KKCT-ND</t>
  </si>
  <si>
    <t>ESR10EZPJ133</t>
  </si>
  <si>
    <t>RES SMD 13K OHM 5% 0.4W 0805</t>
  </si>
  <si>
    <t>RHM16KDCT-ND</t>
  </si>
  <si>
    <t>ESR03EZPJ163</t>
  </si>
  <si>
    <t>RES SMD 16K OHM 5% 1/4W 0603</t>
  </si>
  <si>
    <t>RHM1.0KKCT-ND</t>
  </si>
  <si>
    <t>ESR10EZPJ102</t>
  </si>
  <si>
    <t>RES SMD 1K OHM 5% 0.4W 0805</t>
  </si>
  <si>
    <t>RHM7.5KDCT-ND</t>
  </si>
  <si>
    <t>ESR03EZPJ752</t>
  </si>
  <si>
    <t>RES SMD 7.5K OHM 5% 1/4W 0603</t>
  </si>
  <si>
    <t>RHM11DCT-ND</t>
  </si>
  <si>
    <t>ESR03EZPJ110</t>
  </si>
  <si>
    <t>RES SMD 11 OHM 5% 1/4W 0603</t>
  </si>
  <si>
    <t>RHM6.2KCT-ND</t>
  </si>
  <si>
    <t>ESR10EZPJ6R2</t>
  </si>
  <si>
    <t>RES SMD 6.2 OHM 5% 0.4W 0805</t>
  </si>
  <si>
    <t>RHM270DCT-ND</t>
  </si>
  <si>
    <t>ESR03EZPJ271</t>
  </si>
  <si>
    <t>RES SMD 270 OHM 5% 1/4W 0603</t>
  </si>
  <si>
    <t>RHM3.3KDCT-ND</t>
  </si>
  <si>
    <t>ESR03EZPJ332</t>
  </si>
  <si>
    <t>RES SMD 3.3K OHM 5% 1/4W 0603</t>
  </si>
  <si>
    <t>RHM180DCT-ND</t>
  </si>
  <si>
    <t>ESR03EZPJ181</t>
  </si>
  <si>
    <t>RES SMD 180 OHM 5% 1/4W 0603</t>
  </si>
  <si>
    <t>RHM39KCT-ND</t>
  </si>
  <si>
    <t>ESR10EZPJ390</t>
  </si>
  <si>
    <t>RES SMD 39 OHM 5% 0.4W 0805</t>
  </si>
  <si>
    <t>RHM6.8KCT-ND</t>
  </si>
  <si>
    <t>ESR10EZPJ6R8</t>
  </si>
  <si>
    <t>RES SMD 6.8 OHM 5% 0.4W 0805</t>
  </si>
  <si>
    <t>RHM5.1KDCT-ND</t>
  </si>
  <si>
    <t>ESR03EZPJ512</t>
  </si>
  <si>
    <t>RES SMD 5.1K OHM 5% 1/4W 0603</t>
  </si>
  <si>
    <t>RHM5.1KKCT-ND</t>
  </si>
  <si>
    <t>ESR10EZPJ512</t>
  </si>
  <si>
    <t>RES SMD 5.1K OHM 5% 0.4W 0805</t>
  </si>
  <si>
    <t>RHM18KDCT-ND</t>
  </si>
  <si>
    <t>ESR03EZPJ183</t>
  </si>
  <si>
    <t>RES SMD 18K OHM 5% 1/4W 0603</t>
  </si>
  <si>
    <t>RHM1.5KDCT-ND</t>
  </si>
  <si>
    <t>ESR03EZPJ152</t>
  </si>
  <si>
    <t>RES SMD 1.5K OHM 5% 1/4W 0603</t>
  </si>
  <si>
    <t>RHM16KCT-ND</t>
  </si>
  <si>
    <t>ESR10EZPJ160</t>
  </si>
  <si>
    <t>RES SMD 16 OHM 5% 0.4W 0805</t>
  </si>
  <si>
    <t>RHM56KCT-ND</t>
  </si>
  <si>
    <t>ESR10EZPJ560</t>
  </si>
  <si>
    <t>RES SMD 56 OHM 5% 0.4W 0805</t>
  </si>
  <si>
    <t>RHM22KDCT-ND</t>
  </si>
  <si>
    <t>ESR03EZPJ223</t>
  </si>
  <si>
    <t>RES SMD 22K OHM 5% 1/4W 0603</t>
  </si>
  <si>
    <t>RHM560KCT-ND</t>
  </si>
  <si>
    <t>ESR10EZPJ561</t>
  </si>
  <si>
    <t>RES SMD 560 OHM 5% 0.4W 0805</t>
  </si>
  <si>
    <t>RHM2.7DCT-ND</t>
  </si>
  <si>
    <t>ESR03EZPJ2R7</t>
  </si>
  <si>
    <t>RES SMD 2.7 OHM 5% 1/4W 0603</t>
  </si>
  <si>
    <t>RHM24KCT-ND</t>
  </si>
  <si>
    <t>ESR10EZPJ240</t>
  </si>
  <si>
    <t>RES SMD 24 OHM 5% 0.4W 0805</t>
  </si>
  <si>
    <t>RHM510KDCT-ND</t>
  </si>
  <si>
    <t>ESR03EZPJ514</t>
  </si>
  <si>
    <t>RES SMD 510K OHM 5% 1/4W 0603</t>
  </si>
  <si>
    <t>RHM3KCT-ND</t>
  </si>
  <si>
    <t>ESR10EZPJ3R0</t>
  </si>
  <si>
    <t>RES SMD 3 OHM 5% 0.4W 0805</t>
  </si>
  <si>
    <t>RHM1MDCT-ND</t>
  </si>
  <si>
    <t>ESR03EZPJ105</t>
  </si>
  <si>
    <t>RES SMD 1M OHM 5% 1/4W 0603</t>
  </si>
  <si>
    <t>RHM15.0KADCT-ND</t>
  </si>
  <si>
    <t>ESR03EZPF1502</t>
  </si>
  <si>
    <t>RES SMD 15K OHM 1% 1/4W 0603</t>
  </si>
  <si>
    <t>RHM560ADCT-ND</t>
  </si>
  <si>
    <t>ESR03EZPF5600</t>
  </si>
  <si>
    <t>RES SMD 560 OHM 1% 1/4W 0603</t>
  </si>
  <si>
    <t>RHM27.0KADCT-ND</t>
  </si>
  <si>
    <t>ESR03EZPF2702</t>
  </si>
  <si>
    <t>RES SMD 27K OHM 1% 1/4W 0603</t>
  </si>
  <si>
    <t>RHM1.50KADCT-ND</t>
  </si>
  <si>
    <t>ESR03EZPF1501</t>
  </si>
  <si>
    <t>RES SMD 1.5K OHM 1% 1/4W 0603</t>
  </si>
  <si>
    <t>RHM6.34AECT-ND</t>
  </si>
  <si>
    <t>ESR10EZPF6R34</t>
  </si>
  <si>
    <t>RES SMD 6.34 OHM 1% 0.4W 0805</t>
  </si>
  <si>
    <t>RHM3.92AECT-ND</t>
  </si>
  <si>
    <t>ESR10EZPF3R92</t>
  </si>
  <si>
    <t>RES SMD 3.92 OHM 1% 0.4W 0805</t>
  </si>
  <si>
    <t>RHM27.0AECT-ND</t>
  </si>
  <si>
    <t>ESR10EZPF27R0</t>
  </si>
  <si>
    <t>RES SMD 27 OHM 1% 0.4W 0805</t>
  </si>
  <si>
    <t>RHM200AECT-ND</t>
  </si>
  <si>
    <t>ESR10EZPF2000</t>
  </si>
  <si>
    <t>RES SMD 200 OHM 1% 0.4W 0805</t>
  </si>
  <si>
    <t>RHM3.60KAECT-ND</t>
  </si>
  <si>
    <t>ESR10EZPF3601</t>
  </si>
  <si>
    <t>RES SMD 3.6K OHM 1% 0.4W 0805</t>
  </si>
  <si>
    <t>RHM4.22AECT-ND</t>
  </si>
  <si>
    <t>ESR10EZPF4R22</t>
  </si>
  <si>
    <t>RES SMD 4.22 OHM 1% 0.4W 0805</t>
  </si>
  <si>
    <t>RHM9.10KAECT-ND</t>
  </si>
  <si>
    <t>ESR10EZPF9101</t>
  </si>
  <si>
    <t>RES SMD 9.1K OHM 1% 0.4W 0805</t>
  </si>
  <si>
    <t>RHM16.5AECT-ND</t>
  </si>
  <si>
    <t>ESR10EZPF16R5</t>
  </si>
  <si>
    <t>RES SMD 16.5 OHM 1% 0.4W 0805</t>
  </si>
  <si>
    <t>RHM13.7AECT-ND</t>
  </si>
  <si>
    <t>ESR10EZPF13R7</t>
  </si>
  <si>
    <t>RES SMD 13.7 OHM 1% 0.4W 0805</t>
  </si>
  <si>
    <t>RHM4.02KAECT-ND</t>
  </si>
  <si>
    <t>ESR10EZPF4021</t>
  </si>
  <si>
    <t>RES SMD 4.02K OHM 1% 0.4W 0805</t>
  </si>
  <si>
    <t>RHM5.60AECT-ND</t>
  </si>
  <si>
    <t>ESR10EZPF5R60</t>
  </si>
  <si>
    <t>RES SMD 5.6 OHM 1% 0.4W 0805</t>
  </si>
  <si>
    <t>RHM59.0KAECT-ND</t>
  </si>
  <si>
    <t>ESR10EZPF5902</t>
  </si>
  <si>
    <t>RES SMD 59K OHM 1% 0.4W 0805</t>
  </si>
  <si>
    <t>RHM1.50KAECT-ND</t>
  </si>
  <si>
    <t>ESR10EZPF1501</t>
  </si>
  <si>
    <t>RES SMD 1.5K OHM 1% 0.4W 0805</t>
  </si>
  <si>
    <t>RHM220KAECT-ND</t>
  </si>
  <si>
    <t>ESR10EZPF2203</t>
  </si>
  <si>
    <t>RES SMD 220K OHM 1% 0.4W 0805</t>
  </si>
  <si>
    <t>RHM9.10AECT-ND</t>
  </si>
  <si>
    <t>ESR10EZPF9R10</t>
  </si>
  <si>
    <t>RES SMD 9.1 OHM 1% 0.4W 0805</t>
  </si>
  <si>
    <t>RHM6.81AECT-ND</t>
  </si>
  <si>
    <t>ESR10EZPF6R81</t>
  </si>
  <si>
    <t>RES SMD 6.81 OHM 1% 0.4W 0805</t>
  </si>
  <si>
    <t>RHM4.30KAECT-ND</t>
  </si>
  <si>
    <t>ESR10EZPF4301</t>
  </si>
  <si>
    <t>RES SMD 4.3K OHM 1% 0.4W 0805</t>
  </si>
  <si>
    <t>RHM249KAECT-ND</t>
  </si>
  <si>
    <t>ESR10EZPF2493</t>
  </si>
  <si>
    <t>RES SMD 249K OHM 1% 0.4W 0805</t>
  </si>
  <si>
    <t>RHM22.6AECT-ND</t>
  </si>
  <si>
    <t>ESR10EZPF22R6</t>
  </si>
  <si>
    <t>RES SMD 22.6 OHM 1% 0.4W 0805</t>
  </si>
  <si>
    <t>RHM7.50KAECT-ND</t>
  </si>
  <si>
    <t>ESR10EZPF7501</t>
  </si>
  <si>
    <t>RES SMD 7.5K OHM 1% 0.4W 0805</t>
  </si>
  <si>
    <t>RHM4.32AECT-ND</t>
  </si>
  <si>
    <t>ESR10EZPF4R32</t>
  </si>
  <si>
    <t>RES SMD 4.32 OHM 1% 0.4W 0805</t>
  </si>
  <si>
    <t>RHM130KAECT-ND</t>
  </si>
  <si>
    <t>ESR10EZPF1303</t>
  </si>
  <si>
    <t>RES SMD 130K OHM 1% 0.4W 0805</t>
  </si>
  <si>
    <t>RHM2.2KDCT-ND</t>
  </si>
  <si>
    <t>ESR03EZPJ222</t>
  </si>
  <si>
    <t>RES SMD 2.2K OHM 5% 1/4W 0603</t>
  </si>
  <si>
    <t>RHM390DCT-ND</t>
  </si>
  <si>
    <t>ESR03EZPJ391</t>
  </si>
  <si>
    <t>RES SMD 390 OHM 5% 1/4W 0603</t>
  </si>
  <si>
    <t>RHM15KCT-ND</t>
  </si>
  <si>
    <t>ESR10EZPJ150</t>
  </si>
  <si>
    <t>RES SMD 15 OHM 5% 0.4W 0805</t>
  </si>
  <si>
    <t>RHM160KCT-ND</t>
  </si>
  <si>
    <t>ESR10EZPJ161</t>
  </si>
  <si>
    <t>RES SMD 160 OHM 5% 0.4W 0805</t>
  </si>
  <si>
    <t>RHM180KCT-ND</t>
  </si>
  <si>
    <t>ESR10EZPJ181</t>
  </si>
  <si>
    <t>RES SMD 180 OHM 5% 0.4W 0805</t>
  </si>
  <si>
    <t>RHM20KKCT-ND</t>
  </si>
  <si>
    <t>ESR10EZPJ203</t>
  </si>
  <si>
    <t>RES SMD 20K OHM 5% 0.4W 0805</t>
  </si>
  <si>
    <t>RHM2KCT-ND</t>
  </si>
  <si>
    <t>ESR10EZPJ2R0</t>
  </si>
  <si>
    <t>RES SMD 2 OHM 5% 0.4W 0805</t>
  </si>
  <si>
    <t>RHM300KCT-ND</t>
  </si>
  <si>
    <t>ESR10EZPJ301</t>
  </si>
  <si>
    <t>RES SMD 300 OHM 5% 0.4W 0805</t>
  </si>
  <si>
    <t>RHM3.0KKCT-ND</t>
  </si>
  <si>
    <t>ESR10EZPJ302</t>
  </si>
  <si>
    <t>RES SMD 3K OHM 5% 0.4W 0805</t>
  </si>
  <si>
    <t>RHM75KCT-ND</t>
  </si>
  <si>
    <t>ESR10EZPJ750</t>
  </si>
  <si>
    <t>RES SMD 75 OHM 5% 0.4W 0805</t>
  </si>
  <si>
    <t>RHM10MDCT-ND</t>
  </si>
  <si>
    <t>ESR03EZPJ106</t>
  </si>
  <si>
    <t>RES SMD 10M OHM 5% 1/4W 0603</t>
  </si>
  <si>
    <t>RHM160DCT-ND</t>
  </si>
  <si>
    <t>ESR03EZPJ161</t>
  </si>
  <si>
    <t>RES SMD 160 OHM 5% 1/4W 0603</t>
  </si>
  <si>
    <t>RHM20DCT-ND</t>
  </si>
  <si>
    <t>ESR03EZPJ200</t>
  </si>
  <si>
    <t>RES SMD 20 OHM 5% 1/4W 0603</t>
  </si>
  <si>
    <t>RHM1.2KDCT-ND</t>
  </si>
  <si>
    <t>ESR03EZPJ122</t>
  </si>
  <si>
    <t>RES SMD 1.2K OHM 5% 1/4W 0603</t>
  </si>
  <si>
    <t>RHM120KDCT-ND</t>
  </si>
  <si>
    <t>ESR03EZPJ124</t>
  </si>
  <si>
    <t>RES SMD 120K OHM 5% 1/4W 0603</t>
  </si>
  <si>
    <t>RHM16DCT-ND</t>
  </si>
  <si>
    <t>ESR03EZPJ160</t>
  </si>
  <si>
    <t>RES SMD 16 OHM 5% 1/4W 0603</t>
  </si>
  <si>
    <t>RHM1.8KDCT-ND</t>
  </si>
  <si>
    <t>ESR03EZPJ182</t>
  </si>
  <si>
    <t>RES SMD 1.8K OHM 5% 1/4W 0603</t>
  </si>
  <si>
    <t>RHM2.7KDCT-ND</t>
  </si>
  <si>
    <t>ESR03EZPJ272</t>
  </si>
  <si>
    <t>RES SMD 2.7K OHM 5% 1/4W 0603</t>
  </si>
  <si>
    <t>RHM3KDCT-ND</t>
  </si>
  <si>
    <t>ESR03EZPJ302</t>
  </si>
  <si>
    <t>RES SMD 3K OHM 5% 1/4W 0603</t>
  </si>
  <si>
    <t>RHM30KDCT-ND</t>
  </si>
  <si>
    <t>ESR03EZPJ303</t>
  </si>
  <si>
    <t>RES SMD 30K OHM 5% 1/4W 0603</t>
  </si>
  <si>
    <t>RHM360DCT-ND</t>
  </si>
  <si>
    <t>ESR03EZPJ361</t>
  </si>
  <si>
    <t>RES SMD 360 OHM 5% 1/4W 0603</t>
  </si>
  <si>
    <t>RHM39DCT-ND</t>
  </si>
  <si>
    <t>ESR03EZPJ390</t>
  </si>
  <si>
    <t>RES SMD 39 OHM 5% 1/4W 0603</t>
  </si>
  <si>
    <t>RHM303DCT-ND</t>
  </si>
  <si>
    <t>ESR03EZPJ3R3</t>
  </si>
  <si>
    <t>RES SMD 3.3 OHM 5% 1/4W 0603</t>
  </si>
  <si>
    <t>RHM470KDCT-ND</t>
  </si>
  <si>
    <t>ESR03EZPJ474</t>
  </si>
  <si>
    <t>RES SMD 470K OHM 5% 1/4W 0603</t>
  </si>
  <si>
    <t>RHM51KDCT-ND</t>
  </si>
  <si>
    <t>ESR03EZPJ513</t>
  </si>
  <si>
    <t>RES SMD 51K OHM 5% 1/4W 0603</t>
  </si>
  <si>
    <t>RHM620DCT-ND</t>
  </si>
  <si>
    <t>ESR03EZPJ621</t>
  </si>
  <si>
    <t>RES SMD 620 OHM 5% 1/4W 0603</t>
  </si>
  <si>
    <t>RHM68DCT-ND</t>
  </si>
  <si>
    <t>ESR03EZPJ680</t>
  </si>
  <si>
    <t>RES SMD 68 OHM 5% 1/4W 0603</t>
  </si>
  <si>
    <t>RHM75DCT-ND</t>
  </si>
  <si>
    <t>ESR03EZPJ750</t>
  </si>
  <si>
    <t>RES SMD 75 OHM 5% 1/4W 0603</t>
  </si>
  <si>
    <t>RHM82DCT-ND</t>
  </si>
  <si>
    <t>ESR03EZPJ820</t>
  </si>
  <si>
    <t>RES SMD 82 OHM 5% 1/4W 0603</t>
  </si>
  <si>
    <t>RHM820DCT-ND</t>
  </si>
  <si>
    <t>ESR03EZPJ821</t>
  </si>
  <si>
    <t>RES SMD 820 OHM 5% 1/4W 0603</t>
  </si>
  <si>
    <t>RHM8.2KDCT-ND</t>
  </si>
  <si>
    <t>ESR03EZPJ822</t>
  </si>
  <si>
    <t>RES SMD 8.2K OHM 5% 1/4W 0603</t>
  </si>
  <si>
    <t>RHM620KCT-ND</t>
  </si>
  <si>
    <t>ESR10EZPJ621</t>
  </si>
  <si>
    <t>RES SMD 620 OHM 5% 0.4W 0805</t>
  </si>
  <si>
    <t>RHM12.0KADCT-ND</t>
  </si>
  <si>
    <t>ESR03EZPF1202</t>
  </si>
  <si>
    <t>RES SMD 12K OHM 1% 1/4W 0603</t>
  </si>
  <si>
    <t>RHM150KADCT-ND</t>
  </si>
  <si>
    <t>ESR03EZPF1503</t>
  </si>
  <si>
    <t>RES SMD 150K OHM 1% 1/4W 0603</t>
  </si>
  <si>
    <t>RHM2.70KADCT-ND</t>
  </si>
  <si>
    <t>ESR03EZPF2701</t>
  </si>
  <si>
    <t>RES SMD 2.7K OHM 1% 1/4W 0603</t>
  </si>
  <si>
    <t>RHM4.70KAECT-ND</t>
  </si>
  <si>
    <t>ESR10EZPF4701</t>
  </si>
  <si>
    <t>RES SMD 4.7K OHM 1% 0.4W 0805</t>
  </si>
  <si>
    <t>RHM910DCT-ND</t>
  </si>
  <si>
    <t>ESR03EZPJ911</t>
  </si>
  <si>
    <t>RES SMD 910 OHM 5% 1/4W 0603</t>
  </si>
  <si>
    <t>RHM11KCT-ND</t>
  </si>
  <si>
    <t>ESR10EZPJ110</t>
  </si>
  <si>
    <t>RES SMD 11 OHM 5% 0.4W 0805</t>
  </si>
  <si>
    <t>RHM130KCT-ND</t>
  </si>
  <si>
    <t>ESR10EZPJ131</t>
  </si>
  <si>
    <t>RES SMD 130 OHM 5% 0.4W 0805</t>
  </si>
  <si>
    <t>RHM1.5MKCT-ND</t>
  </si>
  <si>
    <t>ESR10EZPJ155</t>
  </si>
  <si>
    <t>RES SMD 1.5M OHM 5% 0.4W 0805</t>
  </si>
  <si>
    <t>RHM1.8KCT-ND</t>
  </si>
  <si>
    <t>ESR10EZPJ1R8</t>
  </si>
  <si>
    <t>RES SMD 1.8 OHM 5% 0.4W 0805</t>
  </si>
  <si>
    <t>RHM200KKCT-ND</t>
  </si>
  <si>
    <t>ESR10EZPJ204</t>
  </si>
  <si>
    <t>RES SMD 200K OHM 5% 0.4W 0805</t>
  </si>
  <si>
    <t>RHM220KKCT-ND</t>
  </si>
  <si>
    <t>ESR10EZPJ224</t>
  </si>
  <si>
    <t>RES SMD 220K OHM 5% 0.4W 0805</t>
  </si>
  <si>
    <t>RHM36KCT-ND</t>
  </si>
  <si>
    <t>ESR10EZPJ360</t>
  </si>
  <si>
    <t>RES SMD 36 OHM 5% 0.4W 0805</t>
  </si>
  <si>
    <t>RHM39KKCT-ND</t>
  </si>
  <si>
    <t>ESR10EZPJ393</t>
  </si>
  <si>
    <t>RES SMD 39K OHM 5% 0.4W 0805</t>
  </si>
  <si>
    <t>RHM4.3KKCT-ND</t>
  </si>
  <si>
    <t>ESR10EZPJ432</t>
  </si>
  <si>
    <t>RES SMD 4.3K OHM 5% 0.4W 0805</t>
  </si>
  <si>
    <t>RHM5.6KKCT-ND</t>
  </si>
  <si>
    <t>ESR10EZPJ562</t>
  </si>
  <si>
    <t>RES SMD 5.6K OHM 5% 0.4W 0805</t>
  </si>
  <si>
    <t>RHM5.6KCT-ND</t>
  </si>
  <si>
    <t>ESR10EZPJ5R6</t>
  </si>
  <si>
    <t>RES SMD 5.6 OHM 5% 0.4W 0805</t>
  </si>
  <si>
    <t>RHM820KCT-ND</t>
  </si>
  <si>
    <t>ESR10EZPJ821</t>
  </si>
  <si>
    <t>RES SMD 820 OHM 5% 0.4W 0805</t>
  </si>
  <si>
    <t>RHM8.2KCT-ND</t>
  </si>
  <si>
    <t>ESR10EZPJ8R2</t>
  </si>
  <si>
    <t>RES SMD 8.2 OHM 5% 0.4W 0805</t>
  </si>
  <si>
    <t>RHM91KCT-ND</t>
  </si>
  <si>
    <t>ESR10EZPJ910</t>
  </si>
  <si>
    <t>RES SMD 91 OHM 5% 0.4W 0805</t>
  </si>
  <si>
    <t>RHM9.1KKCT-ND</t>
  </si>
  <si>
    <t>ESR10EZPJ912</t>
  </si>
  <si>
    <t>RES SMD 9.1K OHM 5% 0.4W 0805</t>
  </si>
  <si>
    <t>RHM91KKCT-ND</t>
  </si>
  <si>
    <t>ESR10EZPJ913</t>
  </si>
  <si>
    <t>RES SMD 91K OHM 5% 0.4W 0805</t>
  </si>
  <si>
    <t>RHM2.2MDCT-ND</t>
  </si>
  <si>
    <t>ESR03EZPJ225</t>
  </si>
  <si>
    <t>RES SMD 2.2M OHM 5% 1/4W 0603</t>
  </si>
  <si>
    <t>RHM1.1KDCT-ND</t>
  </si>
  <si>
    <t>ESR03EZPJ112</t>
  </si>
  <si>
    <t>RES SMD 1.1K OHM 5% 1/4W 0603</t>
  </si>
  <si>
    <t>RHM11KDCT-ND</t>
  </si>
  <si>
    <t>ESR03EZPJ113</t>
  </si>
  <si>
    <t>RES SMD 11K OHM 5% 1/4W 0603</t>
  </si>
  <si>
    <t>RHM1.2MDCT-ND</t>
  </si>
  <si>
    <t>ESR03EZPJ125</t>
  </si>
  <si>
    <t>RES SMD 1.2M OHM 5% 1/4W 0603</t>
  </si>
  <si>
    <t>RHM1.3KDCT-ND</t>
  </si>
  <si>
    <t>ESR03EZPJ132</t>
  </si>
  <si>
    <t>RES SMD 1.3K OHM 5% 1/4W 0603</t>
  </si>
  <si>
    <t>RHM150KDCT-ND</t>
  </si>
  <si>
    <t>ESR03EZPJ154</t>
  </si>
  <si>
    <t>RES SMD 150K OHM 5% 1/4W 0603</t>
  </si>
  <si>
    <t>RHM1.8MDCT-ND</t>
  </si>
  <si>
    <t>ESR03EZPJ185</t>
  </si>
  <si>
    <t>RES SMD 1.8M OHM 5% 1/4W 0603</t>
  </si>
  <si>
    <t>RHM1.2DCT-ND</t>
  </si>
  <si>
    <t>ESR03EZPJ1R2</t>
  </si>
  <si>
    <t>RES SMD 1.2 OHM 5% 1/4W 0603</t>
  </si>
  <si>
    <t>RHM220KDCT-ND</t>
  </si>
  <si>
    <t>ESR03EZPJ224</t>
  </si>
  <si>
    <t>RES SMD 220K OHM 5% 1/4W 0603</t>
  </si>
  <si>
    <t>RHM24DCT-ND</t>
  </si>
  <si>
    <t>ESR03EZPJ240</t>
  </si>
  <si>
    <t>RES SMD 24 OHM 5% 1/4W 0603</t>
  </si>
  <si>
    <t>RHM24KDCT-ND</t>
  </si>
  <si>
    <t>ESR03EZPJ243</t>
  </si>
  <si>
    <t>RES SMD 24K OHM 5% 1/4W 0603</t>
  </si>
  <si>
    <t>RHM3MDCT-ND</t>
  </si>
  <si>
    <t>ESR03EZPJ305</t>
  </si>
  <si>
    <t>RES SMD 3M OHM 5% 1/4W 0603</t>
  </si>
  <si>
    <t>RHM3.3MDCT-ND</t>
  </si>
  <si>
    <t>ESR03EZPJ335</t>
  </si>
  <si>
    <t>RES SMD 3.3M OHM 5% 1/4W 0603</t>
  </si>
  <si>
    <t>RHM3.9MDCT-ND</t>
  </si>
  <si>
    <t>ESR03EZPJ395</t>
  </si>
  <si>
    <t>RES SMD 3.9M OHM 5% 1/4W 0603</t>
  </si>
  <si>
    <t>RHM3.9DCT-ND</t>
  </si>
  <si>
    <t>ESR03EZPJ3R9</t>
  </si>
  <si>
    <t>RES SMD 3.9 OHM 5% 1/4W 0603</t>
  </si>
  <si>
    <t>RHM43DCT-ND</t>
  </si>
  <si>
    <t>ESR03EZPJ430</t>
  </si>
  <si>
    <t>RES SMD 43 OHM 5% 1/4W 0603</t>
  </si>
  <si>
    <t>RHM43KDCT-ND</t>
  </si>
  <si>
    <t>ESR03EZPJ433</t>
  </si>
  <si>
    <t>RES SMD 43K OHM 5% 1/4W 0603</t>
  </si>
  <si>
    <t>RHM5.1MDCT-ND</t>
  </si>
  <si>
    <t>ESR03EZPJ515</t>
  </si>
  <si>
    <t>RES SMD 5.1M OHM 5% 1/4W 0603</t>
  </si>
  <si>
    <t>RHM56KDCT-ND</t>
  </si>
  <si>
    <t>ESR03EZPJ563</t>
  </si>
  <si>
    <t>RES SMD 56K OHM 5% 1/4W 0603</t>
  </si>
  <si>
    <t>RHM5.6DCT-ND</t>
  </si>
  <si>
    <t>ESR03EZPJ5R6</t>
  </si>
  <si>
    <t>RES SMD 5.6 OHM 5% 1/4W 0603</t>
  </si>
  <si>
    <t>RHM62KDCT-ND</t>
  </si>
  <si>
    <t>ESR03EZPJ623</t>
  </si>
  <si>
    <t>RES SMD 62K OHM 5% 1/4W 0603</t>
  </si>
  <si>
    <t>RHM6.2DCT-ND</t>
  </si>
  <si>
    <t>ESR03EZPJ6R2</t>
  </si>
  <si>
    <t>RES SMD 6.2 OHM 5% 1/4W 0603</t>
  </si>
  <si>
    <t>RHM6.8DCT-ND</t>
  </si>
  <si>
    <t>ESR03EZPJ6R8</t>
  </si>
  <si>
    <t>RES SMD 6.8 OHM 5% 1/4W 0603</t>
  </si>
  <si>
    <t>RHM75KDCT-ND</t>
  </si>
  <si>
    <t>ESR03EZPJ753</t>
  </si>
  <si>
    <t>RES SMD 75K OHM 5% 1/4W 0603</t>
  </si>
  <si>
    <t>RHM91KDCT-ND</t>
  </si>
  <si>
    <t>ESR03EZPJ913</t>
  </si>
  <si>
    <t>RES SMD 91K OHM 5% 1/4W 0603</t>
  </si>
  <si>
    <t>RHM9.1DCT-ND</t>
  </si>
  <si>
    <t>ESR03EZPJ9R1</t>
  </si>
  <si>
    <t>RES SMD 9.1 OHM 5% 1/4W 0603</t>
  </si>
  <si>
    <t>RHM15KKCT-ND</t>
  </si>
  <si>
    <t>ESR10EZPJ153</t>
  </si>
  <si>
    <t>RES SMD 15K OHM 5% 0.4W 0805</t>
  </si>
  <si>
    <t>RHM2.2MKCT-ND</t>
  </si>
  <si>
    <t>ESR10EZPJ225</t>
  </si>
  <si>
    <t>RES SMD 2.2M OHM 5% 0.4W 0805</t>
  </si>
  <si>
    <t>RHM2.7MKCT-ND</t>
  </si>
  <si>
    <t>ESR10EZPJ275</t>
  </si>
  <si>
    <t>RES SMD 2.7M OHM 5% 0.4W 0805</t>
  </si>
  <si>
    <t>RHM30KKCT-ND</t>
  </si>
  <si>
    <t>ESR10EZPJ303</t>
  </si>
  <si>
    <t>RES SMD 30K OHM 5% 0.4W 0805</t>
  </si>
  <si>
    <t>RHM4.3KCT-ND</t>
  </si>
  <si>
    <t>ESR10EZPJ4R3</t>
  </si>
  <si>
    <t>RES SMD 4.3 OHM 5% 0.4W 0805</t>
  </si>
  <si>
    <t>RHM6.2KKCT-ND</t>
  </si>
  <si>
    <t>ESR10EZPJ622</t>
  </si>
  <si>
    <t>RES SMD 6.2K OHM 5% 0.4W 0805</t>
  </si>
  <si>
    <t>RHM1.1KKCT-ND</t>
  </si>
  <si>
    <t>ESR10EZPJ112</t>
  </si>
  <si>
    <t>RES SMD 1.1K OHM 5% 0.4W 0805</t>
  </si>
  <si>
    <t>RHM2.4KCT-ND</t>
  </si>
  <si>
    <t>ESR10EZPJ2R4</t>
  </si>
  <si>
    <t>RES SMD 2.4 OHM 5% 0.4W 0805</t>
  </si>
  <si>
    <t>RHM43KCT-ND</t>
  </si>
  <si>
    <t>ESR10EZPJ430</t>
  </si>
  <si>
    <t>RES SMD 43 OHM 5% 0.4W 0805</t>
  </si>
  <si>
    <t>RHM560KKCT-ND</t>
  </si>
  <si>
    <t>ESR10EZPJ564</t>
  </si>
  <si>
    <t>RES SMD 560K OHM 5% 0.4W 0805</t>
  </si>
  <si>
    <t>RHM1.1MDCT-ND</t>
  </si>
  <si>
    <t>ESR03EZPJ115</t>
  </si>
  <si>
    <t>RES SMD 1.1M OHM 5% 1/4W 0603</t>
  </si>
  <si>
    <t>RHM130KDCT-ND</t>
  </si>
  <si>
    <t>ESR03EZPJ134</t>
  </si>
  <si>
    <t>RES SMD 130K OHM 5% 1/4W 0603</t>
  </si>
  <si>
    <t>RHM1.3MDCT-ND</t>
  </si>
  <si>
    <t>ESR03EZPJ135</t>
  </si>
  <si>
    <t>RES SMD 1.3M OHM 5% 1/4W 0603</t>
  </si>
  <si>
    <t>RHM1.6MDCT-ND</t>
  </si>
  <si>
    <t>ESR03EZPJ165</t>
  </si>
  <si>
    <t>RES SMD 1.6M OHM 5% 1/4W 0603</t>
  </si>
  <si>
    <t>RHM1.1DCT-ND</t>
  </si>
  <si>
    <t>ESR03EZPJ1R1</t>
  </si>
  <si>
    <t>RES SMD 1.1 OHM 5% 1/4W 0603</t>
  </si>
  <si>
    <t>RHM36KDCT-ND</t>
  </si>
  <si>
    <t>ESR03EZPJ363</t>
  </si>
  <si>
    <t>RES SMD 36K OHM 5% 1/4W 0603</t>
  </si>
  <si>
    <t>RHM3.6MDCT-ND</t>
  </si>
  <si>
    <t>ESR03EZPJ365</t>
  </si>
  <si>
    <t>RES SMD 3.6M OHM 5% 1/4W 0603</t>
  </si>
  <si>
    <t>RHM7.5MDCT-ND</t>
  </si>
  <si>
    <t>ESR03EZPJ755</t>
  </si>
  <si>
    <t>RES SMD 7.5M OHM 5% 1/4W 0603</t>
  </si>
  <si>
    <t>RHM820KDCT-ND</t>
  </si>
  <si>
    <t>ESR03EZPJ824</t>
  </si>
  <si>
    <t>RES SMD 820K OHM 5% 1/4W 0603</t>
  </si>
  <si>
    <t>RHM8.2MDCT-ND</t>
  </si>
  <si>
    <t>ESR03EZPJ825</t>
  </si>
  <si>
    <t>RES SMD 8.2M OHM 5% 1/4W 0603</t>
  </si>
  <si>
    <t>RHM9.1MDCT-ND</t>
  </si>
  <si>
    <t>ESR03EZPJ915</t>
  </si>
  <si>
    <t>RES SMD 9.1M OHM 5% 1/4W 0603</t>
  </si>
  <si>
    <t>RHM180KKCT-ND</t>
  </si>
  <si>
    <t>ESR10EZPJ184</t>
  </si>
  <si>
    <t>RES SMD 180K OHM 5% 0.4W 0805</t>
  </si>
  <si>
    <t>RHM1.8MKCT-ND</t>
  </si>
  <si>
    <t>ESR10EZPJ185</t>
  </si>
  <si>
    <t>RES SMD 1.8M OHM 5% 0.4W 0805</t>
  </si>
  <si>
    <t>RHM3MKCT-ND</t>
  </si>
  <si>
    <t>ESR10EZPJ305</t>
  </si>
  <si>
    <t>RES SMD 3M OHM 5% 0.4W 0805</t>
  </si>
  <si>
    <t>RHM5.1MKCT-ND</t>
  </si>
  <si>
    <t>ESR10EZPJ515</t>
  </si>
  <si>
    <t>RES SMD 5.1M OHM 5% 0.4W 0805</t>
  </si>
  <si>
    <t>RHM5.6MKCT-ND</t>
  </si>
  <si>
    <t>ESR10EZPJ565</t>
  </si>
  <si>
    <t>RES SMD 5.6M OHM 5% 0.4W 0805</t>
  </si>
  <si>
    <t>RHM6.2MKCT-ND</t>
  </si>
  <si>
    <t>ESR10EZPJ625</t>
  </si>
  <si>
    <t>RES SMD 6.2M OHM 5% 0.4W 0805</t>
  </si>
  <si>
    <t>RHM680KKCT-ND</t>
  </si>
  <si>
    <t>ESR10EZPJ684</t>
  </si>
  <si>
    <t>RES SMD 680K OHM 5% 0.4W 0805</t>
  </si>
  <si>
    <t>RHM7.5MKCT-ND</t>
  </si>
  <si>
    <t>ESR10EZPJ755</t>
  </si>
  <si>
    <t>RES SMD 7.5M OHM 5% 0.4W 0805</t>
  </si>
  <si>
    <t>RHM8.2MKCT-ND</t>
  </si>
  <si>
    <t>ESR10EZPJ825</t>
  </si>
  <si>
    <t>RES SMD 8.2M OHM 5% 0.4W 0805</t>
  </si>
  <si>
    <t>RHM6.2KDCT-ND</t>
  </si>
  <si>
    <t>ESR03EZPJ622</t>
  </si>
  <si>
    <t>RES SMD 6.2K OHM 5% 1/4W 0603</t>
  </si>
  <si>
    <t>RHM68KDCT-ND</t>
  </si>
  <si>
    <t>ESR03EZPJ683</t>
  </si>
  <si>
    <t>RES SMD 68K OHM 5% 1/4W 0603</t>
  </si>
  <si>
    <t>RHM1.1MKCT-ND</t>
  </si>
  <si>
    <t>ESR10EZPJ115</t>
  </si>
  <si>
    <t>RES SMD 1.1M OHM 5% 0.4W 0805</t>
  </si>
  <si>
    <t>RHM2.0MKCT-ND</t>
  </si>
  <si>
    <t>ESR10EZPJ205</t>
  </si>
  <si>
    <t>RES SMD 2M OHM 5% 0.4W 0805</t>
  </si>
  <si>
    <t>RHM36DCT-ND</t>
  </si>
  <si>
    <t>ESR03EZPJ360</t>
  </si>
  <si>
    <t>RES SMD 36 OHM 5% 1/4W 0603</t>
  </si>
  <si>
    <t>RHM560KDCT-ND</t>
  </si>
  <si>
    <t>ESR03EZPJ564</t>
  </si>
  <si>
    <t>RES SMD 560K OHM 5% 1/4W 0603</t>
  </si>
  <si>
    <t>RHM910KDCT-ND</t>
  </si>
  <si>
    <t>ESR03EZPJ914</t>
  </si>
  <si>
    <t>RES SMD 910K OHM 5% 1/4W 0603</t>
  </si>
  <si>
    <t>RHM360KCT-ND</t>
  </si>
  <si>
    <t>ESR10EZPJ361</t>
  </si>
  <si>
    <t>RES SMD 360 OHM 5% 0.4W 0805</t>
  </si>
  <si>
    <t>RHM1.6DCT-ND</t>
  </si>
  <si>
    <t>ESR03EZPJ1R6</t>
  </si>
  <si>
    <t>RES SMD 1.6 OHM 5% 1/4W 0603</t>
  </si>
  <si>
    <t>RHM82KKCT-ND</t>
  </si>
  <si>
    <t>ESR10EZPJ823</t>
  </si>
  <si>
    <t>RES SMD 82K OHM 5% 0.4W 0805</t>
  </si>
  <si>
    <t>RHM110KCT-ND</t>
  </si>
  <si>
    <t>ESR10EZPJ111</t>
  </si>
  <si>
    <t>RES SMD 110 OHM 5% 0.4W 0805</t>
  </si>
  <si>
    <t>RHM1.6KDCT-ND</t>
  </si>
  <si>
    <t>ESR03EZPJ162</t>
  </si>
  <si>
    <t>RES SMD 1.6K OHM 5% 1/4W 0603</t>
  </si>
  <si>
    <t>RHM180KDCT-ND</t>
  </si>
  <si>
    <t>ESR03EZPJ184</t>
  </si>
  <si>
    <t>RES SMD 180K OHM 5% 1/4W 0603</t>
  </si>
  <si>
    <t>RHM2MDCT-ND</t>
  </si>
  <si>
    <t>ESR03EZPJ205</t>
  </si>
  <si>
    <t>RES SMD 2M OHM 5% 1/4W 0603</t>
  </si>
  <si>
    <t>RHM3.6KCT-ND</t>
  </si>
  <si>
    <t>ESR10EZPJ3R6</t>
  </si>
  <si>
    <t>RES SMD 3.6 OHM 5% 0.4W 0805</t>
  </si>
  <si>
    <t>RHM1.0MKCT-ND</t>
  </si>
  <si>
    <t>ESR10EZPJ105</t>
  </si>
  <si>
    <t>RES SMD 1M OHM 5% 0.4W 0805</t>
  </si>
  <si>
    <t>RHM3.3KCT-ND</t>
  </si>
  <si>
    <t>ESR10EZPJ3R3</t>
  </si>
  <si>
    <t>RES SMD 3.3 OHM 5% 0.4W 0805</t>
  </si>
  <si>
    <t>RHM18KKCT-ND</t>
  </si>
  <si>
    <t>ESR10EZPJ183</t>
  </si>
  <si>
    <t>RES SMD 18K OHM 5% 0.4W 0805</t>
  </si>
  <si>
    <t>RHM18KCT-ND</t>
  </si>
  <si>
    <t>ESR10EZPJ180</t>
  </si>
  <si>
    <t>RES SMD 18 OHM 5% 0.4W 0805</t>
  </si>
  <si>
    <t>RHM12KDCT-ND</t>
  </si>
  <si>
    <t>ESR03EZPJ123</t>
  </si>
  <si>
    <t>RES SMD 12K OHM 5% 1/4W 0603</t>
  </si>
  <si>
    <t>RHM110DCT-ND</t>
  </si>
  <si>
    <t>ESR03EZPJ111</t>
  </si>
  <si>
    <t>RES SMD 110 OHM 5% 1/4W 0603</t>
  </si>
  <si>
    <t>RHM2.4MDCT-ND</t>
  </si>
  <si>
    <t>ESR03EZPJ245</t>
  </si>
  <si>
    <t>RES SMD 2.4M OHM 5% 1/4W 0603</t>
  </si>
  <si>
    <t>RHM240KDCT-ND</t>
  </si>
  <si>
    <t>ESR03EZPJ244</t>
  </si>
  <si>
    <t>RES SMD 240K OHM 5% 1/4W 0603</t>
  </si>
  <si>
    <t>RHM9.1KDCT-ND</t>
  </si>
  <si>
    <t>ESR03EZPJ912</t>
  </si>
  <si>
    <t>RES SMD 9.1K OHM 5% 1/4W 0603</t>
  </si>
  <si>
    <t>RHM39KDCT-ND</t>
  </si>
  <si>
    <t>ESR03EZPJ393</t>
  </si>
  <si>
    <t>RES SMD 39K OHM 5% 1/4W 0603</t>
  </si>
  <si>
    <t>RHM13DCT-ND</t>
  </si>
  <si>
    <t>ESR03EZPJ130</t>
  </si>
  <si>
    <t>RES SMD 13 OHM 5% 1/4W 0603</t>
  </si>
  <si>
    <t>RHM7.5DCT-ND</t>
  </si>
  <si>
    <t>ESR03EZPJ7R5</t>
  </si>
  <si>
    <t>RES SMD 7.5 OHM 5% 1/4W 0603</t>
  </si>
  <si>
    <t>RHM1.2KCT-ND</t>
  </si>
  <si>
    <t>ESR10EZPJ1R2</t>
  </si>
  <si>
    <t>RES SMD 1.2 OHM 5% 0.4W 0805</t>
  </si>
  <si>
    <t>RHM36KKCT-ND</t>
  </si>
  <si>
    <t>ESR10EZPJ363</t>
  </si>
  <si>
    <t>RES SMD 36K OHM 5% 0.4W 0805</t>
  </si>
  <si>
    <t>RHM750KDCT-ND</t>
  </si>
  <si>
    <t>ESR03EZPJ754</t>
  </si>
  <si>
    <t>RES SMD 750K OHM 5% 1/4W 0603</t>
  </si>
  <si>
    <t>RHM6.8MKCT-ND</t>
  </si>
  <si>
    <t>ESR10EZPJ685</t>
  </si>
  <si>
    <t>RES SMD 6.8M OHM 5% 0.4W 0805</t>
  </si>
  <si>
    <t>RHM6.8MDCT-ND</t>
  </si>
  <si>
    <t>ESR03EZPJ685</t>
  </si>
  <si>
    <t>RES SMD 6.8M OHM 5% 1/4W 0603</t>
  </si>
  <si>
    <t>RHM9.1KCT-ND</t>
  </si>
  <si>
    <t>ESR10EZPJ9R1</t>
  </si>
  <si>
    <t>RES SMD 9.1 OHM 5% 0.4W 0805</t>
  </si>
  <si>
    <t>RHM68KKCT-ND</t>
  </si>
  <si>
    <t>ESR10EZPJ683</t>
  </si>
  <si>
    <t>RES SMD 68K OHM 5% 0.4W 0805</t>
  </si>
  <si>
    <t>RHM150KKCT-ND</t>
  </si>
  <si>
    <t>ESR10EZPJ154</t>
  </si>
  <si>
    <t>RES SMD 150K OHM 5% 0.4W 0805</t>
  </si>
  <si>
    <t>RHM4.3DCT-ND</t>
  </si>
  <si>
    <t>ESR03EZPJ4R3</t>
  </si>
  <si>
    <t>RES SMD 4.3 OHM 5% 1/4W 0603</t>
  </si>
  <si>
    <t>RHM1.8DCT-ND</t>
  </si>
  <si>
    <t>ESR03EZPJ1R8</t>
  </si>
  <si>
    <t>RES SMD 1.8 OHM 5% 1/4W 0603</t>
  </si>
  <si>
    <t>RHM30KCT-ND</t>
  </si>
  <si>
    <t>ESR10EZPJ300</t>
  </si>
  <si>
    <t>RES SMD 30 OHM 5% 0.4W 0805</t>
  </si>
  <si>
    <t>RHM110KDCT-ND</t>
  </si>
  <si>
    <t>ESR03EZPJ114</t>
  </si>
  <si>
    <t>RES SMD 110K OHM 5% 1/4W 0603</t>
  </si>
  <si>
    <t>RHM300KDCT-ND</t>
  </si>
  <si>
    <t>ESR03EZPJ304</t>
  </si>
  <si>
    <t>RES SMD 300K OHM 5% 1/4W 0603</t>
  </si>
  <si>
    <t>RHM7.5KCT-ND</t>
  </si>
  <si>
    <t>ESR10EZPJ7R5</t>
  </si>
  <si>
    <t>RES SMD 7.5 OHM 5% 0.4W 0805</t>
  </si>
  <si>
    <t>RHM75KKCT-ND</t>
  </si>
  <si>
    <t>ESR10EZPJ753</t>
  </si>
  <si>
    <t>RES SMD 75K OHM 5% 0.4W 0805</t>
  </si>
  <si>
    <t>RHM4.7MKCT-ND</t>
  </si>
  <si>
    <t>ESR10EZPJ475</t>
  </si>
  <si>
    <t>RES SMD 4.7M OHM 5% 0.4W 0805</t>
  </si>
  <si>
    <t>RHM56KKCT-ND</t>
  </si>
  <si>
    <t>ESR10EZPJ563</t>
  </si>
  <si>
    <t>RES SMD 56K OHM 5% 0.4W 0805</t>
  </si>
  <si>
    <t>RHM4.3KDCT-ND</t>
  </si>
  <si>
    <t>ESR03EZPJ432</t>
  </si>
  <si>
    <t>RES SMD 4.3K OHM 5% 1/4W 0603</t>
  </si>
  <si>
    <t>RHM13KDCT-ND</t>
  </si>
  <si>
    <t>ESR03EZPJ133</t>
  </si>
  <si>
    <t>RES SMD 13K OHM 5% 1/4W 0603</t>
  </si>
  <si>
    <t>RHM3.6KKCT-ND</t>
  </si>
  <si>
    <t>ESR10EZPJ362</t>
  </si>
  <si>
    <t>RES SMD 3.6K OHM 5% 0.4W 0805</t>
  </si>
  <si>
    <t>RHM430KKCT-ND</t>
  </si>
  <si>
    <t>ESR10EZPJ434</t>
  </si>
  <si>
    <t>RES SMD 430K OHM 5% 0.4W 0805</t>
  </si>
  <si>
    <t>RHM3.9KKCT-ND</t>
  </si>
  <si>
    <t>ESR10EZPJ392</t>
  </si>
  <si>
    <t>RES SMD 3.9K OHM 5% 0.4W 0805</t>
  </si>
  <si>
    <t>RHM910KCT-ND</t>
  </si>
  <si>
    <t>ESR10EZPJ911</t>
  </si>
  <si>
    <t>RES SMD 910 OHM 5% 0.4W 0805</t>
  </si>
  <si>
    <t>RHM16KKCT-ND</t>
  </si>
  <si>
    <t>ESR10EZPJ163</t>
  </si>
  <si>
    <t>RES SMD 16K OHM 5% 0.4W 0805</t>
  </si>
  <si>
    <t>RHM2.4KDCT-ND</t>
  </si>
  <si>
    <t>ESR03EZPJ242</t>
  </si>
  <si>
    <t>RES SMD 2.4K OHM 5% 1/4W 0603</t>
  </si>
  <si>
    <t>RHM300KKCT-ND</t>
  </si>
  <si>
    <t>ESR10EZPJ304</t>
  </si>
  <si>
    <t>RES SMD 300K OHM 5% 0.4W 0805</t>
  </si>
  <si>
    <t>RHM3.6KDCT-ND</t>
  </si>
  <si>
    <t>ESR03EZPJ362</t>
  </si>
  <si>
    <t>RES SMD 3.6K OHM 5% 1/4W 0603</t>
  </si>
  <si>
    <t>RHM470DCT-ND</t>
  </si>
  <si>
    <t>ESR03EZPJ471</t>
  </si>
  <si>
    <t>RES SMD 470 OHM 5% 1/4W 0603</t>
  </si>
  <si>
    <t>RHM330KCT-ND</t>
  </si>
  <si>
    <t>ESR10EZPJ331</t>
  </si>
  <si>
    <t>RES SMD 330 OHM 5% 0.4W 0805</t>
  </si>
  <si>
    <t>RHM33KKCT-ND</t>
  </si>
  <si>
    <t>ESR10EZPJ333</t>
  </si>
  <si>
    <t>RES SMD 33K OHM 5% 0.4W 0805</t>
  </si>
  <si>
    <t>RHM27KCT-ND</t>
  </si>
  <si>
    <t>ESR10EZPJ270</t>
  </si>
  <si>
    <t>RES SMD 27 OHM 5% 0.4W 0805</t>
  </si>
  <si>
    <t>RHM30DCT-ND</t>
  </si>
  <si>
    <t>ESR03EZPJ300</t>
  </si>
  <si>
    <t>RES SMD 30 OHM 5% 1/4W 0603</t>
  </si>
  <si>
    <t>RHM680KDCT-ND</t>
  </si>
  <si>
    <t>ESR03EZPJ684</t>
  </si>
  <si>
    <t>RES SMD 680K OHM 5% 1/4W 0603</t>
  </si>
  <si>
    <t>RHM560DCT-ND</t>
  </si>
  <si>
    <t>ESR03EZPJ561</t>
  </si>
  <si>
    <t>RES SMD 560 OHM 5% 1/4W 0603</t>
  </si>
  <si>
    <t>RHM120KKCT-ND</t>
  </si>
  <si>
    <t>ESR10EZPJ124</t>
  </si>
  <si>
    <t>RES SMD 120K OHM 5% 0.4W 0805</t>
  </si>
  <si>
    <t>RHM10MKCT-ND</t>
  </si>
  <si>
    <t>ESR10EZPJ106</t>
  </si>
  <si>
    <t>RES SMD 10M OHM 5% 0.4W 0805</t>
  </si>
  <si>
    <t>RHM430KDCT-ND</t>
  </si>
  <si>
    <t>ESR03EZPJ434</t>
  </si>
  <si>
    <t>RES SMD 430K OHM 5% 1/4W 0603</t>
  </si>
  <si>
    <t>RHM3.5MKCT-ND</t>
  </si>
  <si>
    <t>ESR10EZPJ335</t>
  </si>
  <si>
    <t>RES SMD 3.3M OHM 5% 0.4W 0805</t>
  </si>
  <si>
    <t>RHM470KKCT-ND</t>
  </si>
  <si>
    <t>ESR10EZPJ474</t>
  </si>
  <si>
    <t>RES SMD 470K OHM 5% 0.4W 0805</t>
  </si>
  <si>
    <t>RHM82KDCT-ND</t>
  </si>
  <si>
    <t>ESR03EZPJ823</t>
  </si>
  <si>
    <t>RES SMD 82K OHM 5% 1/4W 0603</t>
  </si>
  <si>
    <t>RHM330KKCT-ND</t>
  </si>
  <si>
    <t>ESR10EZPJ334</t>
  </si>
  <si>
    <t>RES SMD 330K OHM 5% 0.4W 0805</t>
  </si>
  <si>
    <t>RHM1.1KCT-ND</t>
  </si>
  <si>
    <t>ESR10EZPJ1R1</t>
  </si>
  <si>
    <t>RES SMD 1.1 OHM 5% 0.4W 0805</t>
  </si>
  <si>
    <t>RHM22KKCT-ND</t>
  </si>
  <si>
    <t>ESR10EZPJ223</t>
  </si>
  <si>
    <t>RES SMD 22K OHM 5% 0.4W 0805</t>
  </si>
  <si>
    <t>RHM1.5MDCT-ND</t>
  </si>
  <si>
    <t>ESR03EZPJ155</t>
  </si>
  <si>
    <t>RES SMD 1.5M OHM 5% 1/4W 0603</t>
  </si>
  <si>
    <t>RHM91DCT-ND</t>
  </si>
  <si>
    <t>ESR03EZPJ910</t>
  </si>
  <si>
    <t>RES SMD 91 OHM 5% 1/4W 0603</t>
  </si>
  <si>
    <t>RHM4.7MDCT-ND</t>
  </si>
  <si>
    <t>ESR03EZPJ475</t>
  </si>
  <si>
    <t>RES SMD 4.7M OHM 5% 1/4W 0603</t>
  </si>
  <si>
    <t>RHM3.6DCT-ND</t>
  </si>
  <si>
    <t>ESR03EZPJ3R6</t>
  </si>
  <si>
    <t>RES SMD 3.6 OHM 5% 1/4W 0603</t>
  </si>
  <si>
    <t>RHM750DCT-ND</t>
  </si>
  <si>
    <t>ESR03EZPJ751</t>
  </si>
  <si>
    <t>RES SMD 750 OHM 5% 1/4W 0603</t>
  </si>
  <si>
    <t>RHM33KDCT-ND</t>
  </si>
  <si>
    <t>ESR03EZPJ333</t>
  </si>
  <si>
    <t>RES SMD 33K OHM 5% 1/4W 0603</t>
  </si>
  <si>
    <t>RHM68KCT-ND</t>
  </si>
  <si>
    <t>ESR10EZPJ680</t>
  </si>
  <si>
    <t>RES SMD 68 OHM 5% 0.4W 0805</t>
  </si>
  <si>
    <t>RHM1.5DCT-ND</t>
  </si>
  <si>
    <t>ESR03EZPJ1R5</t>
  </si>
  <si>
    <t>RES SMD 1.5 OHM 5% 1/4W 0603</t>
  </si>
  <si>
    <t>RHM62KCT-ND</t>
  </si>
  <si>
    <t>ESR10EZPJ620</t>
  </si>
  <si>
    <t>RES SMD 62 OHM 5% 0.4W 0805</t>
  </si>
  <si>
    <t>RHM270KDCT-ND</t>
  </si>
  <si>
    <t>ESR03EZPJ274</t>
  </si>
  <si>
    <t>RES SMD 270K OHM 5% 1/4W 0603</t>
  </si>
  <si>
    <t>RHM100KKCT-ND</t>
  </si>
  <si>
    <t>ESR10EZPJ104</t>
  </si>
  <si>
    <t>RES SMD 100K OHM 5% 0.4W 0805</t>
  </si>
  <si>
    <t>RHM510KKCT-ND</t>
  </si>
  <si>
    <t>ESR10EZPJ514</t>
  </si>
  <si>
    <t>RES SMD 510K OHM 5% 0.4W 0805</t>
  </si>
  <si>
    <t>RHM330KDCT-ND</t>
  </si>
  <si>
    <t>ESR03EZPJ334</t>
  </si>
  <si>
    <t>RES SMD 330K OHM 5% 1/4W 0603</t>
  </si>
  <si>
    <t>RHM430DCT-ND</t>
  </si>
  <si>
    <t>ESR03EZPJ431</t>
  </si>
  <si>
    <t>RES SMD 430 OHM 5% 1/4W 0603</t>
  </si>
  <si>
    <t>RHM200KDCT-ND</t>
  </si>
  <si>
    <t>ESR03EZPJ204</t>
  </si>
  <si>
    <t>RES SMD 200K OHM 5% 1/4W 0603</t>
  </si>
  <si>
    <t>RHM13KCT-ND</t>
  </si>
  <si>
    <t>ESR10EZPJ130</t>
  </si>
  <si>
    <t>RES SMD 13 OHM 5% 0.4W 0805</t>
  </si>
  <si>
    <t>RHM5.6KDCT-ND</t>
  </si>
  <si>
    <t>ESR03EZPJ562</t>
  </si>
  <si>
    <t>RES SMD 5.6K OHM 5% 1/4W 0603</t>
  </si>
  <si>
    <t>RHM3.9KDCT-ND</t>
  </si>
  <si>
    <t>ESR03EZPJ392</t>
  </si>
  <si>
    <t>RES SMD 3.9K OHM 5% 1/4W 0603</t>
  </si>
  <si>
    <t>RHM680KCT-ND</t>
  </si>
  <si>
    <t>ESR10EZPJ681</t>
  </si>
  <si>
    <t>RES SMD 680 OHM 5% 0.4W 0805</t>
  </si>
  <si>
    <t>RHM2.4DCT-ND</t>
  </si>
  <si>
    <t>ESR03EZPJ2R4</t>
  </si>
  <si>
    <t>RES SMD 2.4 OHM 5% 1/4W 0603</t>
  </si>
  <si>
    <t>RHM330KADCT-ND</t>
  </si>
  <si>
    <t>ESR03EZPF3303</t>
  </si>
  <si>
    <t>RES SMD 330K OHM 1% 1/4W 0603</t>
  </si>
  <si>
    <t>RHM4.30KADCT-ND</t>
  </si>
  <si>
    <t>ESR03EZPF4301</t>
  </si>
  <si>
    <t>RES SMD 4.3K OHM 1% 1/4W 0603</t>
  </si>
  <si>
    <t>RHM75.0KADCT-ND</t>
  </si>
  <si>
    <t>ESR03EZPF7502</t>
  </si>
  <si>
    <t>RES SMD 75K OHM 1% 1/4W 0603</t>
  </si>
  <si>
    <t>RHM8.20KADCT-ND</t>
  </si>
  <si>
    <t>ESR03EZPF8201</t>
  </si>
  <si>
    <t>RES SMD 8.2K OHM 1% 1/4W 0603</t>
  </si>
  <si>
    <t>RHM24.0AECT-ND</t>
  </si>
  <si>
    <t>ESR10EZPF24R0</t>
  </si>
  <si>
    <t>RES SMD 24 OHM 1% 0.4W 0805</t>
  </si>
  <si>
    <t>NAN</t>
  </si>
  <si>
    <t>General ISM &lt; 1GHz  Transceiver Module 868MHz Integrated, Trace Surface Mount</t>
  </si>
  <si>
    <t>J2</t>
  </si>
  <si>
    <t>Connector F</t>
  </si>
  <si>
    <t>Connector M</t>
  </si>
  <si>
    <t>Connector C</t>
  </si>
  <si>
    <t>SSHL-002T-P0.2</t>
  </si>
  <si>
    <t>JST Sales America Inc.</t>
  </si>
  <si>
    <t>Socket Contact Tin 26-30 AWG Crimp</t>
  </si>
  <si>
    <t>455-1606-1-ND</t>
  </si>
  <si>
    <t>455-1578-1-ND</t>
  </si>
  <si>
    <t>BM02B-GHS-TBT(LF)(SN)(N)</t>
  </si>
  <si>
    <t>CONN HEADER SMD 2POS 1.25MM</t>
  </si>
  <si>
    <t>455-1564-1-ND</t>
  </si>
  <si>
    <t>SM02B-GHS-TB(LF)(SN)</t>
  </si>
  <si>
    <t>CONN HEADER SMD R/A 2POS 1.25MM</t>
  </si>
  <si>
    <t>455-1579-1-ND</t>
  </si>
  <si>
    <t>BM03B-GHS-TBT(LF)(SN)(N)</t>
  </si>
  <si>
    <t>CONN HEADER SMD 3POS 1.25MM</t>
  </si>
  <si>
    <t>455-1565-1-ND</t>
  </si>
  <si>
    <t>SM03B-GHS-TB(LF)(SN)</t>
  </si>
  <si>
    <t>CONN HEADER SMD R/A 3POS 1.25MM</t>
  </si>
  <si>
    <t>455-1580-1-ND</t>
  </si>
  <si>
    <t>BM04B-GHS-TBT(LF)(SN)(N)</t>
  </si>
  <si>
    <t>CONN HEADER SMD 4POS 1.25MM</t>
  </si>
  <si>
    <t>455-1566-1-ND</t>
  </si>
  <si>
    <t>SM04B-GHS-TB(LF)(SN)-</t>
  </si>
  <si>
    <t>CONN HEADER SMD R/A 4POS 1.25MM</t>
  </si>
  <si>
    <t>455-1581-1-ND</t>
  </si>
  <si>
    <t>BM05B-GHS-TBT(LF)(SN)(N)</t>
  </si>
  <si>
    <t>CONN HEADER SMD 5POS 1.25MM</t>
  </si>
  <si>
    <t>455-1567-1-ND</t>
  </si>
  <si>
    <t>SM05B-GHS-TB(LF)(SN)</t>
  </si>
  <si>
    <t>CONN HEADER SMD R/A 5POS 1.25MM</t>
  </si>
  <si>
    <t>455-1582-1-ND</t>
  </si>
  <si>
    <t>BM06B-GHS-TBT(LF)(SN)(N)</t>
  </si>
  <si>
    <t>CONN HEADER SMD 6POS 1.25MM</t>
  </si>
  <si>
    <t>455-1568-1-ND</t>
  </si>
  <si>
    <t>SM06B-GHS-TB(LF)(SN)</t>
  </si>
  <si>
    <t>CONN HEADER SMD R/A 6POS 1.25MM</t>
  </si>
  <si>
    <t>455-1583-1-ND</t>
  </si>
  <si>
    <t>BM07B-GHS-TBT(LF)(SN)(N)</t>
  </si>
  <si>
    <t>CONN HEADER SMD 7POS 1.25MM</t>
  </si>
  <si>
    <t>455-1584-1-ND</t>
  </si>
  <si>
    <t>BM08B-GHS-TBT(LF)(SN)(N)</t>
  </si>
  <si>
    <t>CONN HEADER SMD 8POS 1.25MM</t>
  </si>
  <si>
    <t>455-1569-1-ND</t>
  </si>
  <si>
    <t>SM07B-GHS-TB(LF)(SN)</t>
  </si>
  <si>
    <t>CONN HEADER SMD R/A 7POS 1.25MM</t>
  </si>
  <si>
    <t>455-1585-1-ND</t>
  </si>
  <si>
    <t>BM09B-GHS-TBT(LF)(SN)(N)</t>
  </si>
  <si>
    <t>CONN HEADER SMD 9POS 1.25MM</t>
  </si>
  <si>
    <t>455-1570-1-ND</t>
  </si>
  <si>
    <t>SM08B-GHS-TB(LF)(SN)</t>
  </si>
  <si>
    <t>CONN HEADER SMD R/A 8POS 1.25MM</t>
  </si>
  <si>
    <t>455-1586-1-ND</t>
  </si>
  <si>
    <t>BM10B-GHS-TBT(LF)(SN)(N)</t>
  </si>
  <si>
    <t>CONN HEADER SMD 10POS 1.25MM</t>
  </si>
  <si>
    <t>455-1572-1-ND</t>
  </si>
  <si>
    <t>SM10B-GHS-TB(LF)(SN)</t>
  </si>
  <si>
    <t>CONN HEADER SMD R/A 10POS 1.25MM</t>
  </si>
  <si>
    <t>455-1588-1-ND</t>
  </si>
  <si>
    <t>BM12B-GHS-TBT(LF)(SN)(N)</t>
  </si>
  <si>
    <t>CONN HEADER SMD 12POS 1.25MM</t>
  </si>
  <si>
    <t>455-1574-1-ND</t>
  </si>
  <si>
    <t>SM12B-GHS-TB(LF)(SN)</t>
  </si>
  <si>
    <t>CONN HEADER SMD R/A 12POS 1.25MM</t>
  </si>
  <si>
    <t>455-1590-1-ND</t>
  </si>
  <si>
    <t>BM14B-GHS-TBT(LF)(SN)(N)</t>
  </si>
  <si>
    <t>CONN HEADER SMD 14POS 1.25MM</t>
  </si>
  <si>
    <t>455-1591-1-ND</t>
  </si>
  <si>
    <t>BM15B-GHS-TBT(LF)(SN)</t>
  </si>
  <si>
    <t>CONN HEADER SMD 15POS 1.25MM</t>
  </si>
  <si>
    <t>455-1571-1-ND</t>
  </si>
  <si>
    <t>SM09B-GHS-TB(LF)(SN)</t>
  </si>
  <si>
    <t>CONN HEADER SMD R/A 9POS 1.25MM</t>
  </si>
  <si>
    <t>455-1573-1-ND</t>
  </si>
  <si>
    <t>SM11B-GHS-TB(LF)(SN)</t>
  </si>
  <si>
    <t>CONN HEADER SMD R/A 11POS 1.25MM</t>
  </si>
  <si>
    <t>455-1576-1-ND</t>
  </si>
  <si>
    <t>SM14B-GHS-TB(LF)(SN)</t>
  </si>
  <si>
    <t>CONN HEADER SMD R/A 14POS 1.25MM</t>
  </si>
  <si>
    <t>455-1592-ND</t>
  </si>
  <si>
    <t>GHR-02V-S</t>
  </si>
  <si>
    <t>CONN GH HOUSING 2POS 1.25MM</t>
  </si>
  <si>
    <t>455-1595-ND</t>
  </si>
  <si>
    <t>GHR-05V-S</t>
  </si>
  <si>
    <t>CONN GH HOUSING 5POS 1.25MM</t>
  </si>
  <si>
    <t>455-1593-ND</t>
  </si>
  <si>
    <t>GHR-03V-S</t>
  </si>
  <si>
    <t>CONN GH HOUSING 3POS 1.25MM</t>
  </si>
  <si>
    <t>455-1594-ND</t>
  </si>
  <si>
    <t>GHR-04V-S</t>
  </si>
  <si>
    <t>CONN GH HOUSING 4POS 1.25MM</t>
  </si>
  <si>
    <t>455-1596-ND</t>
  </si>
  <si>
    <t>GHR-06V-S</t>
  </si>
  <si>
    <t>CONN GH HOUSING 6POS 1.25MM</t>
  </si>
  <si>
    <t>455-1598-ND</t>
  </si>
  <si>
    <t>GHR-08V-S</t>
  </si>
  <si>
    <t>CONN GH HOUSING 8POS 1.25MM</t>
  </si>
  <si>
    <t>455-1600-ND</t>
  </si>
  <si>
    <t>GHR-10V-S</t>
  </si>
  <si>
    <t>CONN GH HOUSING 10POS 1.25MM</t>
  </si>
  <si>
    <t>455-1599-ND</t>
  </si>
  <si>
    <t>GHR-09V-S</t>
  </si>
  <si>
    <t>CONN GH HOUSING 9POS 1.25MM</t>
  </si>
  <si>
    <t>455-1597-ND</t>
  </si>
  <si>
    <t>GHR-07V-S</t>
  </si>
  <si>
    <t>CONN GH HOUSING 7POS 1.25MM</t>
  </si>
  <si>
    <t>455-1601-ND</t>
  </si>
  <si>
    <t>GHR-11V-S</t>
  </si>
  <si>
    <t>CONN GH HOUSING 11POS 1.25MM</t>
  </si>
  <si>
    <t>455-1604-ND</t>
  </si>
  <si>
    <t>GHR-14V-S</t>
  </si>
  <si>
    <t>CONN GH HOUSING 14POS 1.25MM</t>
  </si>
  <si>
    <t>455-1602-ND</t>
  </si>
  <si>
    <t>GHR-12V-S</t>
  </si>
  <si>
    <t>CONN GH HOUSING 12POS 1.25MM</t>
  </si>
  <si>
    <t>455-1603-ND</t>
  </si>
  <si>
    <t>GHR-13V-S</t>
  </si>
  <si>
    <t>CONN GH HOUSING 13POS 1.25MM</t>
  </si>
  <si>
    <t>455-1605-ND</t>
  </si>
  <si>
    <t>GHR-15V-S</t>
  </si>
  <si>
    <t>CONN GH HOUSING 15POS 1.25MM</t>
  </si>
  <si>
    <t>X2,X3</t>
  </si>
  <si>
    <t>J3..5</t>
  </si>
  <si>
    <t>X5</t>
  </si>
  <si>
    <t>X1</t>
  </si>
  <si>
    <t>E-PCB-003-000</t>
  </si>
  <si>
    <t>PCB USB Tool v1</t>
  </si>
  <si>
    <t>Other - Name</t>
  </si>
  <si>
    <t>Bulk Add</t>
  </si>
  <si>
    <t>TLMS1000-GS08CT-ND</t>
  </si>
  <si>
    <t>C3,C8,C9</t>
  </si>
  <si>
    <t>CL21B104KBFNNNG</t>
  </si>
  <si>
    <t>0.1µF ±10% 50V Ceramic Capacitor X7R 0805 (2012 Metric)</t>
  </si>
  <si>
    <t>1276-6468-1-ND</t>
  </si>
  <si>
    <t>RES SMD 1K OHM 1% 1/8W 0805 vishay</t>
  </si>
  <si>
    <t>X2</t>
  </si>
  <si>
    <t>X1,X4,X6,SC1</t>
  </si>
  <si>
    <t>X1,X2,X4,X6,SC1</t>
  </si>
  <si>
    <t>C3..6, C8</t>
  </si>
  <si>
    <t>C1,C7</t>
  </si>
  <si>
    <t>P4</t>
  </si>
  <si>
    <t>R3,R10</t>
  </si>
  <si>
    <t>R5,R8,R9</t>
  </si>
  <si>
    <t>R6</t>
  </si>
  <si>
    <t>R4,R7</t>
  </si>
  <si>
    <t>RES SMD 22 OHM 1% 1/8W 0805 vishay</t>
  </si>
  <si>
    <t>RB53P06C16C</t>
  </si>
  <si>
    <t>Box Plastic, Polycarbonate Clear Cover Included 4.724" L x 3.152" W (120.00mm x 80.06mm) X 2.165" (55.00mm)</t>
  </si>
  <si>
    <t>SRB53-TCBC-ND</t>
  </si>
  <si>
    <t>Serpac</t>
  </si>
  <si>
    <t>RP1085C</t>
  </si>
  <si>
    <t>Hammond Manufacturing</t>
  </si>
  <si>
    <t>Box Plastic, ABS Gray, Clear Cover/Door Cover Included 4.134" L x 2.953" W (105.00mm x 75.00mm) X 1.575" (40.00mm)</t>
  </si>
  <si>
    <t>HM5785-ND</t>
  </si>
  <si>
    <t>W2..6</t>
  </si>
  <si>
    <t>541-0.0UBCT-ND</t>
  </si>
  <si>
    <t>CRCW12060000Z0EAHP</t>
  </si>
  <si>
    <t>RES SMD 0 OHM JUMPER 3/4W 1206</t>
  </si>
  <si>
    <t>541-1.0KUACT-ND</t>
  </si>
  <si>
    <t>CRCW12061K00JNEAHP</t>
  </si>
  <si>
    <t>RES SMD 1K OHM 5% 3/4W 1206</t>
  </si>
  <si>
    <t>541-100UACT-ND</t>
  </si>
  <si>
    <t>CRCW1206100RJNEAHP</t>
  </si>
  <si>
    <t>RES SMD 100 OHM 5% 3/4W 1206</t>
  </si>
  <si>
    <t>541-100UCT-ND</t>
  </si>
  <si>
    <t>CRCW1206100RFKEAHP</t>
  </si>
  <si>
    <t>RES SMD 100 OHM 1% 3/4W 1206</t>
  </si>
  <si>
    <t>541-1.00KUCT-ND</t>
  </si>
  <si>
    <t>CRCW12061K00FKEAHP</t>
  </si>
  <si>
    <t>RES SMD 1K OHM 1% 3/4W 1206</t>
  </si>
  <si>
    <t>541-47UACT-ND</t>
  </si>
  <si>
    <t>CRCW120647R0JNEAHP</t>
  </si>
  <si>
    <t>RES SMD 47 OHM 5% 3/4W 1206</t>
  </si>
  <si>
    <t>541-12UACT-ND</t>
  </si>
  <si>
    <t>CRCW120612R0JNEAHP</t>
  </si>
  <si>
    <t>RES SMD 12 OHM 5% 3/4W 1206</t>
  </si>
  <si>
    <t>541-470UACT-ND</t>
  </si>
  <si>
    <t>CRCW1206470RJNEAHP</t>
  </si>
  <si>
    <t>RES SMD 470 OHM 5% 3/4W 1206</t>
  </si>
  <si>
    <t>541-10UACT-ND</t>
  </si>
  <si>
    <t>CRCW120610R0JNEAHP</t>
  </si>
  <si>
    <t>RES SMD 10 OHM 5% 3/4W 1206</t>
  </si>
  <si>
    <t>541-200UACT-ND</t>
  </si>
  <si>
    <t>CRCW1206200RJNEAHP</t>
  </si>
  <si>
    <t>RES SMD 200 OHM 5% 3/4W 1206</t>
  </si>
  <si>
    <t>541-75.0UCT-ND</t>
  </si>
  <si>
    <t>CRCW120675R0FKEAHP</t>
  </si>
  <si>
    <t>RES SMD 75 OHM 1% 3/4W 1206</t>
  </si>
  <si>
    <t>541-20.0UCT-ND</t>
  </si>
  <si>
    <t>CRCW120620R0FKEAHP</t>
  </si>
  <si>
    <t>RES SMD 20 OHM 1% 3/4W 1206</t>
  </si>
  <si>
    <t>541-470UCT-ND</t>
  </si>
  <si>
    <t>CRCW1206470RFKEAHP</t>
  </si>
  <si>
    <t>RES SMD 470 OHM 1% 3/4W 1206</t>
  </si>
  <si>
    <t>541-750UCT-ND</t>
  </si>
  <si>
    <t>CRCW1206750RFKEAHP</t>
  </si>
  <si>
    <t>RES SMD 750 OHM 1% 3/4W 1206</t>
  </si>
  <si>
    <t>541-15.0UCT-ND</t>
  </si>
  <si>
    <t>CRCW120615R0FKEAHP</t>
  </si>
  <si>
    <t>RES SMD 15 OHM 1% 3/4W 1206</t>
  </si>
  <si>
    <t>541-220UCT-ND</t>
  </si>
  <si>
    <t>CRCW1206220RFKEAHP</t>
  </si>
  <si>
    <t>RES SMD 220 OHM 1% 3/4W 1206</t>
  </si>
  <si>
    <t>541-68.0UCT-ND</t>
  </si>
  <si>
    <t>CRCW120668R0FKEAHP</t>
  </si>
  <si>
    <t>RES SMD 68 OHM 1% 3/4W 1206</t>
  </si>
  <si>
    <t>541-270UCT-ND</t>
  </si>
  <si>
    <t>CRCW1206270RFKEAHP</t>
  </si>
  <si>
    <t>RES SMD 270 OHM 1% 3/4W 1206</t>
  </si>
  <si>
    <t>541-330UCT-ND</t>
  </si>
  <si>
    <t>CRCW1206330RFKEAHP</t>
  </si>
  <si>
    <t>RES SMD 330 OHM 1% 3/4W 1206</t>
  </si>
  <si>
    <t>541-61.9UCT-ND</t>
  </si>
  <si>
    <t>CRCW120661R9FKEAHP</t>
  </si>
  <si>
    <t>RES SMD 61.9 OHM 1% 3/4W 1206</t>
  </si>
  <si>
    <t>541-13.0UCT-ND</t>
  </si>
  <si>
    <t>CRCW120613R0FKEAHP</t>
  </si>
  <si>
    <t>RES SMD 13 OHM 1% 3/4W 1206</t>
  </si>
  <si>
    <t>541-5.11UCT-ND</t>
  </si>
  <si>
    <t>CRCW12065R11FKEAHP</t>
  </si>
  <si>
    <t>RES SMD 5.11 OHM 1% 3/4W 1206</t>
  </si>
  <si>
    <t>541-12.0UCT-ND</t>
  </si>
  <si>
    <t>CRCW120612R0FKEAHP</t>
  </si>
  <si>
    <t>RES SMD 12 OHM 1% 3/4W 1206</t>
  </si>
  <si>
    <t>541-180UCT-ND</t>
  </si>
  <si>
    <t>CRCW1206180RFKEAHP</t>
  </si>
  <si>
    <t>RES SMD 180 OHM 1% 3/4W 1206</t>
  </si>
  <si>
    <t>541-5.10UCT-ND</t>
  </si>
  <si>
    <t>CRCW12065R10FKEAHP</t>
  </si>
  <si>
    <t>RES SMD 5.1 OHM 1% 3/4W 1206</t>
  </si>
  <si>
    <t>541-9.10UCT-ND</t>
  </si>
  <si>
    <t>CRCW12069R10FKEAHP</t>
  </si>
  <si>
    <t>RES SMD 9.1 OHM 1% 3/4W 1206</t>
  </si>
  <si>
    <t>541-4.7UACT-ND</t>
  </si>
  <si>
    <t>CRCW12064R70JNEAHP</t>
  </si>
  <si>
    <t>RES SMD 4.7 OHM 5% 3/4W 1206</t>
  </si>
  <si>
    <t>541-2.2UACT-ND</t>
  </si>
  <si>
    <t>CRCW12062R20JNEAHP</t>
  </si>
  <si>
    <t>RES SMD 2.2 OHM 5% 3/4W 1206</t>
  </si>
  <si>
    <t>541-4.70UCT-ND</t>
  </si>
  <si>
    <t>CRCW12064R70FKEAHP</t>
  </si>
  <si>
    <t>RES SMD 4.7 OHM 1% 3/4W 1206</t>
  </si>
  <si>
    <t>541-1.60UCT-ND</t>
  </si>
  <si>
    <t>CRCW12061R60FKEAHP</t>
  </si>
  <si>
    <t>RES SMD 1.6 OHM 1% 3/4W 1206</t>
  </si>
  <si>
    <t>541-3.01UCT-ND</t>
  </si>
  <si>
    <t>CRCW12063R01FKEAHP</t>
  </si>
  <si>
    <t>RES SMD 3.01 OHM 1% 3/4W 1206</t>
  </si>
  <si>
    <t>541-3.30UCT-ND</t>
  </si>
  <si>
    <t>CRCW12063R30FKEAHP</t>
  </si>
  <si>
    <t>RES SMD 3.3 OHM 1% 3/4W 1206</t>
  </si>
  <si>
    <t>541-4.99UCT-ND</t>
  </si>
  <si>
    <t>CRCW12064R99FKEAHP</t>
  </si>
  <si>
    <t>RES SMD 4.99 OHM 1% 3/4W 1206</t>
  </si>
  <si>
    <t>541-3.40UCT-ND</t>
  </si>
  <si>
    <t>CRCW12063R40FKEAHP</t>
  </si>
  <si>
    <t>RES SMD 3.4 OHM 1% 3/4W 1206</t>
  </si>
  <si>
    <t>541-2.26UCT-ND</t>
  </si>
  <si>
    <t>CRCW12062R26FKEAHP</t>
  </si>
  <si>
    <t>RES SMD 2.26 OHM 1% 3/4W 1206</t>
  </si>
  <si>
    <t>541-220UACT-ND</t>
  </si>
  <si>
    <t>CRCW1206220RJNEAHP</t>
  </si>
  <si>
    <t>RES SMD 220 OHM 5% 3/4W 1206</t>
  </si>
  <si>
    <t>541-22UACT-ND</t>
  </si>
  <si>
    <t>CRCW120622R0JNEAHP</t>
  </si>
  <si>
    <t>RES SMD 22 OHM 5% 3/4W 1206</t>
  </si>
  <si>
    <t>541-11UACT-ND</t>
  </si>
  <si>
    <t>CRCW120611R0JNEAHP</t>
  </si>
  <si>
    <t>RES SMD 11 OHM 5% 3/4W 1206</t>
  </si>
  <si>
    <t>541-16.0UACT-ND</t>
  </si>
  <si>
    <t>CRCW120616R0JNEAHP</t>
  </si>
  <si>
    <t>RES SMD 16 OHM 5% 3/4W 1206</t>
  </si>
  <si>
    <t>541-39UACT-ND</t>
  </si>
  <si>
    <t>CRCW120639R0JNEAHP</t>
  </si>
  <si>
    <t>RES SMD 39 OHM 5% 3/4W 1206</t>
  </si>
  <si>
    <t>541-5.1UACT-ND</t>
  </si>
  <si>
    <t>CRCW12065R10JNEAHP</t>
  </si>
  <si>
    <t>RES SMD 5.1 OHM 5% 3/4W 1206</t>
  </si>
  <si>
    <t>541-604UCT-ND</t>
  </si>
  <si>
    <t>CRCW1206604RFKEAHP</t>
  </si>
  <si>
    <t>RES SMD 604 OHM 1% 3/4W 1206</t>
  </si>
  <si>
    <t>541-8.20UCT-ND</t>
  </si>
  <si>
    <t>CRCW12068R20FKEAHP</t>
  </si>
  <si>
    <t>RES SMD 8.2 OHM 1% 3/4W 1206</t>
  </si>
  <si>
    <t>541-22.0UCT-ND</t>
  </si>
  <si>
    <t>CRCW120622R0FKEAHP</t>
  </si>
  <si>
    <t>RES SMD 22 OHM 1% 3/4W 1206</t>
  </si>
  <si>
    <t>541-332UCT-ND</t>
  </si>
  <si>
    <t>CRCW1206332RFKEAHP</t>
  </si>
  <si>
    <t>RES SMD 332 OHM 1% 3/4W 1206</t>
  </si>
  <si>
    <t>541-47.5UCT-ND</t>
  </si>
  <si>
    <t>CRCW120647R5FKEAHP</t>
  </si>
  <si>
    <t>RES SMD 47.5 OHM 1% 3/4W 1206</t>
  </si>
  <si>
    <t>541-2.7UACT-ND</t>
  </si>
  <si>
    <t>CRCW12062R70JNEAHP</t>
  </si>
  <si>
    <t>RES SMD 2.7 OHM 5% 3/4W 1206</t>
  </si>
  <si>
    <t>541-1.1UACT-ND</t>
  </si>
  <si>
    <t>CRCW12061R10JNEAHP</t>
  </si>
  <si>
    <t>RES SMD 1.1 OHM 5% 3/4W 1206</t>
  </si>
  <si>
    <t>541-1.27UCT-ND</t>
  </si>
  <si>
    <t>CRCW12061R27FKEAHP</t>
  </si>
  <si>
    <t>RES SMD 1.27 OHM 1% 3/4W 1206</t>
  </si>
  <si>
    <t>541-3238-1-ND</t>
  </si>
  <si>
    <t>CRCW12063R24FKEAHP</t>
  </si>
  <si>
    <t>RES SMD 3.24 OHM 1% 3/4W 1206</t>
  </si>
  <si>
    <t>541-1.54UCT-ND</t>
  </si>
  <si>
    <t>CRCW12061R54FKEAHP</t>
  </si>
  <si>
    <t>RES SMD 1.54 OHM 1% 3/4W 1206</t>
  </si>
  <si>
    <t>541-240UACT-ND</t>
  </si>
  <si>
    <t>CRCW1206240RJNEAHP</t>
  </si>
  <si>
    <t>RES SMD 240 OHM 5% 3/4W 1206</t>
  </si>
  <si>
    <t>541-120UACT-ND</t>
  </si>
  <si>
    <t>CRCW1206120RJNEAHP</t>
  </si>
  <si>
    <t>RES SMD 120 OHM 5% 3/4W 1206</t>
  </si>
  <si>
    <t>541-62UACT-ND</t>
  </si>
  <si>
    <t>CRCW120662R0JNEAHP</t>
  </si>
  <si>
    <t>RES SMD 62 OHM 5% 3/4W 1206</t>
  </si>
  <si>
    <t>541-330UACT-ND</t>
  </si>
  <si>
    <t>CRCW1206330RJNEAHP</t>
  </si>
  <si>
    <t>RES SMD 330 OHM 5% 3/4W 1206</t>
  </si>
  <si>
    <t>541-51UACT-ND</t>
  </si>
  <si>
    <t>CRCW120651R0JNEAHP</t>
  </si>
  <si>
    <t>RES SMD 51 OHM 5% 3/4W 1206</t>
  </si>
  <si>
    <t>541-820UACT-ND</t>
  </si>
  <si>
    <t>CRCW1206820RJNEAHP</t>
  </si>
  <si>
    <t>RES SMD 820 OHM 5% 3/4W 1206</t>
  </si>
  <si>
    <t>541-300UACT-ND</t>
  </si>
  <si>
    <t>CRCW1206300RJNEAHP</t>
  </si>
  <si>
    <t>RES SMD 300 OHM 5% 3/4W 1206</t>
  </si>
  <si>
    <t>541-3.9UACT-ND</t>
  </si>
  <si>
    <t>CRCW12063R90JNEAHP</t>
  </si>
  <si>
    <t>RES SMD 3.9 OHM 5% 3/4W 1206</t>
  </si>
  <si>
    <t>541-1.40UCT-ND</t>
  </si>
  <si>
    <t>CRCW12061R40FKEAHP</t>
  </si>
  <si>
    <t>RES SMD 1.4 OHM 1% 3/4W 1206</t>
  </si>
  <si>
    <t>541-442UCT-ND</t>
  </si>
  <si>
    <t>CRCW1206442RFKEAHP</t>
  </si>
  <si>
    <t>RES SMD 442 OHM 1% 3/4W 1206</t>
  </si>
  <si>
    <t>541-953UCT-ND</t>
  </si>
  <si>
    <t>CRCW1206953RFKEAHP</t>
  </si>
  <si>
    <t>RES SMD 953 OHM 1% 3/4W 1206</t>
  </si>
  <si>
    <t>541-37.4UCT-ND</t>
  </si>
  <si>
    <t>CRCW120637R4FKEAHP</t>
  </si>
  <si>
    <t>RES SMD 37.4 OHM 1% 3/4W 1206</t>
  </si>
  <si>
    <t>541-11.0UCT-ND</t>
  </si>
  <si>
    <t>CRCW120611R0FKEAHP</t>
  </si>
  <si>
    <t>RES SMD 11 OHM 1% 3/4W 1206</t>
  </si>
  <si>
    <t>541-6.80UCT-ND</t>
  </si>
  <si>
    <t>CRCW12066R80FKEAHP</t>
  </si>
  <si>
    <t>RES SMD 6.8 OHM 1% 3/4W 1206</t>
  </si>
  <si>
    <t>541-487UCT-ND</t>
  </si>
  <si>
    <t>CRCW1206487RFKEAHP</t>
  </si>
  <si>
    <t>RES SMD 487 OHM 1% 3/4W 1206</t>
  </si>
  <si>
    <t>541-150UCT-ND</t>
  </si>
  <si>
    <t>CRCW1206150RFKEAHP</t>
  </si>
  <si>
    <t>RES SMD 150 OHM 1% 3/4W 1206</t>
  </si>
  <si>
    <t>541-196UCT-ND</t>
  </si>
  <si>
    <t>CRCW1206196RFKEAHP</t>
  </si>
  <si>
    <t>RES SMD 196 OHM 1% 3/4W 1206</t>
  </si>
  <si>
    <t>541-66.5UCT-ND</t>
  </si>
  <si>
    <t>CRCW120666R5FKEAHP</t>
  </si>
  <si>
    <t>RES SMD 66.5 OHM 1% 3/4W 1206</t>
  </si>
  <si>
    <t>541-33.0UCT-ND</t>
  </si>
  <si>
    <t>CRCW120633R0FKEAHP</t>
  </si>
  <si>
    <t>RES SMD 33 OHM 1% 3/4W 1206</t>
  </si>
  <si>
    <t>541-44.2UCT-ND</t>
  </si>
  <si>
    <t>CRCW120644R2FKEAHP</t>
  </si>
  <si>
    <t>RES SMD 44.2 OHM 1% 3/4W 1206</t>
  </si>
  <si>
    <t>541-51.0UCT-ND</t>
  </si>
  <si>
    <t>CRCW120651R0FKEAHP</t>
  </si>
  <si>
    <t>RES SMD 51 OHM 1% 3/4W 1206</t>
  </si>
  <si>
    <t>541-110UCT-ND</t>
  </si>
  <si>
    <t>CRCW1206110RFKEAHP</t>
  </si>
  <si>
    <t>RES SMD 110 OHM 1% 3/4W 1206</t>
  </si>
  <si>
    <t>541-51.1UCT-ND</t>
  </si>
  <si>
    <t>CRCW120651R1FKEAHP</t>
  </si>
  <si>
    <t>RES SMD 51.1 OHM 1% 3/4W 1206</t>
  </si>
  <si>
    <t>541-56.2UCT-ND</t>
  </si>
  <si>
    <t>CRCW120656R2FKEAHP</t>
  </si>
  <si>
    <t>RES SMD 56.2 OHM 1% 3/4W 1206</t>
  </si>
  <si>
    <t>541-18.0UCT-ND</t>
  </si>
  <si>
    <t>CRCW120618R0FKEAHP</t>
  </si>
  <si>
    <t>RES SMD 18 OHM 1% 3/4W 1206</t>
  </si>
  <si>
    <t>541-562UCT-ND</t>
  </si>
  <si>
    <t>CRCW1206562RFKEAHP</t>
  </si>
  <si>
    <t>RES SMD 562 OHM 1% 3/4W 1206</t>
  </si>
  <si>
    <t>541-124UCT-ND</t>
  </si>
  <si>
    <t>CRCW1206124RFKEAHP</t>
  </si>
  <si>
    <t>RES SMD 124 OHM 1% 3/4W 1206</t>
  </si>
  <si>
    <t>541-680UCT-ND</t>
  </si>
  <si>
    <t>CRCW1206680RFKEAHP</t>
  </si>
  <si>
    <t>RES SMD 680 OHM 1% 3/4W 1206</t>
  </si>
  <si>
    <t>541-2.0UACT-ND</t>
  </si>
  <si>
    <t>CRCW12062R00JNEAHP</t>
  </si>
  <si>
    <t>RES SMD 2 OHM 5% 3/4W 1206</t>
  </si>
  <si>
    <t>541-560UCT-ND</t>
  </si>
  <si>
    <t>CRCW1206560RFKEAHP</t>
  </si>
  <si>
    <t>RES SMD 560 OHM 1% 3/4W 1206</t>
  </si>
  <si>
    <t>541-5.60UCT-ND</t>
  </si>
  <si>
    <t>CRCW12065R60FKEAHP</t>
  </si>
  <si>
    <t>RES SMD 5.6 OHM 1% 3/4W 1206</t>
  </si>
  <si>
    <t>541-499UCT-ND</t>
  </si>
  <si>
    <t>CRCW1206499RFKEAHP</t>
  </si>
  <si>
    <t>RES SMD 499 OHM 1% 3/4W 1206</t>
  </si>
  <si>
    <t>541-200UCT-ND</t>
  </si>
  <si>
    <t>CRCW1206200RFKEAHP</t>
  </si>
  <si>
    <t>RES SMD 200 OHM 1% 3/4W 1206</t>
  </si>
  <si>
    <t>541-511UCT-ND</t>
  </si>
  <si>
    <t>CRCW1206511RFKEAHP</t>
  </si>
  <si>
    <t>RES SMD 511 OHM 1% 3/4W 1206</t>
  </si>
  <si>
    <t>541-348UCT-ND</t>
  </si>
  <si>
    <t>CRCW1206348RFKEAHP</t>
  </si>
  <si>
    <t>RES SMD 348 OHM 1% 3/4W 1206</t>
  </si>
  <si>
    <t>541-47.0UCT-ND</t>
  </si>
  <si>
    <t>CRCW120647R0FKEAHP</t>
  </si>
  <si>
    <t>RES SMD 47 OHM 1% 3/4W 1206</t>
  </si>
  <si>
    <t>541-10.0UCT-ND</t>
  </si>
  <si>
    <t>CRCW120610R0FKEAHP</t>
  </si>
  <si>
    <t>RES SMD 10 OHM 1% 3/4W 1206</t>
  </si>
  <si>
    <t>541-1.80UCT-ND</t>
  </si>
  <si>
    <t>CRCW12061R80FKEAHP</t>
  </si>
  <si>
    <t>RES SMD 1.8 OHM 1% 3/4W 1206</t>
  </si>
  <si>
    <t>541-2.49UCT-ND</t>
  </si>
  <si>
    <t>CRCW12062R49FKEAHP</t>
  </si>
  <si>
    <t>RES SMD 2.49 OHM 1% 3/4W 1206</t>
  </si>
  <si>
    <t>541-390UACT-ND</t>
  </si>
  <si>
    <t>CRCW1206390RJNEAHP</t>
  </si>
  <si>
    <t>RES SMD 390 OHM 5% 3/4W 1206</t>
  </si>
  <si>
    <t>541-294UCT-ND</t>
  </si>
  <si>
    <t>CRCW1206294RFKEAHP</t>
  </si>
  <si>
    <t>RES SMD 294 OHM 1% 3/4W 1206</t>
  </si>
  <si>
    <t>G6SU-2 DC3</t>
  </si>
  <si>
    <t>Omron Electronics Inc-EMC Div</t>
  </si>
  <si>
    <t>RELAY TELECOM DPDT 2A 3VDC</t>
  </si>
  <si>
    <t>Z3622-ND</t>
  </si>
  <si>
    <t>G6SU-2F DC3</t>
  </si>
  <si>
    <t>Z3815-ND</t>
  </si>
  <si>
    <t>Ctrl + M</t>
  </si>
  <si>
    <t>Chargeur de batterie pour 1 cellule Li-Ion, batterie Li-Pol, entrée 6V, charge 4.2V/500mA, SOT23-5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</si>
</sst>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dd/mm/yyyy\ hh:mm:ss"/>
    <numFmt numFmtId="165" formatCode="\Te\x\t"/>
  </numFmts>
  <fonts count="5" x14ac:knownFonts="1">
    <font>
      <sz val="11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0"/>
      <name val="Calibri"/>
      <family val="2"/>
      <scheme val="minor"/>
    </font>
    <font>
      <sz val="11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/>
        <bgColor theme="4"/>
      </patternFill>
    </fill>
  </fills>
  <borders count="5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medium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0.39997558519241921"/>
      </top>
      <bottom/>
      <diagonal/>
    </border>
  </borders>
  <cellStyleXfs count="2">
    <xf numFmtId="0" fontId="0" fillId="0" borderId="0"/>
    <xf numFmtId="0" fontId="4" fillId="0" borderId="0"/>
  </cellStyleXfs>
  <cellXfs count="67">
    <xf numFmtId="0" fontId="0" fillId="0" borderId="0" xfId="0"/>
    <xf numFmtId="49" fontId="0" fillId="0" borderId="1" xfId="0" applyNumberFormat="1" applyBorder="1" applyAlignment="1">
      <alignment horizontal="left"/>
    </xf>
    <xf numFmtId="0" fontId="0" fillId="0" borderId="1" xfId="0" applyBorder="1" applyAlignment="1">
      <alignment horizontal="left"/>
    </xf>
    <xf numFmtId="49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2" fontId="0" fillId="0" borderId="0" xfId="0" applyNumberFormat="1" applyAlignment="1">
      <alignment horizontal="left"/>
    </xf>
    <xf numFmtId="49" fontId="0" fillId="0" borderId="0" xfId="0" applyNumberFormat="1" applyAlignment="1">
      <alignment horizontal="left" wrapText="1"/>
    </xf>
    <xf numFmtId="0" fontId="0" fillId="0" borderId="2" xfId="0" applyBorder="1" applyAlignment="1">
      <alignment horizontal="left"/>
    </xf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49" fontId="0" fillId="0" borderId="0" xfId="0" quotePrefix="1" applyNumberFormat="1" applyAlignment="1">
      <alignment horizontal="right"/>
    </xf>
    <xf numFmtId="2" fontId="0" fillId="0" borderId="0" xfId="0" applyNumberFormat="1" applyAlignment="1">
      <alignment horizontal="right"/>
    </xf>
    <xf numFmtId="49" fontId="0" fillId="0" borderId="0" xfId="0" quotePrefix="1" applyNumberFormat="1" applyAlignment="1">
      <alignment horizontal="left"/>
    </xf>
    <xf numFmtId="49" fontId="0" fillId="0" borderId="0" xfId="0" applyNumberFormat="1" applyAlignment="1">
      <alignment horizontal="right"/>
    </xf>
    <xf numFmtId="0" fontId="0" fillId="2" borderId="0" xfId="0" applyFill="1" applyAlignment="1">
      <alignment horizontal="center"/>
    </xf>
    <xf numFmtId="0" fontId="0" fillId="3" borderId="0" xfId="0" applyFill="1"/>
    <xf numFmtId="0" fontId="0" fillId="4" borderId="3" xfId="0" applyFill="1" applyBorder="1"/>
    <xf numFmtId="49" fontId="0" fillId="0" borderId="0" xfId="0" applyNumberFormat="1"/>
    <xf numFmtId="2" fontId="0" fillId="0" borderId="1" xfId="0" applyNumberFormat="1" applyBorder="1" applyAlignment="1">
      <alignment horizontal="left"/>
    </xf>
    <xf numFmtId="0" fontId="0" fillId="2" borderId="0" xfId="0" applyFill="1"/>
    <xf numFmtId="0" fontId="0" fillId="4" borderId="0" xfId="0" applyFill="1"/>
    <xf numFmtId="0" fontId="0" fillId="6" borderId="1" xfId="0" applyFill="1" applyBorder="1" applyAlignment="1">
      <alignment horizontal="left"/>
    </xf>
    <xf numFmtId="0" fontId="0" fillId="0" borderId="0" xfId="0" applyAlignment="1">
      <alignment horizontal="center"/>
    </xf>
    <xf numFmtId="0" fontId="0" fillId="0" borderId="0" xfId="0" applyFill="1" applyAlignment="1">
      <alignment horizontal="left"/>
    </xf>
    <xf numFmtId="0" fontId="0" fillId="0" borderId="0" xfId="0" applyFill="1"/>
    <xf numFmtId="0" fontId="0" fillId="7" borderId="0" xfId="0" applyFill="1" applyAlignment="1">
      <alignment horizontal="left"/>
    </xf>
    <xf numFmtId="0" fontId="0" fillId="7" borderId="0" xfId="0" applyFill="1"/>
    <xf numFmtId="2" fontId="3" fillId="8" borderId="1" xfId="0" applyNumberFormat="1" applyFont="1" applyFill="1" applyBorder="1" applyAlignment="1">
      <alignment horizontal="left"/>
    </xf>
    <xf numFmtId="0" fontId="0" fillId="7" borderId="0" xfId="0" applyNumberFormat="1" applyFill="1" applyAlignment="1">
      <alignment horizontal="left"/>
    </xf>
    <xf numFmtId="2" fontId="0" fillId="0" borderId="1" xfId="0" applyNumberFormat="1" applyFill="1" applyBorder="1" applyAlignment="1">
      <alignment horizontal="left"/>
    </xf>
    <xf numFmtId="0" fontId="0" fillId="2" borderId="0" xfId="0" applyFill="1" applyAlignment="1">
      <alignment horizontal="left"/>
    </xf>
    <xf numFmtId="0" fontId="0" fillId="2" borderId="0" xfId="0" applyNumberFormat="1" applyFill="1" applyAlignment="1">
      <alignment horizontal="left"/>
    </xf>
    <xf numFmtId="2" fontId="3" fillId="0" borderId="1" xfId="0" applyNumberFormat="1" applyFont="1" applyFill="1" applyBorder="1" applyAlignment="1">
      <alignment horizontal="left"/>
    </xf>
    <xf numFmtId="2" fontId="0" fillId="0" borderId="0" xfId="0" applyNumberFormat="1"/>
    <xf numFmtId="49" fontId="0" fillId="0" borderId="4" xfId="0" applyNumberFormat="1" applyFont="1" applyFill="1" applyBorder="1" applyAlignment="1">
      <alignment horizontal="left"/>
    </xf>
    <xf numFmtId="0" fontId="0" fillId="0" borderId="4" xfId="0" applyFont="1" applyFill="1" applyBorder="1" applyAlignment="1">
      <alignment horizontal="left"/>
    </xf>
    <xf numFmtId="2" fontId="0" fillId="0" borderId="4" xfId="0" applyNumberFormat="1" applyFont="1" applyFill="1" applyBorder="1" applyAlignment="1">
      <alignment horizontal="left"/>
    </xf>
    <xf numFmtId="0" fontId="0" fillId="0" borderId="0" xfId="0" applyAlignment="1"/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/>
    </xf>
    <xf numFmtId="0" fontId="1" fillId="0" borderId="0" xfId="0" applyFont="1" applyAlignment="1"/>
    <xf numFmtId="0" fontId="0" fillId="0" borderId="0" xfId="0" applyNumberFormat="1" applyAlignment="1">
      <alignment horizontal="left"/>
    </xf>
    <xf numFmtId="2" fontId="0" fillId="0" borderId="4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2" fontId="3" fillId="8" borderId="0" xfId="0" applyNumberFormat="1" applyFont="1" applyFill="1" applyBorder="1" applyAlignment="1"/>
    <xf numFmtId="2" fontId="3" fillId="8" borderId="0" xfId="0" applyNumberFormat="1" applyFont="1" applyFill="1" applyBorder="1" applyAlignment="1">
      <alignment vertical="center"/>
    </xf>
    <xf numFmtId="0" fontId="3" fillId="8" borderId="0" xfId="0" applyFont="1" applyFill="1" applyBorder="1" applyAlignment="1">
      <alignment vertical="center"/>
    </xf>
    <xf numFmtId="0" fontId="3" fillId="8" borderId="0" xfId="0" applyNumberFormat="1" applyFont="1" applyFill="1" applyBorder="1" applyAlignment="1">
      <alignment vertical="center"/>
    </xf>
    <xf numFmtId="49" fontId="3" fillId="8" borderId="0" xfId="0" applyNumberFormat="1" applyFont="1" applyFill="1" applyBorder="1" applyAlignment="1">
      <alignment vertical="center"/>
    </xf>
    <xf numFmtId="0" fontId="0" fillId="0" borderId="0" xfId="0" applyAlignment="1">
      <alignment vertical="center"/>
    </xf>
    <xf numFmtId="2" fontId="0" fillId="0" borderId="4" xfId="0" applyNumberFormat="1" applyFont="1" applyFill="1" applyBorder="1" applyAlignment="1">
      <alignment horizontal="center"/>
    </xf>
    <xf numFmtId="2" fontId="0" fillId="0" borderId="0" xfId="0" applyNumberFormat="1" applyAlignment="1">
      <alignment horizontal="center"/>
    </xf>
    <xf numFmtId="49" fontId="0" fillId="0" borderId="0" xfId="0" applyNumberFormat="1" applyFont="1" applyFill="1" applyBorder="1" applyAlignment="1">
      <alignment horizontal="left"/>
    </xf>
    <xf numFmtId="0" fontId="0" fillId="0" borderId="4" xfId="0" applyNumberFormat="1" applyFont="1" applyFill="1" applyBorder="1" applyAlignment="1">
      <alignment horizontal="center"/>
    </xf>
    <xf numFmtId="0" fontId="0" fillId="0" borderId="0" xfId="0" applyNumberFormat="1" applyAlignment="1">
      <alignment horizontal="center"/>
    </xf>
    <xf numFmtId="49" fontId="0" fillId="0" borderId="0" xfId="0" applyNumberFormat="1" applyFill="1" applyBorder="1" applyAlignment="1">
      <alignment horizontal="left"/>
    </xf>
    <xf numFmtId="0" fontId="0" fillId="0" borderId="4" xfId="0" applyNumberFormat="1" applyFont="1" applyFill="1" applyBorder="1" applyAlignment="1">
      <alignment horizontal="left"/>
    </xf>
    <xf numFmtId="165" fontId="0" fillId="0" borderId="4" xfId="0" applyNumberFormat="1" applyFill="1" applyBorder="1" applyAlignment="1">
      <alignment horizontal="left"/>
    </xf>
    <xf numFmtId="0" fontId="0" fillId="0" borderId="0" xfId="0" applyAlignment="1">
      <alignment horizontal="center"/>
    </xf>
    <xf numFmtId="165" fontId="0" fillId="0" borderId="0" xfId="0" applyNumberFormat="1" applyAlignment="1">
      <alignment horizontal="left"/>
    </xf>
    <xf numFmtId="165" fontId="0" fillId="0" borderId="0" xfId="0" applyNumberFormat="1" applyFill="1" applyAlignment="1">
      <alignment horizontal="left"/>
    </xf>
    <xf numFmtId="49" fontId="0" fillId="0" borderId="4" xfId="0" applyNumberFormat="1" applyFont="1" applyFill="1" applyBorder="1" applyAlignment="1">
      <alignment horizontal="left" wrapText="1"/>
    </xf>
    <xf numFmtId="165" fontId="0" fillId="0" borderId="0" xfId="0" applyNumberFormat="1" applyFill="1" applyBorder="1" applyAlignment="1">
      <alignment horizontal="left"/>
    </xf>
    <xf numFmtId="0" fontId="0" fillId="0" borderId="0" xfId="0" applyAlignment="1" applyProtection="1">
      <alignment horizontal="left"/>
      <protection locked="0"/>
    </xf>
    <xf numFmtId="0" fontId="0" fillId="0" borderId="0" xfId="0" applyAlignment="1">
      <alignment horizontal="center" vertical="center"/>
    </xf>
    <xf numFmtId="0" fontId="0" fillId="5" borderId="0" xfId="0" applyFill="1" applyAlignment="1">
      <alignment horizontal="center"/>
    </xf>
    <xf numFmtId="0" fontId="0" fillId="0" borderId="0" xfId="0" applyAlignment="1">
      <alignment horizontal="center"/>
    </xf>
  </cellXfs>
  <cellStyles count="2">
    <cellStyle name="Normal" xfId="0" builtinId="0"/>
    <cellStyle name="Normal 2" xfId="1" xr:uid="{A8DFCB13-E247-44C2-83FC-BB74B94EE917}"/>
  </cellStyles>
  <dxfs count="179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8F8F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8F8F"/>
        </patternFill>
      </fill>
    </dxf>
    <dxf>
      <fill>
        <patternFill>
          <bgColor rgb="FFFF0000"/>
        </patternFill>
      </fill>
    </dxf>
    <dxf>
      <fill>
        <patternFill>
          <bgColor rgb="FFFF8F8F"/>
        </patternFill>
      </fill>
    </dxf>
    <dxf>
      <fill>
        <patternFill>
          <bgColor rgb="FFFF8F8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8F8F"/>
        </patternFill>
      </fill>
    </dxf>
    <dxf>
      <fill>
        <patternFill>
          <bgColor rgb="FFFF0000"/>
        </patternFill>
      </fill>
    </dxf>
    <dxf>
      <fill>
        <patternFill patternType="solid">
          <bgColor theme="4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numFmt numFmtId="30" formatCode="@"/>
      <fill>
        <patternFill patternType="none">
          <fgColor indexed="64"/>
          <bgColor auto="1"/>
        </patternFill>
      </fill>
      <alignment horizontal="left" textRotation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2" formatCode="0.00"/>
      <fill>
        <patternFill patternType="solid">
          <fgColor theme="4"/>
          <bgColor theme="4"/>
        </patternFill>
      </fill>
      <alignment horizontal="general" vertical="center" textRotation="0" wrapText="0" indent="0" justifyLastLine="0" shrinkToFit="0" readingOrder="0"/>
    </dxf>
    <dxf>
      <numFmt numFmtId="0" formatCode="General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numFmt numFmtId="2" formatCode="0.00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4" tint="0.79998168889431442"/>
        </patternFill>
      </fill>
      <alignment horizontal="left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4" tint="0.79998168889431442"/>
        </patternFill>
      </fill>
      <alignment horizontal="left" vertical="bottom" textRotation="0" wrapText="0" indent="0" justifyLastLine="0" shrinkToFit="0" readingOrder="0"/>
    </dxf>
    <dxf>
      <fill>
        <patternFill patternType="solid">
          <fgColor indexed="64"/>
          <bgColor theme="0" tint="-4.9989318521683403E-2"/>
        </patternFill>
      </fill>
      <alignment horizontal="left" vertical="bottom" textRotation="0" wrapText="0" indent="0" justifyLastLine="0" shrinkToFit="0" readingOrder="0"/>
    </dxf>
    <dxf>
      <numFmt numFmtId="0" formatCode="General"/>
      <fill>
        <patternFill>
          <bgColor theme="0" tint="-4.9989318521683403E-2"/>
        </patternFill>
      </fill>
      <alignment horizontal="left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0" tint="-4.9989318521683403E-2"/>
        </patternFill>
      </fill>
      <alignment horizontal="left" vertical="bottom" textRotation="0" wrapText="0" indent="0" justifyLastLine="0" shrinkToFit="0" readingOrder="0"/>
    </dxf>
    <dxf>
      <numFmt numFmtId="0" formatCode="General"/>
      <fill>
        <patternFill>
          <bgColor theme="0" tint="-4.9989318521683403E-2"/>
        </patternFill>
      </fill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alignment horizontal="left" vertical="bottom" textRotation="0" wrapText="0" indent="0" justifyLastLine="0" shrinkToFit="0" readingOrder="0"/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2" formatCode="0.00"/>
      <fill>
        <patternFill patternType="solid">
          <fgColor theme="4"/>
          <bgColor theme="4"/>
        </patternFill>
      </fill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164" formatCode="dd/mm/yyyy\ hh:mm:ss"/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9EAB4BC6-5566-447F-ADAA-203397440666}">
      <tableStyleElement type="wholeTable" dxfId="178"/>
      <tableStyleElement type="headerRow" dxfId="177"/>
    </tableStyle>
  </tableStyles>
  <colors>
    <mruColors>
      <color rgb="FFF1450F"/>
      <color rgb="FFFF9966"/>
      <color rgb="FFFF8F8F"/>
      <color rgb="FFFF797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</xdr:row>
          <xdr:rowOff>0</xdr:rowOff>
        </xdr:from>
        <xdr:to>
          <xdr:col>4</xdr:col>
          <xdr:colOff>0</xdr:colOff>
          <xdr:row>3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Add articles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4</xdr:row>
          <xdr:rowOff>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Edit articles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7</xdr:row>
          <xdr:rowOff>0</xdr:rowOff>
        </xdr:from>
        <xdr:to>
          <xdr:col>4</xdr:col>
          <xdr:colOff>0</xdr:colOff>
          <xdr:row>9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Edit products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10</xdr:row>
          <xdr:rowOff>0</xdr:rowOff>
        </xdr:from>
        <xdr:to>
          <xdr:col>4</xdr:col>
          <xdr:colOff>0</xdr:colOff>
          <xdr:row>12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Make order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13</xdr:row>
          <xdr:rowOff>0</xdr:rowOff>
        </xdr:from>
        <xdr:to>
          <xdr:col>4</xdr:col>
          <xdr:colOff>0</xdr:colOff>
          <xdr:row>15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Product articles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16</xdr:row>
          <xdr:rowOff>9525</xdr:rowOff>
        </xdr:from>
        <xdr:to>
          <xdr:col>4</xdr:col>
          <xdr:colOff>9525</xdr:colOff>
          <xdr:row>18</xdr:row>
          <xdr:rowOff>9525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Merge articles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1266825</xdr:colOff>
          <xdr:row>2</xdr:row>
          <xdr:rowOff>0</xdr:rowOff>
        </xdr:from>
        <xdr:to>
          <xdr:col>13</xdr:col>
          <xdr:colOff>933450</xdr:colOff>
          <xdr:row>5</xdr:row>
          <xdr:rowOff>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1266825</xdr:colOff>
          <xdr:row>6</xdr:row>
          <xdr:rowOff>0</xdr:rowOff>
        </xdr:from>
        <xdr:to>
          <xdr:col>13</xdr:col>
          <xdr:colOff>933450</xdr:colOff>
          <xdr:row>8</xdr:row>
          <xdr:rowOff>0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2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Insert line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1266825</xdr:colOff>
          <xdr:row>9</xdr:row>
          <xdr:rowOff>0</xdr:rowOff>
        </xdr:from>
        <xdr:to>
          <xdr:col>13</xdr:col>
          <xdr:colOff>933450</xdr:colOff>
          <xdr:row>11</xdr:row>
          <xdr:rowOff>0</xdr:rowOff>
        </xdr:to>
        <xdr:sp macro="" textlink="">
          <xdr:nvSpPr>
            <xdr:cNvPr id="3083" name="Button 11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2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Reset lines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1266825</xdr:colOff>
          <xdr:row>12</xdr:row>
          <xdr:rowOff>0</xdr:rowOff>
        </xdr:from>
        <xdr:to>
          <xdr:col>13</xdr:col>
          <xdr:colOff>933450</xdr:colOff>
          <xdr:row>14</xdr:row>
          <xdr:rowOff>0</xdr:rowOff>
        </xdr:to>
        <xdr:sp macro="" textlink="">
          <xdr:nvSpPr>
            <xdr:cNvPr id="3084" name="Button 12" hidden="1">
              <a:extLst>
                <a:ext uri="{63B3BB69-23CF-44E3-9099-C40C66FF867C}">
                  <a14:compatExt spid="_x0000_s3084"/>
                </a:ext>
                <a:ext uri="{FF2B5EF4-FFF2-40B4-BE49-F238E27FC236}">
                  <a16:creationId xmlns:a16="http://schemas.microsoft.com/office/drawing/2014/main" id="{00000000-0008-0000-0200-00000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Process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0</xdr:colOff>
          <xdr:row>2</xdr:row>
          <xdr:rowOff>0</xdr:rowOff>
        </xdr:from>
        <xdr:to>
          <xdr:col>12</xdr:col>
          <xdr:colOff>0</xdr:colOff>
          <xdr:row>4</xdr:row>
          <xdr:rowOff>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5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Lock / Unlock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0</xdr:colOff>
          <xdr:row>2</xdr:row>
          <xdr:rowOff>0</xdr:rowOff>
        </xdr:from>
        <xdr:to>
          <xdr:col>12</xdr:col>
          <xdr:colOff>0</xdr:colOff>
          <xdr:row>4</xdr:row>
          <xdr:rowOff>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6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Lock / Unlock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0</xdr:colOff>
          <xdr:row>2</xdr:row>
          <xdr:rowOff>0</xdr:rowOff>
        </xdr:from>
        <xdr:to>
          <xdr:col>12</xdr:col>
          <xdr:colOff>0</xdr:colOff>
          <xdr:row>4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7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Lock / Unlock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0</xdr:colOff>
          <xdr:row>2</xdr:row>
          <xdr:rowOff>0</xdr:rowOff>
        </xdr:from>
        <xdr:to>
          <xdr:col>12</xdr:col>
          <xdr:colOff>0</xdr:colOff>
          <xdr:row>4</xdr:row>
          <xdr:rowOff>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8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Lock / Unlock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0</xdr:colOff>
          <xdr:row>2</xdr:row>
          <xdr:rowOff>0</xdr:rowOff>
        </xdr:from>
        <xdr:to>
          <xdr:col>11</xdr:col>
          <xdr:colOff>476250</xdr:colOff>
          <xdr:row>4</xdr:row>
          <xdr:rowOff>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9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Lock / Unlock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</xdr:row>
          <xdr:rowOff>0</xdr:rowOff>
        </xdr:from>
        <xdr:to>
          <xdr:col>13</xdr:col>
          <xdr:colOff>0</xdr:colOff>
          <xdr:row>4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B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Open menu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src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btn_AddArticle"/>
      <definedName name="btn_AddOrder"/>
      <definedName name="btn_ClearCommands"/>
      <definedName name="btn_CreateOrder"/>
      <definedName name="btn_EditArticles"/>
      <definedName name="btn_EditProduct"/>
      <definedName name="btn_ManageProductsArticles"/>
      <definedName name="btn_MergeArticles"/>
      <definedName name="InsertCmdRow_Click"/>
      <definedName name="ResetFirstsLines_Click"/>
      <definedName name="ToggleLock_Click"/>
    </definedNames>
    <sheetDataSet>
      <sheetData sheetId="0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F600476-F82A-4D32-B44D-14BFB3EE84A5}" name="Table4" displayName="Table4" ref="A1:F630" totalsRowShown="0" headerRowDxfId="176">
  <autoFilter ref="A1:F630" xr:uid="{BDAE12D6-129D-4B55-B01B-D1493E590308}"/>
  <tableColumns count="6">
    <tableColumn id="1" xr3:uid="{F20AB9A4-F1CA-4493-AFCA-1ECFD6C72926}" name="Date" dataDxfId="175"/>
    <tableColumn id="2" xr3:uid="{9E5C5770-C960-45BB-8115-75DB62A3B16C}" name="Article Number" dataDxfId="174"/>
    <tableColumn id="5" xr3:uid="{16BFD56B-B56A-4848-9201-68C2F28CFA64}" name="Modification" dataDxfId="173"/>
    <tableColumn id="3" xr3:uid="{10BA92E7-A8AC-46B9-9939-48EDBF630513}" name="Stock Before" dataDxfId="172"/>
    <tableColumn id="4" xr3:uid="{89A58CF5-EDCB-4EF1-963E-E9EB1A0CCFEF}" name="Stock After" dataDxfId="171"/>
    <tableColumn id="6" xr3:uid="{FF179CF1-10A5-4445-94E5-D3770F8EB2DA}" name="INFO" dataDxfId="17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F2649B3B-3E5F-4D5F-A20D-27741775A0FA}" name="Table8" displayName="Table8" ref="A1:L59" totalsRowCount="1" headerRowDxfId="169" dataDxfId="167" headerRowBorderDxfId="168" tableBorderDxfId="166">
  <autoFilter ref="A1:L58" xr:uid="{46700432-4BF0-4DCB-9154-EC411D24C381}">
    <filterColumn colId="9">
      <filters>
        <filter val="1"/>
        <filter val="10"/>
        <filter val="100"/>
        <filter val="11"/>
        <filter val="119"/>
        <filter val="13"/>
        <filter val="15"/>
        <filter val="2"/>
        <filter val="22"/>
        <filter val="3"/>
        <filter val="4"/>
        <filter val="5"/>
        <filter val="6"/>
        <filter val="7"/>
      </filters>
    </filterColumn>
  </autoFilter>
  <sortState ref="A3:L57">
    <sortCondition descending="1" ref="K1:K58"/>
  </sortState>
  <tableColumns count="12">
    <tableColumn id="2" xr3:uid="{09884C69-0E00-49B1-878D-118ACDF0CE5A}" name="Art. Number" totalsRowLabel="Total" dataDxfId="165" totalsRowDxfId="164"/>
    <tableColumn id="1" xr3:uid="{B10D53AF-03D1-4287-B98C-B2EBD99019D4}" name="Ret. Art. Number" dataDxfId="163" totalsRowDxfId="162"/>
    <tableColumn id="3" xr3:uid="{4C487402-2AAB-4AF3-BE67-7394C36C842C}" name="Manufacturer" dataDxfId="161" totalsRowDxfId="160"/>
    <tableColumn id="4" xr3:uid="{8EC0DC8E-76AD-4B9F-83B7-1A0DD14BB27F}" name="Retailer" dataDxfId="159" totalsRowDxfId="158"/>
    <tableColumn id="5" xr3:uid="{F034F88F-58E3-461F-AA98-A329A317450C}" name="Place" dataDxfId="157" totalsRowDxfId="156"/>
    <tableColumn id="6" xr3:uid="{270626A5-5AC9-4B4B-BFA1-CB61FB278FF7}" name="Description" dataDxfId="155" totalsRowDxfId="154"/>
    <tableColumn id="7" xr3:uid="{6AED47F2-55E6-446F-831B-A118A7B0B1ED}" name="In stock" dataDxfId="153" totalsRowDxfId="152"/>
    <tableColumn id="8" xr3:uid="{AC92F839-E54E-493C-ABE5-5E0757E61859}" name="Min Stock" dataDxfId="151" totalsRowDxfId="150"/>
    <tableColumn id="11" xr3:uid="{FA19872E-A366-497E-9D69-828A97ECF042}" name="Unit price" dataDxfId="149" totalsRowDxfId="148"/>
    <tableColumn id="13" xr3:uid="{EA825846-8448-46C3-B6A4-847B2F364E4E}" name="Quantity" dataDxfId="147" totalsRowDxfId="146">
      <calculatedColumnFormula>ROUNDUP(Table8[[#This Row],[Min Stock]]-Table8[[#This Row],[In stock]],0)</calculatedColumnFormula>
    </tableColumn>
    <tableColumn id="12" xr3:uid="{6C84EE35-1734-410D-8E78-A4C0532259BC}" name="Total price" totalsRowFunction="sum" dataDxfId="145" totalsRowDxfId="144">
      <calculatedColumnFormula>Table8[[#This Row],[Quantity]]*Table8[[#This Row],[Unit price]]</calculatedColumnFormula>
    </tableColumn>
    <tableColumn id="9" xr3:uid="{CF148814-A309-4554-8503-283AD3C9BC12}" name="Bulk Add" dataDxfId="143" totalsRowDxfId="142">
      <calculatedColumnFormula>IF(Table8[[#This Row],[Ret. Art. Number]]="","",Table8[[#This Row],[Quantity]] &amp; "," &amp; Table8[[#This Row],[Ret. Art. Number]])</calculatedColumnFormula>
    </tableColumn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A297E45-E9C7-4516-9302-D8263184412D}" name="Table1" displayName="Table1" ref="A1:AC1038" totalsRowShown="0" headerRowDxfId="76" dataDxfId="75" tableBorderDxfId="74">
  <autoFilter ref="A1:AC1038" xr:uid="{D4CB05D4-73DA-43F1-913F-071595400883}"/>
  <tableColumns count="29">
    <tableColumn id="1" xr3:uid="{435165AF-465B-418C-8DDE-9CFA2D278BBE}" name="Art. Number" dataDxfId="72" totalsRowDxfId="73"/>
    <tableColumn id="2" xr3:uid="{FBC6B9C9-57F8-45DA-AF22-C249E2B185F4}" name="Manufacturer" dataDxfId="70" totalsRowDxfId="71"/>
    <tableColumn id="3" xr3:uid="{288AF9C9-A6A1-4913-A84A-1B41F0951CD7}" name="Place" dataDxfId="68" totalsRowDxfId="69"/>
    <tableColumn id="4" xr3:uid="{991CB349-C1A2-4024-AD86-41FE070F01AA}" name="Description" dataDxfId="66" totalsRowDxfId="67"/>
    <tableColumn id="28" xr3:uid="{2D19DEDD-0807-4720-910B-711676B70DD0}" name="Category" dataDxfId="65"/>
    <tableColumn id="5" xr3:uid="{AF531B20-C2C7-43E4-88F6-C002EAFA6EF0}" name="In stock" dataDxfId="63" totalsRowDxfId="64"/>
    <tableColumn id="6" xr3:uid="{4AE22FEC-1D74-4166-880B-DE3C3B0F48C3}" name="Min in stock" dataDxfId="61" totalsRowDxfId="62"/>
    <tableColumn id="7" xr3:uid="{DDF25EC9-10A6-4A51-A3FF-5F173DC0429C}" name="Auto Order" dataDxfId="59" totalsRowDxfId="60"/>
    <tableColumn id="8" xr3:uid="{8FB77B6F-1796-445F-A628-6683E80A406B}" name="Default Art. Number" dataDxfId="57" totalsRowDxfId="58">
      <calculatedColumnFormula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calculatedColumnFormula>
    </tableColumn>
    <tableColumn id="9" xr3:uid="{FFD8B420-52D8-4860-B12E-57F5E09452F3}" name="Default Unit price" dataDxfId="55" totalsRowDxfId="56">
      <calculatedColumnFormula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calculatedColumnFormula>
    </tableColumn>
    <tableColumn id="27" xr3:uid="{4B6003B9-74ED-4799-8888-8403BEC91BE3}" name="Default retailer" dataDxfId="53" totalsRowDxfId="54">
      <calculatedColumnFormula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calculatedColumnFormula>
    </tableColumn>
    <tableColumn id="10" xr3:uid="{7E60C342-9987-408E-8654-849687FC9CF5}" name="Digikey" dataDxfId="51" totalsRowDxfId="52"/>
    <tableColumn id="11" xr3:uid="{904ACEAE-3EBB-4B5A-B40F-F27BEC67197D}" name="Unit price - Digikey" dataDxfId="49" totalsRowDxfId="50"/>
    <tableColumn id="12" xr3:uid="{1C8E6FC8-F976-4331-BE85-AE9F5CCE5385}" name="Farnell" dataDxfId="47" totalsRowDxfId="48"/>
    <tableColumn id="13" xr3:uid="{9CEB0B0D-E776-4EE1-BA17-F20F36573DF1}" name="Unit price - Farnell" dataDxfId="45" totalsRowDxfId="46"/>
    <tableColumn id="14" xr3:uid="{4835AE8C-6AA4-4E3D-AA3C-47D081785B10}" name="Distrelec" dataDxfId="43" totalsRowDxfId="44"/>
    <tableColumn id="15" xr3:uid="{CFC19F72-EB6A-4DA4-8140-6E03AC8C87E2}" name="Unit price - Distrelec" dataDxfId="41" totalsRowDxfId="42"/>
    <tableColumn id="16" xr3:uid="{440F2FEC-A527-4DB9-8F02-E02C455DD168}" name="Conrad" dataDxfId="39" totalsRowDxfId="40"/>
    <tableColumn id="17" xr3:uid="{C15F9ED7-FCDD-4ED8-8193-766AD4AACE12}" name="Unit price - Conrad" dataDxfId="37" totalsRowDxfId="38"/>
    <tableColumn id="18" xr3:uid="{E8BE4F49-80E3-4D58-8712-2588048DD5B2}" name="Mouser" dataDxfId="35" totalsRowDxfId="36"/>
    <tableColumn id="19" xr3:uid="{71B82CF1-AA7C-485A-B22F-DFCA002E3E0B}" name="Unit price - Mouser" dataDxfId="33" totalsRowDxfId="34"/>
    <tableColumn id="20" xr3:uid="{B372D927-D0BD-4305-A32A-0C014ACEEBAB}" name="Aliexpress" dataDxfId="31" totalsRowDxfId="32"/>
    <tableColumn id="21" xr3:uid="{56A9B167-940C-4D6B-8B5D-F91623F90BD6}" name="Unit price - Aliexpress" dataDxfId="29" totalsRowDxfId="30"/>
    <tableColumn id="22" xr3:uid="{2E67C835-F42C-4886-A3E6-A86A66CF03DE}" name="Banggood" dataDxfId="27" totalsRowDxfId="28"/>
    <tableColumn id="23" xr3:uid="{96EE1B48-7059-4798-A1ED-B830DB9D7D70}" name="Unit price - Banggood" dataDxfId="25" totalsRowDxfId="26"/>
    <tableColumn id="29" xr3:uid="{D6F9B11D-16CF-4797-AFD2-F208CE8FD675}" name="Other - Name" dataDxfId="23" totalsRowDxfId="24"/>
    <tableColumn id="24" xr3:uid="{DFC2A0A6-4951-479C-8775-526D9FDB26B4}" name="Other" dataDxfId="21" totalsRowDxfId="22"/>
    <tableColumn id="25" xr3:uid="{09619815-DA2C-43CD-A998-2BAAC30ACE14}" name="Unit price - Other" dataDxfId="19" totalsRowDxfId="20"/>
    <tableColumn id="26" xr3:uid="{CBAAFE5B-29D9-4E86-8241-3FA6E46052BB}" name="In next order" dataDxfId="17" totalsRowDxfId="18">
      <calculatedColumnFormula>IF(Table1[[#This Row],[Auto Order]]=1,IF(Table1[[#This Row],[In stock]]&lt;Table1[[#This Row],[Min in stock]],1,""),"")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7EC509A-A40F-4A82-947D-97925FC66979}" name="Table13" displayName="Table13" ref="A1:F64" totalsRowShown="0" headerRowDxfId="141" dataDxfId="139" headerRowBorderDxfId="140">
  <autoFilter ref="A1:F64" xr:uid="{06E2CB8E-61AB-472E-BCF2-E6E1E6F7BC5B}"/>
  <sortState ref="A2:F64">
    <sortCondition ref="B1:B64"/>
  </sortState>
  <tableColumns count="6">
    <tableColumn id="1" xr3:uid="{8B723864-414F-452D-9283-19CAA018B66B}" name="Art. Number" dataDxfId="138"/>
    <tableColumn id="2" xr3:uid="{868F71A1-EA8D-4FE4-9E10-4FA4EE5293B1}" name="Man. Number" dataDxfId="137"/>
    <tableColumn id="3" xr3:uid="{2BE62D1D-359E-4098-A703-65FA8EB2A2EB}" name="Manufacturer" dataDxfId="136"/>
    <tableColumn id="4" xr3:uid="{AEC8A4D9-9242-49C2-8841-3FA0C13E4BF7}" name="Retailer" dataDxfId="135"/>
    <tableColumn id="5" xr3:uid="{727086BC-BBF9-470F-8005-62D7E303CEAD}" name="Description" dataDxfId="134"/>
    <tableColumn id="7" xr3:uid="{38960764-2FF5-4AE8-BD63-75EC1C594716}" name="Unit price" dataDxfId="13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2D54A07D-48B5-4C6C-AC0F-CE1FBA530DE2}" name="Table1411" displayName="Table1411" ref="A1:H42" totalsRowShown="0" headerRowDxfId="132" dataDxfId="130" headerRowBorderDxfId="131">
  <autoFilter ref="A1:H42" xr:uid="{06E2CB8E-61AB-472E-BCF2-E6E1E6F7BC5B}"/>
  <sortState ref="A2:H39">
    <sortCondition ref="C1:C31"/>
  </sortState>
  <tableColumns count="8">
    <tableColumn id="2" xr3:uid="{C9C96812-D2B2-407C-9941-30F685AAD7E3}" name="Man. Number" dataDxfId="129"/>
    <tableColumn id="5" xr3:uid="{0807D2E3-C08E-4A05-95EC-685278834536}" name="Description" dataDxfId="128">
      <calculatedColumnFormula>VLOOKUP(Table1411[[#This Row],[Man. Number]],Articles!A:F,COLUMN(Articles!$D$1)-COLUMN(Articles!$A$1)+1,FALSE)</calculatedColumnFormula>
    </tableColumn>
    <tableColumn id="7" xr3:uid="{41E6F3AF-F595-4F28-918D-986592993BB0}" name="Reference" dataDxfId="127"/>
    <tableColumn id="8" xr3:uid="{27D63D9B-1923-4857-A374-5FF3D8D6B64C}" name="Quantity" dataDxfId="126"/>
    <tableColumn id="6" xr3:uid="{39724770-BCF0-4F8C-A311-212B97612672}" name="In stock" dataDxfId="125">
      <calculatedColumnFormula>VLOOKUP(Table1411[[#This Row],[Man. Number]],Articles!A:F,COLUMN(Articles!$F$1)-COLUMN(Articles!$A$1)+1,FALSE)</calculatedColumnFormula>
    </tableColumn>
    <tableColumn id="1" xr3:uid="{D0B528A2-8684-4AD8-A5F7-7FA1A29C5879}" name="Available" dataDxfId="124">
      <calculatedColumnFormula>IF(Table1411[[#This Row],[In stock]] &gt;= Table1411[[#This Row],[Quantity]],"YES","NO")</calculatedColumnFormula>
    </tableColumn>
    <tableColumn id="3" xr3:uid="{DE5EC53F-EAFF-4E70-BBA5-E847907BD895}" name="Total quantity" dataDxfId="123">
      <calculatedColumnFormula>Table1411[[#This Row],[Quantity]]*$K$1</calculatedColumnFormula>
    </tableColumn>
    <tableColumn id="4" xr3:uid="{CEA2F06F-2F21-492E-B2A3-DF977A078F50}" name="Total available" dataDxfId="122">
      <calculatedColumnFormula>IF(Table1411[[#This Row],[In stock]] &gt;= Table1411[[#This Row],[Total quantity]],"YES","NO")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C9D962F-591C-4742-BF22-9CD895EB425C}" name="Table14" displayName="Table14" ref="A1:H40" totalsRowShown="0" headerRowDxfId="121" dataDxfId="119" headerRowBorderDxfId="120">
  <autoFilter ref="A1:H40" xr:uid="{06E2CB8E-61AB-472E-BCF2-E6E1E6F7BC5B}">
    <filterColumn colId="3">
      <filters>
        <filter val="0.638888889"/>
        <filter val="1"/>
        <filter val="19"/>
        <filter val="2"/>
        <filter val="3"/>
        <filter val="4"/>
        <filter val="5"/>
      </filters>
    </filterColumn>
  </autoFilter>
  <sortState ref="A2:H40">
    <sortCondition ref="B1:B40"/>
  </sortState>
  <tableColumns count="8">
    <tableColumn id="2" xr3:uid="{A92087CE-B74E-49AD-99FE-90DBB817C1AC}" name="Man. Number" dataDxfId="118"/>
    <tableColumn id="5" xr3:uid="{B1418FC9-8422-4A82-9D50-1C20CEF4A1DB}" name="Description" dataDxfId="117">
      <calculatedColumnFormula>VLOOKUP(Table14[[#This Row],[Man. Number]],Articles!A:F,COLUMN(Articles!$D$1)-COLUMN(Articles!$A$1)+1,FALSE)</calculatedColumnFormula>
    </tableColumn>
    <tableColumn id="7" xr3:uid="{B4F56298-AB90-4AEC-8A42-97A994164D1F}" name="Reference" dataDxfId="116"/>
    <tableColumn id="8" xr3:uid="{D163A9E2-18FC-4EE8-99AB-60D6C92BBDB6}" name="Quantity" dataDxfId="115"/>
    <tableColumn id="6" xr3:uid="{1583B055-BD93-4929-B8EC-DA75D23B688F}" name="In stock" dataDxfId="114">
      <calculatedColumnFormula>VLOOKUP(Table14[[#This Row],[Man. Number]],Articles!A:F,COLUMN(Articles!$F$1)-COLUMN(Articles!$A$1)+1,FALSE)</calculatedColumnFormula>
    </tableColumn>
    <tableColumn id="1" xr3:uid="{47894B8D-4567-4D67-A4F3-0A1C0DC3D40D}" name="Available" dataDxfId="113">
      <calculatedColumnFormula>IF(Table14[[#This Row],[In stock]] &gt;= Table14[[#This Row],[Quantity]],"YES","NO")</calculatedColumnFormula>
    </tableColumn>
    <tableColumn id="3" xr3:uid="{CE7B326B-C514-42C5-AECC-1A2A4AAB375C}" name="Total quantity" dataDxfId="112">
      <calculatedColumnFormula>Table14[[#This Row],[Quantity]]*$K$1</calculatedColumnFormula>
    </tableColumn>
    <tableColumn id="4" xr3:uid="{3C7D2E86-E417-47F0-B642-14D96896F255}" name="Total available" dataDxfId="111">
      <calculatedColumnFormula>IF(Table14[[#This Row],[In stock]] &gt;= Table14[[#This Row],[Total quantity]],"YES","NO")</calculatedColumn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4EBA36F-BA14-4DB1-9B84-1B04D5CA8D2C}" name="Table146" displayName="Table146" ref="A1:H15" totalsRowShown="0" headerRowDxfId="110" dataDxfId="108" headerRowBorderDxfId="109">
  <autoFilter ref="A1:H15" xr:uid="{06E2CB8E-61AB-472E-BCF2-E6E1E6F7BC5B}"/>
  <tableColumns count="8">
    <tableColumn id="2" xr3:uid="{9E0E6405-0958-4064-8395-03A32BA24ED3}" name="Man. Number" dataDxfId="107"/>
    <tableColumn id="5" xr3:uid="{BA21CA97-DCD9-408A-9894-96A639A19D11}" name="Description" dataDxfId="106">
      <calculatedColumnFormula>VLOOKUP(Table146[[#This Row],[Man. Number]],Articles!A:F,COLUMN(Articles!$D$1)-COLUMN(Articles!$A$1)+1,FALSE)</calculatedColumnFormula>
    </tableColumn>
    <tableColumn id="7" xr3:uid="{77B761F7-AF17-4A17-88C8-A5C9D5D27CDC}" name="Reference" dataDxfId="105"/>
    <tableColumn id="8" xr3:uid="{79E97D26-BF86-43B2-AEF5-CE725327DF74}" name="Quantity" dataDxfId="104"/>
    <tableColumn id="6" xr3:uid="{55CA5BD7-34A5-4A62-9044-29A0D9B81880}" name="In stock" dataDxfId="103">
      <calculatedColumnFormula>VLOOKUP(Table146[[#This Row],[Man. Number]],Articles!A:F,COLUMN(Articles!$F$1)-COLUMN(Articles!$A$1)+1,FALSE)</calculatedColumnFormula>
    </tableColumn>
    <tableColumn id="1" xr3:uid="{7F9C6D4D-8B19-4B0E-8A79-73C76C57E6CB}" name="Available" dataDxfId="102">
      <calculatedColumnFormula>IF(Table146[[#This Row],[In stock]] &gt;= Table146[[#This Row],[Quantity]],"YES","NO")</calculatedColumnFormula>
    </tableColumn>
    <tableColumn id="3" xr3:uid="{A3EA9E6B-B1AC-439E-A8AB-942C2E65E112}" name="Total quantity" dataDxfId="101">
      <calculatedColumnFormula>Table146[[#This Row],[Quantity]]*$K$1</calculatedColumnFormula>
    </tableColumn>
    <tableColumn id="4" xr3:uid="{04D63216-7DC3-4D59-A043-09BBD0852B90}" name="Total available" dataDxfId="100">
      <calculatedColumnFormula>IF(Table146[[#This Row],[In stock]] &gt;= Table146[[#This Row],[Total quantity]],"YES","NO")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2F80A157-A2A8-4C22-8CFD-5C6AD63DE608}" name="Table146810" displayName="Table146810" ref="A1:H35" totalsRowShown="0" headerRowDxfId="99" dataDxfId="97" headerRowBorderDxfId="98">
  <autoFilter ref="A1:H35" xr:uid="{06E2CB8E-61AB-472E-BCF2-E6E1E6F7BC5B}"/>
  <sortState ref="A2:H35">
    <sortCondition ref="C1:C35"/>
  </sortState>
  <tableColumns count="8">
    <tableColumn id="2" xr3:uid="{E1B3591E-7FDF-432B-8B47-D1874E0B26F5}" name="Man. Number" dataDxfId="96"/>
    <tableColumn id="5" xr3:uid="{EE74CBB7-B4AE-4E4F-A276-4111D2262064}" name="Description" dataDxfId="95">
      <calculatedColumnFormula>VLOOKUP(Table146810[[#This Row],[Man. Number]],Articles!A:F,COLUMN(Articles!$D$1)-COLUMN(Articles!$A$1)+1,FALSE)</calculatedColumnFormula>
    </tableColumn>
    <tableColumn id="7" xr3:uid="{7774CA8B-8FBD-4AE8-8A5E-EED54B7EF35B}" name="Reference" dataDxfId="94"/>
    <tableColumn id="8" xr3:uid="{C50EC552-0304-4799-AAF5-38B8D35A381E}" name="Quantity" dataDxfId="93"/>
    <tableColumn id="6" xr3:uid="{F740468C-0E09-4D56-BD5D-693ECC8337EF}" name="In stock" dataDxfId="92">
      <calculatedColumnFormula>VLOOKUP(Table146810[[#This Row],[Man. Number]],Articles!A:F,COLUMN(Articles!$F$1)-COLUMN(Articles!$A$1)+1,FALSE)</calculatedColumnFormula>
    </tableColumn>
    <tableColumn id="1" xr3:uid="{7E4FC123-CAAA-4DFD-BD96-0C19111F4639}" name="Available" dataDxfId="91">
      <calculatedColumnFormula>IF(Table146810[[#This Row],[In stock]] &gt;= Table146810[[#This Row],[Quantity]],"YES","NO")</calculatedColumnFormula>
    </tableColumn>
    <tableColumn id="3" xr3:uid="{4A6F19BB-BD74-4582-AA81-751983BFF844}" name="Total quantity" dataDxfId="90">
      <calculatedColumnFormula>Table146810[[#This Row],[Quantity]]*$K$1</calculatedColumnFormula>
    </tableColumn>
    <tableColumn id="4" xr3:uid="{562176AD-2473-43BF-B998-A5B71A21527C}" name="Total available" dataDxfId="89">
      <calculatedColumnFormula>IF(Table146810[[#This Row],[In stock]] &gt;= Table146810[[#This Row],[Total quantity]],"YES","NO")</calculatedColumnFormula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AE8F342-CA90-4972-AB98-564E2D2F487D}" name="Table1468" displayName="Table1468" ref="A1:H2" totalsRowShown="0" headerRowDxfId="88" dataDxfId="86" headerRowBorderDxfId="87">
  <autoFilter ref="A1:H2" xr:uid="{06E2CB8E-61AB-472E-BCF2-E6E1E6F7BC5B}"/>
  <tableColumns count="8">
    <tableColumn id="2" xr3:uid="{82F37E31-D1D4-4FFD-A09E-64F3B03018B7}" name="Man. Number" dataDxfId="85"/>
    <tableColumn id="5" xr3:uid="{524F6B01-486E-4166-AE6A-BDBA58BD1A60}" name="Description" dataDxfId="84">
      <calculatedColumnFormula>VLOOKUP(Table1468[[#This Row],[Man. Number]],Articles!A:F,COLUMN(Articles!$D$1)-COLUMN(Articles!$A$1)+1,FALSE)</calculatedColumnFormula>
    </tableColumn>
    <tableColumn id="7" xr3:uid="{0EDA27D7-E2B2-4D98-8FFC-602AD8A774D7}" name="Reference" dataDxfId="83"/>
    <tableColumn id="8" xr3:uid="{A834D686-252C-4BF4-9FDE-28A4A6AFDD1F}" name="Quantity" dataDxfId="82"/>
    <tableColumn id="6" xr3:uid="{66DB620F-4FDE-44EB-BF35-96CAEBE4C1C6}" name="In stock" dataDxfId="81">
      <calculatedColumnFormula>VLOOKUP(Table1468[[#This Row],[Man. Number]],Articles!A:F,COLUMN(Articles!$F$1)-COLUMN(Articles!$A$1)+1,FALSE)</calculatedColumnFormula>
    </tableColumn>
    <tableColumn id="1" xr3:uid="{245282B4-7ECB-44D1-B528-BBB44C658582}" name="Available" dataDxfId="80">
      <calculatedColumnFormula>IF(Table1468[[#This Row],[In stock]] &gt;= Table1468[[#This Row],[Quantity]],"YES","NO")</calculatedColumnFormula>
    </tableColumn>
    <tableColumn id="3" xr3:uid="{67B74FDC-0575-406A-89BB-0D882E866451}" name="Total quantity" dataDxfId="79">
      <calculatedColumnFormula>Table1468[[#This Row],[Quantity]]*$K$1</calculatedColumnFormula>
    </tableColumn>
    <tableColumn id="4" xr3:uid="{56337732-A0D6-4CED-A2E1-0A9BD957CBCA}" name="Total available" dataDxfId="78">
      <calculatedColumnFormula>IF(Table1468[[#This Row],[In stock]] &gt;= Table1468[[#This Row],[Total quantity]],"YES","NO")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91226358-A437-44A8-89CD-F2B1C0353077}" name="Table6" displayName="Table6" ref="A6:C10" totalsRowShown="0">
  <autoFilter ref="A6:C10" xr:uid="{872FC7A3-44C5-4B5B-B3BD-3A0E54A1C252}"/>
  <sortState ref="A7:C10">
    <sortCondition ref="A6:A10"/>
  </sortState>
  <tableColumns count="3">
    <tableColumn id="1" xr3:uid="{79A80DDF-8238-4698-90CE-9D2101A7FB4D}" name="Index" dataDxfId="77">
      <calculatedColumnFormula>A6+1</calculatedColumnFormula>
    </tableColumn>
    <tableColumn id="2" xr3:uid="{18AED83E-211C-4D49-8533-A66EA207A333}" name="Name"/>
    <tableColumn id="3" xr3:uid="{63C951D6-FF6F-4BF6-9A81-E207D05276DE}" name="SheetNam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5" Type="http://schemas.openxmlformats.org/officeDocument/2006/relationships/table" Target="../tables/table5.xml"/><Relationship Id="rId4" Type="http://schemas.openxmlformats.org/officeDocument/2006/relationships/ctrlProp" Target="../ctrlProps/ctrlProp1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Relationship Id="rId5" Type="http://schemas.openxmlformats.org/officeDocument/2006/relationships/table" Target="../tables/table6.xml"/><Relationship Id="rId4" Type="http://schemas.openxmlformats.org/officeDocument/2006/relationships/ctrlProp" Target="../ctrlProps/ctrlProp1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Relationship Id="rId5" Type="http://schemas.openxmlformats.org/officeDocument/2006/relationships/table" Target="../tables/table7.xml"/><Relationship Id="rId4" Type="http://schemas.openxmlformats.org/officeDocument/2006/relationships/ctrlProp" Target="../ctrlProps/ctrlProp13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9.bin"/><Relationship Id="rId5" Type="http://schemas.openxmlformats.org/officeDocument/2006/relationships/table" Target="../tables/table8.xml"/><Relationship Id="rId4" Type="http://schemas.openxmlformats.org/officeDocument/2006/relationships/ctrlProp" Target="../ctrlProps/ctrlProp14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0.bin"/><Relationship Id="rId5" Type="http://schemas.openxmlformats.org/officeDocument/2006/relationships/table" Target="../tables/table9.xml"/><Relationship Id="rId4" Type="http://schemas.openxmlformats.org/officeDocument/2006/relationships/ctrlProp" Target="../ctrlProps/ctrlProp15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2.bin"/><Relationship Id="rId4" Type="http://schemas.openxmlformats.org/officeDocument/2006/relationships/ctrlProp" Target="../ctrlProps/ctrlProp16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99F36D-F5FA-46FD-97BE-6722B1B28781}">
  <sheetPr codeName="Sheet5">
    <tabColor rgb="FF0070C0"/>
  </sheetPr>
  <dimension ref="A1:F630"/>
  <sheetViews>
    <sheetView workbookViewId="0">
      <pane ySplit="1" topLeftCell="A607" activePane="bottomLeft" state="frozen"/>
      <selection pane="bottomLeft" activeCell="E630" sqref="E630"/>
    </sheetView>
  </sheetViews>
  <sheetFormatPr defaultRowHeight="15" x14ac:dyDescent="0.25"/>
  <cols>
    <col min="1" max="1" width="18" style="39" bestFit="1" customWidth="1"/>
    <col min="2" max="2" width="56.42578125" style="3" bestFit="1" customWidth="1"/>
    <col min="3" max="3" width="14.7109375" style="11" bestFit="1" customWidth="1"/>
    <col min="4" max="4" width="14.42578125" style="11" bestFit="1" customWidth="1"/>
    <col min="5" max="5" width="13" style="11" bestFit="1" customWidth="1"/>
    <col min="6" max="6" width="48.28515625" style="3" bestFit="1" customWidth="1"/>
  </cols>
  <sheetData>
    <row r="1" spans="1:6" x14ac:dyDescent="0.25">
      <c r="A1" s="38" t="s">
        <v>170</v>
      </c>
      <c r="B1" s="3" t="s">
        <v>481</v>
      </c>
      <c r="C1" s="5" t="s">
        <v>176</v>
      </c>
      <c r="D1" s="5" t="s">
        <v>173</v>
      </c>
      <c r="E1" s="5" t="s">
        <v>174</v>
      </c>
      <c r="F1" s="3" t="s">
        <v>172</v>
      </c>
    </row>
    <row r="2" spans="1:6" x14ac:dyDescent="0.25">
      <c r="A2" s="39">
        <v>43331.621458333335</v>
      </c>
      <c r="B2" s="12"/>
      <c r="C2" s="10"/>
      <c r="D2" s="10"/>
      <c r="E2" s="10"/>
      <c r="F2" s="3" t="s">
        <v>171</v>
      </c>
    </row>
    <row r="3" spans="1:6" x14ac:dyDescent="0.25">
      <c r="A3" s="39">
        <v>43334.714467592596</v>
      </c>
      <c r="B3" s="3" t="s">
        <v>158</v>
      </c>
      <c r="C3" s="13">
        <v>-1</v>
      </c>
      <c r="D3" s="13">
        <v>0</v>
      </c>
      <c r="E3" s="13">
        <v>1</v>
      </c>
      <c r="F3" s="3" t="s">
        <v>199</v>
      </c>
    </row>
    <row r="4" spans="1:6" x14ac:dyDescent="0.25">
      <c r="A4" s="39">
        <v>43334.71466435185</v>
      </c>
      <c r="B4" s="3" t="s">
        <v>38</v>
      </c>
      <c r="C4" s="13">
        <v>-2</v>
      </c>
      <c r="D4" s="13">
        <v>0</v>
      </c>
      <c r="E4" s="13">
        <v>2</v>
      </c>
      <c r="F4" s="3" t="s">
        <v>199</v>
      </c>
    </row>
    <row r="5" spans="1:6" x14ac:dyDescent="0.25">
      <c r="A5" s="39">
        <v>43334.714861111112</v>
      </c>
      <c r="B5" s="3" t="s">
        <v>46</v>
      </c>
      <c r="C5" s="13">
        <v>-10</v>
      </c>
      <c r="D5" s="13">
        <v>6</v>
      </c>
      <c r="E5" s="13">
        <v>16</v>
      </c>
      <c r="F5" s="3" t="s">
        <v>199</v>
      </c>
    </row>
    <row r="6" spans="1:6" x14ac:dyDescent="0.25">
      <c r="A6" s="39">
        <v>43334.718541666669</v>
      </c>
      <c r="B6" s="3" t="s">
        <v>9</v>
      </c>
      <c r="C6" s="13">
        <v>1</v>
      </c>
      <c r="D6" s="13">
        <v>4</v>
      </c>
      <c r="E6" s="13">
        <v>3</v>
      </c>
      <c r="F6" s="3" t="s">
        <v>208</v>
      </c>
    </row>
    <row r="7" spans="1:6" x14ac:dyDescent="0.25">
      <c r="A7" s="39">
        <v>43334.718541666669</v>
      </c>
      <c r="B7" s="3" t="s">
        <v>12</v>
      </c>
      <c r="C7" s="13">
        <v>2</v>
      </c>
      <c r="D7" s="13">
        <v>48</v>
      </c>
      <c r="E7" s="13">
        <v>46</v>
      </c>
      <c r="F7" s="3" t="s">
        <v>208</v>
      </c>
    </row>
    <row r="8" spans="1:6" x14ac:dyDescent="0.25">
      <c r="A8" s="39">
        <v>43334.718541666669</v>
      </c>
      <c r="B8" s="3" t="s">
        <v>14</v>
      </c>
      <c r="C8" s="13">
        <v>1</v>
      </c>
      <c r="D8" s="13">
        <v>49</v>
      </c>
      <c r="E8" s="13">
        <v>48</v>
      </c>
      <c r="F8" s="3" t="s">
        <v>208</v>
      </c>
    </row>
    <row r="9" spans="1:6" x14ac:dyDescent="0.25">
      <c r="A9" s="39">
        <v>43334.718541666669</v>
      </c>
      <c r="B9" s="3" t="s">
        <v>16</v>
      </c>
      <c r="C9" s="13">
        <v>1</v>
      </c>
      <c r="D9" s="13">
        <v>14</v>
      </c>
      <c r="E9" s="13">
        <v>13</v>
      </c>
      <c r="F9" s="3" t="s">
        <v>208</v>
      </c>
    </row>
    <row r="10" spans="1:6" x14ac:dyDescent="0.25">
      <c r="A10" s="39">
        <v>43334.718541666669</v>
      </c>
      <c r="B10" s="3" t="s">
        <v>18</v>
      </c>
      <c r="C10" s="13">
        <v>1</v>
      </c>
      <c r="D10" s="13">
        <v>19</v>
      </c>
      <c r="E10" s="13">
        <v>18</v>
      </c>
      <c r="F10" s="3" t="s">
        <v>208</v>
      </c>
    </row>
    <row r="11" spans="1:6" x14ac:dyDescent="0.25">
      <c r="A11" s="39">
        <v>43334.718541666669</v>
      </c>
      <c r="B11" s="3" t="s">
        <v>22</v>
      </c>
      <c r="C11" s="13">
        <v>1</v>
      </c>
      <c r="D11" s="13">
        <v>9</v>
      </c>
      <c r="E11" s="13">
        <v>8</v>
      </c>
      <c r="F11" s="3" t="s">
        <v>208</v>
      </c>
    </row>
    <row r="12" spans="1:6" x14ac:dyDescent="0.25">
      <c r="A12" s="39">
        <v>43334.718541666669</v>
      </c>
      <c r="B12" s="3" t="s">
        <v>24</v>
      </c>
      <c r="C12" s="13">
        <v>1</v>
      </c>
      <c r="D12" s="13">
        <v>4</v>
      </c>
      <c r="E12" s="13">
        <v>3</v>
      </c>
      <c r="F12" s="3" t="s">
        <v>208</v>
      </c>
    </row>
    <row r="13" spans="1:6" x14ac:dyDescent="0.25">
      <c r="A13" s="39">
        <v>43334.718541666669</v>
      </c>
      <c r="B13" s="3" t="s">
        <v>27</v>
      </c>
      <c r="C13" s="13">
        <v>1</v>
      </c>
      <c r="D13" s="13">
        <v>9</v>
      </c>
      <c r="E13" s="13">
        <v>8</v>
      </c>
      <c r="F13" s="3" t="s">
        <v>208</v>
      </c>
    </row>
    <row r="14" spans="1:6" x14ac:dyDescent="0.25">
      <c r="A14" s="39">
        <v>43334.718541666669</v>
      </c>
      <c r="B14" s="3" t="s">
        <v>118</v>
      </c>
      <c r="C14" s="13">
        <v>19</v>
      </c>
      <c r="D14" s="13">
        <v>100</v>
      </c>
      <c r="E14" s="13">
        <v>81</v>
      </c>
      <c r="F14" s="3" t="s">
        <v>208</v>
      </c>
    </row>
    <row r="15" spans="1:6" x14ac:dyDescent="0.25">
      <c r="A15" s="39">
        <v>43334.718541666669</v>
      </c>
      <c r="B15" s="3" t="s">
        <v>117</v>
      </c>
      <c r="C15" s="13">
        <v>1</v>
      </c>
      <c r="D15" s="13">
        <v>4</v>
      </c>
      <c r="E15" s="13">
        <v>3</v>
      </c>
      <c r="F15" s="3" t="s">
        <v>208</v>
      </c>
    </row>
    <row r="16" spans="1:6" x14ac:dyDescent="0.25">
      <c r="A16" s="39">
        <v>43334.718541666669</v>
      </c>
      <c r="B16" s="3" t="s">
        <v>31</v>
      </c>
      <c r="C16" s="13">
        <v>1</v>
      </c>
      <c r="D16" s="13">
        <v>4</v>
      </c>
      <c r="E16" s="13">
        <v>3</v>
      </c>
      <c r="F16" s="3" t="s">
        <v>208</v>
      </c>
    </row>
    <row r="17" spans="1:6" x14ac:dyDescent="0.25">
      <c r="A17" s="39">
        <v>43334.718541666669</v>
      </c>
      <c r="B17" s="3" t="s">
        <v>34</v>
      </c>
      <c r="C17" s="13">
        <v>1</v>
      </c>
      <c r="D17" s="13">
        <v>4</v>
      </c>
      <c r="E17" s="13">
        <v>3</v>
      </c>
      <c r="F17" s="3" t="s">
        <v>208</v>
      </c>
    </row>
    <row r="18" spans="1:6" x14ac:dyDescent="0.25">
      <c r="A18" s="39">
        <v>43334.718541666669</v>
      </c>
      <c r="B18" s="3" t="s">
        <v>36</v>
      </c>
      <c r="C18" s="13">
        <v>7</v>
      </c>
      <c r="D18" s="13">
        <v>93</v>
      </c>
      <c r="E18" s="13">
        <v>86</v>
      </c>
      <c r="F18" s="3" t="s">
        <v>208</v>
      </c>
    </row>
    <row r="19" spans="1:6" x14ac:dyDescent="0.25">
      <c r="A19" s="39">
        <v>43334.718541666669</v>
      </c>
      <c r="B19" s="3" t="s">
        <v>38</v>
      </c>
      <c r="C19" s="13">
        <v>2</v>
      </c>
      <c r="D19" s="13">
        <v>2</v>
      </c>
      <c r="E19" s="13">
        <v>0</v>
      </c>
      <c r="F19" s="3" t="s">
        <v>208</v>
      </c>
    </row>
    <row r="20" spans="1:6" x14ac:dyDescent="0.25">
      <c r="A20" s="39">
        <v>43334.718541666669</v>
      </c>
      <c r="B20" s="3" t="s">
        <v>40</v>
      </c>
      <c r="C20" s="13">
        <v>0.63888888888888884</v>
      </c>
      <c r="D20" s="13">
        <v>1</v>
      </c>
      <c r="E20" s="13">
        <v>0.36111111111111116</v>
      </c>
      <c r="F20" s="3" t="s">
        <v>208</v>
      </c>
    </row>
    <row r="21" spans="1:6" x14ac:dyDescent="0.25">
      <c r="A21" s="39">
        <v>43334.718541666669</v>
      </c>
      <c r="B21" s="3" t="s">
        <v>43</v>
      </c>
      <c r="C21" s="13">
        <v>1</v>
      </c>
      <c r="D21" s="13">
        <v>24</v>
      </c>
      <c r="E21" s="13">
        <v>23</v>
      </c>
      <c r="F21" s="3" t="s">
        <v>208</v>
      </c>
    </row>
    <row r="22" spans="1:6" x14ac:dyDescent="0.25">
      <c r="A22" s="39">
        <v>43334.718541666669</v>
      </c>
      <c r="B22" s="3" t="s">
        <v>46</v>
      </c>
      <c r="C22" s="13">
        <v>4</v>
      </c>
      <c r="D22" s="13">
        <v>16</v>
      </c>
      <c r="E22" s="13">
        <v>12</v>
      </c>
      <c r="F22" s="3" t="s">
        <v>208</v>
      </c>
    </row>
    <row r="23" spans="1:6" x14ac:dyDescent="0.25">
      <c r="A23" s="39">
        <v>43334.718541666669</v>
      </c>
      <c r="B23" s="3" t="s">
        <v>49</v>
      </c>
      <c r="C23" s="13">
        <v>1</v>
      </c>
      <c r="D23" s="13">
        <v>1</v>
      </c>
      <c r="E23" s="13">
        <v>0</v>
      </c>
      <c r="F23" s="3" t="s">
        <v>208</v>
      </c>
    </row>
    <row r="24" spans="1:6" x14ac:dyDescent="0.25">
      <c r="A24" s="39">
        <v>43334.718541666669</v>
      </c>
      <c r="B24" s="3" t="s">
        <v>52</v>
      </c>
      <c r="C24" s="13">
        <v>1</v>
      </c>
      <c r="D24" s="13">
        <v>9</v>
      </c>
      <c r="E24" s="13">
        <v>8</v>
      </c>
      <c r="F24" s="3" t="s">
        <v>208</v>
      </c>
    </row>
    <row r="25" spans="1:6" x14ac:dyDescent="0.25">
      <c r="A25" s="39">
        <v>43334.718541666669</v>
      </c>
      <c r="B25" s="3" t="s">
        <v>188</v>
      </c>
      <c r="C25" s="13">
        <v>6</v>
      </c>
      <c r="D25" s="13">
        <v>100</v>
      </c>
      <c r="E25" s="13">
        <v>94</v>
      </c>
      <c r="F25" s="3" t="s">
        <v>208</v>
      </c>
    </row>
    <row r="26" spans="1:6" x14ac:dyDescent="0.25">
      <c r="A26" s="39">
        <v>43334.718541666669</v>
      </c>
      <c r="B26" s="3" t="s">
        <v>56</v>
      </c>
      <c r="C26" s="13">
        <v>1</v>
      </c>
      <c r="D26" s="13">
        <v>9</v>
      </c>
      <c r="E26" s="13">
        <v>8</v>
      </c>
      <c r="F26" s="3" t="s">
        <v>208</v>
      </c>
    </row>
    <row r="27" spans="1:6" x14ac:dyDescent="0.25">
      <c r="A27" s="39">
        <v>43334.718541666669</v>
      </c>
      <c r="B27" s="3" t="s">
        <v>59</v>
      </c>
      <c r="C27" s="13">
        <v>1</v>
      </c>
      <c r="D27" s="13">
        <v>19</v>
      </c>
      <c r="E27" s="13">
        <v>18</v>
      </c>
      <c r="F27" s="3" t="s">
        <v>208</v>
      </c>
    </row>
    <row r="28" spans="1:6" x14ac:dyDescent="0.25">
      <c r="A28" s="39">
        <v>43334.718541666669</v>
      </c>
      <c r="B28" s="3" t="s">
        <v>61</v>
      </c>
      <c r="C28" s="13">
        <v>1</v>
      </c>
      <c r="D28" s="13">
        <v>9</v>
      </c>
      <c r="E28" s="13">
        <v>8</v>
      </c>
      <c r="F28" s="3" t="s">
        <v>208</v>
      </c>
    </row>
    <row r="29" spans="1:6" x14ac:dyDescent="0.25">
      <c r="A29" s="39">
        <v>43334.718541666669</v>
      </c>
      <c r="B29" s="3" t="s">
        <v>63</v>
      </c>
      <c r="C29" s="13">
        <v>3</v>
      </c>
      <c r="D29" s="13">
        <v>7</v>
      </c>
      <c r="E29" s="13">
        <v>4</v>
      </c>
      <c r="F29" s="3" t="s">
        <v>208</v>
      </c>
    </row>
    <row r="30" spans="1:6" x14ac:dyDescent="0.25">
      <c r="A30" s="39">
        <v>43334.718541666669</v>
      </c>
      <c r="B30" s="3" t="s">
        <v>139</v>
      </c>
      <c r="C30" s="13">
        <v>1</v>
      </c>
      <c r="D30" s="13">
        <v>1</v>
      </c>
      <c r="E30" s="13">
        <v>0</v>
      </c>
      <c r="F30" s="3" t="s">
        <v>208</v>
      </c>
    </row>
    <row r="31" spans="1:6" x14ac:dyDescent="0.25">
      <c r="A31" s="39">
        <v>43334.718541666669</v>
      </c>
      <c r="B31" s="3" t="s">
        <v>77</v>
      </c>
      <c r="C31" s="13">
        <v>1</v>
      </c>
      <c r="D31" s="13">
        <v>1</v>
      </c>
      <c r="E31" s="13">
        <v>0</v>
      </c>
      <c r="F31" s="3" t="s">
        <v>208</v>
      </c>
    </row>
    <row r="32" spans="1:6" x14ac:dyDescent="0.25">
      <c r="A32" s="39">
        <v>43334.718541666669</v>
      </c>
      <c r="B32" s="3" t="s">
        <v>81</v>
      </c>
      <c r="C32" s="13">
        <v>1</v>
      </c>
      <c r="D32" s="13">
        <v>2</v>
      </c>
      <c r="E32" s="13">
        <v>1</v>
      </c>
      <c r="F32" s="3" t="s">
        <v>208</v>
      </c>
    </row>
    <row r="33" spans="1:6" x14ac:dyDescent="0.25">
      <c r="A33" s="39">
        <v>43334.718541666669</v>
      </c>
      <c r="B33" s="3" t="s">
        <v>158</v>
      </c>
      <c r="C33" s="13">
        <v>1</v>
      </c>
      <c r="D33" s="13">
        <v>1</v>
      </c>
      <c r="E33" s="13">
        <v>0</v>
      </c>
      <c r="F33" s="3" t="s">
        <v>208</v>
      </c>
    </row>
    <row r="34" spans="1:6" x14ac:dyDescent="0.25">
      <c r="A34" s="39">
        <v>43334.718541666669</v>
      </c>
      <c r="B34" s="3" t="s">
        <v>200</v>
      </c>
      <c r="C34" s="13">
        <v>1</v>
      </c>
      <c r="D34" s="13">
        <v>2</v>
      </c>
      <c r="E34" s="13">
        <v>1</v>
      </c>
      <c r="F34" s="3" t="s">
        <v>208</v>
      </c>
    </row>
    <row r="35" spans="1:6" x14ac:dyDescent="0.25">
      <c r="A35" s="39">
        <v>43334.718541666669</v>
      </c>
      <c r="B35" s="3" t="s">
        <v>201</v>
      </c>
      <c r="C35" s="13">
        <v>1</v>
      </c>
      <c r="D35" s="13">
        <v>1</v>
      </c>
      <c r="E35" s="13">
        <v>0</v>
      </c>
      <c r="F35" s="3" t="s">
        <v>208</v>
      </c>
    </row>
    <row r="36" spans="1:6" x14ac:dyDescent="0.25">
      <c r="A36" s="39">
        <v>43334.718541666669</v>
      </c>
      <c r="B36" s="3" t="s">
        <v>202</v>
      </c>
      <c r="C36" s="13">
        <v>1</v>
      </c>
      <c r="D36" s="13">
        <v>1</v>
      </c>
      <c r="E36" s="13">
        <v>0</v>
      </c>
      <c r="F36" s="3" t="s">
        <v>208</v>
      </c>
    </row>
    <row r="37" spans="1:6" x14ac:dyDescent="0.25">
      <c r="A37" s="39">
        <v>43334.718541666669</v>
      </c>
      <c r="B37" s="3" t="s">
        <v>203</v>
      </c>
      <c r="C37" s="13">
        <v>1</v>
      </c>
      <c r="D37" s="13">
        <v>9</v>
      </c>
      <c r="E37" s="13">
        <v>8</v>
      </c>
      <c r="F37" s="3" t="s">
        <v>208</v>
      </c>
    </row>
    <row r="38" spans="1:6" x14ac:dyDescent="0.25">
      <c r="A38" s="39">
        <v>43334.718541666669</v>
      </c>
      <c r="B38" s="3" t="s">
        <v>204</v>
      </c>
      <c r="C38" s="13">
        <v>1</v>
      </c>
      <c r="D38" s="13">
        <v>2</v>
      </c>
      <c r="E38" s="13">
        <v>1</v>
      </c>
      <c r="F38" s="3" t="s">
        <v>208</v>
      </c>
    </row>
    <row r="39" spans="1:6" x14ac:dyDescent="0.25">
      <c r="A39" s="39">
        <v>43334.7190162037</v>
      </c>
      <c r="B39" s="3" t="s">
        <v>54</v>
      </c>
      <c r="C39" s="13">
        <v>4</v>
      </c>
      <c r="D39" s="13">
        <v>4</v>
      </c>
      <c r="E39" s="13">
        <v>0</v>
      </c>
      <c r="F39" s="3" t="s">
        <v>205</v>
      </c>
    </row>
    <row r="40" spans="1:6" x14ac:dyDescent="0.25">
      <c r="A40" s="39">
        <v>43334.719236111108</v>
      </c>
      <c r="B40" s="3" t="s">
        <v>188</v>
      </c>
      <c r="C40" s="13">
        <v>-4</v>
      </c>
      <c r="D40" s="13">
        <v>94</v>
      </c>
      <c r="E40" s="13">
        <v>98</v>
      </c>
      <c r="F40" s="3" t="s">
        <v>205</v>
      </c>
    </row>
    <row r="41" spans="1:6" x14ac:dyDescent="0.25">
      <c r="A41" s="39">
        <v>43334.719768518517</v>
      </c>
      <c r="B41" s="3" t="s">
        <v>179</v>
      </c>
      <c r="C41" s="13">
        <v>1</v>
      </c>
      <c r="D41" s="13">
        <v>2</v>
      </c>
      <c r="E41" s="13">
        <v>1</v>
      </c>
      <c r="F41" s="3" t="s">
        <v>206</v>
      </c>
    </row>
    <row r="42" spans="1:6" x14ac:dyDescent="0.25">
      <c r="A42" s="39">
        <v>43334.72148148148</v>
      </c>
      <c r="B42" s="3">
        <v>61304011021</v>
      </c>
      <c r="C42" s="13">
        <v>-6</v>
      </c>
      <c r="D42" s="13">
        <v>3.85</v>
      </c>
      <c r="E42" s="13">
        <v>9.85</v>
      </c>
      <c r="F42" s="3" t="s">
        <v>207</v>
      </c>
    </row>
    <row r="43" spans="1:6" x14ac:dyDescent="0.25">
      <c r="A43" s="39">
        <v>43334.721782407411</v>
      </c>
      <c r="B43" s="3" t="s">
        <v>113</v>
      </c>
      <c r="C43" s="13">
        <v>6</v>
      </c>
      <c r="D43" s="13">
        <v>3.8</v>
      </c>
      <c r="E43" s="13">
        <v>-2.2000000000000002</v>
      </c>
      <c r="F43" s="3" t="s">
        <v>207</v>
      </c>
    </row>
    <row r="44" spans="1:6" x14ac:dyDescent="0.25">
      <c r="A44" s="39">
        <v>43334.721828703703</v>
      </c>
      <c r="B44" s="3" t="s">
        <v>40</v>
      </c>
      <c r="C44" s="13">
        <v>1</v>
      </c>
      <c r="D44" s="13">
        <v>0.36111111111111099</v>
      </c>
      <c r="E44" s="13">
        <v>-0.63888888888888906</v>
      </c>
      <c r="F44" s="3" t="s">
        <v>207</v>
      </c>
    </row>
    <row r="45" spans="1:6" x14ac:dyDescent="0.25">
      <c r="A45" s="39">
        <v>43334.721898148149</v>
      </c>
      <c r="B45" s="3" t="s">
        <v>188</v>
      </c>
      <c r="C45" s="13">
        <v>1</v>
      </c>
      <c r="D45" s="13">
        <v>98</v>
      </c>
      <c r="E45" s="13">
        <v>97</v>
      </c>
      <c r="F45" s="3" t="s">
        <v>207</v>
      </c>
    </row>
    <row r="46" spans="1:6" x14ac:dyDescent="0.25">
      <c r="A46" s="39">
        <v>43463.663310185184</v>
      </c>
      <c r="B46" s="3" t="s">
        <v>325</v>
      </c>
      <c r="C46" s="13">
        <v>10</v>
      </c>
      <c r="D46" s="13">
        <v>0</v>
      </c>
      <c r="E46" s="13">
        <v>10</v>
      </c>
      <c r="F46" s="3" t="s">
        <v>257</v>
      </c>
    </row>
    <row r="47" spans="1:6" x14ac:dyDescent="0.25">
      <c r="A47" s="39">
        <v>43464.637476851851</v>
      </c>
      <c r="B47" s="3" t="s">
        <v>179</v>
      </c>
      <c r="C47" s="13">
        <v>3</v>
      </c>
      <c r="D47" s="13">
        <v>1</v>
      </c>
      <c r="E47" s="13">
        <v>4</v>
      </c>
      <c r="F47" s="3" t="s">
        <v>275</v>
      </c>
    </row>
    <row r="48" spans="1:6" x14ac:dyDescent="0.25">
      <c r="A48" s="39">
        <v>43464.637476851851</v>
      </c>
      <c r="B48" s="3" t="s">
        <v>215</v>
      </c>
      <c r="C48" s="13">
        <v>5</v>
      </c>
      <c r="D48" s="13">
        <v>0</v>
      </c>
      <c r="E48" s="13">
        <v>5</v>
      </c>
      <c r="F48" s="3" t="s">
        <v>276</v>
      </c>
    </row>
    <row r="49" spans="1:6" x14ac:dyDescent="0.25">
      <c r="A49" s="39">
        <v>43464.637476851851</v>
      </c>
      <c r="B49" s="3" t="s">
        <v>216</v>
      </c>
      <c r="C49" s="13">
        <v>5</v>
      </c>
      <c r="D49" s="13">
        <v>0</v>
      </c>
      <c r="E49" s="13">
        <v>5</v>
      </c>
      <c r="F49" s="3" t="s">
        <v>277</v>
      </c>
    </row>
    <row r="50" spans="1:6" x14ac:dyDescent="0.25">
      <c r="A50" s="39">
        <v>43464.637476851851</v>
      </c>
      <c r="B50" s="3" t="s">
        <v>221</v>
      </c>
      <c r="C50" s="13">
        <v>25</v>
      </c>
      <c r="D50" s="13">
        <v>0</v>
      </c>
      <c r="E50" s="13">
        <v>25</v>
      </c>
      <c r="F50" s="3" t="s">
        <v>278</v>
      </c>
    </row>
    <row r="51" spans="1:6" x14ac:dyDescent="0.25">
      <c r="A51" s="39">
        <v>43464.637476851851</v>
      </c>
      <c r="B51" s="3" t="s">
        <v>225</v>
      </c>
      <c r="C51" s="13">
        <v>5</v>
      </c>
      <c r="D51" s="13">
        <v>0</v>
      </c>
      <c r="E51" s="13">
        <v>5</v>
      </c>
      <c r="F51" s="3" t="s">
        <v>279</v>
      </c>
    </row>
    <row r="52" spans="1:6" x14ac:dyDescent="0.25">
      <c r="A52" s="39">
        <v>43464.637476851851</v>
      </c>
      <c r="B52" s="3" t="s">
        <v>229</v>
      </c>
      <c r="C52" s="13">
        <v>10</v>
      </c>
      <c r="D52" s="13">
        <v>0</v>
      </c>
      <c r="E52" s="13">
        <v>10</v>
      </c>
      <c r="F52" s="3" t="s">
        <v>280</v>
      </c>
    </row>
    <row r="53" spans="1:6" x14ac:dyDescent="0.25">
      <c r="A53" s="39">
        <v>43464.637476851851</v>
      </c>
      <c r="B53" s="3" t="s">
        <v>231</v>
      </c>
      <c r="C53" s="13">
        <v>10</v>
      </c>
      <c r="D53" s="13">
        <v>0</v>
      </c>
      <c r="E53" s="13">
        <v>10</v>
      </c>
      <c r="F53" s="3" t="s">
        <v>281</v>
      </c>
    </row>
    <row r="54" spans="1:6" x14ac:dyDescent="0.25">
      <c r="A54" s="39">
        <v>43464.637476851851</v>
      </c>
      <c r="B54" s="3" t="s">
        <v>234</v>
      </c>
      <c r="C54" s="13">
        <v>5</v>
      </c>
      <c r="D54" s="13">
        <v>0</v>
      </c>
      <c r="E54" s="13">
        <v>5</v>
      </c>
      <c r="F54" s="3" t="s">
        <v>282</v>
      </c>
    </row>
    <row r="55" spans="1:6" x14ac:dyDescent="0.25">
      <c r="A55" s="39">
        <v>43464.637476851851</v>
      </c>
      <c r="B55" s="3" t="s">
        <v>238</v>
      </c>
      <c r="C55" s="13">
        <v>5</v>
      </c>
      <c r="D55" s="13">
        <v>0</v>
      </c>
      <c r="E55" s="13">
        <v>5</v>
      </c>
      <c r="F55" s="3" t="s">
        <v>283</v>
      </c>
    </row>
    <row r="56" spans="1:6" x14ac:dyDescent="0.25">
      <c r="A56" s="39">
        <v>43464.637476851851</v>
      </c>
      <c r="B56" s="3" t="s">
        <v>242</v>
      </c>
      <c r="C56" s="13">
        <v>20</v>
      </c>
      <c r="D56" s="13">
        <v>0</v>
      </c>
      <c r="E56" s="13">
        <v>20</v>
      </c>
      <c r="F56" s="3" t="s">
        <v>284</v>
      </c>
    </row>
    <row r="57" spans="1:6" x14ac:dyDescent="0.25">
      <c r="A57" s="39">
        <v>43464.637476851851</v>
      </c>
      <c r="B57" s="3" t="s">
        <v>250</v>
      </c>
      <c r="C57" s="13">
        <v>100</v>
      </c>
      <c r="D57" s="13">
        <v>0</v>
      </c>
      <c r="E57" s="13">
        <v>100</v>
      </c>
      <c r="F57" s="3" t="s">
        <v>285</v>
      </c>
    </row>
    <row r="58" spans="1:6" x14ac:dyDescent="0.25">
      <c r="A58" s="39">
        <v>43464.637476851851</v>
      </c>
      <c r="B58" s="3" t="s">
        <v>246</v>
      </c>
      <c r="C58" s="13">
        <v>100</v>
      </c>
      <c r="D58" s="13">
        <v>0</v>
      </c>
      <c r="E58" s="13">
        <v>100</v>
      </c>
      <c r="F58" s="3" t="s">
        <v>286</v>
      </c>
    </row>
    <row r="59" spans="1:6" x14ac:dyDescent="0.25">
      <c r="A59" s="39">
        <v>43470.960046296299</v>
      </c>
      <c r="B59" s="3" t="s">
        <v>215</v>
      </c>
      <c r="C59" s="13">
        <v>1</v>
      </c>
      <c r="D59" s="13">
        <v>5</v>
      </c>
      <c r="E59" s="13">
        <v>4</v>
      </c>
      <c r="F59" s="3" t="s">
        <v>213</v>
      </c>
    </row>
    <row r="60" spans="1:6" x14ac:dyDescent="0.25">
      <c r="A60" s="39">
        <v>43470.960046296299</v>
      </c>
      <c r="B60" s="3" t="s">
        <v>216</v>
      </c>
      <c r="C60" s="13">
        <v>1</v>
      </c>
      <c r="D60" s="13">
        <v>5</v>
      </c>
      <c r="E60" s="13">
        <v>4</v>
      </c>
      <c r="F60" s="3" t="s">
        <v>213</v>
      </c>
    </row>
    <row r="61" spans="1:6" x14ac:dyDescent="0.25">
      <c r="A61" s="39">
        <v>43470.960046296299</v>
      </c>
      <c r="B61" s="3" t="s">
        <v>221</v>
      </c>
      <c r="C61" s="13">
        <v>1</v>
      </c>
      <c r="D61" s="13">
        <v>25</v>
      </c>
      <c r="E61" s="13">
        <v>24</v>
      </c>
      <c r="F61" s="3" t="s">
        <v>213</v>
      </c>
    </row>
    <row r="62" spans="1:6" x14ac:dyDescent="0.25">
      <c r="A62" s="39">
        <v>43470.960046296299</v>
      </c>
      <c r="B62" s="3" t="s">
        <v>225</v>
      </c>
      <c r="C62" s="13">
        <v>1</v>
      </c>
      <c r="D62" s="13">
        <v>5</v>
      </c>
      <c r="E62" s="13">
        <v>4</v>
      </c>
      <c r="F62" s="3" t="s">
        <v>213</v>
      </c>
    </row>
    <row r="63" spans="1:6" x14ac:dyDescent="0.25">
      <c r="A63" s="39">
        <v>43470.960046296299</v>
      </c>
      <c r="B63" s="3" t="s">
        <v>229</v>
      </c>
      <c r="C63" s="13">
        <v>1</v>
      </c>
      <c r="D63" s="13">
        <v>10</v>
      </c>
      <c r="E63" s="13">
        <v>9</v>
      </c>
      <c r="F63" s="3" t="s">
        <v>213</v>
      </c>
    </row>
    <row r="64" spans="1:6" x14ac:dyDescent="0.25">
      <c r="A64" s="39">
        <v>43470.960046296299</v>
      </c>
      <c r="B64" s="3" t="s">
        <v>231</v>
      </c>
      <c r="C64" s="13">
        <v>1</v>
      </c>
      <c r="D64" s="13">
        <v>10</v>
      </c>
      <c r="E64" s="13">
        <v>9</v>
      </c>
      <c r="F64" s="3" t="s">
        <v>213</v>
      </c>
    </row>
    <row r="65" spans="1:6" x14ac:dyDescent="0.25">
      <c r="A65" s="39">
        <v>43470.960046296299</v>
      </c>
      <c r="B65" s="3" t="s">
        <v>234</v>
      </c>
      <c r="C65" s="13">
        <v>1</v>
      </c>
      <c r="D65" s="13">
        <v>5</v>
      </c>
      <c r="E65" s="13">
        <v>4</v>
      </c>
      <c r="F65" s="3" t="s">
        <v>213</v>
      </c>
    </row>
    <row r="66" spans="1:6" x14ac:dyDescent="0.25">
      <c r="A66" s="39">
        <v>43470.960046296299</v>
      </c>
      <c r="B66" s="3" t="s">
        <v>238</v>
      </c>
      <c r="C66" s="13">
        <v>1</v>
      </c>
      <c r="D66" s="13">
        <v>5</v>
      </c>
      <c r="E66" s="13">
        <v>4</v>
      </c>
      <c r="F66" s="3" t="s">
        <v>213</v>
      </c>
    </row>
    <row r="67" spans="1:6" x14ac:dyDescent="0.25">
      <c r="A67" s="39">
        <v>43470.960046296299</v>
      </c>
      <c r="B67" s="3" t="s">
        <v>242</v>
      </c>
      <c r="C67" s="13">
        <v>3</v>
      </c>
      <c r="D67" s="13">
        <v>20</v>
      </c>
      <c r="E67" s="13">
        <v>17</v>
      </c>
      <c r="F67" s="3" t="s">
        <v>213</v>
      </c>
    </row>
    <row r="68" spans="1:6" x14ac:dyDescent="0.25">
      <c r="A68" s="39">
        <v>43470.960046296299</v>
      </c>
      <c r="B68" s="3" t="s">
        <v>188</v>
      </c>
      <c r="C68" s="13">
        <v>4</v>
      </c>
      <c r="D68" s="13">
        <v>97</v>
      </c>
      <c r="E68" s="13">
        <v>93</v>
      </c>
      <c r="F68" s="3" t="s">
        <v>213</v>
      </c>
    </row>
    <row r="69" spans="1:6" x14ac:dyDescent="0.25">
      <c r="A69" s="39">
        <v>43470.960046296299</v>
      </c>
      <c r="B69" s="3" t="s">
        <v>36</v>
      </c>
      <c r="C69" s="13">
        <v>2</v>
      </c>
      <c r="D69" s="13">
        <v>86</v>
      </c>
      <c r="E69" s="13">
        <v>84</v>
      </c>
      <c r="F69" s="3" t="s">
        <v>213</v>
      </c>
    </row>
    <row r="70" spans="1:6" x14ac:dyDescent="0.25">
      <c r="A70" s="39">
        <v>43470.960046296299</v>
      </c>
      <c r="B70" s="3" t="s">
        <v>246</v>
      </c>
      <c r="C70" s="13">
        <v>1</v>
      </c>
      <c r="D70" s="13">
        <v>100</v>
      </c>
      <c r="E70" s="13">
        <v>99</v>
      </c>
      <c r="F70" s="3" t="s">
        <v>213</v>
      </c>
    </row>
    <row r="71" spans="1:6" x14ac:dyDescent="0.25">
      <c r="A71" s="39">
        <v>43470.960046296299</v>
      </c>
      <c r="B71" s="3" t="s">
        <v>250</v>
      </c>
      <c r="C71" s="13">
        <v>1</v>
      </c>
      <c r="D71" s="13">
        <v>100</v>
      </c>
      <c r="E71" s="13">
        <v>99</v>
      </c>
      <c r="F71" s="3" t="s">
        <v>213</v>
      </c>
    </row>
    <row r="72" spans="1:6" x14ac:dyDescent="0.25">
      <c r="A72" s="39">
        <v>43470.960046296299</v>
      </c>
      <c r="B72" s="3" t="s">
        <v>325</v>
      </c>
      <c r="C72" s="13">
        <v>1</v>
      </c>
      <c r="D72" s="13">
        <v>10</v>
      </c>
      <c r="E72" s="13">
        <v>9</v>
      </c>
      <c r="F72" s="3" t="s">
        <v>213</v>
      </c>
    </row>
    <row r="73" spans="1:6" x14ac:dyDescent="0.25">
      <c r="A73" s="39">
        <v>43497.628275462965</v>
      </c>
      <c r="B73" s="3" t="s">
        <v>329</v>
      </c>
      <c r="C73" s="13" t="s">
        <v>332</v>
      </c>
      <c r="D73" s="13">
        <v>0</v>
      </c>
      <c r="E73" s="13" t="s">
        <v>332</v>
      </c>
      <c r="F73" s="3" t="s">
        <v>333</v>
      </c>
    </row>
    <row r="74" spans="1:6" x14ac:dyDescent="0.25">
      <c r="A74" s="39">
        <v>43497.784837962965</v>
      </c>
      <c r="B74" s="3" t="s">
        <v>335</v>
      </c>
      <c r="C74" s="13" t="s">
        <v>332</v>
      </c>
      <c r="D74" s="13">
        <v>0</v>
      </c>
      <c r="E74" s="13" t="s">
        <v>332</v>
      </c>
      <c r="F74" s="3" t="s">
        <v>333</v>
      </c>
    </row>
    <row r="75" spans="1:6" x14ac:dyDescent="0.25">
      <c r="A75" s="39">
        <v>43500.455185185187</v>
      </c>
      <c r="B75" s="3" t="s">
        <v>339</v>
      </c>
      <c r="C75" s="13" t="s">
        <v>332</v>
      </c>
      <c r="D75" s="13">
        <v>0</v>
      </c>
      <c r="E75" s="13" t="s">
        <v>332</v>
      </c>
      <c r="F75" s="3" t="s">
        <v>333</v>
      </c>
    </row>
    <row r="76" spans="1:6" x14ac:dyDescent="0.25">
      <c r="A76" s="39">
        <v>43500.457152777781</v>
      </c>
      <c r="B76" s="3" t="s">
        <v>343</v>
      </c>
      <c r="C76" s="13" t="s">
        <v>332</v>
      </c>
      <c r="D76" s="13">
        <v>0</v>
      </c>
      <c r="E76" s="13" t="s">
        <v>332</v>
      </c>
      <c r="F76" s="3" t="s">
        <v>333</v>
      </c>
    </row>
    <row r="77" spans="1:6" x14ac:dyDescent="0.25">
      <c r="A77" s="39">
        <v>43500.458449074074</v>
      </c>
      <c r="B77" s="3" t="s">
        <v>347</v>
      </c>
      <c r="C77" s="13" t="s">
        <v>332</v>
      </c>
      <c r="D77" s="13">
        <v>0</v>
      </c>
      <c r="E77" s="13" t="s">
        <v>332</v>
      </c>
      <c r="F77" s="3" t="s">
        <v>333</v>
      </c>
    </row>
    <row r="78" spans="1:6" x14ac:dyDescent="0.25">
      <c r="A78" s="39">
        <v>43502.505069444444</v>
      </c>
      <c r="B78" s="3" t="s">
        <v>360</v>
      </c>
      <c r="C78" s="13" t="s">
        <v>363</v>
      </c>
      <c r="D78" s="13">
        <v>0</v>
      </c>
      <c r="E78" s="13" t="s">
        <v>363</v>
      </c>
      <c r="F78" s="3" t="s">
        <v>333</v>
      </c>
    </row>
    <row r="79" spans="1:6" x14ac:dyDescent="0.25">
      <c r="A79" s="39">
        <v>43502.508912037039</v>
      </c>
      <c r="B79" s="3" t="s">
        <v>364</v>
      </c>
      <c r="C79" s="13" t="s">
        <v>363</v>
      </c>
      <c r="D79" s="13">
        <v>0</v>
      </c>
      <c r="E79" s="13" t="s">
        <v>363</v>
      </c>
      <c r="F79" s="3" t="s">
        <v>333</v>
      </c>
    </row>
    <row r="80" spans="1:6" x14ac:dyDescent="0.25">
      <c r="A80" s="39">
        <v>43502.509687500002</v>
      </c>
      <c r="B80" s="3" t="s">
        <v>367</v>
      </c>
      <c r="C80" s="13" t="s">
        <v>363</v>
      </c>
      <c r="D80" s="13">
        <v>0</v>
      </c>
      <c r="E80" s="13" t="s">
        <v>363</v>
      </c>
      <c r="F80" s="3" t="s">
        <v>333</v>
      </c>
    </row>
    <row r="81" spans="1:6" x14ac:dyDescent="0.25">
      <c r="A81" s="39">
        <v>43502.509965277779</v>
      </c>
      <c r="B81" s="3" t="s">
        <v>369</v>
      </c>
      <c r="C81" s="13" t="s">
        <v>363</v>
      </c>
      <c r="D81" s="13">
        <v>0</v>
      </c>
      <c r="E81" s="13" t="s">
        <v>363</v>
      </c>
      <c r="F81" s="3" t="s">
        <v>333</v>
      </c>
    </row>
    <row r="82" spans="1:6" x14ac:dyDescent="0.25">
      <c r="A82" s="39">
        <v>43506.582777777781</v>
      </c>
      <c r="B82" s="3" t="s">
        <v>201</v>
      </c>
      <c r="C82" s="13" t="s">
        <v>65</v>
      </c>
      <c r="D82" s="13" t="s">
        <v>65</v>
      </c>
      <c r="E82" s="13" t="s">
        <v>65</v>
      </c>
      <c r="F82" s="3" t="s">
        <v>391</v>
      </c>
    </row>
    <row r="83" spans="1:6" x14ac:dyDescent="0.25">
      <c r="A83" s="39">
        <v>43506.584803240738</v>
      </c>
      <c r="B83" s="3" t="s">
        <v>18</v>
      </c>
      <c r="C83" s="13" t="s">
        <v>65</v>
      </c>
      <c r="D83" s="13" t="s">
        <v>65</v>
      </c>
      <c r="E83" s="13" t="s">
        <v>65</v>
      </c>
      <c r="F83" s="3" t="s">
        <v>391</v>
      </c>
    </row>
    <row r="84" spans="1:6" x14ac:dyDescent="0.25">
      <c r="A84" s="39">
        <v>43506.584965277776</v>
      </c>
      <c r="B84" s="3" t="s">
        <v>101</v>
      </c>
      <c r="C84" s="13" t="s">
        <v>65</v>
      </c>
      <c r="D84" s="13" t="s">
        <v>65</v>
      </c>
      <c r="E84" s="13" t="s">
        <v>65</v>
      </c>
      <c r="F84" s="3" t="s">
        <v>391</v>
      </c>
    </row>
    <row r="85" spans="1:6" x14ac:dyDescent="0.25">
      <c r="A85" s="39">
        <v>43506.585150462961</v>
      </c>
      <c r="B85" s="3" t="s">
        <v>100</v>
      </c>
      <c r="C85" s="13" t="s">
        <v>65</v>
      </c>
      <c r="D85" s="13" t="s">
        <v>65</v>
      </c>
      <c r="E85" s="13" t="s">
        <v>65</v>
      </c>
      <c r="F85" s="3" t="s">
        <v>391</v>
      </c>
    </row>
    <row r="86" spans="1:6" x14ac:dyDescent="0.25">
      <c r="A86" s="39">
        <v>43506.59097222222</v>
      </c>
      <c r="B86" s="3" t="s">
        <v>347</v>
      </c>
      <c r="C86" s="13">
        <v>1</v>
      </c>
      <c r="D86" s="13">
        <v>0</v>
      </c>
      <c r="E86" s="13" t="s">
        <v>363</v>
      </c>
      <c r="F86" s="3" t="s">
        <v>398</v>
      </c>
    </row>
    <row r="87" spans="1:6" x14ac:dyDescent="0.25">
      <c r="A87" s="39">
        <v>43506.591550925928</v>
      </c>
      <c r="B87" s="3" t="s">
        <v>9</v>
      </c>
      <c r="C87" s="13" t="s">
        <v>65</v>
      </c>
      <c r="D87" s="13" t="s">
        <v>65</v>
      </c>
      <c r="E87" s="13" t="s">
        <v>65</v>
      </c>
      <c r="F87" s="3" t="s">
        <v>391</v>
      </c>
    </row>
    <row r="88" spans="1:6" x14ac:dyDescent="0.25">
      <c r="A88" s="39">
        <v>43506.592916666668</v>
      </c>
      <c r="B88" s="3" t="s">
        <v>24</v>
      </c>
      <c r="C88" s="13" t="s">
        <v>65</v>
      </c>
      <c r="D88" s="13" t="s">
        <v>65</v>
      </c>
      <c r="E88" s="13" t="s">
        <v>65</v>
      </c>
      <c r="F88" s="3" t="s">
        <v>391</v>
      </c>
    </row>
    <row r="89" spans="1:6" x14ac:dyDescent="0.25">
      <c r="A89" s="39">
        <v>43506.593032407407</v>
      </c>
      <c r="B89" s="3" t="s">
        <v>22</v>
      </c>
      <c r="C89" s="13" t="s">
        <v>65</v>
      </c>
      <c r="D89" s="13" t="s">
        <v>65</v>
      </c>
      <c r="E89" s="13" t="s">
        <v>65</v>
      </c>
      <c r="F89" s="3" t="s">
        <v>391</v>
      </c>
    </row>
    <row r="90" spans="1:6" x14ac:dyDescent="0.25">
      <c r="A90" s="39">
        <v>43506.593159722222</v>
      </c>
      <c r="B90" s="3" t="s">
        <v>27</v>
      </c>
      <c r="C90" s="13" t="s">
        <v>65</v>
      </c>
      <c r="D90" s="13" t="s">
        <v>65</v>
      </c>
      <c r="E90" s="13" t="s">
        <v>65</v>
      </c>
      <c r="F90" s="3" t="s">
        <v>391</v>
      </c>
    </row>
    <row r="91" spans="1:6" x14ac:dyDescent="0.25">
      <c r="A91" s="39">
        <v>43506.593275462961</v>
      </c>
      <c r="B91" s="3" t="s">
        <v>136</v>
      </c>
      <c r="C91" s="13" t="s">
        <v>65</v>
      </c>
      <c r="D91" s="13" t="s">
        <v>65</v>
      </c>
      <c r="E91" s="13" t="s">
        <v>65</v>
      </c>
      <c r="F91" s="3" t="s">
        <v>391</v>
      </c>
    </row>
    <row r="92" spans="1:6" x14ac:dyDescent="0.25">
      <c r="A92" s="39">
        <v>43506.593391203707</v>
      </c>
      <c r="B92" s="3" t="s">
        <v>221</v>
      </c>
      <c r="C92" s="13" t="s">
        <v>65</v>
      </c>
      <c r="D92" s="13" t="s">
        <v>65</v>
      </c>
      <c r="E92" s="13" t="s">
        <v>65</v>
      </c>
      <c r="F92" s="3" t="s">
        <v>391</v>
      </c>
    </row>
    <row r="93" spans="1:6" x14ac:dyDescent="0.25">
      <c r="A93" s="39">
        <v>43506.5937037037</v>
      </c>
      <c r="B93" s="3" t="s">
        <v>150</v>
      </c>
      <c r="C93" s="13" t="s">
        <v>65</v>
      </c>
      <c r="D93" s="13" t="s">
        <v>65</v>
      </c>
      <c r="E93" s="13" t="s">
        <v>65</v>
      </c>
      <c r="F93" s="3" t="s">
        <v>391</v>
      </c>
    </row>
    <row r="94" spans="1:6" x14ac:dyDescent="0.25">
      <c r="A94" s="39">
        <v>43506.593958333331</v>
      </c>
      <c r="B94" s="3" t="s">
        <v>147</v>
      </c>
      <c r="C94" s="13" t="s">
        <v>65</v>
      </c>
      <c r="D94" s="13" t="s">
        <v>65</v>
      </c>
      <c r="E94" s="13" t="s">
        <v>65</v>
      </c>
      <c r="F94" s="3" t="s">
        <v>391</v>
      </c>
    </row>
    <row r="95" spans="1:6" x14ac:dyDescent="0.25">
      <c r="A95" s="39">
        <v>43506.594108796293</v>
      </c>
      <c r="B95" s="3" t="s">
        <v>215</v>
      </c>
      <c r="C95" s="13" t="s">
        <v>65</v>
      </c>
      <c r="D95" s="13" t="s">
        <v>65</v>
      </c>
      <c r="E95" s="13" t="s">
        <v>65</v>
      </c>
      <c r="F95" s="3" t="s">
        <v>391</v>
      </c>
    </row>
    <row r="96" spans="1:6" x14ac:dyDescent="0.25">
      <c r="A96" s="39">
        <v>43506.594305555554</v>
      </c>
      <c r="B96" s="3" t="s">
        <v>216</v>
      </c>
      <c r="C96" s="13" t="s">
        <v>65</v>
      </c>
      <c r="D96" s="13" t="s">
        <v>65</v>
      </c>
      <c r="E96" s="13" t="s">
        <v>65</v>
      </c>
      <c r="F96" s="3" t="s">
        <v>391</v>
      </c>
    </row>
    <row r="97" spans="1:6" x14ac:dyDescent="0.25">
      <c r="A97" s="39">
        <v>43506.594652777778</v>
      </c>
      <c r="B97" s="3" t="s">
        <v>139</v>
      </c>
      <c r="C97" s="13" t="s">
        <v>65</v>
      </c>
      <c r="D97" s="13" t="s">
        <v>65</v>
      </c>
      <c r="E97" s="13" t="s">
        <v>65</v>
      </c>
      <c r="F97" s="3" t="s">
        <v>391</v>
      </c>
    </row>
    <row r="98" spans="1:6" x14ac:dyDescent="0.25">
      <c r="A98" s="39">
        <v>43506.596284722225</v>
      </c>
      <c r="B98" s="3" t="s">
        <v>20</v>
      </c>
      <c r="C98" s="13" t="s">
        <v>65</v>
      </c>
      <c r="D98" s="13" t="s">
        <v>65</v>
      </c>
      <c r="E98" s="13" t="s">
        <v>65</v>
      </c>
      <c r="F98" s="3" t="s">
        <v>391</v>
      </c>
    </row>
    <row r="99" spans="1:6" x14ac:dyDescent="0.25">
      <c r="A99" s="39">
        <v>43506.596585648149</v>
      </c>
      <c r="B99" s="3" t="s">
        <v>231</v>
      </c>
      <c r="C99" s="13" t="s">
        <v>65</v>
      </c>
      <c r="D99" s="13" t="s">
        <v>65</v>
      </c>
      <c r="E99" s="13" t="s">
        <v>65</v>
      </c>
      <c r="F99" s="3" t="s">
        <v>391</v>
      </c>
    </row>
    <row r="100" spans="1:6" x14ac:dyDescent="0.25">
      <c r="A100" s="39">
        <v>43506.596724537034</v>
      </c>
      <c r="B100" s="3" t="s">
        <v>229</v>
      </c>
      <c r="C100" s="13" t="s">
        <v>65</v>
      </c>
      <c r="D100" s="13" t="s">
        <v>65</v>
      </c>
      <c r="E100" s="13" t="s">
        <v>65</v>
      </c>
      <c r="F100" s="3" t="s">
        <v>391</v>
      </c>
    </row>
    <row r="101" spans="1:6" x14ac:dyDescent="0.25">
      <c r="A101" s="39">
        <v>43506.62771990741</v>
      </c>
      <c r="B101" s="3" t="s">
        <v>9</v>
      </c>
      <c r="C101" s="13">
        <v>1</v>
      </c>
      <c r="D101" s="13">
        <v>3</v>
      </c>
      <c r="E101" s="13">
        <v>4</v>
      </c>
      <c r="F101" s="3" t="s">
        <v>416</v>
      </c>
    </row>
    <row r="102" spans="1:6" x14ac:dyDescent="0.25">
      <c r="A102" s="39">
        <v>43506.62771990741</v>
      </c>
      <c r="B102" s="3" t="s">
        <v>12</v>
      </c>
      <c r="C102" s="13">
        <v>2</v>
      </c>
      <c r="D102" s="13">
        <v>46</v>
      </c>
      <c r="E102" s="13">
        <v>48</v>
      </c>
      <c r="F102" s="3" t="s">
        <v>416</v>
      </c>
    </row>
    <row r="103" spans="1:6" x14ac:dyDescent="0.25">
      <c r="A103" s="39">
        <v>43506.62771990741</v>
      </c>
      <c r="B103" s="3" t="s">
        <v>14</v>
      </c>
      <c r="C103" s="13">
        <v>1</v>
      </c>
      <c r="D103" s="13">
        <v>48</v>
      </c>
      <c r="E103" s="13">
        <v>49</v>
      </c>
      <c r="F103" s="3" t="s">
        <v>416</v>
      </c>
    </row>
    <row r="104" spans="1:6" x14ac:dyDescent="0.25">
      <c r="A104" s="39">
        <v>43506.62771990741</v>
      </c>
      <c r="B104" s="3" t="s">
        <v>16</v>
      </c>
      <c r="C104" s="13">
        <v>1</v>
      </c>
      <c r="D104" s="13">
        <v>13</v>
      </c>
      <c r="E104" s="13">
        <v>14</v>
      </c>
      <c r="F104" s="3" t="s">
        <v>416</v>
      </c>
    </row>
    <row r="105" spans="1:6" x14ac:dyDescent="0.25">
      <c r="A105" s="39">
        <v>43506.62771990741</v>
      </c>
      <c r="B105" s="3" t="s">
        <v>18</v>
      </c>
      <c r="C105" s="13">
        <v>1</v>
      </c>
      <c r="D105" s="13">
        <v>18</v>
      </c>
      <c r="E105" s="13">
        <v>19</v>
      </c>
      <c r="F105" s="3" t="s">
        <v>416</v>
      </c>
    </row>
    <row r="106" spans="1:6" x14ac:dyDescent="0.25">
      <c r="A106" s="39">
        <v>43506.62771990741</v>
      </c>
      <c r="B106" s="3" t="s">
        <v>22</v>
      </c>
      <c r="C106" s="13">
        <v>1</v>
      </c>
      <c r="D106" s="13">
        <v>8</v>
      </c>
      <c r="E106" s="13">
        <v>9</v>
      </c>
      <c r="F106" s="3" t="s">
        <v>416</v>
      </c>
    </row>
    <row r="107" spans="1:6" x14ac:dyDescent="0.25">
      <c r="A107" s="39">
        <v>43506.62771990741</v>
      </c>
      <c r="B107" s="3" t="s">
        <v>24</v>
      </c>
      <c r="C107" s="13">
        <v>1</v>
      </c>
      <c r="D107" s="13">
        <v>3</v>
      </c>
      <c r="E107" s="13">
        <v>4</v>
      </c>
      <c r="F107" s="3" t="s">
        <v>416</v>
      </c>
    </row>
    <row r="108" spans="1:6" x14ac:dyDescent="0.25">
      <c r="A108" s="39">
        <v>43506.62771990741</v>
      </c>
      <c r="B108" s="3" t="s">
        <v>27</v>
      </c>
      <c r="C108" s="13">
        <v>1</v>
      </c>
      <c r="D108" s="13">
        <v>8</v>
      </c>
      <c r="E108" s="13">
        <v>9</v>
      </c>
      <c r="F108" s="3" t="s">
        <v>416</v>
      </c>
    </row>
    <row r="109" spans="1:6" x14ac:dyDescent="0.25">
      <c r="A109" s="39">
        <v>43506.62771990741</v>
      </c>
      <c r="B109" s="3" t="s">
        <v>118</v>
      </c>
      <c r="C109" s="13">
        <v>19</v>
      </c>
      <c r="D109" s="13">
        <v>81</v>
      </c>
      <c r="E109" s="13">
        <v>100</v>
      </c>
      <c r="F109" s="3" t="s">
        <v>416</v>
      </c>
    </row>
    <row r="110" spans="1:6" x14ac:dyDescent="0.25">
      <c r="A110" s="39">
        <v>43506.62771990741</v>
      </c>
      <c r="B110" s="3" t="s">
        <v>117</v>
      </c>
      <c r="C110" s="13">
        <v>1</v>
      </c>
      <c r="D110" s="13">
        <v>3</v>
      </c>
      <c r="E110" s="13">
        <v>4</v>
      </c>
      <c r="F110" s="3" t="s">
        <v>416</v>
      </c>
    </row>
    <row r="111" spans="1:6" x14ac:dyDescent="0.25">
      <c r="A111" s="39">
        <v>43506.62771990741</v>
      </c>
      <c r="B111" s="3" t="s">
        <v>31</v>
      </c>
      <c r="C111" s="13">
        <v>1</v>
      </c>
      <c r="D111" s="13">
        <v>3</v>
      </c>
      <c r="E111" s="13">
        <v>4</v>
      </c>
      <c r="F111" s="3" t="s">
        <v>416</v>
      </c>
    </row>
    <row r="112" spans="1:6" x14ac:dyDescent="0.25">
      <c r="A112" s="39">
        <v>43506.62771990741</v>
      </c>
      <c r="B112" s="3" t="s">
        <v>34</v>
      </c>
      <c r="C112" s="13">
        <v>1</v>
      </c>
      <c r="D112" s="13">
        <v>3</v>
      </c>
      <c r="E112" s="13">
        <v>4</v>
      </c>
      <c r="F112" s="3" t="s">
        <v>416</v>
      </c>
    </row>
    <row r="113" spans="1:6" x14ac:dyDescent="0.25">
      <c r="A113" s="39">
        <v>43506.62771990741</v>
      </c>
      <c r="B113" s="3" t="s">
        <v>36</v>
      </c>
      <c r="C113" s="13">
        <v>7</v>
      </c>
      <c r="D113" s="13">
        <v>84</v>
      </c>
      <c r="E113" s="13">
        <v>91</v>
      </c>
      <c r="F113" s="3" t="s">
        <v>416</v>
      </c>
    </row>
    <row r="114" spans="1:6" x14ac:dyDescent="0.25">
      <c r="A114" s="39">
        <v>43506.62771990741</v>
      </c>
      <c r="B114" s="3" t="s">
        <v>38</v>
      </c>
      <c r="C114" s="13">
        <v>2</v>
      </c>
      <c r="D114" s="13">
        <v>0</v>
      </c>
      <c r="E114" s="13">
        <v>2</v>
      </c>
      <c r="F114" s="3" t="s">
        <v>416</v>
      </c>
    </row>
    <row r="115" spans="1:6" x14ac:dyDescent="0.25">
      <c r="A115" s="39">
        <v>43506.62771990741</v>
      </c>
      <c r="B115" s="3" t="s">
        <v>40</v>
      </c>
      <c r="C115" s="13" t="s">
        <v>417</v>
      </c>
      <c r="D115" s="13">
        <v>-0.63900000000000001</v>
      </c>
      <c r="E115" s="13">
        <v>0</v>
      </c>
      <c r="F115" s="3" t="s">
        <v>416</v>
      </c>
    </row>
    <row r="116" spans="1:6" x14ac:dyDescent="0.25">
      <c r="A116" s="39">
        <v>43506.62771990741</v>
      </c>
      <c r="B116" s="3" t="s">
        <v>43</v>
      </c>
      <c r="C116" s="13">
        <v>1</v>
      </c>
      <c r="D116" s="13">
        <v>23</v>
      </c>
      <c r="E116" s="13">
        <v>24</v>
      </c>
      <c r="F116" s="3" t="s">
        <v>416</v>
      </c>
    </row>
    <row r="117" spans="1:6" x14ac:dyDescent="0.25">
      <c r="A117" s="39">
        <v>43506.62771990741</v>
      </c>
      <c r="B117" s="3" t="s">
        <v>46</v>
      </c>
      <c r="C117" s="13">
        <v>4</v>
      </c>
      <c r="D117" s="13">
        <v>12</v>
      </c>
      <c r="E117" s="13">
        <v>16</v>
      </c>
      <c r="F117" s="3" t="s">
        <v>416</v>
      </c>
    </row>
    <row r="118" spans="1:6" x14ac:dyDescent="0.25">
      <c r="A118" s="39">
        <v>43506.62771990741</v>
      </c>
      <c r="B118" s="3" t="s">
        <v>49</v>
      </c>
      <c r="C118" s="13">
        <v>1</v>
      </c>
      <c r="D118" s="13">
        <v>0</v>
      </c>
      <c r="E118" s="13">
        <v>1</v>
      </c>
      <c r="F118" s="3" t="s">
        <v>416</v>
      </c>
    </row>
    <row r="119" spans="1:6" x14ac:dyDescent="0.25">
      <c r="A119" s="39">
        <v>43506.62771990741</v>
      </c>
      <c r="B119" s="3" t="s">
        <v>52</v>
      </c>
      <c r="C119" s="13">
        <v>1</v>
      </c>
      <c r="D119" s="13">
        <v>8</v>
      </c>
      <c r="E119" s="13">
        <v>9</v>
      </c>
      <c r="F119" s="3" t="s">
        <v>416</v>
      </c>
    </row>
    <row r="120" spans="1:6" x14ac:dyDescent="0.25">
      <c r="A120" s="39">
        <v>43506.62771990741</v>
      </c>
      <c r="B120" s="3" t="s">
        <v>188</v>
      </c>
      <c r="C120" s="13">
        <v>6</v>
      </c>
      <c r="D120" s="13">
        <v>93</v>
      </c>
      <c r="E120" s="13">
        <v>99</v>
      </c>
      <c r="F120" s="3" t="s">
        <v>416</v>
      </c>
    </row>
    <row r="121" spans="1:6" x14ac:dyDescent="0.25">
      <c r="A121" s="39">
        <v>43506.62771990741</v>
      </c>
      <c r="B121" s="3" t="s">
        <v>56</v>
      </c>
      <c r="C121" s="13">
        <v>1</v>
      </c>
      <c r="D121" s="13">
        <v>8</v>
      </c>
      <c r="E121" s="13">
        <v>9</v>
      </c>
      <c r="F121" s="3" t="s">
        <v>416</v>
      </c>
    </row>
    <row r="122" spans="1:6" x14ac:dyDescent="0.25">
      <c r="A122" s="39">
        <v>43506.62771990741</v>
      </c>
      <c r="B122" s="3" t="s">
        <v>59</v>
      </c>
      <c r="C122" s="13">
        <v>1</v>
      </c>
      <c r="D122" s="13">
        <v>18</v>
      </c>
      <c r="E122" s="13">
        <v>19</v>
      </c>
      <c r="F122" s="3" t="s">
        <v>416</v>
      </c>
    </row>
    <row r="123" spans="1:6" x14ac:dyDescent="0.25">
      <c r="A123" s="39">
        <v>43506.62771990741</v>
      </c>
      <c r="B123" s="3" t="s">
        <v>61</v>
      </c>
      <c r="C123" s="13">
        <v>1</v>
      </c>
      <c r="D123" s="13">
        <v>8</v>
      </c>
      <c r="E123" s="13">
        <v>9</v>
      </c>
      <c r="F123" s="3" t="s">
        <v>416</v>
      </c>
    </row>
    <row r="124" spans="1:6" x14ac:dyDescent="0.25">
      <c r="A124" s="39">
        <v>43506.62771990741</v>
      </c>
      <c r="B124" s="3" t="s">
        <v>63</v>
      </c>
      <c r="C124" s="13">
        <v>3</v>
      </c>
      <c r="D124" s="13">
        <v>4</v>
      </c>
      <c r="E124" s="13">
        <v>7</v>
      </c>
      <c r="F124" s="3" t="s">
        <v>416</v>
      </c>
    </row>
    <row r="125" spans="1:6" x14ac:dyDescent="0.25">
      <c r="A125" s="39">
        <v>43506.62771990741</v>
      </c>
      <c r="B125" s="3" t="s">
        <v>139</v>
      </c>
      <c r="C125" s="13">
        <v>1</v>
      </c>
      <c r="D125" s="13">
        <v>0</v>
      </c>
      <c r="E125" s="13">
        <v>1</v>
      </c>
      <c r="F125" s="3" t="s">
        <v>416</v>
      </c>
    </row>
    <row r="126" spans="1:6" x14ac:dyDescent="0.25">
      <c r="A126" s="39">
        <v>43506.62771990741</v>
      </c>
      <c r="B126" s="3" t="s">
        <v>77</v>
      </c>
      <c r="C126" s="13">
        <v>1</v>
      </c>
      <c r="D126" s="13">
        <v>0</v>
      </c>
      <c r="E126" s="13">
        <v>1</v>
      </c>
      <c r="F126" s="3" t="s">
        <v>416</v>
      </c>
    </row>
    <row r="127" spans="1:6" x14ac:dyDescent="0.25">
      <c r="A127" s="39">
        <v>43506.62771990741</v>
      </c>
      <c r="B127" s="3" t="s">
        <v>81</v>
      </c>
      <c r="C127" s="13">
        <v>1</v>
      </c>
      <c r="D127" s="13">
        <v>1</v>
      </c>
      <c r="E127" s="13">
        <v>2</v>
      </c>
      <c r="F127" s="3" t="s">
        <v>416</v>
      </c>
    </row>
    <row r="128" spans="1:6" x14ac:dyDescent="0.25">
      <c r="A128" s="39">
        <v>43506.62771990741</v>
      </c>
      <c r="B128" s="3" t="s">
        <v>158</v>
      </c>
      <c r="C128" s="13">
        <v>1</v>
      </c>
      <c r="D128" s="13">
        <v>0</v>
      </c>
      <c r="E128" s="13">
        <v>1</v>
      </c>
      <c r="F128" s="3" t="s">
        <v>416</v>
      </c>
    </row>
    <row r="129" spans="1:6" x14ac:dyDescent="0.25">
      <c r="A129" s="39">
        <v>43506.62771990741</v>
      </c>
      <c r="B129" s="3">
        <v>1004068</v>
      </c>
      <c r="C129" s="13">
        <v>1</v>
      </c>
      <c r="D129" s="13">
        <v>1</v>
      </c>
      <c r="E129" s="13">
        <v>2</v>
      </c>
      <c r="F129" s="3" t="s">
        <v>416</v>
      </c>
    </row>
    <row r="130" spans="1:6" x14ac:dyDescent="0.25">
      <c r="A130" s="39">
        <v>43506.62771990741</v>
      </c>
      <c r="B130" s="3">
        <v>90990</v>
      </c>
      <c r="C130" s="13">
        <v>1</v>
      </c>
      <c r="D130" s="13">
        <v>0</v>
      </c>
      <c r="E130" s="13">
        <v>1</v>
      </c>
      <c r="F130" s="3" t="s">
        <v>416</v>
      </c>
    </row>
    <row r="131" spans="1:6" x14ac:dyDescent="0.25">
      <c r="A131" s="39">
        <v>43506.62771990741</v>
      </c>
      <c r="B131" s="3">
        <v>912951</v>
      </c>
      <c r="C131" s="13">
        <v>1</v>
      </c>
      <c r="D131" s="13">
        <v>0</v>
      </c>
      <c r="E131" s="13">
        <v>1</v>
      </c>
      <c r="F131" s="3" t="s">
        <v>416</v>
      </c>
    </row>
    <row r="132" spans="1:6" x14ac:dyDescent="0.25">
      <c r="A132" s="39">
        <v>43506.62771990741</v>
      </c>
      <c r="B132" s="3">
        <v>1181876</v>
      </c>
      <c r="C132" s="13">
        <v>1</v>
      </c>
      <c r="D132" s="13">
        <v>8</v>
      </c>
      <c r="E132" s="13">
        <v>9</v>
      </c>
      <c r="F132" s="3" t="s">
        <v>416</v>
      </c>
    </row>
    <row r="133" spans="1:6" x14ac:dyDescent="0.25">
      <c r="A133" s="39">
        <v>43506.62771990741</v>
      </c>
      <c r="B133" s="3">
        <v>965083</v>
      </c>
      <c r="C133" s="13">
        <v>1</v>
      </c>
      <c r="D133" s="13">
        <v>1</v>
      </c>
      <c r="E133" s="13">
        <v>2</v>
      </c>
      <c r="F133" s="3" t="s">
        <v>416</v>
      </c>
    </row>
    <row r="134" spans="1:6" x14ac:dyDescent="0.25">
      <c r="A134" s="39">
        <v>43512.96502314815</v>
      </c>
      <c r="B134" s="3" t="s">
        <v>418</v>
      </c>
      <c r="C134" s="13"/>
      <c r="D134" s="13">
        <v>0</v>
      </c>
      <c r="E134" s="13"/>
      <c r="F134" s="3" t="s">
        <v>333</v>
      </c>
    </row>
    <row r="135" spans="1:6" x14ac:dyDescent="0.25">
      <c r="A135" s="39">
        <v>43512.966874999998</v>
      </c>
      <c r="B135" s="3" t="s">
        <v>418</v>
      </c>
      <c r="C135" s="13" t="s">
        <v>422</v>
      </c>
      <c r="D135" s="13">
        <v>0</v>
      </c>
      <c r="E135" s="13" t="s">
        <v>422</v>
      </c>
      <c r="F135" s="3" t="s">
        <v>333</v>
      </c>
    </row>
    <row r="136" spans="1:6" x14ac:dyDescent="0.25">
      <c r="A136" s="39">
        <v>43519.51699074074</v>
      </c>
      <c r="B136" s="3" t="s">
        <v>326</v>
      </c>
      <c r="C136" s="13" t="s">
        <v>423</v>
      </c>
      <c r="D136" s="13">
        <v>0</v>
      </c>
      <c r="E136" s="13">
        <v>10</v>
      </c>
      <c r="F136" s="3" t="s">
        <v>443</v>
      </c>
    </row>
    <row r="137" spans="1:6" x14ac:dyDescent="0.25">
      <c r="A137" s="39">
        <v>43519.517534722225</v>
      </c>
      <c r="B137" s="3" t="s">
        <v>36</v>
      </c>
      <c r="C137" s="13" t="s">
        <v>65</v>
      </c>
      <c r="D137" s="13" t="s">
        <v>65</v>
      </c>
      <c r="E137" s="13" t="s">
        <v>65</v>
      </c>
      <c r="F137" s="3" t="s">
        <v>442</v>
      </c>
    </row>
    <row r="138" spans="1:6" x14ac:dyDescent="0.25">
      <c r="A138" s="39">
        <v>43519.51771990741</v>
      </c>
      <c r="B138" s="3" t="s">
        <v>12</v>
      </c>
      <c r="C138" s="13" t="s">
        <v>65</v>
      </c>
      <c r="D138" s="13" t="s">
        <v>65</v>
      </c>
      <c r="E138" s="13" t="s">
        <v>65</v>
      </c>
      <c r="F138" s="3" t="s">
        <v>442</v>
      </c>
    </row>
    <row r="139" spans="1:6" x14ac:dyDescent="0.25">
      <c r="A139" s="39">
        <v>43519.518425925926</v>
      </c>
      <c r="B139" s="3" t="s">
        <v>36</v>
      </c>
      <c r="C139" s="13" t="s">
        <v>65</v>
      </c>
      <c r="D139" s="13" t="s">
        <v>65</v>
      </c>
      <c r="E139" s="13" t="s">
        <v>65</v>
      </c>
      <c r="F139" s="3" t="s">
        <v>441</v>
      </c>
    </row>
    <row r="140" spans="1:6" x14ac:dyDescent="0.25">
      <c r="A140" s="39">
        <v>43519.518472222226</v>
      </c>
      <c r="B140" s="3" t="s">
        <v>12</v>
      </c>
      <c r="C140" s="13" t="s">
        <v>65</v>
      </c>
      <c r="D140" s="13" t="s">
        <v>65</v>
      </c>
      <c r="E140" s="13" t="s">
        <v>65</v>
      </c>
      <c r="F140" s="3" t="s">
        <v>441</v>
      </c>
    </row>
    <row r="141" spans="1:6" x14ac:dyDescent="0.25">
      <c r="A141" s="39">
        <v>43519.518576388888</v>
      </c>
      <c r="B141" s="3" t="s">
        <v>321</v>
      </c>
      <c r="C141" s="13" t="s">
        <v>65</v>
      </c>
      <c r="D141" s="13" t="s">
        <v>65</v>
      </c>
      <c r="E141" s="13" t="s">
        <v>65</v>
      </c>
      <c r="F141" s="3" t="s">
        <v>441</v>
      </c>
    </row>
    <row r="142" spans="1:6" x14ac:dyDescent="0.25">
      <c r="A142" s="39">
        <v>43519.518599537034</v>
      </c>
      <c r="B142" s="3" t="s">
        <v>63</v>
      </c>
      <c r="C142" s="13" t="s">
        <v>65</v>
      </c>
      <c r="D142" s="13" t="s">
        <v>65</v>
      </c>
      <c r="E142" s="13" t="s">
        <v>65</v>
      </c>
      <c r="F142" s="3" t="s">
        <v>441</v>
      </c>
    </row>
    <row r="143" spans="1:6" x14ac:dyDescent="0.25">
      <c r="A143" s="39">
        <v>43519.518622685187</v>
      </c>
      <c r="B143" s="3" t="s">
        <v>61</v>
      </c>
      <c r="C143" s="13" t="s">
        <v>65</v>
      </c>
      <c r="D143" s="13" t="s">
        <v>65</v>
      </c>
      <c r="E143" s="13" t="s">
        <v>65</v>
      </c>
      <c r="F143" s="3" t="s">
        <v>441</v>
      </c>
    </row>
    <row r="144" spans="1:6" x14ac:dyDescent="0.25">
      <c r="A144" s="39">
        <v>43519.518657407411</v>
      </c>
      <c r="B144" s="3" t="s">
        <v>59</v>
      </c>
      <c r="C144" s="13" t="s">
        <v>65</v>
      </c>
      <c r="D144" s="13" t="s">
        <v>65</v>
      </c>
      <c r="E144" s="13" t="s">
        <v>65</v>
      </c>
      <c r="F144" s="3" t="s">
        <v>441</v>
      </c>
    </row>
    <row r="145" spans="1:6" x14ac:dyDescent="0.25">
      <c r="A145" s="39">
        <v>43519.518703703703</v>
      </c>
      <c r="B145" s="3" t="s">
        <v>52</v>
      </c>
      <c r="C145" s="13" t="s">
        <v>65</v>
      </c>
      <c r="D145" s="13" t="s">
        <v>65</v>
      </c>
      <c r="E145" s="13" t="s">
        <v>65</v>
      </c>
      <c r="F145" s="3" t="s">
        <v>441</v>
      </c>
    </row>
    <row r="146" spans="1:6" x14ac:dyDescent="0.25">
      <c r="A146" s="39">
        <v>43519.518750000003</v>
      </c>
      <c r="B146" s="3" t="s">
        <v>56</v>
      </c>
      <c r="C146" s="13" t="s">
        <v>65</v>
      </c>
      <c r="D146" s="13" t="s">
        <v>65</v>
      </c>
      <c r="E146" s="13" t="s">
        <v>65</v>
      </c>
      <c r="F146" s="3" t="s">
        <v>441</v>
      </c>
    </row>
    <row r="147" spans="1:6" x14ac:dyDescent="0.25">
      <c r="A147" s="39">
        <v>43519.518773148149</v>
      </c>
      <c r="B147" s="3" t="s">
        <v>320</v>
      </c>
      <c r="C147" s="13" t="s">
        <v>65</v>
      </c>
      <c r="D147" s="13" t="s">
        <v>65</v>
      </c>
      <c r="E147" s="13" t="s">
        <v>65</v>
      </c>
      <c r="F147" s="3" t="s">
        <v>441</v>
      </c>
    </row>
    <row r="148" spans="1:6" x14ac:dyDescent="0.25">
      <c r="A148" s="39">
        <v>43519.518935185188</v>
      </c>
      <c r="B148" s="3" t="s">
        <v>54</v>
      </c>
      <c r="C148" s="13" t="s">
        <v>65</v>
      </c>
      <c r="D148" s="13" t="s">
        <v>65</v>
      </c>
      <c r="E148" s="13" t="s">
        <v>65</v>
      </c>
      <c r="F148" s="3" t="s">
        <v>441</v>
      </c>
    </row>
    <row r="149" spans="1:6" x14ac:dyDescent="0.25">
      <c r="A149" s="39">
        <v>43519.51903935185</v>
      </c>
      <c r="B149" s="3" t="s">
        <v>54</v>
      </c>
      <c r="C149" s="13" t="s">
        <v>65</v>
      </c>
      <c r="D149" s="13" t="s">
        <v>65</v>
      </c>
      <c r="E149" s="13" t="s">
        <v>65</v>
      </c>
      <c r="F149" s="3" t="s">
        <v>441</v>
      </c>
    </row>
    <row r="150" spans="1:6" x14ac:dyDescent="0.25">
      <c r="A150" s="39">
        <v>43540.741203703707</v>
      </c>
      <c r="B150" s="3" t="s">
        <v>347</v>
      </c>
      <c r="C150" s="13">
        <v>-1</v>
      </c>
      <c r="D150" s="13">
        <v>1</v>
      </c>
      <c r="E150" s="13">
        <v>0</v>
      </c>
      <c r="F150" s="3" t="s">
        <v>449</v>
      </c>
    </row>
    <row r="151" spans="1:6" x14ac:dyDescent="0.25">
      <c r="A151" s="39">
        <v>43569.402199074073</v>
      </c>
      <c r="B151" s="3" t="s">
        <v>347</v>
      </c>
      <c r="C151" s="13" t="s">
        <v>363</v>
      </c>
      <c r="D151" s="13">
        <v>0</v>
      </c>
      <c r="E151" s="13">
        <v>1</v>
      </c>
      <c r="F151" s="3" t="s">
        <v>450</v>
      </c>
    </row>
    <row r="152" spans="1:6" x14ac:dyDescent="0.25">
      <c r="A152" s="39">
        <v>43572.368414351855</v>
      </c>
      <c r="B152" s="3" t="s">
        <v>290</v>
      </c>
      <c r="C152" s="13" t="s">
        <v>65</v>
      </c>
      <c r="D152" s="13" t="s">
        <v>65</v>
      </c>
      <c r="E152" s="13" t="s">
        <v>65</v>
      </c>
      <c r="F152" s="3" t="s">
        <v>391</v>
      </c>
    </row>
    <row r="153" spans="1:6" x14ac:dyDescent="0.25">
      <c r="A153" s="39">
        <v>43574.645150462966</v>
      </c>
      <c r="B153" s="3" t="s">
        <v>272</v>
      </c>
      <c r="C153" s="13" t="s">
        <v>332</v>
      </c>
      <c r="D153" s="13">
        <v>0</v>
      </c>
      <c r="E153" s="13" t="s">
        <v>332</v>
      </c>
      <c r="F153" s="3" t="s">
        <v>489</v>
      </c>
    </row>
    <row r="154" spans="1:6" x14ac:dyDescent="0.25">
      <c r="A154" s="39">
        <v>43574.645150462966</v>
      </c>
      <c r="B154" s="3">
        <v>61304011021</v>
      </c>
      <c r="C154" s="13" t="s">
        <v>332</v>
      </c>
      <c r="D154" s="13">
        <v>0</v>
      </c>
      <c r="E154" s="13" t="s">
        <v>332</v>
      </c>
      <c r="F154" s="3" t="s">
        <v>489</v>
      </c>
    </row>
    <row r="155" spans="1:6" x14ac:dyDescent="0.25">
      <c r="A155" s="39">
        <v>43574.645150462966</v>
      </c>
      <c r="B155" s="3" t="s">
        <v>117</v>
      </c>
      <c r="C155" s="13" t="s">
        <v>332</v>
      </c>
      <c r="D155" s="13">
        <v>0</v>
      </c>
      <c r="E155" s="13" t="s">
        <v>332</v>
      </c>
      <c r="F155" s="3" t="s">
        <v>489</v>
      </c>
    </row>
    <row r="156" spans="1:6" x14ac:dyDescent="0.25">
      <c r="A156" s="39">
        <v>43574.645150462966</v>
      </c>
      <c r="B156" s="3" t="s">
        <v>31</v>
      </c>
      <c r="C156" s="13" t="s">
        <v>332</v>
      </c>
      <c r="D156" s="13">
        <v>0</v>
      </c>
      <c r="E156" s="13" t="s">
        <v>332</v>
      </c>
      <c r="F156" s="3" t="s">
        <v>489</v>
      </c>
    </row>
    <row r="157" spans="1:6" x14ac:dyDescent="0.25">
      <c r="A157" s="39">
        <v>43574.645150462966</v>
      </c>
      <c r="B157" s="3" t="s">
        <v>123</v>
      </c>
      <c r="C157" s="13" t="s">
        <v>332</v>
      </c>
      <c r="D157" s="13">
        <v>0</v>
      </c>
      <c r="E157" s="13" t="s">
        <v>332</v>
      </c>
      <c r="F157" s="3" t="s">
        <v>489</v>
      </c>
    </row>
    <row r="158" spans="1:6" x14ac:dyDescent="0.25">
      <c r="A158" s="39">
        <v>43574.645150462966</v>
      </c>
      <c r="B158" s="3" t="s">
        <v>118</v>
      </c>
      <c r="C158" s="13" t="s">
        <v>332</v>
      </c>
      <c r="D158" s="13">
        <v>0</v>
      </c>
      <c r="E158" s="13" t="s">
        <v>332</v>
      </c>
      <c r="F158" s="3" t="s">
        <v>489</v>
      </c>
    </row>
    <row r="159" spans="1:6" x14ac:dyDescent="0.25">
      <c r="A159" s="39">
        <v>43574.645150462966</v>
      </c>
      <c r="B159" s="3" t="s">
        <v>469</v>
      </c>
      <c r="C159" s="13" t="s">
        <v>332</v>
      </c>
      <c r="D159" s="13">
        <v>0</v>
      </c>
      <c r="E159" s="13" t="s">
        <v>332</v>
      </c>
      <c r="F159" s="3" t="s">
        <v>489</v>
      </c>
    </row>
    <row r="160" spans="1:6" x14ac:dyDescent="0.25">
      <c r="A160" s="39">
        <v>43574.645162037035</v>
      </c>
      <c r="B160" s="3" t="s">
        <v>470</v>
      </c>
      <c r="C160" s="13" t="s">
        <v>332</v>
      </c>
      <c r="D160" s="13">
        <v>0</v>
      </c>
      <c r="E160" s="13" t="s">
        <v>332</v>
      </c>
      <c r="F160" s="3" t="s">
        <v>489</v>
      </c>
    </row>
    <row r="161" spans="1:6" x14ac:dyDescent="0.25">
      <c r="A161" s="39">
        <v>43574.645162037035</v>
      </c>
      <c r="B161" s="3" t="s">
        <v>38</v>
      </c>
      <c r="C161" s="13" t="s">
        <v>332</v>
      </c>
      <c r="D161" s="13">
        <v>0</v>
      </c>
      <c r="E161" s="13" t="s">
        <v>332</v>
      </c>
      <c r="F161" s="3" t="s">
        <v>489</v>
      </c>
    </row>
    <row r="162" spans="1:6" x14ac:dyDescent="0.25">
      <c r="A162" s="39">
        <v>43574.645162037035</v>
      </c>
      <c r="B162" s="3" t="s">
        <v>133</v>
      </c>
      <c r="C162" s="13" t="s">
        <v>332</v>
      </c>
      <c r="D162" s="13">
        <v>0</v>
      </c>
      <c r="E162" s="13" t="s">
        <v>332</v>
      </c>
      <c r="F162" s="3" t="s">
        <v>489</v>
      </c>
    </row>
    <row r="163" spans="1:6" x14ac:dyDescent="0.25">
      <c r="A163" s="39">
        <v>43574.645162037035</v>
      </c>
      <c r="B163" s="3" t="s">
        <v>90</v>
      </c>
      <c r="C163" s="13" t="s">
        <v>332</v>
      </c>
      <c r="D163" s="13">
        <v>0</v>
      </c>
      <c r="E163" s="13" t="s">
        <v>332</v>
      </c>
      <c r="F163" s="3" t="s">
        <v>489</v>
      </c>
    </row>
    <row r="164" spans="1:6" x14ac:dyDescent="0.25">
      <c r="A164" s="39">
        <v>43574.645162037035</v>
      </c>
      <c r="B164" s="3" t="s">
        <v>473</v>
      </c>
      <c r="C164" s="13" t="s">
        <v>332</v>
      </c>
      <c r="D164" s="13">
        <v>0</v>
      </c>
      <c r="E164" s="13" t="s">
        <v>332</v>
      </c>
      <c r="F164" s="3" t="s">
        <v>489</v>
      </c>
    </row>
    <row r="165" spans="1:6" x14ac:dyDescent="0.25">
      <c r="A165" s="39">
        <v>43574.645162037035</v>
      </c>
      <c r="B165" s="3" t="s">
        <v>46</v>
      </c>
      <c r="C165" s="13" t="s">
        <v>332</v>
      </c>
      <c r="D165" s="13">
        <v>0</v>
      </c>
      <c r="E165" s="13" t="s">
        <v>332</v>
      </c>
      <c r="F165" s="3" t="s">
        <v>489</v>
      </c>
    </row>
    <row r="166" spans="1:6" x14ac:dyDescent="0.25">
      <c r="A166" s="39">
        <v>43574.645162037035</v>
      </c>
      <c r="B166" s="3" t="s">
        <v>24</v>
      </c>
      <c r="C166" s="13" t="s">
        <v>332</v>
      </c>
      <c r="D166" s="13">
        <v>0</v>
      </c>
      <c r="E166" s="13" t="s">
        <v>332</v>
      </c>
      <c r="F166" s="3" t="s">
        <v>489</v>
      </c>
    </row>
    <row r="167" spans="1:6" x14ac:dyDescent="0.25">
      <c r="A167" s="39">
        <v>43574.645162037035</v>
      </c>
      <c r="B167" s="3" t="s">
        <v>27</v>
      </c>
      <c r="C167" s="13" t="s">
        <v>332</v>
      </c>
      <c r="D167" s="13">
        <v>0</v>
      </c>
      <c r="E167" s="13" t="s">
        <v>332</v>
      </c>
      <c r="F167" s="3" t="s">
        <v>489</v>
      </c>
    </row>
    <row r="168" spans="1:6" x14ac:dyDescent="0.25">
      <c r="A168" s="39">
        <v>43574.645173611112</v>
      </c>
      <c r="B168" s="3" t="s">
        <v>43</v>
      </c>
      <c r="C168" s="13" t="s">
        <v>332</v>
      </c>
      <c r="D168" s="13">
        <v>0</v>
      </c>
      <c r="E168" s="13" t="s">
        <v>332</v>
      </c>
      <c r="F168" s="3" t="s">
        <v>489</v>
      </c>
    </row>
    <row r="169" spans="1:6" x14ac:dyDescent="0.25">
      <c r="A169" s="39">
        <v>43574.645173611112</v>
      </c>
      <c r="B169" s="3" t="s">
        <v>49</v>
      </c>
      <c r="C169" s="13" t="s">
        <v>332</v>
      </c>
      <c r="D169" s="13">
        <v>0</v>
      </c>
      <c r="E169" s="13" t="s">
        <v>332</v>
      </c>
      <c r="F169" s="3" t="s">
        <v>489</v>
      </c>
    </row>
    <row r="170" spans="1:6" x14ac:dyDescent="0.25">
      <c r="A170" s="39">
        <v>43574.645173611112</v>
      </c>
      <c r="B170" s="3" t="s">
        <v>36</v>
      </c>
      <c r="C170" s="13" t="s">
        <v>332</v>
      </c>
      <c r="D170" s="13">
        <v>0</v>
      </c>
      <c r="E170" s="13" t="s">
        <v>332</v>
      </c>
      <c r="F170" s="3" t="s">
        <v>489</v>
      </c>
    </row>
    <row r="171" spans="1:6" x14ac:dyDescent="0.25">
      <c r="A171" s="39">
        <v>43574.754791666666</v>
      </c>
      <c r="B171" s="3" t="s">
        <v>272</v>
      </c>
      <c r="C171" s="13">
        <v>1</v>
      </c>
      <c r="D171" s="13">
        <v>4</v>
      </c>
      <c r="E171" s="13" t="s">
        <v>422</v>
      </c>
      <c r="F171" s="3" t="s">
        <v>499</v>
      </c>
    </row>
    <row r="172" spans="1:6" x14ac:dyDescent="0.25">
      <c r="A172" s="39">
        <v>43574.755428240744</v>
      </c>
      <c r="B172" s="3">
        <v>61304011021</v>
      </c>
      <c r="C172" s="13" t="s">
        <v>363</v>
      </c>
      <c r="D172" s="13">
        <v>8.85</v>
      </c>
      <c r="E172" s="13">
        <v>9.85</v>
      </c>
      <c r="F172" s="3" t="s">
        <v>499</v>
      </c>
    </row>
    <row r="173" spans="1:6" x14ac:dyDescent="0.25">
      <c r="A173" s="39">
        <v>43574.755497685182</v>
      </c>
      <c r="B173" s="3" t="s">
        <v>117</v>
      </c>
      <c r="C173" s="13" t="s">
        <v>363</v>
      </c>
      <c r="D173" s="13">
        <v>3</v>
      </c>
      <c r="E173" s="13">
        <v>4</v>
      </c>
      <c r="F173" s="3" t="s">
        <v>499</v>
      </c>
    </row>
    <row r="174" spans="1:6" x14ac:dyDescent="0.25">
      <c r="A174" s="39">
        <v>43574.755694444444</v>
      </c>
      <c r="B174" s="3" t="s">
        <v>31</v>
      </c>
      <c r="C174" s="13" t="s">
        <v>363</v>
      </c>
      <c r="D174" s="13">
        <v>3</v>
      </c>
      <c r="E174" s="13">
        <v>4</v>
      </c>
      <c r="F174" s="3" t="s">
        <v>499</v>
      </c>
    </row>
    <row r="175" spans="1:6" x14ac:dyDescent="0.25">
      <c r="A175" s="39">
        <v>43574.755856481483</v>
      </c>
      <c r="B175" s="3" t="s">
        <v>123</v>
      </c>
      <c r="C175" s="13" t="s">
        <v>363</v>
      </c>
      <c r="D175" s="13">
        <v>18</v>
      </c>
      <c r="E175" s="13">
        <v>19</v>
      </c>
      <c r="F175" s="3" t="s">
        <v>499</v>
      </c>
    </row>
    <row r="176" spans="1:6" x14ac:dyDescent="0.25">
      <c r="A176" s="39">
        <v>43574.755891203706</v>
      </c>
      <c r="B176" s="3" t="s">
        <v>118</v>
      </c>
      <c r="C176" s="13" t="s">
        <v>363</v>
      </c>
      <c r="D176" s="13">
        <v>99</v>
      </c>
      <c r="E176" s="13">
        <v>100</v>
      </c>
      <c r="F176" s="3" t="s">
        <v>499</v>
      </c>
    </row>
    <row r="177" spans="1:6" x14ac:dyDescent="0.25">
      <c r="A177" s="39">
        <v>43574.756099537037</v>
      </c>
      <c r="B177" s="3" t="s">
        <v>38</v>
      </c>
      <c r="C177" s="13" t="s">
        <v>363</v>
      </c>
      <c r="D177" s="13">
        <v>1</v>
      </c>
      <c r="E177" s="13">
        <v>2</v>
      </c>
      <c r="F177" s="3" t="s">
        <v>499</v>
      </c>
    </row>
    <row r="178" spans="1:6" x14ac:dyDescent="0.25">
      <c r="A178" s="39">
        <v>43574.756180555552</v>
      </c>
      <c r="B178" s="3" t="s">
        <v>133</v>
      </c>
      <c r="C178" s="13" t="s">
        <v>363</v>
      </c>
      <c r="D178" s="13">
        <v>9</v>
      </c>
      <c r="E178" s="13">
        <v>10</v>
      </c>
      <c r="F178" s="3" t="s">
        <v>499</v>
      </c>
    </row>
    <row r="179" spans="1:6" x14ac:dyDescent="0.25">
      <c r="A179" s="39">
        <v>43574.756296296298</v>
      </c>
      <c r="B179" s="3" t="s">
        <v>90</v>
      </c>
      <c r="C179" s="13" t="s">
        <v>363</v>
      </c>
      <c r="D179" s="13">
        <v>-1</v>
      </c>
      <c r="E179" s="13">
        <v>0</v>
      </c>
      <c r="F179" s="3" t="s">
        <v>499</v>
      </c>
    </row>
    <row r="180" spans="1:6" x14ac:dyDescent="0.25">
      <c r="A180" s="39">
        <v>43574.75640046296</v>
      </c>
      <c r="B180" s="3" t="s">
        <v>46</v>
      </c>
      <c r="C180" s="13" t="s">
        <v>363</v>
      </c>
      <c r="D180" s="13">
        <v>15</v>
      </c>
      <c r="E180" s="13">
        <v>16</v>
      </c>
      <c r="F180" s="3" t="s">
        <v>499</v>
      </c>
    </row>
    <row r="181" spans="1:6" x14ac:dyDescent="0.25">
      <c r="A181" s="39">
        <v>43574.756585648145</v>
      </c>
      <c r="B181" s="3" t="s">
        <v>24</v>
      </c>
      <c r="C181" s="13" t="s">
        <v>363</v>
      </c>
      <c r="D181" s="13">
        <v>3</v>
      </c>
      <c r="E181" s="13">
        <v>4</v>
      </c>
      <c r="F181" s="3" t="s">
        <v>499</v>
      </c>
    </row>
    <row r="182" spans="1:6" x14ac:dyDescent="0.25">
      <c r="A182" s="39">
        <v>43574.756793981483</v>
      </c>
      <c r="B182" s="3" t="s">
        <v>27</v>
      </c>
      <c r="C182" s="13" t="s">
        <v>363</v>
      </c>
      <c r="D182" s="13">
        <v>8</v>
      </c>
      <c r="E182" s="13">
        <v>9</v>
      </c>
      <c r="F182" s="3" t="s">
        <v>499</v>
      </c>
    </row>
    <row r="183" spans="1:6" x14ac:dyDescent="0.25">
      <c r="A183" s="39">
        <v>43574.756944444445</v>
      </c>
      <c r="B183" s="3" t="s">
        <v>43</v>
      </c>
      <c r="C183" s="13" t="s">
        <v>363</v>
      </c>
      <c r="D183" s="13">
        <v>23</v>
      </c>
      <c r="E183" s="13">
        <v>24</v>
      </c>
      <c r="F183" s="3" t="s">
        <v>499</v>
      </c>
    </row>
    <row r="184" spans="1:6" x14ac:dyDescent="0.25">
      <c r="A184" s="39">
        <v>43574.757152777776</v>
      </c>
      <c r="B184" s="3" t="s">
        <v>49</v>
      </c>
      <c r="C184" s="13" t="s">
        <v>363</v>
      </c>
      <c r="D184" s="13">
        <v>0</v>
      </c>
      <c r="E184" s="13">
        <v>1</v>
      </c>
      <c r="F184" s="3" t="s">
        <v>499</v>
      </c>
    </row>
    <row r="185" spans="1:6" x14ac:dyDescent="0.25">
      <c r="A185" s="39">
        <v>43574.757256944446</v>
      </c>
      <c r="B185" s="3" t="s">
        <v>36</v>
      </c>
      <c r="C185" s="13" t="s">
        <v>363</v>
      </c>
      <c r="D185" s="13">
        <v>90</v>
      </c>
      <c r="E185" s="13">
        <v>91</v>
      </c>
      <c r="F185" s="3" t="s">
        <v>499</v>
      </c>
    </row>
    <row r="186" spans="1:6" x14ac:dyDescent="0.25">
      <c r="A186" s="39">
        <v>43576.402766203704</v>
      </c>
      <c r="B186" s="3" t="s">
        <v>505</v>
      </c>
      <c r="C186" s="13" t="s">
        <v>332</v>
      </c>
      <c r="D186" s="13">
        <v>0</v>
      </c>
      <c r="E186" s="13" t="s">
        <v>332</v>
      </c>
      <c r="F186" s="3" t="s">
        <v>520</v>
      </c>
    </row>
    <row r="187" spans="1:6" x14ac:dyDescent="0.25">
      <c r="A187" s="39">
        <v>43576.402766203704</v>
      </c>
      <c r="B187" s="3" t="s">
        <v>156</v>
      </c>
      <c r="C187" s="13" t="s">
        <v>332</v>
      </c>
      <c r="D187" s="13">
        <v>10</v>
      </c>
      <c r="E187" s="13">
        <v>10</v>
      </c>
      <c r="F187" s="3" t="s">
        <v>521</v>
      </c>
    </row>
    <row r="188" spans="1:6" x14ac:dyDescent="0.25">
      <c r="A188" s="39">
        <v>43576.402766203704</v>
      </c>
      <c r="B188" s="3" t="s">
        <v>508</v>
      </c>
      <c r="C188" s="13" t="s">
        <v>332</v>
      </c>
      <c r="D188" s="13">
        <v>0</v>
      </c>
      <c r="E188" s="13" t="s">
        <v>332</v>
      </c>
      <c r="F188" s="3" t="s">
        <v>520</v>
      </c>
    </row>
    <row r="189" spans="1:6" x14ac:dyDescent="0.25">
      <c r="A189" s="39">
        <v>43576.402766203704</v>
      </c>
      <c r="B189" s="3" t="s">
        <v>229</v>
      </c>
      <c r="C189" s="13" t="s">
        <v>332</v>
      </c>
      <c r="D189" s="13">
        <v>9</v>
      </c>
      <c r="E189" s="13">
        <v>9</v>
      </c>
      <c r="F189" s="3" t="s">
        <v>521</v>
      </c>
    </row>
    <row r="190" spans="1:6" x14ac:dyDescent="0.25">
      <c r="A190" s="39">
        <v>43576.402766203704</v>
      </c>
      <c r="B190" s="3" t="s">
        <v>511</v>
      </c>
      <c r="C190" s="13" t="s">
        <v>332</v>
      </c>
      <c r="D190" s="13">
        <v>0</v>
      </c>
      <c r="E190" s="13" t="s">
        <v>332</v>
      </c>
      <c r="F190" s="3" t="s">
        <v>520</v>
      </c>
    </row>
    <row r="191" spans="1:6" x14ac:dyDescent="0.25">
      <c r="A191" s="39">
        <v>43576.402766203704</v>
      </c>
      <c r="B191" s="3" t="s">
        <v>513</v>
      </c>
      <c r="C191" s="13" t="s">
        <v>332</v>
      </c>
      <c r="D191" s="13">
        <v>0</v>
      </c>
      <c r="E191" s="13" t="s">
        <v>332</v>
      </c>
      <c r="F191" s="3" t="s">
        <v>520</v>
      </c>
    </row>
    <row r="192" spans="1:6" x14ac:dyDescent="0.25">
      <c r="A192" s="39">
        <v>43576.402766203704</v>
      </c>
      <c r="B192" s="3" t="s">
        <v>516</v>
      </c>
      <c r="C192" s="13" t="s">
        <v>332</v>
      </c>
      <c r="D192" s="13">
        <v>0</v>
      </c>
      <c r="E192" s="13" t="s">
        <v>332</v>
      </c>
      <c r="F192" s="3" t="s">
        <v>520</v>
      </c>
    </row>
    <row r="193" spans="1:6" x14ac:dyDescent="0.25">
      <c r="A193" s="39">
        <v>43577.507824074077</v>
      </c>
      <c r="B193" s="3" t="s">
        <v>470</v>
      </c>
      <c r="C193" s="13"/>
      <c r="D193" s="13">
        <v>0</v>
      </c>
      <c r="E193" s="13"/>
      <c r="F193" s="3" t="s">
        <v>520</v>
      </c>
    </row>
    <row r="194" spans="1:6" x14ac:dyDescent="0.25">
      <c r="A194" s="39">
        <v>43578.430162037039</v>
      </c>
      <c r="B194" s="3" t="s">
        <v>40</v>
      </c>
      <c r="C194" s="13" t="s">
        <v>65</v>
      </c>
      <c r="D194" s="13" t="s">
        <v>65</v>
      </c>
      <c r="E194" s="13" t="s">
        <v>65</v>
      </c>
      <c r="F194" s="3" t="s">
        <v>391</v>
      </c>
    </row>
    <row r="195" spans="1:6" x14ac:dyDescent="0.25">
      <c r="A195" s="39">
        <v>43578.430439814816</v>
      </c>
      <c r="B195" s="3" t="s">
        <v>590</v>
      </c>
      <c r="C195" s="13" t="s">
        <v>65</v>
      </c>
      <c r="D195" s="13" t="s">
        <v>65</v>
      </c>
      <c r="E195" s="13" t="s">
        <v>65</v>
      </c>
      <c r="F195" s="3" t="s">
        <v>391</v>
      </c>
    </row>
    <row r="196" spans="1:6" x14ac:dyDescent="0.25">
      <c r="A196" s="39">
        <v>43578.430578703701</v>
      </c>
      <c r="B196" s="3" t="s">
        <v>591</v>
      </c>
      <c r="C196" s="13" t="s">
        <v>65</v>
      </c>
      <c r="D196" s="13" t="s">
        <v>65</v>
      </c>
      <c r="E196" s="13" t="s">
        <v>65</v>
      </c>
      <c r="F196" s="3" t="s">
        <v>391</v>
      </c>
    </row>
    <row r="197" spans="1:6" x14ac:dyDescent="0.25">
      <c r="A197" s="39">
        <v>43579.052037037036</v>
      </c>
      <c r="B197" s="3" t="s">
        <v>156</v>
      </c>
      <c r="C197" s="13" t="s">
        <v>65</v>
      </c>
      <c r="D197" s="13" t="s">
        <v>65</v>
      </c>
      <c r="E197" s="13" t="s">
        <v>65</v>
      </c>
      <c r="F197" s="3" t="s">
        <v>391</v>
      </c>
    </row>
    <row r="198" spans="1:6" x14ac:dyDescent="0.25">
      <c r="A198" s="39">
        <v>43579.466527777775</v>
      </c>
      <c r="B198" s="3" t="s">
        <v>188</v>
      </c>
      <c r="C198" s="13" t="s">
        <v>332</v>
      </c>
      <c r="D198" s="13">
        <v>99</v>
      </c>
      <c r="E198" s="13">
        <v>99</v>
      </c>
      <c r="F198" s="3" t="s">
        <v>521</v>
      </c>
    </row>
    <row r="199" spans="1:6" x14ac:dyDescent="0.25">
      <c r="A199" s="39">
        <v>43579.466527777775</v>
      </c>
      <c r="B199" s="3" t="s">
        <v>595</v>
      </c>
      <c r="C199" s="13" t="s">
        <v>332</v>
      </c>
      <c r="D199" s="13">
        <v>0</v>
      </c>
      <c r="E199" s="13" t="s">
        <v>332</v>
      </c>
      <c r="F199" s="3" t="s">
        <v>520</v>
      </c>
    </row>
    <row r="200" spans="1:6" x14ac:dyDescent="0.25">
      <c r="A200" s="39">
        <v>43579.466539351852</v>
      </c>
      <c r="B200" s="3" t="s">
        <v>598</v>
      </c>
      <c r="C200" s="13" t="s">
        <v>332</v>
      </c>
      <c r="D200" s="13">
        <v>0</v>
      </c>
      <c r="E200" s="13" t="s">
        <v>332</v>
      </c>
      <c r="F200" s="3" t="s">
        <v>520</v>
      </c>
    </row>
    <row r="201" spans="1:6" x14ac:dyDescent="0.25">
      <c r="A201" s="39">
        <v>43579.466539351852</v>
      </c>
      <c r="B201" s="3" t="s">
        <v>601</v>
      </c>
      <c r="C201" s="13" t="s">
        <v>332</v>
      </c>
      <c r="D201" s="13">
        <v>0</v>
      </c>
      <c r="E201" s="13" t="s">
        <v>332</v>
      </c>
      <c r="F201" s="3" t="s">
        <v>520</v>
      </c>
    </row>
    <row r="202" spans="1:6" x14ac:dyDescent="0.25">
      <c r="A202" s="39">
        <v>43579.466539351852</v>
      </c>
      <c r="B202" s="3" t="s">
        <v>604</v>
      </c>
      <c r="C202" s="13" t="s">
        <v>332</v>
      </c>
      <c r="D202" s="13">
        <v>0</v>
      </c>
      <c r="E202" s="13" t="s">
        <v>332</v>
      </c>
      <c r="F202" s="3" t="s">
        <v>520</v>
      </c>
    </row>
    <row r="203" spans="1:6" x14ac:dyDescent="0.25">
      <c r="A203" s="39">
        <v>43579.466539351852</v>
      </c>
      <c r="B203" s="3" t="s">
        <v>607</v>
      </c>
      <c r="C203" s="13" t="s">
        <v>332</v>
      </c>
      <c r="D203" s="13">
        <v>0</v>
      </c>
      <c r="E203" s="13" t="s">
        <v>332</v>
      </c>
      <c r="F203" s="3" t="s">
        <v>520</v>
      </c>
    </row>
    <row r="204" spans="1:6" x14ac:dyDescent="0.25">
      <c r="A204" s="39">
        <v>43579.466539351852</v>
      </c>
      <c r="B204" s="3" t="s">
        <v>610</v>
      </c>
      <c r="C204" s="13" t="s">
        <v>332</v>
      </c>
      <c r="D204" s="13">
        <v>0</v>
      </c>
      <c r="E204" s="13" t="s">
        <v>332</v>
      </c>
      <c r="F204" s="3" t="s">
        <v>520</v>
      </c>
    </row>
    <row r="205" spans="1:6" x14ac:dyDescent="0.25">
      <c r="A205" s="39">
        <v>43579.466539351852</v>
      </c>
      <c r="B205" s="3" t="s">
        <v>613</v>
      </c>
      <c r="C205" s="13" t="s">
        <v>332</v>
      </c>
      <c r="D205" s="13">
        <v>0</v>
      </c>
      <c r="E205" s="13" t="s">
        <v>332</v>
      </c>
      <c r="F205" s="3" t="s">
        <v>520</v>
      </c>
    </row>
    <row r="206" spans="1:6" x14ac:dyDescent="0.25">
      <c r="A206" s="39">
        <v>43579.466550925928</v>
      </c>
      <c r="B206" s="3" t="s">
        <v>616</v>
      </c>
      <c r="C206" s="13" t="s">
        <v>332</v>
      </c>
      <c r="D206" s="13">
        <v>0</v>
      </c>
      <c r="E206" s="13" t="s">
        <v>332</v>
      </c>
      <c r="F206" s="3" t="s">
        <v>520</v>
      </c>
    </row>
    <row r="207" spans="1:6" x14ac:dyDescent="0.25">
      <c r="A207" s="39">
        <v>43579.466550925928</v>
      </c>
      <c r="B207" s="3" t="s">
        <v>619</v>
      </c>
      <c r="C207" s="13" t="s">
        <v>332</v>
      </c>
      <c r="D207" s="13">
        <v>0</v>
      </c>
      <c r="E207" s="13" t="s">
        <v>332</v>
      </c>
      <c r="F207" s="3" t="s">
        <v>520</v>
      </c>
    </row>
    <row r="208" spans="1:6" x14ac:dyDescent="0.25">
      <c r="A208" s="39">
        <v>43579.466550925928</v>
      </c>
      <c r="B208" s="3" t="s">
        <v>622</v>
      </c>
      <c r="C208" s="13" t="s">
        <v>332</v>
      </c>
      <c r="D208" s="13">
        <v>0</v>
      </c>
      <c r="E208" s="13" t="s">
        <v>332</v>
      </c>
      <c r="F208" s="3" t="s">
        <v>520</v>
      </c>
    </row>
    <row r="209" spans="1:6" x14ac:dyDescent="0.25">
      <c r="A209" s="39">
        <v>43579.466550925928</v>
      </c>
      <c r="B209" s="3" t="s">
        <v>625</v>
      </c>
      <c r="C209" s="13" t="s">
        <v>332</v>
      </c>
      <c r="D209" s="13">
        <v>0</v>
      </c>
      <c r="E209" s="13" t="s">
        <v>332</v>
      </c>
      <c r="F209" s="3" t="s">
        <v>520</v>
      </c>
    </row>
    <row r="210" spans="1:6" x14ac:dyDescent="0.25">
      <c r="A210" s="39">
        <v>43579.466550925928</v>
      </c>
      <c r="B210" s="3" t="s">
        <v>628</v>
      </c>
      <c r="C210" s="13" t="s">
        <v>332</v>
      </c>
      <c r="D210" s="13">
        <v>0</v>
      </c>
      <c r="E210" s="13" t="s">
        <v>332</v>
      </c>
      <c r="F210" s="3" t="s">
        <v>520</v>
      </c>
    </row>
    <row r="211" spans="1:6" x14ac:dyDescent="0.25">
      <c r="A211" s="39">
        <v>43579.466550925928</v>
      </c>
      <c r="B211" s="3" t="s">
        <v>250</v>
      </c>
      <c r="C211" s="13" t="s">
        <v>332</v>
      </c>
      <c r="D211" s="13">
        <v>99</v>
      </c>
      <c r="E211" s="13">
        <v>99</v>
      </c>
      <c r="F211" s="3" t="s">
        <v>521</v>
      </c>
    </row>
    <row r="212" spans="1:6" x14ac:dyDescent="0.25">
      <c r="A212" s="39">
        <v>43579.466562499998</v>
      </c>
      <c r="B212" s="3" t="s">
        <v>631</v>
      </c>
      <c r="C212" s="13" t="s">
        <v>332</v>
      </c>
      <c r="D212" s="13">
        <v>0</v>
      </c>
      <c r="E212" s="13" t="s">
        <v>332</v>
      </c>
      <c r="F212" s="3" t="s">
        <v>520</v>
      </c>
    </row>
    <row r="213" spans="1:6" x14ac:dyDescent="0.25">
      <c r="A213" s="39">
        <v>43579.466562499998</v>
      </c>
      <c r="B213" s="3" t="s">
        <v>634</v>
      </c>
      <c r="C213" s="13" t="s">
        <v>332</v>
      </c>
      <c r="D213" s="13">
        <v>0</v>
      </c>
      <c r="E213" s="13" t="s">
        <v>332</v>
      </c>
      <c r="F213" s="3" t="s">
        <v>520</v>
      </c>
    </row>
    <row r="214" spans="1:6" x14ac:dyDescent="0.25">
      <c r="A214" s="39">
        <v>43579.466562499998</v>
      </c>
      <c r="B214" s="3" t="s">
        <v>637</v>
      </c>
      <c r="C214" s="13" t="s">
        <v>332</v>
      </c>
      <c r="D214" s="13">
        <v>0</v>
      </c>
      <c r="E214" s="13" t="s">
        <v>332</v>
      </c>
      <c r="F214" s="3" t="s">
        <v>520</v>
      </c>
    </row>
    <row r="215" spans="1:6" x14ac:dyDescent="0.25">
      <c r="A215" s="39">
        <v>43579.466562499998</v>
      </c>
      <c r="B215" s="3" t="s">
        <v>640</v>
      </c>
      <c r="C215" s="13" t="s">
        <v>332</v>
      </c>
      <c r="D215" s="13">
        <v>0</v>
      </c>
      <c r="E215" s="13" t="s">
        <v>332</v>
      </c>
      <c r="F215" s="3" t="s">
        <v>520</v>
      </c>
    </row>
    <row r="216" spans="1:6" x14ac:dyDescent="0.25">
      <c r="A216" s="39">
        <v>43579.466562499998</v>
      </c>
      <c r="B216" s="3" t="s">
        <v>643</v>
      </c>
      <c r="C216" s="13" t="s">
        <v>332</v>
      </c>
      <c r="D216" s="13">
        <v>0</v>
      </c>
      <c r="E216" s="13" t="s">
        <v>332</v>
      </c>
      <c r="F216" s="3" t="s">
        <v>520</v>
      </c>
    </row>
    <row r="217" spans="1:6" x14ac:dyDescent="0.25">
      <c r="A217" s="39">
        <v>43579.466574074075</v>
      </c>
      <c r="B217" s="3" t="s">
        <v>646</v>
      </c>
      <c r="C217" s="13" t="s">
        <v>332</v>
      </c>
      <c r="D217" s="13">
        <v>0</v>
      </c>
      <c r="E217" s="13" t="s">
        <v>332</v>
      </c>
      <c r="F217" s="3" t="s">
        <v>520</v>
      </c>
    </row>
    <row r="218" spans="1:6" x14ac:dyDescent="0.25">
      <c r="A218" s="39">
        <v>43579.466574074075</v>
      </c>
      <c r="B218" s="3" t="s">
        <v>649</v>
      </c>
      <c r="C218" s="13" t="s">
        <v>332</v>
      </c>
      <c r="D218" s="13">
        <v>0</v>
      </c>
      <c r="E218" s="13" t="s">
        <v>332</v>
      </c>
      <c r="F218" s="3" t="s">
        <v>520</v>
      </c>
    </row>
    <row r="219" spans="1:6" x14ac:dyDescent="0.25">
      <c r="A219" s="39">
        <v>43579.466574074075</v>
      </c>
      <c r="B219" s="3" t="s">
        <v>652</v>
      </c>
      <c r="C219" s="13" t="s">
        <v>332</v>
      </c>
      <c r="D219" s="13">
        <v>0</v>
      </c>
      <c r="E219" s="13" t="s">
        <v>332</v>
      </c>
      <c r="F219" s="3" t="s">
        <v>520</v>
      </c>
    </row>
    <row r="220" spans="1:6" x14ac:dyDescent="0.25">
      <c r="A220" s="39">
        <v>43579.466574074075</v>
      </c>
      <c r="B220" s="3" t="s">
        <v>655</v>
      </c>
      <c r="C220" s="13" t="s">
        <v>332</v>
      </c>
      <c r="D220" s="13">
        <v>0</v>
      </c>
      <c r="E220" s="13" t="s">
        <v>332</v>
      </c>
      <c r="F220" s="3" t="s">
        <v>520</v>
      </c>
    </row>
    <row r="221" spans="1:6" x14ac:dyDescent="0.25">
      <c r="A221" s="39">
        <v>43579.466574074075</v>
      </c>
      <c r="B221" s="3" t="s">
        <v>658</v>
      </c>
      <c r="C221" s="13" t="s">
        <v>332</v>
      </c>
      <c r="D221" s="13">
        <v>0</v>
      </c>
      <c r="E221" s="13" t="s">
        <v>332</v>
      </c>
      <c r="F221" s="3" t="s">
        <v>520</v>
      </c>
    </row>
    <row r="222" spans="1:6" x14ac:dyDescent="0.25">
      <c r="A222" s="39">
        <v>43579.466574074075</v>
      </c>
      <c r="B222" s="3" t="s">
        <v>188</v>
      </c>
      <c r="C222" s="13" t="s">
        <v>332</v>
      </c>
      <c r="D222" s="13">
        <v>99</v>
      </c>
      <c r="E222" s="13">
        <v>99</v>
      </c>
      <c r="F222" s="3" t="s">
        <v>521</v>
      </c>
    </row>
    <row r="223" spans="1:6" x14ac:dyDescent="0.25">
      <c r="A223" s="39">
        <v>43579.466574074075</v>
      </c>
      <c r="B223" s="3" t="s">
        <v>661</v>
      </c>
      <c r="C223" s="13" t="s">
        <v>332</v>
      </c>
      <c r="D223" s="13">
        <v>0</v>
      </c>
      <c r="E223" s="13" t="s">
        <v>332</v>
      </c>
      <c r="F223" s="3" t="s">
        <v>520</v>
      </c>
    </row>
    <row r="224" spans="1:6" x14ac:dyDescent="0.25">
      <c r="A224" s="39">
        <v>43579.466585648152</v>
      </c>
      <c r="B224" s="3" t="s">
        <v>664</v>
      </c>
      <c r="C224" s="13" t="s">
        <v>332</v>
      </c>
      <c r="D224" s="13">
        <v>0</v>
      </c>
      <c r="E224" s="13" t="s">
        <v>332</v>
      </c>
      <c r="F224" s="3" t="s">
        <v>520</v>
      </c>
    </row>
    <row r="225" spans="1:6" x14ac:dyDescent="0.25">
      <c r="A225" s="39">
        <v>43579.466585648152</v>
      </c>
      <c r="B225" s="3" t="s">
        <v>667</v>
      </c>
      <c r="C225" s="13" t="s">
        <v>332</v>
      </c>
      <c r="D225" s="13">
        <v>0</v>
      </c>
      <c r="E225" s="13" t="s">
        <v>332</v>
      </c>
      <c r="F225" s="3" t="s">
        <v>520</v>
      </c>
    </row>
    <row r="226" spans="1:6" x14ac:dyDescent="0.25">
      <c r="A226" s="39">
        <v>43579.466585648152</v>
      </c>
      <c r="B226" s="3" t="s">
        <v>670</v>
      </c>
      <c r="C226" s="13" t="s">
        <v>332</v>
      </c>
      <c r="D226" s="13">
        <v>0</v>
      </c>
      <c r="E226" s="13" t="s">
        <v>332</v>
      </c>
      <c r="F226" s="3" t="s">
        <v>520</v>
      </c>
    </row>
    <row r="227" spans="1:6" x14ac:dyDescent="0.25">
      <c r="A227" s="39">
        <v>43579.466585648152</v>
      </c>
      <c r="B227" s="3" t="s">
        <v>673</v>
      </c>
      <c r="C227" s="13" t="s">
        <v>332</v>
      </c>
      <c r="D227" s="13">
        <v>0</v>
      </c>
      <c r="E227" s="13" t="s">
        <v>332</v>
      </c>
      <c r="F227" s="3" t="s">
        <v>520</v>
      </c>
    </row>
    <row r="228" spans="1:6" x14ac:dyDescent="0.25">
      <c r="A228" s="39">
        <v>43579.466585648152</v>
      </c>
      <c r="B228" s="3" t="s">
        <v>676</v>
      </c>
      <c r="C228" s="13" t="s">
        <v>332</v>
      </c>
      <c r="D228" s="13">
        <v>0</v>
      </c>
      <c r="E228" s="13" t="s">
        <v>332</v>
      </c>
      <c r="F228" s="3" t="s">
        <v>520</v>
      </c>
    </row>
    <row r="229" spans="1:6" x14ac:dyDescent="0.25">
      <c r="A229" s="39">
        <v>43579.466585648152</v>
      </c>
      <c r="B229" s="3" t="s">
        <v>679</v>
      </c>
      <c r="C229" s="13" t="s">
        <v>332</v>
      </c>
      <c r="D229" s="13">
        <v>0</v>
      </c>
      <c r="E229" s="13" t="s">
        <v>332</v>
      </c>
      <c r="F229" s="3" t="s">
        <v>520</v>
      </c>
    </row>
    <row r="230" spans="1:6" x14ac:dyDescent="0.25">
      <c r="A230" s="39">
        <v>43579.466597222221</v>
      </c>
      <c r="B230" s="3" t="s">
        <v>682</v>
      </c>
      <c r="C230" s="13" t="s">
        <v>332</v>
      </c>
      <c r="D230" s="13">
        <v>0</v>
      </c>
      <c r="E230" s="13" t="s">
        <v>332</v>
      </c>
      <c r="F230" s="3" t="s">
        <v>520</v>
      </c>
    </row>
    <row r="231" spans="1:6" x14ac:dyDescent="0.25">
      <c r="A231" s="39">
        <v>43579.466597222221</v>
      </c>
      <c r="B231" s="3" t="s">
        <v>685</v>
      </c>
      <c r="C231" s="13" t="s">
        <v>332</v>
      </c>
      <c r="D231" s="13">
        <v>0</v>
      </c>
      <c r="E231" s="13" t="s">
        <v>332</v>
      </c>
      <c r="F231" s="3" t="s">
        <v>520</v>
      </c>
    </row>
    <row r="232" spans="1:6" x14ac:dyDescent="0.25">
      <c r="A232" s="39">
        <v>43579.466597222221</v>
      </c>
      <c r="B232" s="3" t="s">
        <v>688</v>
      </c>
      <c r="C232" s="13" t="s">
        <v>332</v>
      </c>
      <c r="D232" s="13">
        <v>0</v>
      </c>
      <c r="E232" s="13" t="s">
        <v>332</v>
      </c>
      <c r="F232" s="3" t="s">
        <v>520</v>
      </c>
    </row>
    <row r="233" spans="1:6" x14ac:dyDescent="0.25">
      <c r="A233" s="39">
        <v>43579.466597222221</v>
      </c>
      <c r="B233" s="3" t="s">
        <v>691</v>
      </c>
      <c r="C233" s="13" t="s">
        <v>332</v>
      </c>
      <c r="D233" s="13">
        <v>0</v>
      </c>
      <c r="E233" s="13" t="s">
        <v>332</v>
      </c>
      <c r="F233" s="3" t="s">
        <v>520</v>
      </c>
    </row>
    <row r="234" spans="1:6" x14ac:dyDescent="0.25">
      <c r="A234" s="39">
        <v>43579.466597222221</v>
      </c>
      <c r="B234" s="3" t="s">
        <v>694</v>
      </c>
      <c r="C234" s="13" t="s">
        <v>332</v>
      </c>
      <c r="D234" s="13">
        <v>0</v>
      </c>
      <c r="E234" s="13" t="s">
        <v>332</v>
      </c>
      <c r="F234" s="3" t="s">
        <v>520</v>
      </c>
    </row>
    <row r="235" spans="1:6" x14ac:dyDescent="0.25">
      <c r="A235" s="39">
        <v>43579.466597222221</v>
      </c>
      <c r="B235" s="3" t="s">
        <v>697</v>
      </c>
      <c r="C235" s="13" t="s">
        <v>332</v>
      </c>
      <c r="D235" s="13">
        <v>0</v>
      </c>
      <c r="E235" s="13" t="s">
        <v>332</v>
      </c>
      <c r="F235" s="3" t="s">
        <v>520</v>
      </c>
    </row>
    <row r="236" spans="1:6" x14ac:dyDescent="0.25">
      <c r="A236" s="39">
        <v>43579.466597222221</v>
      </c>
      <c r="B236" s="3" t="s">
        <v>700</v>
      </c>
      <c r="C236" s="13" t="s">
        <v>332</v>
      </c>
      <c r="D236" s="13">
        <v>0</v>
      </c>
      <c r="E236" s="13" t="s">
        <v>332</v>
      </c>
      <c r="F236" s="3" t="s">
        <v>520</v>
      </c>
    </row>
    <row r="237" spans="1:6" x14ac:dyDescent="0.25">
      <c r="A237" s="39">
        <v>43579.588634259257</v>
      </c>
      <c r="B237" s="3" t="s">
        <v>505</v>
      </c>
      <c r="C237" s="13" t="s">
        <v>65</v>
      </c>
      <c r="D237" s="13" t="s">
        <v>65</v>
      </c>
      <c r="E237" s="13" t="s">
        <v>65</v>
      </c>
      <c r="F237" s="3" t="s">
        <v>391</v>
      </c>
    </row>
    <row r="238" spans="1:6" x14ac:dyDescent="0.25">
      <c r="A238" s="39">
        <v>43580.400092592594</v>
      </c>
      <c r="B238" s="3" t="s">
        <v>583</v>
      </c>
      <c r="C238" s="13" t="s">
        <v>332</v>
      </c>
      <c r="D238" s="13">
        <v>0</v>
      </c>
      <c r="E238" s="13" t="s">
        <v>332</v>
      </c>
      <c r="F238" s="3" t="s">
        <v>520</v>
      </c>
    </row>
    <row r="239" spans="1:6" x14ac:dyDescent="0.25">
      <c r="A239" s="39">
        <v>43580.400925925926</v>
      </c>
      <c r="B239" s="3" t="s">
        <v>582</v>
      </c>
      <c r="C239" s="13" t="s">
        <v>332</v>
      </c>
      <c r="D239" s="13">
        <v>0</v>
      </c>
      <c r="E239" s="13" t="s">
        <v>332</v>
      </c>
      <c r="F239" s="3" t="s">
        <v>520</v>
      </c>
    </row>
    <row r="240" spans="1:6" x14ac:dyDescent="0.25">
      <c r="A240" s="39">
        <v>43580.401284722226</v>
      </c>
      <c r="B240" s="3" t="s">
        <v>584</v>
      </c>
      <c r="C240" s="13" t="s">
        <v>332</v>
      </c>
      <c r="D240" s="13">
        <v>0</v>
      </c>
      <c r="E240" s="13" t="s">
        <v>332</v>
      </c>
      <c r="F240" s="3" t="s">
        <v>520</v>
      </c>
    </row>
    <row r="241" spans="1:6" x14ac:dyDescent="0.25">
      <c r="A241" s="39">
        <v>43580.401620370372</v>
      </c>
      <c r="B241" s="3" t="s">
        <v>585</v>
      </c>
      <c r="C241" s="13" t="s">
        <v>332</v>
      </c>
      <c r="D241" s="13">
        <v>0</v>
      </c>
      <c r="E241" s="13" t="s">
        <v>332</v>
      </c>
      <c r="F241" s="3" t="s">
        <v>520</v>
      </c>
    </row>
    <row r="242" spans="1:6" x14ac:dyDescent="0.25">
      <c r="A242" s="39">
        <v>43580.414942129632</v>
      </c>
      <c r="B242" s="3" t="s">
        <v>587</v>
      </c>
      <c r="C242" s="13" t="s">
        <v>332</v>
      </c>
      <c r="D242" s="13">
        <v>0</v>
      </c>
      <c r="E242" s="13" t="s">
        <v>332</v>
      </c>
      <c r="F242" s="3" t="s">
        <v>520</v>
      </c>
    </row>
    <row r="243" spans="1:6" x14ac:dyDescent="0.25">
      <c r="A243" s="39">
        <v>43580.415138888886</v>
      </c>
      <c r="B243" s="3" t="s">
        <v>586</v>
      </c>
      <c r="C243" s="13" t="s">
        <v>332</v>
      </c>
      <c r="D243" s="13">
        <v>0</v>
      </c>
      <c r="E243" s="13" t="s">
        <v>332</v>
      </c>
      <c r="F243" s="3" t="s">
        <v>520</v>
      </c>
    </row>
    <row r="244" spans="1:6" x14ac:dyDescent="0.25">
      <c r="A244" s="39">
        <v>43580.423252314817</v>
      </c>
      <c r="B244" s="3" t="s">
        <v>717</v>
      </c>
      <c r="C244" s="13" t="s">
        <v>332</v>
      </c>
      <c r="D244" s="13">
        <v>0</v>
      </c>
      <c r="E244" s="13" t="s">
        <v>332</v>
      </c>
      <c r="F244" s="3" t="s">
        <v>520</v>
      </c>
    </row>
    <row r="245" spans="1:6" x14ac:dyDescent="0.25">
      <c r="A245" s="39">
        <v>43580.423252314817</v>
      </c>
      <c r="B245" s="3" t="s">
        <v>719</v>
      </c>
      <c r="C245" s="13" t="s">
        <v>332</v>
      </c>
      <c r="D245" s="13">
        <v>0</v>
      </c>
      <c r="E245" s="13" t="s">
        <v>332</v>
      </c>
      <c r="F245" s="3" t="s">
        <v>520</v>
      </c>
    </row>
    <row r="246" spans="1:6" x14ac:dyDescent="0.25">
      <c r="A246" s="39">
        <v>43580.423252314817</v>
      </c>
      <c r="B246" s="3" t="s">
        <v>721</v>
      </c>
      <c r="C246" s="13" t="s">
        <v>332</v>
      </c>
      <c r="D246" s="13">
        <v>0</v>
      </c>
      <c r="E246" s="13" t="s">
        <v>332</v>
      </c>
      <c r="F246" s="3" t="s">
        <v>520</v>
      </c>
    </row>
    <row r="247" spans="1:6" x14ac:dyDescent="0.25">
      <c r="A247" s="39">
        <v>43580.423252314817</v>
      </c>
      <c r="B247" s="3" t="s">
        <v>723</v>
      </c>
      <c r="C247" s="13" t="s">
        <v>332</v>
      </c>
      <c r="D247" s="13">
        <v>0</v>
      </c>
      <c r="E247" s="13" t="s">
        <v>332</v>
      </c>
      <c r="F247" s="3" t="s">
        <v>520</v>
      </c>
    </row>
    <row r="248" spans="1:6" x14ac:dyDescent="0.25">
      <c r="A248" s="39">
        <v>43580.423263888886</v>
      </c>
      <c r="B248" s="3" t="s">
        <v>726</v>
      </c>
      <c r="C248" s="13" t="s">
        <v>332</v>
      </c>
      <c r="D248" s="13">
        <v>0</v>
      </c>
      <c r="E248" s="13" t="s">
        <v>332</v>
      </c>
      <c r="F248" s="3" t="s">
        <v>520</v>
      </c>
    </row>
    <row r="249" spans="1:6" x14ac:dyDescent="0.25">
      <c r="A249" s="39">
        <v>43580.423263888886</v>
      </c>
      <c r="B249" s="3" t="s">
        <v>728</v>
      </c>
      <c r="C249" s="13" t="s">
        <v>332</v>
      </c>
      <c r="D249" s="13">
        <v>0</v>
      </c>
      <c r="E249" s="13" t="s">
        <v>332</v>
      </c>
      <c r="F249" s="3" t="s">
        <v>520</v>
      </c>
    </row>
    <row r="250" spans="1:6" x14ac:dyDescent="0.25">
      <c r="A250" s="39">
        <v>43580.423263888886</v>
      </c>
      <c r="B250" s="3" t="s">
        <v>731</v>
      </c>
      <c r="C250" s="13" t="s">
        <v>332</v>
      </c>
      <c r="D250" s="13">
        <v>0</v>
      </c>
      <c r="E250" s="13" t="s">
        <v>332</v>
      </c>
      <c r="F250" s="3" t="s">
        <v>520</v>
      </c>
    </row>
    <row r="251" spans="1:6" x14ac:dyDescent="0.25">
      <c r="A251" s="39">
        <v>43580.423263888886</v>
      </c>
      <c r="B251" s="3" t="s">
        <v>733</v>
      </c>
      <c r="C251" s="13" t="s">
        <v>332</v>
      </c>
      <c r="D251" s="13">
        <v>0</v>
      </c>
      <c r="E251" s="13" t="s">
        <v>332</v>
      </c>
      <c r="F251" s="3" t="s">
        <v>520</v>
      </c>
    </row>
    <row r="252" spans="1:6" x14ac:dyDescent="0.25">
      <c r="A252" s="39">
        <v>43580.423263888886</v>
      </c>
      <c r="B252" s="3" t="s">
        <v>736</v>
      </c>
      <c r="C252" s="13" t="s">
        <v>332</v>
      </c>
      <c r="D252" s="13">
        <v>0</v>
      </c>
      <c r="E252" s="13" t="s">
        <v>332</v>
      </c>
      <c r="F252" s="3" t="s">
        <v>520</v>
      </c>
    </row>
    <row r="253" spans="1:6" x14ac:dyDescent="0.25">
      <c r="A253" s="39">
        <v>43580.423263888886</v>
      </c>
      <c r="B253" s="3" t="s">
        <v>738</v>
      </c>
      <c r="C253" s="13" t="s">
        <v>332</v>
      </c>
      <c r="D253" s="13">
        <v>0</v>
      </c>
      <c r="E253" s="13" t="s">
        <v>332</v>
      </c>
      <c r="F253" s="3" t="s">
        <v>520</v>
      </c>
    </row>
    <row r="254" spans="1:6" x14ac:dyDescent="0.25">
      <c r="A254" s="39">
        <v>43580.423263888886</v>
      </c>
      <c r="B254" s="3" t="s">
        <v>741</v>
      </c>
      <c r="C254" s="13" t="s">
        <v>332</v>
      </c>
      <c r="D254" s="13">
        <v>0</v>
      </c>
      <c r="E254" s="13" t="s">
        <v>332</v>
      </c>
      <c r="F254" s="3" t="s">
        <v>520</v>
      </c>
    </row>
    <row r="255" spans="1:6" x14ac:dyDescent="0.25">
      <c r="A255" s="39">
        <v>43580.423263888886</v>
      </c>
      <c r="B255" s="3" t="s">
        <v>744</v>
      </c>
      <c r="C255" s="13" t="s">
        <v>332</v>
      </c>
      <c r="D255" s="13">
        <v>0</v>
      </c>
      <c r="E255" s="13" t="s">
        <v>332</v>
      </c>
      <c r="F255" s="3" t="s">
        <v>520</v>
      </c>
    </row>
    <row r="256" spans="1:6" x14ac:dyDescent="0.25">
      <c r="A256" s="39">
        <v>43580.423263888886</v>
      </c>
      <c r="B256" s="3" t="s">
        <v>747</v>
      </c>
      <c r="C256" s="13" t="s">
        <v>332</v>
      </c>
      <c r="D256" s="13">
        <v>0</v>
      </c>
      <c r="E256" s="13" t="s">
        <v>332</v>
      </c>
      <c r="F256" s="3" t="s">
        <v>520</v>
      </c>
    </row>
    <row r="257" spans="1:6" x14ac:dyDescent="0.25">
      <c r="A257" s="39">
        <v>43580.423263888886</v>
      </c>
      <c r="B257" s="3" t="s">
        <v>750</v>
      </c>
      <c r="C257" s="13" t="s">
        <v>332</v>
      </c>
      <c r="D257" s="13">
        <v>0</v>
      </c>
      <c r="E257" s="13" t="s">
        <v>332</v>
      </c>
      <c r="F257" s="3" t="s">
        <v>520</v>
      </c>
    </row>
    <row r="258" spans="1:6" x14ac:dyDescent="0.25">
      <c r="A258" s="39">
        <v>43580.423263888886</v>
      </c>
      <c r="B258" s="3" t="s">
        <v>752</v>
      </c>
      <c r="C258" s="13" t="s">
        <v>332</v>
      </c>
      <c r="D258" s="13">
        <v>0</v>
      </c>
      <c r="E258" s="13" t="s">
        <v>332</v>
      </c>
      <c r="F258" s="3" t="s">
        <v>520</v>
      </c>
    </row>
    <row r="259" spans="1:6" x14ac:dyDescent="0.25">
      <c r="A259" s="39">
        <v>43580.423275462963</v>
      </c>
      <c r="B259" s="3" t="s">
        <v>755</v>
      </c>
      <c r="C259" s="13" t="s">
        <v>332</v>
      </c>
      <c r="D259" s="13">
        <v>0</v>
      </c>
      <c r="E259" s="13" t="s">
        <v>332</v>
      </c>
      <c r="F259" s="3" t="s">
        <v>520</v>
      </c>
    </row>
    <row r="260" spans="1:6" x14ac:dyDescent="0.25">
      <c r="A260" s="39">
        <v>43580.423275462963</v>
      </c>
      <c r="B260" s="3" t="s">
        <v>757</v>
      </c>
      <c r="C260" s="13" t="s">
        <v>332</v>
      </c>
      <c r="D260" s="13">
        <v>0</v>
      </c>
      <c r="E260" s="13" t="s">
        <v>332</v>
      </c>
      <c r="F260" s="3" t="s">
        <v>520</v>
      </c>
    </row>
    <row r="261" spans="1:6" x14ac:dyDescent="0.25">
      <c r="A261" s="39">
        <v>43580.423275462963</v>
      </c>
      <c r="B261" s="3" t="s">
        <v>759</v>
      </c>
      <c r="C261" s="13" t="s">
        <v>332</v>
      </c>
      <c r="D261" s="13">
        <v>0</v>
      </c>
      <c r="E261" s="13" t="s">
        <v>332</v>
      </c>
      <c r="F261" s="3" t="s">
        <v>520</v>
      </c>
    </row>
    <row r="262" spans="1:6" x14ac:dyDescent="0.25">
      <c r="A262" s="39">
        <v>43580.423275462963</v>
      </c>
      <c r="B262" s="3" t="s">
        <v>762</v>
      </c>
      <c r="C262" s="13" t="s">
        <v>332</v>
      </c>
      <c r="D262" s="13">
        <v>0</v>
      </c>
      <c r="E262" s="13" t="s">
        <v>332</v>
      </c>
      <c r="F262" s="3" t="s">
        <v>520</v>
      </c>
    </row>
    <row r="263" spans="1:6" x14ac:dyDescent="0.25">
      <c r="A263" s="39">
        <v>43580.423275462963</v>
      </c>
      <c r="B263" s="3" t="s">
        <v>765</v>
      </c>
      <c r="C263" s="13" t="s">
        <v>332</v>
      </c>
      <c r="D263" s="13">
        <v>0</v>
      </c>
      <c r="E263" s="13" t="s">
        <v>332</v>
      </c>
      <c r="F263" s="3" t="s">
        <v>520</v>
      </c>
    </row>
    <row r="264" spans="1:6" x14ac:dyDescent="0.25">
      <c r="A264" s="39">
        <v>43580.423275462963</v>
      </c>
      <c r="B264" s="3" t="s">
        <v>768</v>
      </c>
      <c r="C264" s="13" t="s">
        <v>332</v>
      </c>
      <c r="D264" s="13">
        <v>0</v>
      </c>
      <c r="E264" s="13" t="s">
        <v>332</v>
      </c>
      <c r="F264" s="3" t="s">
        <v>520</v>
      </c>
    </row>
    <row r="265" spans="1:6" x14ac:dyDescent="0.25">
      <c r="A265" s="39">
        <v>43580.423275462963</v>
      </c>
      <c r="B265" s="3" t="s">
        <v>771</v>
      </c>
      <c r="C265" s="13" t="s">
        <v>332</v>
      </c>
      <c r="D265" s="13">
        <v>0</v>
      </c>
      <c r="E265" s="13" t="s">
        <v>332</v>
      </c>
      <c r="F265" s="3" t="s">
        <v>520</v>
      </c>
    </row>
    <row r="266" spans="1:6" x14ac:dyDescent="0.25">
      <c r="A266" s="39">
        <v>43580.423275462963</v>
      </c>
      <c r="B266" s="3" t="s">
        <v>774</v>
      </c>
      <c r="C266" s="13" t="s">
        <v>332</v>
      </c>
      <c r="D266" s="13">
        <v>0</v>
      </c>
      <c r="E266" s="13" t="s">
        <v>332</v>
      </c>
      <c r="F266" s="3" t="s">
        <v>520</v>
      </c>
    </row>
    <row r="267" spans="1:6" x14ac:dyDescent="0.25">
      <c r="A267" s="39">
        <v>43580.423275462963</v>
      </c>
      <c r="B267" s="3" t="s">
        <v>777</v>
      </c>
      <c r="C267" s="13" t="s">
        <v>332</v>
      </c>
      <c r="D267" s="13">
        <v>0</v>
      </c>
      <c r="E267" s="13" t="s">
        <v>332</v>
      </c>
      <c r="F267" s="3" t="s">
        <v>520</v>
      </c>
    </row>
    <row r="268" spans="1:6" x14ac:dyDescent="0.25">
      <c r="A268" s="39">
        <v>43580.423275462963</v>
      </c>
      <c r="B268" s="3" t="s">
        <v>780</v>
      </c>
      <c r="C268" s="13" t="s">
        <v>332</v>
      </c>
      <c r="D268" s="13">
        <v>0</v>
      </c>
      <c r="E268" s="13" t="s">
        <v>332</v>
      </c>
      <c r="F268" s="3" t="s">
        <v>520</v>
      </c>
    </row>
    <row r="269" spans="1:6" x14ac:dyDescent="0.25">
      <c r="A269" s="39">
        <v>43580.423275462963</v>
      </c>
      <c r="B269" s="3" t="s">
        <v>783</v>
      </c>
      <c r="C269" s="13" t="s">
        <v>332</v>
      </c>
      <c r="D269" s="13">
        <v>0</v>
      </c>
      <c r="E269" s="13" t="s">
        <v>332</v>
      </c>
      <c r="F269" s="3" t="s">
        <v>520</v>
      </c>
    </row>
    <row r="270" spans="1:6" x14ac:dyDescent="0.25">
      <c r="A270" s="39">
        <v>43580.42328703704</v>
      </c>
      <c r="B270" s="3" t="s">
        <v>786</v>
      </c>
      <c r="C270" s="13" t="s">
        <v>332</v>
      </c>
      <c r="D270" s="13">
        <v>0</v>
      </c>
      <c r="E270" s="13" t="s">
        <v>332</v>
      </c>
      <c r="F270" s="3" t="s">
        <v>520</v>
      </c>
    </row>
    <row r="271" spans="1:6" x14ac:dyDescent="0.25">
      <c r="A271" s="39">
        <v>43580.42328703704</v>
      </c>
      <c r="B271" s="3" t="s">
        <v>789</v>
      </c>
      <c r="C271" s="13" t="s">
        <v>332</v>
      </c>
      <c r="D271" s="13">
        <v>0</v>
      </c>
      <c r="E271" s="13" t="s">
        <v>332</v>
      </c>
      <c r="F271" s="3" t="s">
        <v>520</v>
      </c>
    </row>
    <row r="272" spans="1:6" x14ac:dyDescent="0.25">
      <c r="A272" s="39">
        <v>43580.42328703704</v>
      </c>
      <c r="B272" s="3" t="s">
        <v>792</v>
      </c>
      <c r="C272" s="13" t="s">
        <v>332</v>
      </c>
      <c r="D272" s="13">
        <v>0</v>
      </c>
      <c r="E272" s="13" t="s">
        <v>332</v>
      </c>
      <c r="F272" s="3" t="s">
        <v>520</v>
      </c>
    </row>
    <row r="273" spans="1:6" x14ac:dyDescent="0.25">
      <c r="A273" s="39">
        <v>43580.42328703704</v>
      </c>
      <c r="B273" s="3" t="s">
        <v>795</v>
      </c>
      <c r="C273" s="13" t="s">
        <v>332</v>
      </c>
      <c r="D273" s="13">
        <v>0</v>
      </c>
      <c r="E273" s="13" t="s">
        <v>332</v>
      </c>
      <c r="F273" s="3" t="s">
        <v>520</v>
      </c>
    </row>
    <row r="274" spans="1:6" x14ac:dyDescent="0.25">
      <c r="A274" s="39">
        <v>43580.42328703704</v>
      </c>
      <c r="B274" s="3" t="s">
        <v>798</v>
      </c>
      <c r="C274" s="13" t="s">
        <v>332</v>
      </c>
      <c r="D274" s="13">
        <v>0</v>
      </c>
      <c r="E274" s="13" t="s">
        <v>332</v>
      </c>
      <c r="F274" s="3" t="s">
        <v>520</v>
      </c>
    </row>
    <row r="275" spans="1:6" x14ac:dyDescent="0.25">
      <c r="A275" s="39">
        <v>43580.42328703704</v>
      </c>
      <c r="B275" s="3" t="s">
        <v>801</v>
      </c>
      <c r="C275" s="13" t="s">
        <v>332</v>
      </c>
      <c r="D275" s="13">
        <v>0</v>
      </c>
      <c r="E275" s="13" t="s">
        <v>332</v>
      </c>
      <c r="F275" s="3" t="s">
        <v>520</v>
      </c>
    </row>
    <row r="276" spans="1:6" x14ac:dyDescent="0.25">
      <c r="A276" s="39">
        <v>43580.42328703704</v>
      </c>
      <c r="B276" s="3" t="s">
        <v>804</v>
      </c>
      <c r="C276" s="13" t="s">
        <v>332</v>
      </c>
      <c r="D276" s="13">
        <v>0</v>
      </c>
      <c r="E276" s="13" t="s">
        <v>332</v>
      </c>
      <c r="F276" s="3" t="s">
        <v>520</v>
      </c>
    </row>
    <row r="277" spans="1:6" x14ac:dyDescent="0.25">
      <c r="A277" s="39">
        <v>43580.42328703704</v>
      </c>
      <c r="B277" s="3" t="s">
        <v>807</v>
      </c>
      <c r="C277" s="13" t="s">
        <v>332</v>
      </c>
      <c r="D277" s="13">
        <v>0</v>
      </c>
      <c r="E277" s="13" t="s">
        <v>332</v>
      </c>
      <c r="F277" s="3" t="s">
        <v>520</v>
      </c>
    </row>
    <row r="278" spans="1:6" x14ac:dyDescent="0.25">
      <c r="A278" s="39">
        <v>43580.42328703704</v>
      </c>
      <c r="B278" s="3" t="s">
        <v>810</v>
      </c>
      <c r="C278" s="13" t="s">
        <v>332</v>
      </c>
      <c r="D278" s="13">
        <v>0</v>
      </c>
      <c r="E278" s="13" t="s">
        <v>332</v>
      </c>
      <c r="F278" s="3" t="s">
        <v>520</v>
      </c>
    </row>
    <row r="279" spans="1:6" x14ac:dyDescent="0.25">
      <c r="A279" s="39">
        <v>43580.42328703704</v>
      </c>
      <c r="B279" s="3" t="s">
        <v>813</v>
      </c>
      <c r="C279" s="13" t="s">
        <v>332</v>
      </c>
      <c r="D279" s="13">
        <v>0</v>
      </c>
      <c r="E279" s="13" t="s">
        <v>332</v>
      </c>
      <c r="F279" s="3" t="s">
        <v>520</v>
      </c>
    </row>
    <row r="280" spans="1:6" x14ac:dyDescent="0.25">
      <c r="A280" s="39">
        <v>43580.423298611109</v>
      </c>
      <c r="B280" s="3" t="s">
        <v>816</v>
      </c>
      <c r="C280" s="13" t="s">
        <v>332</v>
      </c>
      <c r="D280" s="13">
        <v>0</v>
      </c>
      <c r="E280" s="13" t="s">
        <v>332</v>
      </c>
      <c r="F280" s="3" t="s">
        <v>520</v>
      </c>
    </row>
    <row r="281" spans="1:6" x14ac:dyDescent="0.25">
      <c r="A281" s="39">
        <v>43580.423298611109</v>
      </c>
      <c r="B281" s="3" t="s">
        <v>819</v>
      </c>
      <c r="C281" s="13" t="s">
        <v>332</v>
      </c>
      <c r="D281" s="13">
        <v>0</v>
      </c>
      <c r="E281" s="13" t="s">
        <v>332</v>
      </c>
      <c r="F281" s="3" t="s">
        <v>520</v>
      </c>
    </row>
    <row r="282" spans="1:6" x14ac:dyDescent="0.25">
      <c r="A282" s="39">
        <v>43580.423298611109</v>
      </c>
      <c r="B282" s="3" t="s">
        <v>822</v>
      </c>
      <c r="C282" s="13" t="s">
        <v>332</v>
      </c>
      <c r="D282" s="13">
        <v>0</v>
      </c>
      <c r="E282" s="13" t="s">
        <v>332</v>
      </c>
      <c r="F282" s="3" t="s">
        <v>520</v>
      </c>
    </row>
    <row r="283" spans="1:6" x14ac:dyDescent="0.25">
      <c r="A283" s="39">
        <v>43580.423298611109</v>
      </c>
      <c r="B283" s="3" t="s">
        <v>825</v>
      </c>
      <c r="C283" s="13" t="s">
        <v>332</v>
      </c>
      <c r="D283" s="13">
        <v>0</v>
      </c>
      <c r="E283" s="13" t="s">
        <v>332</v>
      </c>
      <c r="F283" s="3" t="s">
        <v>520</v>
      </c>
    </row>
    <row r="284" spans="1:6" x14ac:dyDescent="0.25">
      <c r="A284" s="39">
        <v>43580.423298611109</v>
      </c>
      <c r="B284" s="3" t="s">
        <v>828</v>
      </c>
      <c r="C284" s="13" t="s">
        <v>332</v>
      </c>
      <c r="D284" s="13">
        <v>0</v>
      </c>
      <c r="E284" s="13" t="s">
        <v>332</v>
      </c>
      <c r="F284" s="3" t="s">
        <v>520</v>
      </c>
    </row>
    <row r="285" spans="1:6" x14ac:dyDescent="0.25">
      <c r="A285" s="39">
        <v>43580.423298611109</v>
      </c>
      <c r="B285" s="3" t="s">
        <v>831</v>
      </c>
      <c r="C285" s="13" t="s">
        <v>332</v>
      </c>
      <c r="D285" s="13">
        <v>0</v>
      </c>
      <c r="E285" s="13" t="s">
        <v>332</v>
      </c>
      <c r="F285" s="3" t="s">
        <v>520</v>
      </c>
    </row>
    <row r="286" spans="1:6" x14ac:dyDescent="0.25">
      <c r="A286" s="39">
        <v>43580.423298611109</v>
      </c>
      <c r="B286" s="3" t="s">
        <v>834</v>
      </c>
      <c r="C286" s="13" t="s">
        <v>332</v>
      </c>
      <c r="D286" s="13">
        <v>0</v>
      </c>
      <c r="E286" s="13" t="s">
        <v>332</v>
      </c>
      <c r="F286" s="3" t="s">
        <v>520</v>
      </c>
    </row>
    <row r="287" spans="1:6" x14ac:dyDescent="0.25">
      <c r="A287" s="39">
        <v>43580.423298611109</v>
      </c>
      <c r="B287" s="3" t="s">
        <v>837</v>
      </c>
      <c r="C287" s="13" t="s">
        <v>332</v>
      </c>
      <c r="D287" s="13">
        <v>0</v>
      </c>
      <c r="E287" s="13" t="s">
        <v>332</v>
      </c>
      <c r="F287" s="3" t="s">
        <v>520</v>
      </c>
    </row>
    <row r="288" spans="1:6" x14ac:dyDescent="0.25">
      <c r="A288" s="39">
        <v>43580.423298611109</v>
      </c>
      <c r="B288" s="3" t="s">
        <v>840</v>
      </c>
      <c r="C288" s="13" t="s">
        <v>332</v>
      </c>
      <c r="D288" s="13">
        <v>0</v>
      </c>
      <c r="E288" s="13" t="s">
        <v>332</v>
      </c>
      <c r="F288" s="3" t="s">
        <v>520</v>
      </c>
    </row>
    <row r="289" spans="1:6" x14ac:dyDescent="0.25">
      <c r="A289" s="39">
        <v>43580.423298611109</v>
      </c>
      <c r="B289" s="3" t="s">
        <v>843</v>
      </c>
      <c r="C289" s="13" t="s">
        <v>332</v>
      </c>
      <c r="D289" s="13">
        <v>0</v>
      </c>
      <c r="E289" s="13" t="s">
        <v>332</v>
      </c>
      <c r="F289" s="3" t="s">
        <v>520</v>
      </c>
    </row>
    <row r="290" spans="1:6" x14ac:dyDescent="0.25">
      <c r="A290" s="39">
        <v>43580.423310185186</v>
      </c>
      <c r="B290" s="3" t="s">
        <v>846</v>
      </c>
      <c r="C290" s="13" t="s">
        <v>332</v>
      </c>
      <c r="D290" s="13">
        <v>0</v>
      </c>
      <c r="E290" s="13" t="s">
        <v>332</v>
      </c>
      <c r="F290" s="3" t="s">
        <v>520</v>
      </c>
    </row>
    <row r="291" spans="1:6" x14ac:dyDescent="0.25">
      <c r="A291" s="39">
        <v>43580.423310185186</v>
      </c>
      <c r="B291" s="3" t="s">
        <v>849</v>
      </c>
      <c r="C291" s="13" t="s">
        <v>332</v>
      </c>
      <c r="D291" s="13">
        <v>0</v>
      </c>
      <c r="E291" s="13" t="s">
        <v>332</v>
      </c>
      <c r="F291" s="3" t="s">
        <v>520</v>
      </c>
    </row>
    <row r="292" spans="1:6" x14ac:dyDescent="0.25">
      <c r="A292" s="39">
        <v>43580.423310185186</v>
      </c>
      <c r="B292" s="3" t="s">
        <v>852</v>
      </c>
      <c r="C292" s="13" t="s">
        <v>332</v>
      </c>
      <c r="D292" s="13">
        <v>0</v>
      </c>
      <c r="E292" s="13" t="s">
        <v>332</v>
      </c>
      <c r="F292" s="3" t="s">
        <v>520</v>
      </c>
    </row>
    <row r="293" spans="1:6" x14ac:dyDescent="0.25">
      <c r="A293" s="39">
        <v>43580.423310185186</v>
      </c>
      <c r="B293" s="3" t="s">
        <v>855</v>
      </c>
      <c r="C293" s="13" t="s">
        <v>332</v>
      </c>
      <c r="D293" s="13">
        <v>0</v>
      </c>
      <c r="E293" s="13" t="s">
        <v>332</v>
      </c>
      <c r="F293" s="3" t="s">
        <v>520</v>
      </c>
    </row>
    <row r="294" spans="1:6" x14ac:dyDescent="0.25">
      <c r="A294" s="39">
        <v>43580.423310185186</v>
      </c>
      <c r="B294" s="3" t="s">
        <v>858</v>
      </c>
      <c r="C294" s="13" t="s">
        <v>332</v>
      </c>
      <c r="D294" s="13">
        <v>0</v>
      </c>
      <c r="E294" s="13" t="s">
        <v>332</v>
      </c>
      <c r="F294" s="3" t="s">
        <v>520</v>
      </c>
    </row>
    <row r="295" spans="1:6" x14ac:dyDescent="0.25">
      <c r="A295" s="39">
        <v>43580.423310185186</v>
      </c>
      <c r="B295" s="3" t="s">
        <v>861</v>
      </c>
      <c r="C295" s="13" t="s">
        <v>332</v>
      </c>
      <c r="D295" s="13">
        <v>0</v>
      </c>
      <c r="E295" s="13" t="s">
        <v>332</v>
      </c>
      <c r="F295" s="3" t="s">
        <v>520</v>
      </c>
    </row>
    <row r="296" spans="1:6" x14ac:dyDescent="0.25">
      <c r="A296" s="39">
        <v>43580.423310185186</v>
      </c>
      <c r="B296" s="3" t="s">
        <v>864</v>
      </c>
      <c r="C296" s="13" t="s">
        <v>332</v>
      </c>
      <c r="D296" s="13">
        <v>0</v>
      </c>
      <c r="E296" s="13" t="s">
        <v>332</v>
      </c>
      <c r="F296" s="3" t="s">
        <v>520</v>
      </c>
    </row>
    <row r="297" spans="1:6" x14ac:dyDescent="0.25">
      <c r="A297" s="39">
        <v>43580.423310185186</v>
      </c>
      <c r="B297" s="3" t="s">
        <v>866</v>
      </c>
      <c r="C297" s="13" t="s">
        <v>332</v>
      </c>
      <c r="D297" s="13">
        <v>0</v>
      </c>
      <c r="E297" s="13" t="s">
        <v>332</v>
      </c>
      <c r="F297" s="3" t="s">
        <v>520</v>
      </c>
    </row>
    <row r="298" spans="1:6" x14ac:dyDescent="0.25">
      <c r="A298" s="39">
        <v>43580.423310185186</v>
      </c>
      <c r="B298" s="3" t="s">
        <v>869</v>
      </c>
      <c r="C298" s="13" t="s">
        <v>332</v>
      </c>
      <c r="D298" s="13">
        <v>0</v>
      </c>
      <c r="E298" s="13" t="s">
        <v>332</v>
      </c>
      <c r="F298" s="3" t="s">
        <v>520</v>
      </c>
    </row>
    <row r="299" spans="1:6" x14ac:dyDescent="0.25">
      <c r="A299" s="39">
        <v>43580.423310185186</v>
      </c>
      <c r="B299" s="3" t="s">
        <v>872</v>
      </c>
      <c r="C299" s="13" t="s">
        <v>332</v>
      </c>
      <c r="D299" s="13">
        <v>0</v>
      </c>
      <c r="E299" s="13" t="s">
        <v>332</v>
      </c>
      <c r="F299" s="3" t="s">
        <v>520</v>
      </c>
    </row>
    <row r="300" spans="1:6" x14ac:dyDescent="0.25">
      <c r="A300" s="39">
        <v>43580.423321759263</v>
      </c>
      <c r="B300" s="3" t="s">
        <v>875</v>
      </c>
      <c r="C300" s="13" t="s">
        <v>332</v>
      </c>
      <c r="D300" s="13">
        <v>0</v>
      </c>
      <c r="E300" s="13" t="s">
        <v>332</v>
      </c>
      <c r="F300" s="3" t="s">
        <v>520</v>
      </c>
    </row>
    <row r="301" spans="1:6" x14ac:dyDescent="0.25">
      <c r="A301" s="39">
        <v>43580.423321759263</v>
      </c>
      <c r="B301" s="3" t="s">
        <v>878</v>
      </c>
      <c r="C301" s="13" t="s">
        <v>332</v>
      </c>
      <c r="D301" s="13">
        <v>0</v>
      </c>
      <c r="E301" s="13" t="s">
        <v>332</v>
      </c>
      <c r="F301" s="3" t="s">
        <v>520</v>
      </c>
    </row>
    <row r="302" spans="1:6" x14ac:dyDescent="0.25">
      <c r="A302" s="39">
        <v>43580.423321759263</v>
      </c>
      <c r="B302" s="3" t="s">
        <v>880</v>
      </c>
      <c r="C302" s="13" t="s">
        <v>332</v>
      </c>
      <c r="D302" s="13">
        <v>0</v>
      </c>
      <c r="E302" s="13" t="s">
        <v>332</v>
      </c>
      <c r="F302" s="3" t="s">
        <v>520</v>
      </c>
    </row>
    <row r="303" spans="1:6" x14ac:dyDescent="0.25">
      <c r="A303" s="39">
        <v>43580.423321759263</v>
      </c>
      <c r="B303" s="3" t="s">
        <v>883</v>
      </c>
      <c r="C303" s="13" t="s">
        <v>332</v>
      </c>
      <c r="D303" s="13">
        <v>0</v>
      </c>
      <c r="E303" s="13" t="s">
        <v>332</v>
      </c>
      <c r="F303" s="3" t="s">
        <v>520</v>
      </c>
    </row>
    <row r="304" spans="1:6" x14ac:dyDescent="0.25">
      <c r="A304" s="39">
        <v>43580.423321759263</v>
      </c>
      <c r="B304" s="3" t="s">
        <v>886</v>
      </c>
      <c r="C304" s="13" t="s">
        <v>332</v>
      </c>
      <c r="D304" s="13">
        <v>0</v>
      </c>
      <c r="E304" s="13" t="s">
        <v>332</v>
      </c>
      <c r="F304" s="3" t="s">
        <v>520</v>
      </c>
    </row>
    <row r="305" spans="1:6" x14ac:dyDescent="0.25">
      <c r="A305" s="39">
        <v>43580.423321759263</v>
      </c>
      <c r="B305" s="3" t="s">
        <v>889</v>
      </c>
      <c r="C305" s="13" t="s">
        <v>332</v>
      </c>
      <c r="D305" s="13">
        <v>0</v>
      </c>
      <c r="E305" s="13" t="s">
        <v>332</v>
      </c>
      <c r="F305" s="3" t="s">
        <v>520</v>
      </c>
    </row>
    <row r="306" spans="1:6" x14ac:dyDescent="0.25">
      <c r="A306" s="39">
        <v>43580.423321759263</v>
      </c>
      <c r="B306" s="3" t="s">
        <v>892</v>
      </c>
      <c r="C306" s="13" t="s">
        <v>332</v>
      </c>
      <c r="D306" s="13">
        <v>0</v>
      </c>
      <c r="E306" s="13" t="s">
        <v>332</v>
      </c>
      <c r="F306" s="3" t="s">
        <v>520</v>
      </c>
    </row>
    <row r="307" spans="1:6" x14ac:dyDescent="0.25">
      <c r="A307" s="39">
        <v>43580.423321759263</v>
      </c>
      <c r="B307" s="3" t="s">
        <v>895</v>
      </c>
      <c r="C307" s="13" t="s">
        <v>332</v>
      </c>
      <c r="D307" s="13">
        <v>0</v>
      </c>
      <c r="E307" s="13" t="s">
        <v>332</v>
      </c>
      <c r="F307" s="3" t="s">
        <v>520</v>
      </c>
    </row>
    <row r="308" spans="1:6" x14ac:dyDescent="0.25">
      <c r="A308" s="39">
        <v>43580.423321759263</v>
      </c>
      <c r="B308" s="3" t="s">
        <v>898</v>
      </c>
      <c r="C308" s="13" t="s">
        <v>332</v>
      </c>
      <c r="D308" s="13">
        <v>0</v>
      </c>
      <c r="E308" s="13" t="s">
        <v>332</v>
      </c>
      <c r="F308" s="3" t="s">
        <v>520</v>
      </c>
    </row>
    <row r="309" spans="1:6" x14ac:dyDescent="0.25">
      <c r="A309" s="39">
        <v>43580.423333333332</v>
      </c>
      <c r="B309" s="3" t="s">
        <v>901</v>
      </c>
      <c r="C309" s="13" t="s">
        <v>332</v>
      </c>
      <c r="D309" s="13">
        <v>0</v>
      </c>
      <c r="E309" s="13" t="s">
        <v>332</v>
      </c>
      <c r="F309" s="3" t="s">
        <v>520</v>
      </c>
    </row>
    <row r="310" spans="1:6" x14ac:dyDescent="0.25">
      <c r="A310" s="39">
        <v>43580.423333333332</v>
      </c>
      <c r="B310" s="3" t="s">
        <v>904</v>
      </c>
      <c r="C310" s="13" t="s">
        <v>332</v>
      </c>
      <c r="D310" s="13">
        <v>0</v>
      </c>
      <c r="E310" s="13" t="s">
        <v>332</v>
      </c>
      <c r="F310" s="3" t="s">
        <v>520</v>
      </c>
    </row>
    <row r="311" spans="1:6" x14ac:dyDescent="0.25">
      <c r="A311" s="39">
        <v>43580.423333333332</v>
      </c>
      <c r="B311" s="3" t="s">
        <v>907</v>
      </c>
      <c r="C311" s="13" t="s">
        <v>332</v>
      </c>
      <c r="D311" s="13">
        <v>0</v>
      </c>
      <c r="E311" s="13" t="s">
        <v>332</v>
      </c>
      <c r="F311" s="3" t="s">
        <v>520</v>
      </c>
    </row>
    <row r="312" spans="1:6" x14ac:dyDescent="0.25">
      <c r="A312" s="39">
        <v>43580.423333333332</v>
      </c>
      <c r="B312" s="3" t="s">
        <v>910</v>
      </c>
      <c r="C312" s="13" t="s">
        <v>332</v>
      </c>
      <c r="D312" s="13">
        <v>0</v>
      </c>
      <c r="E312" s="13" t="s">
        <v>332</v>
      </c>
      <c r="F312" s="3" t="s">
        <v>520</v>
      </c>
    </row>
    <row r="313" spans="1:6" x14ac:dyDescent="0.25">
      <c r="A313" s="39">
        <v>43580.423333333332</v>
      </c>
      <c r="B313" s="3" t="s">
        <v>913</v>
      </c>
      <c r="C313" s="13" t="s">
        <v>332</v>
      </c>
      <c r="D313" s="13">
        <v>0</v>
      </c>
      <c r="E313" s="13" t="s">
        <v>332</v>
      </c>
      <c r="F313" s="3" t="s">
        <v>520</v>
      </c>
    </row>
    <row r="314" spans="1:6" x14ac:dyDescent="0.25">
      <c r="A314" s="39">
        <v>43580.423333333332</v>
      </c>
      <c r="B314" s="3" t="s">
        <v>915</v>
      </c>
      <c r="C314" s="13" t="s">
        <v>332</v>
      </c>
      <c r="D314" s="13">
        <v>0</v>
      </c>
      <c r="E314" s="13" t="s">
        <v>332</v>
      </c>
      <c r="F314" s="3" t="s">
        <v>520</v>
      </c>
    </row>
    <row r="315" spans="1:6" x14ac:dyDescent="0.25">
      <c r="A315" s="39">
        <v>43580.423333333332</v>
      </c>
      <c r="B315" s="3" t="s">
        <v>918</v>
      </c>
      <c r="C315" s="13" t="s">
        <v>332</v>
      </c>
      <c r="D315" s="13">
        <v>0</v>
      </c>
      <c r="E315" s="13" t="s">
        <v>332</v>
      </c>
      <c r="F315" s="3" t="s">
        <v>520</v>
      </c>
    </row>
    <row r="316" spans="1:6" x14ac:dyDescent="0.25">
      <c r="A316" s="39">
        <v>43580.423333333332</v>
      </c>
      <c r="B316" s="3" t="s">
        <v>921</v>
      </c>
      <c r="C316" s="13" t="s">
        <v>332</v>
      </c>
      <c r="D316" s="13">
        <v>0</v>
      </c>
      <c r="E316" s="13" t="s">
        <v>332</v>
      </c>
      <c r="F316" s="3" t="s">
        <v>520</v>
      </c>
    </row>
    <row r="317" spans="1:6" x14ac:dyDescent="0.25">
      <c r="A317" s="39">
        <v>43580.423333333332</v>
      </c>
      <c r="B317" s="3" t="s">
        <v>924</v>
      </c>
      <c r="C317" s="13" t="s">
        <v>332</v>
      </c>
      <c r="D317" s="13">
        <v>0</v>
      </c>
      <c r="E317" s="13" t="s">
        <v>332</v>
      </c>
      <c r="F317" s="3" t="s">
        <v>520</v>
      </c>
    </row>
    <row r="318" spans="1:6" x14ac:dyDescent="0.25">
      <c r="A318" s="39">
        <v>43580.423333333332</v>
      </c>
      <c r="B318" s="3" t="s">
        <v>927</v>
      </c>
      <c r="C318" s="13" t="s">
        <v>332</v>
      </c>
      <c r="D318" s="13">
        <v>0</v>
      </c>
      <c r="E318" s="13" t="s">
        <v>332</v>
      </c>
      <c r="F318" s="3" t="s">
        <v>520</v>
      </c>
    </row>
    <row r="319" spans="1:6" x14ac:dyDescent="0.25">
      <c r="A319" s="39">
        <v>43580.423344907409</v>
      </c>
      <c r="B319" s="3" t="s">
        <v>930</v>
      </c>
      <c r="C319" s="13" t="s">
        <v>332</v>
      </c>
      <c r="D319" s="13">
        <v>0</v>
      </c>
      <c r="E319" s="13" t="s">
        <v>332</v>
      </c>
      <c r="F319" s="3" t="s">
        <v>520</v>
      </c>
    </row>
    <row r="320" spans="1:6" x14ac:dyDescent="0.25">
      <c r="A320" s="39">
        <v>43580.423344907409</v>
      </c>
      <c r="B320" s="3" t="s">
        <v>933</v>
      </c>
      <c r="C320" s="13" t="s">
        <v>332</v>
      </c>
      <c r="D320" s="13">
        <v>0</v>
      </c>
      <c r="E320" s="13" t="s">
        <v>332</v>
      </c>
      <c r="F320" s="3" t="s">
        <v>520</v>
      </c>
    </row>
    <row r="321" spans="1:6" x14ac:dyDescent="0.25">
      <c r="A321" s="39">
        <v>43580.423344907409</v>
      </c>
      <c r="B321" s="3" t="s">
        <v>936</v>
      </c>
      <c r="C321" s="13" t="s">
        <v>332</v>
      </c>
      <c r="D321" s="13">
        <v>0</v>
      </c>
      <c r="E321" s="13" t="s">
        <v>332</v>
      </c>
      <c r="F321" s="3" t="s">
        <v>520</v>
      </c>
    </row>
    <row r="322" spans="1:6" x14ac:dyDescent="0.25">
      <c r="A322" s="39">
        <v>43580.423344907409</v>
      </c>
      <c r="B322" s="3" t="s">
        <v>939</v>
      </c>
      <c r="C322" s="13" t="s">
        <v>332</v>
      </c>
      <c r="D322" s="13">
        <v>0</v>
      </c>
      <c r="E322" s="13" t="s">
        <v>332</v>
      </c>
      <c r="F322" s="3" t="s">
        <v>520</v>
      </c>
    </row>
    <row r="323" spans="1:6" x14ac:dyDescent="0.25">
      <c r="A323" s="39">
        <v>43580.423344907409</v>
      </c>
      <c r="B323" s="3" t="s">
        <v>942</v>
      </c>
      <c r="C323" s="13" t="s">
        <v>332</v>
      </c>
      <c r="D323" s="13">
        <v>0</v>
      </c>
      <c r="E323" s="13" t="s">
        <v>332</v>
      </c>
      <c r="F323" s="3" t="s">
        <v>520</v>
      </c>
    </row>
    <row r="324" spans="1:6" x14ac:dyDescent="0.25">
      <c r="A324" s="39">
        <v>43580.423344907409</v>
      </c>
      <c r="B324" s="3" t="s">
        <v>945</v>
      </c>
      <c r="C324" s="13" t="s">
        <v>332</v>
      </c>
      <c r="D324" s="13">
        <v>0</v>
      </c>
      <c r="E324" s="13" t="s">
        <v>332</v>
      </c>
      <c r="F324" s="3" t="s">
        <v>520</v>
      </c>
    </row>
    <row r="325" spans="1:6" x14ac:dyDescent="0.25">
      <c r="A325" s="39">
        <v>43580.423344907409</v>
      </c>
      <c r="B325" s="3" t="s">
        <v>948</v>
      </c>
      <c r="C325" s="13" t="s">
        <v>332</v>
      </c>
      <c r="D325" s="13">
        <v>0</v>
      </c>
      <c r="E325" s="13" t="s">
        <v>332</v>
      </c>
      <c r="F325" s="3" t="s">
        <v>520</v>
      </c>
    </row>
    <row r="326" spans="1:6" x14ac:dyDescent="0.25">
      <c r="A326" s="39">
        <v>43580.423344907409</v>
      </c>
      <c r="B326" s="3" t="s">
        <v>951</v>
      </c>
      <c r="C326" s="13" t="s">
        <v>332</v>
      </c>
      <c r="D326" s="13">
        <v>0</v>
      </c>
      <c r="E326" s="13" t="s">
        <v>332</v>
      </c>
      <c r="F326" s="3" t="s">
        <v>520</v>
      </c>
    </row>
    <row r="327" spans="1:6" x14ac:dyDescent="0.25">
      <c r="A327" s="39">
        <v>43580.423344907409</v>
      </c>
      <c r="B327" s="3" t="s">
        <v>954</v>
      </c>
      <c r="C327" s="13" t="s">
        <v>332</v>
      </c>
      <c r="D327" s="13">
        <v>0</v>
      </c>
      <c r="E327" s="13" t="s">
        <v>332</v>
      </c>
      <c r="F327" s="3" t="s">
        <v>520</v>
      </c>
    </row>
    <row r="328" spans="1:6" x14ac:dyDescent="0.25">
      <c r="A328" s="39">
        <v>43580.423344907409</v>
      </c>
      <c r="B328" s="3" t="s">
        <v>957</v>
      </c>
      <c r="C328" s="13" t="s">
        <v>332</v>
      </c>
      <c r="D328" s="13">
        <v>0</v>
      </c>
      <c r="E328" s="13" t="s">
        <v>332</v>
      </c>
      <c r="F328" s="3" t="s">
        <v>520</v>
      </c>
    </row>
    <row r="329" spans="1:6" x14ac:dyDescent="0.25">
      <c r="A329" s="39">
        <v>43580.423356481479</v>
      </c>
      <c r="B329" s="3" t="s">
        <v>960</v>
      </c>
      <c r="C329" s="13" t="s">
        <v>332</v>
      </c>
      <c r="D329" s="13">
        <v>0</v>
      </c>
      <c r="E329" s="13" t="s">
        <v>332</v>
      </c>
      <c r="F329" s="3" t="s">
        <v>520</v>
      </c>
    </row>
    <row r="330" spans="1:6" x14ac:dyDescent="0.25">
      <c r="A330" s="39">
        <v>43580.423356481479</v>
      </c>
      <c r="B330" s="3" t="s">
        <v>963</v>
      </c>
      <c r="C330" s="13" t="s">
        <v>332</v>
      </c>
      <c r="D330" s="13">
        <v>0</v>
      </c>
      <c r="E330" s="13" t="s">
        <v>332</v>
      </c>
      <c r="F330" s="3" t="s">
        <v>520</v>
      </c>
    </row>
    <row r="331" spans="1:6" x14ac:dyDescent="0.25">
      <c r="A331" s="39">
        <v>43580.423356481479</v>
      </c>
      <c r="B331" s="3" t="s">
        <v>966</v>
      </c>
      <c r="C331" s="13" t="s">
        <v>332</v>
      </c>
      <c r="D331" s="13">
        <v>0</v>
      </c>
      <c r="E331" s="13" t="s">
        <v>332</v>
      </c>
      <c r="F331" s="3" t="s">
        <v>520</v>
      </c>
    </row>
    <row r="332" spans="1:6" x14ac:dyDescent="0.25">
      <c r="A332" s="39">
        <v>43580.423356481479</v>
      </c>
      <c r="B332" s="3" t="s">
        <v>969</v>
      </c>
      <c r="C332" s="13" t="s">
        <v>332</v>
      </c>
      <c r="D332" s="13">
        <v>0</v>
      </c>
      <c r="E332" s="13" t="s">
        <v>332</v>
      </c>
      <c r="F332" s="3" t="s">
        <v>520</v>
      </c>
    </row>
    <row r="333" spans="1:6" x14ac:dyDescent="0.25">
      <c r="A333" s="39">
        <v>43580.423356481479</v>
      </c>
      <c r="B333" s="3" t="s">
        <v>972</v>
      </c>
      <c r="C333" s="13" t="s">
        <v>332</v>
      </c>
      <c r="D333" s="13">
        <v>0</v>
      </c>
      <c r="E333" s="13" t="s">
        <v>332</v>
      </c>
      <c r="F333" s="3" t="s">
        <v>520</v>
      </c>
    </row>
    <row r="334" spans="1:6" x14ac:dyDescent="0.25">
      <c r="A334" s="39">
        <v>43580.423356481479</v>
      </c>
      <c r="B334" s="3" t="s">
        <v>975</v>
      </c>
      <c r="C334" s="13" t="s">
        <v>332</v>
      </c>
      <c r="D334" s="13">
        <v>0</v>
      </c>
      <c r="E334" s="13" t="s">
        <v>332</v>
      </c>
      <c r="F334" s="3" t="s">
        <v>520</v>
      </c>
    </row>
    <row r="335" spans="1:6" x14ac:dyDescent="0.25">
      <c r="A335" s="39">
        <v>43580.423356481479</v>
      </c>
      <c r="B335" s="3" t="s">
        <v>978</v>
      </c>
      <c r="C335" s="13" t="s">
        <v>332</v>
      </c>
      <c r="D335" s="13">
        <v>0</v>
      </c>
      <c r="E335" s="13" t="s">
        <v>332</v>
      </c>
      <c r="F335" s="3" t="s">
        <v>520</v>
      </c>
    </row>
    <row r="336" spans="1:6" x14ac:dyDescent="0.25">
      <c r="A336" s="39">
        <v>43580.423356481479</v>
      </c>
      <c r="B336" s="3" t="s">
        <v>981</v>
      </c>
      <c r="C336" s="13" t="s">
        <v>332</v>
      </c>
      <c r="D336" s="13">
        <v>0</v>
      </c>
      <c r="E336" s="13" t="s">
        <v>332</v>
      </c>
      <c r="F336" s="3" t="s">
        <v>520</v>
      </c>
    </row>
    <row r="337" spans="1:6" x14ac:dyDescent="0.25">
      <c r="A337" s="39">
        <v>43580.423356481479</v>
      </c>
      <c r="B337" s="3" t="s">
        <v>984</v>
      </c>
      <c r="C337" s="13" t="s">
        <v>332</v>
      </c>
      <c r="D337" s="13">
        <v>0</v>
      </c>
      <c r="E337" s="13" t="s">
        <v>332</v>
      </c>
      <c r="F337" s="3" t="s">
        <v>520</v>
      </c>
    </row>
    <row r="338" spans="1:6" x14ac:dyDescent="0.25">
      <c r="A338" s="39">
        <v>43580.423356481479</v>
      </c>
      <c r="B338" s="3" t="s">
        <v>987</v>
      </c>
      <c r="C338" s="13" t="s">
        <v>332</v>
      </c>
      <c r="D338" s="13">
        <v>0</v>
      </c>
      <c r="E338" s="13" t="s">
        <v>332</v>
      </c>
      <c r="F338" s="3" t="s">
        <v>520</v>
      </c>
    </row>
    <row r="339" spans="1:6" x14ac:dyDescent="0.25">
      <c r="A339" s="39">
        <v>43580.423368055555</v>
      </c>
      <c r="B339" s="3" t="s">
        <v>990</v>
      </c>
      <c r="C339" s="13" t="s">
        <v>332</v>
      </c>
      <c r="D339" s="13">
        <v>0</v>
      </c>
      <c r="E339" s="13" t="s">
        <v>332</v>
      </c>
      <c r="F339" s="3" t="s">
        <v>520</v>
      </c>
    </row>
    <row r="340" spans="1:6" x14ac:dyDescent="0.25">
      <c r="A340" s="39">
        <v>43580.423368055555</v>
      </c>
      <c r="B340" s="3" t="s">
        <v>993</v>
      </c>
      <c r="C340" s="13" t="s">
        <v>332</v>
      </c>
      <c r="D340" s="13">
        <v>0</v>
      </c>
      <c r="E340" s="13" t="s">
        <v>332</v>
      </c>
      <c r="F340" s="3" t="s">
        <v>520</v>
      </c>
    </row>
    <row r="341" spans="1:6" x14ac:dyDescent="0.25">
      <c r="A341" s="39">
        <v>43580.423368055555</v>
      </c>
      <c r="B341" s="3" t="s">
        <v>996</v>
      </c>
      <c r="C341" s="13" t="s">
        <v>332</v>
      </c>
      <c r="D341" s="13">
        <v>0</v>
      </c>
      <c r="E341" s="13" t="s">
        <v>332</v>
      </c>
      <c r="F341" s="3" t="s">
        <v>520</v>
      </c>
    </row>
    <row r="342" spans="1:6" x14ac:dyDescent="0.25">
      <c r="A342" s="39">
        <v>43580.423368055555</v>
      </c>
      <c r="B342" s="3" t="s">
        <v>999</v>
      </c>
      <c r="C342" s="13" t="s">
        <v>332</v>
      </c>
      <c r="D342" s="13">
        <v>0</v>
      </c>
      <c r="E342" s="13" t="s">
        <v>332</v>
      </c>
      <c r="F342" s="3" t="s">
        <v>520</v>
      </c>
    </row>
    <row r="343" spans="1:6" x14ac:dyDescent="0.25">
      <c r="A343" s="39">
        <v>43580.423368055555</v>
      </c>
      <c r="B343" s="3" t="s">
        <v>1002</v>
      </c>
      <c r="C343" s="13" t="s">
        <v>332</v>
      </c>
      <c r="D343" s="13">
        <v>0</v>
      </c>
      <c r="E343" s="13" t="s">
        <v>332</v>
      </c>
      <c r="F343" s="3" t="s">
        <v>520</v>
      </c>
    </row>
    <row r="344" spans="1:6" x14ac:dyDescent="0.25">
      <c r="A344" s="39">
        <v>43580.423368055555</v>
      </c>
      <c r="B344" s="3" t="s">
        <v>1004</v>
      </c>
      <c r="C344" s="13" t="s">
        <v>332</v>
      </c>
      <c r="D344" s="13">
        <v>0</v>
      </c>
      <c r="E344" s="13" t="s">
        <v>332</v>
      </c>
      <c r="F344" s="3" t="s">
        <v>520</v>
      </c>
    </row>
    <row r="345" spans="1:6" x14ac:dyDescent="0.25">
      <c r="A345" s="39">
        <v>43580.423368055555</v>
      </c>
      <c r="B345" s="3" t="s">
        <v>1007</v>
      </c>
      <c r="C345" s="13" t="s">
        <v>332</v>
      </c>
      <c r="D345" s="13">
        <v>0</v>
      </c>
      <c r="E345" s="13" t="s">
        <v>332</v>
      </c>
      <c r="F345" s="3" t="s">
        <v>520</v>
      </c>
    </row>
    <row r="346" spans="1:6" x14ac:dyDescent="0.25">
      <c r="A346" s="39">
        <v>43580.423368055555</v>
      </c>
      <c r="B346" s="3" t="s">
        <v>1010</v>
      </c>
      <c r="C346" s="13" t="s">
        <v>332</v>
      </c>
      <c r="D346" s="13">
        <v>0</v>
      </c>
      <c r="E346" s="13" t="s">
        <v>332</v>
      </c>
      <c r="F346" s="3" t="s">
        <v>520</v>
      </c>
    </row>
    <row r="347" spans="1:6" x14ac:dyDescent="0.25">
      <c r="A347" s="39">
        <v>43580.423368055555</v>
      </c>
      <c r="B347" s="3" t="s">
        <v>1013</v>
      </c>
      <c r="C347" s="13" t="s">
        <v>332</v>
      </c>
      <c r="D347" s="13">
        <v>0</v>
      </c>
      <c r="E347" s="13" t="s">
        <v>332</v>
      </c>
      <c r="F347" s="3" t="s">
        <v>520</v>
      </c>
    </row>
    <row r="348" spans="1:6" x14ac:dyDescent="0.25">
      <c r="A348" s="39">
        <v>43580.423379629632</v>
      </c>
      <c r="B348" s="3" t="s">
        <v>1016</v>
      </c>
      <c r="C348" s="13" t="s">
        <v>332</v>
      </c>
      <c r="D348" s="13">
        <v>0</v>
      </c>
      <c r="E348" s="13" t="s">
        <v>332</v>
      </c>
      <c r="F348" s="3" t="s">
        <v>520</v>
      </c>
    </row>
    <row r="349" spans="1:6" x14ac:dyDescent="0.25">
      <c r="A349" s="39">
        <v>43580.423379629632</v>
      </c>
      <c r="B349" s="3" t="s">
        <v>1019</v>
      </c>
      <c r="C349" s="13" t="s">
        <v>332</v>
      </c>
      <c r="D349" s="13">
        <v>0</v>
      </c>
      <c r="E349" s="13" t="s">
        <v>332</v>
      </c>
      <c r="F349" s="3" t="s">
        <v>520</v>
      </c>
    </row>
    <row r="350" spans="1:6" x14ac:dyDescent="0.25">
      <c r="A350" s="39">
        <v>43580.423379629632</v>
      </c>
      <c r="B350" s="3" t="s">
        <v>1022</v>
      </c>
      <c r="C350" s="13" t="s">
        <v>332</v>
      </c>
      <c r="D350" s="13">
        <v>0</v>
      </c>
      <c r="E350" s="13" t="s">
        <v>332</v>
      </c>
      <c r="F350" s="3" t="s">
        <v>520</v>
      </c>
    </row>
    <row r="351" spans="1:6" x14ac:dyDescent="0.25">
      <c r="A351" s="39">
        <v>43580.423379629632</v>
      </c>
      <c r="B351" s="3" t="s">
        <v>1025</v>
      </c>
      <c r="C351" s="13" t="s">
        <v>332</v>
      </c>
      <c r="D351" s="13">
        <v>0</v>
      </c>
      <c r="E351" s="13" t="s">
        <v>332</v>
      </c>
      <c r="F351" s="3" t="s">
        <v>520</v>
      </c>
    </row>
    <row r="352" spans="1:6" x14ac:dyDescent="0.25">
      <c r="A352" s="39">
        <v>43580.423379629632</v>
      </c>
      <c r="B352" s="3" t="s">
        <v>1028</v>
      </c>
      <c r="C352" s="13" t="s">
        <v>332</v>
      </c>
      <c r="D352" s="13">
        <v>0</v>
      </c>
      <c r="E352" s="13" t="s">
        <v>332</v>
      </c>
      <c r="F352" s="3" t="s">
        <v>520</v>
      </c>
    </row>
    <row r="353" spans="1:6" x14ac:dyDescent="0.25">
      <c r="A353" s="39">
        <v>43580.423379629632</v>
      </c>
      <c r="B353" s="3" t="s">
        <v>1031</v>
      </c>
      <c r="C353" s="13" t="s">
        <v>332</v>
      </c>
      <c r="D353" s="13">
        <v>0</v>
      </c>
      <c r="E353" s="13" t="s">
        <v>332</v>
      </c>
      <c r="F353" s="3" t="s">
        <v>520</v>
      </c>
    </row>
    <row r="354" spans="1:6" x14ac:dyDescent="0.25">
      <c r="A354" s="39">
        <v>43580.423379629632</v>
      </c>
      <c r="B354" s="3" t="s">
        <v>1034</v>
      </c>
      <c r="C354" s="13" t="s">
        <v>332</v>
      </c>
      <c r="D354" s="13">
        <v>0</v>
      </c>
      <c r="E354" s="13" t="s">
        <v>332</v>
      </c>
      <c r="F354" s="3" t="s">
        <v>520</v>
      </c>
    </row>
    <row r="355" spans="1:6" x14ac:dyDescent="0.25">
      <c r="A355" s="39">
        <v>43580.423379629632</v>
      </c>
      <c r="B355" s="3" t="s">
        <v>1037</v>
      </c>
      <c r="C355" s="13" t="s">
        <v>332</v>
      </c>
      <c r="D355" s="13">
        <v>0</v>
      </c>
      <c r="E355" s="13" t="s">
        <v>332</v>
      </c>
      <c r="F355" s="3" t="s">
        <v>520</v>
      </c>
    </row>
    <row r="356" spans="1:6" x14ac:dyDescent="0.25">
      <c r="A356" s="39">
        <v>43580.423379629632</v>
      </c>
      <c r="B356" s="3" t="s">
        <v>1040</v>
      </c>
      <c r="C356" s="13" t="s">
        <v>332</v>
      </c>
      <c r="D356" s="13">
        <v>0</v>
      </c>
      <c r="E356" s="13" t="s">
        <v>332</v>
      </c>
      <c r="F356" s="3" t="s">
        <v>520</v>
      </c>
    </row>
    <row r="357" spans="1:6" x14ac:dyDescent="0.25">
      <c r="A357" s="39">
        <v>43580.423391203702</v>
      </c>
      <c r="B357" s="3" t="s">
        <v>1043</v>
      </c>
      <c r="C357" s="13" t="s">
        <v>332</v>
      </c>
      <c r="D357" s="13">
        <v>0</v>
      </c>
      <c r="E357" s="13" t="s">
        <v>332</v>
      </c>
      <c r="F357" s="3" t="s">
        <v>520</v>
      </c>
    </row>
    <row r="358" spans="1:6" x14ac:dyDescent="0.25">
      <c r="A358" s="39">
        <v>43580.423391203702</v>
      </c>
      <c r="B358" s="3" t="s">
        <v>1046</v>
      </c>
      <c r="C358" s="13" t="s">
        <v>332</v>
      </c>
      <c r="D358" s="13">
        <v>0</v>
      </c>
      <c r="E358" s="13" t="s">
        <v>332</v>
      </c>
      <c r="F358" s="3" t="s">
        <v>520</v>
      </c>
    </row>
    <row r="359" spans="1:6" x14ac:dyDescent="0.25">
      <c r="A359" s="39">
        <v>43580.423391203702</v>
      </c>
      <c r="B359" s="3" t="s">
        <v>1049</v>
      </c>
      <c r="C359" s="13" t="s">
        <v>332</v>
      </c>
      <c r="D359" s="13">
        <v>0</v>
      </c>
      <c r="E359" s="13" t="s">
        <v>332</v>
      </c>
      <c r="F359" s="3" t="s">
        <v>520</v>
      </c>
    </row>
    <row r="360" spans="1:6" x14ac:dyDescent="0.25">
      <c r="A360" s="39">
        <v>43580.423391203702</v>
      </c>
      <c r="B360" s="3" t="s">
        <v>1052</v>
      </c>
      <c r="C360" s="13" t="s">
        <v>332</v>
      </c>
      <c r="D360" s="13">
        <v>0</v>
      </c>
      <c r="E360" s="13" t="s">
        <v>332</v>
      </c>
      <c r="F360" s="3" t="s">
        <v>520</v>
      </c>
    </row>
    <row r="361" spans="1:6" x14ac:dyDescent="0.25">
      <c r="A361" s="39">
        <v>43580.423391203702</v>
      </c>
      <c r="B361" s="3" t="s">
        <v>1055</v>
      </c>
      <c r="C361" s="13" t="s">
        <v>332</v>
      </c>
      <c r="D361" s="13">
        <v>0</v>
      </c>
      <c r="E361" s="13" t="s">
        <v>332</v>
      </c>
      <c r="F361" s="3" t="s">
        <v>520</v>
      </c>
    </row>
    <row r="362" spans="1:6" x14ac:dyDescent="0.25">
      <c r="A362" s="39">
        <v>43580.423391203702</v>
      </c>
      <c r="B362" s="3" t="s">
        <v>1057</v>
      </c>
      <c r="C362" s="13" t="s">
        <v>332</v>
      </c>
      <c r="D362" s="13">
        <v>0</v>
      </c>
      <c r="E362" s="13" t="s">
        <v>332</v>
      </c>
      <c r="F362" s="3" t="s">
        <v>520</v>
      </c>
    </row>
    <row r="363" spans="1:6" x14ac:dyDescent="0.25">
      <c r="A363" s="39">
        <v>43580.423391203702</v>
      </c>
      <c r="B363" s="3" t="s">
        <v>1060</v>
      </c>
      <c r="C363" s="13" t="s">
        <v>332</v>
      </c>
      <c r="D363" s="13">
        <v>0</v>
      </c>
      <c r="E363" s="13" t="s">
        <v>332</v>
      </c>
      <c r="F363" s="3" t="s">
        <v>520</v>
      </c>
    </row>
    <row r="364" spans="1:6" x14ac:dyDescent="0.25">
      <c r="A364" s="39">
        <v>43580.423391203702</v>
      </c>
      <c r="B364" s="3" t="s">
        <v>1063</v>
      </c>
      <c r="C364" s="13" t="s">
        <v>332</v>
      </c>
      <c r="D364" s="13">
        <v>0</v>
      </c>
      <c r="E364" s="13" t="s">
        <v>332</v>
      </c>
      <c r="F364" s="3" t="s">
        <v>520</v>
      </c>
    </row>
    <row r="365" spans="1:6" x14ac:dyDescent="0.25">
      <c r="A365" s="39">
        <v>43580.423391203702</v>
      </c>
      <c r="B365" s="3" t="s">
        <v>1066</v>
      </c>
      <c r="C365" s="13" t="s">
        <v>332</v>
      </c>
      <c r="D365" s="13">
        <v>0</v>
      </c>
      <c r="E365" s="13" t="s">
        <v>332</v>
      </c>
      <c r="F365" s="3" t="s">
        <v>520</v>
      </c>
    </row>
    <row r="366" spans="1:6" x14ac:dyDescent="0.25">
      <c r="A366" s="39">
        <v>43580.423391203702</v>
      </c>
      <c r="B366" s="3" t="s">
        <v>1069</v>
      </c>
      <c r="C366" s="13" t="s">
        <v>332</v>
      </c>
      <c r="D366" s="13">
        <v>0</v>
      </c>
      <c r="E366" s="13" t="s">
        <v>332</v>
      </c>
      <c r="F366" s="3" t="s">
        <v>520</v>
      </c>
    </row>
    <row r="367" spans="1:6" x14ac:dyDescent="0.25">
      <c r="A367" s="39">
        <v>43580.423402777778</v>
      </c>
      <c r="B367" s="3" t="s">
        <v>1072</v>
      </c>
      <c r="C367" s="13" t="s">
        <v>332</v>
      </c>
      <c r="D367" s="13">
        <v>0</v>
      </c>
      <c r="E367" s="13" t="s">
        <v>332</v>
      </c>
      <c r="F367" s="3" t="s">
        <v>520</v>
      </c>
    </row>
    <row r="368" spans="1:6" x14ac:dyDescent="0.25">
      <c r="A368" s="39">
        <v>43580.423402777778</v>
      </c>
      <c r="B368" s="3" t="s">
        <v>1075</v>
      </c>
      <c r="C368" s="13" t="s">
        <v>332</v>
      </c>
      <c r="D368" s="13">
        <v>0</v>
      </c>
      <c r="E368" s="13" t="s">
        <v>332</v>
      </c>
      <c r="F368" s="3" t="s">
        <v>520</v>
      </c>
    </row>
    <row r="369" spans="1:6" x14ac:dyDescent="0.25">
      <c r="A369" s="39">
        <v>43580.423402777778</v>
      </c>
      <c r="B369" s="3" t="s">
        <v>1078</v>
      </c>
      <c r="C369" s="13" t="s">
        <v>332</v>
      </c>
      <c r="D369" s="13">
        <v>0</v>
      </c>
      <c r="E369" s="13" t="s">
        <v>332</v>
      </c>
      <c r="F369" s="3" t="s">
        <v>520</v>
      </c>
    </row>
    <row r="370" spans="1:6" x14ac:dyDescent="0.25">
      <c r="A370" s="39">
        <v>43580.423402777778</v>
      </c>
      <c r="B370" s="3" t="s">
        <v>1081</v>
      </c>
      <c r="C370" s="13" t="s">
        <v>332</v>
      </c>
      <c r="D370" s="13">
        <v>0</v>
      </c>
      <c r="E370" s="13" t="s">
        <v>332</v>
      </c>
      <c r="F370" s="3" t="s">
        <v>520</v>
      </c>
    </row>
    <row r="371" spans="1:6" x14ac:dyDescent="0.25">
      <c r="A371" s="39">
        <v>43580.423402777778</v>
      </c>
      <c r="B371" s="3" t="s">
        <v>1084</v>
      </c>
      <c r="C371" s="13" t="s">
        <v>332</v>
      </c>
      <c r="D371" s="13">
        <v>0</v>
      </c>
      <c r="E371" s="13" t="s">
        <v>332</v>
      </c>
      <c r="F371" s="3" t="s">
        <v>520</v>
      </c>
    </row>
    <row r="372" spans="1:6" x14ac:dyDescent="0.25">
      <c r="A372" s="39">
        <v>43580.423402777778</v>
      </c>
      <c r="B372" s="3" t="s">
        <v>1087</v>
      </c>
      <c r="C372" s="13" t="s">
        <v>332</v>
      </c>
      <c r="D372" s="13">
        <v>0</v>
      </c>
      <c r="E372" s="13" t="s">
        <v>332</v>
      </c>
      <c r="F372" s="3" t="s">
        <v>520</v>
      </c>
    </row>
    <row r="373" spans="1:6" x14ac:dyDescent="0.25">
      <c r="A373" s="39">
        <v>43580.423402777778</v>
      </c>
      <c r="B373" s="3" t="s">
        <v>1090</v>
      </c>
      <c r="C373" s="13" t="s">
        <v>332</v>
      </c>
      <c r="D373" s="13">
        <v>0</v>
      </c>
      <c r="E373" s="13" t="s">
        <v>332</v>
      </c>
      <c r="F373" s="3" t="s">
        <v>520</v>
      </c>
    </row>
    <row r="374" spans="1:6" x14ac:dyDescent="0.25">
      <c r="A374" s="39">
        <v>43580.423402777778</v>
      </c>
      <c r="B374" s="3" t="s">
        <v>1093</v>
      </c>
      <c r="C374" s="13" t="s">
        <v>332</v>
      </c>
      <c r="D374" s="13">
        <v>0</v>
      </c>
      <c r="E374" s="13" t="s">
        <v>332</v>
      </c>
      <c r="F374" s="3" t="s">
        <v>520</v>
      </c>
    </row>
    <row r="375" spans="1:6" x14ac:dyDescent="0.25">
      <c r="A375" s="39">
        <v>43580.423402777778</v>
      </c>
      <c r="B375" s="3" t="s">
        <v>1096</v>
      </c>
      <c r="C375" s="13" t="s">
        <v>332</v>
      </c>
      <c r="D375" s="13">
        <v>0</v>
      </c>
      <c r="E375" s="13" t="s">
        <v>332</v>
      </c>
      <c r="F375" s="3" t="s">
        <v>520</v>
      </c>
    </row>
    <row r="376" spans="1:6" x14ac:dyDescent="0.25">
      <c r="A376" s="39">
        <v>43580.423414351855</v>
      </c>
      <c r="B376" s="3" t="s">
        <v>1099</v>
      </c>
      <c r="C376" s="13" t="s">
        <v>332</v>
      </c>
      <c r="D376" s="13">
        <v>0</v>
      </c>
      <c r="E376" s="13" t="s">
        <v>332</v>
      </c>
      <c r="F376" s="3" t="s">
        <v>520</v>
      </c>
    </row>
    <row r="377" spans="1:6" x14ac:dyDescent="0.25">
      <c r="A377" s="39">
        <v>43580.423414351855</v>
      </c>
      <c r="B377" s="3" t="s">
        <v>1102</v>
      </c>
      <c r="C377" s="13" t="s">
        <v>332</v>
      </c>
      <c r="D377" s="13">
        <v>0</v>
      </c>
      <c r="E377" s="13" t="s">
        <v>332</v>
      </c>
      <c r="F377" s="3" t="s">
        <v>520</v>
      </c>
    </row>
    <row r="378" spans="1:6" x14ac:dyDescent="0.25">
      <c r="A378" s="39">
        <v>43580.423414351855</v>
      </c>
      <c r="B378" s="3" t="s">
        <v>1105</v>
      </c>
      <c r="C378" s="13" t="s">
        <v>332</v>
      </c>
      <c r="D378" s="13">
        <v>0</v>
      </c>
      <c r="E378" s="13" t="s">
        <v>332</v>
      </c>
      <c r="F378" s="3" t="s">
        <v>520</v>
      </c>
    </row>
    <row r="379" spans="1:6" x14ac:dyDescent="0.25">
      <c r="A379" s="39">
        <v>43580.423414351855</v>
      </c>
      <c r="B379" s="3" t="s">
        <v>1108</v>
      </c>
      <c r="C379" s="13" t="s">
        <v>332</v>
      </c>
      <c r="D379" s="13">
        <v>0</v>
      </c>
      <c r="E379" s="13" t="s">
        <v>332</v>
      </c>
      <c r="F379" s="3" t="s">
        <v>520</v>
      </c>
    </row>
    <row r="380" spans="1:6" x14ac:dyDescent="0.25">
      <c r="A380" s="39">
        <v>43580.423414351855</v>
      </c>
      <c r="B380" s="3" t="s">
        <v>1111</v>
      </c>
      <c r="C380" s="13" t="s">
        <v>332</v>
      </c>
      <c r="D380" s="13">
        <v>0</v>
      </c>
      <c r="E380" s="13" t="s">
        <v>332</v>
      </c>
      <c r="F380" s="3" t="s">
        <v>520</v>
      </c>
    </row>
    <row r="381" spans="1:6" x14ac:dyDescent="0.25">
      <c r="A381" s="39">
        <v>43580.423414351855</v>
      </c>
      <c r="B381" s="3" t="s">
        <v>1114</v>
      </c>
      <c r="C381" s="13" t="s">
        <v>332</v>
      </c>
      <c r="D381" s="13">
        <v>0</v>
      </c>
      <c r="E381" s="13" t="s">
        <v>332</v>
      </c>
      <c r="F381" s="3" t="s">
        <v>520</v>
      </c>
    </row>
    <row r="382" spans="1:6" x14ac:dyDescent="0.25">
      <c r="A382" s="39">
        <v>43580.423414351855</v>
      </c>
      <c r="B382" s="3" t="s">
        <v>1117</v>
      </c>
      <c r="C382" s="13" t="s">
        <v>332</v>
      </c>
      <c r="D382" s="13">
        <v>0</v>
      </c>
      <c r="E382" s="13" t="s">
        <v>332</v>
      </c>
      <c r="F382" s="3" t="s">
        <v>520</v>
      </c>
    </row>
    <row r="383" spans="1:6" x14ac:dyDescent="0.25">
      <c r="A383" s="39">
        <v>43580.423414351855</v>
      </c>
      <c r="B383" s="3" t="s">
        <v>1120</v>
      </c>
      <c r="C383" s="13" t="s">
        <v>332</v>
      </c>
      <c r="D383" s="13">
        <v>0</v>
      </c>
      <c r="E383" s="13" t="s">
        <v>332</v>
      </c>
      <c r="F383" s="3" t="s">
        <v>520</v>
      </c>
    </row>
    <row r="384" spans="1:6" x14ac:dyDescent="0.25">
      <c r="A384" s="39">
        <v>43580.423425925925</v>
      </c>
      <c r="B384" s="3" t="s">
        <v>1123</v>
      </c>
      <c r="C384" s="13" t="s">
        <v>332</v>
      </c>
      <c r="D384" s="13">
        <v>0</v>
      </c>
      <c r="E384" s="13" t="s">
        <v>332</v>
      </c>
      <c r="F384" s="3" t="s">
        <v>520</v>
      </c>
    </row>
    <row r="385" spans="1:6" x14ac:dyDescent="0.25">
      <c r="A385" s="39">
        <v>43580.423425925925</v>
      </c>
      <c r="B385" s="3" t="s">
        <v>1126</v>
      </c>
      <c r="C385" s="13" t="s">
        <v>332</v>
      </c>
      <c r="D385" s="13">
        <v>0</v>
      </c>
      <c r="E385" s="13" t="s">
        <v>332</v>
      </c>
      <c r="F385" s="3" t="s">
        <v>520</v>
      </c>
    </row>
    <row r="386" spans="1:6" x14ac:dyDescent="0.25">
      <c r="A386" s="39">
        <v>43580.423425925925</v>
      </c>
      <c r="B386" s="3" t="s">
        <v>1129</v>
      </c>
      <c r="C386" s="13" t="s">
        <v>332</v>
      </c>
      <c r="D386" s="13">
        <v>0</v>
      </c>
      <c r="E386" s="13" t="s">
        <v>332</v>
      </c>
      <c r="F386" s="3" t="s">
        <v>520</v>
      </c>
    </row>
    <row r="387" spans="1:6" x14ac:dyDescent="0.25">
      <c r="A387" s="39">
        <v>43580.423425925925</v>
      </c>
      <c r="B387" s="3" t="s">
        <v>1132</v>
      </c>
      <c r="C387" s="13" t="s">
        <v>332</v>
      </c>
      <c r="D387" s="13">
        <v>0</v>
      </c>
      <c r="E387" s="13" t="s">
        <v>332</v>
      </c>
      <c r="F387" s="3" t="s">
        <v>520</v>
      </c>
    </row>
    <row r="388" spans="1:6" x14ac:dyDescent="0.25">
      <c r="A388" s="39">
        <v>43580.423425925925</v>
      </c>
      <c r="B388" s="3" t="s">
        <v>1135</v>
      </c>
      <c r="C388" s="13" t="s">
        <v>332</v>
      </c>
      <c r="D388" s="13">
        <v>0</v>
      </c>
      <c r="E388" s="13" t="s">
        <v>332</v>
      </c>
      <c r="F388" s="3" t="s">
        <v>520</v>
      </c>
    </row>
    <row r="389" spans="1:6" x14ac:dyDescent="0.25">
      <c r="A389" s="39">
        <v>43580.423425925925</v>
      </c>
      <c r="B389" s="3" t="s">
        <v>1138</v>
      </c>
      <c r="C389" s="13" t="s">
        <v>332</v>
      </c>
      <c r="D389" s="13">
        <v>0</v>
      </c>
      <c r="E389" s="13" t="s">
        <v>332</v>
      </c>
      <c r="F389" s="3" t="s">
        <v>520</v>
      </c>
    </row>
    <row r="390" spans="1:6" x14ac:dyDescent="0.25">
      <c r="A390" s="39">
        <v>43580.423425925925</v>
      </c>
      <c r="B390" s="3" t="s">
        <v>1141</v>
      </c>
      <c r="C390" s="13" t="s">
        <v>332</v>
      </c>
      <c r="D390" s="13">
        <v>0</v>
      </c>
      <c r="E390" s="13" t="s">
        <v>332</v>
      </c>
      <c r="F390" s="3" t="s">
        <v>520</v>
      </c>
    </row>
    <row r="391" spans="1:6" x14ac:dyDescent="0.25">
      <c r="A391" s="39">
        <v>43580.423425925925</v>
      </c>
      <c r="B391" s="3" t="s">
        <v>1144</v>
      </c>
      <c r="C391" s="13" t="s">
        <v>332</v>
      </c>
      <c r="D391" s="13">
        <v>0</v>
      </c>
      <c r="E391" s="13" t="s">
        <v>332</v>
      </c>
      <c r="F391" s="3" t="s">
        <v>520</v>
      </c>
    </row>
    <row r="392" spans="1:6" x14ac:dyDescent="0.25">
      <c r="A392" s="39">
        <v>43580.423425925925</v>
      </c>
      <c r="B392" s="3" t="s">
        <v>1147</v>
      </c>
      <c r="C392" s="13" t="s">
        <v>332</v>
      </c>
      <c r="D392" s="13">
        <v>0</v>
      </c>
      <c r="E392" s="13" t="s">
        <v>332</v>
      </c>
      <c r="F392" s="3" t="s">
        <v>520</v>
      </c>
    </row>
    <row r="393" spans="1:6" x14ac:dyDescent="0.25">
      <c r="A393" s="39">
        <v>43580.423437500001</v>
      </c>
      <c r="B393" s="3" t="s">
        <v>1150</v>
      </c>
      <c r="C393" s="13" t="s">
        <v>332</v>
      </c>
      <c r="D393" s="13">
        <v>0</v>
      </c>
      <c r="E393" s="13" t="s">
        <v>332</v>
      </c>
      <c r="F393" s="3" t="s">
        <v>520</v>
      </c>
    </row>
    <row r="394" spans="1:6" x14ac:dyDescent="0.25">
      <c r="A394" s="39">
        <v>43580.423437500001</v>
      </c>
      <c r="B394" s="3" t="s">
        <v>1153</v>
      </c>
      <c r="C394" s="13" t="s">
        <v>332</v>
      </c>
      <c r="D394" s="13">
        <v>0</v>
      </c>
      <c r="E394" s="13" t="s">
        <v>332</v>
      </c>
      <c r="F394" s="3" t="s">
        <v>520</v>
      </c>
    </row>
    <row r="395" spans="1:6" x14ac:dyDescent="0.25">
      <c r="A395" s="39">
        <v>43580.423437500001</v>
      </c>
      <c r="B395" s="3" t="s">
        <v>1156</v>
      </c>
      <c r="C395" s="13" t="s">
        <v>332</v>
      </c>
      <c r="D395" s="13">
        <v>0</v>
      </c>
      <c r="E395" s="13" t="s">
        <v>332</v>
      </c>
      <c r="F395" s="3" t="s">
        <v>520</v>
      </c>
    </row>
    <row r="396" spans="1:6" x14ac:dyDescent="0.25">
      <c r="A396" s="39">
        <v>43580.423437500001</v>
      </c>
      <c r="B396" s="3" t="s">
        <v>1159</v>
      </c>
      <c r="C396" s="13" t="s">
        <v>332</v>
      </c>
      <c r="D396" s="13">
        <v>0</v>
      </c>
      <c r="E396" s="13" t="s">
        <v>332</v>
      </c>
      <c r="F396" s="3" t="s">
        <v>520</v>
      </c>
    </row>
    <row r="397" spans="1:6" x14ac:dyDescent="0.25">
      <c r="A397" s="39">
        <v>43580.423437500001</v>
      </c>
      <c r="B397" s="3" t="s">
        <v>1162</v>
      </c>
      <c r="C397" s="13" t="s">
        <v>332</v>
      </c>
      <c r="D397" s="13">
        <v>0</v>
      </c>
      <c r="E397" s="13" t="s">
        <v>332</v>
      </c>
      <c r="F397" s="3" t="s">
        <v>520</v>
      </c>
    </row>
    <row r="398" spans="1:6" x14ac:dyDescent="0.25">
      <c r="A398" s="39">
        <v>43580.423437500001</v>
      </c>
      <c r="B398" s="3" t="s">
        <v>1165</v>
      </c>
      <c r="C398" s="13" t="s">
        <v>332</v>
      </c>
      <c r="D398" s="13">
        <v>0</v>
      </c>
      <c r="E398" s="13" t="s">
        <v>332</v>
      </c>
      <c r="F398" s="3" t="s">
        <v>520</v>
      </c>
    </row>
    <row r="399" spans="1:6" x14ac:dyDescent="0.25">
      <c r="A399" s="39">
        <v>43580.423437500001</v>
      </c>
      <c r="B399" s="3" t="s">
        <v>1168</v>
      </c>
      <c r="C399" s="13" t="s">
        <v>332</v>
      </c>
      <c r="D399" s="13">
        <v>0</v>
      </c>
      <c r="E399" s="13" t="s">
        <v>332</v>
      </c>
      <c r="F399" s="3" t="s">
        <v>520</v>
      </c>
    </row>
    <row r="400" spans="1:6" x14ac:dyDescent="0.25">
      <c r="A400" s="39">
        <v>43580.423437500001</v>
      </c>
      <c r="B400" s="3" t="s">
        <v>1171</v>
      </c>
      <c r="C400" s="13" t="s">
        <v>332</v>
      </c>
      <c r="D400" s="13">
        <v>0</v>
      </c>
      <c r="E400" s="13" t="s">
        <v>332</v>
      </c>
      <c r="F400" s="3" t="s">
        <v>520</v>
      </c>
    </row>
    <row r="401" spans="1:6" x14ac:dyDescent="0.25">
      <c r="A401" s="39">
        <v>43580.423437500001</v>
      </c>
      <c r="B401" s="3" t="s">
        <v>1174</v>
      </c>
      <c r="C401" s="13" t="s">
        <v>332</v>
      </c>
      <c r="D401" s="13">
        <v>0</v>
      </c>
      <c r="E401" s="13" t="s">
        <v>332</v>
      </c>
      <c r="F401" s="3" t="s">
        <v>520</v>
      </c>
    </row>
    <row r="402" spans="1:6" x14ac:dyDescent="0.25">
      <c r="A402" s="39">
        <v>43580.423449074071</v>
      </c>
      <c r="B402" s="3" t="s">
        <v>1177</v>
      </c>
      <c r="C402" s="13" t="s">
        <v>332</v>
      </c>
      <c r="D402" s="13">
        <v>0</v>
      </c>
      <c r="E402" s="13" t="s">
        <v>332</v>
      </c>
      <c r="F402" s="3" t="s">
        <v>520</v>
      </c>
    </row>
    <row r="403" spans="1:6" x14ac:dyDescent="0.25">
      <c r="A403" s="39">
        <v>43580.423449074071</v>
      </c>
      <c r="B403" s="3" t="s">
        <v>1180</v>
      </c>
      <c r="C403" s="13" t="s">
        <v>332</v>
      </c>
      <c r="D403" s="13">
        <v>0</v>
      </c>
      <c r="E403" s="13" t="s">
        <v>332</v>
      </c>
      <c r="F403" s="3" t="s">
        <v>520</v>
      </c>
    </row>
    <row r="404" spans="1:6" x14ac:dyDescent="0.25">
      <c r="A404" s="39">
        <v>43580.423449074071</v>
      </c>
      <c r="B404" s="3" t="s">
        <v>1183</v>
      </c>
      <c r="C404" s="13" t="s">
        <v>332</v>
      </c>
      <c r="D404" s="13">
        <v>0</v>
      </c>
      <c r="E404" s="13" t="s">
        <v>332</v>
      </c>
      <c r="F404" s="3" t="s">
        <v>520</v>
      </c>
    </row>
    <row r="405" spans="1:6" x14ac:dyDescent="0.25">
      <c r="A405" s="39">
        <v>43580.423449074071</v>
      </c>
      <c r="B405" s="3" t="s">
        <v>1186</v>
      </c>
      <c r="C405" s="13" t="s">
        <v>332</v>
      </c>
      <c r="D405" s="13">
        <v>0</v>
      </c>
      <c r="E405" s="13" t="s">
        <v>332</v>
      </c>
      <c r="F405" s="3" t="s">
        <v>520</v>
      </c>
    </row>
    <row r="406" spans="1:6" x14ac:dyDescent="0.25">
      <c r="A406" s="39">
        <v>43580.423449074071</v>
      </c>
      <c r="B406" s="3" t="s">
        <v>1189</v>
      </c>
      <c r="C406" s="13" t="s">
        <v>332</v>
      </c>
      <c r="D406" s="13">
        <v>0</v>
      </c>
      <c r="E406" s="13" t="s">
        <v>332</v>
      </c>
      <c r="F406" s="3" t="s">
        <v>520</v>
      </c>
    </row>
    <row r="407" spans="1:6" x14ac:dyDescent="0.25">
      <c r="A407" s="39">
        <v>43580.423449074071</v>
      </c>
      <c r="B407" s="3" t="s">
        <v>1192</v>
      </c>
      <c r="C407" s="13" t="s">
        <v>332</v>
      </c>
      <c r="D407" s="13">
        <v>0</v>
      </c>
      <c r="E407" s="13" t="s">
        <v>332</v>
      </c>
      <c r="F407" s="3" t="s">
        <v>520</v>
      </c>
    </row>
    <row r="408" spans="1:6" x14ac:dyDescent="0.25">
      <c r="A408" s="39">
        <v>43580.423449074071</v>
      </c>
      <c r="B408" s="3" t="s">
        <v>1195</v>
      </c>
      <c r="C408" s="13" t="s">
        <v>332</v>
      </c>
      <c r="D408" s="13">
        <v>0</v>
      </c>
      <c r="E408" s="13" t="s">
        <v>332</v>
      </c>
      <c r="F408" s="3" t="s">
        <v>520</v>
      </c>
    </row>
    <row r="409" spans="1:6" x14ac:dyDescent="0.25">
      <c r="A409" s="39">
        <v>43580.423449074071</v>
      </c>
      <c r="B409" s="3" t="s">
        <v>1198</v>
      </c>
      <c r="C409" s="13" t="s">
        <v>332</v>
      </c>
      <c r="D409" s="13">
        <v>0</v>
      </c>
      <c r="E409" s="13" t="s">
        <v>332</v>
      </c>
      <c r="F409" s="3" t="s">
        <v>520</v>
      </c>
    </row>
    <row r="410" spans="1:6" x14ac:dyDescent="0.25">
      <c r="A410" s="39">
        <v>43580.423449074071</v>
      </c>
      <c r="B410" s="3" t="s">
        <v>1201</v>
      </c>
      <c r="C410" s="13" t="s">
        <v>332</v>
      </c>
      <c r="D410" s="13">
        <v>0</v>
      </c>
      <c r="E410" s="13" t="s">
        <v>332</v>
      </c>
      <c r="F410" s="3" t="s">
        <v>520</v>
      </c>
    </row>
    <row r="411" spans="1:6" x14ac:dyDescent="0.25">
      <c r="A411" s="39">
        <v>43580.423460648148</v>
      </c>
      <c r="B411" s="3" t="s">
        <v>1204</v>
      </c>
      <c r="C411" s="13" t="s">
        <v>332</v>
      </c>
      <c r="D411" s="13">
        <v>0</v>
      </c>
      <c r="E411" s="13" t="s">
        <v>332</v>
      </c>
      <c r="F411" s="3" t="s">
        <v>520</v>
      </c>
    </row>
    <row r="412" spans="1:6" x14ac:dyDescent="0.25">
      <c r="A412" s="39">
        <v>43580.423460648148</v>
      </c>
      <c r="B412" s="3" t="s">
        <v>1207</v>
      </c>
      <c r="C412" s="13" t="s">
        <v>332</v>
      </c>
      <c r="D412" s="13">
        <v>0</v>
      </c>
      <c r="E412" s="13" t="s">
        <v>332</v>
      </c>
      <c r="F412" s="3" t="s">
        <v>520</v>
      </c>
    </row>
    <row r="413" spans="1:6" x14ac:dyDescent="0.25">
      <c r="A413" s="39">
        <v>43580.423460648148</v>
      </c>
      <c r="B413" s="3" t="s">
        <v>1210</v>
      </c>
      <c r="C413" s="13" t="s">
        <v>332</v>
      </c>
      <c r="D413" s="13">
        <v>0</v>
      </c>
      <c r="E413" s="13" t="s">
        <v>332</v>
      </c>
      <c r="F413" s="3" t="s">
        <v>520</v>
      </c>
    </row>
    <row r="414" spans="1:6" x14ac:dyDescent="0.25">
      <c r="A414" s="39">
        <v>43580.423460648148</v>
      </c>
      <c r="B414" s="3" t="s">
        <v>1213</v>
      </c>
      <c r="C414" s="13" t="s">
        <v>332</v>
      </c>
      <c r="D414" s="13">
        <v>0</v>
      </c>
      <c r="E414" s="13" t="s">
        <v>332</v>
      </c>
      <c r="F414" s="3" t="s">
        <v>520</v>
      </c>
    </row>
    <row r="415" spans="1:6" x14ac:dyDescent="0.25">
      <c r="A415" s="39">
        <v>43580.423460648148</v>
      </c>
      <c r="B415" s="3" t="s">
        <v>1216</v>
      </c>
      <c r="C415" s="13" t="s">
        <v>332</v>
      </c>
      <c r="D415" s="13">
        <v>0</v>
      </c>
      <c r="E415" s="13" t="s">
        <v>332</v>
      </c>
      <c r="F415" s="3" t="s">
        <v>520</v>
      </c>
    </row>
    <row r="416" spans="1:6" x14ac:dyDescent="0.25">
      <c r="A416" s="39">
        <v>43580.423460648148</v>
      </c>
      <c r="B416" s="3" t="s">
        <v>1219</v>
      </c>
      <c r="C416" s="13" t="s">
        <v>332</v>
      </c>
      <c r="D416" s="13">
        <v>0</v>
      </c>
      <c r="E416" s="13" t="s">
        <v>332</v>
      </c>
      <c r="F416" s="3" t="s">
        <v>520</v>
      </c>
    </row>
    <row r="417" spans="1:6" x14ac:dyDescent="0.25">
      <c r="A417" s="39">
        <v>43580.423460648148</v>
      </c>
      <c r="B417" s="3" t="s">
        <v>1222</v>
      </c>
      <c r="C417" s="13" t="s">
        <v>332</v>
      </c>
      <c r="D417" s="13">
        <v>0</v>
      </c>
      <c r="E417" s="13" t="s">
        <v>332</v>
      </c>
      <c r="F417" s="3" t="s">
        <v>520</v>
      </c>
    </row>
    <row r="418" spans="1:6" x14ac:dyDescent="0.25">
      <c r="A418" s="39">
        <v>43580.423460648148</v>
      </c>
      <c r="B418" s="3" t="s">
        <v>1225</v>
      </c>
      <c r="C418" s="13" t="s">
        <v>332</v>
      </c>
      <c r="D418" s="13">
        <v>0</v>
      </c>
      <c r="E418" s="13" t="s">
        <v>332</v>
      </c>
      <c r="F418" s="3" t="s">
        <v>520</v>
      </c>
    </row>
    <row r="419" spans="1:6" x14ac:dyDescent="0.25">
      <c r="A419" s="39">
        <v>43580.423472222225</v>
      </c>
      <c r="B419" s="3" t="s">
        <v>1228</v>
      </c>
      <c r="C419" s="13" t="s">
        <v>332</v>
      </c>
      <c r="D419" s="13">
        <v>0</v>
      </c>
      <c r="E419" s="13" t="s">
        <v>332</v>
      </c>
      <c r="F419" s="3" t="s">
        <v>520</v>
      </c>
    </row>
    <row r="420" spans="1:6" x14ac:dyDescent="0.25">
      <c r="A420" s="39">
        <v>43580.423472222225</v>
      </c>
      <c r="B420" s="3" t="s">
        <v>1231</v>
      </c>
      <c r="C420" s="13" t="s">
        <v>332</v>
      </c>
      <c r="D420" s="13">
        <v>0</v>
      </c>
      <c r="E420" s="13" t="s">
        <v>332</v>
      </c>
      <c r="F420" s="3" t="s">
        <v>520</v>
      </c>
    </row>
    <row r="421" spans="1:6" x14ac:dyDescent="0.25">
      <c r="A421" s="39">
        <v>43580.423472222225</v>
      </c>
      <c r="B421" s="3" t="s">
        <v>1234</v>
      </c>
      <c r="C421" s="13" t="s">
        <v>332</v>
      </c>
      <c r="D421" s="13">
        <v>0</v>
      </c>
      <c r="E421" s="13" t="s">
        <v>332</v>
      </c>
      <c r="F421" s="3" t="s">
        <v>520</v>
      </c>
    </row>
    <row r="422" spans="1:6" x14ac:dyDescent="0.25">
      <c r="A422" s="39">
        <v>43580.423472222225</v>
      </c>
      <c r="B422" s="3" t="s">
        <v>1237</v>
      </c>
      <c r="C422" s="13" t="s">
        <v>332</v>
      </c>
      <c r="D422" s="13">
        <v>0</v>
      </c>
      <c r="E422" s="13" t="s">
        <v>332</v>
      </c>
      <c r="F422" s="3" t="s">
        <v>520</v>
      </c>
    </row>
    <row r="423" spans="1:6" x14ac:dyDescent="0.25">
      <c r="A423" s="39">
        <v>43580.423472222225</v>
      </c>
      <c r="B423" s="3" t="s">
        <v>1240</v>
      </c>
      <c r="C423" s="13" t="s">
        <v>332</v>
      </c>
      <c r="D423" s="13">
        <v>0</v>
      </c>
      <c r="E423" s="13" t="s">
        <v>332</v>
      </c>
      <c r="F423" s="3" t="s">
        <v>520</v>
      </c>
    </row>
    <row r="424" spans="1:6" x14ac:dyDescent="0.25">
      <c r="A424" s="39">
        <v>43580.423472222225</v>
      </c>
      <c r="B424" s="3" t="s">
        <v>1243</v>
      </c>
      <c r="C424" s="13" t="s">
        <v>332</v>
      </c>
      <c r="D424" s="13">
        <v>0</v>
      </c>
      <c r="E424" s="13" t="s">
        <v>332</v>
      </c>
      <c r="F424" s="3" t="s">
        <v>520</v>
      </c>
    </row>
    <row r="425" spans="1:6" x14ac:dyDescent="0.25">
      <c r="A425" s="39">
        <v>43580.423472222225</v>
      </c>
      <c r="B425" s="3" t="s">
        <v>1246</v>
      </c>
      <c r="C425" s="13" t="s">
        <v>332</v>
      </c>
      <c r="D425" s="13">
        <v>0</v>
      </c>
      <c r="E425" s="13" t="s">
        <v>332</v>
      </c>
      <c r="F425" s="3" t="s">
        <v>520</v>
      </c>
    </row>
    <row r="426" spans="1:6" x14ac:dyDescent="0.25">
      <c r="A426" s="39">
        <v>43580.423472222225</v>
      </c>
      <c r="B426" s="3" t="s">
        <v>1249</v>
      </c>
      <c r="C426" s="13" t="s">
        <v>332</v>
      </c>
      <c r="D426" s="13">
        <v>0</v>
      </c>
      <c r="E426" s="13" t="s">
        <v>332</v>
      </c>
      <c r="F426" s="3" t="s">
        <v>520</v>
      </c>
    </row>
    <row r="427" spans="1:6" x14ac:dyDescent="0.25">
      <c r="A427" s="39">
        <v>43580.423472222225</v>
      </c>
      <c r="B427" s="3" t="s">
        <v>1252</v>
      </c>
      <c r="C427" s="13" t="s">
        <v>332</v>
      </c>
      <c r="D427" s="13">
        <v>0</v>
      </c>
      <c r="E427" s="13" t="s">
        <v>332</v>
      </c>
      <c r="F427" s="3" t="s">
        <v>520</v>
      </c>
    </row>
    <row r="428" spans="1:6" x14ac:dyDescent="0.25">
      <c r="A428" s="39">
        <v>43580.423483796294</v>
      </c>
      <c r="B428" s="3" t="s">
        <v>1255</v>
      </c>
      <c r="C428" s="13" t="s">
        <v>332</v>
      </c>
      <c r="D428" s="13">
        <v>0</v>
      </c>
      <c r="E428" s="13" t="s">
        <v>332</v>
      </c>
      <c r="F428" s="3" t="s">
        <v>520</v>
      </c>
    </row>
    <row r="429" spans="1:6" x14ac:dyDescent="0.25">
      <c r="A429" s="39">
        <v>43580.423483796294</v>
      </c>
      <c r="B429" s="3" t="s">
        <v>1258</v>
      </c>
      <c r="C429" s="13" t="s">
        <v>332</v>
      </c>
      <c r="D429" s="13">
        <v>0</v>
      </c>
      <c r="E429" s="13" t="s">
        <v>332</v>
      </c>
      <c r="F429" s="3" t="s">
        <v>520</v>
      </c>
    </row>
    <row r="430" spans="1:6" x14ac:dyDescent="0.25">
      <c r="A430" s="39">
        <v>43580.423483796294</v>
      </c>
      <c r="B430" s="3" t="s">
        <v>1261</v>
      </c>
      <c r="C430" s="13" t="s">
        <v>332</v>
      </c>
      <c r="D430" s="13">
        <v>0</v>
      </c>
      <c r="E430" s="13" t="s">
        <v>332</v>
      </c>
      <c r="F430" s="3" t="s">
        <v>520</v>
      </c>
    </row>
    <row r="431" spans="1:6" x14ac:dyDescent="0.25">
      <c r="A431" s="39">
        <v>43580.423483796294</v>
      </c>
      <c r="B431" s="3" t="s">
        <v>1264</v>
      </c>
      <c r="C431" s="13" t="s">
        <v>332</v>
      </c>
      <c r="D431" s="13">
        <v>0</v>
      </c>
      <c r="E431" s="13" t="s">
        <v>332</v>
      </c>
      <c r="F431" s="3" t="s">
        <v>520</v>
      </c>
    </row>
    <row r="432" spans="1:6" x14ac:dyDescent="0.25">
      <c r="A432" s="39">
        <v>43580.423483796294</v>
      </c>
      <c r="B432" s="3" t="s">
        <v>1266</v>
      </c>
      <c r="C432" s="13" t="s">
        <v>332</v>
      </c>
      <c r="D432" s="13">
        <v>0</v>
      </c>
      <c r="E432" s="13" t="s">
        <v>332</v>
      </c>
      <c r="F432" s="3" t="s">
        <v>520</v>
      </c>
    </row>
    <row r="433" spans="1:6" x14ac:dyDescent="0.25">
      <c r="A433" s="39">
        <v>43580.423483796294</v>
      </c>
      <c r="B433" s="3" t="s">
        <v>1269</v>
      </c>
      <c r="C433" s="13" t="s">
        <v>332</v>
      </c>
      <c r="D433" s="13">
        <v>0</v>
      </c>
      <c r="E433" s="13" t="s">
        <v>332</v>
      </c>
      <c r="F433" s="3" t="s">
        <v>520</v>
      </c>
    </row>
    <row r="434" spans="1:6" x14ac:dyDescent="0.25">
      <c r="A434" s="39">
        <v>43580.423483796294</v>
      </c>
      <c r="B434" s="3" t="s">
        <v>1272</v>
      </c>
      <c r="C434" s="13" t="s">
        <v>332</v>
      </c>
      <c r="D434" s="13">
        <v>0</v>
      </c>
      <c r="E434" s="13" t="s">
        <v>332</v>
      </c>
      <c r="F434" s="3" t="s">
        <v>520</v>
      </c>
    </row>
    <row r="435" spans="1:6" x14ac:dyDescent="0.25">
      <c r="A435" s="39">
        <v>43580.423483796294</v>
      </c>
      <c r="B435" s="3" t="s">
        <v>1275</v>
      </c>
      <c r="C435" s="13" t="s">
        <v>332</v>
      </c>
      <c r="D435" s="13">
        <v>0</v>
      </c>
      <c r="E435" s="13" t="s">
        <v>332</v>
      </c>
      <c r="F435" s="3" t="s">
        <v>520</v>
      </c>
    </row>
    <row r="436" spans="1:6" x14ac:dyDescent="0.25">
      <c r="A436" s="39">
        <v>43580.423495370371</v>
      </c>
      <c r="B436" s="3" t="s">
        <v>1278</v>
      </c>
      <c r="C436" s="13" t="s">
        <v>332</v>
      </c>
      <c r="D436" s="13">
        <v>0</v>
      </c>
      <c r="E436" s="13" t="s">
        <v>332</v>
      </c>
      <c r="F436" s="3" t="s">
        <v>520</v>
      </c>
    </row>
    <row r="437" spans="1:6" x14ac:dyDescent="0.25">
      <c r="A437" s="39">
        <v>43580.423495370371</v>
      </c>
      <c r="B437" s="3" t="s">
        <v>1281</v>
      </c>
      <c r="C437" s="13" t="s">
        <v>332</v>
      </c>
      <c r="D437" s="13">
        <v>0</v>
      </c>
      <c r="E437" s="13" t="s">
        <v>332</v>
      </c>
      <c r="F437" s="3" t="s">
        <v>520</v>
      </c>
    </row>
    <row r="438" spans="1:6" x14ac:dyDescent="0.25">
      <c r="A438" s="39">
        <v>43580.423495370371</v>
      </c>
      <c r="B438" s="3" t="s">
        <v>1283</v>
      </c>
      <c r="C438" s="13" t="s">
        <v>332</v>
      </c>
      <c r="D438" s="13">
        <v>0</v>
      </c>
      <c r="E438" s="13" t="s">
        <v>332</v>
      </c>
      <c r="F438" s="3" t="s">
        <v>520</v>
      </c>
    </row>
    <row r="439" spans="1:6" x14ac:dyDescent="0.25">
      <c r="A439" s="39">
        <v>43580.423495370371</v>
      </c>
      <c r="B439" s="3" t="s">
        <v>1286</v>
      </c>
      <c r="C439" s="13" t="s">
        <v>332</v>
      </c>
      <c r="D439" s="13">
        <v>0</v>
      </c>
      <c r="E439" s="13" t="s">
        <v>332</v>
      </c>
      <c r="F439" s="3" t="s">
        <v>520</v>
      </c>
    </row>
    <row r="440" spans="1:6" x14ac:dyDescent="0.25">
      <c r="A440" s="39">
        <v>43580.423495370371</v>
      </c>
      <c r="B440" s="3" t="s">
        <v>1289</v>
      </c>
      <c r="C440" s="13" t="s">
        <v>332</v>
      </c>
      <c r="D440" s="13">
        <v>0</v>
      </c>
      <c r="E440" s="13" t="s">
        <v>332</v>
      </c>
      <c r="F440" s="3" t="s">
        <v>520</v>
      </c>
    </row>
    <row r="441" spans="1:6" x14ac:dyDescent="0.25">
      <c r="A441" s="39">
        <v>43580.423495370371</v>
      </c>
      <c r="B441" s="3" t="s">
        <v>1292</v>
      </c>
      <c r="C441" s="13" t="s">
        <v>332</v>
      </c>
      <c r="D441" s="13">
        <v>0</v>
      </c>
      <c r="E441" s="13" t="s">
        <v>332</v>
      </c>
      <c r="F441" s="3" t="s">
        <v>520</v>
      </c>
    </row>
    <row r="442" spans="1:6" x14ac:dyDescent="0.25">
      <c r="A442" s="39">
        <v>43580.423495370371</v>
      </c>
      <c r="B442" s="3" t="s">
        <v>1295</v>
      </c>
      <c r="C442" s="13" t="s">
        <v>332</v>
      </c>
      <c r="D442" s="13">
        <v>0</v>
      </c>
      <c r="E442" s="13" t="s">
        <v>332</v>
      </c>
      <c r="F442" s="3" t="s">
        <v>520</v>
      </c>
    </row>
    <row r="443" spans="1:6" x14ac:dyDescent="0.25">
      <c r="A443" s="39">
        <v>43580.423495370371</v>
      </c>
      <c r="B443" s="3" t="s">
        <v>1298</v>
      </c>
      <c r="C443" s="13" t="s">
        <v>332</v>
      </c>
      <c r="D443" s="13">
        <v>0</v>
      </c>
      <c r="E443" s="13" t="s">
        <v>332</v>
      </c>
      <c r="F443" s="3" t="s">
        <v>520</v>
      </c>
    </row>
    <row r="444" spans="1:6" x14ac:dyDescent="0.25">
      <c r="A444" s="39">
        <v>43580.423495370371</v>
      </c>
      <c r="B444" s="3" t="s">
        <v>1301</v>
      </c>
      <c r="C444" s="13" t="s">
        <v>332</v>
      </c>
      <c r="D444" s="13">
        <v>0</v>
      </c>
      <c r="E444" s="13" t="s">
        <v>332</v>
      </c>
      <c r="F444" s="3" t="s">
        <v>520</v>
      </c>
    </row>
    <row r="445" spans="1:6" x14ac:dyDescent="0.25">
      <c r="A445" s="39">
        <v>43580.423506944448</v>
      </c>
      <c r="B445" s="3" t="s">
        <v>1304</v>
      </c>
      <c r="C445" s="13" t="s">
        <v>332</v>
      </c>
      <c r="D445" s="13">
        <v>0</v>
      </c>
      <c r="E445" s="13" t="s">
        <v>332</v>
      </c>
      <c r="F445" s="3" t="s">
        <v>520</v>
      </c>
    </row>
    <row r="446" spans="1:6" x14ac:dyDescent="0.25">
      <c r="A446" s="39">
        <v>43580.423506944448</v>
      </c>
      <c r="B446" s="3" t="s">
        <v>1307</v>
      </c>
      <c r="C446" s="13" t="s">
        <v>332</v>
      </c>
      <c r="D446" s="13">
        <v>0</v>
      </c>
      <c r="E446" s="13" t="s">
        <v>332</v>
      </c>
      <c r="F446" s="3" t="s">
        <v>520</v>
      </c>
    </row>
    <row r="447" spans="1:6" x14ac:dyDescent="0.25">
      <c r="A447" s="39">
        <v>43580.423506944448</v>
      </c>
      <c r="B447" s="3" t="s">
        <v>1310</v>
      </c>
      <c r="C447" s="13" t="s">
        <v>332</v>
      </c>
      <c r="D447" s="13">
        <v>0</v>
      </c>
      <c r="E447" s="13" t="s">
        <v>332</v>
      </c>
      <c r="F447" s="3" t="s">
        <v>520</v>
      </c>
    </row>
    <row r="448" spans="1:6" x14ac:dyDescent="0.25">
      <c r="A448" s="39">
        <v>43580.423506944448</v>
      </c>
      <c r="B448" s="3" t="s">
        <v>1313</v>
      </c>
      <c r="C448" s="13" t="s">
        <v>332</v>
      </c>
      <c r="D448" s="13">
        <v>0</v>
      </c>
      <c r="E448" s="13" t="s">
        <v>332</v>
      </c>
      <c r="F448" s="3" t="s">
        <v>520</v>
      </c>
    </row>
    <row r="449" spans="1:6" x14ac:dyDescent="0.25">
      <c r="A449" s="39">
        <v>43580.423506944448</v>
      </c>
      <c r="B449" s="3" t="s">
        <v>1316</v>
      </c>
      <c r="C449" s="13" t="s">
        <v>332</v>
      </c>
      <c r="D449" s="13">
        <v>0</v>
      </c>
      <c r="E449" s="13" t="s">
        <v>332</v>
      </c>
      <c r="F449" s="3" t="s">
        <v>520</v>
      </c>
    </row>
    <row r="450" spans="1:6" x14ac:dyDescent="0.25">
      <c r="A450" s="39">
        <v>43580.423506944448</v>
      </c>
      <c r="B450" s="3" t="s">
        <v>1319</v>
      </c>
      <c r="C450" s="13" t="s">
        <v>332</v>
      </c>
      <c r="D450" s="13">
        <v>0</v>
      </c>
      <c r="E450" s="13" t="s">
        <v>332</v>
      </c>
      <c r="F450" s="3" t="s">
        <v>520</v>
      </c>
    </row>
    <row r="451" spans="1:6" x14ac:dyDescent="0.25">
      <c r="A451" s="39">
        <v>43580.423506944448</v>
      </c>
      <c r="B451" s="3" t="s">
        <v>1322</v>
      </c>
      <c r="C451" s="13" t="s">
        <v>332</v>
      </c>
      <c r="D451" s="13">
        <v>0</v>
      </c>
      <c r="E451" s="13" t="s">
        <v>332</v>
      </c>
      <c r="F451" s="3" t="s">
        <v>520</v>
      </c>
    </row>
    <row r="452" spans="1:6" x14ac:dyDescent="0.25">
      <c r="A452" s="39">
        <v>43580.423506944448</v>
      </c>
      <c r="B452" s="3" t="s">
        <v>1325</v>
      </c>
      <c r="C452" s="13" t="s">
        <v>332</v>
      </c>
      <c r="D452" s="13">
        <v>0</v>
      </c>
      <c r="E452" s="13" t="s">
        <v>332</v>
      </c>
      <c r="F452" s="3" t="s">
        <v>520</v>
      </c>
    </row>
    <row r="453" spans="1:6" x14ac:dyDescent="0.25">
      <c r="A453" s="39">
        <v>43580.423518518517</v>
      </c>
      <c r="B453" s="3" t="s">
        <v>1328</v>
      </c>
      <c r="C453" s="13" t="s">
        <v>332</v>
      </c>
      <c r="D453" s="13">
        <v>0</v>
      </c>
      <c r="E453" s="13" t="s">
        <v>332</v>
      </c>
      <c r="F453" s="3" t="s">
        <v>520</v>
      </c>
    </row>
    <row r="454" spans="1:6" x14ac:dyDescent="0.25">
      <c r="A454" s="39">
        <v>43580.423518518517</v>
      </c>
      <c r="B454" s="3" t="s">
        <v>1331</v>
      </c>
      <c r="C454" s="13" t="s">
        <v>332</v>
      </c>
      <c r="D454" s="13">
        <v>0</v>
      </c>
      <c r="E454" s="13" t="s">
        <v>332</v>
      </c>
      <c r="F454" s="3" t="s">
        <v>520</v>
      </c>
    </row>
    <row r="455" spans="1:6" x14ac:dyDescent="0.25">
      <c r="A455" s="39">
        <v>43580.423518518517</v>
      </c>
      <c r="B455" s="3" t="s">
        <v>1334</v>
      </c>
      <c r="C455" s="13" t="s">
        <v>332</v>
      </c>
      <c r="D455" s="13">
        <v>0</v>
      </c>
      <c r="E455" s="13" t="s">
        <v>332</v>
      </c>
      <c r="F455" s="3" t="s">
        <v>520</v>
      </c>
    </row>
    <row r="456" spans="1:6" x14ac:dyDescent="0.25">
      <c r="A456" s="39">
        <v>43580.423518518517</v>
      </c>
      <c r="B456" s="3" t="s">
        <v>1337</v>
      </c>
      <c r="C456" s="13" t="s">
        <v>332</v>
      </c>
      <c r="D456" s="13">
        <v>0</v>
      </c>
      <c r="E456" s="13" t="s">
        <v>332</v>
      </c>
      <c r="F456" s="3" t="s">
        <v>520</v>
      </c>
    </row>
    <row r="457" spans="1:6" x14ac:dyDescent="0.25">
      <c r="A457" s="39">
        <v>43580.423518518517</v>
      </c>
      <c r="B457" s="3" t="s">
        <v>1340</v>
      </c>
      <c r="C457" s="13" t="s">
        <v>332</v>
      </c>
      <c r="D457" s="13">
        <v>0</v>
      </c>
      <c r="E457" s="13" t="s">
        <v>332</v>
      </c>
      <c r="F457" s="3" t="s">
        <v>520</v>
      </c>
    </row>
    <row r="458" spans="1:6" x14ac:dyDescent="0.25">
      <c r="A458" s="39">
        <v>43580.423518518517</v>
      </c>
      <c r="B458" s="3" t="s">
        <v>1343</v>
      </c>
      <c r="C458" s="13" t="s">
        <v>332</v>
      </c>
      <c r="D458" s="13">
        <v>0</v>
      </c>
      <c r="E458" s="13" t="s">
        <v>332</v>
      </c>
      <c r="F458" s="3" t="s">
        <v>520</v>
      </c>
    </row>
    <row r="459" spans="1:6" x14ac:dyDescent="0.25">
      <c r="A459" s="39">
        <v>43580.423518518517</v>
      </c>
      <c r="B459" s="3" t="s">
        <v>1346</v>
      </c>
      <c r="C459" s="13" t="s">
        <v>332</v>
      </c>
      <c r="D459" s="13">
        <v>0</v>
      </c>
      <c r="E459" s="13" t="s">
        <v>332</v>
      </c>
      <c r="F459" s="3" t="s">
        <v>520</v>
      </c>
    </row>
    <row r="460" spans="1:6" x14ac:dyDescent="0.25">
      <c r="A460" s="39">
        <v>43580.423518518517</v>
      </c>
      <c r="B460" s="3" t="s">
        <v>1349</v>
      </c>
      <c r="C460" s="13" t="s">
        <v>332</v>
      </c>
      <c r="D460" s="13">
        <v>0</v>
      </c>
      <c r="E460" s="13" t="s">
        <v>332</v>
      </c>
      <c r="F460" s="3" t="s">
        <v>520</v>
      </c>
    </row>
    <row r="461" spans="1:6" x14ac:dyDescent="0.25">
      <c r="A461" s="39">
        <v>43580.423518518517</v>
      </c>
      <c r="B461" s="3" t="s">
        <v>1352</v>
      </c>
      <c r="C461" s="13" t="s">
        <v>332</v>
      </c>
      <c r="D461" s="13">
        <v>0</v>
      </c>
      <c r="E461" s="13" t="s">
        <v>332</v>
      </c>
      <c r="F461" s="3" t="s">
        <v>520</v>
      </c>
    </row>
    <row r="462" spans="1:6" x14ac:dyDescent="0.25">
      <c r="A462" s="39">
        <v>43580.423530092594</v>
      </c>
      <c r="B462" s="3" t="s">
        <v>1355</v>
      </c>
      <c r="C462" s="13" t="s">
        <v>332</v>
      </c>
      <c r="D462" s="13">
        <v>0</v>
      </c>
      <c r="E462" s="13" t="s">
        <v>332</v>
      </c>
      <c r="F462" s="3" t="s">
        <v>520</v>
      </c>
    </row>
    <row r="463" spans="1:6" x14ac:dyDescent="0.25">
      <c r="A463" s="39">
        <v>43580.423530092594</v>
      </c>
      <c r="B463" s="3" t="s">
        <v>1358</v>
      </c>
      <c r="C463" s="13" t="s">
        <v>332</v>
      </c>
      <c r="D463" s="13">
        <v>0</v>
      </c>
      <c r="E463" s="13" t="s">
        <v>332</v>
      </c>
      <c r="F463" s="3" t="s">
        <v>520</v>
      </c>
    </row>
    <row r="464" spans="1:6" x14ac:dyDescent="0.25">
      <c r="A464" s="39">
        <v>43580.423530092594</v>
      </c>
      <c r="B464" s="3" t="s">
        <v>1361</v>
      </c>
      <c r="C464" s="13" t="s">
        <v>332</v>
      </c>
      <c r="D464" s="13">
        <v>0</v>
      </c>
      <c r="E464" s="13" t="s">
        <v>332</v>
      </c>
      <c r="F464" s="3" t="s">
        <v>520</v>
      </c>
    </row>
    <row r="465" spans="1:6" x14ac:dyDescent="0.25">
      <c r="A465" s="39">
        <v>43580.423530092594</v>
      </c>
      <c r="B465" s="3" t="s">
        <v>1364</v>
      </c>
      <c r="C465" s="13" t="s">
        <v>332</v>
      </c>
      <c r="D465" s="13">
        <v>0</v>
      </c>
      <c r="E465" s="13" t="s">
        <v>332</v>
      </c>
      <c r="F465" s="3" t="s">
        <v>520</v>
      </c>
    </row>
    <row r="466" spans="1:6" x14ac:dyDescent="0.25">
      <c r="A466" s="39">
        <v>43580.423530092594</v>
      </c>
      <c r="B466" s="3" t="s">
        <v>1367</v>
      </c>
      <c r="C466" s="13" t="s">
        <v>332</v>
      </c>
      <c r="D466" s="13">
        <v>0</v>
      </c>
      <c r="E466" s="13" t="s">
        <v>332</v>
      </c>
      <c r="F466" s="3" t="s">
        <v>520</v>
      </c>
    </row>
    <row r="467" spans="1:6" x14ac:dyDescent="0.25">
      <c r="A467" s="39">
        <v>43580.423530092594</v>
      </c>
      <c r="B467" s="3" t="s">
        <v>1370</v>
      </c>
      <c r="C467" s="13" t="s">
        <v>332</v>
      </c>
      <c r="D467" s="13">
        <v>0</v>
      </c>
      <c r="E467" s="13" t="s">
        <v>332</v>
      </c>
      <c r="F467" s="3" t="s">
        <v>520</v>
      </c>
    </row>
    <row r="468" spans="1:6" x14ac:dyDescent="0.25">
      <c r="A468" s="39">
        <v>43580.423530092594</v>
      </c>
      <c r="B468" s="3" t="s">
        <v>1372</v>
      </c>
      <c r="C468" s="13" t="s">
        <v>332</v>
      </c>
      <c r="D468" s="13">
        <v>0</v>
      </c>
      <c r="E468" s="13" t="s">
        <v>332</v>
      </c>
      <c r="F468" s="3" t="s">
        <v>520</v>
      </c>
    </row>
    <row r="469" spans="1:6" x14ac:dyDescent="0.25">
      <c r="A469" s="39">
        <v>43580.423530092594</v>
      </c>
      <c r="B469" s="3" t="s">
        <v>1375</v>
      </c>
      <c r="C469" s="13" t="s">
        <v>332</v>
      </c>
      <c r="D469" s="13">
        <v>0</v>
      </c>
      <c r="E469" s="13" t="s">
        <v>332</v>
      </c>
      <c r="F469" s="3" t="s">
        <v>520</v>
      </c>
    </row>
    <row r="470" spans="1:6" x14ac:dyDescent="0.25">
      <c r="A470" s="39">
        <v>43580.423541666663</v>
      </c>
      <c r="B470" s="3" t="s">
        <v>1378</v>
      </c>
      <c r="C470" s="13" t="s">
        <v>332</v>
      </c>
      <c r="D470" s="13">
        <v>0</v>
      </c>
      <c r="E470" s="13" t="s">
        <v>332</v>
      </c>
      <c r="F470" s="3" t="s">
        <v>520</v>
      </c>
    </row>
    <row r="471" spans="1:6" x14ac:dyDescent="0.25">
      <c r="A471" s="39">
        <v>43580.423541666663</v>
      </c>
      <c r="B471" s="3" t="s">
        <v>1381</v>
      </c>
      <c r="C471" s="13" t="s">
        <v>332</v>
      </c>
      <c r="D471" s="13">
        <v>0</v>
      </c>
      <c r="E471" s="13" t="s">
        <v>332</v>
      </c>
      <c r="F471" s="3" t="s">
        <v>520</v>
      </c>
    </row>
    <row r="472" spans="1:6" x14ac:dyDescent="0.25">
      <c r="A472" s="39">
        <v>43580.423541666663</v>
      </c>
      <c r="B472" s="3" t="s">
        <v>1384</v>
      </c>
      <c r="C472" s="13" t="s">
        <v>332</v>
      </c>
      <c r="D472" s="13">
        <v>0</v>
      </c>
      <c r="E472" s="13" t="s">
        <v>332</v>
      </c>
      <c r="F472" s="3" t="s">
        <v>520</v>
      </c>
    </row>
    <row r="473" spans="1:6" x14ac:dyDescent="0.25">
      <c r="A473" s="39">
        <v>43580.423541666663</v>
      </c>
      <c r="B473" s="3" t="s">
        <v>1387</v>
      </c>
      <c r="C473" s="13" t="s">
        <v>332</v>
      </c>
      <c r="D473" s="13">
        <v>0</v>
      </c>
      <c r="E473" s="13" t="s">
        <v>332</v>
      </c>
      <c r="F473" s="3" t="s">
        <v>520</v>
      </c>
    </row>
    <row r="474" spans="1:6" x14ac:dyDescent="0.25">
      <c r="A474" s="39">
        <v>43580.423541666663</v>
      </c>
      <c r="B474" s="3" t="s">
        <v>1390</v>
      </c>
      <c r="C474" s="13" t="s">
        <v>332</v>
      </c>
      <c r="D474" s="13">
        <v>0</v>
      </c>
      <c r="E474" s="13" t="s">
        <v>332</v>
      </c>
      <c r="F474" s="3" t="s">
        <v>520</v>
      </c>
    </row>
    <row r="475" spans="1:6" x14ac:dyDescent="0.25">
      <c r="A475" s="39">
        <v>43580.423541666663</v>
      </c>
      <c r="B475" s="3" t="s">
        <v>1393</v>
      </c>
      <c r="C475" s="13" t="s">
        <v>332</v>
      </c>
      <c r="D475" s="13">
        <v>0</v>
      </c>
      <c r="E475" s="13" t="s">
        <v>332</v>
      </c>
      <c r="F475" s="3" t="s">
        <v>520</v>
      </c>
    </row>
    <row r="476" spans="1:6" x14ac:dyDescent="0.25">
      <c r="A476" s="39">
        <v>43580.423541666663</v>
      </c>
      <c r="B476" s="3" t="s">
        <v>1396</v>
      </c>
      <c r="C476" s="13" t="s">
        <v>332</v>
      </c>
      <c r="D476" s="13">
        <v>0</v>
      </c>
      <c r="E476" s="13" t="s">
        <v>332</v>
      </c>
      <c r="F476" s="3" t="s">
        <v>520</v>
      </c>
    </row>
    <row r="477" spans="1:6" x14ac:dyDescent="0.25">
      <c r="A477" s="39">
        <v>43580.423541666663</v>
      </c>
      <c r="B477" s="3" t="s">
        <v>1399</v>
      </c>
      <c r="C477" s="13" t="s">
        <v>332</v>
      </c>
      <c r="D477" s="13">
        <v>0</v>
      </c>
      <c r="E477" s="13" t="s">
        <v>332</v>
      </c>
      <c r="F477" s="3" t="s">
        <v>520</v>
      </c>
    </row>
    <row r="478" spans="1:6" x14ac:dyDescent="0.25">
      <c r="A478" s="39">
        <v>43580.423541666663</v>
      </c>
      <c r="B478" s="3" t="s">
        <v>1402</v>
      </c>
      <c r="C478" s="13" t="s">
        <v>332</v>
      </c>
      <c r="D478" s="13">
        <v>0</v>
      </c>
      <c r="E478" s="13" t="s">
        <v>332</v>
      </c>
      <c r="F478" s="3" t="s">
        <v>520</v>
      </c>
    </row>
    <row r="479" spans="1:6" x14ac:dyDescent="0.25">
      <c r="A479" s="39">
        <v>43580.42355324074</v>
      </c>
      <c r="B479" s="3" t="s">
        <v>1405</v>
      </c>
      <c r="C479" s="13" t="s">
        <v>332</v>
      </c>
      <c r="D479" s="13">
        <v>0</v>
      </c>
      <c r="E479" s="13" t="s">
        <v>332</v>
      </c>
      <c r="F479" s="3" t="s">
        <v>520</v>
      </c>
    </row>
    <row r="480" spans="1:6" x14ac:dyDescent="0.25">
      <c r="A480" s="39">
        <v>43580.42355324074</v>
      </c>
      <c r="B480" s="3" t="s">
        <v>1408</v>
      </c>
      <c r="C480" s="13" t="s">
        <v>332</v>
      </c>
      <c r="D480" s="13">
        <v>0</v>
      </c>
      <c r="E480" s="13" t="s">
        <v>332</v>
      </c>
      <c r="F480" s="3" t="s">
        <v>520</v>
      </c>
    </row>
    <row r="481" spans="1:6" x14ac:dyDescent="0.25">
      <c r="A481" s="39">
        <v>43580.42355324074</v>
      </c>
      <c r="B481" s="3" t="s">
        <v>1411</v>
      </c>
      <c r="C481" s="13" t="s">
        <v>332</v>
      </c>
      <c r="D481" s="13">
        <v>0</v>
      </c>
      <c r="E481" s="13" t="s">
        <v>332</v>
      </c>
      <c r="F481" s="3" t="s">
        <v>520</v>
      </c>
    </row>
    <row r="482" spans="1:6" x14ac:dyDescent="0.25">
      <c r="A482" s="39">
        <v>43580.42355324074</v>
      </c>
      <c r="B482" s="3" t="s">
        <v>1414</v>
      </c>
      <c r="C482" s="13" t="s">
        <v>332</v>
      </c>
      <c r="D482" s="13">
        <v>0</v>
      </c>
      <c r="E482" s="13" t="s">
        <v>332</v>
      </c>
      <c r="F482" s="3" t="s">
        <v>520</v>
      </c>
    </row>
    <row r="483" spans="1:6" x14ac:dyDescent="0.25">
      <c r="A483" s="39">
        <v>43580.42355324074</v>
      </c>
      <c r="B483" s="3" t="s">
        <v>1417</v>
      </c>
      <c r="C483" s="13" t="s">
        <v>332</v>
      </c>
      <c r="D483" s="13">
        <v>0</v>
      </c>
      <c r="E483" s="13" t="s">
        <v>332</v>
      </c>
      <c r="F483" s="3" t="s">
        <v>520</v>
      </c>
    </row>
    <row r="484" spans="1:6" x14ac:dyDescent="0.25">
      <c r="A484" s="39">
        <v>43580.42355324074</v>
      </c>
      <c r="B484" s="3" t="s">
        <v>1420</v>
      </c>
      <c r="C484" s="13" t="s">
        <v>332</v>
      </c>
      <c r="D484" s="13">
        <v>0</v>
      </c>
      <c r="E484" s="13" t="s">
        <v>332</v>
      </c>
      <c r="F484" s="3" t="s">
        <v>520</v>
      </c>
    </row>
    <row r="485" spans="1:6" x14ac:dyDescent="0.25">
      <c r="A485" s="39">
        <v>43580.42355324074</v>
      </c>
      <c r="B485" s="3" t="s">
        <v>1422</v>
      </c>
      <c r="C485" s="13" t="s">
        <v>332</v>
      </c>
      <c r="D485" s="13">
        <v>0</v>
      </c>
      <c r="E485" s="13" t="s">
        <v>332</v>
      </c>
      <c r="F485" s="3" t="s">
        <v>520</v>
      </c>
    </row>
    <row r="486" spans="1:6" x14ac:dyDescent="0.25">
      <c r="A486" s="39">
        <v>43580.42355324074</v>
      </c>
      <c r="B486" s="3" t="s">
        <v>1425</v>
      </c>
      <c r="C486" s="13" t="s">
        <v>332</v>
      </c>
      <c r="D486" s="13">
        <v>0</v>
      </c>
      <c r="E486" s="13" t="s">
        <v>332</v>
      </c>
      <c r="F486" s="3" t="s">
        <v>520</v>
      </c>
    </row>
    <row r="487" spans="1:6" x14ac:dyDescent="0.25">
      <c r="A487" s="39">
        <v>43580.423564814817</v>
      </c>
      <c r="B487" s="3" t="s">
        <v>1427</v>
      </c>
      <c r="C487" s="13" t="s">
        <v>332</v>
      </c>
      <c r="D487" s="13">
        <v>0</v>
      </c>
      <c r="E487" s="13" t="s">
        <v>332</v>
      </c>
      <c r="F487" s="3" t="s">
        <v>520</v>
      </c>
    </row>
    <row r="488" spans="1:6" x14ac:dyDescent="0.25">
      <c r="A488" s="39">
        <v>43580.423564814817</v>
      </c>
      <c r="B488" s="3" t="s">
        <v>1430</v>
      </c>
      <c r="C488" s="13" t="s">
        <v>332</v>
      </c>
      <c r="D488" s="13">
        <v>0</v>
      </c>
      <c r="E488" s="13" t="s">
        <v>332</v>
      </c>
      <c r="F488" s="3" t="s">
        <v>520</v>
      </c>
    </row>
    <row r="489" spans="1:6" x14ac:dyDescent="0.25">
      <c r="A489" s="39">
        <v>43580.423564814817</v>
      </c>
      <c r="B489" s="3" t="s">
        <v>1432</v>
      </c>
      <c r="C489" s="13" t="s">
        <v>332</v>
      </c>
      <c r="D489" s="13">
        <v>0</v>
      </c>
      <c r="E489" s="13" t="s">
        <v>332</v>
      </c>
      <c r="F489" s="3" t="s">
        <v>520</v>
      </c>
    </row>
    <row r="490" spans="1:6" x14ac:dyDescent="0.25">
      <c r="A490" s="39">
        <v>43580.423564814817</v>
      </c>
      <c r="B490" s="3" t="s">
        <v>1435</v>
      </c>
      <c r="C490" s="13" t="s">
        <v>332</v>
      </c>
      <c r="D490" s="13">
        <v>0</v>
      </c>
      <c r="E490" s="13" t="s">
        <v>332</v>
      </c>
      <c r="F490" s="3" t="s">
        <v>520</v>
      </c>
    </row>
    <row r="491" spans="1:6" x14ac:dyDescent="0.25">
      <c r="A491" s="39">
        <v>43580.423564814817</v>
      </c>
      <c r="B491" s="3" t="s">
        <v>1438</v>
      </c>
      <c r="C491" s="13" t="s">
        <v>332</v>
      </c>
      <c r="D491" s="13">
        <v>0</v>
      </c>
      <c r="E491" s="13" t="s">
        <v>332</v>
      </c>
      <c r="F491" s="3" t="s">
        <v>520</v>
      </c>
    </row>
    <row r="492" spans="1:6" x14ac:dyDescent="0.25">
      <c r="A492" s="39">
        <v>43580.423564814817</v>
      </c>
      <c r="B492" s="3" t="s">
        <v>1441</v>
      </c>
      <c r="C492" s="13" t="s">
        <v>332</v>
      </c>
      <c r="D492" s="13">
        <v>0</v>
      </c>
      <c r="E492" s="13" t="s">
        <v>332</v>
      </c>
      <c r="F492" s="3" t="s">
        <v>520</v>
      </c>
    </row>
    <row r="493" spans="1:6" x14ac:dyDescent="0.25">
      <c r="A493" s="39">
        <v>43580.423564814817</v>
      </c>
      <c r="B493" s="3" t="s">
        <v>1444</v>
      </c>
      <c r="C493" s="13" t="s">
        <v>332</v>
      </c>
      <c r="D493" s="13">
        <v>0</v>
      </c>
      <c r="E493" s="13" t="s">
        <v>332</v>
      </c>
      <c r="F493" s="3" t="s">
        <v>520</v>
      </c>
    </row>
    <row r="494" spans="1:6" x14ac:dyDescent="0.25">
      <c r="A494" s="39">
        <v>43580.423564814817</v>
      </c>
      <c r="B494" s="3" t="s">
        <v>1447</v>
      </c>
      <c r="C494" s="13" t="s">
        <v>332</v>
      </c>
      <c r="D494" s="13">
        <v>0</v>
      </c>
      <c r="E494" s="13" t="s">
        <v>332</v>
      </c>
      <c r="F494" s="3" t="s">
        <v>520</v>
      </c>
    </row>
    <row r="495" spans="1:6" x14ac:dyDescent="0.25">
      <c r="A495" s="39">
        <v>43580.423576388886</v>
      </c>
      <c r="B495" s="3" t="s">
        <v>1449</v>
      </c>
      <c r="C495" s="13" t="s">
        <v>332</v>
      </c>
      <c r="D495" s="13">
        <v>0</v>
      </c>
      <c r="E495" s="13" t="s">
        <v>332</v>
      </c>
      <c r="F495" s="3" t="s">
        <v>520</v>
      </c>
    </row>
    <row r="496" spans="1:6" x14ac:dyDescent="0.25">
      <c r="A496" s="39">
        <v>43580.423576388886</v>
      </c>
      <c r="B496" s="3" t="s">
        <v>1452</v>
      </c>
      <c r="C496" s="13" t="s">
        <v>332</v>
      </c>
      <c r="D496" s="13">
        <v>0</v>
      </c>
      <c r="E496" s="13" t="s">
        <v>332</v>
      </c>
      <c r="F496" s="3" t="s">
        <v>520</v>
      </c>
    </row>
    <row r="497" spans="1:6" x14ac:dyDescent="0.25">
      <c r="A497" s="39">
        <v>43580.423576388886</v>
      </c>
      <c r="B497" s="3" t="s">
        <v>1455</v>
      </c>
      <c r="C497" s="13" t="s">
        <v>332</v>
      </c>
      <c r="D497" s="13">
        <v>0</v>
      </c>
      <c r="E497" s="13" t="s">
        <v>332</v>
      </c>
      <c r="F497" s="3" t="s">
        <v>520</v>
      </c>
    </row>
    <row r="498" spans="1:6" x14ac:dyDescent="0.25">
      <c r="A498" s="39">
        <v>43580.423576388886</v>
      </c>
      <c r="B498" s="3" t="s">
        <v>1458</v>
      </c>
      <c r="C498" s="13" t="s">
        <v>332</v>
      </c>
      <c r="D498" s="13">
        <v>0</v>
      </c>
      <c r="E498" s="13" t="s">
        <v>332</v>
      </c>
      <c r="F498" s="3" t="s">
        <v>520</v>
      </c>
    </row>
    <row r="499" spans="1:6" x14ac:dyDescent="0.25">
      <c r="A499" s="39">
        <v>43580.423576388886</v>
      </c>
      <c r="B499" s="3" t="s">
        <v>1460</v>
      </c>
      <c r="C499" s="13" t="s">
        <v>332</v>
      </c>
      <c r="D499" s="13">
        <v>0</v>
      </c>
      <c r="E499" s="13" t="s">
        <v>332</v>
      </c>
      <c r="F499" s="3" t="s">
        <v>520</v>
      </c>
    </row>
    <row r="500" spans="1:6" x14ac:dyDescent="0.25">
      <c r="A500" s="39">
        <v>43580.423576388886</v>
      </c>
      <c r="B500" s="3" t="s">
        <v>1462</v>
      </c>
      <c r="C500" s="13" t="s">
        <v>332</v>
      </c>
      <c r="D500" s="13">
        <v>0</v>
      </c>
      <c r="E500" s="13" t="s">
        <v>332</v>
      </c>
      <c r="F500" s="3" t="s">
        <v>520</v>
      </c>
    </row>
    <row r="501" spans="1:6" x14ac:dyDescent="0.25">
      <c r="A501" s="39">
        <v>43580.423576388886</v>
      </c>
      <c r="B501" s="3" t="s">
        <v>1465</v>
      </c>
      <c r="C501" s="13" t="s">
        <v>332</v>
      </c>
      <c r="D501" s="13">
        <v>0</v>
      </c>
      <c r="E501" s="13" t="s">
        <v>332</v>
      </c>
      <c r="F501" s="3" t="s">
        <v>520</v>
      </c>
    </row>
    <row r="502" spans="1:6" x14ac:dyDescent="0.25">
      <c r="A502" s="39">
        <v>43580.423576388886</v>
      </c>
      <c r="B502" s="3" t="s">
        <v>1467</v>
      </c>
      <c r="C502" s="13" t="s">
        <v>332</v>
      </c>
      <c r="D502" s="13">
        <v>0</v>
      </c>
      <c r="E502" s="13" t="s">
        <v>332</v>
      </c>
      <c r="F502" s="3" t="s">
        <v>520</v>
      </c>
    </row>
    <row r="503" spans="1:6" x14ac:dyDescent="0.25">
      <c r="A503" s="39">
        <v>43580.423587962963</v>
      </c>
      <c r="B503" s="3" t="s">
        <v>1469</v>
      </c>
      <c r="C503" s="13" t="s">
        <v>332</v>
      </c>
      <c r="D503" s="13">
        <v>0</v>
      </c>
      <c r="E503" s="13" t="s">
        <v>332</v>
      </c>
      <c r="F503" s="3" t="s">
        <v>520</v>
      </c>
    </row>
    <row r="504" spans="1:6" x14ac:dyDescent="0.25">
      <c r="A504" s="39">
        <v>43580.423587962963</v>
      </c>
      <c r="B504" s="3" t="s">
        <v>1472</v>
      </c>
      <c r="C504" s="13" t="s">
        <v>332</v>
      </c>
      <c r="D504" s="13">
        <v>0</v>
      </c>
      <c r="E504" s="13" t="s">
        <v>332</v>
      </c>
      <c r="F504" s="3" t="s">
        <v>520</v>
      </c>
    </row>
    <row r="505" spans="1:6" x14ac:dyDescent="0.25">
      <c r="A505" s="39">
        <v>43580.423587962963</v>
      </c>
      <c r="B505" s="3" t="s">
        <v>1474</v>
      </c>
      <c r="C505" s="13" t="s">
        <v>332</v>
      </c>
      <c r="D505" s="13">
        <v>0</v>
      </c>
      <c r="E505" s="13" t="s">
        <v>332</v>
      </c>
      <c r="F505" s="3" t="s">
        <v>520</v>
      </c>
    </row>
    <row r="506" spans="1:6" x14ac:dyDescent="0.25">
      <c r="A506" s="39">
        <v>43580.423587962963</v>
      </c>
      <c r="B506" s="3" t="s">
        <v>1476</v>
      </c>
      <c r="C506" s="13" t="s">
        <v>332</v>
      </c>
      <c r="D506" s="13">
        <v>0</v>
      </c>
      <c r="E506" s="13" t="s">
        <v>332</v>
      </c>
      <c r="F506" s="3" t="s">
        <v>520</v>
      </c>
    </row>
    <row r="507" spans="1:6" x14ac:dyDescent="0.25">
      <c r="A507" s="39">
        <v>43580.423587962963</v>
      </c>
      <c r="B507" s="3" t="s">
        <v>1479</v>
      </c>
      <c r="C507" s="13" t="s">
        <v>332</v>
      </c>
      <c r="D507" s="13">
        <v>0</v>
      </c>
      <c r="E507" s="13" t="s">
        <v>332</v>
      </c>
      <c r="F507" s="3" t="s">
        <v>520</v>
      </c>
    </row>
    <row r="508" spans="1:6" x14ac:dyDescent="0.25">
      <c r="A508" s="39">
        <v>43580.423587962963</v>
      </c>
      <c r="B508" s="3" t="s">
        <v>1481</v>
      </c>
      <c r="C508" s="13" t="s">
        <v>332</v>
      </c>
      <c r="D508" s="13">
        <v>0</v>
      </c>
      <c r="E508" s="13" t="s">
        <v>332</v>
      </c>
      <c r="F508" s="3" t="s">
        <v>520</v>
      </c>
    </row>
    <row r="509" spans="1:6" x14ac:dyDescent="0.25">
      <c r="A509" s="39">
        <v>43580.423587962963</v>
      </c>
      <c r="B509" s="3" t="s">
        <v>1483</v>
      </c>
      <c r="C509" s="13" t="s">
        <v>332</v>
      </c>
      <c r="D509" s="13">
        <v>0</v>
      </c>
      <c r="E509" s="13" t="s">
        <v>332</v>
      </c>
      <c r="F509" s="3" t="s">
        <v>520</v>
      </c>
    </row>
    <row r="510" spans="1:6" x14ac:dyDescent="0.25">
      <c r="A510" s="39">
        <v>43580.42359953704</v>
      </c>
      <c r="B510" s="3" t="s">
        <v>1486</v>
      </c>
      <c r="C510" s="13" t="s">
        <v>332</v>
      </c>
      <c r="D510" s="13">
        <v>0</v>
      </c>
      <c r="E510" s="13" t="s">
        <v>332</v>
      </c>
      <c r="F510" s="3" t="s">
        <v>520</v>
      </c>
    </row>
    <row r="511" spans="1:6" x14ac:dyDescent="0.25">
      <c r="A511" s="39">
        <v>43580.42359953704</v>
      </c>
      <c r="B511" s="3" t="s">
        <v>1488</v>
      </c>
      <c r="C511" s="13" t="s">
        <v>332</v>
      </c>
      <c r="D511" s="13">
        <v>0</v>
      </c>
      <c r="E511" s="13" t="s">
        <v>332</v>
      </c>
      <c r="F511" s="3" t="s">
        <v>520</v>
      </c>
    </row>
    <row r="512" spans="1:6" x14ac:dyDescent="0.25">
      <c r="A512" s="39">
        <v>43580.42359953704</v>
      </c>
      <c r="B512" s="3" t="s">
        <v>1491</v>
      </c>
      <c r="C512" s="13" t="s">
        <v>332</v>
      </c>
      <c r="D512" s="13">
        <v>0</v>
      </c>
      <c r="E512" s="13" t="s">
        <v>332</v>
      </c>
      <c r="F512" s="3" t="s">
        <v>520</v>
      </c>
    </row>
    <row r="513" spans="1:6" x14ac:dyDescent="0.25">
      <c r="A513" s="39">
        <v>43580.42359953704</v>
      </c>
      <c r="B513" s="3" t="s">
        <v>1493</v>
      </c>
      <c r="C513" s="13" t="s">
        <v>332</v>
      </c>
      <c r="D513" s="13">
        <v>0</v>
      </c>
      <c r="E513" s="13" t="s">
        <v>332</v>
      </c>
      <c r="F513" s="3" t="s">
        <v>520</v>
      </c>
    </row>
    <row r="514" spans="1:6" x14ac:dyDescent="0.25">
      <c r="A514" s="39">
        <v>43580.42359953704</v>
      </c>
      <c r="B514" s="3" t="s">
        <v>1496</v>
      </c>
      <c r="C514" s="13" t="s">
        <v>332</v>
      </c>
      <c r="D514" s="13">
        <v>0</v>
      </c>
      <c r="E514" s="13" t="s">
        <v>332</v>
      </c>
      <c r="F514" s="3" t="s">
        <v>520</v>
      </c>
    </row>
    <row r="515" spans="1:6" x14ac:dyDescent="0.25">
      <c r="A515" s="39">
        <v>43580.42359953704</v>
      </c>
      <c r="B515" s="3" t="s">
        <v>1499</v>
      </c>
      <c r="C515" s="13" t="s">
        <v>332</v>
      </c>
      <c r="D515" s="13">
        <v>0</v>
      </c>
      <c r="E515" s="13" t="s">
        <v>332</v>
      </c>
      <c r="F515" s="3" t="s">
        <v>520</v>
      </c>
    </row>
    <row r="516" spans="1:6" x14ac:dyDescent="0.25">
      <c r="A516" s="39">
        <v>43580.42359953704</v>
      </c>
      <c r="B516" s="3" t="s">
        <v>1502</v>
      </c>
      <c r="C516" s="13" t="s">
        <v>332</v>
      </c>
      <c r="D516" s="13">
        <v>0</v>
      </c>
      <c r="E516" s="13" t="s">
        <v>332</v>
      </c>
      <c r="F516" s="3" t="s">
        <v>520</v>
      </c>
    </row>
    <row r="517" spans="1:6" x14ac:dyDescent="0.25">
      <c r="A517" s="39">
        <v>43580.423611111109</v>
      </c>
      <c r="B517" s="3" t="s">
        <v>1505</v>
      </c>
      <c r="C517" s="13" t="s">
        <v>332</v>
      </c>
      <c r="D517" s="13">
        <v>0</v>
      </c>
      <c r="E517" s="13" t="s">
        <v>332</v>
      </c>
      <c r="F517" s="3" t="s">
        <v>520</v>
      </c>
    </row>
    <row r="518" spans="1:6" x14ac:dyDescent="0.25">
      <c r="A518" s="39">
        <v>43580.423611111109</v>
      </c>
      <c r="B518" s="3" t="s">
        <v>1508</v>
      </c>
      <c r="C518" s="13" t="s">
        <v>332</v>
      </c>
      <c r="D518" s="13">
        <v>0</v>
      </c>
      <c r="E518" s="13" t="s">
        <v>332</v>
      </c>
      <c r="F518" s="3" t="s">
        <v>520</v>
      </c>
    </row>
    <row r="519" spans="1:6" x14ac:dyDescent="0.25">
      <c r="A519" s="39">
        <v>43580.423611111109</v>
      </c>
      <c r="B519" s="3" t="s">
        <v>1511</v>
      </c>
      <c r="C519" s="13" t="s">
        <v>332</v>
      </c>
      <c r="D519" s="13">
        <v>0</v>
      </c>
      <c r="E519" s="13" t="s">
        <v>332</v>
      </c>
      <c r="F519" s="3" t="s">
        <v>520</v>
      </c>
    </row>
    <row r="520" spans="1:6" x14ac:dyDescent="0.25">
      <c r="A520" s="39">
        <v>43580.423611111109</v>
      </c>
      <c r="B520" s="3" t="s">
        <v>1514</v>
      </c>
      <c r="C520" s="13" t="s">
        <v>332</v>
      </c>
      <c r="D520" s="13">
        <v>0</v>
      </c>
      <c r="E520" s="13" t="s">
        <v>332</v>
      </c>
      <c r="F520" s="3" t="s">
        <v>520</v>
      </c>
    </row>
    <row r="521" spans="1:6" x14ac:dyDescent="0.25">
      <c r="A521" s="39">
        <v>43580.423611111109</v>
      </c>
      <c r="B521" s="3" t="s">
        <v>1517</v>
      </c>
      <c r="C521" s="13" t="s">
        <v>332</v>
      </c>
      <c r="D521" s="13">
        <v>0</v>
      </c>
      <c r="E521" s="13" t="s">
        <v>332</v>
      </c>
      <c r="F521" s="3" t="s">
        <v>520</v>
      </c>
    </row>
    <row r="522" spans="1:6" x14ac:dyDescent="0.25">
      <c r="A522" s="39">
        <v>43580.423611111109</v>
      </c>
      <c r="B522" s="3" t="s">
        <v>1519</v>
      </c>
      <c r="C522" s="13" t="s">
        <v>332</v>
      </c>
      <c r="D522" s="13">
        <v>0</v>
      </c>
      <c r="E522" s="13" t="s">
        <v>332</v>
      </c>
      <c r="F522" s="3" t="s">
        <v>520</v>
      </c>
    </row>
    <row r="523" spans="1:6" x14ac:dyDescent="0.25">
      <c r="A523" s="39">
        <v>43580.423611111109</v>
      </c>
      <c r="B523" s="3" t="s">
        <v>1522</v>
      </c>
      <c r="C523" s="13" t="s">
        <v>332</v>
      </c>
      <c r="D523" s="13">
        <v>0</v>
      </c>
      <c r="E523" s="13" t="s">
        <v>332</v>
      </c>
      <c r="F523" s="3" t="s">
        <v>520</v>
      </c>
    </row>
    <row r="524" spans="1:6" x14ac:dyDescent="0.25">
      <c r="A524" s="39">
        <v>43580.423611111109</v>
      </c>
      <c r="B524" s="3" t="s">
        <v>1525</v>
      </c>
      <c r="C524" s="13" t="s">
        <v>332</v>
      </c>
      <c r="D524" s="13">
        <v>0</v>
      </c>
      <c r="E524" s="13" t="s">
        <v>332</v>
      </c>
      <c r="F524" s="3" t="s">
        <v>520</v>
      </c>
    </row>
    <row r="525" spans="1:6" x14ac:dyDescent="0.25">
      <c r="A525" s="39">
        <v>43580.423622685186</v>
      </c>
      <c r="B525" s="3" t="s">
        <v>1528</v>
      </c>
      <c r="C525" s="13" t="s">
        <v>332</v>
      </c>
      <c r="D525" s="13">
        <v>0</v>
      </c>
      <c r="E525" s="13" t="s">
        <v>332</v>
      </c>
      <c r="F525" s="3" t="s">
        <v>520</v>
      </c>
    </row>
    <row r="526" spans="1:6" x14ac:dyDescent="0.25">
      <c r="A526" s="39">
        <v>43580.423622685186</v>
      </c>
      <c r="B526" s="3" t="s">
        <v>1531</v>
      </c>
      <c r="C526" s="13" t="s">
        <v>332</v>
      </c>
      <c r="D526" s="13">
        <v>0</v>
      </c>
      <c r="E526" s="13" t="s">
        <v>332</v>
      </c>
      <c r="F526" s="3" t="s">
        <v>520</v>
      </c>
    </row>
    <row r="527" spans="1:6" x14ac:dyDescent="0.25">
      <c r="A527" s="39">
        <v>43580.423622685186</v>
      </c>
      <c r="B527" s="3" t="s">
        <v>1534</v>
      </c>
      <c r="C527" s="13" t="s">
        <v>332</v>
      </c>
      <c r="D527" s="13">
        <v>0</v>
      </c>
      <c r="E527" s="13" t="s">
        <v>332</v>
      </c>
      <c r="F527" s="3" t="s">
        <v>520</v>
      </c>
    </row>
    <row r="528" spans="1:6" x14ac:dyDescent="0.25">
      <c r="A528" s="39">
        <v>43580.423622685186</v>
      </c>
      <c r="B528" s="3" t="s">
        <v>1537</v>
      </c>
      <c r="C528" s="13" t="s">
        <v>332</v>
      </c>
      <c r="D528" s="13">
        <v>0</v>
      </c>
      <c r="E528" s="13" t="s">
        <v>332</v>
      </c>
      <c r="F528" s="3" t="s">
        <v>520</v>
      </c>
    </row>
    <row r="529" spans="1:6" x14ac:dyDescent="0.25">
      <c r="A529" s="39">
        <v>43580.423622685186</v>
      </c>
      <c r="B529" s="3" t="s">
        <v>1540</v>
      </c>
      <c r="C529" s="13" t="s">
        <v>332</v>
      </c>
      <c r="D529" s="13">
        <v>0</v>
      </c>
      <c r="E529" s="13" t="s">
        <v>332</v>
      </c>
      <c r="F529" s="3" t="s">
        <v>520</v>
      </c>
    </row>
    <row r="530" spans="1:6" x14ac:dyDescent="0.25">
      <c r="A530" s="39">
        <v>43580.423622685186</v>
      </c>
      <c r="B530" s="3" t="s">
        <v>1543</v>
      </c>
      <c r="C530" s="13" t="s">
        <v>332</v>
      </c>
      <c r="D530" s="13">
        <v>0</v>
      </c>
      <c r="E530" s="13" t="s">
        <v>332</v>
      </c>
      <c r="F530" s="3" t="s">
        <v>520</v>
      </c>
    </row>
    <row r="531" spans="1:6" x14ac:dyDescent="0.25">
      <c r="A531" s="39">
        <v>43580.423622685186</v>
      </c>
      <c r="B531" s="3" t="s">
        <v>1546</v>
      </c>
      <c r="C531" s="13" t="s">
        <v>332</v>
      </c>
      <c r="D531" s="13">
        <v>0</v>
      </c>
      <c r="E531" s="13" t="s">
        <v>332</v>
      </c>
      <c r="F531" s="3" t="s">
        <v>520</v>
      </c>
    </row>
    <row r="532" spans="1:6" x14ac:dyDescent="0.25">
      <c r="A532" s="39">
        <v>43580.423622685186</v>
      </c>
      <c r="B532" s="3" t="s">
        <v>1549</v>
      </c>
      <c r="C532" s="13" t="s">
        <v>332</v>
      </c>
      <c r="D532" s="13">
        <v>0</v>
      </c>
      <c r="E532" s="13" t="s">
        <v>332</v>
      </c>
      <c r="F532" s="3" t="s">
        <v>520</v>
      </c>
    </row>
    <row r="533" spans="1:6" x14ac:dyDescent="0.25">
      <c r="A533" s="39">
        <v>43580.423634259256</v>
      </c>
      <c r="B533" s="3" t="s">
        <v>1552</v>
      </c>
      <c r="C533" s="13" t="s">
        <v>332</v>
      </c>
      <c r="D533" s="13">
        <v>0</v>
      </c>
      <c r="E533" s="13" t="s">
        <v>332</v>
      </c>
      <c r="F533" s="3" t="s">
        <v>520</v>
      </c>
    </row>
    <row r="534" spans="1:6" x14ac:dyDescent="0.25">
      <c r="A534" s="39">
        <v>43580.423634259256</v>
      </c>
      <c r="B534" s="3" t="s">
        <v>1555</v>
      </c>
      <c r="C534" s="13" t="s">
        <v>332</v>
      </c>
      <c r="D534" s="13">
        <v>0</v>
      </c>
      <c r="E534" s="13" t="s">
        <v>332</v>
      </c>
      <c r="F534" s="3" t="s">
        <v>520</v>
      </c>
    </row>
    <row r="535" spans="1:6" x14ac:dyDescent="0.25">
      <c r="A535" s="39">
        <v>43580.423634259256</v>
      </c>
      <c r="B535" s="3" t="s">
        <v>1558</v>
      </c>
      <c r="C535" s="13" t="s">
        <v>332</v>
      </c>
      <c r="D535" s="13">
        <v>0</v>
      </c>
      <c r="E535" s="13" t="s">
        <v>332</v>
      </c>
      <c r="F535" s="3" t="s">
        <v>520</v>
      </c>
    </row>
    <row r="536" spans="1:6" x14ac:dyDescent="0.25">
      <c r="A536" s="39">
        <v>43580.423634259256</v>
      </c>
      <c r="B536" s="3" t="s">
        <v>1561</v>
      </c>
      <c r="C536" s="13" t="s">
        <v>332</v>
      </c>
      <c r="D536" s="13">
        <v>0</v>
      </c>
      <c r="E536" s="13" t="s">
        <v>332</v>
      </c>
      <c r="F536" s="3" t="s">
        <v>520</v>
      </c>
    </row>
    <row r="537" spans="1:6" x14ac:dyDescent="0.25">
      <c r="A537" s="39">
        <v>43580.423634259256</v>
      </c>
      <c r="B537" s="3" t="s">
        <v>1564</v>
      </c>
      <c r="C537" s="13" t="s">
        <v>332</v>
      </c>
      <c r="D537" s="13">
        <v>0</v>
      </c>
      <c r="E537" s="13" t="s">
        <v>332</v>
      </c>
      <c r="F537" s="3" t="s">
        <v>520</v>
      </c>
    </row>
    <row r="538" spans="1:6" x14ac:dyDescent="0.25">
      <c r="A538" s="39">
        <v>43580.423634259256</v>
      </c>
      <c r="B538" s="3" t="s">
        <v>1567</v>
      </c>
      <c r="C538" s="13" t="s">
        <v>332</v>
      </c>
      <c r="D538" s="13">
        <v>0</v>
      </c>
      <c r="E538" s="13" t="s">
        <v>332</v>
      </c>
      <c r="F538" s="3" t="s">
        <v>520</v>
      </c>
    </row>
    <row r="539" spans="1:6" x14ac:dyDescent="0.25">
      <c r="A539" s="39">
        <v>43580.423634259256</v>
      </c>
      <c r="B539" s="3" t="s">
        <v>1570</v>
      </c>
      <c r="C539" s="13" t="s">
        <v>332</v>
      </c>
      <c r="D539" s="13">
        <v>0</v>
      </c>
      <c r="E539" s="13" t="s">
        <v>332</v>
      </c>
      <c r="F539" s="3" t="s">
        <v>520</v>
      </c>
    </row>
    <row r="540" spans="1:6" x14ac:dyDescent="0.25">
      <c r="A540" s="39">
        <v>43580.423645833333</v>
      </c>
      <c r="B540" s="3" t="s">
        <v>1573</v>
      </c>
      <c r="C540" s="13" t="s">
        <v>332</v>
      </c>
      <c r="D540" s="13">
        <v>0</v>
      </c>
      <c r="E540" s="13" t="s">
        <v>332</v>
      </c>
      <c r="F540" s="3" t="s">
        <v>520</v>
      </c>
    </row>
    <row r="541" spans="1:6" x14ac:dyDescent="0.25">
      <c r="A541" s="39">
        <v>43580.423645833333</v>
      </c>
      <c r="B541" s="3" t="s">
        <v>1576</v>
      </c>
      <c r="C541" s="13" t="s">
        <v>332</v>
      </c>
      <c r="D541" s="13">
        <v>0</v>
      </c>
      <c r="E541" s="13" t="s">
        <v>332</v>
      </c>
      <c r="F541" s="3" t="s">
        <v>520</v>
      </c>
    </row>
    <row r="542" spans="1:6" x14ac:dyDescent="0.25">
      <c r="A542" s="39">
        <v>43580.423645833333</v>
      </c>
      <c r="B542" s="3" t="s">
        <v>1579</v>
      </c>
      <c r="C542" s="13" t="s">
        <v>332</v>
      </c>
      <c r="D542" s="13">
        <v>0</v>
      </c>
      <c r="E542" s="13" t="s">
        <v>332</v>
      </c>
      <c r="F542" s="3" t="s">
        <v>520</v>
      </c>
    </row>
    <row r="543" spans="1:6" x14ac:dyDescent="0.25">
      <c r="A543" s="39">
        <v>43580.423645833333</v>
      </c>
      <c r="B543" s="3" t="s">
        <v>1582</v>
      </c>
      <c r="C543" s="13" t="s">
        <v>332</v>
      </c>
      <c r="D543" s="13">
        <v>0</v>
      </c>
      <c r="E543" s="13" t="s">
        <v>332</v>
      </c>
      <c r="F543" s="3" t="s">
        <v>520</v>
      </c>
    </row>
    <row r="544" spans="1:6" x14ac:dyDescent="0.25">
      <c r="A544" s="39">
        <v>43580.423645833333</v>
      </c>
      <c r="B544" s="3" t="s">
        <v>1585</v>
      </c>
      <c r="C544" s="13" t="s">
        <v>332</v>
      </c>
      <c r="D544" s="13">
        <v>0</v>
      </c>
      <c r="E544" s="13" t="s">
        <v>332</v>
      </c>
      <c r="F544" s="3" t="s">
        <v>520</v>
      </c>
    </row>
    <row r="545" spans="1:6" x14ac:dyDescent="0.25">
      <c r="A545" s="39">
        <v>43580.423645833333</v>
      </c>
      <c r="B545" s="3" t="s">
        <v>1588</v>
      </c>
      <c r="C545" s="13" t="s">
        <v>332</v>
      </c>
      <c r="D545" s="13">
        <v>0</v>
      </c>
      <c r="E545" s="13" t="s">
        <v>332</v>
      </c>
      <c r="F545" s="3" t="s">
        <v>520</v>
      </c>
    </row>
    <row r="546" spans="1:6" x14ac:dyDescent="0.25">
      <c r="A546" s="39">
        <v>43580.423645833333</v>
      </c>
      <c r="B546" s="3" t="s">
        <v>1591</v>
      </c>
      <c r="C546" s="13" t="s">
        <v>332</v>
      </c>
      <c r="D546" s="13">
        <v>0</v>
      </c>
      <c r="E546" s="13" t="s">
        <v>332</v>
      </c>
      <c r="F546" s="3" t="s">
        <v>520</v>
      </c>
    </row>
    <row r="547" spans="1:6" x14ac:dyDescent="0.25">
      <c r="A547" s="39">
        <v>43580.423645833333</v>
      </c>
      <c r="B547" s="3" t="s">
        <v>1594</v>
      </c>
      <c r="C547" s="13" t="s">
        <v>332</v>
      </c>
      <c r="D547" s="13">
        <v>0</v>
      </c>
      <c r="E547" s="13" t="s">
        <v>332</v>
      </c>
      <c r="F547" s="3" t="s">
        <v>520</v>
      </c>
    </row>
    <row r="548" spans="1:6" x14ac:dyDescent="0.25">
      <c r="A548" s="39">
        <v>43580.423657407409</v>
      </c>
      <c r="B548" s="3" t="s">
        <v>1597</v>
      </c>
      <c r="C548" s="13" t="s">
        <v>332</v>
      </c>
      <c r="D548" s="13">
        <v>0</v>
      </c>
      <c r="E548" s="13" t="s">
        <v>332</v>
      </c>
      <c r="F548" s="3" t="s">
        <v>520</v>
      </c>
    </row>
    <row r="549" spans="1:6" x14ac:dyDescent="0.25">
      <c r="A549" s="39">
        <v>43580.423657407409</v>
      </c>
      <c r="B549" s="3" t="s">
        <v>1600</v>
      </c>
      <c r="C549" s="13" t="s">
        <v>332</v>
      </c>
      <c r="D549" s="13">
        <v>0</v>
      </c>
      <c r="E549" s="13" t="s">
        <v>332</v>
      </c>
      <c r="F549" s="3" t="s">
        <v>520</v>
      </c>
    </row>
    <row r="550" spans="1:6" x14ac:dyDescent="0.25">
      <c r="A550" s="39">
        <v>43580.423657407409</v>
      </c>
      <c r="B550" s="3" t="s">
        <v>1603</v>
      </c>
      <c r="C550" s="13" t="s">
        <v>332</v>
      </c>
      <c r="D550" s="13">
        <v>0</v>
      </c>
      <c r="E550" s="13" t="s">
        <v>332</v>
      </c>
      <c r="F550" s="3" t="s">
        <v>520</v>
      </c>
    </row>
    <row r="551" spans="1:6" x14ac:dyDescent="0.25">
      <c r="A551" s="39">
        <v>43580.423657407409</v>
      </c>
      <c r="B551" s="3" t="s">
        <v>1606</v>
      </c>
      <c r="C551" s="13" t="s">
        <v>332</v>
      </c>
      <c r="D551" s="13">
        <v>0</v>
      </c>
      <c r="E551" s="13" t="s">
        <v>332</v>
      </c>
      <c r="F551" s="3" t="s">
        <v>520</v>
      </c>
    </row>
    <row r="552" spans="1:6" x14ac:dyDescent="0.25">
      <c r="A552" s="39">
        <v>43580.423657407409</v>
      </c>
      <c r="B552" s="3" t="s">
        <v>1609</v>
      </c>
      <c r="C552" s="13" t="s">
        <v>332</v>
      </c>
      <c r="D552" s="13">
        <v>0</v>
      </c>
      <c r="E552" s="13" t="s">
        <v>332</v>
      </c>
      <c r="F552" s="3" t="s">
        <v>520</v>
      </c>
    </row>
    <row r="553" spans="1:6" x14ac:dyDescent="0.25">
      <c r="A553" s="39">
        <v>43580.423657407409</v>
      </c>
      <c r="B553" s="3" t="s">
        <v>1612</v>
      </c>
      <c r="C553" s="13" t="s">
        <v>332</v>
      </c>
      <c r="D553" s="13">
        <v>0</v>
      </c>
      <c r="E553" s="13" t="s">
        <v>332</v>
      </c>
      <c r="F553" s="3" t="s">
        <v>520</v>
      </c>
    </row>
    <row r="554" spans="1:6" x14ac:dyDescent="0.25">
      <c r="A554" s="39">
        <v>43580.423657407409</v>
      </c>
      <c r="B554" s="3" t="s">
        <v>1615</v>
      </c>
      <c r="C554" s="13" t="s">
        <v>332</v>
      </c>
      <c r="D554" s="13">
        <v>0</v>
      </c>
      <c r="E554" s="13" t="s">
        <v>332</v>
      </c>
      <c r="F554" s="3" t="s">
        <v>520</v>
      </c>
    </row>
    <row r="555" spans="1:6" x14ac:dyDescent="0.25">
      <c r="A555" s="39">
        <v>43580.423668981479</v>
      </c>
      <c r="B555" s="3" t="s">
        <v>1618</v>
      </c>
      <c r="C555" s="13" t="s">
        <v>332</v>
      </c>
      <c r="D555" s="13">
        <v>0</v>
      </c>
      <c r="E555" s="13" t="s">
        <v>332</v>
      </c>
      <c r="F555" s="3" t="s">
        <v>520</v>
      </c>
    </row>
    <row r="556" spans="1:6" x14ac:dyDescent="0.25">
      <c r="A556" s="39">
        <v>43580.423668981479</v>
      </c>
      <c r="B556" s="3" t="s">
        <v>1621</v>
      </c>
      <c r="C556" s="13" t="s">
        <v>332</v>
      </c>
      <c r="D556" s="13">
        <v>0</v>
      </c>
      <c r="E556" s="13" t="s">
        <v>332</v>
      </c>
      <c r="F556" s="3" t="s">
        <v>520</v>
      </c>
    </row>
    <row r="557" spans="1:6" x14ac:dyDescent="0.25">
      <c r="A557" s="39">
        <v>43580.423668981479</v>
      </c>
      <c r="B557" s="3" t="s">
        <v>1624</v>
      </c>
      <c r="C557" s="13" t="s">
        <v>332</v>
      </c>
      <c r="D557" s="13">
        <v>0</v>
      </c>
      <c r="E557" s="13" t="s">
        <v>332</v>
      </c>
      <c r="F557" s="3" t="s">
        <v>520</v>
      </c>
    </row>
    <row r="558" spans="1:6" x14ac:dyDescent="0.25">
      <c r="A558" s="39">
        <v>43580.423668981479</v>
      </c>
      <c r="B558" s="3" t="s">
        <v>1627</v>
      </c>
      <c r="C558" s="13" t="s">
        <v>332</v>
      </c>
      <c r="D558" s="13">
        <v>0</v>
      </c>
      <c r="E558" s="13" t="s">
        <v>332</v>
      </c>
      <c r="F558" s="3" t="s">
        <v>520</v>
      </c>
    </row>
    <row r="559" spans="1:6" x14ac:dyDescent="0.25">
      <c r="A559" s="39">
        <v>43580.423668981479</v>
      </c>
      <c r="B559" s="3" t="s">
        <v>1630</v>
      </c>
      <c r="C559" s="13" t="s">
        <v>332</v>
      </c>
      <c r="D559" s="13">
        <v>0</v>
      </c>
      <c r="E559" s="13" t="s">
        <v>332</v>
      </c>
      <c r="F559" s="3" t="s">
        <v>520</v>
      </c>
    </row>
    <row r="560" spans="1:6" x14ac:dyDescent="0.25">
      <c r="A560" s="39">
        <v>43580.423668981479</v>
      </c>
      <c r="B560" s="3" t="s">
        <v>1633</v>
      </c>
      <c r="C560" s="13" t="s">
        <v>332</v>
      </c>
      <c r="D560" s="13">
        <v>0</v>
      </c>
      <c r="E560" s="13" t="s">
        <v>332</v>
      </c>
      <c r="F560" s="3" t="s">
        <v>520</v>
      </c>
    </row>
    <row r="561" spans="1:6" x14ac:dyDescent="0.25">
      <c r="A561" s="39">
        <v>43580.423668981479</v>
      </c>
      <c r="B561" s="3" t="s">
        <v>1636</v>
      </c>
      <c r="C561" s="13" t="s">
        <v>332</v>
      </c>
      <c r="D561" s="13">
        <v>0</v>
      </c>
      <c r="E561" s="13" t="s">
        <v>332</v>
      </c>
      <c r="F561" s="3" t="s">
        <v>520</v>
      </c>
    </row>
    <row r="562" spans="1:6" x14ac:dyDescent="0.25">
      <c r="A562" s="39">
        <v>43580.423680555556</v>
      </c>
      <c r="B562" s="3" t="s">
        <v>1639</v>
      </c>
      <c r="C562" s="13" t="s">
        <v>332</v>
      </c>
      <c r="D562" s="13">
        <v>0</v>
      </c>
      <c r="E562" s="13" t="s">
        <v>332</v>
      </c>
      <c r="F562" s="3" t="s">
        <v>520</v>
      </c>
    </row>
    <row r="563" spans="1:6" x14ac:dyDescent="0.25">
      <c r="A563" s="39">
        <v>43580.423680555556</v>
      </c>
      <c r="B563" s="3" t="s">
        <v>1642</v>
      </c>
      <c r="C563" s="13" t="s">
        <v>332</v>
      </c>
      <c r="D563" s="13">
        <v>0</v>
      </c>
      <c r="E563" s="13" t="s">
        <v>332</v>
      </c>
      <c r="F563" s="3" t="s">
        <v>520</v>
      </c>
    </row>
    <row r="564" spans="1:6" x14ac:dyDescent="0.25">
      <c r="A564" s="39">
        <v>43580.423680555556</v>
      </c>
      <c r="B564" s="3" t="s">
        <v>1645</v>
      </c>
      <c r="C564" s="13" t="s">
        <v>332</v>
      </c>
      <c r="D564" s="13">
        <v>0</v>
      </c>
      <c r="E564" s="13" t="s">
        <v>332</v>
      </c>
      <c r="F564" s="3" t="s">
        <v>520</v>
      </c>
    </row>
    <row r="565" spans="1:6" x14ac:dyDescent="0.25">
      <c r="A565" s="39">
        <v>43580.423680555556</v>
      </c>
      <c r="B565" s="3" t="s">
        <v>1648</v>
      </c>
      <c r="C565" s="13" t="s">
        <v>332</v>
      </c>
      <c r="D565" s="13">
        <v>0</v>
      </c>
      <c r="E565" s="13" t="s">
        <v>332</v>
      </c>
      <c r="F565" s="3" t="s">
        <v>520</v>
      </c>
    </row>
    <row r="566" spans="1:6" x14ac:dyDescent="0.25">
      <c r="A566" s="39">
        <v>43580.423680555556</v>
      </c>
      <c r="B566" s="3" t="s">
        <v>1651</v>
      </c>
      <c r="C566" s="13" t="s">
        <v>332</v>
      </c>
      <c r="D566" s="13">
        <v>0</v>
      </c>
      <c r="E566" s="13" t="s">
        <v>332</v>
      </c>
      <c r="F566" s="3" t="s">
        <v>520</v>
      </c>
    </row>
    <row r="567" spans="1:6" x14ac:dyDescent="0.25">
      <c r="A567" s="39">
        <v>43580.423680555556</v>
      </c>
      <c r="B567" s="3" t="s">
        <v>1654</v>
      </c>
      <c r="C567" s="13" t="s">
        <v>332</v>
      </c>
      <c r="D567" s="13">
        <v>0</v>
      </c>
      <c r="E567" s="13" t="s">
        <v>332</v>
      </c>
      <c r="F567" s="3" t="s">
        <v>520</v>
      </c>
    </row>
    <row r="568" spans="1:6" x14ac:dyDescent="0.25">
      <c r="A568" s="39">
        <v>43580.423680555556</v>
      </c>
      <c r="B568" s="3" t="s">
        <v>1657</v>
      </c>
      <c r="C568" s="13" t="s">
        <v>332</v>
      </c>
      <c r="D568" s="13">
        <v>0</v>
      </c>
      <c r="E568" s="13" t="s">
        <v>332</v>
      </c>
      <c r="F568" s="3" t="s">
        <v>520</v>
      </c>
    </row>
    <row r="569" spans="1:6" x14ac:dyDescent="0.25">
      <c r="A569" s="39">
        <v>43580.423680555556</v>
      </c>
      <c r="B569" s="3" t="s">
        <v>1660</v>
      </c>
      <c r="C569" s="13" t="s">
        <v>332</v>
      </c>
      <c r="D569" s="13">
        <v>0</v>
      </c>
      <c r="E569" s="13" t="s">
        <v>332</v>
      </c>
      <c r="F569" s="3" t="s">
        <v>520</v>
      </c>
    </row>
    <row r="570" spans="1:6" x14ac:dyDescent="0.25">
      <c r="A570" s="39">
        <v>43580.423692129632</v>
      </c>
      <c r="B570" s="3" t="s">
        <v>1663</v>
      </c>
      <c r="C570" s="13" t="s">
        <v>332</v>
      </c>
      <c r="D570" s="13">
        <v>0</v>
      </c>
      <c r="E570" s="13" t="s">
        <v>332</v>
      </c>
      <c r="F570" s="3" t="s">
        <v>520</v>
      </c>
    </row>
    <row r="571" spans="1:6" x14ac:dyDescent="0.25">
      <c r="A571" s="39">
        <v>43580.423692129632</v>
      </c>
      <c r="B571" s="3" t="s">
        <v>1666</v>
      </c>
      <c r="C571" s="13" t="s">
        <v>332</v>
      </c>
      <c r="D571" s="13">
        <v>0</v>
      </c>
      <c r="E571" s="13" t="s">
        <v>332</v>
      </c>
      <c r="F571" s="3" t="s">
        <v>520</v>
      </c>
    </row>
    <row r="572" spans="1:6" x14ac:dyDescent="0.25">
      <c r="A572" s="39">
        <v>43580.423692129632</v>
      </c>
      <c r="B572" s="3" t="s">
        <v>1669</v>
      </c>
      <c r="C572" s="13" t="s">
        <v>332</v>
      </c>
      <c r="D572" s="13">
        <v>0</v>
      </c>
      <c r="E572" s="13" t="s">
        <v>332</v>
      </c>
      <c r="F572" s="3" t="s">
        <v>520</v>
      </c>
    </row>
    <row r="573" spans="1:6" x14ac:dyDescent="0.25">
      <c r="A573" s="39">
        <v>43580.423692129632</v>
      </c>
      <c r="B573" s="3" t="s">
        <v>1672</v>
      </c>
      <c r="C573" s="13" t="s">
        <v>332</v>
      </c>
      <c r="D573" s="13">
        <v>0</v>
      </c>
      <c r="E573" s="13" t="s">
        <v>332</v>
      </c>
      <c r="F573" s="3" t="s">
        <v>520</v>
      </c>
    </row>
    <row r="574" spans="1:6" x14ac:dyDescent="0.25">
      <c r="A574" s="39">
        <v>43580.423692129632</v>
      </c>
      <c r="B574" s="3" t="s">
        <v>1675</v>
      </c>
      <c r="C574" s="13" t="s">
        <v>332</v>
      </c>
      <c r="D574" s="13">
        <v>0</v>
      </c>
      <c r="E574" s="13" t="s">
        <v>332</v>
      </c>
      <c r="F574" s="3" t="s">
        <v>520</v>
      </c>
    </row>
    <row r="575" spans="1:6" x14ac:dyDescent="0.25">
      <c r="A575" s="39">
        <v>43580.423692129632</v>
      </c>
      <c r="B575" s="3" t="s">
        <v>1678</v>
      </c>
      <c r="C575" s="13" t="s">
        <v>332</v>
      </c>
      <c r="D575" s="13">
        <v>0</v>
      </c>
      <c r="E575" s="13" t="s">
        <v>332</v>
      </c>
      <c r="F575" s="3" t="s">
        <v>520</v>
      </c>
    </row>
    <row r="576" spans="1:6" x14ac:dyDescent="0.25">
      <c r="A576" s="39">
        <v>43580.423692129632</v>
      </c>
      <c r="B576" s="3" t="s">
        <v>1681</v>
      </c>
      <c r="C576" s="13" t="s">
        <v>332</v>
      </c>
      <c r="D576" s="13">
        <v>0</v>
      </c>
      <c r="E576" s="13" t="s">
        <v>332</v>
      </c>
      <c r="F576" s="3" t="s">
        <v>520</v>
      </c>
    </row>
    <row r="577" spans="1:6" x14ac:dyDescent="0.25">
      <c r="A577" s="39">
        <v>43580.423703703702</v>
      </c>
      <c r="B577" s="3" t="s">
        <v>1684</v>
      </c>
      <c r="C577" s="13" t="s">
        <v>332</v>
      </c>
      <c r="D577" s="13">
        <v>0</v>
      </c>
      <c r="E577" s="13" t="s">
        <v>332</v>
      </c>
      <c r="F577" s="3" t="s">
        <v>520</v>
      </c>
    </row>
    <row r="578" spans="1:6" x14ac:dyDescent="0.25">
      <c r="A578" s="39">
        <v>43580.423703703702</v>
      </c>
      <c r="B578" s="3" t="s">
        <v>1687</v>
      </c>
      <c r="C578" s="13" t="s">
        <v>332</v>
      </c>
      <c r="D578" s="13">
        <v>0</v>
      </c>
      <c r="E578" s="13" t="s">
        <v>332</v>
      </c>
      <c r="F578" s="3" t="s">
        <v>520</v>
      </c>
    </row>
    <row r="579" spans="1:6" x14ac:dyDescent="0.25">
      <c r="A579" s="39">
        <v>43580.423703703702</v>
      </c>
      <c r="B579" s="3" t="s">
        <v>1690</v>
      </c>
      <c r="C579" s="13" t="s">
        <v>332</v>
      </c>
      <c r="D579" s="13">
        <v>0</v>
      </c>
      <c r="E579" s="13" t="s">
        <v>332</v>
      </c>
      <c r="F579" s="3" t="s">
        <v>520</v>
      </c>
    </row>
    <row r="580" spans="1:6" x14ac:dyDescent="0.25">
      <c r="A580" s="39">
        <v>43580.423703703702</v>
      </c>
      <c r="B580" s="3" t="s">
        <v>1693</v>
      </c>
      <c r="C580" s="13" t="s">
        <v>332</v>
      </c>
      <c r="D580" s="13">
        <v>0</v>
      </c>
      <c r="E580" s="13" t="s">
        <v>332</v>
      </c>
      <c r="F580" s="3" t="s">
        <v>520</v>
      </c>
    </row>
    <row r="581" spans="1:6" x14ac:dyDescent="0.25">
      <c r="A581" s="39">
        <v>43580.423703703702</v>
      </c>
      <c r="B581" s="3" t="s">
        <v>1696</v>
      </c>
      <c r="C581" s="13" t="s">
        <v>332</v>
      </c>
      <c r="D581" s="13">
        <v>0</v>
      </c>
      <c r="E581" s="13" t="s">
        <v>332</v>
      </c>
      <c r="F581" s="3" t="s">
        <v>520</v>
      </c>
    </row>
    <row r="582" spans="1:6" x14ac:dyDescent="0.25">
      <c r="A582" s="39">
        <v>43580.423703703702</v>
      </c>
      <c r="B582" s="3" t="s">
        <v>1699</v>
      </c>
      <c r="C582" s="13" t="s">
        <v>332</v>
      </c>
      <c r="D582" s="13">
        <v>0</v>
      </c>
      <c r="E582" s="13" t="s">
        <v>332</v>
      </c>
      <c r="F582" s="3" t="s">
        <v>520</v>
      </c>
    </row>
    <row r="583" spans="1:6" x14ac:dyDescent="0.25">
      <c r="A583" s="39">
        <v>43580.423703703702</v>
      </c>
      <c r="B583" s="3" t="s">
        <v>1702</v>
      </c>
      <c r="C583" s="13" t="s">
        <v>332</v>
      </c>
      <c r="D583" s="13">
        <v>0</v>
      </c>
      <c r="E583" s="13" t="s">
        <v>332</v>
      </c>
      <c r="F583" s="3" t="s">
        <v>520</v>
      </c>
    </row>
    <row r="584" spans="1:6" x14ac:dyDescent="0.25">
      <c r="A584" s="39">
        <v>43580.423715277779</v>
      </c>
      <c r="B584" s="3" t="s">
        <v>1705</v>
      </c>
      <c r="C584" s="13" t="s">
        <v>332</v>
      </c>
      <c r="D584" s="13">
        <v>0</v>
      </c>
      <c r="E584" s="13" t="s">
        <v>332</v>
      </c>
      <c r="F584" s="3" t="s">
        <v>520</v>
      </c>
    </row>
    <row r="585" spans="1:6" x14ac:dyDescent="0.25">
      <c r="A585" s="39">
        <v>43580.423715277779</v>
      </c>
      <c r="B585" s="3" t="s">
        <v>1708</v>
      </c>
      <c r="C585" s="13" t="s">
        <v>332</v>
      </c>
      <c r="D585" s="13">
        <v>0</v>
      </c>
      <c r="E585" s="13" t="s">
        <v>332</v>
      </c>
      <c r="F585" s="3" t="s">
        <v>520</v>
      </c>
    </row>
    <row r="586" spans="1:6" x14ac:dyDescent="0.25">
      <c r="A586" s="39">
        <v>43580.423715277779</v>
      </c>
      <c r="B586" s="3" t="s">
        <v>1711</v>
      </c>
      <c r="C586" s="13" t="s">
        <v>332</v>
      </c>
      <c r="D586" s="13">
        <v>0</v>
      </c>
      <c r="E586" s="13" t="s">
        <v>332</v>
      </c>
      <c r="F586" s="3" t="s">
        <v>520</v>
      </c>
    </row>
    <row r="587" spans="1:6" x14ac:dyDescent="0.25">
      <c r="A587" s="39">
        <v>43580.423715277779</v>
      </c>
      <c r="B587" s="3" t="s">
        <v>1714</v>
      </c>
      <c r="C587" s="13" t="s">
        <v>332</v>
      </c>
      <c r="D587" s="13">
        <v>0</v>
      </c>
      <c r="E587" s="13" t="s">
        <v>332</v>
      </c>
      <c r="F587" s="3" t="s">
        <v>520</v>
      </c>
    </row>
    <row r="588" spans="1:6" x14ac:dyDescent="0.25">
      <c r="A588" s="39">
        <v>43580.423715277779</v>
      </c>
      <c r="B588" s="3" t="s">
        <v>1717</v>
      </c>
      <c r="C588" s="13" t="s">
        <v>332</v>
      </c>
      <c r="D588" s="13">
        <v>0</v>
      </c>
      <c r="E588" s="13" t="s">
        <v>332</v>
      </c>
      <c r="F588" s="3" t="s">
        <v>520</v>
      </c>
    </row>
    <row r="589" spans="1:6" x14ac:dyDescent="0.25">
      <c r="A589" s="39">
        <v>43580.423715277779</v>
      </c>
      <c r="B589" s="3" t="s">
        <v>1720</v>
      </c>
      <c r="C589" s="13" t="s">
        <v>332</v>
      </c>
      <c r="D589" s="13">
        <v>0</v>
      </c>
      <c r="E589" s="13" t="s">
        <v>332</v>
      </c>
      <c r="F589" s="3" t="s">
        <v>520</v>
      </c>
    </row>
    <row r="590" spans="1:6" x14ac:dyDescent="0.25">
      <c r="A590" s="39">
        <v>43580.423715277779</v>
      </c>
      <c r="B590" s="3" t="s">
        <v>1723</v>
      </c>
      <c r="C590" s="13" t="s">
        <v>332</v>
      </c>
      <c r="D590" s="13">
        <v>0</v>
      </c>
      <c r="E590" s="13" t="s">
        <v>332</v>
      </c>
      <c r="F590" s="3" t="s">
        <v>520</v>
      </c>
    </row>
    <row r="591" spans="1:6" x14ac:dyDescent="0.25">
      <c r="A591" s="39">
        <v>43580.423726851855</v>
      </c>
      <c r="B591" s="3" t="s">
        <v>1726</v>
      </c>
      <c r="C591" s="13" t="s">
        <v>332</v>
      </c>
      <c r="D591" s="13">
        <v>0</v>
      </c>
      <c r="E591" s="13" t="s">
        <v>332</v>
      </c>
      <c r="F591" s="3" t="s">
        <v>520</v>
      </c>
    </row>
    <row r="592" spans="1:6" x14ac:dyDescent="0.25">
      <c r="A592" s="39">
        <v>43580.423726851855</v>
      </c>
      <c r="B592" s="3" t="s">
        <v>1729</v>
      </c>
      <c r="C592" s="13" t="s">
        <v>332</v>
      </c>
      <c r="D592" s="13">
        <v>0</v>
      </c>
      <c r="E592" s="13" t="s">
        <v>332</v>
      </c>
      <c r="F592" s="3" t="s">
        <v>520</v>
      </c>
    </row>
    <row r="593" spans="1:6" x14ac:dyDescent="0.25">
      <c r="A593" s="39">
        <v>43580.423726851855</v>
      </c>
      <c r="B593" s="3" t="s">
        <v>1732</v>
      </c>
      <c r="C593" s="13" t="s">
        <v>332</v>
      </c>
      <c r="D593" s="13">
        <v>0</v>
      </c>
      <c r="E593" s="13" t="s">
        <v>332</v>
      </c>
      <c r="F593" s="3" t="s">
        <v>520</v>
      </c>
    </row>
    <row r="594" spans="1:6" x14ac:dyDescent="0.25">
      <c r="A594" s="39">
        <v>43580.423726851855</v>
      </c>
      <c r="B594" s="3" t="s">
        <v>1735</v>
      </c>
      <c r="C594" s="13" t="s">
        <v>332</v>
      </c>
      <c r="D594" s="13">
        <v>0</v>
      </c>
      <c r="E594" s="13" t="s">
        <v>332</v>
      </c>
      <c r="F594" s="3" t="s">
        <v>520</v>
      </c>
    </row>
    <row r="595" spans="1:6" x14ac:dyDescent="0.25">
      <c r="A595" s="39">
        <v>43580.423726851855</v>
      </c>
      <c r="B595" s="3" t="s">
        <v>1738</v>
      </c>
      <c r="C595" s="13" t="s">
        <v>332</v>
      </c>
      <c r="D595" s="13">
        <v>0</v>
      </c>
      <c r="E595" s="13" t="s">
        <v>332</v>
      </c>
      <c r="F595" s="3" t="s">
        <v>520</v>
      </c>
    </row>
    <row r="596" spans="1:6" x14ac:dyDescent="0.25">
      <c r="A596" s="39">
        <v>43580.423726851855</v>
      </c>
      <c r="B596" s="3" t="s">
        <v>1741</v>
      </c>
      <c r="C596" s="13" t="s">
        <v>332</v>
      </c>
      <c r="D596" s="13">
        <v>0</v>
      </c>
      <c r="E596" s="13" t="s">
        <v>332</v>
      </c>
      <c r="F596" s="3" t="s">
        <v>520</v>
      </c>
    </row>
    <row r="597" spans="1:6" x14ac:dyDescent="0.25">
      <c r="A597" s="39">
        <v>43580.423726851855</v>
      </c>
      <c r="B597" s="3" t="s">
        <v>1744</v>
      </c>
      <c r="C597" s="13" t="s">
        <v>332</v>
      </c>
      <c r="D597" s="13">
        <v>0</v>
      </c>
      <c r="E597" s="13" t="s">
        <v>332</v>
      </c>
      <c r="F597" s="3" t="s">
        <v>520</v>
      </c>
    </row>
    <row r="598" spans="1:6" x14ac:dyDescent="0.25">
      <c r="A598" s="39">
        <v>43580.423738425925</v>
      </c>
      <c r="B598" s="3" t="s">
        <v>1747</v>
      </c>
      <c r="C598" s="13" t="s">
        <v>332</v>
      </c>
      <c r="D598" s="13">
        <v>0</v>
      </c>
      <c r="E598" s="13" t="s">
        <v>332</v>
      </c>
      <c r="F598" s="3" t="s">
        <v>520</v>
      </c>
    </row>
    <row r="599" spans="1:6" x14ac:dyDescent="0.25">
      <c r="A599" s="39">
        <v>43580.423738425925</v>
      </c>
      <c r="B599" s="3" t="s">
        <v>1750</v>
      </c>
      <c r="C599" s="13" t="s">
        <v>332</v>
      </c>
      <c r="D599" s="13">
        <v>0</v>
      </c>
      <c r="E599" s="13" t="s">
        <v>332</v>
      </c>
      <c r="F599" s="3" t="s">
        <v>520</v>
      </c>
    </row>
    <row r="600" spans="1:6" x14ac:dyDescent="0.25">
      <c r="A600" s="39">
        <v>43580.423738425925</v>
      </c>
      <c r="B600" s="3" t="s">
        <v>1752</v>
      </c>
      <c r="C600" s="13" t="s">
        <v>332</v>
      </c>
      <c r="D600" s="13">
        <v>0</v>
      </c>
      <c r="E600" s="13" t="s">
        <v>332</v>
      </c>
      <c r="F600" s="3" t="s">
        <v>520</v>
      </c>
    </row>
    <row r="601" spans="1:6" x14ac:dyDescent="0.25">
      <c r="A601" s="39">
        <v>43580.423738425925</v>
      </c>
      <c r="B601" s="3" t="s">
        <v>1755</v>
      </c>
      <c r="C601" s="13" t="s">
        <v>332</v>
      </c>
      <c r="D601" s="13">
        <v>0</v>
      </c>
      <c r="E601" s="13" t="s">
        <v>332</v>
      </c>
      <c r="F601" s="3" t="s">
        <v>520</v>
      </c>
    </row>
    <row r="602" spans="1:6" x14ac:dyDescent="0.25">
      <c r="A602" s="39">
        <v>43580.423738425925</v>
      </c>
      <c r="B602" s="3" t="s">
        <v>1758</v>
      </c>
      <c r="C602" s="13" t="s">
        <v>332</v>
      </c>
      <c r="D602" s="13">
        <v>0</v>
      </c>
      <c r="E602" s="13" t="s">
        <v>332</v>
      </c>
      <c r="F602" s="3" t="s">
        <v>520</v>
      </c>
    </row>
    <row r="603" spans="1:6" x14ac:dyDescent="0.25">
      <c r="A603" s="39">
        <v>43580.423738425925</v>
      </c>
      <c r="B603" s="3" t="s">
        <v>1761</v>
      </c>
      <c r="C603" s="13" t="s">
        <v>332</v>
      </c>
      <c r="D603" s="13">
        <v>0</v>
      </c>
      <c r="E603" s="13" t="s">
        <v>332</v>
      </c>
      <c r="F603" s="3" t="s">
        <v>520</v>
      </c>
    </row>
    <row r="604" spans="1:6" x14ac:dyDescent="0.25">
      <c r="A604" s="39">
        <v>43580.423738425925</v>
      </c>
      <c r="B604" s="3" t="s">
        <v>1764</v>
      </c>
      <c r="C604" s="13" t="s">
        <v>332</v>
      </c>
      <c r="D604" s="13">
        <v>0</v>
      </c>
      <c r="E604" s="13" t="s">
        <v>332</v>
      </c>
      <c r="F604" s="3" t="s">
        <v>520</v>
      </c>
    </row>
    <row r="605" spans="1:6" x14ac:dyDescent="0.25">
      <c r="A605" s="39">
        <v>43580.423750000002</v>
      </c>
      <c r="B605" s="3" t="s">
        <v>1766</v>
      </c>
      <c r="C605" s="13" t="s">
        <v>332</v>
      </c>
      <c r="D605" s="13">
        <v>0</v>
      </c>
      <c r="E605" s="13" t="s">
        <v>332</v>
      </c>
      <c r="F605" s="3" t="s">
        <v>520</v>
      </c>
    </row>
    <row r="606" spans="1:6" x14ac:dyDescent="0.25">
      <c r="A606" s="39">
        <v>43580.423750000002</v>
      </c>
      <c r="B606" s="3" t="s">
        <v>1768</v>
      </c>
      <c r="C606" s="13" t="s">
        <v>332</v>
      </c>
      <c r="D606" s="13">
        <v>0</v>
      </c>
      <c r="E606" s="13" t="s">
        <v>332</v>
      </c>
      <c r="F606" s="3" t="s">
        <v>520</v>
      </c>
    </row>
    <row r="607" spans="1:6" x14ac:dyDescent="0.25">
      <c r="A607" s="39">
        <v>43580.423750000002</v>
      </c>
      <c r="B607" s="3" t="s">
        <v>1771</v>
      </c>
      <c r="C607" s="13" t="s">
        <v>332</v>
      </c>
      <c r="D607" s="13">
        <v>0</v>
      </c>
      <c r="E607" s="13" t="s">
        <v>332</v>
      </c>
      <c r="F607" s="3" t="s">
        <v>520</v>
      </c>
    </row>
    <row r="608" spans="1:6" x14ac:dyDescent="0.25">
      <c r="A608" s="39">
        <v>43580.423750000002</v>
      </c>
      <c r="B608" s="3" t="s">
        <v>1774</v>
      </c>
      <c r="C608" s="13" t="s">
        <v>332</v>
      </c>
      <c r="D608" s="13">
        <v>0</v>
      </c>
      <c r="E608" s="13" t="s">
        <v>332</v>
      </c>
      <c r="F608" s="3" t="s">
        <v>520</v>
      </c>
    </row>
    <row r="609" spans="1:6" x14ac:dyDescent="0.25">
      <c r="A609" s="39">
        <v>43580.475428240738</v>
      </c>
      <c r="B609" s="3" t="s">
        <v>511</v>
      </c>
      <c r="C609" s="13" t="s">
        <v>65</v>
      </c>
      <c r="D609" s="13" t="s">
        <v>65</v>
      </c>
      <c r="E609" s="13" t="s">
        <v>65</v>
      </c>
      <c r="F609" s="3" t="s">
        <v>391</v>
      </c>
    </row>
    <row r="610" spans="1:6" x14ac:dyDescent="0.25">
      <c r="A610" s="39">
        <v>43580.520208333335</v>
      </c>
      <c r="B610" s="3" t="s">
        <v>2957</v>
      </c>
      <c r="C610" s="13" t="s">
        <v>65</v>
      </c>
      <c r="D610" s="13" t="s">
        <v>65</v>
      </c>
      <c r="E610" s="13" t="s">
        <v>65</v>
      </c>
      <c r="F610" s="3" t="s">
        <v>391</v>
      </c>
    </row>
    <row r="611" spans="1:6" x14ac:dyDescent="0.25">
      <c r="A611" s="39">
        <v>43580.520370370374</v>
      </c>
      <c r="B611" s="3" t="s">
        <v>2995</v>
      </c>
      <c r="C611" s="13" t="s">
        <v>65</v>
      </c>
      <c r="D611" s="13" t="s">
        <v>65</v>
      </c>
      <c r="E611" s="13" t="s">
        <v>65</v>
      </c>
      <c r="F611" s="3" t="s">
        <v>391</v>
      </c>
    </row>
    <row r="612" spans="1:6" x14ac:dyDescent="0.25">
      <c r="A612" s="39">
        <v>43580.520405092589</v>
      </c>
      <c r="B612" s="3" t="s">
        <v>2986</v>
      </c>
      <c r="C612" s="13" t="s">
        <v>65</v>
      </c>
      <c r="D612" s="13" t="s">
        <v>65</v>
      </c>
      <c r="E612" s="13" t="s">
        <v>65</v>
      </c>
      <c r="F612" s="3" t="s">
        <v>391</v>
      </c>
    </row>
    <row r="613" spans="1:6" x14ac:dyDescent="0.25">
      <c r="A613" s="39">
        <v>43580.520439814813</v>
      </c>
      <c r="B613" s="3" t="s">
        <v>2974</v>
      </c>
      <c r="C613" s="13" t="s">
        <v>65</v>
      </c>
      <c r="D613" s="13" t="s">
        <v>65</v>
      </c>
      <c r="E613" s="13" t="s">
        <v>65</v>
      </c>
      <c r="F613" s="3" t="s">
        <v>391</v>
      </c>
    </row>
    <row r="614" spans="1:6" x14ac:dyDescent="0.25">
      <c r="A614" s="39">
        <v>43580.520497685182</v>
      </c>
      <c r="B614" s="3" t="s">
        <v>3007</v>
      </c>
      <c r="C614" s="13" t="s">
        <v>65</v>
      </c>
      <c r="D614" s="13" t="s">
        <v>65</v>
      </c>
      <c r="E614" s="13" t="s">
        <v>65</v>
      </c>
      <c r="F614" s="3" t="s">
        <v>391</v>
      </c>
    </row>
    <row r="615" spans="1:6" x14ac:dyDescent="0.25">
      <c r="A615" s="39">
        <v>43580.520520833335</v>
      </c>
      <c r="B615" s="3" t="s">
        <v>3007</v>
      </c>
      <c r="C615" s="13" t="s">
        <v>65</v>
      </c>
      <c r="D615" s="13" t="s">
        <v>65</v>
      </c>
      <c r="E615" s="13" t="s">
        <v>65</v>
      </c>
      <c r="F615" s="3" t="s">
        <v>391</v>
      </c>
    </row>
    <row r="616" spans="1:6" x14ac:dyDescent="0.25">
      <c r="A616" s="39">
        <v>43580.520613425928</v>
      </c>
      <c r="B616" s="3" t="s">
        <v>3052</v>
      </c>
      <c r="C616" s="13" t="s">
        <v>65</v>
      </c>
      <c r="D616" s="13" t="s">
        <v>65</v>
      </c>
      <c r="E616" s="13" t="s">
        <v>65</v>
      </c>
      <c r="F616" s="3" t="s">
        <v>391</v>
      </c>
    </row>
    <row r="617" spans="1:6" x14ac:dyDescent="0.25">
      <c r="A617" s="39">
        <v>43580.520671296297</v>
      </c>
      <c r="B617" s="3" t="s">
        <v>3049</v>
      </c>
      <c r="C617" s="13" t="s">
        <v>65</v>
      </c>
      <c r="D617" s="13" t="s">
        <v>65</v>
      </c>
      <c r="E617" s="13" t="s">
        <v>65</v>
      </c>
      <c r="F617" s="3" t="s">
        <v>391</v>
      </c>
    </row>
    <row r="618" spans="1:6" x14ac:dyDescent="0.25">
      <c r="A618" s="39">
        <v>43580.52071759259</v>
      </c>
      <c r="B618" s="3" t="s">
        <v>3046</v>
      </c>
      <c r="C618" s="13" t="s">
        <v>65</v>
      </c>
      <c r="D618" s="13" t="s">
        <v>65</v>
      </c>
      <c r="E618" s="13" t="s">
        <v>65</v>
      </c>
      <c r="F618" s="3" t="s">
        <v>391</v>
      </c>
    </row>
    <row r="619" spans="1:6" x14ac:dyDescent="0.25">
      <c r="A619" s="39">
        <v>43580.52076388889</v>
      </c>
      <c r="B619" s="3" t="s">
        <v>3043</v>
      </c>
      <c r="C619" s="13" t="s">
        <v>65</v>
      </c>
      <c r="D619" s="13" t="s">
        <v>65</v>
      </c>
      <c r="E619" s="13" t="s">
        <v>65</v>
      </c>
      <c r="F619" s="3" t="s">
        <v>391</v>
      </c>
    </row>
    <row r="620" spans="1:6" x14ac:dyDescent="0.25">
      <c r="A620" s="39">
        <v>43580.574675925927</v>
      </c>
      <c r="B620" s="3" t="s">
        <v>1782</v>
      </c>
      <c r="C620" s="13" t="s">
        <v>65</v>
      </c>
      <c r="D620" s="13" t="s">
        <v>65</v>
      </c>
      <c r="E620" s="13" t="s">
        <v>65</v>
      </c>
      <c r="F620" s="3" t="s">
        <v>391</v>
      </c>
    </row>
    <row r="621" spans="1:6" x14ac:dyDescent="0.25">
      <c r="A621" s="39">
        <v>43580.575127314813</v>
      </c>
      <c r="B621" s="3" t="s">
        <v>1794</v>
      </c>
      <c r="C621" s="13" t="s">
        <v>65</v>
      </c>
      <c r="D621" s="13" t="s">
        <v>65</v>
      </c>
      <c r="E621" s="13" t="s">
        <v>65</v>
      </c>
      <c r="F621" s="3" t="s">
        <v>391</v>
      </c>
    </row>
    <row r="622" spans="1:6" x14ac:dyDescent="0.25">
      <c r="A622" s="39">
        <v>43580.575740740744</v>
      </c>
      <c r="B622" s="3" t="s">
        <v>646</v>
      </c>
      <c r="C622" s="13" t="s">
        <v>65</v>
      </c>
      <c r="D622" s="13" t="s">
        <v>65</v>
      </c>
      <c r="E622" s="13" t="s">
        <v>65</v>
      </c>
      <c r="F622" s="3" t="s">
        <v>391</v>
      </c>
    </row>
    <row r="623" spans="1:6" x14ac:dyDescent="0.25">
      <c r="A623" s="39">
        <v>43580.576412037037</v>
      </c>
      <c r="B623" s="3" t="s">
        <v>646</v>
      </c>
      <c r="C623" s="13" t="s">
        <v>65</v>
      </c>
      <c r="D623" s="13" t="s">
        <v>65</v>
      </c>
      <c r="E623" s="13" t="s">
        <v>65</v>
      </c>
      <c r="F623" s="3" t="s">
        <v>391</v>
      </c>
    </row>
    <row r="624" spans="1:6" x14ac:dyDescent="0.25">
      <c r="A624" s="39">
        <v>43580.576504629629</v>
      </c>
      <c r="B624" s="3" t="s">
        <v>646</v>
      </c>
      <c r="C624" s="13" t="s">
        <v>65</v>
      </c>
      <c r="D624" s="13" t="s">
        <v>65</v>
      </c>
      <c r="E624" s="13" t="s">
        <v>65</v>
      </c>
      <c r="F624" s="3" t="s">
        <v>391</v>
      </c>
    </row>
    <row r="625" spans="1:6" x14ac:dyDescent="0.25">
      <c r="A625" s="39">
        <v>43580.576574074075</v>
      </c>
      <c r="B625" s="3" t="s">
        <v>646</v>
      </c>
      <c r="C625" s="13" t="s">
        <v>65</v>
      </c>
      <c r="D625" s="13" t="s">
        <v>65</v>
      </c>
      <c r="E625" s="13" t="s">
        <v>65</v>
      </c>
      <c r="F625" s="3" t="s">
        <v>391</v>
      </c>
    </row>
    <row r="626" spans="1:6" x14ac:dyDescent="0.25">
      <c r="A626" s="39">
        <v>43580.577094907407</v>
      </c>
      <c r="B626" s="3" t="s">
        <v>1794</v>
      </c>
      <c r="C626" s="13" t="s">
        <v>65</v>
      </c>
      <c r="D626" s="13" t="s">
        <v>65</v>
      </c>
      <c r="E626" s="13" t="s">
        <v>65</v>
      </c>
      <c r="F626" s="3" t="s">
        <v>391</v>
      </c>
    </row>
    <row r="627" spans="1:6" x14ac:dyDescent="0.25">
      <c r="A627" s="39">
        <v>43580.577870370369</v>
      </c>
      <c r="B627" s="3" t="s">
        <v>2196</v>
      </c>
      <c r="C627" s="13" t="s">
        <v>65</v>
      </c>
      <c r="D627" s="13" t="s">
        <v>65</v>
      </c>
      <c r="E627" s="13" t="s">
        <v>65</v>
      </c>
      <c r="F627" s="3" t="s">
        <v>391</v>
      </c>
    </row>
    <row r="628" spans="1:6" x14ac:dyDescent="0.25">
      <c r="A628" s="39">
        <v>43580.578564814816</v>
      </c>
      <c r="B628" s="3" t="s">
        <v>646</v>
      </c>
      <c r="C628" s="13" t="s">
        <v>65</v>
      </c>
      <c r="D628" s="13" t="s">
        <v>65</v>
      </c>
      <c r="E628" s="13" t="s">
        <v>65</v>
      </c>
      <c r="F628" s="3" t="s">
        <v>391</v>
      </c>
    </row>
    <row r="629" spans="1:6" x14ac:dyDescent="0.25">
      <c r="A629" s="39">
        <v>43580.578634259262</v>
      </c>
      <c r="B629" s="3" t="s">
        <v>646</v>
      </c>
      <c r="C629" s="13" t="s">
        <v>65</v>
      </c>
      <c r="D629" s="13" t="s">
        <v>65</v>
      </c>
      <c r="E629" s="13" t="s">
        <v>65</v>
      </c>
      <c r="F629" s="3" t="s">
        <v>391</v>
      </c>
    </row>
    <row r="630" spans="1:6" x14ac:dyDescent="0.25">
      <c r="A630" s="39">
        <v>43580.719386574077</v>
      </c>
      <c r="B630" s="3" t="s">
        <v>619</v>
      </c>
      <c r="C630" s="13" t="s">
        <v>65</v>
      </c>
      <c r="D630" s="13" t="s">
        <v>65</v>
      </c>
      <c r="E630" s="13" t="s">
        <v>65</v>
      </c>
      <c r="F630" s="3" t="s">
        <v>391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6F1B8D-761F-47A7-8FA1-B5480084348F}">
  <sheetPr codeName="Sheet1"/>
  <dimension ref="A2:K18"/>
  <sheetViews>
    <sheetView workbookViewId="0">
      <selection activeCell="H21" sqref="H21"/>
    </sheetView>
  </sheetViews>
  <sheetFormatPr defaultRowHeight="15" x14ac:dyDescent="0.25"/>
  <cols>
    <col min="1" max="1" width="11.140625" customWidth="1"/>
    <col min="7" max="7" width="14.5703125" bestFit="1" customWidth="1"/>
    <col min="8" max="8" width="32.85546875" bestFit="1" customWidth="1"/>
    <col min="10" max="10" width="12.28515625" bestFit="1" customWidth="1"/>
    <col min="11" max="11" width="18.140625" bestFit="1" customWidth="1"/>
  </cols>
  <sheetData>
    <row r="2" spans="1:11" x14ac:dyDescent="0.25">
      <c r="B2" s="64" t="s">
        <v>495</v>
      </c>
      <c r="G2" s="19" t="s">
        <v>504</v>
      </c>
      <c r="J2" s="19" t="s">
        <v>503</v>
      </c>
    </row>
    <row r="3" spans="1:11" x14ac:dyDescent="0.25">
      <c r="B3" s="64"/>
      <c r="G3" s="20" t="s">
        <v>357</v>
      </c>
      <c r="H3" s="20" t="s">
        <v>2</v>
      </c>
      <c r="J3" s="20" t="s">
        <v>357</v>
      </c>
      <c r="K3" s="20" t="s">
        <v>2</v>
      </c>
    </row>
    <row r="4" spans="1:11" x14ac:dyDescent="0.25">
      <c r="G4" t="s">
        <v>372</v>
      </c>
      <c r="H4" t="s">
        <v>374</v>
      </c>
      <c r="J4" t="s">
        <v>378</v>
      </c>
      <c r="K4" t="s">
        <v>383</v>
      </c>
    </row>
    <row r="5" spans="1:11" x14ac:dyDescent="0.25">
      <c r="B5" s="64" t="s">
        <v>496</v>
      </c>
      <c r="G5" t="s">
        <v>371</v>
      </c>
      <c r="H5" t="s">
        <v>375</v>
      </c>
      <c r="J5" t="s">
        <v>379</v>
      </c>
      <c r="K5" t="s">
        <v>384</v>
      </c>
    </row>
    <row r="6" spans="1:11" x14ac:dyDescent="0.25">
      <c r="B6" s="64"/>
      <c r="G6" t="s">
        <v>444</v>
      </c>
      <c r="H6" t="s">
        <v>373</v>
      </c>
      <c r="J6" t="s">
        <v>380</v>
      </c>
      <c r="K6" t="s">
        <v>386</v>
      </c>
    </row>
    <row r="7" spans="1:11" x14ac:dyDescent="0.25">
      <c r="G7" t="s">
        <v>445</v>
      </c>
      <c r="H7" t="s">
        <v>448</v>
      </c>
      <c r="J7" t="s">
        <v>381</v>
      </c>
      <c r="K7" t="s">
        <v>453</v>
      </c>
    </row>
    <row r="8" spans="1:11" x14ac:dyDescent="0.25">
      <c r="B8" s="64" t="s">
        <v>497</v>
      </c>
      <c r="G8" t="s">
        <v>446</v>
      </c>
      <c r="H8" t="s">
        <v>376</v>
      </c>
      <c r="J8" t="s">
        <v>382</v>
      </c>
      <c r="K8" t="s">
        <v>454</v>
      </c>
    </row>
    <row r="9" spans="1:11" x14ac:dyDescent="0.25">
      <c r="B9" s="64"/>
      <c r="G9" t="s">
        <v>447</v>
      </c>
      <c r="H9" t="s">
        <v>377</v>
      </c>
      <c r="J9" t="s">
        <v>455</v>
      </c>
    </row>
    <row r="10" spans="1:11" x14ac:dyDescent="0.25">
      <c r="J10" t="s">
        <v>456</v>
      </c>
    </row>
    <row r="11" spans="1:11" x14ac:dyDescent="0.25">
      <c r="A11" s="37"/>
      <c r="B11" s="64" t="s">
        <v>498</v>
      </c>
      <c r="J11" t="s">
        <v>457</v>
      </c>
    </row>
    <row r="12" spans="1:11" x14ac:dyDescent="0.25">
      <c r="A12" s="37"/>
      <c r="B12" s="64"/>
      <c r="J12" t="s">
        <v>458</v>
      </c>
    </row>
    <row r="13" spans="1:11" x14ac:dyDescent="0.25">
      <c r="J13" t="s">
        <v>459</v>
      </c>
    </row>
    <row r="14" spans="1:11" x14ac:dyDescent="0.25">
      <c r="B14" s="64" t="s">
        <v>575</v>
      </c>
      <c r="J14" t="s">
        <v>460</v>
      </c>
    </row>
    <row r="15" spans="1:11" x14ac:dyDescent="0.25">
      <c r="B15" s="64"/>
    </row>
    <row r="17" spans="2:2" x14ac:dyDescent="0.25">
      <c r="B17" s="64" t="s">
        <v>3391</v>
      </c>
    </row>
    <row r="18" spans="2:2" x14ac:dyDescent="0.25">
      <c r="B18" s="64"/>
    </row>
  </sheetData>
  <mergeCells count="6">
    <mergeCell ref="B17:B18"/>
    <mergeCell ref="B11:B12"/>
    <mergeCell ref="B2:B3"/>
    <mergeCell ref="B5:B6"/>
    <mergeCell ref="B8:B9"/>
    <mergeCell ref="B14:B15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1]!btn_AddArticle">
                <anchor moveWithCells="1" sizeWithCells="1">
                  <from>
                    <xdr:col>2</xdr:col>
                    <xdr:colOff>0</xdr:colOff>
                    <xdr:row>1</xdr:row>
                    <xdr:rowOff>0</xdr:rowOff>
                  </from>
                  <to>
                    <xdr:col>4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1]!btn_EditArticles">
                <anchor moveWithCells="1" sizeWithCells="1">
                  <from>
                    <xdr:col>2</xdr:col>
                    <xdr:colOff>0</xdr:colOff>
                    <xdr:row>4</xdr:row>
                    <xdr:rowOff>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1]!btn_EditProduct">
                <anchor moveWithCells="1" sizeWithCells="1">
                  <from>
                    <xdr:col>2</xdr:col>
                    <xdr:colOff>0</xdr:colOff>
                    <xdr:row>7</xdr:row>
                    <xdr:rowOff>0</xdr:rowOff>
                  </from>
                  <to>
                    <xdr:col>4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1]!btn_CreateOrder">
                <anchor moveWithCells="1">
                  <from>
                    <xdr:col>2</xdr:col>
                    <xdr:colOff>0</xdr:colOff>
                    <xdr:row>10</xdr:row>
                    <xdr:rowOff>0</xdr:rowOff>
                  </from>
                  <to>
                    <xdr:col>4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Button 6">
              <controlPr defaultSize="0" print="0" autoFill="0" autoPict="0" macro="[1]!btn_ManageProductsArticles">
                <anchor moveWithCells="1">
                  <from>
                    <xdr:col>2</xdr:col>
                    <xdr:colOff>0</xdr:colOff>
                    <xdr:row>13</xdr:row>
                    <xdr:rowOff>0</xdr:rowOff>
                  </from>
                  <to>
                    <xdr:col>4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9" name="Button 7">
              <controlPr defaultSize="0" print="0" autoFill="0" autoPict="0" macro="[1]!btn_MergeArticles">
                <anchor moveWithCells="1">
                  <from>
                    <xdr:col>2</xdr:col>
                    <xdr:colOff>9525</xdr:colOff>
                    <xdr:row>16</xdr:row>
                    <xdr:rowOff>9525</xdr:rowOff>
                  </from>
                  <to>
                    <xdr:col>4</xdr:col>
                    <xdr:colOff>9525</xdr:colOff>
                    <xdr:row>18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205E7D-9139-456E-9221-4F89CF92C083}">
  <sheetPr codeName="Sheet9">
    <tabColor rgb="FF92D050"/>
  </sheetPr>
  <dimension ref="A1:N59"/>
  <sheetViews>
    <sheetView zoomScaleNormal="100" workbookViewId="0">
      <pane ySplit="1" topLeftCell="A2" activePane="bottomLeft" state="frozen"/>
      <selection activeCell="B186" sqref="B186"/>
      <selection pane="bottomLeft" activeCell="F25" sqref="F25"/>
    </sheetView>
  </sheetViews>
  <sheetFormatPr defaultRowHeight="15" x14ac:dyDescent="0.25"/>
  <cols>
    <col min="1" max="1" width="26.85546875" style="17" bestFit="1" customWidth="1"/>
    <col min="2" max="2" width="19" customWidth="1"/>
    <col min="3" max="3" width="20.28515625" customWidth="1"/>
    <col min="4" max="4" width="10.28515625" bestFit="1" customWidth="1"/>
    <col min="5" max="5" width="11.140625" bestFit="1" customWidth="1"/>
    <col min="6" max="6" width="34.5703125" customWidth="1"/>
    <col min="7" max="7" width="10" bestFit="1" customWidth="1"/>
    <col min="8" max="9" width="12" bestFit="1" customWidth="1"/>
    <col min="10" max="10" width="11" style="26" bestFit="1" customWidth="1"/>
    <col min="11" max="11" width="12.5703125" style="26" bestFit="1" customWidth="1"/>
    <col min="12" max="12" width="29" style="19" bestFit="1" customWidth="1"/>
    <col min="13" max="13" width="21.140625" style="24" customWidth="1"/>
    <col min="14" max="14" width="28.7109375" style="24" bestFit="1" customWidth="1"/>
  </cols>
  <sheetData>
    <row r="1" spans="1:14" ht="15.75" thickBot="1" x14ac:dyDescent="0.3">
      <c r="A1" s="1" t="s">
        <v>1</v>
      </c>
      <c r="B1" s="2" t="s">
        <v>494</v>
      </c>
      <c r="C1" s="2" t="s">
        <v>6</v>
      </c>
      <c r="D1" s="2" t="s">
        <v>4</v>
      </c>
      <c r="E1" s="2" t="s">
        <v>351</v>
      </c>
      <c r="F1" s="21" t="s">
        <v>2</v>
      </c>
      <c r="G1" s="2" t="s">
        <v>3</v>
      </c>
      <c r="H1" s="27" t="s">
        <v>491</v>
      </c>
      <c r="I1" s="18" t="s">
        <v>8</v>
      </c>
      <c r="J1" s="32" t="s">
        <v>138</v>
      </c>
      <c r="K1" s="29" t="s">
        <v>492</v>
      </c>
      <c r="L1" s="29" t="s">
        <v>3082</v>
      </c>
      <c r="M1" s="23"/>
      <c r="N1" s="4"/>
    </row>
    <row r="2" spans="1:14" hidden="1" x14ac:dyDescent="0.25">
      <c r="A2" s="3"/>
      <c r="B2" s="4"/>
      <c r="C2" s="4"/>
      <c r="D2" s="4"/>
      <c r="E2" s="4"/>
      <c r="F2" s="4"/>
      <c r="G2" s="4"/>
      <c r="H2" s="4"/>
      <c r="I2" s="4"/>
      <c r="J2" s="25">
        <f>ROUNDUP(Table8[[#This Row],[Min Stock]]-Table8[[#This Row],[In stock]],0)</f>
        <v>0</v>
      </c>
      <c r="K2" s="28">
        <f>Table8[[#This Row],[Quantity]]*Table8[[#This Row],[Unit price]]</f>
        <v>0</v>
      </c>
      <c r="L2" s="30" t="str">
        <f>IF(Table8[[#This Row],[Ret. Art. Number]]="","",Table8[[#This Row],[Quantity]] &amp; "," &amp; Table8[[#This Row],[Ret. Art. Number]])</f>
        <v/>
      </c>
      <c r="N2"/>
    </row>
    <row r="3" spans="1:14" x14ac:dyDescent="0.25">
      <c r="A3" s="3" t="s">
        <v>511</v>
      </c>
      <c r="B3" s="4" t="s">
        <v>512</v>
      </c>
      <c r="C3" s="4" t="s">
        <v>80</v>
      </c>
      <c r="D3" s="4" t="s">
        <v>82</v>
      </c>
      <c r="E3" s="4" t="s">
        <v>352</v>
      </c>
      <c r="F3" s="4" t="s">
        <v>2952</v>
      </c>
      <c r="G3" s="4">
        <v>0</v>
      </c>
      <c r="H3" s="4">
        <v>1</v>
      </c>
      <c r="I3" s="4">
        <v>8.19</v>
      </c>
      <c r="J3" s="25">
        <v>2</v>
      </c>
      <c r="K3" s="28">
        <f>Table8[[#This Row],[Quantity]]*Table8[[#This Row],[Unit price]]</f>
        <v>16.38</v>
      </c>
      <c r="L3" s="30" t="str">
        <f>IF(Table8[[#This Row],[Ret. Art. Number]]="","",Table8[[#This Row],[Quantity]] &amp; "," &amp; Table8[[#This Row],[Ret. Art. Number]])</f>
        <v>2,MRF89XAM8A-I/RM-ND</v>
      </c>
      <c r="N3"/>
    </row>
    <row r="4" spans="1:14" hidden="1" x14ac:dyDescent="0.25">
      <c r="A4" s="3" t="s">
        <v>2957</v>
      </c>
      <c r="B4" s="4" t="s">
        <v>2960</v>
      </c>
      <c r="C4" s="4" t="s">
        <v>2958</v>
      </c>
      <c r="D4" s="4" t="s">
        <v>82</v>
      </c>
      <c r="E4" s="4" t="s">
        <v>352</v>
      </c>
      <c r="F4" s="4" t="s">
        <v>2959</v>
      </c>
      <c r="G4" s="4">
        <v>0</v>
      </c>
      <c r="H4" s="4">
        <v>100</v>
      </c>
      <c r="I4" s="4">
        <v>6.5000000000000002E-2</v>
      </c>
      <c r="J4" s="25">
        <v>200</v>
      </c>
      <c r="K4" s="28">
        <f>Table8[[#This Row],[Quantity]]*Table8[[#This Row],[Unit price]]</f>
        <v>13</v>
      </c>
      <c r="L4" s="30" t="str">
        <f>IF(Table8[[#This Row],[Ret. Art. Number]]="","",Table8[[#This Row],[Quantity]] &amp; "," &amp; Table8[[#This Row],[Ret. Art. Number]])</f>
        <v>200,455-1606-1-ND</v>
      </c>
      <c r="N4"/>
    </row>
    <row r="5" spans="1:14" x14ac:dyDescent="0.25">
      <c r="A5" s="3" t="s">
        <v>139</v>
      </c>
      <c r="B5" s="4" t="s">
        <v>67</v>
      </c>
      <c r="C5" s="4" t="s">
        <v>69</v>
      </c>
      <c r="D5" s="4" t="s">
        <v>82</v>
      </c>
      <c r="E5" s="4" t="s">
        <v>411</v>
      </c>
      <c r="F5" s="4" t="s">
        <v>68</v>
      </c>
      <c r="G5" s="4">
        <v>1</v>
      </c>
      <c r="H5" s="4"/>
      <c r="I5" s="4">
        <v>4.88</v>
      </c>
      <c r="J5" s="25">
        <v>1</v>
      </c>
      <c r="K5" s="28">
        <f>Table8[[#This Row],[Quantity]]*Table8[[#This Row],[Unit price]]</f>
        <v>4.88</v>
      </c>
      <c r="L5" s="30" t="str">
        <f>IF(Table8[[#This Row],[Ret. Art. Number]]="","",Table8[[#This Row],[Quantity]] &amp; "," &amp; Table8[[#This Row],[Ret. Art. Number]])</f>
        <v>1,PB1175CT-ND</v>
      </c>
      <c r="N5"/>
    </row>
    <row r="6" spans="1:14" x14ac:dyDescent="0.25">
      <c r="A6" s="3" t="s">
        <v>27</v>
      </c>
      <c r="B6" s="4" t="s">
        <v>476</v>
      </c>
      <c r="C6" s="4" t="s">
        <v>45</v>
      </c>
      <c r="D6" s="4" t="s">
        <v>82</v>
      </c>
      <c r="E6" s="4" t="s">
        <v>404</v>
      </c>
      <c r="F6" s="4" t="s">
        <v>25</v>
      </c>
      <c r="G6" s="4">
        <v>9</v>
      </c>
      <c r="H6" s="4">
        <v>20</v>
      </c>
      <c r="I6" s="4">
        <v>0.35</v>
      </c>
      <c r="J6" s="25">
        <f>ROUNDUP(Table8[[#This Row],[Min Stock]]-Table8[[#This Row],[In stock]],0)</f>
        <v>11</v>
      </c>
      <c r="K6" s="28">
        <f>Table8[[#This Row],[Quantity]]*Table8[[#This Row],[Unit price]]</f>
        <v>3.8499999999999996</v>
      </c>
      <c r="L6" s="30" t="str">
        <f>IF(Table8[[#This Row],[Ret. Art. Number]]="","",Table8[[#This Row],[Quantity]] &amp; "," &amp; Table8[[#This Row],[Ret. Art. Number]])</f>
        <v>11,NCP114ASN330T1GOSCT-ND</v>
      </c>
      <c r="N6"/>
    </row>
    <row r="7" spans="1:14" x14ac:dyDescent="0.25">
      <c r="A7" s="3" t="s">
        <v>1881</v>
      </c>
      <c r="B7" s="4" t="s">
        <v>1880</v>
      </c>
      <c r="C7" s="4" t="s">
        <v>713</v>
      </c>
      <c r="D7" s="4" t="s">
        <v>82</v>
      </c>
      <c r="E7" s="4" t="s">
        <v>352</v>
      </c>
      <c r="F7" s="4" t="s">
        <v>1882</v>
      </c>
      <c r="G7" s="4">
        <v>0</v>
      </c>
      <c r="H7" s="4">
        <v>100</v>
      </c>
      <c r="I7" s="4">
        <v>3.2099999999999997E-2</v>
      </c>
      <c r="J7" s="25">
        <f>ROUNDUP(Table8[[#This Row],[Min Stock]]-Table8[[#This Row],[In stock]],0)</f>
        <v>100</v>
      </c>
      <c r="K7" s="28">
        <f>Table8[[#This Row],[Quantity]]*Table8[[#This Row],[Unit price]]</f>
        <v>3.2099999999999995</v>
      </c>
      <c r="L7" s="30" t="str">
        <f>IF(Table8[[#This Row],[Ret. Art. Number]]="","",Table8[[#This Row],[Quantity]] &amp; "," &amp; Table8[[#This Row],[Ret. Art. Number]])</f>
        <v>100,RHM4.7KDCT-ND</v>
      </c>
      <c r="N7"/>
    </row>
    <row r="8" spans="1:14" x14ac:dyDescent="0.25">
      <c r="A8" s="3" t="s">
        <v>40</v>
      </c>
      <c r="B8" s="4" t="s">
        <v>539</v>
      </c>
      <c r="C8" s="4" t="s">
        <v>7</v>
      </c>
      <c r="D8" s="4" t="s">
        <v>82</v>
      </c>
      <c r="E8" s="4" t="s">
        <v>352</v>
      </c>
      <c r="F8" s="4" t="s">
        <v>588</v>
      </c>
      <c r="G8" s="4">
        <v>0</v>
      </c>
      <c r="H8" s="4"/>
      <c r="I8" s="4">
        <v>3.12</v>
      </c>
      <c r="J8" s="25">
        <v>1</v>
      </c>
      <c r="K8" s="28">
        <f>Table8[[#This Row],[Quantity]]*Table8[[#This Row],[Unit price]]</f>
        <v>3.12</v>
      </c>
      <c r="L8" s="30" t="str">
        <f>IF(Table8[[#This Row],[Ret. Art. Number]]="","",Table8[[#This Row],[Quantity]] &amp; "," &amp; Table8[[#This Row],[Ret. Art. Number]])</f>
        <v>1,929974E-01-36-ND</v>
      </c>
      <c r="N8"/>
    </row>
    <row r="9" spans="1:14" x14ac:dyDescent="0.25">
      <c r="A9" s="3" t="s">
        <v>77</v>
      </c>
      <c r="B9" s="4" t="s">
        <v>74</v>
      </c>
      <c r="C9" s="4" t="s">
        <v>76</v>
      </c>
      <c r="D9" s="4" t="s">
        <v>82</v>
      </c>
      <c r="E9" s="4" t="s">
        <v>352</v>
      </c>
      <c r="F9" s="4" t="s">
        <v>75</v>
      </c>
      <c r="G9" s="4">
        <v>1</v>
      </c>
      <c r="H9" s="4"/>
      <c r="I9" s="4">
        <v>2.98</v>
      </c>
      <c r="J9" s="25">
        <v>1</v>
      </c>
      <c r="K9" s="28">
        <f>Table8[[#This Row],[Quantity]]*Table8[[#This Row],[Unit price]]</f>
        <v>2.98</v>
      </c>
      <c r="L9" s="30" t="str">
        <f>IF(Table8[[#This Row],[Ret. Art. Number]]="","",Table8[[#This Row],[Quantity]] &amp; "," &amp; Table8[[#This Row],[Ret. Art. Number]])</f>
        <v>1,668-1204-ND</v>
      </c>
      <c r="N9"/>
    </row>
    <row r="10" spans="1:14" x14ac:dyDescent="0.25">
      <c r="A10" s="3" t="s">
        <v>3230</v>
      </c>
      <c r="B10" s="4" t="s">
        <v>3229</v>
      </c>
      <c r="C10" s="4" t="s">
        <v>251</v>
      </c>
      <c r="D10" s="4" t="s">
        <v>82</v>
      </c>
      <c r="E10" s="4" t="s">
        <v>352</v>
      </c>
      <c r="F10" s="4" t="s">
        <v>3231</v>
      </c>
      <c r="G10" s="4">
        <v>0</v>
      </c>
      <c r="H10" s="4">
        <v>5</v>
      </c>
      <c r="I10" s="4">
        <v>0.42</v>
      </c>
      <c r="J10" s="25">
        <v>7</v>
      </c>
      <c r="K10" s="28">
        <f>Table8[[#This Row],[Quantity]]*Table8[[#This Row],[Unit price]]</f>
        <v>2.94</v>
      </c>
      <c r="L10" s="30" t="str">
        <f>IF(Table8[[#This Row],[Ret. Art. Number]]="","",Table8[[#This Row],[Quantity]] &amp; "," &amp; Table8[[#This Row],[Ret. Art. Number]])</f>
        <v>7,541-5.1UACT-ND</v>
      </c>
      <c r="N10"/>
    </row>
    <row r="11" spans="1:14" x14ac:dyDescent="0.25">
      <c r="A11" s="3" t="s">
        <v>508</v>
      </c>
      <c r="B11" s="4" t="s">
        <v>509</v>
      </c>
      <c r="C11" s="4" t="s">
        <v>80</v>
      </c>
      <c r="D11" s="4" t="s">
        <v>82</v>
      </c>
      <c r="E11" s="4" t="s">
        <v>352</v>
      </c>
      <c r="F11" s="4" t="s">
        <v>510</v>
      </c>
      <c r="G11" s="4">
        <v>0</v>
      </c>
      <c r="H11" s="4">
        <v>2</v>
      </c>
      <c r="I11" s="4">
        <v>0.93</v>
      </c>
      <c r="J11" s="25">
        <v>3</v>
      </c>
      <c r="K11" s="28">
        <f>Table8[[#This Row],[Quantity]]*Table8[[#This Row],[Unit price]]</f>
        <v>2.79</v>
      </c>
      <c r="L11" s="30" t="str">
        <f>IF(Table8[[#This Row],[Ret. Art. Number]]="","",Table8[[#This Row],[Quantity]] &amp; "," &amp; Table8[[#This Row],[Ret. Art. Number]])</f>
        <v>3,DSC6003JI2A-012.0000TCT-ND</v>
      </c>
      <c r="N11"/>
    </row>
    <row r="12" spans="1:14" x14ac:dyDescent="0.25">
      <c r="A12" s="3" t="s">
        <v>3085</v>
      </c>
      <c r="B12" s="4" t="s">
        <v>3087</v>
      </c>
      <c r="C12" s="4" t="s">
        <v>243</v>
      </c>
      <c r="D12" s="4" t="s">
        <v>82</v>
      </c>
      <c r="E12" s="4" t="s">
        <v>352</v>
      </c>
      <c r="F12" s="4" t="s">
        <v>3086</v>
      </c>
      <c r="G12" s="4">
        <v>0</v>
      </c>
      <c r="H12" s="4">
        <v>100</v>
      </c>
      <c r="I12" s="4">
        <v>2.7E-2</v>
      </c>
      <c r="J12" s="25">
        <f>ROUNDUP(Table8[[#This Row],[Min Stock]]-Table8[[#This Row],[In stock]],0)</f>
        <v>100</v>
      </c>
      <c r="K12" s="28">
        <f>Table8[[#This Row],[Quantity]]*Table8[[#This Row],[Unit price]]</f>
        <v>2.7</v>
      </c>
      <c r="L12" s="30" t="str">
        <f>IF(Table8[[#This Row],[Ret. Art. Number]]="","",Table8[[#This Row],[Quantity]] &amp; "," &amp; Table8[[#This Row],[Ret. Art. Number]])</f>
        <v>100,1276-6468-1-ND</v>
      </c>
      <c r="N12"/>
    </row>
    <row r="13" spans="1:14" x14ac:dyDescent="0.25">
      <c r="A13" s="3" t="s">
        <v>3284</v>
      </c>
      <c r="B13" s="4" t="s">
        <v>3283</v>
      </c>
      <c r="C13" s="4" t="s">
        <v>251</v>
      </c>
      <c r="D13" s="4" t="s">
        <v>82</v>
      </c>
      <c r="E13" s="4" t="s">
        <v>352</v>
      </c>
      <c r="F13" s="4" t="s">
        <v>3285</v>
      </c>
      <c r="G13" s="4">
        <v>0</v>
      </c>
      <c r="H13" s="4">
        <v>5</v>
      </c>
      <c r="I13" s="4">
        <v>0.44</v>
      </c>
      <c r="J13" s="25">
        <f>ROUNDUP(Table8[[#This Row],[Min Stock]]-Table8[[#This Row],[In stock]],0)</f>
        <v>5</v>
      </c>
      <c r="K13" s="28">
        <f>Table8[[#This Row],[Quantity]]*Table8[[#This Row],[Unit price]]</f>
        <v>2.2000000000000002</v>
      </c>
      <c r="L13" s="30" t="str">
        <f>IF(Table8[[#This Row],[Ret. Art. Number]]="","",Table8[[#This Row],[Quantity]] &amp; "," &amp; Table8[[#This Row],[Ret. Art. Number]])</f>
        <v>5,541-3.9UACT-ND</v>
      </c>
      <c r="N13"/>
    </row>
    <row r="14" spans="1:14" x14ac:dyDescent="0.25">
      <c r="A14" s="3" t="s">
        <v>3188</v>
      </c>
      <c r="B14" s="4" t="s">
        <v>3187</v>
      </c>
      <c r="C14" s="4" t="s">
        <v>251</v>
      </c>
      <c r="D14" s="4" t="s">
        <v>82</v>
      </c>
      <c r="E14" s="4" t="s">
        <v>352</v>
      </c>
      <c r="F14" s="4" t="s">
        <v>3189</v>
      </c>
      <c r="G14" s="4">
        <v>0</v>
      </c>
      <c r="H14" s="4">
        <v>5</v>
      </c>
      <c r="I14" s="4">
        <v>0.44</v>
      </c>
      <c r="J14" s="25">
        <f>ROUNDUP(Table8[[#This Row],[Min Stock]]-Table8[[#This Row],[In stock]],0)</f>
        <v>5</v>
      </c>
      <c r="K14" s="28">
        <f>Table8[[#This Row],[Quantity]]*Table8[[#This Row],[Unit price]]</f>
        <v>2.2000000000000002</v>
      </c>
      <c r="L14" s="30" t="str">
        <f>IF(Table8[[#This Row],[Ret. Art. Number]]="","",Table8[[#This Row],[Quantity]] &amp; "," &amp; Table8[[#This Row],[Ret. Art. Number]])</f>
        <v>5,541-4.7UACT-ND</v>
      </c>
      <c r="N14"/>
    </row>
    <row r="15" spans="1:14" x14ac:dyDescent="0.25">
      <c r="A15" s="3" t="s">
        <v>2962</v>
      </c>
      <c r="B15" s="4" t="s">
        <v>2961</v>
      </c>
      <c r="C15" s="4" t="s">
        <v>2958</v>
      </c>
      <c r="D15" s="4" t="s">
        <v>82</v>
      </c>
      <c r="E15" s="4" t="s">
        <v>352</v>
      </c>
      <c r="F15" s="4" t="s">
        <v>2963</v>
      </c>
      <c r="G15" s="4">
        <v>0</v>
      </c>
      <c r="H15" s="4">
        <v>2</v>
      </c>
      <c r="I15" s="4">
        <v>0.43</v>
      </c>
      <c r="J15" s="25">
        <v>5</v>
      </c>
      <c r="K15" s="28">
        <f>Table8[[#This Row],[Quantity]]*Table8[[#This Row],[Unit price]]</f>
        <v>2.15</v>
      </c>
      <c r="L15" s="30" t="str">
        <f>IF(Table8[[#This Row],[Ret. Art. Number]]="","",Table8[[#This Row],[Quantity]] &amp; "," &amp; Table8[[#This Row],[Ret. Art. Number]])</f>
        <v>5,455-1578-1-ND</v>
      </c>
      <c r="N15"/>
    </row>
    <row r="16" spans="1:14" x14ac:dyDescent="0.25">
      <c r="A16" s="3" t="s">
        <v>516</v>
      </c>
      <c r="B16" s="4" t="s">
        <v>518</v>
      </c>
      <c r="C16" s="4" t="s">
        <v>517</v>
      </c>
      <c r="D16" s="4" t="s">
        <v>82</v>
      </c>
      <c r="E16" s="4" t="s">
        <v>352</v>
      </c>
      <c r="F16" s="4" t="s">
        <v>519</v>
      </c>
      <c r="G16" s="4">
        <v>0</v>
      </c>
      <c r="H16" s="4">
        <v>5</v>
      </c>
      <c r="I16" s="4">
        <v>0.34</v>
      </c>
      <c r="J16" s="25">
        <v>6</v>
      </c>
      <c r="K16" s="28">
        <f>Table8[[#This Row],[Quantity]]*Table8[[#This Row],[Unit price]]</f>
        <v>2.04</v>
      </c>
      <c r="L16" s="30" t="str">
        <f>IF(Table8[[#This Row],[Ret. Art. Number]]="","",Table8[[#This Row],[Quantity]] &amp; "," &amp; Table8[[#This Row],[Ret. Art. Number]])</f>
        <v>6,507-2023-1-ND</v>
      </c>
      <c r="N16"/>
    </row>
    <row r="17" spans="1:14" x14ac:dyDescent="0.25">
      <c r="A17" s="3" t="s">
        <v>590</v>
      </c>
      <c r="B17" s="4" t="s">
        <v>538</v>
      </c>
      <c r="C17" s="4" t="s">
        <v>108</v>
      </c>
      <c r="D17" s="4" t="s">
        <v>82</v>
      </c>
      <c r="E17" s="4" t="s">
        <v>352</v>
      </c>
      <c r="F17" s="4" t="s">
        <v>589</v>
      </c>
      <c r="G17" s="4">
        <v>3</v>
      </c>
      <c r="H17" s="4">
        <v>5</v>
      </c>
      <c r="I17" s="4">
        <v>1.02</v>
      </c>
      <c r="J17" s="25">
        <f>ROUNDUP(Table8[[#This Row],[Min Stock]]-Table8[[#This Row],[In stock]],0)</f>
        <v>2</v>
      </c>
      <c r="K17" s="28">
        <f>Table8[[#This Row],[Quantity]]*Table8[[#This Row],[Unit price]]</f>
        <v>2.04</v>
      </c>
      <c r="L17" s="30" t="str">
        <f>IF(Table8[[#This Row],[Ret. Art. Number]]="","",Table8[[#This Row],[Quantity]] &amp; "," &amp; Table8[[#This Row],[Ret. Art. Number]])</f>
        <v>2,WM50014-36-ND</v>
      </c>
      <c r="N17"/>
    </row>
    <row r="18" spans="1:14" x14ac:dyDescent="0.25">
      <c r="A18" s="3" t="s">
        <v>505</v>
      </c>
      <c r="B18" s="4" t="s">
        <v>506</v>
      </c>
      <c r="C18" s="4" t="s">
        <v>80</v>
      </c>
      <c r="D18" s="4" t="s">
        <v>82</v>
      </c>
      <c r="E18" s="4" t="s">
        <v>352</v>
      </c>
      <c r="F18" s="4" t="s">
        <v>507</v>
      </c>
      <c r="G18" s="4">
        <v>0</v>
      </c>
      <c r="H18" s="4">
        <v>1</v>
      </c>
      <c r="I18" s="4">
        <v>2</v>
      </c>
      <c r="J18" s="25">
        <v>1</v>
      </c>
      <c r="K18" s="28">
        <f>Table8[[#This Row],[Quantity]]*Table8[[#This Row],[Unit price]]</f>
        <v>2</v>
      </c>
      <c r="L18" s="30" t="str">
        <f>IF(Table8[[#This Row],[Ret. Art. Number]]="","",Table8[[#This Row],[Quantity]] &amp; "," &amp; Table8[[#This Row],[Ret. Art. Number]])</f>
        <v>1,MCP2210-I/SS-ND</v>
      </c>
      <c r="N18"/>
    </row>
    <row r="19" spans="1:14" x14ac:dyDescent="0.25">
      <c r="A19" s="3" t="s">
        <v>513</v>
      </c>
      <c r="B19" s="4" t="s">
        <v>514</v>
      </c>
      <c r="C19" s="4" t="s">
        <v>80</v>
      </c>
      <c r="D19" s="4" t="s">
        <v>82</v>
      </c>
      <c r="E19" s="4" t="s">
        <v>352</v>
      </c>
      <c r="F19" s="4" t="s">
        <v>515</v>
      </c>
      <c r="G19" s="4">
        <v>0</v>
      </c>
      <c r="H19" s="4">
        <v>1</v>
      </c>
      <c r="I19" s="4">
        <v>1.78</v>
      </c>
      <c r="J19" s="25">
        <v>1</v>
      </c>
      <c r="K19" s="28">
        <f>Table8[[#This Row],[Quantity]]*Table8[[#This Row],[Unit price]]</f>
        <v>1.78</v>
      </c>
      <c r="L19" s="30" t="str">
        <f>IF(Table8[[#This Row],[Ret. Art. Number]]="","",Table8[[#This Row],[Quantity]] &amp; "," &amp; Table8[[#This Row],[Ret. Art. Number]])</f>
        <v>1,PIC18F46K40-I/PT-ND</v>
      </c>
      <c r="N19"/>
    </row>
    <row r="20" spans="1:14" x14ac:dyDescent="0.25">
      <c r="A20" s="3" t="s">
        <v>2995</v>
      </c>
      <c r="B20" s="4" t="s">
        <v>2994</v>
      </c>
      <c r="C20" s="4" t="s">
        <v>2958</v>
      </c>
      <c r="D20" s="4" t="s">
        <v>82</v>
      </c>
      <c r="E20" s="4" t="s">
        <v>352</v>
      </c>
      <c r="F20" s="4" t="s">
        <v>2996</v>
      </c>
      <c r="G20" s="4">
        <v>0</v>
      </c>
      <c r="H20" s="4">
        <v>2</v>
      </c>
      <c r="I20" s="4">
        <v>0.59</v>
      </c>
      <c r="J20" s="25">
        <v>3</v>
      </c>
      <c r="K20" s="28">
        <f>Table8[[#This Row],[Quantity]]*Table8[[#This Row],[Unit price]]</f>
        <v>1.77</v>
      </c>
      <c r="L20" s="30" t="str">
        <f>IF(Table8[[#This Row],[Ret. Art. Number]]="","",Table8[[#This Row],[Quantity]] &amp; "," &amp; Table8[[#This Row],[Ret. Art. Number]])</f>
        <v>3,455-1584-1-ND</v>
      </c>
      <c r="N20"/>
    </row>
    <row r="21" spans="1:14" x14ac:dyDescent="0.25">
      <c r="A21" s="3" t="s">
        <v>2992</v>
      </c>
      <c r="B21" s="4" t="s">
        <v>2991</v>
      </c>
      <c r="C21" s="4" t="s">
        <v>2958</v>
      </c>
      <c r="D21" s="4" t="s">
        <v>82</v>
      </c>
      <c r="E21" s="4" t="s">
        <v>352</v>
      </c>
      <c r="F21" s="4" t="s">
        <v>2993</v>
      </c>
      <c r="G21" s="4">
        <v>0</v>
      </c>
      <c r="H21" s="4">
        <v>2</v>
      </c>
      <c r="I21" s="4">
        <v>0.59</v>
      </c>
      <c r="J21" s="25">
        <v>3</v>
      </c>
      <c r="K21" s="28">
        <f>Table8[[#This Row],[Quantity]]*Table8[[#This Row],[Unit price]]</f>
        <v>1.77</v>
      </c>
      <c r="L21" s="30" t="str">
        <f>IF(Table8[[#This Row],[Ret. Art. Number]]="","",Table8[[#This Row],[Quantity]] &amp; "," &amp; Table8[[#This Row],[Ret. Art. Number]])</f>
        <v>3,455-1583-1-ND</v>
      </c>
      <c r="N21"/>
    </row>
    <row r="22" spans="1:14" x14ac:dyDescent="0.25">
      <c r="A22" s="3" t="s">
        <v>584</v>
      </c>
      <c r="B22" s="4" t="s">
        <v>708</v>
      </c>
      <c r="C22" s="4" t="s">
        <v>160</v>
      </c>
      <c r="D22" s="4" t="s">
        <v>82</v>
      </c>
      <c r="E22" s="4" t="s">
        <v>352</v>
      </c>
      <c r="F22" s="4" t="s">
        <v>707</v>
      </c>
      <c r="G22" s="4">
        <v>0</v>
      </c>
      <c r="H22" s="4">
        <v>20</v>
      </c>
      <c r="I22" s="4">
        <v>0.08</v>
      </c>
      <c r="J22" s="25">
        <v>22</v>
      </c>
      <c r="K22" s="28">
        <f>Table8[[#This Row],[Quantity]]*Table8[[#This Row],[Unit price]]</f>
        <v>1.76</v>
      </c>
      <c r="L22" s="30" t="str">
        <f>IF(Table8[[#This Row],[Ret. Art. Number]]="","",Table8[[#This Row],[Quantity]] &amp; "," &amp; Table8[[#This Row],[Ret. Art. Number]])</f>
        <v>22,732-7672-1-ND</v>
      </c>
      <c r="N22"/>
    </row>
    <row r="23" spans="1:14" x14ac:dyDescent="0.25">
      <c r="A23" s="3" t="s">
        <v>2986</v>
      </c>
      <c r="B23" s="4" t="s">
        <v>2985</v>
      </c>
      <c r="C23" s="4" t="s">
        <v>2958</v>
      </c>
      <c r="D23" s="4" t="s">
        <v>82</v>
      </c>
      <c r="E23" s="4" t="s">
        <v>352</v>
      </c>
      <c r="F23" s="4" t="s">
        <v>2987</v>
      </c>
      <c r="G23" s="4">
        <v>0</v>
      </c>
      <c r="H23" s="4">
        <v>2</v>
      </c>
      <c r="I23" s="4">
        <v>0.56000000000000005</v>
      </c>
      <c r="J23" s="25">
        <v>3</v>
      </c>
      <c r="K23" s="28">
        <f>Table8[[#This Row],[Quantity]]*Table8[[#This Row],[Unit price]]</f>
        <v>1.6800000000000002</v>
      </c>
      <c r="L23" s="30" t="str">
        <f>IF(Table8[[#This Row],[Ret. Art. Number]]="","",Table8[[#This Row],[Quantity]] &amp; "," &amp; Table8[[#This Row],[Ret. Art. Number]])</f>
        <v>3,455-1582-1-ND</v>
      </c>
      <c r="N23"/>
    </row>
    <row r="24" spans="1:14" x14ac:dyDescent="0.25">
      <c r="A24" s="3" t="s">
        <v>1782</v>
      </c>
      <c r="B24" s="4" t="s">
        <v>1781</v>
      </c>
      <c r="C24" s="4" t="s">
        <v>713</v>
      </c>
      <c r="D24" s="4" t="s">
        <v>82</v>
      </c>
      <c r="E24" s="4" t="s">
        <v>352</v>
      </c>
      <c r="F24" s="4" t="s">
        <v>1783</v>
      </c>
      <c r="G24" s="4">
        <v>0</v>
      </c>
      <c r="H24" s="4">
        <v>10</v>
      </c>
      <c r="I24" s="4">
        <v>0.1</v>
      </c>
      <c r="J24" s="25">
        <v>15</v>
      </c>
      <c r="K24" s="28">
        <f>Table8[[#This Row],[Quantity]]*Table8[[#This Row],[Unit price]]</f>
        <v>1.5</v>
      </c>
      <c r="L24" s="30" t="str">
        <f>IF(Table8[[#This Row],[Ret. Art. Number]]="","",Table8[[#This Row],[Quantity]] &amp; "," &amp; Table8[[#This Row],[Ret. Art. Number]])</f>
        <v>15,RHM1.0KDCT-ND</v>
      </c>
      <c r="N24"/>
    </row>
    <row r="25" spans="1:14" x14ac:dyDescent="0.25">
      <c r="A25" s="3" t="s">
        <v>2968</v>
      </c>
      <c r="B25" s="4" t="s">
        <v>2967</v>
      </c>
      <c r="C25" s="4" t="s">
        <v>2958</v>
      </c>
      <c r="D25" s="4" t="s">
        <v>82</v>
      </c>
      <c r="E25" s="4" t="s">
        <v>352</v>
      </c>
      <c r="F25" s="4" t="s">
        <v>2969</v>
      </c>
      <c r="G25" s="4">
        <v>0</v>
      </c>
      <c r="H25" s="4">
        <v>2</v>
      </c>
      <c r="I25" s="4">
        <v>0.48</v>
      </c>
      <c r="J25" s="25">
        <v>3</v>
      </c>
      <c r="K25" s="28">
        <f>Table8[[#This Row],[Quantity]]*Table8[[#This Row],[Unit price]]</f>
        <v>1.44</v>
      </c>
      <c r="L25" s="30" t="str">
        <f>IF(Table8[[#This Row],[Ret. Art. Number]]="","",Table8[[#This Row],[Quantity]] &amp; "," &amp; Table8[[#This Row],[Ret. Art. Number]])</f>
        <v>3,455-1579-1-ND</v>
      </c>
      <c r="N25"/>
    </row>
    <row r="26" spans="1:14" x14ac:dyDescent="0.25">
      <c r="A26" s="3" t="s">
        <v>2980</v>
      </c>
      <c r="B26" s="4" t="s">
        <v>2979</v>
      </c>
      <c r="C26" s="4" t="s">
        <v>2958</v>
      </c>
      <c r="D26" s="4" t="s">
        <v>82</v>
      </c>
      <c r="E26" s="4" t="s">
        <v>352</v>
      </c>
      <c r="F26" s="4" t="s">
        <v>2981</v>
      </c>
      <c r="G26" s="4">
        <v>0</v>
      </c>
      <c r="H26" s="4">
        <v>2</v>
      </c>
      <c r="I26" s="4">
        <v>0.46</v>
      </c>
      <c r="J26" s="25">
        <v>3</v>
      </c>
      <c r="K26" s="28">
        <f>Table8[[#This Row],[Quantity]]*Table8[[#This Row],[Unit price]]</f>
        <v>1.3800000000000001</v>
      </c>
      <c r="L26" s="30" t="str">
        <f>IF(Table8[[#This Row],[Ret. Art. Number]]="","",Table8[[#This Row],[Quantity]] &amp; "," &amp; Table8[[#This Row],[Ret. Art. Number]])</f>
        <v>3,455-1581-1-ND</v>
      </c>
      <c r="N26"/>
    </row>
    <row r="27" spans="1:14" x14ac:dyDescent="0.25">
      <c r="A27" s="3" t="s">
        <v>3007</v>
      </c>
      <c r="B27" s="4" t="s">
        <v>3006</v>
      </c>
      <c r="C27" s="4" t="s">
        <v>2958</v>
      </c>
      <c r="D27" s="4" t="s">
        <v>82</v>
      </c>
      <c r="E27" s="4" t="s">
        <v>352</v>
      </c>
      <c r="F27" s="4" t="s">
        <v>3008</v>
      </c>
      <c r="G27" s="4">
        <v>0</v>
      </c>
      <c r="H27" s="4">
        <v>2</v>
      </c>
      <c r="I27" s="4">
        <v>0.67</v>
      </c>
      <c r="J27" s="25">
        <f>ROUNDUP(Table8[[#This Row],[Min Stock]]-Table8[[#This Row],[In stock]],0)</f>
        <v>2</v>
      </c>
      <c r="K27" s="28">
        <f>Table8[[#This Row],[Quantity]]*Table8[[#This Row],[Unit price]]</f>
        <v>1.34</v>
      </c>
      <c r="L27" s="30" t="str">
        <f>IF(Table8[[#This Row],[Ret. Art. Number]]="","",Table8[[#This Row],[Quantity]] &amp; "," &amp; Table8[[#This Row],[Ret. Art. Number]])</f>
        <v>2,455-1586-1-ND</v>
      </c>
      <c r="N27"/>
    </row>
    <row r="28" spans="1:14" x14ac:dyDescent="0.25">
      <c r="A28" s="3" t="s">
        <v>2214</v>
      </c>
      <c r="B28" s="4" t="s">
        <v>2213</v>
      </c>
      <c r="C28" s="4" t="s">
        <v>713</v>
      </c>
      <c r="D28" s="4" t="s">
        <v>82</v>
      </c>
      <c r="E28" s="4" t="s">
        <v>352</v>
      </c>
      <c r="F28" s="4" t="s">
        <v>2215</v>
      </c>
      <c r="G28" s="4">
        <v>0</v>
      </c>
      <c r="H28" s="4">
        <v>10</v>
      </c>
      <c r="I28" s="4">
        <v>0.1</v>
      </c>
      <c r="J28" s="25">
        <v>13</v>
      </c>
      <c r="K28" s="28">
        <f>Table8[[#This Row],[Quantity]]*Table8[[#This Row],[Unit price]]</f>
        <v>1.3</v>
      </c>
      <c r="L28" s="30" t="str">
        <f>IF(Table8[[#This Row],[Ret. Art. Number]]="","",Table8[[#This Row],[Quantity]] &amp; "," &amp; Table8[[#This Row],[Ret. Art. Number]])</f>
        <v>13,RHM180DCT-ND</v>
      </c>
      <c r="N28"/>
    </row>
    <row r="29" spans="1:14" x14ac:dyDescent="0.25">
      <c r="A29" s="3" t="s">
        <v>1791</v>
      </c>
      <c r="B29" s="4" t="s">
        <v>1790</v>
      </c>
      <c r="C29" s="4" t="s">
        <v>713</v>
      </c>
      <c r="D29" s="4" t="s">
        <v>82</v>
      </c>
      <c r="E29" s="4" t="s">
        <v>352</v>
      </c>
      <c r="F29" s="4" t="s">
        <v>1792</v>
      </c>
      <c r="G29" s="4">
        <v>0</v>
      </c>
      <c r="H29" s="4">
        <v>10</v>
      </c>
      <c r="I29" s="4">
        <v>0.13</v>
      </c>
      <c r="J29" s="25">
        <f>ROUNDUP(Table8[[#This Row],[Min Stock]]-Table8[[#This Row],[In stock]],0)</f>
        <v>10</v>
      </c>
      <c r="K29" s="28">
        <f>Table8[[#This Row],[Quantity]]*Table8[[#This Row],[Unit price]]</f>
        <v>1.3</v>
      </c>
      <c r="L29" s="30" t="str">
        <f>IF(Table8[[#This Row],[Ret. Art. Number]]="","",Table8[[#This Row],[Quantity]] &amp; "," &amp; Table8[[#This Row],[Ret. Art. Number]])</f>
        <v>10,RHM10KADCT-ND</v>
      </c>
      <c r="N29"/>
    </row>
    <row r="30" spans="1:14" x14ac:dyDescent="0.25">
      <c r="A30" s="3" t="s">
        <v>1971</v>
      </c>
      <c r="B30" s="4" t="s">
        <v>1970</v>
      </c>
      <c r="C30" s="4" t="s">
        <v>713</v>
      </c>
      <c r="D30" s="4" t="s">
        <v>82</v>
      </c>
      <c r="E30" s="4" t="s">
        <v>352</v>
      </c>
      <c r="F30" s="4" t="s">
        <v>1972</v>
      </c>
      <c r="G30" s="4">
        <v>0</v>
      </c>
      <c r="H30" s="4">
        <v>10</v>
      </c>
      <c r="I30" s="4">
        <v>0.13</v>
      </c>
      <c r="J30" s="25">
        <f>ROUNDUP(Table8[[#This Row],[Min Stock]]-Table8[[#This Row],[In stock]],0)</f>
        <v>10</v>
      </c>
      <c r="K30" s="28">
        <f>Table8[[#This Row],[Quantity]]*Table8[[#This Row],[Unit price]]</f>
        <v>1.3</v>
      </c>
      <c r="L30" s="30" t="str">
        <f>IF(Table8[[#This Row],[Ret. Art. Number]]="","",Table8[[#This Row],[Quantity]] &amp; "," &amp; Table8[[#This Row],[Ret. Art. Number]])</f>
        <v>10,RHM100KADCT-ND</v>
      </c>
      <c r="N30"/>
    </row>
    <row r="31" spans="1:14" x14ac:dyDescent="0.25">
      <c r="A31" s="3" t="s">
        <v>3049</v>
      </c>
      <c r="B31" s="4" t="s">
        <v>3048</v>
      </c>
      <c r="C31" s="4" t="s">
        <v>2958</v>
      </c>
      <c r="D31" s="4" t="s">
        <v>82</v>
      </c>
      <c r="E31" s="4" t="s">
        <v>352</v>
      </c>
      <c r="F31" s="4" t="s">
        <v>3050</v>
      </c>
      <c r="G31" s="4">
        <v>0</v>
      </c>
      <c r="H31" s="4">
        <v>4</v>
      </c>
      <c r="I31" s="4">
        <v>0.18</v>
      </c>
      <c r="J31" s="25">
        <v>7</v>
      </c>
      <c r="K31" s="28">
        <f>Table8[[#This Row],[Quantity]]*Table8[[#This Row],[Unit price]]</f>
        <v>1.26</v>
      </c>
      <c r="L31" s="30" t="str">
        <f>IF(Table8[[#This Row],[Ret. Art. Number]]="","",Table8[[#This Row],[Quantity]] &amp; "," &amp; Table8[[#This Row],[Ret. Art. Number]])</f>
        <v>7,455-1598-ND</v>
      </c>
      <c r="N31"/>
    </row>
    <row r="32" spans="1:14" x14ac:dyDescent="0.25">
      <c r="A32" s="3" t="s">
        <v>3037</v>
      </c>
      <c r="B32" s="4" t="s">
        <v>3036</v>
      </c>
      <c r="C32" s="4" t="s">
        <v>2958</v>
      </c>
      <c r="D32" s="4" t="s">
        <v>82</v>
      </c>
      <c r="E32" s="4" t="s">
        <v>352</v>
      </c>
      <c r="F32" s="4" t="s">
        <v>3038</v>
      </c>
      <c r="G32" s="4">
        <v>0</v>
      </c>
      <c r="H32" s="4">
        <v>4</v>
      </c>
      <c r="I32" s="4">
        <v>0.17</v>
      </c>
      <c r="J32" s="25">
        <v>7</v>
      </c>
      <c r="K32" s="28">
        <f>Table8[[#This Row],[Quantity]]*Table8[[#This Row],[Unit price]]</f>
        <v>1.1900000000000002</v>
      </c>
      <c r="L32" s="30" t="str">
        <f>IF(Table8[[#This Row],[Ret. Art. Number]]="","",Table8[[#This Row],[Quantity]] &amp; "," &amp; Table8[[#This Row],[Ret. Art. Number]])</f>
        <v>7,455-1595-ND</v>
      </c>
      <c r="N32"/>
    </row>
    <row r="33" spans="1:14" x14ac:dyDescent="0.25">
      <c r="A33" s="3" t="s">
        <v>1878</v>
      </c>
      <c r="B33" s="4" t="s">
        <v>1877</v>
      </c>
      <c r="C33" s="4" t="s">
        <v>713</v>
      </c>
      <c r="D33" s="4" t="s">
        <v>82</v>
      </c>
      <c r="E33" s="4" t="s">
        <v>352</v>
      </c>
      <c r="F33" s="4" t="s">
        <v>1879</v>
      </c>
      <c r="G33" s="4">
        <v>0</v>
      </c>
      <c r="H33" s="4">
        <v>10</v>
      </c>
      <c r="I33" s="4">
        <v>0.1</v>
      </c>
      <c r="J33" s="25">
        <f>ROUNDUP(Table8[[#This Row],[Min Stock]]-Table8[[#This Row],[In stock]],0)</f>
        <v>10</v>
      </c>
      <c r="K33" s="28">
        <f>Table8[[#This Row],[Quantity]]*Table8[[#This Row],[Unit price]]</f>
        <v>1</v>
      </c>
      <c r="L33" s="30" t="str">
        <f>IF(Table8[[#This Row],[Ret. Art. Number]]="","",Table8[[#This Row],[Quantity]] &amp; "," &amp; Table8[[#This Row],[Ret. Art. Number]])</f>
        <v>10,RHM150DCT-ND</v>
      </c>
      <c r="N33"/>
    </row>
    <row r="34" spans="1:14" x14ac:dyDescent="0.25">
      <c r="A34" s="3" t="s">
        <v>2196</v>
      </c>
      <c r="B34" s="4" t="s">
        <v>2195</v>
      </c>
      <c r="C34" s="4" t="s">
        <v>713</v>
      </c>
      <c r="D34" s="4" t="s">
        <v>82</v>
      </c>
      <c r="E34" s="4" t="s">
        <v>352</v>
      </c>
      <c r="F34" s="4" t="s">
        <v>2197</v>
      </c>
      <c r="G34" s="4">
        <v>0</v>
      </c>
      <c r="H34" s="4">
        <v>10</v>
      </c>
      <c r="I34" s="4">
        <v>0.1</v>
      </c>
      <c r="J34" s="25">
        <f>ROUNDUP(Table8[[#This Row],[Min Stock]]-Table8[[#This Row],[In stock]],0)</f>
        <v>10</v>
      </c>
      <c r="K34" s="28">
        <f>Table8[[#This Row],[Quantity]]*Table8[[#This Row],[Unit price]]</f>
        <v>1</v>
      </c>
      <c r="L34" s="30" t="str">
        <f>IF(Table8[[#This Row],[Ret. Art. Number]]="","",Table8[[#This Row],[Quantity]] &amp; "," &amp; Table8[[#This Row],[Ret. Art. Number]])</f>
        <v>10,RHM1.0KKCT-ND</v>
      </c>
      <c r="N34"/>
    </row>
    <row r="35" spans="1:14" x14ac:dyDescent="0.25">
      <c r="A35" s="3" t="s">
        <v>290</v>
      </c>
      <c r="B35" s="4" t="s">
        <v>452</v>
      </c>
      <c r="C35" s="4" t="s">
        <v>288</v>
      </c>
      <c r="D35" s="4" t="s">
        <v>82</v>
      </c>
      <c r="E35" s="4" t="s">
        <v>352</v>
      </c>
      <c r="F35" s="4" t="s">
        <v>291</v>
      </c>
      <c r="G35" s="4">
        <v>0</v>
      </c>
      <c r="H35" s="4"/>
      <c r="I35" s="4">
        <v>0.97</v>
      </c>
      <c r="J35" s="25">
        <v>1</v>
      </c>
      <c r="K35" s="28">
        <f>Table8[[#This Row],[Quantity]]*Table8[[#This Row],[Unit price]]</f>
        <v>0.97</v>
      </c>
      <c r="L35" s="30" t="str">
        <f>IF(Table8[[#This Row],[Ret. Art. Number]]="","",Table8[[#This Row],[Quantity]] &amp; "," &amp; Table8[[#This Row],[Ret. Art. Number]])</f>
        <v>1,MFU1206.63CT-ND</v>
      </c>
      <c r="N35"/>
    </row>
    <row r="36" spans="1:14" x14ac:dyDescent="0.25">
      <c r="A36" s="3" t="s">
        <v>3058</v>
      </c>
      <c r="B36" s="4" t="s">
        <v>3057</v>
      </c>
      <c r="C36" s="4" t="s">
        <v>2958</v>
      </c>
      <c r="D36" s="4" t="s">
        <v>82</v>
      </c>
      <c r="E36" s="4" t="s">
        <v>352</v>
      </c>
      <c r="F36" s="4" t="s">
        <v>3059</v>
      </c>
      <c r="G36" s="4">
        <v>0</v>
      </c>
      <c r="H36" s="4">
        <v>4</v>
      </c>
      <c r="I36" s="4">
        <v>0.18</v>
      </c>
      <c r="J36" s="25">
        <v>5</v>
      </c>
      <c r="K36" s="28">
        <f>Table8[[#This Row],[Quantity]]*Table8[[#This Row],[Unit price]]</f>
        <v>0.89999999999999991</v>
      </c>
      <c r="L36" s="30" t="str">
        <f>IF(Table8[[#This Row],[Ret. Art. Number]]="","",Table8[[#This Row],[Quantity]] &amp; "," &amp; Table8[[#This Row],[Ret. Art. Number]])</f>
        <v>5,455-1597-ND</v>
      </c>
      <c r="N36"/>
    </row>
    <row r="37" spans="1:14" x14ac:dyDescent="0.25">
      <c r="A37" s="3" t="s">
        <v>2974</v>
      </c>
      <c r="B37" s="4" t="s">
        <v>2973</v>
      </c>
      <c r="C37" s="4" t="s">
        <v>2958</v>
      </c>
      <c r="D37" s="4" t="s">
        <v>82</v>
      </c>
      <c r="E37" s="4" t="s">
        <v>352</v>
      </c>
      <c r="F37" s="4" t="s">
        <v>2975</v>
      </c>
      <c r="G37" s="4">
        <v>0</v>
      </c>
      <c r="H37" s="4">
        <v>2</v>
      </c>
      <c r="I37" s="4">
        <v>0.44</v>
      </c>
      <c r="J37" s="25">
        <f>ROUNDUP(Table8[[#This Row],[Min Stock]]-Table8[[#This Row],[In stock]],0)</f>
        <v>2</v>
      </c>
      <c r="K37" s="28">
        <f>Table8[[#This Row],[Quantity]]*Table8[[#This Row],[Unit price]]</f>
        <v>0.88</v>
      </c>
      <c r="L37" s="30" t="str">
        <f>IF(Table8[[#This Row],[Ret. Art. Number]]="","",Table8[[#This Row],[Quantity]] &amp; "," &amp; Table8[[#This Row],[Ret. Art. Number]])</f>
        <v>2,455-1580-1-ND</v>
      </c>
      <c r="N37"/>
    </row>
    <row r="38" spans="1:14" x14ac:dyDescent="0.25">
      <c r="A38" s="3" t="s">
        <v>3046</v>
      </c>
      <c r="B38" s="4" t="s">
        <v>3045</v>
      </c>
      <c r="C38" s="4" t="s">
        <v>2958</v>
      </c>
      <c r="D38" s="4" t="s">
        <v>82</v>
      </c>
      <c r="E38" s="4" t="s">
        <v>352</v>
      </c>
      <c r="F38" s="4" t="s">
        <v>3047</v>
      </c>
      <c r="G38" s="4">
        <v>0</v>
      </c>
      <c r="H38" s="4">
        <v>4</v>
      </c>
      <c r="I38" s="4">
        <v>0.17</v>
      </c>
      <c r="J38" s="25">
        <v>5</v>
      </c>
      <c r="K38" s="28">
        <f>Table8[[#This Row],[Quantity]]*Table8[[#This Row],[Unit price]]</f>
        <v>0.85000000000000009</v>
      </c>
      <c r="L38" s="30" t="str">
        <f>IF(Table8[[#This Row],[Ret. Art. Number]]="","",Table8[[#This Row],[Quantity]] &amp; "," &amp; Table8[[#This Row],[Ret. Art. Number]])</f>
        <v>5,455-1596-ND</v>
      </c>
      <c r="N38"/>
    </row>
    <row r="39" spans="1:14" x14ac:dyDescent="0.25">
      <c r="A39" s="3" t="s">
        <v>242</v>
      </c>
      <c r="B39" s="4" t="s">
        <v>241</v>
      </c>
      <c r="C39" s="4" t="s">
        <v>243</v>
      </c>
      <c r="D39" s="4" t="s">
        <v>82</v>
      </c>
      <c r="E39" s="4" t="s">
        <v>352</v>
      </c>
      <c r="F39" s="4" t="s">
        <v>244</v>
      </c>
      <c r="G39" s="4">
        <v>17</v>
      </c>
      <c r="H39" s="4">
        <v>20</v>
      </c>
      <c r="I39" s="4">
        <v>0.27</v>
      </c>
      <c r="J39" s="25">
        <f>ROUNDUP(Table8[[#This Row],[Min Stock]]-Table8[[#This Row],[In stock]],0)</f>
        <v>3</v>
      </c>
      <c r="K39" s="28">
        <f>Table8[[#This Row],[Quantity]]*Table8[[#This Row],[Unit price]]</f>
        <v>0.81</v>
      </c>
      <c r="L39" s="30" t="str">
        <f>IF(Table8[[#This Row],[Ret. Art. Number]]="","",Table8[[#This Row],[Quantity]] &amp; "," &amp; Table8[[#This Row],[Ret. Art. Number]])</f>
        <v>3,1276-3178-1-ND</v>
      </c>
      <c r="N39"/>
    </row>
    <row r="40" spans="1:14" x14ac:dyDescent="0.25">
      <c r="A40" s="3" t="s">
        <v>3052</v>
      </c>
      <c r="B40" s="4" t="s">
        <v>3051</v>
      </c>
      <c r="C40" s="4" t="s">
        <v>2958</v>
      </c>
      <c r="D40" s="4" t="s">
        <v>82</v>
      </c>
      <c r="E40" s="4" t="s">
        <v>352</v>
      </c>
      <c r="F40" s="4" t="s">
        <v>3053</v>
      </c>
      <c r="G40" s="4">
        <v>0</v>
      </c>
      <c r="H40" s="4">
        <v>4</v>
      </c>
      <c r="I40" s="4">
        <v>0.18</v>
      </c>
      <c r="J40" s="25">
        <f>ROUNDUP(Table8[[#This Row],[Min Stock]]-Table8[[#This Row],[In stock]],0)</f>
        <v>4</v>
      </c>
      <c r="K40" s="28">
        <f>Table8[[#This Row],[Quantity]]*Table8[[#This Row],[Unit price]]</f>
        <v>0.72</v>
      </c>
      <c r="L40" s="30" t="str">
        <f>IF(Table8[[#This Row],[Ret. Art. Number]]="","",Table8[[#This Row],[Quantity]] &amp; "," &amp; Table8[[#This Row],[Ret. Art. Number]])</f>
        <v>4,455-1600-ND</v>
      </c>
      <c r="N40"/>
    </row>
    <row r="41" spans="1:14" x14ac:dyDescent="0.25">
      <c r="A41" s="3" t="s">
        <v>3040</v>
      </c>
      <c r="B41" s="4" t="s">
        <v>3039</v>
      </c>
      <c r="C41" s="4" t="s">
        <v>2958</v>
      </c>
      <c r="D41" s="4" t="s">
        <v>82</v>
      </c>
      <c r="E41" s="4" t="s">
        <v>352</v>
      </c>
      <c r="F41" s="4" t="s">
        <v>3041</v>
      </c>
      <c r="G41" s="4">
        <v>0</v>
      </c>
      <c r="H41" s="4">
        <v>4</v>
      </c>
      <c r="I41" s="4">
        <v>0.13</v>
      </c>
      <c r="J41" s="25">
        <v>5</v>
      </c>
      <c r="K41" s="28">
        <f>Table8[[#This Row],[Quantity]]*Table8[[#This Row],[Unit price]]</f>
        <v>0.65</v>
      </c>
      <c r="L41" s="30" t="str">
        <f>IF(Table8[[#This Row],[Ret. Art. Number]]="","",Table8[[#This Row],[Quantity]] &amp; "," &amp; Table8[[#This Row],[Ret. Art. Number]])</f>
        <v>5,455-1593-ND</v>
      </c>
      <c r="N41"/>
    </row>
    <row r="42" spans="1:14" x14ac:dyDescent="0.25">
      <c r="A42" s="3" t="s">
        <v>3034</v>
      </c>
      <c r="B42" s="4" t="s">
        <v>3033</v>
      </c>
      <c r="C42" s="4" t="s">
        <v>2958</v>
      </c>
      <c r="D42" s="4" t="s">
        <v>82</v>
      </c>
      <c r="E42" s="4" t="s">
        <v>352</v>
      </c>
      <c r="F42" s="4" t="s">
        <v>3035</v>
      </c>
      <c r="G42" s="4">
        <v>0</v>
      </c>
      <c r="H42" s="4">
        <v>4</v>
      </c>
      <c r="I42" s="4">
        <v>0.12</v>
      </c>
      <c r="J42" s="25">
        <v>5</v>
      </c>
      <c r="K42" s="28">
        <f>Table8[[#This Row],[Quantity]]*Table8[[#This Row],[Unit price]]</f>
        <v>0.6</v>
      </c>
      <c r="L42" s="30" t="str">
        <f>IF(Table8[[#This Row],[Ret. Art. Number]]="","",Table8[[#This Row],[Quantity]] &amp; "," &amp; Table8[[#This Row],[Ret. Art. Number]])</f>
        <v>5,455-1592-ND</v>
      </c>
      <c r="N42"/>
    </row>
    <row r="43" spans="1:14" x14ac:dyDescent="0.25">
      <c r="A43" s="3" t="s">
        <v>231</v>
      </c>
      <c r="B43" s="4" t="s">
        <v>3083</v>
      </c>
      <c r="C43" s="4" t="s">
        <v>161</v>
      </c>
      <c r="D43" s="4" t="s">
        <v>82</v>
      </c>
      <c r="E43" s="4" t="s">
        <v>414</v>
      </c>
      <c r="F43" s="4" t="s">
        <v>232</v>
      </c>
      <c r="G43" s="4">
        <v>9</v>
      </c>
      <c r="H43" s="4">
        <v>10</v>
      </c>
      <c r="I43" s="4">
        <v>0.52</v>
      </c>
      <c r="J43" s="25">
        <f>ROUNDUP(Table8[[#This Row],[Min Stock]]-Table8[[#This Row],[In stock]],0)</f>
        <v>1</v>
      </c>
      <c r="K43" s="28">
        <f>Table8[[#This Row],[Quantity]]*Table8[[#This Row],[Unit price]]</f>
        <v>0.52</v>
      </c>
      <c r="L43" s="30" t="str">
        <f>IF(Table8[[#This Row],[Ret. Art. Number]]="","",Table8[[#This Row],[Quantity]] &amp; "," &amp; Table8[[#This Row],[Ret. Art. Number]])</f>
        <v>1,TLMS1000-GS08CT-ND</v>
      </c>
      <c r="N43"/>
    </row>
    <row r="44" spans="1:14" x14ac:dyDescent="0.25">
      <c r="A44" s="3" t="s">
        <v>3043</v>
      </c>
      <c r="B44" s="4" t="s">
        <v>3042</v>
      </c>
      <c r="C44" s="4" t="s">
        <v>2958</v>
      </c>
      <c r="D44" s="4" t="s">
        <v>82</v>
      </c>
      <c r="E44" s="4" t="s">
        <v>352</v>
      </c>
      <c r="F44" s="4" t="s">
        <v>3044</v>
      </c>
      <c r="G44" s="4">
        <v>0</v>
      </c>
      <c r="H44" s="4">
        <v>4</v>
      </c>
      <c r="I44" s="4">
        <v>0.13</v>
      </c>
      <c r="J44" s="25">
        <f>ROUNDUP(Table8[[#This Row],[Min Stock]]-Table8[[#This Row],[In stock]],0)</f>
        <v>4</v>
      </c>
      <c r="K44" s="28">
        <f>Table8[[#This Row],[Quantity]]*Table8[[#This Row],[Unit price]]</f>
        <v>0.52</v>
      </c>
      <c r="L44" s="30" t="str">
        <f>IF(Table8[[#This Row],[Ret. Art. Number]]="","",Table8[[#This Row],[Quantity]] &amp; "," &amp; Table8[[#This Row],[Ret. Art. Number]])</f>
        <v>4,455-1594-ND</v>
      </c>
      <c r="N44"/>
    </row>
    <row r="45" spans="1:14" x14ac:dyDescent="0.25">
      <c r="A45" s="3" t="s">
        <v>1047</v>
      </c>
      <c r="B45" s="4" t="s">
        <v>1046</v>
      </c>
      <c r="C45" s="4" t="s">
        <v>713</v>
      </c>
      <c r="D45" s="4" t="s">
        <v>82</v>
      </c>
      <c r="E45" s="4" t="s">
        <v>352</v>
      </c>
      <c r="F45" s="4" t="s">
        <v>1048</v>
      </c>
      <c r="G45" s="4">
        <v>0</v>
      </c>
      <c r="H45" s="4"/>
      <c r="I45" s="4">
        <v>0.15</v>
      </c>
      <c r="J45" s="25">
        <v>3</v>
      </c>
      <c r="K45" s="28">
        <f>Table8[[#This Row],[Quantity]]*Table8[[#This Row],[Unit price]]</f>
        <v>0.44999999999999996</v>
      </c>
      <c r="L45" s="30" t="str">
        <f>IF(Table8[[#This Row],[Ret. Art. Number]]="","",Table8[[#This Row],[Quantity]] &amp; "," &amp; Table8[[#This Row],[Ret. Art. Number]])</f>
        <v>3,RHM1.0KBCT-ND</v>
      </c>
      <c r="N45"/>
    </row>
    <row r="46" spans="1:14" x14ac:dyDescent="0.25">
      <c r="A46" s="3" t="s">
        <v>582</v>
      </c>
      <c r="B46" s="4" t="s">
        <v>706</v>
      </c>
      <c r="C46" s="4" t="s">
        <v>160</v>
      </c>
      <c r="D46" s="4" t="s">
        <v>82</v>
      </c>
      <c r="E46" s="4" t="s">
        <v>352</v>
      </c>
      <c r="F46" s="4" t="s">
        <v>705</v>
      </c>
      <c r="G46" s="4">
        <v>0</v>
      </c>
      <c r="H46" s="4">
        <v>2</v>
      </c>
      <c r="I46" s="4">
        <v>0.10199999999999999</v>
      </c>
      <c r="J46" s="25">
        <v>3</v>
      </c>
      <c r="K46" s="28">
        <f>Table8[[#This Row],[Quantity]]*Table8[[#This Row],[Unit price]]</f>
        <v>0.30599999999999999</v>
      </c>
      <c r="L46" s="30" t="str">
        <f>IF(Table8[[#This Row],[Ret. Art. Number]]="","",Table8[[#This Row],[Quantity]] &amp; "," &amp; Table8[[#This Row],[Ret. Art. Number]])</f>
        <v>3,732-7670-1-ND</v>
      </c>
      <c r="N46"/>
    </row>
    <row r="47" spans="1:14" x14ac:dyDescent="0.25">
      <c r="A47" s="3" t="s">
        <v>2907</v>
      </c>
      <c r="B47" s="4" t="s">
        <v>2906</v>
      </c>
      <c r="C47" s="4" t="s">
        <v>713</v>
      </c>
      <c r="D47" s="4" t="s">
        <v>82</v>
      </c>
      <c r="E47" s="4" t="s">
        <v>352</v>
      </c>
      <c r="F47" s="4" t="s">
        <v>2908</v>
      </c>
      <c r="G47" s="4">
        <v>0</v>
      </c>
      <c r="H47" s="4"/>
      <c r="I47" s="4">
        <v>0.1</v>
      </c>
      <c r="J47" s="25">
        <v>2</v>
      </c>
      <c r="K47" s="28">
        <f>Table8[[#This Row],[Quantity]]*Table8[[#This Row],[Unit price]]</f>
        <v>0.2</v>
      </c>
      <c r="L47" s="30" t="str">
        <f>IF(Table8[[#This Row],[Ret. Art. Number]]="","",Table8[[#This Row],[Quantity]] &amp; "," &amp; Table8[[#This Row],[Ret. Art. Number]])</f>
        <v>2,RHM100KKCT-ND</v>
      </c>
      <c r="N47"/>
    </row>
    <row r="48" spans="1:14" x14ac:dyDescent="0.25">
      <c r="A48" s="3" t="s">
        <v>229</v>
      </c>
      <c r="B48" s="4" t="s">
        <v>228</v>
      </c>
      <c r="C48" s="4" t="s">
        <v>160</v>
      </c>
      <c r="D48" s="4" t="s">
        <v>82</v>
      </c>
      <c r="E48" s="4" t="s">
        <v>415</v>
      </c>
      <c r="F48" s="4" t="s">
        <v>230</v>
      </c>
      <c r="G48" s="4">
        <v>9</v>
      </c>
      <c r="H48" s="4">
        <v>10</v>
      </c>
      <c r="I48" s="4">
        <v>0.14000000000000001</v>
      </c>
      <c r="J48" s="25">
        <f>ROUNDUP(Table8[[#This Row],[Min Stock]]-Table8[[#This Row],[In stock]],0)</f>
        <v>1</v>
      </c>
      <c r="K48" s="28">
        <f>Table8[[#This Row],[Quantity]]*Table8[[#This Row],[Unit price]]</f>
        <v>0.14000000000000001</v>
      </c>
      <c r="L48" s="30" t="str">
        <f>IF(Table8[[#This Row],[Ret. Art. Number]]="","",Table8[[#This Row],[Quantity]] &amp; "," &amp; Table8[[#This Row],[Ret. Art. Number]])</f>
        <v>1,732-4980-1-ND</v>
      </c>
      <c r="N48"/>
    </row>
    <row r="49" spans="1:14" x14ac:dyDescent="0.25">
      <c r="A49" s="3" t="s">
        <v>585</v>
      </c>
      <c r="B49" s="4" t="s">
        <v>710</v>
      </c>
      <c r="C49" s="4" t="s">
        <v>160</v>
      </c>
      <c r="D49" s="4" t="s">
        <v>82</v>
      </c>
      <c r="E49" s="4" t="s">
        <v>352</v>
      </c>
      <c r="F49" s="4" t="s">
        <v>709</v>
      </c>
      <c r="G49" s="4">
        <v>0</v>
      </c>
      <c r="H49" s="4">
        <v>2</v>
      </c>
      <c r="I49" s="4">
        <v>3.5999999999999997E-2</v>
      </c>
      <c r="J49" s="25">
        <v>3</v>
      </c>
      <c r="K49" s="28">
        <f>Table8[[#This Row],[Quantity]]*Table8[[#This Row],[Unit price]]</f>
        <v>0.10799999999999998</v>
      </c>
      <c r="L49" s="30" t="str">
        <f>IF(Table8[[#This Row],[Ret. Art. Number]]="","",Table8[[#This Row],[Quantity]] &amp; "," &amp; Table8[[#This Row],[Ret. Art. Number]])</f>
        <v>3,732-8053-1-ND</v>
      </c>
      <c r="N49"/>
    </row>
    <row r="50" spans="1:14" x14ac:dyDescent="0.25">
      <c r="A50" s="3" t="s">
        <v>1884</v>
      </c>
      <c r="B50" s="4" t="s">
        <v>1883</v>
      </c>
      <c r="C50" s="4" t="s">
        <v>713</v>
      </c>
      <c r="D50" s="4" t="s">
        <v>82</v>
      </c>
      <c r="E50" s="4" t="s">
        <v>352</v>
      </c>
      <c r="F50" s="4" t="s">
        <v>1885</v>
      </c>
      <c r="G50" s="4">
        <v>0</v>
      </c>
      <c r="H50" s="4"/>
      <c r="I50" s="4">
        <v>0.1</v>
      </c>
      <c r="J50" s="25">
        <v>1</v>
      </c>
      <c r="K50" s="28">
        <f>Table8[[#This Row],[Quantity]]*Table8[[#This Row],[Unit price]]</f>
        <v>0.1</v>
      </c>
      <c r="L50" s="30" t="str">
        <f>IF(Table8[[#This Row],[Ret. Art. Number]]="","",Table8[[#This Row],[Quantity]] &amp; "," &amp; Table8[[#This Row],[Ret. Art. Number]])</f>
        <v>1,RHM22KCT-ND</v>
      </c>
      <c r="N50"/>
    </row>
    <row r="51" spans="1:14" x14ac:dyDescent="0.25">
      <c r="A51" s="3" t="s">
        <v>2811</v>
      </c>
      <c r="B51" s="4" t="s">
        <v>2810</v>
      </c>
      <c r="C51" s="4" t="s">
        <v>713</v>
      </c>
      <c r="D51" s="4" t="s">
        <v>82</v>
      </c>
      <c r="E51" s="4" t="s">
        <v>352</v>
      </c>
      <c r="F51" s="4" t="s">
        <v>2812</v>
      </c>
      <c r="G51" s="4">
        <v>0</v>
      </c>
      <c r="H51" s="4"/>
      <c r="I51" s="4">
        <v>0.1</v>
      </c>
      <c r="J51" s="25">
        <v>1</v>
      </c>
      <c r="K51" s="28">
        <f>Table8[[#This Row],[Quantity]]*Table8[[#This Row],[Unit price]]</f>
        <v>0.1</v>
      </c>
      <c r="L51" s="30" t="str">
        <f>IF(Table8[[#This Row],[Ret. Art. Number]]="","",Table8[[#This Row],[Quantity]] &amp; "," &amp; Table8[[#This Row],[Ret. Art. Number]])</f>
        <v>1,RHM3.9KKCT-ND</v>
      </c>
      <c r="N51"/>
    </row>
    <row r="52" spans="1:14" x14ac:dyDescent="0.25">
      <c r="A52" s="3" t="s">
        <v>2832</v>
      </c>
      <c r="B52" s="4" t="s">
        <v>2831</v>
      </c>
      <c r="C52" s="4" t="s">
        <v>713</v>
      </c>
      <c r="D52" s="4" t="s">
        <v>82</v>
      </c>
      <c r="E52" s="4" t="s">
        <v>352</v>
      </c>
      <c r="F52" s="4" t="s">
        <v>2833</v>
      </c>
      <c r="G52" s="4">
        <v>0</v>
      </c>
      <c r="H52" s="4"/>
      <c r="I52" s="4">
        <v>0.1</v>
      </c>
      <c r="J52" s="25">
        <v>1</v>
      </c>
      <c r="K52" s="28">
        <f>Table8[[#This Row],[Quantity]]*Table8[[#This Row],[Unit price]]</f>
        <v>0.1</v>
      </c>
      <c r="L52" s="30" t="str">
        <f>IF(Table8[[#This Row],[Ret. Art. Number]]="","",Table8[[#This Row],[Quantity]] &amp; "," &amp; Table8[[#This Row],[Ret. Art. Number]])</f>
        <v>1,RHM330KCT-ND</v>
      </c>
      <c r="N52"/>
    </row>
    <row r="53" spans="1:14" x14ac:dyDescent="0.25">
      <c r="A53" s="3" t="s">
        <v>2259</v>
      </c>
      <c r="B53" s="4" t="s">
        <v>2258</v>
      </c>
      <c r="C53" s="4" t="s">
        <v>713</v>
      </c>
      <c r="D53" s="4" t="s">
        <v>82</v>
      </c>
      <c r="E53" s="4" t="s">
        <v>352</v>
      </c>
      <c r="F53" s="4" t="s">
        <v>2260</v>
      </c>
      <c r="G53" s="4">
        <v>0</v>
      </c>
      <c r="H53" s="4"/>
      <c r="I53" s="4">
        <v>0.1</v>
      </c>
      <c r="J53" s="25">
        <v>1</v>
      </c>
      <c r="K53" s="28">
        <f>Table8[[#This Row],[Quantity]]*Table8[[#This Row],[Unit price]]</f>
        <v>0.1</v>
      </c>
      <c r="L53" s="30" t="str">
        <f>IF(Table8[[#This Row],[Ret. Art. Number]]="","",Table8[[#This Row],[Quantity]] &amp; "," &amp; Table8[[#This Row],[Ret. Art. Number]])</f>
        <v>1,RHM1MDCT-ND</v>
      </c>
      <c r="N53"/>
    </row>
    <row r="54" spans="1:14" x14ac:dyDescent="0.25">
      <c r="A54" s="3" t="s">
        <v>2076</v>
      </c>
      <c r="B54" s="4" t="s">
        <v>2075</v>
      </c>
      <c r="C54" s="4" t="s">
        <v>713</v>
      </c>
      <c r="D54" s="4" t="s">
        <v>82</v>
      </c>
      <c r="E54" s="4" t="s">
        <v>352</v>
      </c>
      <c r="F54" s="4" t="s">
        <v>2077</v>
      </c>
      <c r="G54" s="4">
        <v>0</v>
      </c>
      <c r="H54" s="4"/>
      <c r="I54" s="4">
        <v>0.1</v>
      </c>
      <c r="J54" s="25">
        <v>1</v>
      </c>
      <c r="K54" s="28">
        <f>Table8[[#This Row],[Quantity]]*Table8[[#This Row],[Unit price]]</f>
        <v>0.1</v>
      </c>
      <c r="L54" s="30" t="str">
        <f>IF(Table8[[#This Row],[Ret. Art. Number]]="","",Table8[[#This Row],[Quantity]] &amp; "," &amp; Table8[[#This Row],[Ret. Art. Number]])</f>
        <v>1,RHM27KDCT-ND</v>
      </c>
      <c r="N54"/>
    </row>
    <row r="55" spans="1:14" hidden="1" x14ac:dyDescent="0.25">
      <c r="A55" s="3">
        <v>90990</v>
      </c>
      <c r="B55" s="4">
        <v>90990</v>
      </c>
      <c r="C55" s="4" t="s">
        <v>65</v>
      </c>
      <c r="D55" s="4" t="s">
        <v>82</v>
      </c>
      <c r="E55" s="4" t="s">
        <v>352</v>
      </c>
      <c r="F55" s="4" t="s">
        <v>390</v>
      </c>
      <c r="G55" s="4">
        <v>1</v>
      </c>
      <c r="H55" s="4"/>
      <c r="I55" s="4">
        <v>13.1</v>
      </c>
      <c r="J55" s="25">
        <v>0</v>
      </c>
      <c r="K55" s="28">
        <f>Table8[[#This Row],[Quantity]]*Table8[[#This Row],[Unit price]]</f>
        <v>0</v>
      </c>
      <c r="L55" s="30" t="str">
        <f>IF(Table8[[#This Row],[Ret. Art. Number]]="","",Table8[[#This Row],[Quantity]] &amp; "," &amp; Table8[[#This Row],[Ret. Art. Number]])</f>
        <v>0,90990</v>
      </c>
      <c r="N55"/>
    </row>
    <row r="56" spans="1:14" hidden="1" x14ac:dyDescent="0.25">
      <c r="A56" s="3" t="s">
        <v>158</v>
      </c>
      <c r="B56" s="4" t="s">
        <v>64</v>
      </c>
      <c r="C56" s="4" t="s">
        <v>95</v>
      </c>
      <c r="D56" s="4" t="s">
        <v>82</v>
      </c>
      <c r="E56" s="4" t="s">
        <v>352</v>
      </c>
      <c r="F56" s="4" t="s">
        <v>66</v>
      </c>
      <c r="G56" s="4">
        <v>1</v>
      </c>
      <c r="H56" s="4"/>
      <c r="I56" s="4">
        <v>15.9</v>
      </c>
      <c r="J56" s="25">
        <v>0</v>
      </c>
      <c r="K56" s="28">
        <f>Table8[[#This Row],[Quantity]]*Table8[[#This Row],[Unit price]]</f>
        <v>0</v>
      </c>
      <c r="L56" s="30" t="str">
        <f>IF(Table8[[#This Row],[Ret. Art. Number]]="","",Table8[[#This Row],[Quantity]] &amp; "," &amp; Table8[[#This Row],[Ret. Art. Number]])</f>
        <v>0,377-2428-ND</v>
      </c>
      <c r="N56"/>
    </row>
    <row r="57" spans="1:14" x14ac:dyDescent="0.25">
      <c r="A57" s="3" t="s">
        <v>2208</v>
      </c>
      <c r="B57" s="4" t="s">
        <v>2207</v>
      </c>
      <c r="C57" s="4" t="s">
        <v>713</v>
      </c>
      <c r="D57" s="4" t="s">
        <v>82</v>
      </c>
      <c r="E57" s="4" t="s">
        <v>352</v>
      </c>
      <c r="F57" s="4" t="s">
        <v>2209</v>
      </c>
      <c r="G57" s="4">
        <v>0</v>
      </c>
      <c r="H57" s="4"/>
      <c r="I57" s="4">
        <v>0.1</v>
      </c>
      <c r="J57" s="25">
        <v>1</v>
      </c>
      <c r="K57" s="28">
        <f>Table8[[#This Row],[Quantity]]*Table8[[#This Row],[Unit price]]</f>
        <v>0.1</v>
      </c>
      <c r="L57" s="30" t="str">
        <f>IF(Table8[[#This Row],[Ret. Art. Number]]="","",Table8[[#This Row],[Quantity]] &amp; "," &amp; Table8[[#This Row],[Ret. Art. Number]])</f>
        <v>1,RHM270DCT-ND</v>
      </c>
      <c r="N57"/>
    </row>
    <row r="58" spans="1:14" hidden="1" x14ac:dyDescent="0.25">
      <c r="A58" s="3"/>
      <c r="B58" s="4"/>
      <c r="C58" s="4"/>
      <c r="D58" s="4"/>
      <c r="E58" s="4"/>
      <c r="F58" s="4"/>
      <c r="G58" s="4"/>
      <c r="H58" s="4"/>
      <c r="I58" s="4"/>
      <c r="J58" s="25">
        <f>ROUNDUP(Table8[[#This Row],[Min Stock]]-Table8[[#This Row],[In stock]],0)</f>
        <v>0</v>
      </c>
      <c r="K58" s="28">
        <f>Table8[[#This Row],[Quantity]]*Table8[[#This Row],[Unit price]]</f>
        <v>0</v>
      </c>
      <c r="L58" s="30" t="str">
        <f>IF(Table8[[#This Row],[Ret. Art. Number]]="","",Table8[[#This Row],[Quantity]] &amp; "," &amp; Table8[[#This Row],[Ret. Art. Number]])</f>
        <v/>
      </c>
      <c r="N58"/>
    </row>
    <row r="59" spans="1:14" x14ac:dyDescent="0.25">
      <c r="A59" s="3" t="s">
        <v>493</v>
      </c>
      <c r="B59" s="4"/>
      <c r="C59" s="4"/>
      <c r="D59" s="4"/>
      <c r="E59" s="4"/>
      <c r="F59" s="4"/>
      <c r="G59" s="4"/>
      <c r="H59" s="4"/>
      <c r="I59" s="4"/>
      <c r="J59" s="28"/>
      <c r="K59" s="25">
        <f>SUBTOTAL(109,Table8[Total price])</f>
        <v>87.473999999999961</v>
      </c>
      <c r="L59" s="31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1]!btn_ClearCommands">
                <anchor>
                  <from>
                    <xdr:col>12</xdr:col>
                    <xdr:colOff>1266825</xdr:colOff>
                    <xdr:row>2</xdr:row>
                    <xdr:rowOff>0</xdr:rowOff>
                  </from>
                  <to>
                    <xdr:col>13</xdr:col>
                    <xdr:colOff>933450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5" name="Button 8">
              <controlPr defaultSize="0" print="0" autoFill="0" autoPict="0" macro="[1]!InsertCmdRow_Click">
                <anchor>
                  <from>
                    <xdr:col>12</xdr:col>
                    <xdr:colOff>1266825</xdr:colOff>
                    <xdr:row>6</xdr:row>
                    <xdr:rowOff>0</xdr:rowOff>
                  </from>
                  <to>
                    <xdr:col>13</xdr:col>
                    <xdr:colOff>933450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" r:id="rId6" name="Button 11">
              <controlPr defaultSize="0" print="0" autoFill="0" autoPict="0" macro="[1]!ResetFirstsLines_Click">
                <anchor>
                  <from>
                    <xdr:col>12</xdr:col>
                    <xdr:colOff>1266825</xdr:colOff>
                    <xdr:row>9</xdr:row>
                    <xdr:rowOff>0</xdr:rowOff>
                  </from>
                  <to>
                    <xdr:col>13</xdr:col>
                    <xdr:colOff>933450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7" name="Button 12">
              <controlPr defaultSize="0" print="0" autoFill="0" autoPict="0" macro="[1]!btn_CreateOrder">
                <anchor>
                  <from>
                    <xdr:col>12</xdr:col>
                    <xdr:colOff>1266825</xdr:colOff>
                    <xdr:row>12</xdr:row>
                    <xdr:rowOff>0</xdr:rowOff>
                  </from>
                  <to>
                    <xdr:col>13</xdr:col>
                    <xdr:colOff>933450</xdr:colOff>
                    <xdr:row>14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B0708C-2AF7-4A45-8EEB-3D20225C7C88}">
  <sheetPr codeName="Sheet14">
    <tabColor theme="9" tint="0.59999389629810485"/>
  </sheetPr>
  <dimension ref="A1:AC1038"/>
  <sheetViews>
    <sheetView tabSelected="1" zoomScaleNormal="100" workbookViewId="0">
      <pane ySplit="1" topLeftCell="A1027" activePane="bottomLeft" state="frozen"/>
      <selection activeCell="B186" sqref="B186"/>
      <selection pane="bottomLeft" activeCell="D1047" sqref="D1047"/>
    </sheetView>
  </sheetViews>
  <sheetFormatPr defaultRowHeight="15" x14ac:dyDescent="0.25"/>
  <cols>
    <col min="1" max="1" width="26.85546875" style="3" bestFit="1" customWidth="1"/>
    <col min="2" max="2" width="38.85546875" style="3" bestFit="1" customWidth="1"/>
    <col min="3" max="3" width="11.140625" style="3" bestFit="1" customWidth="1"/>
    <col min="4" max="4" width="80.85546875" style="3" bestFit="1" customWidth="1"/>
    <col min="5" max="5" width="13.7109375" style="3" bestFit="1" customWidth="1"/>
    <col min="6" max="6" width="10" style="54" bestFit="1" customWidth="1"/>
    <col min="7" max="7" width="14" style="54" bestFit="1" customWidth="1"/>
    <col min="8" max="8" width="13.140625" style="54" bestFit="1" customWidth="1"/>
    <col min="9" max="9" width="32.5703125" style="17" bestFit="1" customWidth="1"/>
    <col min="10" max="10" width="19.140625" style="51" bestFit="1" customWidth="1"/>
    <col min="11" max="11" width="17" style="17" bestFit="1" customWidth="1"/>
    <col min="12" max="12" width="32.5703125" style="17" bestFit="1" customWidth="1"/>
    <col min="13" max="13" width="20.42578125" style="43" bestFit="1" customWidth="1"/>
    <col min="14" max="14" width="9.42578125" style="17" bestFit="1" customWidth="1"/>
    <col min="15" max="15" width="20" style="43" bestFit="1" customWidth="1"/>
    <col min="16" max="16" width="11.140625" style="17" bestFit="1" customWidth="1"/>
    <col min="17" max="17" width="21.7109375" style="43" bestFit="1" customWidth="1"/>
    <col min="18" max="18" width="11.5703125" style="17" bestFit="1" customWidth="1"/>
    <col min="19" max="19" width="20.140625" style="43" bestFit="1" customWidth="1"/>
    <col min="20" max="20" width="10.140625" style="17" bestFit="1" customWidth="1"/>
    <col min="21" max="21" width="20.7109375" style="43" bestFit="1" customWidth="1"/>
    <col min="22" max="22" width="12.5703125" style="17" bestFit="1" customWidth="1"/>
    <col min="23" max="23" width="23.140625" style="43" bestFit="1" customWidth="1"/>
    <col min="24" max="24" width="12" style="17" bestFit="1" customWidth="1"/>
    <col min="25" max="25" width="22.5703125" style="43" bestFit="1" customWidth="1"/>
    <col min="26" max="26" width="15.42578125" style="43" bestFit="1" customWidth="1"/>
    <col min="27" max="27" width="8.42578125" style="33" bestFit="1" customWidth="1"/>
    <col min="28" max="28" width="18.85546875" style="51" bestFit="1" customWidth="1"/>
    <col min="29" max="29" width="14.7109375" bestFit="1" customWidth="1"/>
    <col min="30" max="30" width="17.140625" customWidth="1"/>
    <col min="31" max="31" width="10.28515625" bestFit="1" customWidth="1"/>
    <col min="36" max="36" width="10" bestFit="1" customWidth="1"/>
    <col min="37" max="37" width="12" bestFit="1" customWidth="1"/>
    <col min="38" max="38" width="14" bestFit="1" customWidth="1"/>
    <col min="39" max="39" width="17.140625" bestFit="1" customWidth="1"/>
  </cols>
  <sheetData>
    <row r="1" spans="1:29" s="49" customFormat="1" x14ac:dyDescent="0.25">
      <c r="A1" s="48" t="s">
        <v>1</v>
      </c>
      <c r="B1" s="48" t="s">
        <v>6</v>
      </c>
      <c r="C1" s="48" t="s">
        <v>351</v>
      </c>
      <c r="D1" s="48" t="s">
        <v>2</v>
      </c>
      <c r="E1" s="48" t="s">
        <v>540</v>
      </c>
      <c r="F1" s="47" t="s">
        <v>3</v>
      </c>
      <c r="G1" s="47" t="s">
        <v>451</v>
      </c>
      <c r="H1" s="47" t="s">
        <v>502</v>
      </c>
      <c r="I1" s="48" t="s">
        <v>500</v>
      </c>
      <c r="J1" s="45" t="s">
        <v>501</v>
      </c>
      <c r="K1" s="48" t="s">
        <v>524</v>
      </c>
      <c r="L1" s="48" t="s">
        <v>82</v>
      </c>
      <c r="M1" s="45" t="s">
        <v>530</v>
      </c>
      <c r="N1" s="48" t="s">
        <v>5</v>
      </c>
      <c r="O1" s="45" t="s">
        <v>531</v>
      </c>
      <c r="P1" s="48" t="s">
        <v>526</v>
      </c>
      <c r="Q1" s="45" t="s">
        <v>532</v>
      </c>
      <c r="R1" s="48" t="s">
        <v>525</v>
      </c>
      <c r="S1" s="45" t="s">
        <v>533</v>
      </c>
      <c r="T1" s="48" t="s">
        <v>527</v>
      </c>
      <c r="U1" s="45" t="s">
        <v>534</v>
      </c>
      <c r="V1" s="48" t="s">
        <v>528</v>
      </c>
      <c r="W1" s="45" t="s">
        <v>535</v>
      </c>
      <c r="X1" s="48" t="s">
        <v>88</v>
      </c>
      <c r="Y1" s="45" t="s">
        <v>536</v>
      </c>
      <c r="Z1" s="45" t="s">
        <v>3081</v>
      </c>
      <c r="AA1" s="45" t="s">
        <v>529</v>
      </c>
      <c r="AB1" s="44" t="s">
        <v>537</v>
      </c>
      <c r="AC1" s="46" t="s">
        <v>490</v>
      </c>
    </row>
    <row r="2" spans="1:29" x14ac:dyDescent="0.25">
      <c r="A2" s="34" t="s">
        <v>46</v>
      </c>
      <c r="B2" s="34" t="s">
        <v>45</v>
      </c>
      <c r="C2" s="34" t="s">
        <v>389</v>
      </c>
      <c r="D2" s="34" t="s">
        <v>44</v>
      </c>
      <c r="E2" s="34" t="s">
        <v>561</v>
      </c>
      <c r="F2" s="53">
        <v>16</v>
      </c>
      <c r="G2" s="53">
        <f>10</f>
        <v>10</v>
      </c>
      <c r="H2" s="53">
        <f>1</f>
        <v>1</v>
      </c>
      <c r="I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FDN337NCT-ND</v>
      </c>
      <c r="J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0.55000000000000004</v>
      </c>
      <c r="K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" s="34" t="s">
        <v>474</v>
      </c>
      <c r="M2" s="42">
        <v>0.55000000000000004</v>
      </c>
      <c r="N2" s="34">
        <v>9845356</v>
      </c>
      <c r="O2" s="42">
        <v>0.42199999999999999</v>
      </c>
      <c r="P2" s="34"/>
      <c r="Q2" s="42"/>
      <c r="R2" s="34"/>
      <c r="S2" s="42"/>
      <c r="T2" s="34"/>
      <c r="U2" s="42"/>
      <c r="V2" s="34"/>
      <c r="W2" s="42"/>
      <c r="X2" s="34"/>
      <c r="Y2" s="42">
        <v>0.42199999999999999</v>
      </c>
      <c r="Z2" s="42"/>
      <c r="AA2" s="36"/>
      <c r="AB2" s="50"/>
      <c r="AC2" s="35" t="str">
        <f>IF(Table1[[#This Row],[Auto Order]]=1,IF(Table1[[#This Row],[In stock]]&lt;Table1[[#This Row],[Min in stock]],1,""),"")</f>
        <v/>
      </c>
    </row>
    <row r="3" spans="1:29" x14ac:dyDescent="0.25">
      <c r="A3" s="34" t="s">
        <v>43</v>
      </c>
      <c r="B3" s="34" t="s">
        <v>7</v>
      </c>
      <c r="C3" s="34" t="s">
        <v>387</v>
      </c>
      <c r="D3" s="34" t="s">
        <v>41</v>
      </c>
      <c r="E3" s="34" t="s">
        <v>561</v>
      </c>
      <c r="F3" s="53">
        <v>24</v>
      </c>
      <c r="G3" s="53">
        <v>10</v>
      </c>
      <c r="H3" s="53">
        <f>1</f>
        <v>1</v>
      </c>
      <c r="I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SI2333CDS-T1-GE3CT-ND</v>
      </c>
      <c r="J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0.56999999999999995</v>
      </c>
      <c r="K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" s="34" t="s">
        <v>477</v>
      </c>
      <c r="M3" s="42">
        <v>0.56999999999999995</v>
      </c>
      <c r="N3" s="34">
        <v>1779259</v>
      </c>
      <c r="O3" s="42">
        <v>0.27100000000000002</v>
      </c>
      <c r="P3" s="34"/>
      <c r="Q3" s="42"/>
      <c r="R3" s="34"/>
      <c r="S3" s="42"/>
      <c r="T3" s="34"/>
      <c r="U3" s="42"/>
      <c r="V3" s="34"/>
      <c r="W3" s="42"/>
      <c r="X3" s="34"/>
      <c r="Y3" s="42">
        <v>0.27100000000000002</v>
      </c>
      <c r="Z3" s="42"/>
      <c r="AA3" s="36"/>
      <c r="AB3" s="50"/>
      <c r="AC3" s="35" t="str">
        <f>IF(Table1[[#This Row],[Auto Order]]=1,IF(Table1[[#This Row],[In stock]]&lt;Table1[[#This Row],[Min in stock]],1,""),"")</f>
        <v/>
      </c>
    </row>
    <row r="4" spans="1:29" x14ac:dyDescent="0.25">
      <c r="A4" s="34" t="s">
        <v>129</v>
      </c>
      <c r="B4" s="34" t="s">
        <v>127</v>
      </c>
      <c r="C4" s="34" t="s">
        <v>388</v>
      </c>
      <c r="D4" s="34" t="s">
        <v>131</v>
      </c>
      <c r="E4" s="34" t="s">
        <v>571</v>
      </c>
      <c r="F4" s="53">
        <v>10</v>
      </c>
      <c r="G4" s="53">
        <v>1</v>
      </c>
      <c r="H4" s="53">
        <f>1</f>
        <v>1</v>
      </c>
      <c r="I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2769437</v>
      </c>
      <c r="J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0.54600000000000004</v>
      </c>
      <c r="K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Farnell</v>
      </c>
      <c r="L4" s="34"/>
      <c r="M4" s="42"/>
      <c r="N4" s="34" t="s">
        <v>130</v>
      </c>
      <c r="O4" s="42">
        <v>0.54600000000000004</v>
      </c>
      <c r="P4" s="34"/>
      <c r="Q4" s="42"/>
      <c r="R4" s="34"/>
      <c r="S4" s="42"/>
      <c r="T4" s="34"/>
      <c r="U4" s="42"/>
      <c r="V4" s="34"/>
      <c r="W4" s="42"/>
      <c r="X4" s="34"/>
      <c r="Y4" s="42">
        <v>0.54600000000000004</v>
      </c>
      <c r="Z4" s="42"/>
      <c r="AA4" s="36"/>
      <c r="AB4" s="50"/>
      <c r="AC4" s="35" t="str">
        <f>IF(Table1[[#This Row],[Auto Order]]=1,IF(Table1[[#This Row],[In stock]]&lt;Table1[[#This Row],[Min in stock]],1,""),"")</f>
        <v/>
      </c>
    </row>
    <row r="5" spans="1:29" x14ac:dyDescent="0.25">
      <c r="A5" s="34" t="s">
        <v>18</v>
      </c>
      <c r="B5" s="34" t="s">
        <v>94</v>
      </c>
      <c r="C5" s="34" t="s">
        <v>393</v>
      </c>
      <c r="D5" s="34" t="s">
        <v>17</v>
      </c>
      <c r="E5" s="34" t="s">
        <v>565</v>
      </c>
      <c r="F5" s="53">
        <v>19</v>
      </c>
      <c r="G5" s="53"/>
      <c r="H5" s="53"/>
      <c r="I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8540829</v>
      </c>
      <c r="J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0.246</v>
      </c>
      <c r="K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Farnell</v>
      </c>
      <c r="L5" s="34"/>
      <c r="M5" s="42"/>
      <c r="N5" s="34" t="s">
        <v>392</v>
      </c>
      <c r="O5" s="42">
        <v>0.246</v>
      </c>
      <c r="P5" s="34"/>
      <c r="Q5" s="42"/>
      <c r="R5" s="34"/>
      <c r="S5" s="42"/>
      <c r="T5" s="34"/>
      <c r="U5" s="42"/>
      <c r="V5" s="34"/>
      <c r="W5" s="42"/>
      <c r="X5" s="34"/>
      <c r="Y5" s="42">
        <v>0.246</v>
      </c>
      <c r="Z5" s="42"/>
      <c r="AA5" s="36"/>
      <c r="AB5" s="50"/>
      <c r="AC5" s="35" t="str">
        <f>IF(Table1[[#This Row],[Auto Order]]=1,IF(Table1[[#This Row],[In stock]]&lt;Table1[[#This Row],[Min in stock]],1,""),"")</f>
        <v/>
      </c>
    </row>
    <row r="6" spans="1:29" x14ac:dyDescent="0.25">
      <c r="A6" s="61" t="s">
        <v>101</v>
      </c>
      <c r="B6" s="34" t="s">
        <v>94</v>
      </c>
      <c r="C6" s="34" t="s">
        <v>394</v>
      </c>
      <c r="D6" s="34" t="s">
        <v>102</v>
      </c>
      <c r="E6" s="34" t="s">
        <v>565</v>
      </c>
      <c r="F6" s="53">
        <v>10</v>
      </c>
      <c r="G6" s="53"/>
      <c r="H6" s="53"/>
      <c r="I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8540853</v>
      </c>
      <c r="J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0.34</v>
      </c>
      <c r="K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Farnell</v>
      </c>
      <c r="L6" s="34"/>
      <c r="M6" s="42"/>
      <c r="N6" s="34" t="s">
        <v>103</v>
      </c>
      <c r="O6" s="42">
        <v>0.34</v>
      </c>
      <c r="P6" s="34"/>
      <c r="Q6" s="42"/>
      <c r="R6" s="34"/>
      <c r="S6" s="42"/>
      <c r="T6" s="34"/>
      <c r="U6" s="42"/>
      <c r="V6" s="34"/>
      <c r="W6" s="42"/>
      <c r="X6" s="34"/>
      <c r="Y6" s="42">
        <v>0.34</v>
      </c>
      <c r="Z6" s="42"/>
      <c r="AA6" s="36"/>
      <c r="AB6" s="50"/>
      <c r="AC6" s="35" t="str">
        <f>IF(Table1[[#This Row],[Auto Order]]=1,IF(Table1[[#This Row],[In stock]]&lt;Table1[[#This Row],[Min in stock]],1,""),"")</f>
        <v/>
      </c>
    </row>
    <row r="7" spans="1:29" x14ac:dyDescent="0.25">
      <c r="A7" s="61" t="s">
        <v>100</v>
      </c>
      <c r="B7" s="34" t="s">
        <v>94</v>
      </c>
      <c r="C7" s="34" t="s">
        <v>395</v>
      </c>
      <c r="D7" s="34" t="s">
        <v>104</v>
      </c>
      <c r="E7" s="34" t="s">
        <v>565</v>
      </c>
      <c r="F7" s="53">
        <v>10</v>
      </c>
      <c r="G7" s="53"/>
      <c r="H7" s="53"/>
      <c r="I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8540861</v>
      </c>
      <c r="J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0.44600000000000001</v>
      </c>
      <c r="K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Farnell</v>
      </c>
      <c r="L7" s="34"/>
      <c r="M7" s="42"/>
      <c r="N7" s="34" t="s">
        <v>99</v>
      </c>
      <c r="O7" s="42">
        <v>0.44600000000000001</v>
      </c>
      <c r="P7" s="34"/>
      <c r="Q7" s="42"/>
      <c r="R7" s="34"/>
      <c r="S7" s="42"/>
      <c r="T7" s="34"/>
      <c r="U7" s="42"/>
      <c r="V7" s="34"/>
      <c r="W7" s="42"/>
      <c r="X7" s="34"/>
      <c r="Y7" s="42">
        <v>0.44600000000000001</v>
      </c>
      <c r="Z7" s="42"/>
      <c r="AA7" s="36"/>
      <c r="AB7" s="50"/>
      <c r="AC7" s="35" t="str">
        <f>IF(Table1[[#This Row],[Auto Order]]=1,IF(Table1[[#This Row],[In stock]]&lt;Table1[[#This Row],[Min in stock]],1,""),"")</f>
        <v/>
      </c>
    </row>
    <row r="8" spans="1:29" x14ac:dyDescent="0.25">
      <c r="A8" s="34" t="s">
        <v>9</v>
      </c>
      <c r="B8" s="34" t="s">
        <v>7</v>
      </c>
      <c r="C8" s="34" t="s">
        <v>397</v>
      </c>
      <c r="D8" s="34" t="s">
        <v>10</v>
      </c>
      <c r="E8" s="34" t="s">
        <v>570</v>
      </c>
      <c r="F8" s="53">
        <v>4</v>
      </c>
      <c r="G8" s="53"/>
      <c r="H8" s="53"/>
      <c r="I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1287598</v>
      </c>
      <c r="J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0.33100000000000002</v>
      </c>
      <c r="K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Farnell</v>
      </c>
      <c r="L8" s="34"/>
      <c r="M8" s="42"/>
      <c r="N8" s="34" t="s">
        <v>396</v>
      </c>
      <c r="O8" s="42">
        <v>0.33100000000000002</v>
      </c>
      <c r="P8" s="34"/>
      <c r="Q8" s="42"/>
      <c r="R8" s="34"/>
      <c r="S8" s="42"/>
      <c r="T8" s="34"/>
      <c r="U8" s="42"/>
      <c r="V8" s="34"/>
      <c r="W8" s="42"/>
      <c r="X8" s="34"/>
      <c r="Y8" s="42">
        <v>0.33100000000000002</v>
      </c>
      <c r="Z8" s="42"/>
      <c r="AA8" s="36"/>
      <c r="AB8" s="50"/>
      <c r="AC8" s="35" t="str">
        <f>IF(Table1[[#This Row],[Auto Order]]=1,IF(Table1[[#This Row],[In stock]]&lt;Table1[[#This Row],[Min in stock]],1,""),"")</f>
        <v/>
      </c>
    </row>
    <row r="9" spans="1:29" x14ac:dyDescent="0.25">
      <c r="A9" s="34" t="s">
        <v>24</v>
      </c>
      <c r="B9" s="34" t="s">
        <v>94</v>
      </c>
      <c r="C9" s="34" t="s">
        <v>400</v>
      </c>
      <c r="D9" s="34" t="s">
        <v>23</v>
      </c>
      <c r="E9" s="34" t="s">
        <v>563</v>
      </c>
      <c r="F9" s="53">
        <v>4</v>
      </c>
      <c r="G9" s="53">
        <v>1</v>
      </c>
      <c r="H9" s="53">
        <f>1</f>
        <v>1</v>
      </c>
      <c r="I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MCP121T-315E/TTCT-ND</v>
      </c>
      <c r="J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0.52</v>
      </c>
      <c r="K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" s="34" t="s">
        <v>475</v>
      </c>
      <c r="M9" s="42">
        <v>0.52</v>
      </c>
      <c r="N9" s="34" t="s">
        <v>399</v>
      </c>
      <c r="O9" s="42">
        <v>0.51600000000000001</v>
      </c>
      <c r="P9" s="34"/>
      <c r="Q9" s="42"/>
      <c r="R9" s="34"/>
      <c r="S9" s="42"/>
      <c r="T9" s="34"/>
      <c r="U9" s="42"/>
      <c r="V9" s="34"/>
      <c r="W9" s="42"/>
      <c r="X9" s="34"/>
      <c r="Y9" s="42">
        <v>0.51600000000000001</v>
      </c>
      <c r="Z9" s="42"/>
      <c r="AA9" s="36"/>
      <c r="AB9" s="50"/>
      <c r="AC9" s="35" t="str">
        <f>IF(Table1[[#This Row],[Auto Order]]=1,IF(Table1[[#This Row],[In stock]]&lt;Table1[[#This Row],[Min in stock]],1,""),"")</f>
        <v/>
      </c>
    </row>
    <row r="10" spans="1:29" x14ac:dyDescent="0.25">
      <c r="A10" s="34" t="s">
        <v>22</v>
      </c>
      <c r="B10" s="34" t="s">
        <v>94</v>
      </c>
      <c r="C10" s="34" t="s">
        <v>402</v>
      </c>
      <c r="D10" s="34" t="s">
        <v>3392</v>
      </c>
      <c r="E10" s="34" t="s">
        <v>563</v>
      </c>
      <c r="F10" s="53">
        <v>9</v>
      </c>
      <c r="G10" s="53">
        <v>1</v>
      </c>
      <c r="H10" s="53">
        <f>1</f>
        <v>1</v>
      </c>
      <c r="I1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1332159</v>
      </c>
      <c r="J1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0.57499999999999996</v>
      </c>
      <c r="K1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Farnell</v>
      </c>
      <c r="L10" s="34"/>
      <c r="M10" s="42"/>
      <c r="N10" s="34" t="s">
        <v>401</v>
      </c>
      <c r="O10" s="42">
        <v>0.57499999999999996</v>
      </c>
      <c r="P10" s="34"/>
      <c r="Q10" s="42"/>
      <c r="R10" s="34"/>
      <c r="S10" s="42"/>
      <c r="T10" s="34"/>
      <c r="U10" s="42"/>
      <c r="V10" s="34"/>
      <c r="W10" s="42"/>
      <c r="X10" s="34"/>
      <c r="Y10" s="42">
        <v>0.57499999999999996</v>
      </c>
      <c r="Z10" s="42"/>
      <c r="AA10" s="36"/>
      <c r="AB10" s="50"/>
      <c r="AC10" s="35" t="str">
        <f>IF(Table1[[#This Row],[Auto Order]]=1,IF(Table1[[#This Row],[In stock]]&lt;Table1[[#This Row],[Min in stock]],1,""),"")</f>
        <v/>
      </c>
    </row>
    <row r="11" spans="1:29" x14ac:dyDescent="0.25">
      <c r="A11" s="34" t="s">
        <v>27</v>
      </c>
      <c r="B11" s="34" t="s">
        <v>45</v>
      </c>
      <c r="C11" s="34" t="s">
        <v>404</v>
      </c>
      <c r="D11" s="34" t="s">
        <v>25</v>
      </c>
      <c r="E11" s="34" t="s">
        <v>564</v>
      </c>
      <c r="F11" s="53">
        <v>9</v>
      </c>
      <c r="G11" s="53">
        <v>10</v>
      </c>
      <c r="H11" s="53">
        <f>1</f>
        <v>1</v>
      </c>
      <c r="I1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NCP114ASN330T1GOSCT-ND</v>
      </c>
      <c r="J1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0.35</v>
      </c>
      <c r="K1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1" s="34" t="s">
        <v>476</v>
      </c>
      <c r="M11" s="42">
        <v>0.35</v>
      </c>
      <c r="N11" s="34" t="s">
        <v>403</v>
      </c>
      <c r="O11" s="42">
        <v>0.26500000000000001</v>
      </c>
      <c r="P11" s="34"/>
      <c r="Q11" s="42"/>
      <c r="R11" s="34"/>
      <c r="S11" s="42"/>
      <c r="T11" s="34"/>
      <c r="U11" s="42"/>
      <c r="V11" s="34"/>
      <c r="W11" s="42"/>
      <c r="X11" s="34"/>
      <c r="Y11" s="42">
        <v>0.26500000000000001</v>
      </c>
      <c r="Z11" s="42"/>
      <c r="AA11" s="36"/>
      <c r="AB11" s="50"/>
      <c r="AC11" s="35">
        <f>IF(Table1[[#This Row],[Auto Order]]=1,IF(Table1[[#This Row],[In stock]]&lt;Table1[[#This Row],[Min in stock]],1,""),"")</f>
        <v>1</v>
      </c>
    </row>
    <row r="12" spans="1:29" x14ac:dyDescent="0.25">
      <c r="A12" s="34" t="s">
        <v>136</v>
      </c>
      <c r="B12" s="34" t="s">
        <v>127</v>
      </c>
      <c r="C12" s="34" t="s">
        <v>405</v>
      </c>
      <c r="D12" s="34" t="s">
        <v>135</v>
      </c>
      <c r="E12" s="34" t="s">
        <v>570</v>
      </c>
      <c r="F12" s="53">
        <v>5</v>
      </c>
      <c r="G12" s="53"/>
      <c r="H12" s="53"/>
      <c r="I1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2334901</v>
      </c>
      <c r="J1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0.27100000000000002</v>
      </c>
      <c r="K1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Farnell</v>
      </c>
      <c r="L12" s="34"/>
      <c r="M12" s="42"/>
      <c r="N12" s="34" t="s">
        <v>137</v>
      </c>
      <c r="O12" s="42">
        <v>0.27100000000000002</v>
      </c>
      <c r="P12" s="34"/>
      <c r="Q12" s="42"/>
      <c r="R12" s="34"/>
      <c r="S12" s="42"/>
      <c r="T12" s="34"/>
      <c r="U12" s="42"/>
      <c r="V12" s="34"/>
      <c r="W12" s="42"/>
      <c r="X12" s="34"/>
      <c r="Y12" s="42">
        <v>0.27100000000000002</v>
      </c>
      <c r="Z12" s="42"/>
      <c r="AA12" s="36"/>
      <c r="AB12" s="50"/>
      <c r="AC12" s="35" t="str">
        <f>IF(Table1[[#This Row],[Auto Order]]=1,IF(Table1[[#This Row],[In stock]]&lt;Table1[[#This Row],[Min in stock]],1,""),"")</f>
        <v/>
      </c>
    </row>
    <row r="13" spans="1:29" x14ac:dyDescent="0.25">
      <c r="A13" s="34" t="s">
        <v>221</v>
      </c>
      <c r="B13" s="34" t="s">
        <v>80</v>
      </c>
      <c r="C13" s="34" t="s">
        <v>406</v>
      </c>
      <c r="D13" s="34" t="s">
        <v>222</v>
      </c>
      <c r="E13" s="34" t="s">
        <v>564</v>
      </c>
      <c r="F13" s="53">
        <v>24</v>
      </c>
      <c r="G13" s="53"/>
      <c r="H13" s="53"/>
      <c r="I1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576-4880-1-ND</v>
      </c>
      <c r="J1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0.11</v>
      </c>
      <c r="K1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3" s="34" t="s">
        <v>223</v>
      </c>
      <c r="M13" s="42">
        <v>0.11</v>
      </c>
      <c r="N13" s="34"/>
      <c r="O13" s="42"/>
      <c r="P13" s="34"/>
      <c r="Q13" s="42"/>
      <c r="R13" s="34"/>
      <c r="S13" s="42"/>
      <c r="T13" s="34"/>
      <c r="U13" s="42"/>
      <c r="V13" s="34"/>
      <c r="W13" s="42"/>
      <c r="X13" s="34"/>
      <c r="Y13" s="42"/>
      <c r="Z13" s="42"/>
      <c r="AA13" s="36"/>
      <c r="AB13" s="50"/>
      <c r="AC13" s="35" t="str">
        <f>IF(Table1[[#This Row],[Auto Order]]=1,IF(Table1[[#This Row],[In stock]]&lt;Table1[[#This Row],[Min in stock]],1,""),"")</f>
        <v/>
      </c>
    </row>
    <row r="14" spans="1:29" x14ac:dyDescent="0.25">
      <c r="A14" s="34" t="s">
        <v>150</v>
      </c>
      <c r="B14" s="34" t="s">
        <v>80</v>
      </c>
      <c r="C14" s="34" t="s">
        <v>407</v>
      </c>
      <c r="D14" s="34" t="s">
        <v>151</v>
      </c>
      <c r="E14" s="34" t="s">
        <v>567</v>
      </c>
      <c r="F14" s="53">
        <v>3</v>
      </c>
      <c r="G14" s="53"/>
      <c r="H14" s="53"/>
      <c r="I1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PIC16LF18346-E/SO-ND</v>
      </c>
      <c r="J1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1.43</v>
      </c>
      <c r="K1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4" s="34" t="s">
        <v>149</v>
      </c>
      <c r="M14" s="42">
        <v>1.43</v>
      </c>
      <c r="N14" s="34"/>
      <c r="O14" s="42"/>
      <c r="P14" s="34"/>
      <c r="Q14" s="42"/>
      <c r="R14" s="34"/>
      <c r="S14" s="42"/>
      <c r="T14" s="34"/>
      <c r="U14" s="42"/>
      <c r="V14" s="34"/>
      <c r="W14" s="42"/>
      <c r="X14" s="34"/>
      <c r="Y14" s="42"/>
      <c r="Z14" s="42"/>
      <c r="AA14" s="36"/>
      <c r="AB14" s="50"/>
      <c r="AC14" s="35" t="str">
        <f>IF(Table1[[#This Row],[Auto Order]]=1,IF(Table1[[#This Row],[In stock]]&lt;Table1[[#This Row],[Min in stock]],1,""),"")</f>
        <v/>
      </c>
    </row>
    <row r="15" spans="1:29" x14ac:dyDescent="0.25">
      <c r="A15" s="34" t="s">
        <v>147</v>
      </c>
      <c r="B15" s="34" t="s">
        <v>80</v>
      </c>
      <c r="C15" s="34" t="s">
        <v>408</v>
      </c>
      <c r="D15" s="34" t="s">
        <v>148</v>
      </c>
      <c r="E15" s="34" t="s">
        <v>567</v>
      </c>
      <c r="F15" s="53">
        <v>3</v>
      </c>
      <c r="G15" s="53">
        <v>1</v>
      </c>
      <c r="H15" s="53">
        <f>1</f>
        <v>1</v>
      </c>
      <c r="I1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PIC16LF1827-I/SS-ND</v>
      </c>
      <c r="J1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1.47</v>
      </c>
      <c r="K1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5" s="34" t="s">
        <v>146</v>
      </c>
      <c r="M15" s="42">
        <v>1.47</v>
      </c>
      <c r="N15" s="34"/>
      <c r="O15" s="42"/>
      <c r="P15" s="34"/>
      <c r="Q15" s="42"/>
      <c r="R15" s="34"/>
      <c r="S15" s="42"/>
      <c r="T15" s="34"/>
      <c r="U15" s="42"/>
      <c r="V15" s="34"/>
      <c r="W15" s="42"/>
      <c r="X15" s="34"/>
      <c r="Y15" s="42"/>
      <c r="Z15" s="42"/>
      <c r="AA15" s="36"/>
      <c r="AB15" s="50"/>
      <c r="AC15" s="35" t="str">
        <f>IF(Table1[[#This Row],[Auto Order]]=1,IF(Table1[[#This Row],[In stock]]&lt;Table1[[#This Row],[Min in stock]],1,""),"")</f>
        <v/>
      </c>
    </row>
    <row r="16" spans="1:29" x14ac:dyDescent="0.25">
      <c r="A16" s="34" t="s">
        <v>215</v>
      </c>
      <c r="B16" s="34" t="s">
        <v>80</v>
      </c>
      <c r="C16" s="34" t="s">
        <v>409</v>
      </c>
      <c r="D16" s="34" t="s">
        <v>214</v>
      </c>
      <c r="E16" s="34" t="s">
        <v>567</v>
      </c>
      <c r="F16" s="53">
        <v>4</v>
      </c>
      <c r="G16" s="53"/>
      <c r="H16" s="53"/>
      <c r="I1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PIC16LF18324-I/SL-ND</v>
      </c>
      <c r="J1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0.92</v>
      </c>
      <c r="K1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6" s="34" t="s">
        <v>220</v>
      </c>
      <c r="M16" s="42">
        <v>0.92</v>
      </c>
      <c r="N16" s="34"/>
      <c r="O16" s="42"/>
      <c r="P16" s="34"/>
      <c r="Q16" s="42"/>
      <c r="R16" s="34"/>
      <c r="S16" s="42"/>
      <c r="T16" s="34"/>
      <c r="U16" s="42"/>
      <c r="V16" s="34"/>
      <c r="W16" s="42"/>
      <c r="X16" s="34"/>
      <c r="Y16" s="42"/>
      <c r="Z16" s="42"/>
      <c r="AA16" s="36"/>
      <c r="AB16" s="50"/>
      <c r="AC16" s="35" t="str">
        <f>IF(Table1[[#This Row],[Auto Order]]=1,IF(Table1[[#This Row],[In stock]]&lt;Table1[[#This Row],[Min in stock]],1,""),"")</f>
        <v/>
      </c>
    </row>
    <row r="17" spans="1:29" x14ac:dyDescent="0.25">
      <c r="A17" s="34" t="s">
        <v>216</v>
      </c>
      <c r="B17" s="34" t="s">
        <v>219</v>
      </c>
      <c r="C17" s="34" t="s">
        <v>410</v>
      </c>
      <c r="D17" s="34" t="s">
        <v>217</v>
      </c>
      <c r="E17" s="34" t="s">
        <v>563</v>
      </c>
      <c r="F17" s="53">
        <v>4</v>
      </c>
      <c r="G17" s="53"/>
      <c r="H17" s="53"/>
      <c r="I1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MMA8452QR1CT-ND</v>
      </c>
      <c r="J1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2.64</v>
      </c>
      <c r="K1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7" s="34" t="s">
        <v>218</v>
      </c>
      <c r="M17" s="42">
        <v>2.64</v>
      </c>
      <c r="N17" s="34"/>
      <c r="O17" s="42"/>
      <c r="P17" s="34"/>
      <c r="Q17" s="42"/>
      <c r="R17" s="34"/>
      <c r="S17" s="42"/>
      <c r="T17" s="34"/>
      <c r="U17" s="42"/>
      <c r="V17" s="34"/>
      <c r="W17" s="42"/>
      <c r="X17" s="34"/>
      <c r="Y17" s="42"/>
      <c r="Z17" s="42"/>
      <c r="AA17" s="36"/>
      <c r="AB17" s="50"/>
      <c r="AC17" s="35" t="str">
        <f>IF(Table1[[#This Row],[Auto Order]]=1,IF(Table1[[#This Row],[In stock]]&lt;Table1[[#This Row],[Min in stock]],1,""),"")</f>
        <v/>
      </c>
    </row>
    <row r="18" spans="1:29" x14ac:dyDescent="0.25">
      <c r="A18" s="34" t="s">
        <v>139</v>
      </c>
      <c r="B18" s="34" t="s">
        <v>69</v>
      </c>
      <c r="C18" s="34" t="s">
        <v>411</v>
      </c>
      <c r="D18" s="34" t="s">
        <v>68</v>
      </c>
      <c r="E18" s="34" t="s">
        <v>549</v>
      </c>
      <c r="F18" s="53">
        <v>1</v>
      </c>
      <c r="G18" s="53"/>
      <c r="H18" s="53"/>
      <c r="I1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PB1175CT-ND</v>
      </c>
      <c r="J1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4.88</v>
      </c>
      <c r="K1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8" s="34" t="s">
        <v>67</v>
      </c>
      <c r="M18" s="42">
        <v>4.88</v>
      </c>
      <c r="N18" s="34"/>
      <c r="O18" s="42"/>
      <c r="P18" s="34"/>
      <c r="Q18" s="42"/>
      <c r="R18" s="34"/>
      <c r="S18" s="42"/>
      <c r="T18" s="34"/>
      <c r="U18" s="42"/>
      <c r="V18" s="34"/>
      <c r="W18" s="42"/>
      <c r="X18" s="34"/>
      <c r="Y18" s="42"/>
      <c r="Z18" s="42"/>
      <c r="AA18" s="36"/>
      <c r="AB18" s="50"/>
      <c r="AC18" s="35" t="str">
        <f>IF(Table1[[#This Row],[Auto Order]]=1,IF(Table1[[#This Row],[In stock]]&lt;Table1[[#This Row],[Min in stock]],1,""),"")</f>
        <v/>
      </c>
    </row>
    <row r="19" spans="1:29" x14ac:dyDescent="0.25">
      <c r="A19" s="34" t="s">
        <v>20</v>
      </c>
      <c r="B19" s="34" t="s">
        <v>42</v>
      </c>
      <c r="C19" s="34" t="s">
        <v>413</v>
      </c>
      <c r="D19" s="34" t="s">
        <v>19</v>
      </c>
      <c r="E19" s="34" t="s">
        <v>572</v>
      </c>
      <c r="F19" s="53">
        <v>0</v>
      </c>
      <c r="G19" s="53"/>
      <c r="H19" s="53"/>
      <c r="I1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2682731</v>
      </c>
      <c r="J1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3.64</v>
      </c>
      <c r="K1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Farnell</v>
      </c>
      <c r="L19" s="34"/>
      <c r="M19" s="42"/>
      <c r="N19" s="34" t="s">
        <v>412</v>
      </c>
      <c r="O19" s="42">
        <v>3.64</v>
      </c>
      <c r="P19" s="34"/>
      <c r="Q19" s="42"/>
      <c r="R19" s="34"/>
      <c r="S19" s="42"/>
      <c r="T19" s="34"/>
      <c r="U19" s="42"/>
      <c r="V19" s="34"/>
      <c r="W19" s="42"/>
      <c r="X19" s="34"/>
      <c r="Y19" s="42"/>
      <c r="Z19" s="42"/>
      <c r="AA19" s="36"/>
      <c r="AB19" s="50"/>
      <c r="AC19" s="35" t="str">
        <f>IF(Table1[[#This Row],[Auto Order]]=1,IF(Table1[[#This Row],[In stock]]&lt;Table1[[#This Row],[Min in stock]],1,""),"")</f>
        <v/>
      </c>
    </row>
    <row r="20" spans="1:29" x14ac:dyDescent="0.25">
      <c r="A20" s="52" t="s">
        <v>229</v>
      </c>
      <c r="B20" s="34" t="s">
        <v>160</v>
      </c>
      <c r="C20" s="34" t="s">
        <v>415</v>
      </c>
      <c r="D20" s="34" t="s">
        <v>230</v>
      </c>
      <c r="E20" s="34" t="s">
        <v>550</v>
      </c>
      <c r="F20" s="53">
        <v>9</v>
      </c>
      <c r="G20" s="53">
        <f>10</f>
        <v>10</v>
      </c>
      <c r="H20" s="53">
        <f>1</f>
        <v>1</v>
      </c>
      <c r="I2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732-4980-1-ND</v>
      </c>
      <c r="J2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0.14000000000000001</v>
      </c>
      <c r="K2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0" s="34" t="s">
        <v>228</v>
      </c>
      <c r="M20" s="42">
        <v>0.14000000000000001</v>
      </c>
      <c r="N20" s="34"/>
      <c r="O20" s="42"/>
      <c r="P20" s="34"/>
      <c r="Q20" s="42"/>
      <c r="R20" s="34"/>
      <c r="S20" s="42"/>
      <c r="T20" s="34"/>
      <c r="U20" s="42"/>
      <c r="V20" s="34"/>
      <c r="W20" s="42"/>
      <c r="X20" s="34"/>
      <c r="Y20" s="42"/>
      <c r="Z20" s="42"/>
      <c r="AA20" s="36"/>
      <c r="AB20" s="50"/>
      <c r="AC20" s="35">
        <f>IF(Table1[[#This Row],[Auto Order]]=1,IF(Table1[[#This Row],[In stock]]&lt;Table1[[#This Row],[Min in stock]],1,""),"")</f>
        <v>1</v>
      </c>
    </row>
    <row r="21" spans="1:29" x14ac:dyDescent="0.25">
      <c r="A21" s="34" t="s">
        <v>231</v>
      </c>
      <c r="B21" s="34" t="s">
        <v>161</v>
      </c>
      <c r="C21" s="34" t="s">
        <v>414</v>
      </c>
      <c r="D21" s="34" t="s">
        <v>232</v>
      </c>
      <c r="E21" s="34" t="s">
        <v>550</v>
      </c>
      <c r="F21" s="53">
        <v>9</v>
      </c>
      <c r="G21" s="53">
        <v>10</v>
      </c>
      <c r="H21" s="53">
        <f>1</f>
        <v>1</v>
      </c>
      <c r="I2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TLMS1000-GS08CT-ND</v>
      </c>
      <c r="J2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0.52</v>
      </c>
      <c r="K2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1" s="34" t="s">
        <v>3083</v>
      </c>
      <c r="M21" s="42">
        <v>0.52</v>
      </c>
      <c r="N21" s="34"/>
      <c r="O21" s="42"/>
      <c r="P21" s="34"/>
      <c r="Q21" s="42"/>
      <c r="R21" s="34"/>
      <c r="S21" s="42"/>
      <c r="T21" s="34"/>
      <c r="U21" s="42"/>
      <c r="V21" s="34"/>
      <c r="W21" s="42"/>
      <c r="X21" s="34"/>
      <c r="Y21" s="42"/>
      <c r="Z21" s="42"/>
      <c r="AA21" s="36"/>
      <c r="AB21" s="50"/>
      <c r="AC21" s="35">
        <f>IF(Table1[[#This Row],[Auto Order]]=1,IF(Table1[[#This Row],[In stock]]&lt;Table1[[#This Row],[Min in stock]],1,""),"")</f>
        <v>1</v>
      </c>
    </row>
    <row r="22" spans="1:29" x14ac:dyDescent="0.25">
      <c r="A22" s="34" t="s">
        <v>36</v>
      </c>
      <c r="B22" s="34" t="s">
        <v>42</v>
      </c>
      <c r="C22" s="34" t="s">
        <v>425</v>
      </c>
      <c r="D22" s="34" t="s">
        <v>35</v>
      </c>
      <c r="E22" s="34" t="s">
        <v>547</v>
      </c>
      <c r="F22" s="53">
        <v>92</v>
      </c>
      <c r="G22" s="53"/>
      <c r="H22" s="53"/>
      <c r="I2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720-1805-1-ND</v>
      </c>
      <c r="J2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2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2" s="34" t="s">
        <v>479</v>
      </c>
      <c r="M22" s="42">
        <v>0.42</v>
      </c>
      <c r="N22" s="34" t="s">
        <v>424</v>
      </c>
      <c r="O22" s="42">
        <v>0.106</v>
      </c>
      <c r="P22" s="34"/>
      <c r="Q22" s="42"/>
      <c r="R22" s="34"/>
      <c r="S22" s="42"/>
      <c r="T22" s="34"/>
      <c r="U22" s="42"/>
      <c r="V22" s="34"/>
      <c r="W22" s="42"/>
      <c r="X22" s="34"/>
      <c r="Y22" s="42">
        <v>0.106</v>
      </c>
      <c r="Z22" s="42"/>
      <c r="AA22" s="36"/>
      <c r="AB22" s="50"/>
      <c r="AC22" s="35" t="str">
        <f>IF(Table1[[#This Row],[Auto Order]]=1,IF(Table1[[#This Row],[In stock]]&lt;Table1[[#This Row],[Min in stock]],1,""),"")</f>
        <v/>
      </c>
    </row>
    <row r="23" spans="1:29" x14ac:dyDescent="0.25">
      <c r="A23" s="34" t="s">
        <v>12</v>
      </c>
      <c r="B23" s="34" t="s">
        <v>33</v>
      </c>
      <c r="C23" s="34" t="s">
        <v>426</v>
      </c>
      <c r="D23" s="34" t="s">
        <v>11</v>
      </c>
      <c r="E23" s="34" t="s">
        <v>547</v>
      </c>
      <c r="F23" s="53">
        <v>48</v>
      </c>
      <c r="G23" s="53">
        <v>20</v>
      </c>
      <c r="H23" s="53">
        <f>1</f>
        <v>1</v>
      </c>
      <c r="I2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9451234</v>
      </c>
      <c r="J2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5.0900000000000001E-2</v>
      </c>
      <c r="K2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Farnell</v>
      </c>
      <c r="L23" s="34"/>
      <c r="M23" s="42"/>
      <c r="N23" s="34" t="s">
        <v>163</v>
      </c>
      <c r="O23" s="42">
        <v>5.0900000000000001E-2</v>
      </c>
      <c r="P23" s="34"/>
      <c r="Q23" s="42"/>
      <c r="R23" s="34"/>
      <c r="S23" s="42"/>
      <c r="T23" s="34"/>
      <c r="U23" s="42"/>
      <c r="V23" s="34"/>
      <c r="W23" s="42"/>
      <c r="X23" s="34"/>
      <c r="Y23" s="42">
        <v>5.0900000000000001E-2</v>
      </c>
      <c r="Z23" s="42"/>
      <c r="AA23" s="36"/>
      <c r="AB23" s="50"/>
      <c r="AC23" s="35" t="str">
        <f>IF(Table1[[#This Row],[Auto Order]]=1,IF(Table1[[#This Row],[In stock]]&lt;Table1[[#This Row],[Min in stock]],1,""),"")</f>
        <v/>
      </c>
    </row>
    <row r="24" spans="1:29" x14ac:dyDescent="0.25">
      <c r="A24" s="34" t="s">
        <v>321</v>
      </c>
      <c r="B24" s="34" t="s">
        <v>253</v>
      </c>
      <c r="C24" s="34" t="s">
        <v>427</v>
      </c>
      <c r="D24" s="34" t="s">
        <v>318</v>
      </c>
      <c r="E24" s="34" t="s">
        <v>559</v>
      </c>
      <c r="F24" s="53">
        <v>5</v>
      </c>
      <c r="G24" s="53"/>
      <c r="H24" s="53"/>
      <c r="I24" s="34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0</v>
      </c>
      <c r="J2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</v>
      </c>
      <c r="K24" s="34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0</v>
      </c>
      <c r="L24" s="34"/>
      <c r="M24" s="42"/>
      <c r="N24" s="34"/>
      <c r="O24" s="42"/>
      <c r="P24" s="34"/>
      <c r="Q24" s="42"/>
      <c r="R24" s="34"/>
      <c r="S24" s="42"/>
      <c r="T24" s="34"/>
      <c r="U24" s="42"/>
      <c r="V24" s="34"/>
      <c r="W24" s="42"/>
      <c r="X24" s="34"/>
      <c r="Y24" s="42"/>
      <c r="Z24" s="42"/>
      <c r="AA24" s="36"/>
      <c r="AB24" s="50"/>
      <c r="AC24" s="35" t="str">
        <f>IF(Table1[[#This Row],[Auto Order]]=1,IF(Table1[[#This Row],[In stock]]&lt;Table1[[#This Row],[Min in stock]],1,""),"")</f>
        <v/>
      </c>
    </row>
    <row r="25" spans="1:29" x14ac:dyDescent="0.25">
      <c r="A25" s="34" t="s">
        <v>63</v>
      </c>
      <c r="B25" s="34" t="s">
        <v>33</v>
      </c>
      <c r="C25" s="34" t="s">
        <v>429</v>
      </c>
      <c r="D25" s="34" t="s">
        <v>62</v>
      </c>
      <c r="E25" s="34" t="s">
        <v>559</v>
      </c>
      <c r="F25" s="53">
        <v>7</v>
      </c>
      <c r="G25" s="53"/>
      <c r="H25" s="53"/>
      <c r="I2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2694097</v>
      </c>
      <c r="J2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2.3900000000000001E-2</v>
      </c>
      <c r="K2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Farnell</v>
      </c>
      <c r="L25" s="34"/>
      <c r="M25" s="42"/>
      <c r="N25" s="34" t="s">
        <v>428</v>
      </c>
      <c r="O25" s="42">
        <v>2.3900000000000001E-2</v>
      </c>
      <c r="P25" s="34"/>
      <c r="Q25" s="42"/>
      <c r="R25" s="34"/>
      <c r="S25" s="42"/>
      <c r="T25" s="34"/>
      <c r="U25" s="42"/>
      <c r="V25" s="34"/>
      <c r="W25" s="42"/>
      <c r="X25" s="34"/>
      <c r="Y25" s="42">
        <v>2.3900000000000001E-2</v>
      </c>
      <c r="Z25" s="42"/>
      <c r="AA25" s="36"/>
      <c r="AB25" s="50"/>
      <c r="AC25" s="35" t="str">
        <f>IF(Table1[[#This Row],[Auto Order]]=1,IF(Table1[[#This Row],[In stock]]&lt;Table1[[#This Row],[Min in stock]],1,""),"")</f>
        <v/>
      </c>
    </row>
    <row r="26" spans="1:29" x14ac:dyDescent="0.25">
      <c r="A26" s="34" t="s">
        <v>61</v>
      </c>
      <c r="B26" s="34" t="s">
        <v>33</v>
      </c>
      <c r="C26" s="34" t="s">
        <v>431</v>
      </c>
      <c r="D26" s="34" t="s">
        <v>60</v>
      </c>
      <c r="E26" s="34" t="s">
        <v>559</v>
      </c>
      <c r="F26" s="53">
        <v>9</v>
      </c>
      <c r="G26" s="53"/>
      <c r="H26" s="53"/>
      <c r="I2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1576507</v>
      </c>
      <c r="J2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4.4499999999999998E-2</v>
      </c>
      <c r="K2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Farnell</v>
      </c>
      <c r="L26" s="34"/>
      <c r="M26" s="42"/>
      <c r="N26" s="34" t="s">
        <v>430</v>
      </c>
      <c r="O26" s="42">
        <v>4.4499999999999998E-2</v>
      </c>
      <c r="P26" s="34"/>
      <c r="Q26" s="42"/>
      <c r="R26" s="34"/>
      <c r="S26" s="42"/>
      <c r="T26" s="34"/>
      <c r="U26" s="42"/>
      <c r="V26" s="34"/>
      <c r="W26" s="42"/>
      <c r="X26" s="34"/>
      <c r="Y26" s="42">
        <v>4.4499999999999998E-2</v>
      </c>
      <c r="Z26" s="42"/>
      <c r="AA26" s="36"/>
      <c r="AB26" s="50"/>
      <c r="AC26" s="35" t="str">
        <f>IF(Table1[[#This Row],[Auto Order]]=1,IF(Table1[[#This Row],[In stock]]&lt;Table1[[#This Row],[Min in stock]],1,""),"")</f>
        <v/>
      </c>
    </row>
    <row r="27" spans="1:29" x14ac:dyDescent="0.25">
      <c r="A27" s="34" t="s">
        <v>59</v>
      </c>
      <c r="B27" s="34" t="s">
        <v>58</v>
      </c>
      <c r="C27" s="34" t="s">
        <v>433</v>
      </c>
      <c r="D27" s="34" t="s">
        <v>57</v>
      </c>
      <c r="E27" s="34" t="s">
        <v>559</v>
      </c>
      <c r="F27" s="53">
        <v>19</v>
      </c>
      <c r="G27" s="53"/>
      <c r="H27" s="53"/>
      <c r="I2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2380458</v>
      </c>
      <c r="J2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3.7499999999999999E-2</v>
      </c>
      <c r="K2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Farnell</v>
      </c>
      <c r="L27" s="34"/>
      <c r="M27" s="42"/>
      <c r="N27" s="34" t="s">
        <v>432</v>
      </c>
      <c r="O27" s="42">
        <v>3.7499999999999999E-2</v>
      </c>
      <c r="P27" s="34"/>
      <c r="Q27" s="42"/>
      <c r="R27" s="34"/>
      <c r="S27" s="42"/>
      <c r="T27" s="34"/>
      <c r="U27" s="42"/>
      <c r="V27" s="34"/>
      <c r="W27" s="42"/>
      <c r="X27" s="34"/>
      <c r="Y27" s="42">
        <v>3.7499999999999999E-2</v>
      </c>
      <c r="Z27" s="42"/>
      <c r="AA27" s="36"/>
      <c r="AB27" s="50"/>
      <c r="AC27" s="35" t="str">
        <f>IF(Table1[[#This Row],[Auto Order]]=1,IF(Table1[[#This Row],[In stock]]&lt;Table1[[#This Row],[Min in stock]],1,""),"")</f>
        <v/>
      </c>
    </row>
    <row r="28" spans="1:29" x14ac:dyDescent="0.25">
      <c r="A28" s="34" t="s">
        <v>52</v>
      </c>
      <c r="B28" s="34" t="s">
        <v>51</v>
      </c>
      <c r="C28" s="34" t="s">
        <v>435</v>
      </c>
      <c r="D28" s="34" t="s">
        <v>50</v>
      </c>
      <c r="E28" s="34" t="s">
        <v>559</v>
      </c>
      <c r="F28" s="53">
        <v>9</v>
      </c>
      <c r="G28" s="53"/>
      <c r="H28" s="53"/>
      <c r="I2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2447573</v>
      </c>
      <c r="J2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1.0999999999999999E-2</v>
      </c>
      <c r="K2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Farnell</v>
      </c>
      <c r="L28" s="34"/>
      <c r="M28" s="42"/>
      <c r="N28" s="34" t="s">
        <v>434</v>
      </c>
      <c r="O28" s="42">
        <v>1.0999999999999999E-2</v>
      </c>
      <c r="P28" s="34"/>
      <c r="Q28" s="42"/>
      <c r="R28" s="34"/>
      <c r="S28" s="42"/>
      <c r="T28" s="34"/>
      <c r="U28" s="42"/>
      <c r="V28" s="34"/>
      <c r="W28" s="42"/>
      <c r="X28" s="34"/>
      <c r="Y28" s="42">
        <v>1.0999999999999999E-2</v>
      </c>
      <c r="Z28" s="42"/>
      <c r="AA28" s="36"/>
      <c r="AB28" s="50"/>
      <c r="AC28" s="35" t="str">
        <f>IF(Table1[[#This Row],[Auto Order]]=1,IF(Table1[[#This Row],[In stock]]&lt;Table1[[#This Row],[Min in stock]],1,""),"")</f>
        <v/>
      </c>
    </row>
    <row r="29" spans="1:29" x14ac:dyDescent="0.25">
      <c r="A29" s="34" t="s">
        <v>56</v>
      </c>
      <c r="B29" s="34" t="s">
        <v>33</v>
      </c>
      <c r="C29" s="34" t="s">
        <v>437</v>
      </c>
      <c r="D29" s="34" t="s">
        <v>55</v>
      </c>
      <c r="E29" s="34" t="s">
        <v>559</v>
      </c>
      <c r="F29" s="53">
        <v>9</v>
      </c>
      <c r="G29" s="53"/>
      <c r="H29" s="53"/>
      <c r="I2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2073701</v>
      </c>
      <c r="J2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1.55E-2</v>
      </c>
      <c r="K2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Farnell</v>
      </c>
      <c r="L29" s="34"/>
      <c r="M29" s="42"/>
      <c r="N29" s="34" t="s">
        <v>436</v>
      </c>
      <c r="O29" s="42">
        <v>1.55E-2</v>
      </c>
      <c r="P29" s="34"/>
      <c r="Q29" s="42"/>
      <c r="R29" s="34"/>
      <c r="S29" s="42"/>
      <c r="T29" s="34"/>
      <c r="U29" s="42"/>
      <c r="V29" s="34"/>
      <c r="W29" s="42"/>
      <c r="X29" s="34"/>
      <c r="Y29" s="42">
        <v>1.55E-2</v>
      </c>
      <c r="Z29" s="42"/>
      <c r="AA29" s="36"/>
      <c r="AB29" s="50"/>
      <c r="AC29" s="35" t="str">
        <f>IF(Table1[[#This Row],[Auto Order]]=1,IF(Table1[[#This Row],[In stock]]&lt;Table1[[#This Row],[Min in stock]],1,""),"")</f>
        <v/>
      </c>
    </row>
    <row r="30" spans="1:29" x14ac:dyDescent="0.25">
      <c r="A30" s="34" t="s">
        <v>320</v>
      </c>
      <c r="B30" s="34" t="s">
        <v>253</v>
      </c>
      <c r="C30" s="34" t="s">
        <v>438</v>
      </c>
      <c r="D30" s="34" t="s">
        <v>319</v>
      </c>
      <c r="E30" s="34" t="s">
        <v>559</v>
      </c>
      <c r="F30" s="53">
        <v>5</v>
      </c>
      <c r="G30" s="53"/>
      <c r="H30" s="53"/>
      <c r="I30" s="34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0</v>
      </c>
      <c r="J3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</v>
      </c>
      <c r="K3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JLCPCB</v>
      </c>
      <c r="L30" s="34"/>
      <c r="M30" s="42"/>
      <c r="N30" s="34"/>
      <c r="O30" s="42"/>
      <c r="P30" s="34"/>
      <c r="Q30" s="42"/>
      <c r="R30" s="34"/>
      <c r="S30" s="42"/>
      <c r="T30" s="34"/>
      <c r="U30" s="42"/>
      <c r="V30" s="34"/>
      <c r="W30" s="42"/>
      <c r="X30" s="34"/>
      <c r="Y30" s="42"/>
      <c r="Z30" s="42" t="s">
        <v>523</v>
      </c>
      <c r="AA30" s="36"/>
      <c r="AB30" s="50"/>
      <c r="AC30" s="35" t="str">
        <f>IF(Table1[[#This Row],[Auto Order]]=1,IF(Table1[[#This Row],[In stock]]&lt;Table1[[#This Row],[Min in stock]],1,""),"")</f>
        <v/>
      </c>
    </row>
    <row r="31" spans="1:29" x14ac:dyDescent="0.25">
      <c r="A31" s="34" t="s">
        <v>54</v>
      </c>
      <c r="B31" s="34" t="s">
        <v>33</v>
      </c>
      <c r="C31" s="34" t="s">
        <v>440</v>
      </c>
      <c r="D31" s="34" t="s">
        <v>53</v>
      </c>
      <c r="E31" s="34" t="s">
        <v>559</v>
      </c>
      <c r="F31" s="53">
        <v>0</v>
      </c>
      <c r="G31" s="53"/>
      <c r="H31" s="53"/>
      <c r="I3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2073779</v>
      </c>
      <c r="J3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2.3E-2</v>
      </c>
      <c r="K3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Farnell</v>
      </c>
      <c r="L31" s="34"/>
      <c r="M31" s="42"/>
      <c r="N31" s="34" t="s">
        <v>439</v>
      </c>
      <c r="O31" s="42">
        <v>2.3E-2</v>
      </c>
      <c r="P31" s="34"/>
      <c r="Q31" s="42"/>
      <c r="R31" s="34"/>
      <c r="S31" s="42"/>
      <c r="T31" s="34"/>
      <c r="U31" s="42"/>
      <c r="V31" s="34"/>
      <c r="W31" s="42"/>
      <c r="X31" s="34"/>
      <c r="Y31" s="42">
        <v>2.3E-2</v>
      </c>
      <c r="Z31" s="42"/>
      <c r="AA31" s="36"/>
      <c r="AB31" s="50"/>
      <c r="AC31" s="35" t="str">
        <f>IF(Table1[[#This Row],[Auto Order]]=1,IF(Table1[[#This Row],[In stock]]&lt;Table1[[#This Row],[Min in stock]],1,""),"")</f>
        <v/>
      </c>
    </row>
    <row r="32" spans="1:29" x14ac:dyDescent="0.25">
      <c r="A32" s="57" t="s">
        <v>2962</v>
      </c>
      <c r="B32" s="34" t="s">
        <v>2958</v>
      </c>
      <c r="C32" s="34" t="s">
        <v>352</v>
      </c>
      <c r="D32" s="34" t="s">
        <v>2963</v>
      </c>
      <c r="E32" s="34" t="s">
        <v>2955</v>
      </c>
      <c r="F32" s="53">
        <v>0</v>
      </c>
      <c r="G32" s="53">
        <v>2</v>
      </c>
      <c r="H32" s="53">
        <v>1</v>
      </c>
      <c r="I3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455-1578-1-ND</v>
      </c>
      <c r="J3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0.43</v>
      </c>
      <c r="K3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2" s="34" t="s">
        <v>2961</v>
      </c>
      <c r="M32" s="42">
        <v>0.43</v>
      </c>
      <c r="N32" s="34"/>
      <c r="O32" s="42"/>
      <c r="P32" s="34"/>
      <c r="Q32" s="42"/>
      <c r="R32" s="34"/>
      <c r="S32" s="42"/>
      <c r="T32" s="34"/>
      <c r="U32" s="42"/>
      <c r="V32" s="34"/>
      <c r="W32" s="42"/>
      <c r="X32" s="34"/>
      <c r="Y32" s="42"/>
      <c r="Z32" s="42"/>
      <c r="AA32" s="36"/>
      <c r="AB32" s="50"/>
      <c r="AC32" s="56">
        <f>IF(Table1[[#This Row],[Auto Order]]=1,IF(Table1[[#This Row],[In stock]]&lt;Table1[[#This Row],[Min in stock]],1,""),"")</f>
        <v>1</v>
      </c>
    </row>
    <row r="33" spans="1:29" x14ac:dyDescent="0.25">
      <c r="A33" s="57" t="s">
        <v>2968</v>
      </c>
      <c r="B33" s="34" t="s">
        <v>2958</v>
      </c>
      <c r="C33" s="34" t="s">
        <v>352</v>
      </c>
      <c r="D33" s="34" t="s">
        <v>2969</v>
      </c>
      <c r="E33" s="34" t="s">
        <v>2955</v>
      </c>
      <c r="F33" s="53">
        <v>0</v>
      </c>
      <c r="G33" s="53">
        <v>2</v>
      </c>
      <c r="H33" s="53">
        <v>1</v>
      </c>
      <c r="I3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455-1579-1-ND</v>
      </c>
      <c r="J3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3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3" s="34" t="s">
        <v>2967</v>
      </c>
      <c r="M33" s="42">
        <v>0.48</v>
      </c>
      <c r="N33" s="34"/>
      <c r="O33" s="42"/>
      <c r="P33" s="34"/>
      <c r="Q33" s="42"/>
      <c r="R33" s="34"/>
      <c r="S33" s="42"/>
      <c r="T33" s="34"/>
      <c r="U33" s="42"/>
      <c r="V33" s="34"/>
      <c r="W33" s="42"/>
      <c r="X33" s="34"/>
      <c r="Y33" s="42"/>
      <c r="Z33" s="42"/>
      <c r="AA33" s="36"/>
      <c r="AB33" s="50"/>
      <c r="AC33" s="56">
        <f>IF(Table1[[#This Row],[Auto Order]]=1,IF(Table1[[#This Row],[In stock]]&lt;Table1[[#This Row],[Min in stock]],1,""),"")</f>
        <v>1</v>
      </c>
    </row>
    <row r="34" spans="1:29" x14ac:dyDescent="0.25">
      <c r="A34" s="57" t="s">
        <v>2974</v>
      </c>
      <c r="B34" s="34" t="s">
        <v>2958</v>
      </c>
      <c r="C34" s="34" t="s">
        <v>352</v>
      </c>
      <c r="D34" s="34" t="s">
        <v>2975</v>
      </c>
      <c r="E34" s="34" t="s">
        <v>2955</v>
      </c>
      <c r="F34" s="53">
        <v>0</v>
      </c>
      <c r="G34" s="53">
        <v>2</v>
      </c>
      <c r="H34" s="53">
        <v>1</v>
      </c>
      <c r="I3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455-1580-1-ND</v>
      </c>
      <c r="J3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0.44</v>
      </c>
      <c r="K3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4" s="34" t="s">
        <v>2973</v>
      </c>
      <c r="M34" s="42">
        <v>0.44</v>
      </c>
      <c r="N34" s="34"/>
      <c r="O34" s="42"/>
      <c r="P34" s="34"/>
      <c r="Q34" s="42"/>
      <c r="R34" s="34"/>
      <c r="S34" s="42"/>
      <c r="T34" s="34"/>
      <c r="U34" s="42"/>
      <c r="V34" s="34"/>
      <c r="W34" s="42"/>
      <c r="X34" s="34"/>
      <c r="Y34" s="42"/>
      <c r="Z34" s="42"/>
      <c r="AA34" s="36"/>
      <c r="AB34" s="50"/>
      <c r="AC34" s="56">
        <f>IF(Table1[[#This Row],[Auto Order]]=1,IF(Table1[[#This Row],[In stock]]&lt;Table1[[#This Row],[Min in stock]],1,""),"")</f>
        <v>1</v>
      </c>
    </row>
    <row r="35" spans="1:29" x14ac:dyDescent="0.25">
      <c r="A35" s="57" t="s">
        <v>2980</v>
      </c>
      <c r="B35" s="34" t="s">
        <v>2958</v>
      </c>
      <c r="C35" s="34" t="s">
        <v>352</v>
      </c>
      <c r="D35" s="34" t="s">
        <v>2981</v>
      </c>
      <c r="E35" s="34" t="s">
        <v>2955</v>
      </c>
      <c r="F35" s="53">
        <v>0</v>
      </c>
      <c r="G35" s="53">
        <v>2</v>
      </c>
      <c r="H35" s="53">
        <v>1</v>
      </c>
      <c r="I3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455-1581-1-ND</v>
      </c>
      <c r="J3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0.46</v>
      </c>
      <c r="K3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5" s="34" t="s">
        <v>2979</v>
      </c>
      <c r="M35" s="42">
        <v>0.46</v>
      </c>
      <c r="N35" s="34"/>
      <c r="O35" s="42"/>
      <c r="P35" s="34"/>
      <c r="Q35" s="42"/>
      <c r="R35" s="34"/>
      <c r="S35" s="42"/>
      <c r="T35" s="34"/>
      <c r="U35" s="42"/>
      <c r="V35" s="34"/>
      <c r="W35" s="42"/>
      <c r="X35" s="34"/>
      <c r="Y35" s="42"/>
      <c r="Z35" s="42"/>
      <c r="AA35" s="36"/>
      <c r="AB35" s="50"/>
      <c r="AC35" s="56">
        <f>IF(Table1[[#This Row],[Auto Order]]=1,IF(Table1[[#This Row],[In stock]]&lt;Table1[[#This Row],[Min in stock]],1,""),"")</f>
        <v>1</v>
      </c>
    </row>
    <row r="36" spans="1:29" x14ac:dyDescent="0.25">
      <c r="A36" s="57" t="s">
        <v>2986</v>
      </c>
      <c r="B36" s="34" t="s">
        <v>2958</v>
      </c>
      <c r="C36" s="34" t="s">
        <v>352</v>
      </c>
      <c r="D36" s="34" t="s">
        <v>2987</v>
      </c>
      <c r="E36" s="34" t="s">
        <v>2955</v>
      </c>
      <c r="F36" s="53">
        <v>0</v>
      </c>
      <c r="G36" s="53">
        <v>2</v>
      </c>
      <c r="H36" s="53">
        <v>1</v>
      </c>
      <c r="I3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455-1582-1-ND</v>
      </c>
      <c r="J3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0.56000000000000005</v>
      </c>
      <c r="K3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6" s="34" t="s">
        <v>2985</v>
      </c>
      <c r="M36" s="42">
        <v>0.56000000000000005</v>
      </c>
      <c r="N36" s="34"/>
      <c r="O36" s="42"/>
      <c r="P36" s="34"/>
      <c r="Q36" s="42"/>
      <c r="R36" s="34"/>
      <c r="S36" s="42"/>
      <c r="T36" s="34"/>
      <c r="U36" s="42"/>
      <c r="V36" s="34"/>
      <c r="W36" s="42"/>
      <c r="X36" s="34"/>
      <c r="Y36" s="42"/>
      <c r="Z36" s="42"/>
      <c r="AA36" s="36"/>
      <c r="AB36" s="50"/>
      <c r="AC36" s="56">
        <f>IF(Table1[[#This Row],[Auto Order]]=1,IF(Table1[[#This Row],[In stock]]&lt;Table1[[#This Row],[Min in stock]],1,""),"")</f>
        <v>1</v>
      </c>
    </row>
    <row r="37" spans="1:29" x14ac:dyDescent="0.25">
      <c r="A37" s="57" t="s">
        <v>2992</v>
      </c>
      <c r="B37" s="34" t="s">
        <v>2958</v>
      </c>
      <c r="C37" s="34" t="s">
        <v>352</v>
      </c>
      <c r="D37" s="34" t="s">
        <v>2993</v>
      </c>
      <c r="E37" s="34" t="s">
        <v>2955</v>
      </c>
      <c r="F37" s="53">
        <v>0</v>
      </c>
      <c r="G37" s="53">
        <v>2</v>
      </c>
      <c r="H37" s="53">
        <v>1</v>
      </c>
      <c r="I3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455-1583-1-ND</v>
      </c>
      <c r="J3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0.59</v>
      </c>
      <c r="K3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7" s="34" t="s">
        <v>2991</v>
      </c>
      <c r="M37" s="42">
        <v>0.59</v>
      </c>
      <c r="N37" s="34"/>
      <c r="O37" s="42"/>
      <c r="P37" s="34"/>
      <c r="Q37" s="42"/>
      <c r="R37" s="34"/>
      <c r="S37" s="42"/>
      <c r="T37" s="34"/>
      <c r="U37" s="42"/>
      <c r="V37" s="34"/>
      <c r="W37" s="42"/>
      <c r="X37" s="34"/>
      <c r="Y37" s="42"/>
      <c r="Z37" s="42"/>
      <c r="AA37" s="36"/>
      <c r="AB37" s="50"/>
      <c r="AC37" s="56">
        <f>IF(Table1[[#This Row],[Auto Order]]=1,IF(Table1[[#This Row],[In stock]]&lt;Table1[[#This Row],[Min in stock]],1,""),"")</f>
        <v>1</v>
      </c>
    </row>
    <row r="38" spans="1:29" x14ac:dyDescent="0.25">
      <c r="A38" s="57" t="s">
        <v>2995</v>
      </c>
      <c r="B38" s="34" t="s">
        <v>2958</v>
      </c>
      <c r="C38" s="34" t="s">
        <v>352</v>
      </c>
      <c r="D38" s="34" t="s">
        <v>2996</v>
      </c>
      <c r="E38" s="34" t="s">
        <v>2955</v>
      </c>
      <c r="F38" s="53">
        <v>0</v>
      </c>
      <c r="G38" s="53">
        <v>2</v>
      </c>
      <c r="H38" s="53">
        <v>1</v>
      </c>
      <c r="I3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455-1584-1-ND</v>
      </c>
      <c r="J3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0.59</v>
      </c>
      <c r="K3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8" s="34" t="s">
        <v>2994</v>
      </c>
      <c r="M38" s="42">
        <v>0.59</v>
      </c>
      <c r="N38" s="34"/>
      <c r="O38" s="42"/>
      <c r="P38" s="34"/>
      <c r="Q38" s="42"/>
      <c r="R38" s="34"/>
      <c r="S38" s="42"/>
      <c r="T38" s="34"/>
      <c r="U38" s="42"/>
      <c r="V38" s="34"/>
      <c r="W38" s="42"/>
      <c r="X38" s="34"/>
      <c r="Y38" s="42"/>
      <c r="Z38" s="42"/>
      <c r="AA38" s="36"/>
      <c r="AB38" s="50"/>
      <c r="AC38" s="56">
        <f>IF(Table1[[#This Row],[Auto Order]]=1,IF(Table1[[#This Row],[In stock]]&lt;Table1[[#This Row],[Min in stock]],1,""),"")</f>
        <v>1</v>
      </c>
    </row>
    <row r="39" spans="1:29" x14ac:dyDescent="0.25">
      <c r="A39" s="57" t="s">
        <v>3001</v>
      </c>
      <c r="B39" s="34" t="s">
        <v>2958</v>
      </c>
      <c r="C39" s="34" t="s">
        <v>352</v>
      </c>
      <c r="D39" s="34" t="s">
        <v>3002</v>
      </c>
      <c r="E39" s="34" t="s">
        <v>2955</v>
      </c>
      <c r="F39" s="53">
        <v>0</v>
      </c>
      <c r="G39" s="53"/>
      <c r="H39" s="53"/>
      <c r="I3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455-1585-1-ND</v>
      </c>
      <c r="J3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0.63</v>
      </c>
      <c r="K3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9" s="34" t="s">
        <v>3000</v>
      </c>
      <c r="M39" s="42">
        <v>0.63</v>
      </c>
      <c r="N39" s="34"/>
      <c r="O39" s="42"/>
      <c r="P39" s="34"/>
      <c r="Q39" s="42"/>
      <c r="R39" s="34"/>
      <c r="S39" s="42"/>
      <c r="T39" s="34"/>
      <c r="U39" s="42"/>
      <c r="V39" s="34"/>
      <c r="W39" s="42"/>
      <c r="X39" s="34"/>
      <c r="Y39" s="42"/>
      <c r="Z39" s="42"/>
      <c r="AA39" s="36"/>
      <c r="AB39" s="50"/>
      <c r="AC39" s="56" t="str">
        <f>IF(Table1[[#This Row],[Auto Order]]=1,IF(Table1[[#This Row],[In stock]]&lt;Table1[[#This Row],[Min in stock]],1,""),"")</f>
        <v/>
      </c>
    </row>
    <row r="40" spans="1:29" x14ac:dyDescent="0.25">
      <c r="A40" s="57" t="s">
        <v>3007</v>
      </c>
      <c r="B40" s="34" t="s">
        <v>2958</v>
      </c>
      <c r="C40" s="34" t="s">
        <v>352</v>
      </c>
      <c r="D40" s="34" t="s">
        <v>3008</v>
      </c>
      <c r="E40" s="34" t="s">
        <v>2955</v>
      </c>
      <c r="F40" s="53">
        <v>0</v>
      </c>
      <c r="G40" s="53">
        <v>2</v>
      </c>
      <c r="H40" s="53">
        <v>1</v>
      </c>
      <c r="I4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455-1586-1-ND</v>
      </c>
      <c r="J4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0.67</v>
      </c>
      <c r="K4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0" s="34" t="s">
        <v>3006</v>
      </c>
      <c r="M40" s="42">
        <v>0.67</v>
      </c>
      <c r="N40" s="34"/>
      <c r="O40" s="42"/>
      <c r="P40" s="34"/>
      <c r="Q40" s="42"/>
      <c r="R40" s="34"/>
      <c r="S40" s="42"/>
      <c r="T40" s="34"/>
      <c r="U40" s="42"/>
      <c r="V40" s="34"/>
      <c r="W40" s="42"/>
      <c r="X40" s="34"/>
      <c r="Y40" s="42"/>
      <c r="Z40" s="42"/>
      <c r="AA40" s="36"/>
      <c r="AB40" s="50"/>
      <c r="AC40" s="56">
        <f>IF(Table1[[#This Row],[Auto Order]]=1,IF(Table1[[#This Row],[In stock]]&lt;Table1[[#This Row],[Min in stock]],1,""),"")</f>
        <v>1</v>
      </c>
    </row>
    <row r="41" spans="1:29" x14ac:dyDescent="0.25">
      <c r="A41" s="57" t="s">
        <v>3013</v>
      </c>
      <c r="B41" s="34" t="s">
        <v>2958</v>
      </c>
      <c r="C41" s="34" t="s">
        <v>352</v>
      </c>
      <c r="D41" s="34" t="s">
        <v>3014</v>
      </c>
      <c r="E41" s="34" t="s">
        <v>2955</v>
      </c>
      <c r="F41" s="53">
        <v>0</v>
      </c>
      <c r="G41" s="53"/>
      <c r="H41" s="53"/>
      <c r="I4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455-1588-1-ND</v>
      </c>
      <c r="J4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0.73</v>
      </c>
      <c r="K4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1" s="34" t="s">
        <v>3012</v>
      </c>
      <c r="M41" s="42">
        <v>0.73</v>
      </c>
      <c r="N41" s="34"/>
      <c r="O41" s="42"/>
      <c r="P41" s="34"/>
      <c r="Q41" s="42"/>
      <c r="R41" s="34"/>
      <c r="S41" s="42"/>
      <c r="T41" s="34"/>
      <c r="U41" s="42"/>
      <c r="V41" s="34"/>
      <c r="W41" s="42"/>
      <c r="X41" s="34"/>
      <c r="Y41" s="42"/>
      <c r="Z41" s="42"/>
      <c r="AA41" s="36"/>
      <c r="AB41" s="50"/>
      <c r="AC41" s="56" t="str">
        <f>IF(Table1[[#This Row],[Auto Order]]=1,IF(Table1[[#This Row],[In stock]]&lt;Table1[[#This Row],[Min in stock]],1,""),"")</f>
        <v/>
      </c>
    </row>
    <row r="42" spans="1:29" x14ac:dyDescent="0.25">
      <c r="A42" s="57" t="s">
        <v>3019</v>
      </c>
      <c r="B42" s="34" t="s">
        <v>2958</v>
      </c>
      <c r="C42" s="34" t="s">
        <v>352</v>
      </c>
      <c r="D42" s="34" t="s">
        <v>3020</v>
      </c>
      <c r="E42" s="34" t="s">
        <v>2955</v>
      </c>
      <c r="F42" s="53">
        <v>0</v>
      </c>
      <c r="G42" s="53"/>
      <c r="H42" s="53"/>
      <c r="I4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455-1590-1-ND</v>
      </c>
      <c r="J4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0.78</v>
      </c>
      <c r="K4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2" s="34" t="s">
        <v>3018</v>
      </c>
      <c r="M42" s="42">
        <v>0.78</v>
      </c>
      <c r="N42" s="34"/>
      <c r="O42" s="42"/>
      <c r="P42" s="34"/>
      <c r="Q42" s="42"/>
      <c r="R42" s="34"/>
      <c r="S42" s="42"/>
      <c r="T42" s="34"/>
      <c r="U42" s="42"/>
      <c r="V42" s="34"/>
      <c r="W42" s="42"/>
      <c r="X42" s="34"/>
      <c r="Y42" s="42"/>
      <c r="Z42" s="42"/>
      <c r="AA42" s="36"/>
      <c r="AB42" s="50"/>
      <c r="AC42" s="56" t="str">
        <f>IF(Table1[[#This Row],[Auto Order]]=1,IF(Table1[[#This Row],[In stock]]&lt;Table1[[#This Row],[Min in stock]],1,""),"")</f>
        <v/>
      </c>
    </row>
    <row r="43" spans="1:29" x14ac:dyDescent="0.25">
      <c r="A43" s="57" t="s">
        <v>3022</v>
      </c>
      <c r="B43" s="34" t="s">
        <v>2958</v>
      </c>
      <c r="C43" s="34" t="s">
        <v>352</v>
      </c>
      <c r="D43" s="34" t="s">
        <v>3023</v>
      </c>
      <c r="E43" s="34" t="s">
        <v>2955</v>
      </c>
      <c r="F43" s="53">
        <v>0</v>
      </c>
      <c r="G43" s="53"/>
      <c r="H43" s="53"/>
      <c r="I4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455-1591-1-ND</v>
      </c>
      <c r="J4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0.81</v>
      </c>
      <c r="K4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3" s="34" t="s">
        <v>3021</v>
      </c>
      <c r="M43" s="42">
        <v>0.81</v>
      </c>
      <c r="N43" s="34"/>
      <c r="O43" s="42"/>
      <c r="P43" s="34"/>
      <c r="Q43" s="42"/>
      <c r="R43" s="34"/>
      <c r="S43" s="42"/>
      <c r="T43" s="34"/>
      <c r="U43" s="42"/>
      <c r="V43" s="34"/>
      <c r="W43" s="42"/>
      <c r="X43" s="34"/>
      <c r="Y43" s="42"/>
      <c r="Z43" s="42"/>
      <c r="AA43" s="36"/>
      <c r="AB43" s="50"/>
      <c r="AC43" s="56" t="str">
        <f>IF(Table1[[#This Row],[Auto Order]]=1,IF(Table1[[#This Row],[In stock]]&lt;Table1[[#This Row],[Min in stock]],1,""),"")</f>
        <v/>
      </c>
    </row>
    <row r="44" spans="1:29" x14ac:dyDescent="0.25">
      <c r="A44" s="57" t="s">
        <v>3034</v>
      </c>
      <c r="B44" s="34" t="s">
        <v>2958</v>
      </c>
      <c r="C44" s="34" t="s">
        <v>352</v>
      </c>
      <c r="D44" s="34" t="s">
        <v>3035</v>
      </c>
      <c r="E44" s="34" t="s">
        <v>2954</v>
      </c>
      <c r="F44" s="53">
        <v>0</v>
      </c>
      <c r="G44" s="53">
        <v>4</v>
      </c>
      <c r="H44" s="53">
        <v>1</v>
      </c>
      <c r="I4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455-1592-ND</v>
      </c>
      <c r="J4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0.12</v>
      </c>
      <c r="K4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4" s="34" t="s">
        <v>3033</v>
      </c>
      <c r="M44" s="42">
        <v>0.12</v>
      </c>
      <c r="N44" s="34"/>
      <c r="O44" s="42"/>
      <c r="P44" s="34"/>
      <c r="Q44" s="42"/>
      <c r="R44" s="34"/>
      <c r="S44" s="42"/>
      <c r="T44" s="34"/>
      <c r="U44" s="42"/>
      <c r="V44" s="34"/>
      <c r="W44" s="42"/>
      <c r="X44" s="34"/>
      <c r="Y44" s="42"/>
      <c r="Z44" s="42"/>
      <c r="AA44" s="36"/>
      <c r="AB44" s="50"/>
      <c r="AC44" s="56">
        <f>IF(Table1[[#This Row],[Auto Order]]=1,IF(Table1[[#This Row],[In stock]]&lt;Table1[[#This Row],[Min in stock]],1,""),"")</f>
        <v>1</v>
      </c>
    </row>
    <row r="45" spans="1:29" x14ac:dyDescent="0.25">
      <c r="A45" s="57" t="s">
        <v>3040</v>
      </c>
      <c r="B45" s="34" t="s">
        <v>2958</v>
      </c>
      <c r="C45" s="34" t="s">
        <v>352</v>
      </c>
      <c r="D45" s="34" t="s">
        <v>3041</v>
      </c>
      <c r="E45" s="34" t="s">
        <v>2954</v>
      </c>
      <c r="F45" s="53">
        <v>0</v>
      </c>
      <c r="G45" s="53">
        <v>4</v>
      </c>
      <c r="H45" s="53">
        <v>1</v>
      </c>
      <c r="I4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455-1593-ND</v>
      </c>
      <c r="J4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4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5" s="34" t="s">
        <v>3039</v>
      </c>
      <c r="M45" s="42">
        <v>0.13</v>
      </c>
      <c r="N45" s="34"/>
      <c r="O45" s="42"/>
      <c r="P45" s="34"/>
      <c r="Q45" s="42"/>
      <c r="R45" s="34"/>
      <c r="S45" s="42"/>
      <c r="T45" s="34"/>
      <c r="U45" s="42"/>
      <c r="V45" s="34"/>
      <c r="W45" s="42"/>
      <c r="X45" s="34"/>
      <c r="Y45" s="42"/>
      <c r="Z45" s="42"/>
      <c r="AA45" s="36"/>
      <c r="AB45" s="50"/>
      <c r="AC45" s="56">
        <f>IF(Table1[[#This Row],[Auto Order]]=1,IF(Table1[[#This Row],[In stock]]&lt;Table1[[#This Row],[Min in stock]],1,""),"")</f>
        <v>1</v>
      </c>
    </row>
    <row r="46" spans="1:29" x14ac:dyDescent="0.25">
      <c r="A46" s="57" t="s">
        <v>3043</v>
      </c>
      <c r="B46" s="34" t="s">
        <v>2958</v>
      </c>
      <c r="C46" s="34" t="s">
        <v>352</v>
      </c>
      <c r="D46" s="34" t="s">
        <v>3044</v>
      </c>
      <c r="E46" s="34" t="s">
        <v>2954</v>
      </c>
      <c r="F46" s="53">
        <v>0</v>
      </c>
      <c r="G46" s="53">
        <v>4</v>
      </c>
      <c r="H46" s="53">
        <v>1</v>
      </c>
      <c r="I4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455-1594-ND</v>
      </c>
      <c r="J4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4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6" s="34" t="s">
        <v>3042</v>
      </c>
      <c r="M46" s="42">
        <v>0.13</v>
      </c>
      <c r="N46" s="34"/>
      <c r="O46" s="42"/>
      <c r="P46" s="34"/>
      <c r="Q46" s="42"/>
      <c r="R46" s="34"/>
      <c r="S46" s="42"/>
      <c r="T46" s="34"/>
      <c r="U46" s="42"/>
      <c r="V46" s="34"/>
      <c r="W46" s="42"/>
      <c r="X46" s="34"/>
      <c r="Y46" s="42"/>
      <c r="Z46" s="42"/>
      <c r="AA46" s="36"/>
      <c r="AB46" s="50"/>
      <c r="AC46" s="56">
        <f>IF(Table1[[#This Row],[Auto Order]]=1,IF(Table1[[#This Row],[In stock]]&lt;Table1[[#This Row],[Min in stock]],1,""),"")</f>
        <v>1</v>
      </c>
    </row>
    <row r="47" spans="1:29" x14ac:dyDescent="0.25">
      <c r="A47" s="57" t="s">
        <v>3037</v>
      </c>
      <c r="B47" s="34" t="s">
        <v>2958</v>
      </c>
      <c r="C47" s="34" t="s">
        <v>352</v>
      </c>
      <c r="D47" s="34" t="s">
        <v>3038</v>
      </c>
      <c r="E47" s="34" t="s">
        <v>2954</v>
      </c>
      <c r="F47" s="53">
        <v>0</v>
      </c>
      <c r="G47" s="53">
        <v>4</v>
      </c>
      <c r="H47" s="53">
        <v>1</v>
      </c>
      <c r="I4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455-1595-ND</v>
      </c>
      <c r="J4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7" s="34" t="s">
        <v>3036</v>
      </c>
      <c r="M47" s="42">
        <v>0.17</v>
      </c>
      <c r="N47" s="34"/>
      <c r="O47" s="42"/>
      <c r="P47" s="34"/>
      <c r="Q47" s="42"/>
      <c r="R47" s="34"/>
      <c r="S47" s="42"/>
      <c r="T47" s="34"/>
      <c r="U47" s="42"/>
      <c r="V47" s="34"/>
      <c r="W47" s="42"/>
      <c r="X47" s="34"/>
      <c r="Y47" s="42"/>
      <c r="Z47" s="42"/>
      <c r="AA47" s="36"/>
      <c r="AB47" s="50"/>
      <c r="AC47" s="56">
        <f>IF(Table1[[#This Row],[Auto Order]]=1,IF(Table1[[#This Row],[In stock]]&lt;Table1[[#This Row],[Min in stock]],1,""),"")</f>
        <v>1</v>
      </c>
    </row>
    <row r="48" spans="1:29" x14ac:dyDescent="0.25">
      <c r="A48" s="57" t="s">
        <v>3046</v>
      </c>
      <c r="B48" s="34" t="s">
        <v>2958</v>
      </c>
      <c r="C48" s="34" t="s">
        <v>352</v>
      </c>
      <c r="D48" s="34" t="s">
        <v>3047</v>
      </c>
      <c r="E48" s="34" t="s">
        <v>2954</v>
      </c>
      <c r="F48" s="53">
        <v>0</v>
      </c>
      <c r="G48" s="53">
        <v>4</v>
      </c>
      <c r="H48" s="53">
        <v>1</v>
      </c>
      <c r="I4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455-1596-ND</v>
      </c>
      <c r="J4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8" s="34" t="s">
        <v>3045</v>
      </c>
      <c r="M48" s="42">
        <v>0.17</v>
      </c>
      <c r="N48" s="34"/>
      <c r="O48" s="42"/>
      <c r="P48" s="34"/>
      <c r="Q48" s="42"/>
      <c r="R48" s="34"/>
      <c r="S48" s="42"/>
      <c r="T48" s="34"/>
      <c r="U48" s="42"/>
      <c r="V48" s="34"/>
      <c r="W48" s="42"/>
      <c r="X48" s="34"/>
      <c r="Y48" s="42"/>
      <c r="Z48" s="42"/>
      <c r="AA48" s="36"/>
      <c r="AB48" s="50"/>
      <c r="AC48" s="56">
        <f>IF(Table1[[#This Row],[Auto Order]]=1,IF(Table1[[#This Row],[In stock]]&lt;Table1[[#This Row],[Min in stock]],1,""),"")</f>
        <v>1</v>
      </c>
    </row>
    <row r="49" spans="1:29" x14ac:dyDescent="0.25">
      <c r="A49" s="57" t="s">
        <v>3058</v>
      </c>
      <c r="B49" s="34" t="s">
        <v>2958</v>
      </c>
      <c r="C49" s="34" t="s">
        <v>352</v>
      </c>
      <c r="D49" s="34" t="s">
        <v>3059</v>
      </c>
      <c r="E49" s="34" t="s">
        <v>2954</v>
      </c>
      <c r="F49" s="53">
        <v>0</v>
      </c>
      <c r="G49" s="53">
        <v>4</v>
      </c>
      <c r="H49" s="53">
        <v>1</v>
      </c>
      <c r="I4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455-1597-ND</v>
      </c>
      <c r="J4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4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9" s="34" t="s">
        <v>3057</v>
      </c>
      <c r="M49" s="42">
        <v>0.18</v>
      </c>
      <c r="N49" s="34"/>
      <c r="O49" s="42"/>
      <c r="P49" s="34"/>
      <c r="Q49" s="42"/>
      <c r="R49" s="34"/>
      <c r="S49" s="42"/>
      <c r="T49" s="34"/>
      <c r="U49" s="42"/>
      <c r="V49" s="34"/>
      <c r="W49" s="42"/>
      <c r="X49" s="34"/>
      <c r="Y49" s="42"/>
      <c r="Z49" s="42"/>
      <c r="AA49" s="36"/>
      <c r="AB49" s="50"/>
      <c r="AC49" s="56">
        <f>IF(Table1[[#This Row],[Auto Order]]=1,IF(Table1[[#This Row],[In stock]]&lt;Table1[[#This Row],[Min in stock]],1,""),"")</f>
        <v>1</v>
      </c>
    </row>
    <row r="50" spans="1:29" x14ac:dyDescent="0.25">
      <c r="A50" s="57" t="s">
        <v>3049</v>
      </c>
      <c r="B50" s="34" t="s">
        <v>2958</v>
      </c>
      <c r="C50" s="34" t="s">
        <v>352</v>
      </c>
      <c r="D50" s="34" t="s">
        <v>3050</v>
      </c>
      <c r="E50" s="34" t="s">
        <v>2954</v>
      </c>
      <c r="F50" s="53">
        <v>0</v>
      </c>
      <c r="G50" s="53">
        <v>4</v>
      </c>
      <c r="H50" s="53">
        <v>1</v>
      </c>
      <c r="I5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455-1598-ND</v>
      </c>
      <c r="J5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5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0" s="34" t="s">
        <v>3048</v>
      </c>
      <c r="M50" s="42">
        <v>0.18</v>
      </c>
      <c r="N50" s="34"/>
      <c r="O50" s="42"/>
      <c r="P50" s="34"/>
      <c r="Q50" s="42"/>
      <c r="R50" s="34"/>
      <c r="S50" s="42"/>
      <c r="T50" s="34"/>
      <c r="U50" s="42"/>
      <c r="V50" s="34"/>
      <c r="W50" s="42"/>
      <c r="X50" s="34"/>
      <c r="Y50" s="42"/>
      <c r="Z50" s="42"/>
      <c r="AA50" s="36"/>
      <c r="AB50" s="50"/>
      <c r="AC50" s="56">
        <f>IF(Table1[[#This Row],[Auto Order]]=1,IF(Table1[[#This Row],[In stock]]&lt;Table1[[#This Row],[Min in stock]],1,""),"")</f>
        <v>1</v>
      </c>
    </row>
    <row r="51" spans="1:29" x14ac:dyDescent="0.25">
      <c r="A51" s="57" t="s">
        <v>3055</v>
      </c>
      <c r="B51" s="34" t="s">
        <v>2958</v>
      </c>
      <c r="C51" s="34" t="s">
        <v>352</v>
      </c>
      <c r="D51" s="34" t="s">
        <v>3056</v>
      </c>
      <c r="E51" s="34" t="s">
        <v>2954</v>
      </c>
      <c r="F51" s="53">
        <v>0</v>
      </c>
      <c r="G51" s="53"/>
      <c r="H51" s="53"/>
      <c r="I5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455-1599-ND</v>
      </c>
      <c r="J5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5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1" s="34" t="s">
        <v>3054</v>
      </c>
      <c r="M51" s="42">
        <v>0.18</v>
      </c>
      <c r="N51" s="34"/>
      <c r="O51" s="42"/>
      <c r="P51" s="34"/>
      <c r="Q51" s="42"/>
      <c r="R51" s="34"/>
      <c r="S51" s="42"/>
      <c r="T51" s="34"/>
      <c r="U51" s="42"/>
      <c r="V51" s="34"/>
      <c r="W51" s="42"/>
      <c r="X51" s="34"/>
      <c r="Y51" s="42"/>
      <c r="Z51" s="42"/>
      <c r="AA51" s="36"/>
      <c r="AB51" s="50"/>
      <c r="AC51" s="56" t="str">
        <f>IF(Table1[[#This Row],[Auto Order]]=1,IF(Table1[[#This Row],[In stock]]&lt;Table1[[#This Row],[Min in stock]],1,""),"")</f>
        <v/>
      </c>
    </row>
    <row r="52" spans="1:29" x14ac:dyDescent="0.25">
      <c r="A52" s="57" t="s">
        <v>3052</v>
      </c>
      <c r="B52" s="34" t="s">
        <v>2958</v>
      </c>
      <c r="C52" s="34" t="s">
        <v>352</v>
      </c>
      <c r="D52" s="34" t="s">
        <v>3053</v>
      </c>
      <c r="E52" s="34" t="s">
        <v>2954</v>
      </c>
      <c r="F52" s="53">
        <v>0</v>
      </c>
      <c r="G52" s="53">
        <v>4</v>
      </c>
      <c r="H52" s="53">
        <v>1</v>
      </c>
      <c r="I5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455-1600-ND</v>
      </c>
      <c r="J5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5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2" s="34" t="s">
        <v>3051</v>
      </c>
      <c r="M52" s="42">
        <v>0.18</v>
      </c>
      <c r="N52" s="34"/>
      <c r="O52" s="42"/>
      <c r="P52" s="34"/>
      <c r="Q52" s="42"/>
      <c r="R52" s="34"/>
      <c r="S52" s="42"/>
      <c r="T52" s="34"/>
      <c r="U52" s="42"/>
      <c r="V52" s="34"/>
      <c r="W52" s="42"/>
      <c r="X52" s="34"/>
      <c r="Y52" s="42"/>
      <c r="Z52" s="42"/>
      <c r="AA52" s="36"/>
      <c r="AB52" s="50"/>
      <c r="AC52" s="56">
        <f>IF(Table1[[#This Row],[Auto Order]]=1,IF(Table1[[#This Row],[In stock]]&lt;Table1[[#This Row],[Min in stock]],1,""),"")</f>
        <v>1</v>
      </c>
    </row>
    <row r="53" spans="1:29" x14ac:dyDescent="0.25">
      <c r="A53" s="57" t="s">
        <v>3061</v>
      </c>
      <c r="B53" s="34" t="s">
        <v>2958</v>
      </c>
      <c r="C53" s="34" t="s">
        <v>352</v>
      </c>
      <c r="D53" s="34" t="s">
        <v>3062</v>
      </c>
      <c r="E53" s="34" t="s">
        <v>2954</v>
      </c>
      <c r="F53" s="53">
        <v>0</v>
      </c>
      <c r="G53" s="53"/>
      <c r="H53" s="53"/>
      <c r="I5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455-1601-ND</v>
      </c>
      <c r="J5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0.19</v>
      </c>
      <c r="K5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3" s="34" t="s">
        <v>3060</v>
      </c>
      <c r="M53" s="42">
        <v>0.19</v>
      </c>
      <c r="N53" s="34"/>
      <c r="O53" s="42"/>
      <c r="P53" s="34"/>
      <c r="Q53" s="42"/>
      <c r="R53" s="34"/>
      <c r="S53" s="42"/>
      <c r="T53" s="34"/>
      <c r="U53" s="42"/>
      <c r="V53" s="34"/>
      <c r="W53" s="42"/>
      <c r="X53" s="34"/>
      <c r="Y53" s="42"/>
      <c r="Z53" s="42"/>
      <c r="AA53" s="36"/>
      <c r="AB53" s="50"/>
      <c r="AC53" s="56" t="str">
        <f>IF(Table1[[#This Row],[Auto Order]]=1,IF(Table1[[#This Row],[In stock]]&lt;Table1[[#This Row],[Min in stock]],1,""),"")</f>
        <v/>
      </c>
    </row>
    <row r="54" spans="1:29" x14ac:dyDescent="0.25">
      <c r="A54" s="57" t="s">
        <v>3067</v>
      </c>
      <c r="B54" s="34" t="s">
        <v>2958</v>
      </c>
      <c r="C54" s="34" t="s">
        <v>352</v>
      </c>
      <c r="D54" s="34" t="s">
        <v>3068</v>
      </c>
      <c r="E54" s="34" t="s">
        <v>2954</v>
      </c>
      <c r="F54" s="53">
        <v>0</v>
      </c>
      <c r="G54" s="53"/>
      <c r="H54" s="53"/>
      <c r="I5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455-1602-ND</v>
      </c>
      <c r="J5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</v>
      </c>
      <c r="K5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4" s="34" t="s">
        <v>3066</v>
      </c>
      <c r="M54" s="42">
        <v>0.2</v>
      </c>
      <c r="N54" s="34"/>
      <c r="O54" s="42"/>
      <c r="P54" s="34"/>
      <c r="Q54" s="42"/>
      <c r="R54" s="34"/>
      <c r="S54" s="42"/>
      <c r="T54" s="34"/>
      <c r="U54" s="42"/>
      <c r="V54" s="34"/>
      <c r="W54" s="42"/>
      <c r="X54" s="34"/>
      <c r="Y54" s="42"/>
      <c r="Z54" s="42"/>
      <c r="AA54" s="36"/>
      <c r="AB54" s="50"/>
      <c r="AC54" s="56" t="str">
        <f>IF(Table1[[#This Row],[Auto Order]]=1,IF(Table1[[#This Row],[In stock]]&lt;Table1[[#This Row],[Min in stock]],1,""),"")</f>
        <v/>
      </c>
    </row>
    <row r="55" spans="1:29" x14ac:dyDescent="0.25">
      <c r="A55" s="57" t="s">
        <v>3070</v>
      </c>
      <c r="B55" s="34" t="s">
        <v>2958</v>
      </c>
      <c r="C55" s="34" t="s">
        <v>352</v>
      </c>
      <c r="D55" s="34" t="s">
        <v>3071</v>
      </c>
      <c r="E55" s="34" t="s">
        <v>2954</v>
      </c>
      <c r="F55" s="53">
        <v>0</v>
      </c>
      <c r="G55" s="53"/>
      <c r="H55" s="53"/>
      <c r="I5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455-1603-ND</v>
      </c>
      <c r="J5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</v>
      </c>
      <c r="K5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5" s="34" t="s">
        <v>3069</v>
      </c>
      <c r="M55" s="42">
        <v>0.2</v>
      </c>
      <c r="N55" s="34"/>
      <c r="O55" s="42"/>
      <c r="P55" s="34"/>
      <c r="Q55" s="42"/>
      <c r="R55" s="34"/>
      <c r="S55" s="42"/>
      <c r="T55" s="34"/>
      <c r="U55" s="42"/>
      <c r="V55" s="34"/>
      <c r="W55" s="42"/>
      <c r="X55" s="34"/>
      <c r="Y55" s="42"/>
      <c r="Z55" s="42"/>
      <c r="AA55" s="36"/>
      <c r="AB55" s="50"/>
      <c r="AC55" s="56" t="str">
        <f>IF(Table1[[#This Row],[Auto Order]]=1,IF(Table1[[#This Row],[In stock]]&lt;Table1[[#This Row],[Min in stock]],1,""),"")</f>
        <v/>
      </c>
    </row>
    <row r="56" spans="1:29" x14ac:dyDescent="0.25">
      <c r="A56" s="57" t="s">
        <v>3064</v>
      </c>
      <c r="B56" s="34" t="s">
        <v>2958</v>
      </c>
      <c r="C56" s="34" t="s">
        <v>352</v>
      </c>
      <c r="D56" s="34" t="s">
        <v>3065</v>
      </c>
      <c r="E56" s="34" t="s">
        <v>2954</v>
      </c>
      <c r="F56" s="53">
        <v>0</v>
      </c>
      <c r="G56" s="53"/>
      <c r="H56" s="53"/>
      <c r="I5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455-1604-ND</v>
      </c>
      <c r="J5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</v>
      </c>
      <c r="K5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6" s="34" t="s">
        <v>3063</v>
      </c>
      <c r="M56" s="42">
        <v>0.2</v>
      </c>
      <c r="N56" s="34"/>
      <c r="O56" s="42"/>
      <c r="P56" s="34"/>
      <c r="Q56" s="42"/>
      <c r="R56" s="34"/>
      <c r="S56" s="42"/>
      <c r="T56" s="34"/>
      <c r="U56" s="42"/>
      <c r="V56" s="34"/>
      <c r="W56" s="42"/>
      <c r="X56" s="34"/>
      <c r="Y56" s="42"/>
      <c r="Z56" s="42"/>
      <c r="AA56" s="36"/>
      <c r="AB56" s="50"/>
      <c r="AC56" s="56" t="str">
        <f>IF(Table1[[#This Row],[Auto Order]]=1,IF(Table1[[#This Row],[In stock]]&lt;Table1[[#This Row],[Min in stock]],1,""),"")</f>
        <v/>
      </c>
    </row>
    <row r="57" spans="1:29" x14ac:dyDescent="0.25">
      <c r="A57" s="57" t="s">
        <v>3073</v>
      </c>
      <c r="B57" s="34" t="s">
        <v>2958</v>
      </c>
      <c r="C57" s="34" t="s">
        <v>352</v>
      </c>
      <c r="D57" s="34" t="s">
        <v>3074</v>
      </c>
      <c r="E57" s="34" t="s">
        <v>2954</v>
      </c>
      <c r="F57" s="53">
        <v>0</v>
      </c>
      <c r="G57" s="53"/>
      <c r="H57" s="53"/>
      <c r="I5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455-1605-ND</v>
      </c>
      <c r="J5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0.21</v>
      </c>
      <c r="K5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7" s="34" t="s">
        <v>3072</v>
      </c>
      <c r="M57" s="42">
        <v>0.21</v>
      </c>
      <c r="N57" s="34"/>
      <c r="O57" s="42"/>
      <c r="P57" s="34"/>
      <c r="Q57" s="42"/>
      <c r="R57" s="34"/>
      <c r="S57" s="42"/>
      <c r="T57" s="34"/>
      <c r="U57" s="42"/>
      <c r="V57" s="34"/>
      <c r="W57" s="42"/>
      <c r="X57" s="34"/>
      <c r="Y57" s="42"/>
      <c r="Z57" s="42"/>
      <c r="AA57" s="36"/>
      <c r="AB57" s="50"/>
      <c r="AC57" s="56" t="str">
        <f>IF(Table1[[#This Row],[Auto Order]]=1,IF(Table1[[#This Row],[In stock]]&lt;Table1[[#This Row],[Min in stock]],1,""),"")</f>
        <v/>
      </c>
    </row>
    <row r="58" spans="1:29" x14ac:dyDescent="0.25">
      <c r="A58" s="57" t="s">
        <v>2965</v>
      </c>
      <c r="B58" s="34" t="s">
        <v>2958</v>
      </c>
      <c r="C58" s="34" t="s">
        <v>352</v>
      </c>
      <c r="D58" s="34" t="s">
        <v>2966</v>
      </c>
      <c r="E58" s="34" t="s">
        <v>2955</v>
      </c>
      <c r="F58" s="53">
        <v>0</v>
      </c>
      <c r="G58" s="53"/>
      <c r="H58" s="53"/>
      <c r="I5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455-1564-1-ND</v>
      </c>
      <c r="J5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0.46</v>
      </c>
      <c r="K5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8" s="34" t="s">
        <v>2964</v>
      </c>
      <c r="M58" s="42">
        <v>0.46</v>
      </c>
      <c r="N58" s="34"/>
      <c r="O58" s="42"/>
      <c r="P58" s="34"/>
      <c r="Q58" s="42"/>
      <c r="R58" s="34"/>
      <c r="S58" s="42"/>
      <c r="T58" s="34"/>
      <c r="U58" s="42"/>
      <c r="V58" s="34"/>
      <c r="W58" s="42"/>
      <c r="X58" s="34"/>
      <c r="Y58" s="42"/>
      <c r="Z58" s="42"/>
      <c r="AA58" s="36"/>
      <c r="AB58" s="50"/>
      <c r="AC58" s="56" t="str">
        <f>IF(Table1[[#This Row],[Auto Order]]=1,IF(Table1[[#This Row],[In stock]]&lt;Table1[[#This Row],[Min in stock]],1,""),"")</f>
        <v/>
      </c>
    </row>
    <row r="59" spans="1:29" x14ac:dyDescent="0.25">
      <c r="A59" s="57" t="s">
        <v>2971</v>
      </c>
      <c r="B59" s="34" t="s">
        <v>2958</v>
      </c>
      <c r="C59" s="34" t="s">
        <v>352</v>
      </c>
      <c r="D59" s="34" t="s">
        <v>2972</v>
      </c>
      <c r="E59" s="34" t="s">
        <v>2955</v>
      </c>
      <c r="F59" s="53">
        <v>0</v>
      </c>
      <c r="G59" s="53"/>
      <c r="H59" s="53"/>
      <c r="I5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455-1565-1-ND</v>
      </c>
      <c r="J5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0.49</v>
      </c>
      <c r="K5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9" s="34" t="s">
        <v>2970</v>
      </c>
      <c r="M59" s="42">
        <v>0.49</v>
      </c>
      <c r="N59" s="34"/>
      <c r="O59" s="42"/>
      <c r="P59" s="34"/>
      <c r="Q59" s="42"/>
      <c r="R59" s="34"/>
      <c r="S59" s="42"/>
      <c r="T59" s="34"/>
      <c r="U59" s="42"/>
      <c r="V59" s="34"/>
      <c r="W59" s="42"/>
      <c r="X59" s="34"/>
      <c r="Y59" s="42"/>
      <c r="Z59" s="42"/>
      <c r="AA59" s="36"/>
      <c r="AB59" s="50"/>
      <c r="AC59" s="56" t="str">
        <f>IF(Table1[[#This Row],[Auto Order]]=1,IF(Table1[[#This Row],[In stock]]&lt;Table1[[#This Row],[Min in stock]],1,""),"")</f>
        <v/>
      </c>
    </row>
    <row r="60" spans="1:29" x14ac:dyDescent="0.25">
      <c r="A60" s="57" t="s">
        <v>2977</v>
      </c>
      <c r="B60" s="34" t="s">
        <v>2958</v>
      </c>
      <c r="C60" s="34" t="s">
        <v>352</v>
      </c>
      <c r="D60" s="34" t="s">
        <v>2978</v>
      </c>
      <c r="E60" s="34" t="s">
        <v>2955</v>
      </c>
      <c r="F60" s="53">
        <v>0</v>
      </c>
      <c r="G60" s="53"/>
      <c r="H60" s="53"/>
      <c r="I6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455-1566-1-ND</v>
      </c>
      <c r="J6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0.45</v>
      </c>
      <c r="K6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0" s="34" t="s">
        <v>2976</v>
      </c>
      <c r="M60" s="42">
        <v>0.45</v>
      </c>
      <c r="N60" s="34"/>
      <c r="O60" s="42"/>
      <c r="P60" s="34"/>
      <c r="Q60" s="42"/>
      <c r="R60" s="34"/>
      <c r="S60" s="42"/>
      <c r="T60" s="34"/>
      <c r="U60" s="42"/>
      <c r="V60" s="34"/>
      <c r="W60" s="42"/>
      <c r="X60" s="34"/>
      <c r="Y60" s="42"/>
      <c r="Z60" s="42"/>
      <c r="AA60" s="36"/>
      <c r="AB60" s="50"/>
      <c r="AC60" s="56" t="str">
        <f>IF(Table1[[#This Row],[Auto Order]]=1,IF(Table1[[#This Row],[In stock]]&lt;Table1[[#This Row],[Min in stock]],1,""),"")</f>
        <v/>
      </c>
    </row>
    <row r="61" spans="1:29" x14ac:dyDescent="0.25">
      <c r="A61" s="57" t="s">
        <v>2983</v>
      </c>
      <c r="B61" s="34" t="s">
        <v>2958</v>
      </c>
      <c r="C61" s="34" t="s">
        <v>352</v>
      </c>
      <c r="D61" s="34" t="s">
        <v>2984</v>
      </c>
      <c r="E61" s="34" t="s">
        <v>2955</v>
      </c>
      <c r="F61" s="53">
        <v>0</v>
      </c>
      <c r="G61" s="53"/>
      <c r="H61" s="53"/>
      <c r="I6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455-1567-1-ND</v>
      </c>
      <c r="J6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6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1" s="34" t="s">
        <v>2982</v>
      </c>
      <c r="M61" s="42">
        <v>0.48</v>
      </c>
      <c r="N61" s="34"/>
      <c r="O61" s="42"/>
      <c r="P61" s="34"/>
      <c r="Q61" s="42"/>
      <c r="R61" s="34"/>
      <c r="S61" s="42"/>
      <c r="T61" s="34"/>
      <c r="U61" s="42"/>
      <c r="V61" s="34"/>
      <c r="W61" s="42"/>
      <c r="X61" s="34"/>
      <c r="Y61" s="42"/>
      <c r="Z61" s="42"/>
      <c r="AA61" s="36"/>
      <c r="AB61" s="50"/>
      <c r="AC61" s="56" t="str">
        <f>IF(Table1[[#This Row],[Auto Order]]=1,IF(Table1[[#This Row],[In stock]]&lt;Table1[[#This Row],[Min in stock]],1,""),"")</f>
        <v/>
      </c>
    </row>
    <row r="62" spans="1:29" x14ac:dyDescent="0.25">
      <c r="A62" s="57" t="s">
        <v>2989</v>
      </c>
      <c r="B62" s="34" t="s">
        <v>2958</v>
      </c>
      <c r="C62" s="34" t="s">
        <v>352</v>
      </c>
      <c r="D62" s="34" t="s">
        <v>2990</v>
      </c>
      <c r="E62" s="34" t="s">
        <v>2955</v>
      </c>
      <c r="F62" s="53">
        <v>0</v>
      </c>
      <c r="G62" s="53"/>
      <c r="H62" s="53"/>
      <c r="I6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455-1568-1-ND</v>
      </c>
      <c r="J6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0.57999999999999996</v>
      </c>
      <c r="K6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2" s="34" t="s">
        <v>2988</v>
      </c>
      <c r="M62" s="42">
        <v>0.57999999999999996</v>
      </c>
      <c r="N62" s="34"/>
      <c r="O62" s="42"/>
      <c r="P62" s="34"/>
      <c r="Q62" s="42"/>
      <c r="R62" s="34"/>
      <c r="S62" s="42"/>
      <c r="T62" s="34"/>
      <c r="U62" s="42"/>
      <c r="V62" s="34"/>
      <c r="W62" s="42"/>
      <c r="X62" s="34"/>
      <c r="Y62" s="42"/>
      <c r="Z62" s="42"/>
      <c r="AA62" s="36"/>
      <c r="AB62" s="50"/>
      <c r="AC62" s="56" t="str">
        <f>IF(Table1[[#This Row],[Auto Order]]=1,IF(Table1[[#This Row],[In stock]]&lt;Table1[[#This Row],[Min in stock]],1,""),"")</f>
        <v/>
      </c>
    </row>
    <row r="63" spans="1:29" x14ac:dyDescent="0.25">
      <c r="A63" s="57" t="s">
        <v>2998</v>
      </c>
      <c r="B63" s="34" t="s">
        <v>2958</v>
      </c>
      <c r="C63" s="34" t="s">
        <v>352</v>
      </c>
      <c r="D63" s="34" t="s">
        <v>2999</v>
      </c>
      <c r="E63" s="34" t="s">
        <v>2955</v>
      </c>
      <c r="F63" s="53">
        <v>0</v>
      </c>
      <c r="G63" s="53"/>
      <c r="H63" s="53"/>
      <c r="I6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455-1569-1-ND</v>
      </c>
      <c r="J6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0.6</v>
      </c>
      <c r="K6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3" s="34" t="s">
        <v>2997</v>
      </c>
      <c r="M63" s="42">
        <v>0.6</v>
      </c>
      <c r="N63" s="34"/>
      <c r="O63" s="42"/>
      <c r="P63" s="34"/>
      <c r="Q63" s="42"/>
      <c r="R63" s="34"/>
      <c r="S63" s="42"/>
      <c r="T63" s="34"/>
      <c r="U63" s="42"/>
      <c r="V63" s="34"/>
      <c r="W63" s="42"/>
      <c r="X63" s="34"/>
      <c r="Y63" s="42"/>
      <c r="Z63" s="42"/>
      <c r="AA63" s="36"/>
      <c r="AB63" s="50"/>
      <c r="AC63" s="56" t="str">
        <f>IF(Table1[[#This Row],[Auto Order]]=1,IF(Table1[[#This Row],[In stock]]&lt;Table1[[#This Row],[Min in stock]],1,""),"")</f>
        <v/>
      </c>
    </row>
    <row r="64" spans="1:29" x14ac:dyDescent="0.25">
      <c r="A64" s="57" t="s">
        <v>3004</v>
      </c>
      <c r="B64" s="34" t="s">
        <v>2958</v>
      </c>
      <c r="C64" s="34" t="s">
        <v>352</v>
      </c>
      <c r="D64" s="34" t="s">
        <v>3005</v>
      </c>
      <c r="E64" s="34" t="s">
        <v>2955</v>
      </c>
      <c r="F64" s="53">
        <v>0</v>
      </c>
      <c r="G64" s="53"/>
      <c r="H64" s="53"/>
      <c r="I6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455-1570-1-ND</v>
      </c>
      <c r="J6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0.65</v>
      </c>
      <c r="K6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4" s="34" t="s">
        <v>3003</v>
      </c>
      <c r="M64" s="42">
        <v>0.65</v>
      </c>
      <c r="N64" s="34"/>
      <c r="O64" s="42"/>
      <c r="P64" s="34"/>
      <c r="Q64" s="42"/>
      <c r="R64" s="34"/>
      <c r="S64" s="42"/>
      <c r="T64" s="34"/>
      <c r="U64" s="42"/>
      <c r="V64" s="34"/>
      <c r="W64" s="42"/>
      <c r="X64" s="34"/>
      <c r="Y64" s="42"/>
      <c r="Z64" s="42"/>
      <c r="AA64" s="36"/>
      <c r="AB64" s="50"/>
      <c r="AC64" s="56" t="str">
        <f>IF(Table1[[#This Row],[Auto Order]]=1,IF(Table1[[#This Row],[In stock]]&lt;Table1[[#This Row],[Min in stock]],1,""),"")</f>
        <v/>
      </c>
    </row>
    <row r="65" spans="1:29" x14ac:dyDescent="0.25">
      <c r="A65" s="57" t="s">
        <v>3025</v>
      </c>
      <c r="B65" s="34" t="s">
        <v>2958</v>
      </c>
      <c r="C65" s="34" t="s">
        <v>352</v>
      </c>
      <c r="D65" s="34" t="s">
        <v>3026</v>
      </c>
      <c r="E65" s="34" t="s">
        <v>2955</v>
      </c>
      <c r="F65" s="53">
        <v>0</v>
      </c>
      <c r="G65" s="53"/>
      <c r="H65" s="53"/>
      <c r="I6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455-1571-1-ND</v>
      </c>
      <c r="J6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0.69</v>
      </c>
      <c r="K6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5" s="34" t="s">
        <v>3024</v>
      </c>
      <c r="M65" s="42">
        <v>0.69</v>
      </c>
      <c r="N65" s="34"/>
      <c r="O65" s="42"/>
      <c r="P65" s="34"/>
      <c r="Q65" s="42"/>
      <c r="R65" s="34"/>
      <c r="S65" s="42"/>
      <c r="T65" s="34"/>
      <c r="U65" s="42"/>
      <c r="V65" s="34"/>
      <c r="W65" s="42"/>
      <c r="X65" s="34"/>
      <c r="Y65" s="42"/>
      <c r="Z65" s="42"/>
      <c r="AA65" s="36"/>
      <c r="AB65" s="50"/>
      <c r="AC65" s="56" t="str">
        <f>IF(Table1[[#This Row],[Auto Order]]=1,IF(Table1[[#This Row],[In stock]]&lt;Table1[[#This Row],[Min in stock]],1,""),"")</f>
        <v/>
      </c>
    </row>
    <row r="66" spans="1:29" x14ac:dyDescent="0.25">
      <c r="A66" s="57" t="s">
        <v>3010</v>
      </c>
      <c r="B66" s="34" t="s">
        <v>2958</v>
      </c>
      <c r="C66" s="34" t="s">
        <v>352</v>
      </c>
      <c r="D66" s="34" t="s">
        <v>3011</v>
      </c>
      <c r="E66" s="34" t="s">
        <v>2955</v>
      </c>
      <c r="F66" s="53">
        <v>0</v>
      </c>
      <c r="G66" s="53"/>
      <c r="H66" s="53"/>
      <c r="I6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455-1572-1-ND</v>
      </c>
      <c r="J6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0.71</v>
      </c>
      <c r="K6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6" s="34" t="s">
        <v>3009</v>
      </c>
      <c r="M66" s="42">
        <v>0.71</v>
      </c>
      <c r="N66" s="34"/>
      <c r="O66" s="42"/>
      <c r="P66" s="34"/>
      <c r="Q66" s="42"/>
      <c r="R66" s="34"/>
      <c r="S66" s="42"/>
      <c r="T66" s="34"/>
      <c r="U66" s="42"/>
      <c r="V66" s="34"/>
      <c r="W66" s="42"/>
      <c r="X66" s="34"/>
      <c r="Y66" s="42"/>
      <c r="Z66" s="42"/>
      <c r="AA66" s="36"/>
      <c r="AB66" s="50"/>
      <c r="AC66" s="56" t="str">
        <f>IF(Table1[[#This Row],[Auto Order]]=1,IF(Table1[[#This Row],[In stock]]&lt;Table1[[#This Row],[Min in stock]],1,""),"")</f>
        <v/>
      </c>
    </row>
    <row r="67" spans="1:29" x14ac:dyDescent="0.25">
      <c r="A67" s="57" t="s">
        <v>3028</v>
      </c>
      <c r="B67" s="34" t="s">
        <v>2958</v>
      </c>
      <c r="C67" s="34" t="s">
        <v>352</v>
      </c>
      <c r="D67" s="34" t="s">
        <v>3029</v>
      </c>
      <c r="E67" s="34" t="s">
        <v>2955</v>
      </c>
      <c r="F67" s="53">
        <v>0</v>
      </c>
      <c r="G67" s="53"/>
      <c r="H67" s="53"/>
      <c r="I6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455-1573-1-ND</v>
      </c>
      <c r="J6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0.74</v>
      </c>
      <c r="K6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7" s="34" t="s">
        <v>3027</v>
      </c>
      <c r="M67" s="42">
        <v>0.74</v>
      </c>
      <c r="N67" s="34"/>
      <c r="O67" s="42"/>
      <c r="P67" s="34"/>
      <c r="Q67" s="42"/>
      <c r="R67" s="34"/>
      <c r="S67" s="42"/>
      <c r="T67" s="34"/>
      <c r="U67" s="42"/>
      <c r="V67" s="34"/>
      <c r="W67" s="42"/>
      <c r="X67" s="34"/>
      <c r="Y67" s="42"/>
      <c r="Z67" s="42"/>
      <c r="AA67" s="36"/>
      <c r="AB67" s="50"/>
      <c r="AC67" s="56" t="str">
        <f>IF(Table1[[#This Row],[Auto Order]]=1,IF(Table1[[#This Row],[In stock]]&lt;Table1[[#This Row],[Min in stock]],1,""),"")</f>
        <v/>
      </c>
    </row>
    <row r="68" spans="1:29" x14ac:dyDescent="0.25">
      <c r="A68" s="57" t="s">
        <v>3016</v>
      </c>
      <c r="B68" s="34" t="s">
        <v>2958</v>
      </c>
      <c r="C68" s="34" t="s">
        <v>352</v>
      </c>
      <c r="D68" s="34" t="s">
        <v>3017</v>
      </c>
      <c r="E68" s="34" t="s">
        <v>2955</v>
      </c>
      <c r="F68" s="53">
        <v>0</v>
      </c>
      <c r="G68" s="53"/>
      <c r="H68" s="53"/>
      <c r="I6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455-1574-1-ND</v>
      </c>
      <c r="J6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0.77</v>
      </c>
      <c r="K6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8" s="34" t="s">
        <v>3015</v>
      </c>
      <c r="M68" s="42">
        <v>0.77</v>
      </c>
      <c r="N68" s="34"/>
      <c r="O68" s="42"/>
      <c r="P68" s="34"/>
      <c r="Q68" s="42"/>
      <c r="R68" s="34"/>
      <c r="S68" s="42"/>
      <c r="T68" s="34"/>
      <c r="U68" s="42"/>
      <c r="V68" s="34"/>
      <c r="W68" s="42"/>
      <c r="X68" s="34"/>
      <c r="Y68" s="42"/>
      <c r="Z68" s="42"/>
      <c r="AA68" s="36"/>
      <c r="AB68" s="50"/>
      <c r="AC68" s="56" t="str">
        <f>IF(Table1[[#This Row],[Auto Order]]=1,IF(Table1[[#This Row],[In stock]]&lt;Table1[[#This Row],[Min in stock]],1,""),"")</f>
        <v/>
      </c>
    </row>
    <row r="69" spans="1:29" x14ac:dyDescent="0.25">
      <c r="A69" s="57" t="s">
        <v>3031</v>
      </c>
      <c r="B69" s="34" t="s">
        <v>2958</v>
      </c>
      <c r="C69" s="34" t="s">
        <v>352</v>
      </c>
      <c r="D69" s="34" t="s">
        <v>3032</v>
      </c>
      <c r="E69" s="34" t="s">
        <v>2955</v>
      </c>
      <c r="F69" s="53">
        <v>0</v>
      </c>
      <c r="G69" s="53"/>
      <c r="H69" s="53"/>
      <c r="I6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455-1576-1-ND</v>
      </c>
      <c r="J6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0.82</v>
      </c>
      <c r="K6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9" s="34" t="s">
        <v>3030</v>
      </c>
      <c r="M69" s="42">
        <v>0.82</v>
      </c>
      <c r="N69" s="34"/>
      <c r="O69" s="42"/>
      <c r="P69" s="34"/>
      <c r="Q69" s="42"/>
      <c r="R69" s="34"/>
      <c r="S69" s="42"/>
      <c r="T69" s="34"/>
      <c r="U69" s="42"/>
      <c r="V69" s="34"/>
      <c r="W69" s="42"/>
      <c r="X69" s="34"/>
      <c r="Y69" s="42"/>
      <c r="Z69" s="42"/>
      <c r="AA69" s="36"/>
      <c r="AB69" s="50"/>
      <c r="AC69" s="56" t="str">
        <f>IF(Table1[[#This Row],[Auto Order]]=1,IF(Table1[[#This Row],[In stock]]&lt;Table1[[#This Row],[Min in stock]],1,""),"")</f>
        <v/>
      </c>
    </row>
    <row r="70" spans="1:29" x14ac:dyDescent="0.25">
      <c r="A70" s="57" t="s">
        <v>3110</v>
      </c>
      <c r="B70" s="34" t="s">
        <v>251</v>
      </c>
      <c r="C70" s="34" t="s">
        <v>352</v>
      </c>
      <c r="D70" s="34" t="s">
        <v>3111</v>
      </c>
      <c r="E70" s="34" t="s">
        <v>559</v>
      </c>
      <c r="F70" s="53">
        <v>0</v>
      </c>
      <c r="G70" s="53"/>
      <c r="H70" s="53"/>
      <c r="I7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541-0.0UBCT-ND</v>
      </c>
      <c r="J7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7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0" s="34" t="s">
        <v>3109</v>
      </c>
      <c r="M70" s="42">
        <v>0.42</v>
      </c>
      <c r="N70" s="34"/>
      <c r="O70" s="42"/>
      <c r="P70" s="34"/>
      <c r="Q70" s="42"/>
      <c r="R70" s="34"/>
      <c r="S70" s="42"/>
      <c r="T70" s="34"/>
      <c r="U70" s="42"/>
      <c r="V70" s="34"/>
      <c r="W70" s="42"/>
      <c r="X70" s="34"/>
      <c r="Y70" s="42"/>
      <c r="Z70" s="42"/>
      <c r="AA70" s="36"/>
      <c r="AB70" s="50"/>
      <c r="AC70" s="56" t="str">
        <f>IF(Table1[[#This Row],[Auto Order]]=1,IF(Table1[[#This Row],[In stock]]&lt;Table1[[#This Row],[Min in stock]],1,""),"")</f>
        <v/>
      </c>
    </row>
    <row r="71" spans="1:29" x14ac:dyDescent="0.25">
      <c r="A71" s="57" t="s">
        <v>3251</v>
      </c>
      <c r="B71" s="34" t="s">
        <v>251</v>
      </c>
      <c r="C71" s="34" t="s">
        <v>352</v>
      </c>
      <c r="D71" s="34" t="s">
        <v>3252</v>
      </c>
      <c r="E71" s="34" t="s">
        <v>559</v>
      </c>
      <c r="F71" s="53">
        <v>0</v>
      </c>
      <c r="G71" s="53"/>
      <c r="H71" s="53"/>
      <c r="I7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541-1.1UACT-ND</v>
      </c>
      <c r="J7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0.44</v>
      </c>
      <c r="K7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1" s="34" t="s">
        <v>3250</v>
      </c>
      <c r="M71" s="42">
        <v>0.44</v>
      </c>
      <c r="N71" s="34"/>
      <c r="O71" s="42"/>
      <c r="P71" s="34"/>
      <c r="Q71" s="42"/>
      <c r="R71" s="34"/>
      <c r="S71" s="42"/>
      <c r="T71" s="34"/>
      <c r="U71" s="42"/>
      <c r="V71" s="34"/>
      <c r="W71" s="42"/>
      <c r="X71" s="34"/>
      <c r="Y71" s="42"/>
      <c r="Z71" s="42"/>
      <c r="AA71" s="36"/>
      <c r="AB71" s="50"/>
      <c r="AC71" s="56" t="str">
        <f>IF(Table1[[#This Row],[Auto Order]]=1,IF(Table1[[#This Row],[In stock]]&lt;Table1[[#This Row],[Min in stock]],1,""),"")</f>
        <v/>
      </c>
    </row>
    <row r="72" spans="1:29" x14ac:dyDescent="0.25">
      <c r="A72" s="57" t="s">
        <v>3254</v>
      </c>
      <c r="B72" s="34" t="s">
        <v>251</v>
      </c>
      <c r="C72" s="34" t="s">
        <v>352</v>
      </c>
      <c r="D72" s="34" t="s">
        <v>3255</v>
      </c>
      <c r="E72" s="34" t="s">
        <v>559</v>
      </c>
      <c r="F72" s="53">
        <v>0</v>
      </c>
      <c r="G72" s="53"/>
      <c r="H72" s="53"/>
      <c r="I7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541-1.27UCT-ND</v>
      </c>
      <c r="J7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0.47</v>
      </c>
      <c r="K7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2" s="34" t="s">
        <v>3253</v>
      </c>
      <c r="M72" s="42">
        <v>0.47</v>
      </c>
      <c r="N72" s="34"/>
      <c r="O72" s="42"/>
      <c r="P72" s="34"/>
      <c r="Q72" s="42"/>
      <c r="R72" s="34"/>
      <c r="S72" s="42"/>
      <c r="T72" s="34"/>
      <c r="U72" s="42"/>
      <c r="V72" s="34"/>
      <c r="W72" s="42"/>
      <c r="X72" s="34"/>
      <c r="Y72" s="42"/>
      <c r="Z72" s="42"/>
      <c r="AA72" s="36"/>
      <c r="AB72" s="50"/>
      <c r="AC72" s="56" t="str">
        <f>IF(Table1[[#This Row],[Auto Order]]=1,IF(Table1[[#This Row],[In stock]]&lt;Table1[[#This Row],[Min in stock]],1,""),"")</f>
        <v/>
      </c>
    </row>
    <row r="73" spans="1:29" x14ac:dyDescent="0.25">
      <c r="A73" s="57" t="s">
        <v>3287</v>
      </c>
      <c r="B73" s="34" t="s">
        <v>251</v>
      </c>
      <c r="C73" s="34" t="s">
        <v>352</v>
      </c>
      <c r="D73" s="34" t="s">
        <v>3288</v>
      </c>
      <c r="E73" s="34" t="s">
        <v>559</v>
      </c>
      <c r="F73" s="53">
        <v>0</v>
      </c>
      <c r="G73" s="53"/>
      <c r="H73" s="53"/>
      <c r="I7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541-1.40UCT-ND</v>
      </c>
      <c r="J7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0.47</v>
      </c>
      <c r="K7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3" s="34" t="s">
        <v>3286</v>
      </c>
      <c r="M73" s="42">
        <v>0.47</v>
      </c>
      <c r="N73" s="34"/>
      <c r="O73" s="42"/>
      <c r="P73" s="34"/>
      <c r="Q73" s="42"/>
      <c r="R73" s="34"/>
      <c r="S73" s="42"/>
      <c r="T73" s="34"/>
      <c r="U73" s="42"/>
      <c r="V73" s="34"/>
      <c r="W73" s="42"/>
      <c r="X73" s="34"/>
      <c r="Y73" s="42"/>
      <c r="Z73" s="42"/>
      <c r="AA73" s="36"/>
      <c r="AB73" s="50"/>
      <c r="AC73" s="56" t="str">
        <f>IF(Table1[[#This Row],[Auto Order]]=1,IF(Table1[[#This Row],[In stock]]&lt;Table1[[#This Row],[Min in stock]],1,""),"")</f>
        <v/>
      </c>
    </row>
    <row r="74" spans="1:29" x14ac:dyDescent="0.25">
      <c r="A74" s="57" t="s">
        <v>3260</v>
      </c>
      <c r="B74" s="34" t="s">
        <v>251</v>
      </c>
      <c r="C74" s="34" t="s">
        <v>352</v>
      </c>
      <c r="D74" s="34" t="s">
        <v>3261</v>
      </c>
      <c r="E74" s="34" t="s">
        <v>559</v>
      </c>
      <c r="F74" s="53">
        <v>0</v>
      </c>
      <c r="G74" s="53"/>
      <c r="H74" s="53"/>
      <c r="I7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541-1.54UCT-ND</v>
      </c>
      <c r="J7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0.47</v>
      </c>
      <c r="K7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4" s="34" t="s">
        <v>3259</v>
      </c>
      <c r="M74" s="42">
        <v>0.47</v>
      </c>
      <c r="N74" s="34"/>
      <c r="O74" s="42"/>
      <c r="P74" s="34"/>
      <c r="Q74" s="42"/>
      <c r="R74" s="34"/>
      <c r="S74" s="42"/>
      <c r="T74" s="34"/>
      <c r="U74" s="42"/>
      <c r="V74" s="34"/>
      <c r="W74" s="42"/>
      <c r="X74" s="34"/>
      <c r="Y74" s="42"/>
      <c r="Z74" s="42"/>
      <c r="AA74" s="36"/>
      <c r="AB74" s="50"/>
      <c r="AC74" s="56" t="str">
        <f>IF(Table1[[#This Row],[Auto Order]]=1,IF(Table1[[#This Row],[In stock]]&lt;Table1[[#This Row],[Min in stock]],1,""),"")</f>
        <v/>
      </c>
    </row>
    <row r="75" spans="1:29" x14ac:dyDescent="0.25">
      <c r="A75" s="57" t="s">
        <v>3197</v>
      </c>
      <c r="B75" s="34" t="s">
        <v>251</v>
      </c>
      <c r="C75" s="34" t="s">
        <v>352</v>
      </c>
      <c r="D75" s="34" t="s">
        <v>3198</v>
      </c>
      <c r="E75" s="34" t="s">
        <v>559</v>
      </c>
      <c r="F75" s="53">
        <v>0</v>
      </c>
      <c r="G75" s="53"/>
      <c r="H75" s="53"/>
      <c r="I7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541-1.60UCT-ND</v>
      </c>
      <c r="J7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0.47</v>
      </c>
      <c r="K7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5" s="34" t="s">
        <v>3196</v>
      </c>
      <c r="M75" s="42">
        <v>0.47</v>
      </c>
      <c r="N75" s="34"/>
      <c r="O75" s="42"/>
      <c r="P75" s="34"/>
      <c r="Q75" s="42"/>
      <c r="R75" s="34"/>
      <c r="S75" s="42"/>
      <c r="T75" s="34"/>
      <c r="U75" s="42"/>
      <c r="V75" s="34"/>
      <c r="W75" s="42"/>
      <c r="X75" s="34"/>
      <c r="Y75" s="42"/>
      <c r="Z75" s="42"/>
      <c r="AA75" s="36"/>
      <c r="AB75" s="50"/>
      <c r="AC75" s="56" t="str">
        <f>IF(Table1[[#This Row],[Auto Order]]=1,IF(Table1[[#This Row],[In stock]]&lt;Table1[[#This Row],[Min in stock]],1,""),"")</f>
        <v/>
      </c>
    </row>
    <row r="76" spans="1:29" x14ac:dyDescent="0.25">
      <c r="A76" s="57" t="s">
        <v>3374</v>
      </c>
      <c r="B76" s="34" t="s">
        <v>251</v>
      </c>
      <c r="C76" s="34" t="s">
        <v>352</v>
      </c>
      <c r="D76" s="34" t="s">
        <v>3375</v>
      </c>
      <c r="E76" s="34" t="s">
        <v>559</v>
      </c>
      <c r="F76" s="53">
        <v>0</v>
      </c>
      <c r="G76" s="53"/>
      <c r="H76" s="53"/>
      <c r="I7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541-1.80UCT-ND</v>
      </c>
      <c r="J7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0.47</v>
      </c>
      <c r="K7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6" s="34" t="s">
        <v>3373</v>
      </c>
      <c r="M76" s="42">
        <v>0.47</v>
      </c>
      <c r="N76" s="34"/>
      <c r="O76" s="42"/>
      <c r="P76" s="34"/>
      <c r="Q76" s="42"/>
      <c r="R76" s="34"/>
      <c r="S76" s="42"/>
      <c r="T76" s="34"/>
      <c r="U76" s="42"/>
      <c r="V76" s="34"/>
      <c r="W76" s="42"/>
      <c r="X76" s="34"/>
      <c r="Y76" s="42"/>
      <c r="Z76" s="42"/>
      <c r="AA76" s="36"/>
      <c r="AB76" s="50"/>
      <c r="AC76" s="56" t="str">
        <f>IF(Table1[[#This Row],[Auto Order]]=1,IF(Table1[[#This Row],[In stock]]&lt;Table1[[#This Row],[Min in stock]],1,""),"")</f>
        <v/>
      </c>
    </row>
    <row r="77" spans="1:29" x14ac:dyDescent="0.25">
      <c r="A77" s="57" t="s">
        <v>3371</v>
      </c>
      <c r="B77" s="34" t="s">
        <v>251</v>
      </c>
      <c r="C77" s="34" t="s">
        <v>352</v>
      </c>
      <c r="D77" s="34" t="s">
        <v>3372</v>
      </c>
      <c r="E77" s="34" t="s">
        <v>559</v>
      </c>
      <c r="F77" s="53">
        <v>0</v>
      </c>
      <c r="G77" s="53"/>
      <c r="H77" s="53"/>
      <c r="I7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541-10.0UCT-ND</v>
      </c>
      <c r="J7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7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7" s="34" t="s">
        <v>3370</v>
      </c>
      <c r="M77" s="42">
        <v>0.48</v>
      </c>
      <c r="N77" s="34"/>
      <c r="O77" s="42"/>
      <c r="P77" s="34"/>
      <c r="Q77" s="42"/>
      <c r="R77" s="34"/>
      <c r="S77" s="42"/>
      <c r="T77" s="34"/>
      <c r="U77" s="42"/>
      <c r="V77" s="34"/>
      <c r="W77" s="42"/>
      <c r="X77" s="34"/>
      <c r="Y77" s="42"/>
      <c r="Z77" s="42"/>
      <c r="AA77" s="36"/>
      <c r="AB77" s="50"/>
      <c r="AC77" s="56" t="str">
        <f>IF(Table1[[#This Row],[Auto Order]]=1,IF(Table1[[#This Row],[In stock]]&lt;Table1[[#This Row],[Min in stock]],1,""),"")</f>
        <v/>
      </c>
    </row>
    <row r="78" spans="1:29" x14ac:dyDescent="0.25">
      <c r="A78" s="57" t="s">
        <v>3134</v>
      </c>
      <c r="B78" s="34" t="s">
        <v>251</v>
      </c>
      <c r="C78" s="34" t="s">
        <v>352</v>
      </c>
      <c r="D78" s="34" t="s">
        <v>3135</v>
      </c>
      <c r="E78" s="34" t="s">
        <v>559</v>
      </c>
      <c r="F78" s="53">
        <v>0</v>
      </c>
      <c r="G78" s="53"/>
      <c r="H78" s="53"/>
      <c r="I7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541-10UACT-ND</v>
      </c>
      <c r="J7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7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8" s="34" t="s">
        <v>3133</v>
      </c>
      <c r="M78" s="42">
        <v>0.42</v>
      </c>
      <c r="N78" s="34"/>
      <c r="O78" s="42"/>
      <c r="P78" s="34"/>
      <c r="Q78" s="42"/>
      <c r="R78" s="34"/>
      <c r="S78" s="42"/>
      <c r="T78" s="34"/>
      <c r="U78" s="42"/>
      <c r="V78" s="34"/>
      <c r="W78" s="42"/>
      <c r="X78" s="34"/>
      <c r="Y78" s="42"/>
      <c r="Z78" s="42"/>
      <c r="AA78" s="36"/>
      <c r="AB78" s="50"/>
      <c r="AC78" s="56" t="str">
        <f>IF(Table1[[#This Row],[Auto Order]]=1,IF(Table1[[#This Row],[In stock]]&lt;Table1[[#This Row],[Min in stock]],1,""),"")</f>
        <v/>
      </c>
    </row>
    <row r="79" spans="1:29" x14ac:dyDescent="0.25">
      <c r="A79" s="57" t="s">
        <v>3119</v>
      </c>
      <c r="B79" s="34" t="s">
        <v>251</v>
      </c>
      <c r="C79" s="34" t="s">
        <v>352</v>
      </c>
      <c r="D79" s="34" t="s">
        <v>3120</v>
      </c>
      <c r="E79" s="34" t="s">
        <v>559</v>
      </c>
      <c r="F79" s="53">
        <v>0</v>
      </c>
      <c r="G79" s="53"/>
      <c r="H79" s="53"/>
      <c r="I7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541-100UCT-ND</v>
      </c>
      <c r="J7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7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9" s="34" t="s">
        <v>3118</v>
      </c>
      <c r="M79" s="42">
        <v>0.48</v>
      </c>
      <c r="N79" s="34"/>
      <c r="O79" s="42"/>
      <c r="P79" s="34"/>
      <c r="Q79" s="42"/>
      <c r="R79" s="34"/>
      <c r="S79" s="42"/>
      <c r="T79" s="34"/>
      <c r="U79" s="42"/>
      <c r="V79" s="34"/>
      <c r="W79" s="42"/>
      <c r="X79" s="34"/>
      <c r="Y79" s="42"/>
      <c r="Z79" s="42"/>
      <c r="AA79" s="36"/>
      <c r="AB79" s="50"/>
      <c r="AC79" s="56" t="str">
        <f>IF(Table1[[#This Row],[Auto Order]]=1,IF(Table1[[#This Row],[In stock]]&lt;Table1[[#This Row],[Min in stock]],1,""),"")</f>
        <v/>
      </c>
    </row>
    <row r="80" spans="1:29" x14ac:dyDescent="0.25">
      <c r="A80" s="57" t="s">
        <v>3116</v>
      </c>
      <c r="B80" s="34" t="s">
        <v>251</v>
      </c>
      <c r="C80" s="34" t="s">
        <v>352</v>
      </c>
      <c r="D80" s="34" t="s">
        <v>3117</v>
      </c>
      <c r="E80" s="34" t="s">
        <v>559</v>
      </c>
      <c r="F80" s="53">
        <v>0</v>
      </c>
      <c r="G80" s="53"/>
      <c r="H80" s="53"/>
      <c r="I8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541-100UACT-ND</v>
      </c>
      <c r="J8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8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0" s="34" t="s">
        <v>3115</v>
      </c>
      <c r="M80" s="42">
        <v>0.42</v>
      </c>
      <c r="N80" s="34"/>
      <c r="O80" s="42"/>
      <c r="P80" s="34"/>
      <c r="Q80" s="42"/>
      <c r="R80" s="34"/>
      <c r="S80" s="42"/>
      <c r="T80" s="34"/>
      <c r="U80" s="42"/>
      <c r="V80" s="34"/>
      <c r="W80" s="42"/>
      <c r="X80" s="34"/>
      <c r="Y80" s="42"/>
      <c r="Z80" s="42"/>
      <c r="AA80" s="36"/>
      <c r="AB80" s="50"/>
      <c r="AC80" s="56" t="str">
        <f>IF(Table1[[#This Row],[Auto Order]]=1,IF(Table1[[#This Row],[In stock]]&lt;Table1[[#This Row],[Min in stock]],1,""),"")</f>
        <v/>
      </c>
    </row>
    <row r="81" spans="1:29" x14ac:dyDescent="0.25">
      <c r="A81" s="57" t="s">
        <v>3299</v>
      </c>
      <c r="B81" s="34" t="s">
        <v>251</v>
      </c>
      <c r="C81" s="34" t="s">
        <v>352</v>
      </c>
      <c r="D81" s="34" t="s">
        <v>3300</v>
      </c>
      <c r="E81" s="34" t="s">
        <v>559</v>
      </c>
      <c r="F81" s="53">
        <v>0</v>
      </c>
      <c r="G81" s="53"/>
      <c r="H81" s="53"/>
      <c r="I8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541-11.0UCT-ND</v>
      </c>
      <c r="J8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8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1" s="34" t="s">
        <v>3298</v>
      </c>
      <c r="M81" s="42">
        <v>0.48</v>
      </c>
      <c r="N81" s="34"/>
      <c r="O81" s="42"/>
      <c r="P81" s="34"/>
      <c r="Q81" s="42"/>
      <c r="R81" s="34"/>
      <c r="S81" s="42"/>
      <c r="T81" s="34"/>
      <c r="U81" s="42"/>
      <c r="V81" s="34"/>
      <c r="W81" s="42"/>
      <c r="X81" s="34"/>
      <c r="Y81" s="42"/>
      <c r="Z81" s="42"/>
      <c r="AA81" s="36"/>
      <c r="AB81" s="50"/>
      <c r="AC81" s="56" t="str">
        <f>IF(Table1[[#This Row],[Auto Order]]=1,IF(Table1[[#This Row],[In stock]]&lt;Table1[[#This Row],[Min in stock]],1,""),"")</f>
        <v/>
      </c>
    </row>
    <row r="82" spans="1:29" x14ac:dyDescent="0.25">
      <c r="A82" s="57" t="s">
        <v>3221</v>
      </c>
      <c r="B82" s="34" t="s">
        <v>251</v>
      </c>
      <c r="C82" s="34" t="s">
        <v>352</v>
      </c>
      <c r="D82" s="34" t="s">
        <v>3222</v>
      </c>
      <c r="E82" s="34" t="s">
        <v>559</v>
      </c>
      <c r="F82" s="53">
        <v>0</v>
      </c>
      <c r="G82" s="53"/>
      <c r="H82" s="53"/>
      <c r="I8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541-11UACT-ND</v>
      </c>
      <c r="J8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8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2" s="34" t="s">
        <v>3220</v>
      </c>
      <c r="M82" s="42">
        <v>0.42</v>
      </c>
      <c r="N82" s="34"/>
      <c r="O82" s="42"/>
      <c r="P82" s="34"/>
      <c r="Q82" s="42"/>
      <c r="R82" s="34"/>
      <c r="S82" s="42"/>
      <c r="T82" s="34"/>
      <c r="U82" s="42"/>
      <c r="V82" s="34"/>
      <c r="W82" s="42"/>
      <c r="X82" s="34"/>
      <c r="Y82" s="42"/>
      <c r="Z82" s="42"/>
      <c r="AA82" s="36"/>
      <c r="AB82" s="50"/>
      <c r="AC82" s="56" t="str">
        <f>IF(Table1[[#This Row],[Auto Order]]=1,IF(Table1[[#This Row],[In stock]]&lt;Table1[[#This Row],[Min in stock]],1,""),"")</f>
        <v/>
      </c>
    </row>
    <row r="83" spans="1:29" x14ac:dyDescent="0.25">
      <c r="A83" s="57" t="s">
        <v>3326</v>
      </c>
      <c r="B83" s="34" t="s">
        <v>251</v>
      </c>
      <c r="C83" s="34" t="s">
        <v>352</v>
      </c>
      <c r="D83" s="34" t="s">
        <v>3327</v>
      </c>
      <c r="E83" s="34" t="s">
        <v>559</v>
      </c>
      <c r="F83" s="53">
        <v>0</v>
      </c>
      <c r="G83" s="53"/>
      <c r="H83" s="53"/>
      <c r="I8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541-110UCT-ND</v>
      </c>
      <c r="J8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8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3" s="34" t="s">
        <v>3325</v>
      </c>
      <c r="M83" s="42">
        <v>0.48</v>
      </c>
      <c r="N83" s="34"/>
      <c r="O83" s="42"/>
      <c r="P83" s="34"/>
      <c r="Q83" s="42"/>
      <c r="R83" s="34"/>
      <c r="S83" s="42"/>
      <c r="T83" s="34"/>
      <c r="U83" s="42"/>
      <c r="V83" s="34"/>
      <c r="W83" s="42"/>
      <c r="X83" s="34"/>
      <c r="Y83" s="42"/>
      <c r="Z83" s="42"/>
      <c r="AA83" s="36"/>
      <c r="AB83" s="50"/>
      <c r="AC83" s="56" t="str">
        <f>IF(Table1[[#This Row],[Auto Order]]=1,IF(Table1[[#This Row],[In stock]]&lt;Table1[[#This Row],[Min in stock]],1,""),"")</f>
        <v/>
      </c>
    </row>
    <row r="84" spans="1:29" x14ac:dyDescent="0.25">
      <c r="A84" s="57" t="s">
        <v>3176</v>
      </c>
      <c r="B84" s="34" t="s">
        <v>251</v>
      </c>
      <c r="C84" s="34" t="s">
        <v>352</v>
      </c>
      <c r="D84" s="34" t="s">
        <v>3177</v>
      </c>
      <c r="E84" s="34" t="s">
        <v>559</v>
      </c>
      <c r="F84" s="53">
        <v>0</v>
      </c>
      <c r="G84" s="53"/>
      <c r="H84" s="53"/>
      <c r="I8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541-12.0UCT-ND</v>
      </c>
      <c r="J8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8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4" s="34" t="s">
        <v>3175</v>
      </c>
      <c r="M84" s="42">
        <v>0.48</v>
      </c>
      <c r="N84" s="34"/>
      <c r="O84" s="42"/>
      <c r="P84" s="34"/>
      <c r="Q84" s="42"/>
      <c r="R84" s="34"/>
      <c r="S84" s="42"/>
      <c r="T84" s="34"/>
      <c r="U84" s="42"/>
      <c r="V84" s="34"/>
      <c r="W84" s="42"/>
      <c r="X84" s="34"/>
      <c r="Y84" s="42"/>
      <c r="Z84" s="42"/>
      <c r="AA84" s="36"/>
      <c r="AB84" s="50"/>
      <c r="AC84" s="56" t="str">
        <f>IF(Table1[[#This Row],[Auto Order]]=1,IF(Table1[[#This Row],[In stock]]&lt;Table1[[#This Row],[Min in stock]],1,""),"")</f>
        <v/>
      </c>
    </row>
    <row r="85" spans="1:29" x14ac:dyDescent="0.25">
      <c r="A85" s="57" t="s">
        <v>3128</v>
      </c>
      <c r="B85" s="34" t="s">
        <v>251</v>
      </c>
      <c r="C85" s="34" t="s">
        <v>352</v>
      </c>
      <c r="D85" s="34" t="s">
        <v>3129</v>
      </c>
      <c r="E85" s="34" t="s">
        <v>559</v>
      </c>
      <c r="F85" s="53">
        <v>0</v>
      </c>
      <c r="G85" s="53"/>
      <c r="H85" s="53"/>
      <c r="I8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541-12UACT-ND</v>
      </c>
      <c r="J8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8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5" s="34" t="s">
        <v>3127</v>
      </c>
      <c r="M85" s="42">
        <v>0.42</v>
      </c>
      <c r="N85" s="34"/>
      <c r="O85" s="42"/>
      <c r="P85" s="34"/>
      <c r="Q85" s="42"/>
      <c r="R85" s="34"/>
      <c r="S85" s="42"/>
      <c r="T85" s="34"/>
      <c r="U85" s="42"/>
      <c r="V85" s="34"/>
      <c r="W85" s="42"/>
      <c r="X85" s="34"/>
      <c r="Y85" s="42"/>
      <c r="Z85" s="42"/>
      <c r="AA85" s="36"/>
      <c r="AB85" s="50"/>
      <c r="AC85" s="56" t="str">
        <f>IF(Table1[[#This Row],[Auto Order]]=1,IF(Table1[[#This Row],[In stock]]&lt;Table1[[#This Row],[Min in stock]],1,""),"")</f>
        <v/>
      </c>
    </row>
    <row r="86" spans="1:29" x14ac:dyDescent="0.25">
      <c r="A86" s="57" t="s">
        <v>3266</v>
      </c>
      <c r="B86" s="34" t="s">
        <v>251</v>
      </c>
      <c r="C86" s="34" t="s">
        <v>352</v>
      </c>
      <c r="D86" s="34" t="s">
        <v>3267</v>
      </c>
      <c r="E86" s="34" t="s">
        <v>559</v>
      </c>
      <c r="F86" s="53">
        <v>0</v>
      </c>
      <c r="G86" s="53"/>
      <c r="H86" s="53"/>
      <c r="I8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541-120UACT-ND</v>
      </c>
      <c r="J8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8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6" s="34" t="s">
        <v>3265</v>
      </c>
      <c r="M86" s="42">
        <v>0.42</v>
      </c>
      <c r="N86" s="34"/>
      <c r="O86" s="42"/>
      <c r="P86" s="34"/>
      <c r="Q86" s="42"/>
      <c r="R86" s="34"/>
      <c r="S86" s="42"/>
      <c r="T86" s="34"/>
      <c r="U86" s="42"/>
      <c r="V86" s="34"/>
      <c r="W86" s="42"/>
      <c r="X86" s="34"/>
      <c r="Y86" s="42"/>
      <c r="Z86" s="42"/>
      <c r="AA86" s="36"/>
      <c r="AB86" s="50"/>
      <c r="AC86" s="56" t="str">
        <f>IF(Table1[[#This Row],[Auto Order]]=1,IF(Table1[[#This Row],[In stock]]&lt;Table1[[#This Row],[Min in stock]],1,""),"")</f>
        <v/>
      </c>
    </row>
    <row r="87" spans="1:29" x14ac:dyDescent="0.25">
      <c r="A87" s="57" t="s">
        <v>3341</v>
      </c>
      <c r="B87" s="34" t="s">
        <v>251</v>
      </c>
      <c r="C87" s="34" t="s">
        <v>352</v>
      </c>
      <c r="D87" s="34" t="s">
        <v>3342</v>
      </c>
      <c r="E87" s="34" t="s">
        <v>559</v>
      </c>
      <c r="F87" s="53">
        <v>0</v>
      </c>
      <c r="G87" s="53"/>
      <c r="H87" s="53"/>
      <c r="I8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541-124UCT-ND</v>
      </c>
      <c r="J8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8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7" s="34" t="s">
        <v>3340</v>
      </c>
      <c r="M87" s="42">
        <v>0.48</v>
      </c>
      <c r="N87" s="34"/>
      <c r="O87" s="42"/>
      <c r="P87" s="34"/>
      <c r="Q87" s="42"/>
      <c r="R87" s="34"/>
      <c r="S87" s="42"/>
      <c r="T87" s="34"/>
      <c r="U87" s="42"/>
      <c r="V87" s="34"/>
      <c r="W87" s="42"/>
      <c r="X87" s="34"/>
      <c r="Y87" s="42"/>
      <c r="Z87" s="42"/>
      <c r="AA87" s="36"/>
      <c r="AB87" s="50"/>
      <c r="AC87" s="56" t="str">
        <f>IF(Table1[[#This Row],[Auto Order]]=1,IF(Table1[[#This Row],[In stock]]&lt;Table1[[#This Row],[Min in stock]],1,""),"")</f>
        <v/>
      </c>
    </row>
    <row r="88" spans="1:29" x14ac:dyDescent="0.25">
      <c r="A88" s="57" t="s">
        <v>3170</v>
      </c>
      <c r="B88" s="34" t="s">
        <v>251</v>
      </c>
      <c r="C88" s="34" t="s">
        <v>352</v>
      </c>
      <c r="D88" s="34" t="s">
        <v>3171</v>
      </c>
      <c r="E88" s="34" t="s">
        <v>559</v>
      </c>
      <c r="F88" s="53">
        <v>0</v>
      </c>
      <c r="G88" s="53"/>
      <c r="H88" s="53"/>
      <c r="I8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541-13.0UCT-ND</v>
      </c>
      <c r="J8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8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8" s="34" t="s">
        <v>3169</v>
      </c>
      <c r="M88" s="42">
        <v>0.48</v>
      </c>
      <c r="N88" s="34"/>
      <c r="O88" s="42"/>
      <c r="P88" s="34"/>
      <c r="Q88" s="42"/>
      <c r="R88" s="34"/>
      <c r="S88" s="42"/>
      <c r="T88" s="34"/>
      <c r="U88" s="42"/>
      <c r="V88" s="34"/>
      <c r="W88" s="42"/>
      <c r="X88" s="34"/>
      <c r="Y88" s="42"/>
      <c r="Z88" s="42"/>
      <c r="AA88" s="36"/>
      <c r="AB88" s="50"/>
      <c r="AC88" s="56" t="str">
        <f>IF(Table1[[#This Row],[Auto Order]]=1,IF(Table1[[#This Row],[In stock]]&lt;Table1[[#This Row],[Min in stock]],1,""),"")</f>
        <v/>
      </c>
    </row>
    <row r="89" spans="1:29" x14ac:dyDescent="0.25">
      <c r="A89" s="57" t="s">
        <v>3152</v>
      </c>
      <c r="B89" s="34" t="s">
        <v>251</v>
      </c>
      <c r="C89" s="34" t="s">
        <v>352</v>
      </c>
      <c r="D89" s="34" t="s">
        <v>3153</v>
      </c>
      <c r="E89" s="34" t="s">
        <v>559</v>
      </c>
      <c r="F89" s="53">
        <v>0</v>
      </c>
      <c r="G89" s="53"/>
      <c r="H89" s="53"/>
      <c r="I8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541-15.0UCT-ND</v>
      </c>
      <c r="J8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8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9" s="34" t="s">
        <v>3151</v>
      </c>
      <c r="M89" s="42">
        <v>0.48</v>
      </c>
      <c r="N89" s="34"/>
      <c r="O89" s="42"/>
      <c r="P89" s="34"/>
      <c r="Q89" s="42"/>
      <c r="R89" s="34"/>
      <c r="S89" s="42"/>
      <c r="T89" s="34"/>
      <c r="U89" s="42"/>
      <c r="V89" s="34"/>
      <c r="W89" s="42"/>
      <c r="X89" s="34"/>
      <c r="Y89" s="42"/>
      <c r="Z89" s="42"/>
      <c r="AA89" s="36"/>
      <c r="AB89" s="50"/>
      <c r="AC89" s="56" t="str">
        <f>IF(Table1[[#This Row],[Auto Order]]=1,IF(Table1[[#This Row],[In stock]]&lt;Table1[[#This Row],[Min in stock]],1,""),"")</f>
        <v/>
      </c>
    </row>
    <row r="90" spans="1:29" x14ac:dyDescent="0.25">
      <c r="A90" s="57" t="s">
        <v>3308</v>
      </c>
      <c r="B90" s="34" t="s">
        <v>251</v>
      </c>
      <c r="C90" s="34" t="s">
        <v>352</v>
      </c>
      <c r="D90" s="34" t="s">
        <v>3309</v>
      </c>
      <c r="E90" s="34" t="s">
        <v>559</v>
      </c>
      <c r="F90" s="53">
        <v>0</v>
      </c>
      <c r="G90" s="53"/>
      <c r="H90" s="53"/>
      <c r="I9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541-150UCT-ND</v>
      </c>
      <c r="J9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9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0" s="34" t="s">
        <v>3307</v>
      </c>
      <c r="M90" s="42">
        <v>0.48</v>
      </c>
      <c r="N90" s="34"/>
      <c r="O90" s="42"/>
      <c r="P90" s="34"/>
      <c r="Q90" s="42"/>
      <c r="R90" s="34"/>
      <c r="S90" s="42"/>
      <c r="T90" s="34"/>
      <c r="U90" s="42"/>
      <c r="V90" s="34"/>
      <c r="W90" s="42"/>
      <c r="X90" s="34"/>
      <c r="Y90" s="42"/>
      <c r="Z90" s="42"/>
      <c r="AA90" s="36"/>
      <c r="AB90" s="50"/>
      <c r="AC90" s="56" t="str">
        <f>IF(Table1[[#This Row],[Auto Order]]=1,IF(Table1[[#This Row],[In stock]]&lt;Table1[[#This Row],[Min in stock]],1,""),"")</f>
        <v/>
      </c>
    </row>
    <row r="91" spans="1:29" x14ac:dyDescent="0.25">
      <c r="A91" s="57" t="s">
        <v>3224</v>
      </c>
      <c r="B91" s="34" t="s">
        <v>251</v>
      </c>
      <c r="C91" s="34" t="s">
        <v>352</v>
      </c>
      <c r="D91" s="34" t="s">
        <v>3225</v>
      </c>
      <c r="E91" s="34" t="s">
        <v>559</v>
      </c>
      <c r="F91" s="53">
        <v>0</v>
      </c>
      <c r="G91" s="53"/>
      <c r="H91" s="53"/>
      <c r="I9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541-16.0UACT-ND</v>
      </c>
      <c r="J9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9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1" s="34" t="s">
        <v>3223</v>
      </c>
      <c r="M91" s="42">
        <v>0.42</v>
      </c>
      <c r="N91" s="34"/>
      <c r="O91" s="42"/>
      <c r="P91" s="34"/>
      <c r="Q91" s="42"/>
      <c r="R91" s="34"/>
      <c r="S91" s="42"/>
      <c r="T91" s="34"/>
      <c r="U91" s="42"/>
      <c r="V91" s="34"/>
      <c r="W91" s="42"/>
      <c r="X91" s="34"/>
      <c r="Y91" s="42"/>
      <c r="Z91" s="42"/>
      <c r="AA91" s="36"/>
      <c r="AB91" s="50"/>
      <c r="AC91" s="56" t="str">
        <f>IF(Table1[[#This Row],[Auto Order]]=1,IF(Table1[[#This Row],[In stock]]&lt;Table1[[#This Row],[Min in stock]],1,""),"")</f>
        <v/>
      </c>
    </row>
    <row r="92" spans="1:29" x14ac:dyDescent="0.25">
      <c r="A92" s="57" t="s">
        <v>3335</v>
      </c>
      <c r="B92" s="34" t="s">
        <v>251</v>
      </c>
      <c r="C92" s="34" t="s">
        <v>352</v>
      </c>
      <c r="D92" s="34" t="s">
        <v>3336</v>
      </c>
      <c r="E92" s="34" t="s">
        <v>559</v>
      </c>
      <c r="F92" s="53">
        <v>0</v>
      </c>
      <c r="G92" s="53"/>
      <c r="H92" s="53"/>
      <c r="I9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541-18.0UCT-ND</v>
      </c>
      <c r="J9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9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2" s="34" t="s">
        <v>3334</v>
      </c>
      <c r="M92" s="42">
        <v>0.48</v>
      </c>
      <c r="N92" s="34"/>
      <c r="O92" s="42"/>
      <c r="P92" s="34"/>
      <c r="Q92" s="42"/>
      <c r="R92" s="34"/>
      <c r="S92" s="42"/>
      <c r="T92" s="34"/>
      <c r="U92" s="42"/>
      <c r="V92" s="34"/>
      <c r="W92" s="42"/>
      <c r="X92" s="34"/>
      <c r="Y92" s="42"/>
      <c r="Z92" s="42"/>
      <c r="AA92" s="36"/>
      <c r="AB92" s="50"/>
      <c r="AC92" s="56" t="str">
        <f>IF(Table1[[#This Row],[Auto Order]]=1,IF(Table1[[#This Row],[In stock]]&lt;Table1[[#This Row],[Min in stock]],1,""),"")</f>
        <v/>
      </c>
    </row>
    <row r="93" spans="1:29" x14ac:dyDescent="0.25">
      <c r="A93" s="57" t="s">
        <v>3179</v>
      </c>
      <c r="B93" s="34" t="s">
        <v>251</v>
      </c>
      <c r="C93" s="34" t="s">
        <v>352</v>
      </c>
      <c r="D93" s="34" t="s">
        <v>3180</v>
      </c>
      <c r="E93" s="34" t="s">
        <v>559</v>
      </c>
      <c r="F93" s="53">
        <v>0</v>
      </c>
      <c r="G93" s="53"/>
      <c r="H93" s="53"/>
      <c r="I9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541-180UCT-ND</v>
      </c>
      <c r="J9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9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3" s="34" t="s">
        <v>3178</v>
      </c>
      <c r="M93" s="42">
        <v>0.48</v>
      </c>
      <c r="N93" s="34"/>
      <c r="O93" s="42"/>
      <c r="P93" s="34"/>
      <c r="Q93" s="42"/>
      <c r="R93" s="34"/>
      <c r="S93" s="42"/>
      <c r="T93" s="34"/>
      <c r="U93" s="42"/>
      <c r="V93" s="34"/>
      <c r="W93" s="42"/>
      <c r="X93" s="34"/>
      <c r="Y93" s="42"/>
      <c r="Z93" s="42"/>
      <c r="AA93" s="36"/>
      <c r="AB93" s="50"/>
      <c r="AC93" s="56" t="str">
        <f>IF(Table1[[#This Row],[Auto Order]]=1,IF(Table1[[#This Row],[In stock]]&lt;Table1[[#This Row],[Min in stock]],1,""),"")</f>
        <v/>
      </c>
    </row>
    <row r="94" spans="1:29" x14ac:dyDescent="0.25">
      <c r="A94" s="57" t="s">
        <v>3311</v>
      </c>
      <c r="B94" s="34" t="s">
        <v>251</v>
      </c>
      <c r="C94" s="34" t="s">
        <v>352</v>
      </c>
      <c r="D94" s="34" t="s">
        <v>3312</v>
      </c>
      <c r="E94" s="34" t="s">
        <v>559</v>
      </c>
      <c r="F94" s="53">
        <v>0</v>
      </c>
      <c r="G94" s="53"/>
      <c r="H94" s="53"/>
      <c r="I9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541-196UCT-ND</v>
      </c>
      <c r="J9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9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4" s="34" t="s">
        <v>3310</v>
      </c>
      <c r="M94" s="42">
        <v>0.48</v>
      </c>
      <c r="N94" s="34"/>
      <c r="O94" s="42"/>
      <c r="P94" s="34"/>
      <c r="Q94" s="42"/>
      <c r="R94" s="34"/>
      <c r="S94" s="42"/>
      <c r="T94" s="34"/>
      <c r="U94" s="42"/>
      <c r="V94" s="34"/>
      <c r="W94" s="42"/>
      <c r="X94" s="34"/>
      <c r="Y94" s="42"/>
      <c r="Z94" s="42"/>
      <c r="AA94" s="36"/>
      <c r="AB94" s="50"/>
      <c r="AC94" s="56" t="str">
        <f>IF(Table1[[#This Row],[Auto Order]]=1,IF(Table1[[#This Row],[In stock]]&lt;Table1[[#This Row],[Min in stock]],1,""),"")</f>
        <v/>
      </c>
    </row>
    <row r="95" spans="1:29" x14ac:dyDescent="0.25">
      <c r="A95" s="57" t="s">
        <v>3122</v>
      </c>
      <c r="B95" s="34" t="s">
        <v>251</v>
      </c>
      <c r="C95" s="34" t="s">
        <v>352</v>
      </c>
      <c r="D95" s="34" t="s">
        <v>3123</v>
      </c>
      <c r="E95" s="34" t="s">
        <v>559</v>
      </c>
      <c r="F95" s="53">
        <v>0</v>
      </c>
      <c r="G95" s="53"/>
      <c r="H95" s="53"/>
      <c r="I9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541-1.00KUCT-ND</v>
      </c>
      <c r="J9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9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5" s="34" t="s">
        <v>3121</v>
      </c>
      <c r="M95" s="42">
        <v>0.48</v>
      </c>
      <c r="N95" s="34"/>
      <c r="O95" s="42"/>
      <c r="P95" s="34"/>
      <c r="Q95" s="42"/>
      <c r="R95" s="34"/>
      <c r="S95" s="42"/>
      <c r="T95" s="34"/>
      <c r="U95" s="42"/>
      <c r="V95" s="34"/>
      <c r="W95" s="42"/>
      <c r="X95" s="34"/>
      <c r="Y95" s="42"/>
      <c r="Z95" s="42"/>
      <c r="AA95" s="36"/>
      <c r="AB95" s="50"/>
      <c r="AC95" s="56" t="str">
        <f>IF(Table1[[#This Row],[Auto Order]]=1,IF(Table1[[#This Row],[In stock]]&lt;Table1[[#This Row],[Min in stock]],1,""),"")</f>
        <v/>
      </c>
    </row>
    <row r="96" spans="1:29" x14ac:dyDescent="0.25">
      <c r="A96" s="57" t="s">
        <v>3113</v>
      </c>
      <c r="B96" s="34" t="s">
        <v>251</v>
      </c>
      <c r="C96" s="34" t="s">
        <v>352</v>
      </c>
      <c r="D96" s="34" t="s">
        <v>3114</v>
      </c>
      <c r="E96" s="34" t="s">
        <v>559</v>
      </c>
      <c r="F96" s="53">
        <v>0</v>
      </c>
      <c r="G96" s="53"/>
      <c r="H96" s="53"/>
      <c r="I9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541-1.0KUACT-ND</v>
      </c>
      <c r="J9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9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6" s="34" t="s">
        <v>3112</v>
      </c>
      <c r="M96" s="42">
        <v>0.42</v>
      </c>
      <c r="N96" s="34"/>
      <c r="O96" s="42"/>
      <c r="P96" s="34"/>
      <c r="Q96" s="42"/>
      <c r="R96" s="34"/>
      <c r="S96" s="42"/>
      <c r="T96" s="34"/>
      <c r="U96" s="42"/>
      <c r="V96" s="34"/>
      <c r="W96" s="42"/>
      <c r="X96" s="34"/>
      <c r="Y96" s="42"/>
      <c r="Z96" s="42"/>
      <c r="AA96" s="36"/>
      <c r="AB96" s="50"/>
      <c r="AC96" s="56" t="str">
        <f>IF(Table1[[#This Row],[Auto Order]]=1,IF(Table1[[#This Row],[In stock]]&lt;Table1[[#This Row],[Min in stock]],1,""),"")</f>
        <v/>
      </c>
    </row>
    <row r="97" spans="1:29" x14ac:dyDescent="0.25">
      <c r="A97" s="57" t="s">
        <v>3347</v>
      </c>
      <c r="B97" s="34" t="s">
        <v>251</v>
      </c>
      <c r="C97" s="34" t="s">
        <v>352</v>
      </c>
      <c r="D97" s="34" t="s">
        <v>3348</v>
      </c>
      <c r="E97" s="34" t="s">
        <v>559</v>
      </c>
      <c r="F97" s="53">
        <v>0</v>
      </c>
      <c r="G97" s="53"/>
      <c r="H97" s="53"/>
      <c r="I9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541-2.0UACT-ND</v>
      </c>
      <c r="J9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0.44</v>
      </c>
      <c r="K9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7" s="34" t="s">
        <v>3346</v>
      </c>
      <c r="M97" s="42">
        <v>0.44</v>
      </c>
      <c r="N97" s="34"/>
      <c r="O97" s="42"/>
      <c r="P97" s="34"/>
      <c r="Q97" s="42"/>
      <c r="R97" s="34"/>
      <c r="S97" s="42"/>
      <c r="T97" s="34"/>
      <c r="U97" s="42"/>
      <c r="V97" s="34"/>
      <c r="W97" s="42"/>
      <c r="X97" s="34"/>
      <c r="Y97" s="42"/>
      <c r="Z97" s="42"/>
      <c r="AA97" s="36"/>
      <c r="AB97" s="50"/>
      <c r="AC97" s="56" t="str">
        <f>IF(Table1[[#This Row],[Auto Order]]=1,IF(Table1[[#This Row],[In stock]]&lt;Table1[[#This Row],[Min in stock]],1,""),"")</f>
        <v/>
      </c>
    </row>
    <row r="98" spans="1:29" x14ac:dyDescent="0.25">
      <c r="A98" s="57" t="s">
        <v>3191</v>
      </c>
      <c r="B98" s="34" t="s">
        <v>251</v>
      </c>
      <c r="C98" s="34" t="s">
        <v>352</v>
      </c>
      <c r="D98" s="34" t="s">
        <v>3192</v>
      </c>
      <c r="E98" s="34" t="s">
        <v>559</v>
      </c>
      <c r="F98" s="53">
        <v>0</v>
      </c>
      <c r="G98" s="53"/>
      <c r="H98" s="53"/>
      <c r="I9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541-2.2UACT-ND</v>
      </c>
      <c r="J9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0.44</v>
      </c>
      <c r="K9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8" s="34" t="s">
        <v>3190</v>
      </c>
      <c r="M98" s="42">
        <v>0.44</v>
      </c>
      <c r="N98" s="34"/>
      <c r="O98" s="42"/>
      <c r="P98" s="34"/>
      <c r="Q98" s="42"/>
      <c r="R98" s="34"/>
      <c r="S98" s="42"/>
      <c r="T98" s="34"/>
      <c r="U98" s="42"/>
      <c r="V98" s="34"/>
      <c r="W98" s="42"/>
      <c r="X98" s="34"/>
      <c r="Y98" s="42"/>
      <c r="Z98" s="42"/>
      <c r="AA98" s="36"/>
      <c r="AB98" s="50"/>
      <c r="AC98" s="56" t="str">
        <f>IF(Table1[[#This Row],[Auto Order]]=1,IF(Table1[[#This Row],[In stock]]&lt;Table1[[#This Row],[Min in stock]],1,""),"")</f>
        <v/>
      </c>
    </row>
    <row r="99" spans="1:29" x14ac:dyDescent="0.25">
      <c r="A99" s="57" t="s">
        <v>3212</v>
      </c>
      <c r="B99" s="34" t="s">
        <v>251</v>
      </c>
      <c r="C99" s="34" t="s">
        <v>352</v>
      </c>
      <c r="D99" s="34" t="s">
        <v>3213</v>
      </c>
      <c r="E99" s="34" t="s">
        <v>559</v>
      </c>
      <c r="F99" s="53">
        <v>0</v>
      </c>
      <c r="G99" s="53"/>
      <c r="H99" s="53"/>
      <c r="I9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541-2.26UCT-ND</v>
      </c>
      <c r="J9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0.47</v>
      </c>
      <c r="K9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9" s="34" t="s">
        <v>3211</v>
      </c>
      <c r="M99" s="42">
        <v>0.47</v>
      </c>
      <c r="N99" s="34"/>
      <c r="O99" s="42"/>
      <c r="P99" s="34"/>
      <c r="Q99" s="42"/>
      <c r="R99" s="34"/>
      <c r="S99" s="42"/>
      <c r="T99" s="34"/>
      <c r="U99" s="42"/>
      <c r="V99" s="34"/>
      <c r="W99" s="42"/>
      <c r="X99" s="34"/>
      <c r="Y99" s="42"/>
      <c r="Z99" s="42"/>
      <c r="AA99" s="36"/>
      <c r="AB99" s="50"/>
      <c r="AC99" s="56" t="str">
        <f>IF(Table1[[#This Row],[Auto Order]]=1,IF(Table1[[#This Row],[In stock]]&lt;Table1[[#This Row],[Min in stock]],1,""),"")</f>
        <v/>
      </c>
    </row>
    <row r="100" spans="1:29" x14ac:dyDescent="0.25">
      <c r="A100" s="60" t="s">
        <v>3377</v>
      </c>
      <c r="B100" s="34" t="s">
        <v>251</v>
      </c>
      <c r="C100" s="34" t="s">
        <v>352</v>
      </c>
      <c r="D100" s="34" t="s">
        <v>3378</v>
      </c>
      <c r="E100" s="34" t="s">
        <v>559</v>
      </c>
      <c r="F100" s="53">
        <v>0</v>
      </c>
      <c r="G100" s="53"/>
      <c r="H100" s="53"/>
      <c r="I10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541-2.49UCT-ND</v>
      </c>
      <c r="J10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0.47</v>
      </c>
      <c r="K10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00" s="34" t="s">
        <v>3376</v>
      </c>
      <c r="M100" s="42">
        <v>0.47</v>
      </c>
      <c r="N100" s="34"/>
      <c r="O100" s="42"/>
      <c r="P100" s="34"/>
      <c r="Q100" s="42"/>
      <c r="R100" s="34"/>
      <c r="S100" s="42"/>
      <c r="T100" s="34"/>
      <c r="U100" s="42"/>
      <c r="V100" s="34"/>
      <c r="W100" s="42"/>
      <c r="X100" s="34"/>
      <c r="Y100" s="42"/>
      <c r="Z100" s="42"/>
      <c r="AA100" s="36"/>
      <c r="AB100" s="50"/>
      <c r="AC100" s="56" t="str">
        <f>IF(Table1[[#This Row],[Auto Order]]=1,IF(Table1[[#This Row],[In stock]]&lt;Table1[[#This Row],[Min in stock]],1,""),"")</f>
        <v/>
      </c>
    </row>
    <row r="101" spans="1:29" x14ac:dyDescent="0.25">
      <c r="A101" s="60" t="s">
        <v>3248</v>
      </c>
      <c r="B101" s="34" t="s">
        <v>251</v>
      </c>
      <c r="C101" s="34" t="s">
        <v>352</v>
      </c>
      <c r="D101" s="34" t="s">
        <v>3249</v>
      </c>
      <c r="E101" s="34" t="s">
        <v>559</v>
      </c>
      <c r="F101" s="53">
        <v>0</v>
      </c>
      <c r="G101" s="53"/>
      <c r="H101" s="53"/>
      <c r="I10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541-2.7UACT-ND</v>
      </c>
      <c r="J10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0.44</v>
      </c>
      <c r="K10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01" s="34" t="s">
        <v>3247</v>
      </c>
      <c r="M101" s="42">
        <v>0.44</v>
      </c>
      <c r="N101" s="34"/>
      <c r="O101" s="42"/>
      <c r="P101" s="34"/>
      <c r="Q101" s="42"/>
      <c r="R101" s="34"/>
      <c r="S101" s="42"/>
      <c r="T101" s="34"/>
      <c r="U101" s="42"/>
      <c r="V101" s="34"/>
      <c r="W101" s="42"/>
      <c r="X101" s="34"/>
      <c r="Y101" s="42"/>
      <c r="Z101" s="42"/>
      <c r="AA101" s="36"/>
      <c r="AB101" s="50"/>
      <c r="AC101" s="56" t="str">
        <f>IF(Table1[[#This Row],[Auto Order]]=1,IF(Table1[[#This Row],[In stock]]&lt;Table1[[#This Row],[Min in stock]],1,""),"")</f>
        <v/>
      </c>
    </row>
    <row r="102" spans="1:29" x14ac:dyDescent="0.25">
      <c r="A102" s="60" t="s">
        <v>3143</v>
      </c>
      <c r="B102" s="34" t="s">
        <v>251</v>
      </c>
      <c r="C102" s="34" t="s">
        <v>352</v>
      </c>
      <c r="D102" s="34" t="s">
        <v>3144</v>
      </c>
      <c r="E102" s="34" t="s">
        <v>559</v>
      </c>
      <c r="F102" s="53">
        <v>0</v>
      </c>
      <c r="G102" s="53"/>
      <c r="H102" s="53"/>
      <c r="I10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541-20.0UCT-ND</v>
      </c>
      <c r="J10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0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02" s="34" t="s">
        <v>3142</v>
      </c>
      <c r="M102" s="42">
        <v>0.48</v>
      </c>
      <c r="N102" s="34"/>
      <c r="O102" s="42"/>
      <c r="P102" s="34"/>
      <c r="Q102" s="42"/>
      <c r="R102" s="34"/>
      <c r="S102" s="42"/>
      <c r="T102" s="34"/>
      <c r="U102" s="42"/>
      <c r="V102" s="34"/>
      <c r="W102" s="42"/>
      <c r="X102" s="34"/>
      <c r="Y102" s="42"/>
      <c r="Z102" s="42"/>
      <c r="AA102" s="36"/>
      <c r="AB102" s="50"/>
      <c r="AC102" s="56" t="str">
        <f>IF(Table1[[#This Row],[Auto Order]]=1,IF(Table1[[#This Row],[In stock]]&lt;Table1[[#This Row],[Min in stock]],1,""),"")</f>
        <v/>
      </c>
    </row>
    <row r="103" spans="1:29" x14ac:dyDescent="0.25">
      <c r="A103" s="60" t="s">
        <v>3359</v>
      </c>
      <c r="B103" s="34" t="s">
        <v>251</v>
      </c>
      <c r="C103" s="34" t="s">
        <v>352</v>
      </c>
      <c r="D103" s="34" t="s">
        <v>3360</v>
      </c>
      <c r="E103" s="34" t="s">
        <v>559</v>
      </c>
      <c r="F103" s="53">
        <v>0</v>
      </c>
      <c r="G103" s="53"/>
      <c r="H103" s="53"/>
      <c r="I10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541-200UCT-ND</v>
      </c>
      <c r="J10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0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03" s="34" t="s">
        <v>3358</v>
      </c>
      <c r="M103" s="42">
        <v>0.48</v>
      </c>
      <c r="N103" s="34"/>
      <c r="O103" s="42"/>
      <c r="P103" s="34"/>
      <c r="Q103" s="42"/>
      <c r="R103" s="34"/>
      <c r="S103" s="42"/>
      <c r="T103" s="34"/>
      <c r="U103" s="42"/>
      <c r="V103" s="34"/>
      <c r="W103" s="42"/>
      <c r="X103" s="34"/>
      <c r="Y103" s="42"/>
      <c r="Z103" s="42"/>
      <c r="AA103" s="36"/>
      <c r="AB103" s="50"/>
      <c r="AC103" s="56" t="str">
        <f>IF(Table1[[#This Row],[Auto Order]]=1,IF(Table1[[#This Row],[In stock]]&lt;Table1[[#This Row],[Min in stock]],1,""),"")</f>
        <v/>
      </c>
    </row>
    <row r="104" spans="1:29" x14ac:dyDescent="0.25">
      <c r="A104" s="60" t="s">
        <v>3137</v>
      </c>
      <c r="B104" s="34" t="s">
        <v>251</v>
      </c>
      <c r="C104" s="34" t="s">
        <v>352</v>
      </c>
      <c r="D104" s="34" t="s">
        <v>3138</v>
      </c>
      <c r="E104" s="34" t="s">
        <v>559</v>
      </c>
      <c r="F104" s="53">
        <v>0</v>
      </c>
      <c r="G104" s="53"/>
      <c r="H104" s="53"/>
      <c r="I10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541-200UACT-ND</v>
      </c>
      <c r="J10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0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04" s="34" t="s">
        <v>3136</v>
      </c>
      <c r="M104" s="42">
        <v>0.42</v>
      </c>
      <c r="N104" s="34"/>
      <c r="O104" s="42"/>
      <c r="P104" s="34"/>
      <c r="Q104" s="42"/>
      <c r="R104" s="34"/>
      <c r="S104" s="42"/>
      <c r="T104" s="34"/>
      <c r="U104" s="42"/>
      <c r="V104" s="34"/>
      <c r="W104" s="42"/>
      <c r="X104" s="34"/>
      <c r="Y104" s="42"/>
      <c r="Z104" s="42"/>
      <c r="AA104" s="36"/>
      <c r="AB104" s="50"/>
      <c r="AC104" s="56" t="str">
        <f>IF(Table1[[#This Row],[Auto Order]]=1,IF(Table1[[#This Row],[In stock]]&lt;Table1[[#This Row],[Min in stock]],1,""),"")</f>
        <v/>
      </c>
    </row>
    <row r="105" spans="1:29" x14ac:dyDescent="0.25">
      <c r="A105" s="60" t="s">
        <v>3239</v>
      </c>
      <c r="B105" s="34" t="s">
        <v>251</v>
      </c>
      <c r="C105" s="34" t="s">
        <v>352</v>
      </c>
      <c r="D105" s="34" t="s">
        <v>3240</v>
      </c>
      <c r="E105" s="34" t="s">
        <v>559</v>
      </c>
      <c r="F105" s="53">
        <v>0</v>
      </c>
      <c r="G105" s="53"/>
      <c r="H105" s="53"/>
      <c r="I10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541-22.0UCT-ND</v>
      </c>
      <c r="J10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0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05" s="34" t="s">
        <v>3238</v>
      </c>
      <c r="M105" s="42">
        <v>0.48</v>
      </c>
      <c r="N105" s="34"/>
      <c r="O105" s="42"/>
      <c r="P105" s="34"/>
      <c r="Q105" s="42"/>
      <c r="R105" s="34"/>
      <c r="S105" s="42"/>
      <c r="T105" s="34"/>
      <c r="U105" s="42"/>
      <c r="V105" s="34"/>
      <c r="W105" s="42"/>
      <c r="X105" s="34"/>
      <c r="Y105" s="42"/>
      <c r="Z105" s="42"/>
      <c r="AA105" s="36"/>
      <c r="AB105" s="50"/>
      <c r="AC105" s="56" t="str">
        <f>IF(Table1[[#This Row],[Auto Order]]=1,IF(Table1[[#This Row],[In stock]]&lt;Table1[[#This Row],[Min in stock]],1,""),"")</f>
        <v/>
      </c>
    </row>
    <row r="106" spans="1:29" x14ac:dyDescent="0.25">
      <c r="A106" s="60" t="s">
        <v>3218</v>
      </c>
      <c r="B106" s="34" t="s">
        <v>251</v>
      </c>
      <c r="C106" s="34" t="s">
        <v>352</v>
      </c>
      <c r="D106" s="34" t="s">
        <v>3219</v>
      </c>
      <c r="E106" s="34" t="s">
        <v>559</v>
      </c>
      <c r="F106" s="53">
        <v>0</v>
      </c>
      <c r="G106" s="53"/>
      <c r="H106" s="53"/>
      <c r="I10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541-22UACT-ND</v>
      </c>
      <c r="J10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0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06" s="34" t="s">
        <v>3217</v>
      </c>
      <c r="M106" s="42">
        <v>0.42</v>
      </c>
      <c r="N106" s="34"/>
      <c r="O106" s="42"/>
      <c r="P106" s="34"/>
      <c r="Q106" s="42"/>
      <c r="R106" s="34"/>
      <c r="S106" s="42"/>
      <c r="T106" s="34"/>
      <c r="U106" s="42"/>
      <c r="V106" s="34"/>
      <c r="W106" s="42"/>
      <c r="X106" s="34"/>
      <c r="Y106" s="42"/>
      <c r="Z106" s="42"/>
      <c r="AA106" s="36"/>
      <c r="AB106" s="50"/>
      <c r="AC106" s="56" t="str">
        <f>IF(Table1[[#This Row],[Auto Order]]=1,IF(Table1[[#This Row],[In stock]]&lt;Table1[[#This Row],[Min in stock]],1,""),"")</f>
        <v/>
      </c>
    </row>
    <row r="107" spans="1:29" x14ac:dyDescent="0.25">
      <c r="A107" s="60" t="s">
        <v>3155</v>
      </c>
      <c r="B107" s="34" t="s">
        <v>251</v>
      </c>
      <c r="C107" s="34" t="s">
        <v>352</v>
      </c>
      <c r="D107" s="34" t="s">
        <v>3156</v>
      </c>
      <c r="E107" s="34" t="s">
        <v>559</v>
      </c>
      <c r="F107" s="53">
        <v>0</v>
      </c>
      <c r="G107" s="53"/>
      <c r="H107" s="53"/>
      <c r="I10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541-220UCT-ND</v>
      </c>
      <c r="J10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0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07" s="34" t="s">
        <v>3154</v>
      </c>
      <c r="M107" s="42">
        <v>0.48</v>
      </c>
      <c r="N107" s="34"/>
      <c r="O107" s="42"/>
      <c r="P107" s="34"/>
      <c r="Q107" s="42"/>
      <c r="R107" s="34"/>
      <c r="S107" s="42"/>
      <c r="T107" s="34"/>
      <c r="U107" s="42"/>
      <c r="V107" s="34"/>
      <c r="W107" s="42"/>
      <c r="X107" s="34"/>
      <c r="Y107" s="42"/>
      <c r="Z107" s="42"/>
      <c r="AA107" s="36"/>
      <c r="AB107" s="50"/>
      <c r="AC107" s="56" t="str">
        <f>IF(Table1[[#This Row],[Auto Order]]=1,IF(Table1[[#This Row],[In stock]]&lt;Table1[[#This Row],[Min in stock]],1,""),"")</f>
        <v/>
      </c>
    </row>
    <row r="108" spans="1:29" x14ac:dyDescent="0.25">
      <c r="A108" s="60" t="s">
        <v>3215</v>
      </c>
      <c r="B108" s="34" t="s">
        <v>251</v>
      </c>
      <c r="C108" s="34" t="s">
        <v>352</v>
      </c>
      <c r="D108" s="34" t="s">
        <v>3216</v>
      </c>
      <c r="E108" s="34" t="s">
        <v>559</v>
      </c>
      <c r="F108" s="53">
        <v>0</v>
      </c>
      <c r="G108" s="53"/>
      <c r="H108" s="53"/>
      <c r="I10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541-220UACT-ND</v>
      </c>
      <c r="J10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0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08" s="34" t="s">
        <v>3214</v>
      </c>
      <c r="M108" s="42">
        <v>0.42</v>
      </c>
      <c r="N108" s="34"/>
      <c r="O108" s="42"/>
      <c r="P108" s="34"/>
      <c r="Q108" s="42"/>
      <c r="R108" s="34"/>
      <c r="S108" s="42"/>
      <c r="T108" s="34"/>
      <c r="U108" s="42"/>
      <c r="V108" s="34"/>
      <c r="W108" s="42"/>
      <c r="X108" s="34"/>
      <c r="Y108" s="42"/>
      <c r="Z108" s="42"/>
      <c r="AA108" s="36"/>
      <c r="AB108" s="50"/>
      <c r="AC108" s="56" t="str">
        <f>IF(Table1[[#This Row],[Auto Order]]=1,IF(Table1[[#This Row],[In stock]]&lt;Table1[[#This Row],[Min in stock]],1,""),"")</f>
        <v/>
      </c>
    </row>
    <row r="109" spans="1:29" x14ac:dyDescent="0.25">
      <c r="A109" s="60" t="s">
        <v>3263</v>
      </c>
      <c r="B109" s="34" t="s">
        <v>251</v>
      </c>
      <c r="C109" s="34" t="s">
        <v>352</v>
      </c>
      <c r="D109" s="34" t="s">
        <v>3264</v>
      </c>
      <c r="E109" s="34" t="s">
        <v>559</v>
      </c>
      <c r="F109" s="53">
        <v>0</v>
      </c>
      <c r="G109" s="53"/>
      <c r="H109" s="53"/>
      <c r="I10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541-240UACT-ND</v>
      </c>
      <c r="J10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0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09" s="34" t="s">
        <v>3262</v>
      </c>
      <c r="M109" s="42">
        <v>0.42</v>
      </c>
      <c r="N109" s="34"/>
      <c r="O109" s="42"/>
      <c r="P109" s="34"/>
      <c r="Q109" s="42"/>
      <c r="R109" s="34"/>
      <c r="S109" s="42"/>
      <c r="T109" s="34"/>
      <c r="U109" s="42"/>
      <c r="V109" s="34"/>
      <c r="W109" s="42"/>
      <c r="X109" s="34"/>
      <c r="Y109" s="42"/>
      <c r="Z109" s="42"/>
      <c r="AA109" s="36"/>
      <c r="AB109" s="50"/>
      <c r="AC109" s="56" t="str">
        <f>IF(Table1[[#This Row],[Auto Order]]=1,IF(Table1[[#This Row],[In stock]]&lt;Table1[[#This Row],[Min in stock]],1,""),"")</f>
        <v/>
      </c>
    </row>
    <row r="110" spans="1:29" x14ac:dyDescent="0.25">
      <c r="A110" s="60" t="s">
        <v>3161</v>
      </c>
      <c r="B110" s="34" t="s">
        <v>251</v>
      </c>
      <c r="C110" s="34" t="s">
        <v>352</v>
      </c>
      <c r="D110" s="34" t="s">
        <v>3162</v>
      </c>
      <c r="E110" s="34" t="s">
        <v>559</v>
      </c>
      <c r="F110" s="53">
        <v>0</v>
      </c>
      <c r="G110" s="53"/>
      <c r="H110" s="53"/>
      <c r="I11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541-270UCT-ND</v>
      </c>
      <c r="J11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1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10" s="34" t="s">
        <v>3160</v>
      </c>
      <c r="M110" s="42">
        <v>0.48</v>
      </c>
      <c r="N110" s="34"/>
      <c r="O110" s="42"/>
      <c r="P110" s="34"/>
      <c r="Q110" s="42"/>
      <c r="R110" s="34"/>
      <c r="S110" s="42"/>
      <c r="T110" s="34"/>
      <c r="U110" s="42"/>
      <c r="V110" s="34"/>
      <c r="W110" s="42"/>
      <c r="X110" s="34"/>
      <c r="Y110" s="42"/>
      <c r="Z110" s="42"/>
      <c r="AA110" s="36"/>
      <c r="AB110" s="50"/>
      <c r="AC110" s="56" t="str">
        <f>IF(Table1[[#This Row],[Auto Order]]=1,IF(Table1[[#This Row],[In stock]]&lt;Table1[[#This Row],[Min in stock]],1,""),"")</f>
        <v/>
      </c>
    </row>
    <row r="111" spans="1:29" x14ac:dyDescent="0.25">
      <c r="A111" s="60" t="s">
        <v>3383</v>
      </c>
      <c r="B111" s="34" t="s">
        <v>251</v>
      </c>
      <c r="C111" s="34" t="s">
        <v>352</v>
      </c>
      <c r="D111" s="34" t="s">
        <v>3384</v>
      </c>
      <c r="E111" s="34" t="s">
        <v>559</v>
      </c>
      <c r="F111" s="53">
        <v>0</v>
      </c>
      <c r="G111" s="53"/>
      <c r="H111" s="53"/>
      <c r="I11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541-294UCT-ND</v>
      </c>
      <c r="J11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1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11" s="34" t="s">
        <v>3382</v>
      </c>
      <c r="M111" s="42">
        <v>0.48</v>
      </c>
      <c r="N111" s="34"/>
      <c r="O111" s="42"/>
      <c r="P111" s="34"/>
      <c r="Q111" s="42"/>
      <c r="R111" s="34"/>
      <c r="S111" s="42"/>
      <c r="T111" s="34"/>
      <c r="U111" s="42"/>
      <c r="V111" s="34"/>
      <c r="W111" s="42"/>
      <c r="X111" s="34"/>
      <c r="Y111" s="42"/>
      <c r="Z111" s="42"/>
      <c r="AA111" s="36"/>
      <c r="AB111" s="50"/>
      <c r="AC111" s="56" t="str">
        <f>IF(Table1[[#This Row],[Auto Order]]=1,IF(Table1[[#This Row],[In stock]]&lt;Table1[[#This Row],[Min in stock]],1,""),"")</f>
        <v/>
      </c>
    </row>
    <row r="112" spans="1:29" x14ac:dyDescent="0.25">
      <c r="A112" s="60" t="s">
        <v>3200</v>
      </c>
      <c r="B112" s="34" t="s">
        <v>251</v>
      </c>
      <c r="C112" s="34" t="s">
        <v>352</v>
      </c>
      <c r="D112" s="34" t="s">
        <v>3201</v>
      </c>
      <c r="E112" s="34" t="s">
        <v>559</v>
      </c>
      <c r="F112" s="53">
        <v>0</v>
      </c>
      <c r="G112" s="53"/>
      <c r="H112" s="53"/>
      <c r="I11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541-3.01UCT-ND</v>
      </c>
      <c r="J11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0.47</v>
      </c>
      <c r="K11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12" s="34" t="s">
        <v>3199</v>
      </c>
      <c r="M112" s="42">
        <v>0.47</v>
      </c>
      <c r="N112" s="34"/>
      <c r="O112" s="42"/>
      <c r="P112" s="34"/>
      <c r="Q112" s="42"/>
      <c r="R112" s="34"/>
      <c r="S112" s="42"/>
      <c r="T112" s="34"/>
      <c r="U112" s="42"/>
      <c r="V112" s="34"/>
      <c r="W112" s="42"/>
      <c r="X112" s="34"/>
      <c r="Y112" s="42"/>
      <c r="Z112" s="42"/>
      <c r="AA112" s="36"/>
      <c r="AB112" s="50"/>
      <c r="AC112" s="56" t="str">
        <f>IF(Table1[[#This Row],[Auto Order]]=1,IF(Table1[[#This Row],[In stock]]&lt;Table1[[#This Row],[Min in stock]],1,""),"")</f>
        <v/>
      </c>
    </row>
    <row r="113" spans="1:29" x14ac:dyDescent="0.25">
      <c r="A113" s="60" t="s">
        <v>3257</v>
      </c>
      <c r="B113" s="34" t="s">
        <v>251</v>
      </c>
      <c r="C113" s="34" t="s">
        <v>352</v>
      </c>
      <c r="D113" s="34" t="s">
        <v>3258</v>
      </c>
      <c r="E113" s="34" t="s">
        <v>559</v>
      </c>
      <c r="F113" s="53">
        <v>0</v>
      </c>
      <c r="G113" s="53"/>
      <c r="H113" s="53"/>
      <c r="I11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541-3238-1-ND</v>
      </c>
      <c r="J11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0.47</v>
      </c>
      <c r="K11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13" s="34" t="s">
        <v>3256</v>
      </c>
      <c r="M113" s="42">
        <v>0.47</v>
      </c>
      <c r="N113" s="34"/>
      <c r="O113" s="42"/>
      <c r="P113" s="34"/>
      <c r="Q113" s="42"/>
      <c r="R113" s="34"/>
      <c r="S113" s="42"/>
      <c r="T113" s="34"/>
      <c r="U113" s="42"/>
      <c r="V113" s="34"/>
      <c r="W113" s="42"/>
      <c r="X113" s="34"/>
      <c r="Y113" s="42"/>
      <c r="Z113" s="42"/>
      <c r="AA113" s="36"/>
      <c r="AB113" s="50"/>
      <c r="AC113" s="56" t="str">
        <f>IF(Table1[[#This Row],[Auto Order]]=1,IF(Table1[[#This Row],[In stock]]&lt;Table1[[#This Row],[Min in stock]],1,""),"")</f>
        <v/>
      </c>
    </row>
    <row r="114" spans="1:29" x14ac:dyDescent="0.25">
      <c r="A114" s="60" t="s">
        <v>3203</v>
      </c>
      <c r="B114" s="34" t="s">
        <v>251</v>
      </c>
      <c r="C114" s="34" t="s">
        <v>352</v>
      </c>
      <c r="D114" s="34" t="s">
        <v>3204</v>
      </c>
      <c r="E114" s="34" t="s">
        <v>559</v>
      </c>
      <c r="F114" s="53">
        <v>0</v>
      </c>
      <c r="G114" s="53"/>
      <c r="H114" s="53"/>
      <c r="I11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541-3.30UCT-ND</v>
      </c>
      <c r="J11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0.47</v>
      </c>
      <c r="K11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14" s="34" t="s">
        <v>3202</v>
      </c>
      <c r="M114" s="42">
        <v>0.47</v>
      </c>
      <c r="N114" s="34"/>
      <c r="O114" s="42"/>
      <c r="P114" s="34"/>
      <c r="Q114" s="42"/>
      <c r="R114" s="34"/>
      <c r="S114" s="42"/>
      <c r="T114" s="34"/>
      <c r="U114" s="42"/>
      <c r="V114" s="34"/>
      <c r="W114" s="42"/>
      <c r="X114" s="34"/>
      <c r="Y114" s="42"/>
      <c r="Z114" s="42"/>
      <c r="AA114" s="36"/>
      <c r="AB114" s="50"/>
      <c r="AC114" s="56" t="str">
        <f>IF(Table1[[#This Row],[Auto Order]]=1,IF(Table1[[#This Row],[In stock]]&lt;Table1[[#This Row],[Min in stock]],1,""),"")</f>
        <v/>
      </c>
    </row>
    <row r="115" spans="1:29" x14ac:dyDescent="0.25">
      <c r="A115" s="60" t="s">
        <v>3209</v>
      </c>
      <c r="B115" s="34" t="s">
        <v>251</v>
      </c>
      <c r="C115" s="34" t="s">
        <v>352</v>
      </c>
      <c r="D115" s="34" t="s">
        <v>3210</v>
      </c>
      <c r="E115" s="34" t="s">
        <v>559</v>
      </c>
      <c r="F115" s="53">
        <v>0</v>
      </c>
      <c r="G115" s="53"/>
      <c r="H115" s="53"/>
      <c r="I11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541-3.40UCT-ND</v>
      </c>
      <c r="J11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0.47</v>
      </c>
      <c r="K11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15" s="34" t="s">
        <v>3208</v>
      </c>
      <c r="M115" s="42">
        <v>0.47</v>
      </c>
      <c r="N115" s="34"/>
      <c r="O115" s="42"/>
      <c r="P115" s="34"/>
      <c r="Q115" s="42"/>
      <c r="R115" s="34"/>
      <c r="S115" s="42"/>
      <c r="T115" s="34"/>
      <c r="U115" s="42"/>
      <c r="V115" s="34"/>
      <c r="W115" s="42"/>
      <c r="X115" s="34"/>
      <c r="Y115" s="42"/>
      <c r="Z115" s="42"/>
      <c r="AA115" s="36"/>
      <c r="AB115" s="50"/>
      <c r="AC115" s="56" t="str">
        <f>IF(Table1[[#This Row],[Auto Order]]=1,IF(Table1[[#This Row],[In stock]]&lt;Table1[[#This Row],[Min in stock]],1,""),"")</f>
        <v/>
      </c>
    </row>
    <row r="116" spans="1:29" x14ac:dyDescent="0.25">
      <c r="A116" s="60" t="s">
        <v>3284</v>
      </c>
      <c r="B116" s="34" t="s">
        <v>251</v>
      </c>
      <c r="C116" s="34" t="s">
        <v>352</v>
      </c>
      <c r="D116" s="34" t="s">
        <v>3285</v>
      </c>
      <c r="E116" s="34" t="s">
        <v>559</v>
      </c>
      <c r="F116" s="53">
        <v>0</v>
      </c>
      <c r="G116" s="53">
        <v>5</v>
      </c>
      <c r="H116" s="53">
        <v>1</v>
      </c>
      <c r="I11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541-3.9UACT-ND</v>
      </c>
      <c r="J11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0.44</v>
      </c>
      <c r="K11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16" s="34" t="s">
        <v>3283</v>
      </c>
      <c r="M116" s="42">
        <v>0.44</v>
      </c>
      <c r="N116" s="34"/>
      <c r="O116" s="42"/>
      <c r="P116" s="34"/>
      <c r="Q116" s="42"/>
      <c r="R116" s="34"/>
      <c r="S116" s="42"/>
      <c r="T116" s="34"/>
      <c r="U116" s="42"/>
      <c r="V116" s="34"/>
      <c r="W116" s="42"/>
      <c r="X116" s="34"/>
      <c r="Y116" s="42"/>
      <c r="Z116" s="42"/>
      <c r="AA116" s="36"/>
      <c r="AB116" s="50"/>
      <c r="AC116" s="56">
        <f>IF(Table1[[#This Row],[Auto Order]]=1,IF(Table1[[#This Row],[In stock]]&lt;Table1[[#This Row],[Min in stock]],1,""),"")</f>
        <v>1</v>
      </c>
    </row>
    <row r="117" spans="1:29" x14ac:dyDescent="0.25">
      <c r="A117" s="60" t="s">
        <v>3281</v>
      </c>
      <c r="B117" s="34" t="s">
        <v>251</v>
      </c>
      <c r="C117" s="34" t="s">
        <v>352</v>
      </c>
      <c r="D117" s="34" t="s">
        <v>3282</v>
      </c>
      <c r="E117" s="34" t="s">
        <v>559</v>
      </c>
      <c r="F117" s="53">
        <v>0</v>
      </c>
      <c r="G117" s="53"/>
      <c r="H117" s="53"/>
      <c r="I11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541-300UACT-ND</v>
      </c>
      <c r="J11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1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17" s="34" t="s">
        <v>3280</v>
      </c>
      <c r="M117" s="42">
        <v>0.42</v>
      </c>
      <c r="N117" s="34"/>
      <c r="O117" s="42"/>
      <c r="P117" s="34"/>
      <c r="Q117" s="42"/>
      <c r="R117" s="34"/>
      <c r="S117" s="42"/>
      <c r="T117" s="34"/>
      <c r="U117" s="42"/>
      <c r="V117" s="34"/>
      <c r="W117" s="42"/>
      <c r="X117" s="34"/>
      <c r="Y117" s="42"/>
      <c r="Z117" s="42"/>
      <c r="AA117" s="36"/>
      <c r="AB117" s="50"/>
      <c r="AC117" s="56" t="str">
        <f>IF(Table1[[#This Row],[Auto Order]]=1,IF(Table1[[#This Row],[In stock]]&lt;Table1[[#This Row],[Min in stock]],1,""),"")</f>
        <v/>
      </c>
    </row>
    <row r="118" spans="1:29" x14ac:dyDescent="0.25">
      <c r="A118" s="60" t="s">
        <v>3317</v>
      </c>
      <c r="B118" s="34" t="s">
        <v>251</v>
      </c>
      <c r="C118" s="34" t="s">
        <v>352</v>
      </c>
      <c r="D118" s="34" t="s">
        <v>3318</v>
      </c>
      <c r="E118" s="34" t="s">
        <v>559</v>
      </c>
      <c r="F118" s="53">
        <v>0</v>
      </c>
      <c r="G118" s="53"/>
      <c r="H118" s="53"/>
      <c r="I11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541-33.0UCT-ND</v>
      </c>
      <c r="J11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1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18" s="34" t="s">
        <v>3316</v>
      </c>
      <c r="M118" s="42">
        <v>0.48</v>
      </c>
      <c r="N118" s="34"/>
      <c r="O118" s="42"/>
      <c r="P118" s="34"/>
      <c r="Q118" s="42"/>
      <c r="R118" s="34"/>
      <c r="S118" s="42"/>
      <c r="T118" s="34"/>
      <c r="U118" s="42"/>
      <c r="V118" s="34"/>
      <c r="W118" s="42"/>
      <c r="X118" s="34"/>
      <c r="Y118" s="42"/>
      <c r="Z118" s="42"/>
      <c r="AA118" s="36"/>
      <c r="AB118" s="50"/>
      <c r="AC118" s="56" t="str">
        <f>IF(Table1[[#This Row],[Auto Order]]=1,IF(Table1[[#This Row],[In stock]]&lt;Table1[[#This Row],[Min in stock]],1,""),"")</f>
        <v/>
      </c>
    </row>
    <row r="119" spans="1:29" x14ac:dyDescent="0.25">
      <c r="A119" s="60" t="s">
        <v>3164</v>
      </c>
      <c r="B119" s="34" t="s">
        <v>251</v>
      </c>
      <c r="C119" s="34" t="s">
        <v>352</v>
      </c>
      <c r="D119" s="34" t="s">
        <v>3165</v>
      </c>
      <c r="E119" s="34" t="s">
        <v>559</v>
      </c>
      <c r="F119" s="53">
        <v>0</v>
      </c>
      <c r="G119" s="53"/>
      <c r="H119" s="53"/>
      <c r="I11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541-330UCT-ND</v>
      </c>
      <c r="J11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1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19" s="34" t="s">
        <v>3163</v>
      </c>
      <c r="M119" s="42">
        <v>0.48</v>
      </c>
      <c r="N119" s="34"/>
      <c r="O119" s="42"/>
      <c r="P119" s="34"/>
      <c r="Q119" s="42"/>
      <c r="R119" s="34"/>
      <c r="S119" s="42"/>
      <c r="T119" s="34"/>
      <c r="U119" s="42"/>
      <c r="V119" s="34"/>
      <c r="W119" s="42"/>
      <c r="X119" s="34"/>
      <c r="Y119" s="42"/>
      <c r="Z119" s="42"/>
      <c r="AA119" s="36"/>
      <c r="AB119" s="50"/>
      <c r="AC119" s="56" t="str">
        <f>IF(Table1[[#This Row],[Auto Order]]=1,IF(Table1[[#This Row],[In stock]]&lt;Table1[[#This Row],[Min in stock]],1,""),"")</f>
        <v/>
      </c>
    </row>
    <row r="120" spans="1:29" x14ac:dyDescent="0.25">
      <c r="A120" s="60" t="s">
        <v>3272</v>
      </c>
      <c r="B120" s="34" t="s">
        <v>251</v>
      </c>
      <c r="C120" s="34" t="s">
        <v>352</v>
      </c>
      <c r="D120" s="34" t="s">
        <v>3273</v>
      </c>
      <c r="E120" s="34" t="s">
        <v>559</v>
      </c>
      <c r="F120" s="53">
        <v>0</v>
      </c>
      <c r="G120" s="53"/>
      <c r="H120" s="53"/>
      <c r="I12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541-330UACT-ND</v>
      </c>
      <c r="J12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2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20" s="34" t="s">
        <v>3271</v>
      </c>
      <c r="M120" s="42">
        <v>0.42</v>
      </c>
      <c r="N120" s="34"/>
      <c r="O120" s="42"/>
      <c r="P120" s="34"/>
      <c r="Q120" s="42"/>
      <c r="R120" s="34"/>
      <c r="S120" s="42"/>
      <c r="T120" s="34"/>
      <c r="U120" s="42"/>
      <c r="V120" s="34"/>
      <c r="W120" s="42"/>
      <c r="X120" s="34"/>
      <c r="Y120" s="42"/>
      <c r="Z120" s="42"/>
      <c r="AA120" s="36"/>
      <c r="AB120" s="50"/>
      <c r="AC120" s="56" t="str">
        <f>IF(Table1[[#This Row],[Auto Order]]=1,IF(Table1[[#This Row],[In stock]]&lt;Table1[[#This Row],[Min in stock]],1,""),"")</f>
        <v/>
      </c>
    </row>
    <row r="121" spans="1:29" x14ac:dyDescent="0.25">
      <c r="A121" s="60" t="s">
        <v>3242</v>
      </c>
      <c r="B121" s="34" t="s">
        <v>251</v>
      </c>
      <c r="C121" s="34" t="s">
        <v>352</v>
      </c>
      <c r="D121" s="34" t="s">
        <v>3243</v>
      </c>
      <c r="E121" s="34" t="s">
        <v>559</v>
      </c>
      <c r="F121" s="53">
        <v>0</v>
      </c>
      <c r="G121" s="53"/>
      <c r="H121" s="53"/>
      <c r="I12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541-332UCT-ND</v>
      </c>
      <c r="J12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2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21" s="34" t="s">
        <v>3241</v>
      </c>
      <c r="M121" s="42">
        <v>0.48</v>
      </c>
      <c r="N121" s="34"/>
      <c r="O121" s="42"/>
      <c r="P121" s="34"/>
      <c r="Q121" s="42"/>
      <c r="R121" s="34"/>
      <c r="S121" s="42"/>
      <c r="T121" s="34"/>
      <c r="U121" s="42"/>
      <c r="V121" s="34"/>
      <c r="W121" s="42"/>
      <c r="X121" s="34"/>
      <c r="Y121" s="42"/>
      <c r="Z121" s="42"/>
      <c r="AA121" s="36"/>
      <c r="AB121" s="50"/>
      <c r="AC121" s="56" t="str">
        <f>IF(Table1[[#This Row],[Auto Order]]=1,IF(Table1[[#This Row],[In stock]]&lt;Table1[[#This Row],[Min in stock]],1,""),"")</f>
        <v/>
      </c>
    </row>
    <row r="122" spans="1:29" x14ac:dyDescent="0.25">
      <c r="A122" s="60" t="s">
        <v>3365</v>
      </c>
      <c r="B122" s="34" t="s">
        <v>251</v>
      </c>
      <c r="C122" s="34" t="s">
        <v>352</v>
      </c>
      <c r="D122" s="34" t="s">
        <v>3366</v>
      </c>
      <c r="E122" s="34" t="s">
        <v>559</v>
      </c>
      <c r="F122" s="53">
        <v>0</v>
      </c>
      <c r="G122" s="53"/>
      <c r="H122" s="53"/>
      <c r="I12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541-348UCT-ND</v>
      </c>
      <c r="J12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2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22" s="34" t="s">
        <v>3364</v>
      </c>
      <c r="M122" s="42">
        <v>0.48</v>
      </c>
      <c r="N122" s="34"/>
      <c r="O122" s="42"/>
      <c r="P122" s="34"/>
      <c r="Q122" s="42"/>
      <c r="R122" s="34"/>
      <c r="S122" s="42"/>
      <c r="T122" s="34"/>
      <c r="U122" s="42"/>
      <c r="V122" s="34"/>
      <c r="W122" s="42"/>
      <c r="X122" s="34"/>
      <c r="Y122" s="42"/>
      <c r="Z122" s="42"/>
      <c r="AA122" s="36"/>
      <c r="AB122" s="50"/>
      <c r="AC122" s="56" t="str">
        <f>IF(Table1[[#This Row],[Auto Order]]=1,IF(Table1[[#This Row],[In stock]]&lt;Table1[[#This Row],[Min in stock]],1,""),"")</f>
        <v/>
      </c>
    </row>
    <row r="123" spans="1:29" x14ac:dyDescent="0.25">
      <c r="A123" s="60" t="s">
        <v>3296</v>
      </c>
      <c r="B123" s="34" t="s">
        <v>251</v>
      </c>
      <c r="C123" s="34" t="s">
        <v>352</v>
      </c>
      <c r="D123" s="34" t="s">
        <v>3297</v>
      </c>
      <c r="E123" s="34" t="s">
        <v>559</v>
      </c>
      <c r="F123" s="53">
        <v>0</v>
      </c>
      <c r="G123" s="53"/>
      <c r="H123" s="53"/>
      <c r="I12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541-37.4UCT-ND</v>
      </c>
      <c r="J12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2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23" s="34" t="s">
        <v>3295</v>
      </c>
      <c r="M123" s="42">
        <v>0.48</v>
      </c>
      <c r="N123" s="34"/>
      <c r="O123" s="42"/>
      <c r="P123" s="34"/>
      <c r="Q123" s="42"/>
      <c r="R123" s="34"/>
      <c r="S123" s="42"/>
      <c r="T123" s="34"/>
      <c r="U123" s="42"/>
      <c r="V123" s="34"/>
      <c r="W123" s="42"/>
      <c r="X123" s="34"/>
      <c r="Y123" s="42"/>
      <c r="Z123" s="42"/>
      <c r="AA123" s="36"/>
      <c r="AB123" s="50"/>
      <c r="AC123" s="56" t="str">
        <f>IF(Table1[[#This Row],[Auto Order]]=1,IF(Table1[[#This Row],[In stock]]&lt;Table1[[#This Row],[Min in stock]],1,""),"")</f>
        <v/>
      </c>
    </row>
    <row r="124" spans="1:29" x14ac:dyDescent="0.25">
      <c r="A124" s="60" t="s">
        <v>3227</v>
      </c>
      <c r="B124" s="34" t="s">
        <v>251</v>
      </c>
      <c r="C124" s="34" t="s">
        <v>352</v>
      </c>
      <c r="D124" s="34" t="s">
        <v>3228</v>
      </c>
      <c r="E124" s="34" t="s">
        <v>559</v>
      </c>
      <c r="F124" s="53">
        <v>0</v>
      </c>
      <c r="G124" s="53"/>
      <c r="H124" s="53"/>
      <c r="I12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541-39UACT-ND</v>
      </c>
      <c r="J12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2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24" s="34" t="s">
        <v>3226</v>
      </c>
      <c r="M124" s="42">
        <v>0.42</v>
      </c>
      <c r="N124" s="34"/>
      <c r="O124" s="42"/>
      <c r="P124" s="34"/>
      <c r="Q124" s="42"/>
      <c r="R124" s="34"/>
      <c r="S124" s="42"/>
      <c r="T124" s="34"/>
      <c r="U124" s="42"/>
      <c r="V124" s="34"/>
      <c r="W124" s="42"/>
      <c r="X124" s="34"/>
      <c r="Y124" s="42"/>
      <c r="Z124" s="42"/>
      <c r="AA124" s="36"/>
      <c r="AB124" s="50"/>
      <c r="AC124" s="56" t="str">
        <f>IF(Table1[[#This Row],[Auto Order]]=1,IF(Table1[[#This Row],[In stock]]&lt;Table1[[#This Row],[Min in stock]],1,""),"")</f>
        <v/>
      </c>
    </row>
    <row r="125" spans="1:29" x14ac:dyDescent="0.25">
      <c r="A125" s="60" t="s">
        <v>3380</v>
      </c>
      <c r="B125" s="34" t="s">
        <v>251</v>
      </c>
      <c r="C125" s="34" t="s">
        <v>352</v>
      </c>
      <c r="D125" s="34" t="s">
        <v>3381</v>
      </c>
      <c r="E125" s="34" t="s">
        <v>559</v>
      </c>
      <c r="F125" s="53">
        <v>0</v>
      </c>
      <c r="G125" s="53"/>
      <c r="H125" s="53"/>
      <c r="I12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541-390UACT-ND</v>
      </c>
      <c r="J12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2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25" s="34" t="s">
        <v>3379</v>
      </c>
      <c r="M125" s="42">
        <v>0.42</v>
      </c>
      <c r="N125" s="34"/>
      <c r="O125" s="42"/>
      <c r="P125" s="34"/>
      <c r="Q125" s="42"/>
      <c r="R125" s="34"/>
      <c r="S125" s="42"/>
      <c r="T125" s="34"/>
      <c r="U125" s="42"/>
      <c r="V125" s="34"/>
      <c r="W125" s="42"/>
      <c r="X125" s="34"/>
      <c r="Y125" s="42"/>
      <c r="Z125" s="42"/>
      <c r="AA125" s="36"/>
      <c r="AB125" s="50"/>
      <c r="AC125" s="56" t="str">
        <f>IF(Table1[[#This Row],[Auto Order]]=1,IF(Table1[[#This Row],[In stock]]&lt;Table1[[#This Row],[Min in stock]],1,""),"")</f>
        <v/>
      </c>
    </row>
    <row r="126" spans="1:29" x14ac:dyDescent="0.25">
      <c r="A126" s="60" t="s">
        <v>3194</v>
      </c>
      <c r="B126" s="34" t="s">
        <v>251</v>
      </c>
      <c r="C126" s="34" t="s">
        <v>352</v>
      </c>
      <c r="D126" s="34" t="s">
        <v>3195</v>
      </c>
      <c r="E126" s="34" t="s">
        <v>559</v>
      </c>
      <c r="F126" s="53">
        <v>0</v>
      </c>
      <c r="G126" s="53"/>
      <c r="H126" s="53"/>
      <c r="I12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541-4.70UCT-ND</v>
      </c>
      <c r="J12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0.47</v>
      </c>
      <c r="K12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26" s="34" t="s">
        <v>3193</v>
      </c>
      <c r="M126" s="42">
        <v>0.47</v>
      </c>
      <c r="N126" s="34"/>
      <c r="O126" s="42"/>
      <c r="P126" s="34"/>
      <c r="Q126" s="42"/>
      <c r="R126" s="34"/>
      <c r="S126" s="42"/>
      <c r="T126" s="34"/>
      <c r="U126" s="42"/>
      <c r="V126" s="34"/>
      <c r="W126" s="42"/>
      <c r="X126" s="34"/>
      <c r="Y126" s="42"/>
      <c r="Z126" s="42"/>
      <c r="AA126" s="36"/>
      <c r="AB126" s="50"/>
      <c r="AC126" s="56" t="str">
        <f>IF(Table1[[#This Row],[Auto Order]]=1,IF(Table1[[#This Row],[In stock]]&lt;Table1[[#This Row],[Min in stock]],1,""),"")</f>
        <v/>
      </c>
    </row>
    <row r="127" spans="1:29" x14ac:dyDescent="0.25">
      <c r="A127" s="60" t="s">
        <v>3188</v>
      </c>
      <c r="B127" s="34" t="s">
        <v>251</v>
      </c>
      <c r="C127" s="34" t="s">
        <v>352</v>
      </c>
      <c r="D127" s="34" t="s">
        <v>3189</v>
      </c>
      <c r="E127" s="34" t="s">
        <v>559</v>
      </c>
      <c r="F127" s="53">
        <v>0</v>
      </c>
      <c r="G127" s="53">
        <v>5</v>
      </c>
      <c r="H127" s="53">
        <v>1</v>
      </c>
      <c r="I12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541-4.7UACT-ND</v>
      </c>
      <c r="J12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0.44</v>
      </c>
      <c r="K12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27" s="34" t="s">
        <v>3187</v>
      </c>
      <c r="M127" s="42">
        <v>0.44</v>
      </c>
      <c r="N127" s="34"/>
      <c r="O127" s="42"/>
      <c r="P127" s="34"/>
      <c r="Q127" s="42"/>
      <c r="R127" s="34"/>
      <c r="S127" s="42"/>
      <c r="T127" s="34"/>
      <c r="U127" s="42"/>
      <c r="V127" s="34"/>
      <c r="W127" s="42"/>
      <c r="X127" s="34"/>
      <c r="Y127" s="42"/>
      <c r="Z127" s="42"/>
      <c r="AA127" s="36"/>
      <c r="AB127" s="50"/>
      <c r="AC127" s="56">
        <f>IF(Table1[[#This Row],[Auto Order]]=1,IF(Table1[[#This Row],[In stock]]&lt;Table1[[#This Row],[Min in stock]],1,""),"")</f>
        <v>1</v>
      </c>
    </row>
    <row r="128" spans="1:29" x14ac:dyDescent="0.25">
      <c r="A128" s="60" t="s">
        <v>3206</v>
      </c>
      <c r="B128" s="34" t="s">
        <v>251</v>
      </c>
      <c r="C128" s="34" t="s">
        <v>352</v>
      </c>
      <c r="D128" s="34" t="s">
        <v>3207</v>
      </c>
      <c r="E128" s="34" t="s">
        <v>559</v>
      </c>
      <c r="F128" s="53">
        <v>0</v>
      </c>
      <c r="G128" s="53"/>
      <c r="H128" s="53"/>
      <c r="I12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541-4.99UCT-ND</v>
      </c>
      <c r="J12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0.47</v>
      </c>
      <c r="K12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28" s="34" t="s">
        <v>3205</v>
      </c>
      <c r="M128" s="42">
        <v>0.47</v>
      </c>
      <c r="N128" s="34"/>
      <c r="O128" s="42"/>
      <c r="P128" s="34"/>
      <c r="Q128" s="42"/>
      <c r="R128" s="34"/>
      <c r="S128" s="42"/>
      <c r="T128" s="34"/>
      <c r="U128" s="42"/>
      <c r="V128" s="34"/>
      <c r="W128" s="42"/>
      <c r="X128" s="34"/>
      <c r="Y128" s="42"/>
      <c r="Z128" s="42"/>
      <c r="AA128" s="36"/>
      <c r="AB128" s="50"/>
      <c r="AC128" s="56" t="str">
        <f>IF(Table1[[#This Row],[Auto Order]]=1,IF(Table1[[#This Row],[In stock]]&lt;Table1[[#This Row],[Min in stock]],1,""),"")</f>
        <v/>
      </c>
    </row>
    <row r="129" spans="1:29" x14ac:dyDescent="0.25">
      <c r="A129" s="60" t="s">
        <v>3320</v>
      </c>
      <c r="B129" s="34" t="s">
        <v>251</v>
      </c>
      <c r="C129" s="34" t="s">
        <v>352</v>
      </c>
      <c r="D129" s="34" t="s">
        <v>3321</v>
      </c>
      <c r="E129" s="34" t="s">
        <v>559</v>
      </c>
      <c r="F129" s="53">
        <v>0</v>
      </c>
      <c r="G129" s="53"/>
      <c r="H129" s="53"/>
      <c r="I12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541-44.2UCT-ND</v>
      </c>
      <c r="J12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2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29" s="34" t="s">
        <v>3319</v>
      </c>
      <c r="M129" s="42">
        <v>0.48</v>
      </c>
      <c r="N129" s="34"/>
      <c r="O129" s="42"/>
      <c r="P129" s="34"/>
      <c r="Q129" s="42"/>
      <c r="R129" s="34"/>
      <c r="S129" s="42"/>
      <c r="T129" s="34"/>
      <c r="U129" s="42"/>
      <c r="V129" s="34"/>
      <c r="W129" s="42"/>
      <c r="X129" s="34"/>
      <c r="Y129" s="42"/>
      <c r="Z129" s="42"/>
      <c r="AA129" s="36"/>
      <c r="AB129" s="50"/>
      <c r="AC129" s="56" t="str">
        <f>IF(Table1[[#This Row],[Auto Order]]=1,IF(Table1[[#This Row],[In stock]]&lt;Table1[[#This Row],[Min in stock]],1,""),"")</f>
        <v/>
      </c>
    </row>
    <row r="130" spans="1:29" x14ac:dyDescent="0.25">
      <c r="A130" s="60" t="s">
        <v>3290</v>
      </c>
      <c r="B130" s="34" t="s">
        <v>251</v>
      </c>
      <c r="C130" s="34" t="s">
        <v>352</v>
      </c>
      <c r="D130" s="34" t="s">
        <v>3291</v>
      </c>
      <c r="E130" s="34" t="s">
        <v>559</v>
      </c>
      <c r="F130" s="53">
        <v>0</v>
      </c>
      <c r="G130" s="53"/>
      <c r="H130" s="53"/>
      <c r="I13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541-442UCT-ND</v>
      </c>
      <c r="J13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3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30" s="34" t="s">
        <v>3289</v>
      </c>
      <c r="M130" s="42">
        <v>0.48</v>
      </c>
      <c r="N130" s="34"/>
      <c r="O130" s="42"/>
      <c r="P130" s="34"/>
      <c r="Q130" s="42"/>
      <c r="R130" s="34"/>
      <c r="S130" s="42"/>
      <c r="T130" s="34"/>
      <c r="U130" s="42"/>
      <c r="V130" s="34"/>
      <c r="W130" s="42"/>
      <c r="X130" s="34"/>
      <c r="Y130" s="42"/>
      <c r="Z130" s="42"/>
      <c r="AA130" s="36"/>
      <c r="AB130" s="50"/>
      <c r="AC130" s="56" t="str">
        <f>IF(Table1[[#This Row],[Auto Order]]=1,IF(Table1[[#This Row],[In stock]]&lt;Table1[[#This Row],[Min in stock]],1,""),"")</f>
        <v/>
      </c>
    </row>
    <row r="131" spans="1:29" x14ac:dyDescent="0.25">
      <c r="A131" s="60" t="s">
        <v>3368</v>
      </c>
      <c r="B131" s="34" t="s">
        <v>251</v>
      </c>
      <c r="C131" s="34" t="s">
        <v>352</v>
      </c>
      <c r="D131" s="34" t="s">
        <v>3369</v>
      </c>
      <c r="E131" s="34" t="s">
        <v>559</v>
      </c>
      <c r="F131" s="53">
        <v>0</v>
      </c>
      <c r="G131" s="53"/>
      <c r="H131" s="53"/>
      <c r="I13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541-47.0UCT-ND</v>
      </c>
      <c r="J13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3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31" s="34" t="s">
        <v>3367</v>
      </c>
      <c r="M131" s="42">
        <v>0.48</v>
      </c>
      <c r="N131" s="34"/>
      <c r="O131" s="42"/>
      <c r="P131" s="34"/>
      <c r="Q131" s="42"/>
      <c r="R131" s="34"/>
      <c r="S131" s="42"/>
      <c r="T131" s="34"/>
      <c r="U131" s="42"/>
      <c r="V131" s="34"/>
      <c r="W131" s="42"/>
      <c r="X131" s="34"/>
      <c r="Y131" s="42"/>
      <c r="Z131" s="42"/>
      <c r="AA131" s="36"/>
      <c r="AB131" s="50"/>
      <c r="AC131" s="56" t="str">
        <f>IF(Table1[[#This Row],[Auto Order]]=1,IF(Table1[[#This Row],[In stock]]&lt;Table1[[#This Row],[Min in stock]],1,""),"")</f>
        <v/>
      </c>
    </row>
    <row r="132" spans="1:29" x14ac:dyDescent="0.25">
      <c r="A132" s="60" t="s">
        <v>3125</v>
      </c>
      <c r="B132" s="34" t="s">
        <v>251</v>
      </c>
      <c r="C132" s="34" t="s">
        <v>352</v>
      </c>
      <c r="D132" s="34" t="s">
        <v>3126</v>
      </c>
      <c r="E132" s="34" t="s">
        <v>559</v>
      </c>
      <c r="F132" s="53">
        <v>0</v>
      </c>
      <c r="G132" s="53"/>
      <c r="H132" s="53"/>
      <c r="I13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541-47UACT-ND</v>
      </c>
      <c r="J13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3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32" s="34" t="s">
        <v>3124</v>
      </c>
      <c r="M132" s="42">
        <v>0.42</v>
      </c>
      <c r="N132" s="34"/>
      <c r="O132" s="42"/>
      <c r="P132" s="34"/>
      <c r="Q132" s="42"/>
      <c r="R132" s="34"/>
      <c r="S132" s="42"/>
      <c r="T132" s="34"/>
      <c r="U132" s="42"/>
      <c r="V132" s="34"/>
      <c r="W132" s="42"/>
      <c r="X132" s="34"/>
      <c r="Y132" s="42"/>
      <c r="Z132" s="42"/>
      <c r="AA132" s="36"/>
      <c r="AB132" s="50"/>
      <c r="AC132" s="56" t="str">
        <f>IF(Table1[[#This Row],[Auto Order]]=1,IF(Table1[[#This Row],[In stock]]&lt;Table1[[#This Row],[Min in stock]],1,""),"")</f>
        <v/>
      </c>
    </row>
    <row r="133" spans="1:29" x14ac:dyDescent="0.25">
      <c r="A133" s="60" t="s">
        <v>3245</v>
      </c>
      <c r="B133" s="34" t="s">
        <v>251</v>
      </c>
      <c r="C133" s="34" t="s">
        <v>352</v>
      </c>
      <c r="D133" s="34" t="s">
        <v>3246</v>
      </c>
      <c r="E133" s="34" t="s">
        <v>559</v>
      </c>
      <c r="F133" s="53">
        <v>0</v>
      </c>
      <c r="G133" s="53"/>
      <c r="H133" s="53"/>
      <c r="I13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541-47.5UCT-ND</v>
      </c>
      <c r="J13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3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33" s="34" t="s">
        <v>3244</v>
      </c>
      <c r="M133" s="42">
        <v>0.48</v>
      </c>
      <c r="N133" s="34"/>
      <c r="O133" s="42"/>
      <c r="P133" s="34"/>
      <c r="Q133" s="42"/>
      <c r="R133" s="34"/>
      <c r="S133" s="42"/>
      <c r="T133" s="34"/>
      <c r="U133" s="42"/>
      <c r="V133" s="34"/>
      <c r="W133" s="42"/>
      <c r="X133" s="34"/>
      <c r="Y133" s="42"/>
      <c r="Z133" s="42"/>
      <c r="AA133" s="36"/>
      <c r="AB133" s="50"/>
      <c r="AC133" s="56" t="str">
        <f>IF(Table1[[#This Row],[Auto Order]]=1,IF(Table1[[#This Row],[In stock]]&lt;Table1[[#This Row],[Min in stock]],1,""),"")</f>
        <v/>
      </c>
    </row>
    <row r="134" spans="1:29" x14ac:dyDescent="0.25">
      <c r="A134" s="60" t="s">
        <v>3146</v>
      </c>
      <c r="B134" s="34" t="s">
        <v>251</v>
      </c>
      <c r="C134" s="34" t="s">
        <v>352</v>
      </c>
      <c r="D134" s="34" t="s">
        <v>3147</v>
      </c>
      <c r="E134" s="34" t="s">
        <v>559</v>
      </c>
      <c r="F134" s="53">
        <v>0</v>
      </c>
      <c r="G134" s="53"/>
      <c r="H134" s="53"/>
      <c r="I13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541-470UCT-ND</v>
      </c>
      <c r="J13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3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34" s="34" t="s">
        <v>3145</v>
      </c>
      <c r="M134" s="42">
        <v>0.48</v>
      </c>
      <c r="N134" s="34"/>
      <c r="O134" s="42"/>
      <c r="P134" s="34"/>
      <c r="Q134" s="42"/>
      <c r="R134" s="34"/>
      <c r="S134" s="42"/>
      <c r="T134" s="34"/>
      <c r="U134" s="42"/>
      <c r="V134" s="34"/>
      <c r="W134" s="42"/>
      <c r="X134" s="34"/>
      <c r="Y134" s="42"/>
      <c r="Z134" s="42"/>
      <c r="AA134" s="36"/>
      <c r="AB134" s="50"/>
      <c r="AC134" s="56" t="str">
        <f>IF(Table1[[#This Row],[Auto Order]]=1,IF(Table1[[#This Row],[In stock]]&lt;Table1[[#This Row],[Min in stock]],1,""),"")</f>
        <v/>
      </c>
    </row>
    <row r="135" spans="1:29" x14ac:dyDescent="0.25">
      <c r="A135" s="60" t="s">
        <v>3131</v>
      </c>
      <c r="B135" s="34" t="s">
        <v>251</v>
      </c>
      <c r="C135" s="34" t="s">
        <v>352</v>
      </c>
      <c r="D135" s="34" t="s">
        <v>3132</v>
      </c>
      <c r="E135" s="34" t="s">
        <v>559</v>
      </c>
      <c r="F135" s="53">
        <v>0</v>
      </c>
      <c r="G135" s="53"/>
      <c r="H135" s="53"/>
      <c r="I13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541-470UACT-ND</v>
      </c>
      <c r="J13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3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35" s="34" t="s">
        <v>3130</v>
      </c>
      <c r="M135" s="42">
        <v>0.42</v>
      </c>
      <c r="N135" s="34"/>
      <c r="O135" s="42"/>
      <c r="P135" s="34"/>
      <c r="Q135" s="42"/>
      <c r="R135" s="34"/>
      <c r="S135" s="42"/>
      <c r="T135" s="34"/>
      <c r="U135" s="42"/>
      <c r="V135" s="34"/>
      <c r="W135" s="42"/>
      <c r="X135" s="34"/>
      <c r="Y135" s="42"/>
      <c r="Z135" s="42"/>
      <c r="AA135" s="36"/>
      <c r="AB135" s="50"/>
      <c r="AC135" s="56" t="str">
        <f>IF(Table1[[#This Row],[Auto Order]]=1,IF(Table1[[#This Row],[In stock]]&lt;Table1[[#This Row],[Min in stock]],1,""),"")</f>
        <v/>
      </c>
    </row>
    <row r="136" spans="1:29" x14ac:dyDescent="0.25">
      <c r="A136" s="60" t="s">
        <v>3305</v>
      </c>
      <c r="B136" s="34" t="s">
        <v>251</v>
      </c>
      <c r="C136" s="34" t="s">
        <v>352</v>
      </c>
      <c r="D136" s="34" t="s">
        <v>3306</v>
      </c>
      <c r="E136" s="34" t="s">
        <v>559</v>
      </c>
      <c r="F136" s="53">
        <v>0</v>
      </c>
      <c r="G136" s="53"/>
      <c r="H136" s="53"/>
      <c r="I13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541-487UCT-ND</v>
      </c>
      <c r="J13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3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36" s="34" t="s">
        <v>3304</v>
      </c>
      <c r="M136" s="42">
        <v>0.48</v>
      </c>
      <c r="N136" s="34"/>
      <c r="O136" s="42"/>
      <c r="P136" s="34"/>
      <c r="Q136" s="42"/>
      <c r="R136" s="34"/>
      <c r="S136" s="42"/>
      <c r="T136" s="34"/>
      <c r="U136" s="42"/>
      <c r="V136" s="34"/>
      <c r="W136" s="42"/>
      <c r="X136" s="34"/>
      <c r="Y136" s="42"/>
      <c r="Z136" s="42"/>
      <c r="AA136" s="36"/>
      <c r="AB136" s="50"/>
      <c r="AC136" s="56" t="str">
        <f>IF(Table1[[#This Row],[Auto Order]]=1,IF(Table1[[#This Row],[In stock]]&lt;Table1[[#This Row],[Min in stock]],1,""),"")</f>
        <v/>
      </c>
    </row>
    <row r="137" spans="1:29" x14ac:dyDescent="0.25">
      <c r="A137" s="60" t="s">
        <v>3356</v>
      </c>
      <c r="B137" s="34" t="s">
        <v>251</v>
      </c>
      <c r="C137" s="34" t="s">
        <v>352</v>
      </c>
      <c r="D137" s="34" t="s">
        <v>3357</v>
      </c>
      <c r="E137" s="34" t="s">
        <v>559</v>
      </c>
      <c r="F137" s="53">
        <v>0</v>
      </c>
      <c r="G137" s="53"/>
      <c r="H137" s="53"/>
      <c r="I13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541-499UCT-ND</v>
      </c>
      <c r="J13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3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37" s="34" t="s">
        <v>3355</v>
      </c>
      <c r="M137" s="42">
        <v>0.48</v>
      </c>
      <c r="N137" s="34"/>
      <c r="O137" s="42"/>
      <c r="P137" s="34"/>
      <c r="Q137" s="42"/>
      <c r="R137" s="34"/>
      <c r="S137" s="42"/>
      <c r="T137" s="34"/>
      <c r="U137" s="42"/>
      <c r="V137" s="34"/>
      <c r="W137" s="42"/>
      <c r="X137" s="34"/>
      <c r="Y137" s="42"/>
      <c r="Z137" s="42"/>
      <c r="AA137" s="36"/>
      <c r="AB137" s="50"/>
      <c r="AC137" s="56" t="str">
        <f>IF(Table1[[#This Row],[Auto Order]]=1,IF(Table1[[#This Row],[In stock]]&lt;Table1[[#This Row],[Min in stock]],1,""),"")</f>
        <v/>
      </c>
    </row>
    <row r="138" spans="1:29" x14ac:dyDescent="0.25">
      <c r="A138" s="60" t="s">
        <v>3182</v>
      </c>
      <c r="B138" s="34" t="s">
        <v>251</v>
      </c>
      <c r="C138" s="34" t="s">
        <v>352</v>
      </c>
      <c r="D138" s="34" t="s">
        <v>3183</v>
      </c>
      <c r="E138" s="34" t="s">
        <v>559</v>
      </c>
      <c r="F138" s="53">
        <v>0</v>
      </c>
      <c r="G138" s="53"/>
      <c r="H138" s="53"/>
      <c r="I13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541-5.10UCT-ND</v>
      </c>
      <c r="J13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3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38" s="34" t="s">
        <v>3181</v>
      </c>
      <c r="M138" s="42">
        <v>0.48</v>
      </c>
      <c r="N138" s="34"/>
      <c r="O138" s="42"/>
      <c r="P138" s="34"/>
      <c r="Q138" s="42"/>
      <c r="R138" s="34"/>
      <c r="S138" s="42"/>
      <c r="T138" s="34"/>
      <c r="U138" s="42"/>
      <c r="V138" s="34"/>
      <c r="W138" s="42"/>
      <c r="X138" s="34"/>
      <c r="Y138" s="42"/>
      <c r="Z138" s="42"/>
      <c r="AA138" s="36"/>
      <c r="AB138" s="50"/>
      <c r="AC138" s="56" t="str">
        <f>IF(Table1[[#This Row],[Auto Order]]=1,IF(Table1[[#This Row],[In stock]]&lt;Table1[[#This Row],[Min in stock]],1,""),"")</f>
        <v/>
      </c>
    </row>
    <row r="139" spans="1:29" x14ac:dyDescent="0.25">
      <c r="A139" s="60" t="s">
        <v>3230</v>
      </c>
      <c r="B139" s="34" t="s">
        <v>251</v>
      </c>
      <c r="C139" s="34" t="s">
        <v>352</v>
      </c>
      <c r="D139" s="34" t="s">
        <v>3231</v>
      </c>
      <c r="E139" s="34" t="s">
        <v>559</v>
      </c>
      <c r="F139" s="53">
        <v>0</v>
      </c>
      <c r="G139" s="53">
        <v>5</v>
      </c>
      <c r="H139" s="53">
        <v>1</v>
      </c>
      <c r="I13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541-5.1UACT-ND</v>
      </c>
      <c r="J13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3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39" s="34" t="s">
        <v>3229</v>
      </c>
      <c r="M139" s="42">
        <v>0.42</v>
      </c>
      <c r="N139" s="34"/>
      <c r="O139" s="42"/>
      <c r="P139" s="34"/>
      <c r="Q139" s="42"/>
      <c r="R139" s="34"/>
      <c r="S139" s="42"/>
      <c r="T139" s="34"/>
      <c r="U139" s="42"/>
      <c r="V139" s="34"/>
      <c r="W139" s="42"/>
      <c r="X139" s="34"/>
      <c r="Y139" s="42"/>
      <c r="Z139" s="42"/>
      <c r="AA139" s="36"/>
      <c r="AB139" s="50"/>
      <c r="AC139" s="56">
        <f>IF(Table1[[#This Row],[Auto Order]]=1,IF(Table1[[#This Row],[In stock]]&lt;Table1[[#This Row],[Min in stock]],1,""),"")</f>
        <v>1</v>
      </c>
    </row>
    <row r="140" spans="1:29" x14ac:dyDescent="0.25">
      <c r="A140" s="60" t="s">
        <v>3173</v>
      </c>
      <c r="B140" s="34" t="s">
        <v>251</v>
      </c>
      <c r="C140" s="34" t="s">
        <v>352</v>
      </c>
      <c r="D140" s="34" t="s">
        <v>3174</v>
      </c>
      <c r="E140" s="34" t="s">
        <v>559</v>
      </c>
      <c r="F140" s="53">
        <v>0</v>
      </c>
      <c r="G140" s="53"/>
      <c r="H140" s="53"/>
      <c r="I14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541-5.11UCT-ND</v>
      </c>
      <c r="J14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4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40" s="34" t="s">
        <v>3172</v>
      </c>
      <c r="M140" s="42">
        <v>0.48</v>
      </c>
      <c r="N140" s="34"/>
      <c r="O140" s="42"/>
      <c r="P140" s="34"/>
      <c r="Q140" s="42"/>
      <c r="R140" s="34"/>
      <c r="S140" s="42"/>
      <c r="T140" s="34"/>
      <c r="U140" s="42"/>
      <c r="V140" s="34"/>
      <c r="W140" s="42"/>
      <c r="X140" s="34"/>
      <c r="Y140" s="42"/>
      <c r="Z140" s="42"/>
      <c r="AA140" s="36"/>
      <c r="AB140" s="50"/>
      <c r="AC140" s="56" t="str">
        <f>IF(Table1[[#This Row],[Auto Order]]=1,IF(Table1[[#This Row],[In stock]]&lt;Table1[[#This Row],[Min in stock]],1,""),"")</f>
        <v/>
      </c>
    </row>
    <row r="141" spans="1:29" x14ac:dyDescent="0.25">
      <c r="A141" s="60" t="s">
        <v>3353</v>
      </c>
      <c r="B141" s="34" t="s">
        <v>251</v>
      </c>
      <c r="C141" s="34" t="s">
        <v>352</v>
      </c>
      <c r="D141" s="34" t="s">
        <v>3354</v>
      </c>
      <c r="E141" s="34" t="s">
        <v>559</v>
      </c>
      <c r="F141" s="53">
        <v>0</v>
      </c>
      <c r="G141" s="53"/>
      <c r="H141" s="53"/>
      <c r="I14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541-5.60UCT-ND</v>
      </c>
      <c r="J14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4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41" s="34" t="s">
        <v>3352</v>
      </c>
      <c r="M141" s="42">
        <v>0.48</v>
      </c>
      <c r="N141" s="34"/>
      <c r="O141" s="42"/>
      <c r="P141" s="34"/>
      <c r="Q141" s="42"/>
      <c r="R141" s="34"/>
      <c r="S141" s="42"/>
      <c r="T141" s="34"/>
      <c r="U141" s="42"/>
      <c r="V141" s="34"/>
      <c r="W141" s="42"/>
      <c r="X141" s="34"/>
      <c r="Y141" s="42"/>
      <c r="Z141" s="42"/>
      <c r="AA141" s="36"/>
      <c r="AB141" s="50"/>
      <c r="AC141" s="56" t="str">
        <f>IF(Table1[[#This Row],[Auto Order]]=1,IF(Table1[[#This Row],[In stock]]&lt;Table1[[#This Row],[Min in stock]],1,""),"")</f>
        <v/>
      </c>
    </row>
    <row r="142" spans="1:29" x14ac:dyDescent="0.25">
      <c r="A142" s="60" t="s">
        <v>3323</v>
      </c>
      <c r="B142" s="34" t="s">
        <v>251</v>
      </c>
      <c r="C142" s="34" t="s">
        <v>352</v>
      </c>
      <c r="D142" s="34" t="s">
        <v>3324</v>
      </c>
      <c r="E142" s="34" t="s">
        <v>559</v>
      </c>
      <c r="F142" s="53">
        <v>0</v>
      </c>
      <c r="G142" s="53"/>
      <c r="H142" s="53"/>
      <c r="I14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541-51.0UCT-ND</v>
      </c>
      <c r="J14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4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42" s="34" t="s">
        <v>3322</v>
      </c>
      <c r="M142" s="42">
        <v>0.48</v>
      </c>
      <c r="N142" s="34"/>
      <c r="O142" s="42"/>
      <c r="P142" s="34"/>
      <c r="Q142" s="42"/>
      <c r="R142" s="34"/>
      <c r="S142" s="42"/>
      <c r="T142" s="34"/>
      <c r="U142" s="42"/>
      <c r="V142" s="34"/>
      <c r="W142" s="42"/>
      <c r="X142" s="34"/>
      <c r="Y142" s="42"/>
      <c r="Z142" s="42"/>
      <c r="AA142" s="36"/>
      <c r="AB142" s="50"/>
      <c r="AC142" s="56" t="str">
        <f>IF(Table1[[#This Row],[Auto Order]]=1,IF(Table1[[#This Row],[In stock]]&lt;Table1[[#This Row],[Min in stock]],1,""),"")</f>
        <v/>
      </c>
    </row>
    <row r="143" spans="1:29" x14ac:dyDescent="0.25">
      <c r="A143" s="60" t="s">
        <v>3275</v>
      </c>
      <c r="B143" s="34" t="s">
        <v>251</v>
      </c>
      <c r="C143" s="34" t="s">
        <v>352</v>
      </c>
      <c r="D143" s="34" t="s">
        <v>3276</v>
      </c>
      <c r="E143" s="34" t="s">
        <v>559</v>
      </c>
      <c r="F143" s="53">
        <v>0</v>
      </c>
      <c r="G143" s="53"/>
      <c r="H143" s="53"/>
      <c r="I14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541-51UACT-ND</v>
      </c>
      <c r="J14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4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43" s="34" t="s">
        <v>3274</v>
      </c>
      <c r="M143" s="42">
        <v>0.42</v>
      </c>
      <c r="N143" s="34"/>
      <c r="O143" s="42"/>
      <c r="P143" s="34"/>
      <c r="Q143" s="42"/>
      <c r="R143" s="34"/>
      <c r="S143" s="42"/>
      <c r="T143" s="34"/>
      <c r="U143" s="42"/>
      <c r="V143" s="34"/>
      <c r="W143" s="42"/>
      <c r="X143" s="34"/>
      <c r="Y143" s="42"/>
      <c r="Z143" s="42"/>
      <c r="AA143" s="36"/>
      <c r="AB143" s="50"/>
      <c r="AC143" s="56" t="str">
        <f>IF(Table1[[#This Row],[Auto Order]]=1,IF(Table1[[#This Row],[In stock]]&lt;Table1[[#This Row],[Min in stock]],1,""),"")</f>
        <v/>
      </c>
    </row>
    <row r="144" spans="1:29" x14ac:dyDescent="0.25">
      <c r="A144" s="60" t="s">
        <v>3329</v>
      </c>
      <c r="B144" s="34" t="s">
        <v>251</v>
      </c>
      <c r="C144" s="34" t="s">
        <v>352</v>
      </c>
      <c r="D144" s="34" t="s">
        <v>3330</v>
      </c>
      <c r="E144" s="34" t="s">
        <v>559</v>
      </c>
      <c r="F144" s="53">
        <v>0</v>
      </c>
      <c r="G144" s="53"/>
      <c r="H144" s="53"/>
      <c r="I14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541-51.1UCT-ND</v>
      </c>
      <c r="J14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4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44" s="34" t="s">
        <v>3328</v>
      </c>
      <c r="M144" s="42">
        <v>0.48</v>
      </c>
      <c r="N144" s="34"/>
      <c r="O144" s="42"/>
      <c r="P144" s="34"/>
      <c r="Q144" s="42"/>
      <c r="R144" s="34"/>
      <c r="S144" s="42"/>
      <c r="T144" s="34"/>
      <c r="U144" s="42"/>
      <c r="V144" s="34"/>
      <c r="W144" s="42"/>
      <c r="X144" s="34"/>
      <c r="Y144" s="42"/>
      <c r="Z144" s="42"/>
      <c r="AA144" s="36"/>
      <c r="AB144" s="50"/>
      <c r="AC144" s="56" t="str">
        <f>IF(Table1[[#This Row],[Auto Order]]=1,IF(Table1[[#This Row],[In stock]]&lt;Table1[[#This Row],[Min in stock]],1,""),"")</f>
        <v/>
      </c>
    </row>
    <row r="145" spans="1:29" x14ac:dyDescent="0.25">
      <c r="A145" s="60" t="s">
        <v>3362</v>
      </c>
      <c r="B145" s="34" t="s">
        <v>251</v>
      </c>
      <c r="C145" s="34" t="s">
        <v>352</v>
      </c>
      <c r="D145" s="34" t="s">
        <v>3363</v>
      </c>
      <c r="E145" s="34" t="s">
        <v>559</v>
      </c>
      <c r="F145" s="53">
        <v>0</v>
      </c>
      <c r="G145" s="53"/>
      <c r="H145" s="53"/>
      <c r="I14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541-511UCT-ND</v>
      </c>
      <c r="J14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4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45" s="34" t="s">
        <v>3361</v>
      </c>
      <c r="M145" s="42">
        <v>0.48</v>
      </c>
      <c r="N145" s="34"/>
      <c r="O145" s="42"/>
      <c r="P145" s="34"/>
      <c r="Q145" s="42"/>
      <c r="R145" s="34"/>
      <c r="S145" s="42"/>
      <c r="T145" s="34"/>
      <c r="U145" s="42"/>
      <c r="V145" s="34"/>
      <c r="W145" s="42"/>
      <c r="X145" s="34"/>
      <c r="Y145" s="42"/>
      <c r="Z145" s="42"/>
      <c r="AA145" s="36"/>
      <c r="AB145" s="50"/>
      <c r="AC145" s="56" t="str">
        <f>IF(Table1[[#This Row],[Auto Order]]=1,IF(Table1[[#This Row],[In stock]]&lt;Table1[[#This Row],[Min in stock]],1,""),"")</f>
        <v/>
      </c>
    </row>
    <row r="146" spans="1:29" x14ac:dyDescent="0.25">
      <c r="A146" s="60" t="s">
        <v>3332</v>
      </c>
      <c r="B146" s="34" t="s">
        <v>251</v>
      </c>
      <c r="C146" s="34" t="s">
        <v>352</v>
      </c>
      <c r="D146" s="34" t="s">
        <v>3333</v>
      </c>
      <c r="E146" s="34" t="s">
        <v>559</v>
      </c>
      <c r="F146" s="53">
        <v>0</v>
      </c>
      <c r="G146" s="53"/>
      <c r="H146" s="53"/>
      <c r="I14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541-56.2UCT-ND</v>
      </c>
      <c r="J14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4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46" s="34" t="s">
        <v>3331</v>
      </c>
      <c r="M146" s="42">
        <v>0.48</v>
      </c>
      <c r="N146" s="34"/>
      <c r="O146" s="42"/>
      <c r="P146" s="34"/>
      <c r="Q146" s="42"/>
      <c r="R146" s="34"/>
      <c r="S146" s="42"/>
      <c r="T146" s="34"/>
      <c r="U146" s="42"/>
      <c r="V146" s="34"/>
      <c r="W146" s="42"/>
      <c r="X146" s="34"/>
      <c r="Y146" s="42"/>
      <c r="Z146" s="42"/>
      <c r="AA146" s="36"/>
      <c r="AB146" s="50"/>
      <c r="AC146" s="56" t="str">
        <f>IF(Table1[[#This Row],[Auto Order]]=1,IF(Table1[[#This Row],[In stock]]&lt;Table1[[#This Row],[Min in stock]],1,""),"")</f>
        <v/>
      </c>
    </row>
    <row r="147" spans="1:29" x14ac:dyDescent="0.25">
      <c r="A147" s="60" t="s">
        <v>3350</v>
      </c>
      <c r="B147" s="34" t="s">
        <v>251</v>
      </c>
      <c r="C147" s="34" t="s">
        <v>352</v>
      </c>
      <c r="D147" s="34" t="s">
        <v>3351</v>
      </c>
      <c r="E147" s="34" t="s">
        <v>559</v>
      </c>
      <c r="F147" s="53">
        <v>0</v>
      </c>
      <c r="G147" s="53"/>
      <c r="H147" s="53"/>
      <c r="I14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541-560UCT-ND</v>
      </c>
      <c r="J14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4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47" s="34" t="s">
        <v>3349</v>
      </c>
      <c r="M147" s="42">
        <v>0.48</v>
      </c>
      <c r="N147" s="34"/>
      <c r="O147" s="42"/>
      <c r="P147" s="34"/>
      <c r="Q147" s="42"/>
      <c r="R147" s="34"/>
      <c r="S147" s="42"/>
      <c r="T147" s="34"/>
      <c r="U147" s="42"/>
      <c r="V147" s="34"/>
      <c r="W147" s="42"/>
      <c r="X147" s="34"/>
      <c r="Y147" s="42"/>
      <c r="Z147" s="42"/>
      <c r="AA147" s="36"/>
      <c r="AB147" s="50"/>
      <c r="AC147" s="56" t="str">
        <f>IF(Table1[[#This Row],[Auto Order]]=1,IF(Table1[[#This Row],[In stock]]&lt;Table1[[#This Row],[Min in stock]],1,""),"")</f>
        <v/>
      </c>
    </row>
    <row r="148" spans="1:29" x14ac:dyDescent="0.25">
      <c r="A148" s="60" t="s">
        <v>3338</v>
      </c>
      <c r="B148" s="34" t="s">
        <v>251</v>
      </c>
      <c r="C148" s="34" t="s">
        <v>352</v>
      </c>
      <c r="D148" s="34" t="s">
        <v>3339</v>
      </c>
      <c r="E148" s="34" t="s">
        <v>559</v>
      </c>
      <c r="F148" s="53">
        <v>0</v>
      </c>
      <c r="G148" s="53"/>
      <c r="H148" s="53"/>
      <c r="I14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541-562UCT-ND</v>
      </c>
      <c r="J14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4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48" s="34" t="s">
        <v>3337</v>
      </c>
      <c r="M148" s="42">
        <v>0.48</v>
      </c>
      <c r="N148" s="34"/>
      <c r="O148" s="42"/>
      <c r="P148" s="34"/>
      <c r="Q148" s="42"/>
      <c r="R148" s="34"/>
      <c r="S148" s="42"/>
      <c r="T148" s="34"/>
      <c r="U148" s="42"/>
      <c r="V148" s="34"/>
      <c r="W148" s="42"/>
      <c r="X148" s="34"/>
      <c r="Y148" s="42"/>
      <c r="Z148" s="42"/>
      <c r="AA148" s="36"/>
      <c r="AB148" s="50"/>
      <c r="AC148" s="56" t="str">
        <f>IF(Table1[[#This Row],[Auto Order]]=1,IF(Table1[[#This Row],[In stock]]&lt;Table1[[#This Row],[Min in stock]],1,""),"")</f>
        <v/>
      </c>
    </row>
    <row r="149" spans="1:29" x14ac:dyDescent="0.25">
      <c r="A149" s="60" t="s">
        <v>3302</v>
      </c>
      <c r="B149" s="34" t="s">
        <v>251</v>
      </c>
      <c r="C149" s="34" t="s">
        <v>352</v>
      </c>
      <c r="D149" s="34" t="s">
        <v>3303</v>
      </c>
      <c r="E149" s="34" t="s">
        <v>559</v>
      </c>
      <c r="F149" s="53">
        <v>0</v>
      </c>
      <c r="G149" s="53"/>
      <c r="H149" s="53"/>
      <c r="I14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541-6.80UCT-ND</v>
      </c>
      <c r="J14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4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49" s="34" t="s">
        <v>3301</v>
      </c>
      <c r="M149" s="42">
        <v>0.48</v>
      </c>
      <c r="N149" s="34"/>
      <c r="O149" s="42"/>
      <c r="P149" s="34"/>
      <c r="Q149" s="42"/>
      <c r="R149" s="34"/>
      <c r="S149" s="42"/>
      <c r="T149" s="34"/>
      <c r="U149" s="42"/>
      <c r="V149" s="34"/>
      <c r="W149" s="42"/>
      <c r="X149" s="34"/>
      <c r="Y149" s="42"/>
      <c r="Z149" s="42"/>
      <c r="AA149" s="36"/>
      <c r="AB149" s="50"/>
      <c r="AC149" s="56" t="str">
        <f>IF(Table1[[#This Row],[Auto Order]]=1,IF(Table1[[#This Row],[In stock]]&lt;Table1[[#This Row],[Min in stock]],1,""),"")</f>
        <v/>
      </c>
    </row>
    <row r="150" spans="1:29" x14ac:dyDescent="0.25">
      <c r="A150" s="60" t="s">
        <v>3233</v>
      </c>
      <c r="B150" s="34" t="s">
        <v>251</v>
      </c>
      <c r="C150" s="34" t="s">
        <v>352</v>
      </c>
      <c r="D150" s="34" t="s">
        <v>3234</v>
      </c>
      <c r="E150" s="34" t="s">
        <v>559</v>
      </c>
      <c r="F150" s="53">
        <v>0</v>
      </c>
      <c r="G150" s="53"/>
      <c r="H150" s="53"/>
      <c r="I15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541-604UCT-ND</v>
      </c>
      <c r="J15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5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50" s="34" t="s">
        <v>3232</v>
      </c>
      <c r="M150" s="42">
        <v>0.48</v>
      </c>
      <c r="N150" s="34"/>
      <c r="O150" s="42"/>
      <c r="P150" s="34"/>
      <c r="Q150" s="42"/>
      <c r="R150" s="34"/>
      <c r="S150" s="42"/>
      <c r="T150" s="34"/>
      <c r="U150" s="42"/>
      <c r="V150" s="34"/>
      <c r="W150" s="42"/>
      <c r="X150" s="34"/>
      <c r="Y150" s="42"/>
      <c r="Z150" s="42"/>
      <c r="AA150" s="36"/>
      <c r="AB150" s="50"/>
      <c r="AC150" s="56" t="str">
        <f>IF(Table1[[#This Row],[Auto Order]]=1,IF(Table1[[#This Row],[In stock]]&lt;Table1[[#This Row],[Min in stock]],1,""),"")</f>
        <v/>
      </c>
    </row>
    <row r="151" spans="1:29" x14ac:dyDescent="0.25">
      <c r="A151" s="60" t="s">
        <v>3167</v>
      </c>
      <c r="B151" s="34" t="s">
        <v>251</v>
      </c>
      <c r="C151" s="34" t="s">
        <v>352</v>
      </c>
      <c r="D151" s="34" t="s">
        <v>3168</v>
      </c>
      <c r="E151" s="34" t="s">
        <v>559</v>
      </c>
      <c r="F151" s="53">
        <v>0</v>
      </c>
      <c r="G151" s="53"/>
      <c r="H151" s="53"/>
      <c r="I15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541-61.9UCT-ND</v>
      </c>
      <c r="J15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5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51" s="34" t="s">
        <v>3166</v>
      </c>
      <c r="M151" s="42">
        <v>0.48</v>
      </c>
      <c r="N151" s="34"/>
      <c r="O151" s="42"/>
      <c r="P151" s="34"/>
      <c r="Q151" s="42"/>
      <c r="R151" s="34"/>
      <c r="S151" s="42"/>
      <c r="T151" s="34"/>
      <c r="U151" s="42"/>
      <c r="V151" s="34"/>
      <c r="W151" s="42"/>
      <c r="X151" s="34"/>
      <c r="Y151" s="42"/>
      <c r="Z151" s="42"/>
      <c r="AA151" s="36"/>
      <c r="AB151" s="50"/>
      <c r="AC151" s="56" t="str">
        <f>IF(Table1[[#This Row],[Auto Order]]=1,IF(Table1[[#This Row],[In stock]]&lt;Table1[[#This Row],[Min in stock]],1,""),"")</f>
        <v/>
      </c>
    </row>
    <row r="152" spans="1:29" x14ac:dyDescent="0.25">
      <c r="A152" s="60" t="s">
        <v>3269</v>
      </c>
      <c r="B152" s="34" t="s">
        <v>251</v>
      </c>
      <c r="C152" s="34" t="s">
        <v>352</v>
      </c>
      <c r="D152" s="34" t="s">
        <v>3270</v>
      </c>
      <c r="E152" s="34" t="s">
        <v>559</v>
      </c>
      <c r="F152" s="53">
        <v>0</v>
      </c>
      <c r="G152" s="53"/>
      <c r="H152" s="53"/>
      <c r="I15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541-62UACT-ND</v>
      </c>
      <c r="J15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5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52" s="34" t="s">
        <v>3268</v>
      </c>
      <c r="M152" s="42">
        <v>0.42</v>
      </c>
      <c r="N152" s="34"/>
      <c r="O152" s="42"/>
      <c r="P152" s="34"/>
      <c r="Q152" s="42"/>
      <c r="R152" s="34"/>
      <c r="S152" s="42"/>
      <c r="T152" s="34"/>
      <c r="U152" s="42"/>
      <c r="V152" s="34"/>
      <c r="W152" s="42"/>
      <c r="X152" s="34"/>
      <c r="Y152" s="42"/>
      <c r="Z152" s="42"/>
      <c r="AA152" s="36"/>
      <c r="AB152" s="50"/>
      <c r="AC152" s="56" t="str">
        <f>IF(Table1[[#This Row],[Auto Order]]=1,IF(Table1[[#This Row],[In stock]]&lt;Table1[[#This Row],[Min in stock]],1,""),"")</f>
        <v/>
      </c>
    </row>
    <row r="153" spans="1:29" x14ac:dyDescent="0.25">
      <c r="A153" s="60" t="s">
        <v>3314</v>
      </c>
      <c r="B153" s="34" t="s">
        <v>251</v>
      </c>
      <c r="C153" s="34" t="s">
        <v>352</v>
      </c>
      <c r="D153" s="34" t="s">
        <v>3315</v>
      </c>
      <c r="E153" s="34" t="s">
        <v>559</v>
      </c>
      <c r="F153" s="53">
        <v>0</v>
      </c>
      <c r="G153" s="53"/>
      <c r="H153" s="53"/>
      <c r="I15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541-66.5UCT-ND</v>
      </c>
      <c r="J15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5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53" s="34" t="s">
        <v>3313</v>
      </c>
      <c r="M153" s="42">
        <v>0.48</v>
      </c>
      <c r="N153" s="34"/>
      <c r="O153" s="42"/>
      <c r="P153" s="34"/>
      <c r="Q153" s="42"/>
      <c r="R153" s="34"/>
      <c r="S153" s="42"/>
      <c r="T153" s="34"/>
      <c r="U153" s="42"/>
      <c r="V153" s="34"/>
      <c r="W153" s="42"/>
      <c r="X153" s="34"/>
      <c r="Y153" s="42"/>
      <c r="Z153" s="42"/>
      <c r="AA153" s="36"/>
      <c r="AB153" s="50"/>
      <c r="AC153" s="56" t="str">
        <f>IF(Table1[[#This Row],[Auto Order]]=1,IF(Table1[[#This Row],[In stock]]&lt;Table1[[#This Row],[Min in stock]],1,""),"")</f>
        <v/>
      </c>
    </row>
    <row r="154" spans="1:29" x14ac:dyDescent="0.25">
      <c r="A154" s="60" t="s">
        <v>3158</v>
      </c>
      <c r="B154" s="34" t="s">
        <v>251</v>
      </c>
      <c r="C154" s="34" t="s">
        <v>352</v>
      </c>
      <c r="D154" s="34" t="s">
        <v>3159</v>
      </c>
      <c r="E154" s="34" t="s">
        <v>559</v>
      </c>
      <c r="F154" s="53">
        <v>0</v>
      </c>
      <c r="G154" s="53"/>
      <c r="H154" s="53"/>
      <c r="I15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541-68.0UCT-ND</v>
      </c>
      <c r="J15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5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54" s="34" t="s">
        <v>3157</v>
      </c>
      <c r="M154" s="42">
        <v>0.48</v>
      </c>
      <c r="N154" s="34"/>
      <c r="O154" s="42"/>
      <c r="P154" s="34"/>
      <c r="Q154" s="42"/>
      <c r="R154" s="34"/>
      <c r="S154" s="42"/>
      <c r="T154" s="34"/>
      <c r="U154" s="42"/>
      <c r="V154" s="34"/>
      <c r="W154" s="42"/>
      <c r="X154" s="34"/>
      <c r="Y154" s="42"/>
      <c r="Z154" s="42"/>
      <c r="AA154" s="36"/>
      <c r="AB154" s="50"/>
      <c r="AC154" s="56" t="str">
        <f>IF(Table1[[#This Row],[Auto Order]]=1,IF(Table1[[#This Row],[In stock]]&lt;Table1[[#This Row],[Min in stock]],1,""),"")</f>
        <v/>
      </c>
    </row>
    <row r="155" spans="1:29" x14ac:dyDescent="0.25">
      <c r="A155" s="60" t="s">
        <v>3344</v>
      </c>
      <c r="B155" s="34" t="s">
        <v>251</v>
      </c>
      <c r="C155" s="34" t="s">
        <v>352</v>
      </c>
      <c r="D155" s="34" t="s">
        <v>3345</v>
      </c>
      <c r="E155" s="34" t="s">
        <v>559</v>
      </c>
      <c r="F155" s="53">
        <v>0</v>
      </c>
      <c r="G155" s="53"/>
      <c r="H155" s="53"/>
      <c r="I15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541-680UCT-ND</v>
      </c>
      <c r="J15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5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55" s="34" t="s">
        <v>3343</v>
      </c>
      <c r="M155" s="42">
        <v>0.48</v>
      </c>
      <c r="N155" s="34"/>
      <c r="O155" s="42"/>
      <c r="P155" s="34"/>
      <c r="Q155" s="42"/>
      <c r="R155" s="34"/>
      <c r="S155" s="42"/>
      <c r="T155" s="34"/>
      <c r="U155" s="42"/>
      <c r="V155" s="34"/>
      <c r="W155" s="42"/>
      <c r="X155" s="34"/>
      <c r="Y155" s="42"/>
      <c r="Z155" s="42"/>
      <c r="AA155" s="36"/>
      <c r="AB155" s="50"/>
      <c r="AC155" s="56" t="str">
        <f>IF(Table1[[#This Row],[Auto Order]]=1,IF(Table1[[#This Row],[In stock]]&lt;Table1[[#This Row],[Min in stock]],1,""),"")</f>
        <v/>
      </c>
    </row>
    <row r="156" spans="1:29" x14ac:dyDescent="0.25">
      <c r="A156" s="60" t="s">
        <v>3140</v>
      </c>
      <c r="B156" s="34" t="s">
        <v>251</v>
      </c>
      <c r="C156" s="34" t="s">
        <v>352</v>
      </c>
      <c r="D156" s="34" t="s">
        <v>3141</v>
      </c>
      <c r="E156" s="34" t="s">
        <v>559</v>
      </c>
      <c r="F156" s="53">
        <v>0</v>
      </c>
      <c r="G156" s="53"/>
      <c r="H156" s="53"/>
      <c r="I15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541-75.0UCT-ND</v>
      </c>
      <c r="J15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5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56" s="34" t="s">
        <v>3139</v>
      </c>
      <c r="M156" s="42">
        <v>0.48</v>
      </c>
      <c r="N156" s="34"/>
      <c r="O156" s="42"/>
      <c r="P156" s="34"/>
      <c r="Q156" s="42"/>
      <c r="R156" s="34"/>
      <c r="S156" s="42"/>
      <c r="T156" s="34"/>
      <c r="U156" s="42"/>
      <c r="V156" s="34"/>
      <c r="W156" s="42"/>
      <c r="X156" s="34"/>
      <c r="Y156" s="42"/>
      <c r="Z156" s="42"/>
      <c r="AA156" s="36"/>
      <c r="AB156" s="50"/>
      <c r="AC156" s="56" t="str">
        <f>IF(Table1[[#This Row],[Auto Order]]=1,IF(Table1[[#This Row],[In stock]]&lt;Table1[[#This Row],[Min in stock]],1,""),"")</f>
        <v/>
      </c>
    </row>
    <row r="157" spans="1:29" x14ac:dyDescent="0.25">
      <c r="A157" s="60" t="s">
        <v>3149</v>
      </c>
      <c r="B157" s="34" t="s">
        <v>251</v>
      </c>
      <c r="C157" s="34" t="s">
        <v>352</v>
      </c>
      <c r="D157" s="34" t="s">
        <v>3150</v>
      </c>
      <c r="E157" s="34" t="s">
        <v>559</v>
      </c>
      <c r="F157" s="53">
        <v>0</v>
      </c>
      <c r="G157" s="53"/>
      <c r="H157" s="53"/>
      <c r="I15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541-750UCT-ND</v>
      </c>
      <c r="J15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5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57" s="34" t="s">
        <v>3148</v>
      </c>
      <c r="M157" s="42">
        <v>0.48</v>
      </c>
      <c r="N157" s="34"/>
      <c r="O157" s="42"/>
      <c r="P157" s="34"/>
      <c r="Q157" s="42"/>
      <c r="R157" s="34"/>
      <c r="S157" s="42"/>
      <c r="T157" s="34"/>
      <c r="U157" s="42"/>
      <c r="V157" s="34"/>
      <c r="W157" s="42"/>
      <c r="X157" s="34"/>
      <c r="Y157" s="42"/>
      <c r="Z157" s="42"/>
      <c r="AA157" s="36"/>
      <c r="AB157" s="50"/>
      <c r="AC157" s="56" t="str">
        <f>IF(Table1[[#This Row],[Auto Order]]=1,IF(Table1[[#This Row],[In stock]]&lt;Table1[[#This Row],[Min in stock]],1,""),"")</f>
        <v/>
      </c>
    </row>
    <row r="158" spans="1:29" x14ac:dyDescent="0.25">
      <c r="A158" s="60" t="s">
        <v>3236</v>
      </c>
      <c r="B158" s="34" t="s">
        <v>251</v>
      </c>
      <c r="C158" s="34" t="s">
        <v>352</v>
      </c>
      <c r="D158" s="34" t="s">
        <v>3237</v>
      </c>
      <c r="E158" s="34" t="s">
        <v>559</v>
      </c>
      <c r="F158" s="53">
        <v>0</v>
      </c>
      <c r="G158" s="53"/>
      <c r="H158" s="53"/>
      <c r="I15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541-8.20UCT-ND</v>
      </c>
      <c r="J15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5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58" s="34" t="s">
        <v>3235</v>
      </c>
      <c r="M158" s="42">
        <v>0.48</v>
      </c>
      <c r="N158" s="34"/>
      <c r="O158" s="42"/>
      <c r="P158" s="34"/>
      <c r="Q158" s="42"/>
      <c r="R158" s="34"/>
      <c r="S158" s="42"/>
      <c r="T158" s="34"/>
      <c r="U158" s="42"/>
      <c r="V158" s="34"/>
      <c r="W158" s="42"/>
      <c r="X158" s="34"/>
      <c r="Y158" s="42"/>
      <c r="Z158" s="42"/>
      <c r="AA158" s="36"/>
      <c r="AB158" s="50"/>
      <c r="AC158" s="56" t="str">
        <f>IF(Table1[[#This Row],[Auto Order]]=1,IF(Table1[[#This Row],[In stock]]&lt;Table1[[#This Row],[Min in stock]],1,""),"")</f>
        <v/>
      </c>
    </row>
    <row r="159" spans="1:29" x14ac:dyDescent="0.25">
      <c r="A159" s="60" t="s">
        <v>3278</v>
      </c>
      <c r="B159" s="34" t="s">
        <v>251</v>
      </c>
      <c r="C159" s="34" t="s">
        <v>352</v>
      </c>
      <c r="D159" s="34" t="s">
        <v>3279</v>
      </c>
      <c r="E159" s="34" t="s">
        <v>559</v>
      </c>
      <c r="F159" s="53">
        <v>0</v>
      </c>
      <c r="G159" s="53"/>
      <c r="H159" s="53"/>
      <c r="I15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541-820UACT-ND</v>
      </c>
      <c r="J15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5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59" s="34" t="s">
        <v>3277</v>
      </c>
      <c r="M159" s="42">
        <v>0.42</v>
      </c>
      <c r="N159" s="34"/>
      <c r="O159" s="42"/>
      <c r="P159" s="34"/>
      <c r="Q159" s="42"/>
      <c r="R159" s="34"/>
      <c r="S159" s="42"/>
      <c r="T159" s="34"/>
      <c r="U159" s="42"/>
      <c r="V159" s="34"/>
      <c r="W159" s="42"/>
      <c r="X159" s="34"/>
      <c r="Y159" s="42"/>
      <c r="Z159" s="42"/>
      <c r="AA159" s="36"/>
      <c r="AB159" s="50"/>
      <c r="AC159" s="56" t="str">
        <f>IF(Table1[[#This Row],[Auto Order]]=1,IF(Table1[[#This Row],[In stock]]&lt;Table1[[#This Row],[Min in stock]],1,""),"")</f>
        <v/>
      </c>
    </row>
    <row r="160" spans="1:29" x14ac:dyDescent="0.25">
      <c r="A160" s="60" t="s">
        <v>3185</v>
      </c>
      <c r="B160" s="34" t="s">
        <v>251</v>
      </c>
      <c r="C160" s="34" t="s">
        <v>352</v>
      </c>
      <c r="D160" s="34" t="s">
        <v>3186</v>
      </c>
      <c r="E160" s="34" t="s">
        <v>559</v>
      </c>
      <c r="F160" s="53">
        <v>0</v>
      </c>
      <c r="G160" s="53"/>
      <c r="H160" s="53"/>
      <c r="I16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541-9.10UCT-ND</v>
      </c>
      <c r="J16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6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60" s="34" t="s">
        <v>3184</v>
      </c>
      <c r="M160" s="42">
        <v>0.48</v>
      </c>
      <c r="N160" s="34"/>
      <c r="O160" s="42"/>
      <c r="P160" s="34"/>
      <c r="Q160" s="42"/>
      <c r="R160" s="34"/>
      <c r="S160" s="42"/>
      <c r="T160" s="34"/>
      <c r="U160" s="42"/>
      <c r="V160" s="34"/>
      <c r="W160" s="42"/>
      <c r="X160" s="34"/>
      <c r="Y160" s="42"/>
      <c r="Z160" s="42"/>
      <c r="AA160" s="36"/>
      <c r="AB160" s="50"/>
      <c r="AC160" s="56" t="str">
        <f>IF(Table1[[#This Row],[Auto Order]]=1,IF(Table1[[#This Row],[In stock]]&lt;Table1[[#This Row],[Min in stock]],1,""),"")</f>
        <v/>
      </c>
    </row>
    <row r="161" spans="1:29" x14ac:dyDescent="0.25">
      <c r="A161" s="60" t="s">
        <v>3293</v>
      </c>
      <c r="B161" s="34" t="s">
        <v>251</v>
      </c>
      <c r="C161" s="34" t="s">
        <v>352</v>
      </c>
      <c r="D161" s="34" t="s">
        <v>3294</v>
      </c>
      <c r="E161" s="34" t="s">
        <v>559</v>
      </c>
      <c r="F161" s="53">
        <v>0</v>
      </c>
      <c r="G161" s="53"/>
      <c r="H161" s="53"/>
      <c r="I16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541-953UCT-ND</v>
      </c>
      <c r="J16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6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61" s="34" t="s">
        <v>3292</v>
      </c>
      <c r="M161" s="42">
        <v>0.48</v>
      </c>
      <c r="N161" s="34"/>
      <c r="O161" s="42"/>
      <c r="P161" s="34"/>
      <c r="Q161" s="42"/>
      <c r="R161" s="34"/>
      <c r="S161" s="42"/>
      <c r="T161" s="34"/>
      <c r="U161" s="42"/>
      <c r="V161" s="34"/>
      <c r="W161" s="42"/>
      <c r="X161" s="34"/>
      <c r="Y161" s="42"/>
      <c r="Z161" s="42"/>
      <c r="AA161" s="36"/>
      <c r="AB161" s="50"/>
      <c r="AC161" s="56" t="str">
        <f>IF(Table1[[#This Row],[Auto Order]]=1,IF(Table1[[#This Row],[In stock]]&lt;Table1[[#This Row],[Min in stock]],1,""),"")</f>
        <v/>
      </c>
    </row>
    <row r="162" spans="1:29" x14ac:dyDescent="0.25">
      <c r="A162" s="52" t="s">
        <v>117</v>
      </c>
      <c r="B162" s="34" t="s">
        <v>93</v>
      </c>
      <c r="C162" s="34" t="s">
        <v>352</v>
      </c>
      <c r="D162" s="34" t="s">
        <v>29</v>
      </c>
      <c r="E162" s="34" t="s">
        <v>546</v>
      </c>
      <c r="F162" s="53">
        <v>4</v>
      </c>
      <c r="G162" s="53"/>
      <c r="H162" s="53"/>
      <c r="I16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486-1258-ND</v>
      </c>
      <c r="J16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0.91</v>
      </c>
      <c r="K16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62" s="34" t="s">
        <v>465</v>
      </c>
      <c r="M162" s="42">
        <v>0.91</v>
      </c>
      <c r="N162" s="34">
        <v>1162740</v>
      </c>
      <c r="O162" s="42">
        <v>0.505</v>
      </c>
      <c r="P162" s="34"/>
      <c r="Q162" s="42"/>
      <c r="R162" s="34"/>
      <c r="S162" s="42"/>
      <c r="T162" s="34"/>
      <c r="U162" s="42"/>
      <c r="V162" s="34"/>
      <c r="W162" s="42"/>
      <c r="X162" s="34"/>
      <c r="Y162" s="42">
        <v>0.505</v>
      </c>
      <c r="Z162" s="42"/>
      <c r="AA162" s="36"/>
      <c r="AB162" s="50"/>
      <c r="AC162" s="35" t="str">
        <f>IF(Table1[[#This Row],[Auto Order]]=1,IF(Table1[[#This Row],[In stock]]&lt;Table1[[#This Row],[Min in stock]],1,""),"")</f>
        <v/>
      </c>
    </row>
    <row r="163" spans="1:29" x14ac:dyDescent="0.25">
      <c r="A163" s="52" t="s">
        <v>31</v>
      </c>
      <c r="B163" s="34" t="s">
        <v>93</v>
      </c>
      <c r="C163" s="34" t="s">
        <v>352</v>
      </c>
      <c r="D163" s="34" t="s">
        <v>30</v>
      </c>
      <c r="E163" s="34" t="s">
        <v>546</v>
      </c>
      <c r="F163" s="53">
        <v>4</v>
      </c>
      <c r="G163" s="53"/>
      <c r="H163" s="53"/>
      <c r="I16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486-3662-ND</v>
      </c>
      <c r="J16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1.27</v>
      </c>
      <c r="K16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63" s="34" t="s">
        <v>466</v>
      </c>
      <c r="M163" s="42">
        <v>1.27</v>
      </c>
      <c r="N163" s="34">
        <v>1829519</v>
      </c>
      <c r="O163" s="42">
        <v>0.78900000000000003</v>
      </c>
      <c r="P163" s="34"/>
      <c r="Q163" s="42"/>
      <c r="R163" s="34"/>
      <c r="S163" s="42"/>
      <c r="T163" s="34"/>
      <c r="U163" s="42"/>
      <c r="V163" s="34"/>
      <c r="W163" s="42"/>
      <c r="X163" s="34"/>
      <c r="Y163" s="42">
        <v>0.78900000000000003</v>
      </c>
      <c r="Z163" s="42"/>
      <c r="AA163" s="36"/>
      <c r="AB163" s="50"/>
      <c r="AC163" s="35" t="str">
        <f>IF(Table1[[#This Row],[Auto Order]]=1,IF(Table1[[#This Row],[In stock]]&lt;Table1[[#This Row],[Min in stock]],1,""),"")</f>
        <v/>
      </c>
    </row>
    <row r="164" spans="1:29" x14ac:dyDescent="0.25">
      <c r="A164" s="52" t="s">
        <v>367</v>
      </c>
      <c r="B164" s="34" t="s">
        <v>365</v>
      </c>
      <c r="C164" s="34" t="s">
        <v>352</v>
      </c>
      <c r="D164" s="34" t="s">
        <v>368</v>
      </c>
      <c r="E164" s="34" t="s">
        <v>546</v>
      </c>
      <c r="F164" s="53">
        <v>1</v>
      </c>
      <c r="G164" s="53"/>
      <c r="H164" s="53"/>
      <c r="I16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32673925190</v>
      </c>
      <c r="J16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</v>
      </c>
      <c r="K16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Aliexpress</v>
      </c>
      <c r="L164" s="34"/>
      <c r="M164" s="42"/>
      <c r="N164" s="34"/>
      <c r="O164" s="42"/>
      <c r="P164" s="34"/>
      <c r="Q164" s="42"/>
      <c r="R164" s="34"/>
      <c r="S164" s="42"/>
      <c r="T164" s="34"/>
      <c r="U164" s="42"/>
      <c r="V164" s="34" t="s">
        <v>367</v>
      </c>
      <c r="W164" s="42">
        <v>1</v>
      </c>
      <c r="X164" s="34"/>
      <c r="Y164" s="42"/>
      <c r="Z164" s="42"/>
      <c r="AA164" s="36"/>
      <c r="AB164" s="50"/>
      <c r="AC164" s="35" t="str">
        <f>IF(Table1[[#This Row],[Auto Order]]=1,IF(Table1[[#This Row],[In stock]]&lt;Table1[[#This Row],[Min in stock]],1,""),"")</f>
        <v/>
      </c>
    </row>
    <row r="165" spans="1:29" x14ac:dyDescent="0.25">
      <c r="A165" s="52" t="s">
        <v>105</v>
      </c>
      <c r="B165" s="34" t="s">
        <v>94</v>
      </c>
      <c r="C165" s="34" t="s">
        <v>352</v>
      </c>
      <c r="D165" s="34" t="s">
        <v>104</v>
      </c>
      <c r="E165" s="34" t="s">
        <v>565</v>
      </c>
      <c r="F165" s="53">
        <v>5</v>
      </c>
      <c r="G165" s="53"/>
      <c r="H165" s="53"/>
      <c r="I16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1605571</v>
      </c>
      <c r="J16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0.44600000000000001</v>
      </c>
      <c r="K16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Farnell</v>
      </c>
      <c r="L165" s="34"/>
      <c r="M165" s="42"/>
      <c r="N165" s="34" t="s">
        <v>106</v>
      </c>
      <c r="O165" s="42">
        <v>0.44600000000000001</v>
      </c>
      <c r="P165" s="34"/>
      <c r="Q165" s="42"/>
      <c r="R165" s="34"/>
      <c r="S165" s="42"/>
      <c r="T165" s="34"/>
      <c r="U165" s="42"/>
      <c r="V165" s="34"/>
      <c r="W165" s="42"/>
      <c r="X165" s="34"/>
      <c r="Y165" s="42">
        <v>0.44600000000000001</v>
      </c>
      <c r="Z165" s="42"/>
      <c r="AA165" s="36"/>
      <c r="AB165" s="50"/>
      <c r="AC165" s="35" t="str">
        <f>IF(Table1[[#This Row],[Auto Order]]=1,IF(Table1[[#This Row],[In stock]]&lt;Table1[[#This Row],[Min in stock]],1,""),"")</f>
        <v/>
      </c>
    </row>
    <row r="166" spans="1:29" x14ac:dyDescent="0.25">
      <c r="A166" s="52">
        <v>90990</v>
      </c>
      <c r="B166" s="34" t="s">
        <v>65</v>
      </c>
      <c r="C166" s="34" t="s">
        <v>352</v>
      </c>
      <c r="D166" s="34" t="s">
        <v>390</v>
      </c>
      <c r="E166" s="34" t="s">
        <v>541</v>
      </c>
      <c r="F166" s="53">
        <v>1</v>
      </c>
      <c r="G166" s="53"/>
      <c r="H166" s="53"/>
      <c r="I16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90990</v>
      </c>
      <c r="J16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13.1</v>
      </c>
      <c r="K16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Banggood</v>
      </c>
      <c r="L166" s="34"/>
      <c r="M166" s="42"/>
      <c r="N166" s="34"/>
      <c r="O166" s="42"/>
      <c r="P166" s="34"/>
      <c r="Q166" s="42"/>
      <c r="R166" s="34"/>
      <c r="S166" s="42"/>
      <c r="T166" s="34"/>
      <c r="U166" s="42"/>
      <c r="V166" s="34"/>
      <c r="W166" s="42"/>
      <c r="X166" s="34" t="s">
        <v>201</v>
      </c>
      <c r="Y166" s="42">
        <v>13.1</v>
      </c>
      <c r="Z166" s="42"/>
      <c r="AA166" s="36"/>
      <c r="AB166" s="50"/>
      <c r="AC166" s="35" t="str">
        <f>IF(Table1[[#This Row],[Auto Order]]=1,IF(Table1[[#This Row],[In stock]]&lt;Table1[[#This Row],[Min in stock]],1,""),"")</f>
        <v/>
      </c>
    </row>
    <row r="167" spans="1:29" x14ac:dyDescent="0.25">
      <c r="A167" s="52" t="s">
        <v>158</v>
      </c>
      <c r="B167" s="34" t="s">
        <v>95</v>
      </c>
      <c r="C167" s="34" t="s">
        <v>352</v>
      </c>
      <c r="D167" s="34" t="s">
        <v>66</v>
      </c>
      <c r="E167" s="34" t="s">
        <v>568</v>
      </c>
      <c r="F167" s="53">
        <v>1</v>
      </c>
      <c r="G167" s="53"/>
      <c r="H167" s="53"/>
      <c r="I16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377-2428-ND</v>
      </c>
      <c r="J16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15.9</v>
      </c>
      <c r="K16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67" s="34" t="s">
        <v>64</v>
      </c>
      <c r="M167" s="42">
        <v>15.9</v>
      </c>
      <c r="N167" s="34"/>
      <c r="O167" s="42"/>
      <c r="P167" s="34"/>
      <c r="Q167" s="42"/>
      <c r="R167" s="34"/>
      <c r="S167" s="42"/>
      <c r="T167" s="34"/>
      <c r="U167" s="42"/>
      <c r="V167" s="34"/>
      <c r="W167" s="42"/>
      <c r="X167" s="34"/>
      <c r="Y167" s="42"/>
      <c r="Z167" s="42"/>
      <c r="AA167" s="36"/>
      <c r="AB167" s="50"/>
      <c r="AC167" s="35" t="str">
        <f>IF(Table1[[#This Row],[Auto Order]]=1,IF(Table1[[#This Row],[In stock]]&lt;Table1[[#This Row],[Min in stock]],1,""),"")</f>
        <v/>
      </c>
    </row>
    <row r="168" spans="1:29" x14ac:dyDescent="0.25">
      <c r="A168" s="55" t="s">
        <v>505</v>
      </c>
      <c r="B168" s="34" t="s">
        <v>80</v>
      </c>
      <c r="C168" s="34" t="s">
        <v>352</v>
      </c>
      <c r="D168" s="34" t="s">
        <v>507</v>
      </c>
      <c r="E168" s="34" t="s">
        <v>573</v>
      </c>
      <c r="F168" s="53">
        <v>0</v>
      </c>
      <c r="G168" s="53">
        <v>1</v>
      </c>
      <c r="H168" s="53">
        <v>1</v>
      </c>
      <c r="I16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MCP2210-I/SS-ND</v>
      </c>
      <c r="J16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2</v>
      </c>
      <c r="K16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68" s="34" t="s">
        <v>506</v>
      </c>
      <c r="M168" s="42">
        <v>2</v>
      </c>
      <c r="N168" s="34"/>
      <c r="O168" s="42"/>
      <c r="P168" s="34"/>
      <c r="Q168" s="42"/>
      <c r="R168" s="34"/>
      <c r="S168" s="42"/>
      <c r="T168" s="34"/>
      <c r="U168" s="42"/>
      <c r="V168" s="34"/>
      <c r="W168" s="42"/>
      <c r="X168" s="34"/>
      <c r="Y168" s="42"/>
      <c r="Z168" s="42"/>
      <c r="AA168" s="36"/>
      <c r="AB168" s="50"/>
      <c r="AC168" s="35">
        <f>IF(Table1[[#This Row],[Auto Order]]=1,IF(Table1[[#This Row],[In stock]]&lt;Table1[[#This Row],[Min in stock]],1,""),"")</f>
        <v>1</v>
      </c>
    </row>
    <row r="169" spans="1:29" x14ac:dyDescent="0.25">
      <c r="A169" s="52" t="s">
        <v>77</v>
      </c>
      <c r="B169" s="34" t="s">
        <v>76</v>
      </c>
      <c r="C169" s="34" t="s">
        <v>352</v>
      </c>
      <c r="D169" s="34" t="s">
        <v>75</v>
      </c>
      <c r="E169" s="34" t="s">
        <v>557</v>
      </c>
      <c r="F169" s="53">
        <v>1</v>
      </c>
      <c r="G169" s="53"/>
      <c r="H169" s="53"/>
      <c r="I16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668-1204-ND</v>
      </c>
      <c r="J16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2.98</v>
      </c>
      <c r="K16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69" s="34" t="s">
        <v>74</v>
      </c>
      <c r="M169" s="42">
        <v>2.98</v>
      </c>
      <c r="N169" s="34"/>
      <c r="O169" s="42"/>
      <c r="P169" s="34"/>
      <c r="Q169" s="42"/>
      <c r="R169" s="34"/>
      <c r="S169" s="42"/>
      <c r="T169" s="34"/>
      <c r="U169" s="42"/>
      <c r="V169" s="34"/>
      <c r="W169" s="42"/>
      <c r="X169" s="34"/>
      <c r="Y169" s="42"/>
      <c r="Z169" s="42"/>
      <c r="AA169" s="36"/>
      <c r="AB169" s="50"/>
      <c r="AC169" s="35" t="str">
        <f>IF(Table1[[#This Row],[Auto Order]]=1,IF(Table1[[#This Row],[In stock]]&lt;Table1[[#This Row],[Min in stock]],1,""),"")</f>
        <v/>
      </c>
    </row>
    <row r="170" spans="1:29" x14ac:dyDescent="0.25">
      <c r="A170" s="52" t="s">
        <v>335</v>
      </c>
      <c r="B170" s="34" t="s">
        <v>336</v>
      </c>
      <c r="C170" s="34" t="s">
        <v>352</v>
      </c>
      <c r="D170" s="34" t="s">
        <v>337</v>
      </c>
      <c r="E170" s="34" t="s">
        <v>562</v>
      </c>
      <c r="F170" s="53">
        <v>0</v>
      </c>
      <c r="G170" s="53"/>
      <c r="H170" s="53"/>
      <c r="I17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155-79-878</v>
      </c>
      <c r="J17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24.6</v>
      </c>
      <c r="K17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Distrelec</v>
      </c>
      <c r="L170" s="34"/>
      <c r="M170" s="42"/>
      <c r="N170" s="34"/>
      <c r="O170" s="42"/>
      <c r="P170" s="34" t="s">
        <v>334</v>
      </c>
      <c r="Q170" s="42">
        <v>24.6</v>
      </c>
      <c r="R170" s="34"/>
      <c r="S170" s="42"/>
      <c r="T170" s="34"/>
      <c r="U170" s="42"/>
      <c r="V170" s="34"/>
      <c r="W170" s="42"/>
      <c r="X170" s="34"/>
      <c r="Y170" s="42"/>
      <c r="Z170" s="42"/>
      <c r="AA170" s="36"/>
      <c r="AB170" s="50"/>
      <c r="AC170" s="35" t="str">
        <f>IF(Table1[[#This Row],[Auto Order]]=1,IF(Table1[[#This Row],[In stock]]&lt;Table1[[#This Row],[Min in stock]],1,""),"")</f>
        <v/>
      </c>
    </row>
    <row r="171" spans="1:29" x14ac:dyDescent="0.25">
      <c r="A171" s="52" t="s">
        <v>522</v>
      </c>
      <c r="B171" s="34" t="s">
        <v>258</v>
      </c>
      <c r="C171" s="34" t="s">
        <v>352</v>
      </c>
      <c r="D171" s="34" t="s">
        <v>268</v>
      </c>
      <c r="E171" s="34" t="s">
        <v>547</v>
      </c>
      <c r="F171" s="53">
        <v>4</v>
      </c>
      <c r="G171" s="53"/>
      <c r="H171" s="53"/>
      <c r="I17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732-8886-1-ND</v>
      </c>
      <c r="J17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0.43</v>
      </c>
      <c r="K17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71" s="34" t="s">
        <v>267</v>
      </c>
      <c r="M171" s="42">
        <v>0.43</v>
      </c>
      <c r="N171" s="34"/>
      <c r="O171" s="42"/>
      <c r="P171" s="34"/>
      <c r="Q171" s="42"/>
      <c r="R171" s="34"/>
      <c r="S171" s="42"/>
      <c r="T171" s="34"/>
      <c r="U171" s="42"/>
      <c r="V171" s="34"/>
      <c r="W171" s="42"/>
      <c r="X171" s="34"/>
      <c r="Y171" s="42"/>
      <c r="Z171" s="42"/>
      <c r="AA171" s="36"/>
      <c r="AB171" s="50"/>
      <c r="AC171" s="35" t="str">
        <f>IF(Table1[[#This Row],[Auto Order]]=1,IF(Table1[[#This Row],[In stock]]&lt;Table1[[#This Row],[Min in stock]],1,""),"")</f>
        <v/>
      </c>
    </row>
    <row r="172" spans="1:29" x14ac:dyDescent="0.25">
      <c r="A172" s="62" t="s">
        <v>583</v>
      </c>
      <c r="B172" s="34" t="s">
        <v>160</v>
      </c>
      <c r="C172" s="34" t="s">
        <v>352</v>
      </c>
      <c r="D172" s="34" t="s">
        <v>703</v>
      </c>
      <c r="E172" s="34" t="s">
        <v>547</v>
      </c>
      <c r="F172" s="53">
        <v>0</v>
      </c>
      <c r="G172" s="53"/>
      <c r="H172" s="53"/>
      <c r="I17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732-7628-1-ND</v>
      </c>
      <c r="J17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0.151</v>
      </c>
      <c r="K17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72" s="34" t="s">
        <v>704</v>
      </c>
      <c r="M172" s="42">
        <v>0.151</v>
      </c>
      <c r="N172" s="34"/>
      <c r="O172" s="42"/>
      <c r="P172" s="34"/>
      <c r="Q172" s="42"/>
      <c r="R172" s="34"/>
      <c r="S172" s="42"/>
      <c r="T172" s="34"/>
      <c r="U172" s="42"/>
      <c r="V172" s="34"/>
      <c r="W172" s="42"/>
      <c r="X172" s="34"/>
      <c r="Y172" s="42"/>
      <c r="Z172" s="42"/>
      <c r="AA172" s="36"/>
      <c r="AB172" s="50"/>
      <c r="AC172" s="56" t="str">
        <f>IF(Table1[[#This Row],[Auto Order]]=1,IF(Table1[[#This Row],[In stock]]&lt;Table1[[#This Row],[Min in stock]],1,""),"")</f>
        <v/>
      </c>
    </row>
    <row r="173" spans="1:29" x14ac:dyDescent="0.25">
      <c r="A173" s="62" t="s">
        <v>585</v>
      </c>
      <c r="B173" s="34" t="s">
        <v>160</v>
      </c>
      <c r="C173" s="34" t="s">
        <v>352</v>
      </c>
      <c r="D173" s="34" t="s">
        <v>709</v>
      </c>
      <c r="E173" s="34" t="s">
        <v>547</v>
      </c>
      <c r="F173" s="53">
        <v>0</v>
      </c>
      <c r="G173" s="53">
        <v>2</v>
      </c>
      <c r="H173" s="53">
        <f>1</f>
        <v>1</v>
      </c>
      <c r="I17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732-8053-1-ND</v>
      </c>
      <c r="J17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3.5999999999999997E-2</v>
      </c>
      <c r="K17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73" s="34" t="s">
        <v>710</v>
      </c>
      <c r="M173" s="42">
        <v>3.5999999999999997E-2</v>
      </c>
      <c r="N173" s="34"/>
      <c r="O173" s="42"/>
      <c r="P173" s="34"/>
      <c r="Q173" s="42"/>
      <c r="R173" s="34"/>
      <c r="S173" s="42"/>
      <c r="T173" s="34"/>
      <c r="U173" s="42"/>
      <c r="V173" s="34"/>
      <c r="W173" s="42"/>
      <c r="X173" s="34"/>
      <c r="Y173" s="42"/>
      <c r="Z173" s="42"/>
      <c r="AA173" s="36"/>
      <c r="AB173" s="50"/>
      <c r="AC173" s="56">
        <f>IF(Table1[[#This Row],[Auto Order]]=1,IF(Table1[[#This Row],[In stock]]&lt;Table1[[#This Row],[Min in stock]],1,""),"")</f>
        <v>1</v>
      </c>
    </row>
    <row r="174" spans="1:29" x14ac:dyDescent="0.25">
      <c r="A174" s="62" t="s">
        <v>582</v>
      </c>
      <c r="B174" s="34" t="s">
        <v>160</v>
      </c>
      <c r="C174" s="34" t="s">
        <v>352</v>
      </c>
      <c r="D174" s="34" t="s">
        <v>705</v>
      </c>
      <c r="E174" s="34" t="s">
        <v>547</v>
      </c>
      <c r="F174" s="53">
        <v>0</v>
      </c>
      <c r="G174" s="53">
        <v>2</v>
      </c>
      <c r="H174" s="53">
        <f>1</f>
        <v>1</v>
      </c>
      <c r="I17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732-7670-1-ND</v>
      </c>
      <c r="J17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0.10199999999999999</v>
      </c>
      <c r="K17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74" s="34" t="s">
        <v>706</v>
      </c>
      <c r="M174" s="42">
        <v>0.10199999999999999</v>
      </c>
      <c r="N174" s="34"/>
      <c r="O174" s="42"/>
      <c r="P174" s="34"/>
      <c r="Q174" s="42"/>
      <c r="R174" s="34"/>
      <c r="S174" s="42"/>
      <c r="T174" s="34"/>
      <c r="U174" s="42"/>
      <c r="V174" s="34"/>
      <c r="W174" s="42"/>
      <c r="X174" s="34"/>
      <c r="Y174" s="42"/>
      <c r="Z174" s="42"/>
      <c r="AA174" s="36"/>
      <c r="AB174" s="50"/>
      <c r="AC174" s="56">
        <f>IF(Table1[[#This Row],[Auto Order]]=1,IF(Table1[[#This Row],[In stock]]&lt;Table1[[#This Row],[Min in stock]],1,""),"")</f>
        <v>1</v>
      </c>
    </row>
    <row r="175" spans="1:29" x14ac:dyDescent="0.25">
      <c r="A175" s="62" t="s">
        <v>584</v>
      </c>
      <c r="B175" s="34" t="s">
        <v>160</v>
      </c>
      <c r="C175" s="34" t="s">
        <v>352</v>
      </c>
      <c r="D175" s="34" t="s">
        <v>707</v>
      </c>
      <c r="E175" s="34" t="s">
        <v>547</v>
      </c>
      <c r="F175" s="53">
        <v>0</v>
      </c>
      <c r="G175" s="53">
        <v>20</v>
      </c>
      <c r="H175" s="53">
        <f>1</f>
        <v>1</v>
      </c>
      <c r="I17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732-7672-1-ND</v>
      </c>
      <c r="J17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0.08</v>
      </c>
      <c r="K17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75" s="34" t="s">
        <v>708</v>
      </c>
      <c r="M175" s="42">
        <v>0.08</v>
      </c>
      <c r="N175" s="34"/>
      <c r="O175" s="42"/>
      <c r="P175" s="34"/>
      <c r="Q175" s="42"/>
      <c r="R175" s="34"/>
      <c r="S175" s="42"/>
      <c r="T175" s="34"/>
      <c r="U175" s="42"/>
      <c r="V175" s="34"/>
      <c r="W175" s="42"/>
      <c r="X175" s="34"/>
      <c r="Y175" s="42"/>
      <c r="Z175" s="42"/>
      <c r="AA175" s="36"/>
      <c r="AB175" s="50"/>
      <c r="AC175" s="56">
        <f>IF(Table1[[#This Row],[Auto Order]]=1,IF(Table1[[#This Row],[In stock]]&lt;Table1[[#This Row],[Min in stock]],1,""),"")</f>
        <v>1</v>
      </c>
    </row>
    <row r="176" spans="1:29" x14ac:dyDescent="0.25">
      <c r="A176" s="52" t="s">
        <v>242</v>
      </c>
      <c r="B176" s="34" t="s">
        <v>243</v>
      </c>
      <c r="C176" s="34" t="s">
        <v>352</v>
      </c>
      <c r="D176" s="34" t="s">
        <v>244</v>
      </c>
      <c r="E176" s="34" t="s">
        <v>547</v>
      </c>
      <c r="F176" s="53">
        <v>17</v>
      </c>
      <c r="G176" s="53">
        <v>20</v>
      </c>
      <c r="H176" s="53">
        <f>1</f>
        <v>1</v>
      </c>
      <c r="I17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1276-3178-1-ND</v>
      </c>
      <c r="J17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0.27</v>
      </c>
      <c r="K17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76" s="34" t="s">
        <v>241</v>
      </c>
      <c r="M176" s="42">
        <v>0.27</v>
      </c>
      <c r="N176" s="34"/>
      <c r="O176" s="42"/>
      <c r="P176" s="34"/>
      <c r="Q176" s="42"/>
      <c r="R176" s="34"/>
      <c r="S176" s="42"/>
      <c r="T176" s="34"/>
      <c r="U176" s="42"/>
      <c r="V176" s="34"/>
      <c r="W176" s="42"/>
      <c r="X176" s="34"/>
      <c r="Y176" s="42"/>
      <c r="Z176" s="42"/>
      <c r="AA176" s="36"/>
      <c r="AB176" s="50"/>
      <c r="AC176" s="35">
        <f>IF(Table1[[#This Row],[Auto Order]]=1,IF(Table1[[#This Row],[In stock]]&lt;Table1[[#This Row],[Min in stock]],1,""),"")</f>
        <v>1</v>
      </c>
    </row>
    <row r="177" spans="1:29" x14ac:dyDescent="0.25">
      <c r="A177" s="52" t="s">
        <v>14</v>
      </c>
      <c r="B177" s="34" t="s">
        <v>33</v>
      </c>
      <c r="C177" s="34" t="s">
        <v>352</v>
      </c>
      <c r="D177" s="34" t="s">
        <v>13</v>
      </c>
      <c r="E177" s="34" t="s">
        <v>547</v>
      </c>
      <c r="F177" s="53">
        <v>49</v>
      </c>
      <c r="G177" s="53">
        <v>20</v>
      </c>
      <c r="H177" s="53">
        <f>1</f>
        <v>1</v>
      </c>
      <c r="I177" s="34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9451242</v>
      </c>
      <c r="J17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5.1700000000000003E-2</v>
      </c>
      <c r="K17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Farnell</v>
      </c>
      <c r="L177" s="34"/>
      <c r="M177" s="42"/>
      <c r="N177" s="34">
        <v>9451242</v>
      </c>
      <c r="O177" s="42">
        <v>5.1700000000000003E-2</v>
      </c>
      <c r="P177" s="34"/>
      <c r="Q177" s="42"/>
      <c r="R177" s="34"/>
      <c r="S177" s="42"/>
      <c r="T177" s="34"/>
      <c r="U177" s="42"/>
      <c r="V177" s="34"/>
      <c r="W177" s="42"/>
      <c r="X177" s="34"/>
      <c r="Y177" s="42">
        <v>5.1700000000000003E-2</v>
      </c>
      <c r="Z177" s="42"/>
      <c r="AA177" s="36"/>
      <c r="AB177" s="50"/>
      <c r="AC177" s="35" t="str">
        <f>IF(Table1[[#This Row],[Auto Order]]=1,IF(Table1[[#This Row],[In stock]]&lt;Table1[[#This Row],[Min in stock]],1,""),"")</f>
        <v/>
      </c>
    </row>
    <row r="178" spans="1:29" x14ac:dyDescent="0.25">
      <c r="A178" s="62" t="s">
        <v>3085</v>
      </c>
      <c r="B178" s="34" t="s">
        <v>243</v>
      </c>
      <c r="C178" s="34" t="s">
        <v>352</v>
      </c>
      <c r="D178" s="34" t="s">
        <v>3086</v>
      </c>
      <c r="E178" s="34" t="s">
        <v>547</v>
      </c>
      <c r="F178" s="53">
        <v>0</v>
      </c>
      <c r="G178" s="53">
        <v>100</v>
      </c>
      <c r="H178" s="53">
        <f>1</f>
        <v>1</v>
      </c>
      <c r="I17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1276-6468-1-ND</v>
      </c>
      <c r="J17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2.7E-2</v>
      </c>
      <c r="K17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78" s="34" t="s">
        <v>3087</v>
      </c>
      <c r="M178" s="42">
        <v>2.7E-2</v>
      </c>
      <c r="N178" s="34"/>
      <c r="O178" s="42"/>
      <c r="P178" s="34"/>
      <c r="Q178" s="42"/>
      <c r="R178" s="34"/>
      <c r="S178" s="42"/>
      <c r="T178" s="34"/>
      <c r="U178" s="42"/>
      <c r="V178" s="34"/>
      <c r="W178" s="42"/>
      <c r="X178" s="34"/>
      <c r="Y178" s="42"/>
      <c r="Z178" s="42"/>
      <c r="AA178" s="36"/>
      <c r="AB178" s="50"/>
      <c r="AC178" s="56">
        <f>IF(Table1[[#This Row],[Auto Order]]=1,IF(Table1[[#This Row],[In stock]]&lt;Table1[[#This Row],[Min in stock]],1,""),"")</f>
        <v>1</v>
      </c>
    </row>
    <row r="179" spans="1:29" x14ac:dyDescent="0.25">
      <c r="A179" s="52">
        <v>965083</v>
      </c>
      <c r="B179" s="34" t="s">
        <v>65</v>
      </c>
      <c r="C179" s="34" t="s">
        <v>352</v>
      </c>
      <c r="D179" s="34" t="s">
        <v>87</v>
      </c>
      <c r="E179" s="34" t="s">
        <v>543</v>
      </c>
      <c r="F179" s="53">
        <v>2</v>
      </c>
      <c r="G179" s="53">
        <v>1</v>
      </c>
      <c r="H179" s="53">
        <f>1</f>
        <v>1</v>
      </c>
      <c r="I179" s="34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965083</v>
      </c>
      <c r="J17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3.18</v>
      </c>
      <c r="K17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Banggood</v>
      </c>
      <c r="L179" s="34"/>
      <c r="M179" s="42"/>
      <c r="N179" s="34"/>
      <c r="O179" s="42"/>
      <c r="P179" s="34"/>
      <c r="Q179" s="42"/>
      <c r="R179" s="34"/>
      <c r="S179" s="42"/>
      <c r="T179" s="34"/>
      <c r="U179" s="42"/>
      <c r="V179" s="34"/>
      <c r="W179" s="42"/>
      <c r="X179" s="34">
        <v>965083</v>
      </c>
      <c r="Y179" s="42">
        <v>3.18</v>
      </c>
      <c r="Z179" s="42"/>
      <c r="AA179" s="36"/>
      <c r="AB179" s="50"/>
      <c r="AC179" s="35" t="str">
        <f>IF(Table1[[#This Row],[Auto Order]]=1,IF(Table1[[#This Row],[In stock]]&lt;Table1[[#This Row],[Min in stock]],1,""),"")</f>
        <v/>
      </c>
    </row>
    <row r="180" spans="1:29" x14ac:dyDescent="0.25">
      <c r="A180" s="52" t="s">
        <v>156</v>
      </c>
      <c r="B180" s="34" t="s">
        <v>162</v>
      </c>
      <c r="C180" s="34" t="s">
        <v>352</v>
      </c>
      <c r="D180" s="34" t="s">
        <v>157</v>
      </c>
      <c r="E180" s="34" t="s">
        <v>543</v>
      </c>
      <c r="F180" s="53">
        <v>10</v>
      </c>
      <c r="G180" s="53">
        <v>2</v>
      </c>
      <c r="H180" s="53">
        <v>1</v>
      </c>
      <c r="I18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609-4052-1-ND</v>
      </c>
      <c r="J18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0.66500000000000004</v>
      </c>
      <c r="K18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80" s="34" t="s">
        <v>155</v>
      </c>
      <c r="M180" s="42">
        <v>0.66500000000000004</v>
      </c>
      <c r="N180" s="34"/>
      <c r="O180" s="42"/>
      <c r="P180" s="34"/>
      <c r="Q180" s="42"/>
      <c r="R180" s="34"/>
      <c r="S180" s="42"/>
      <c r="T180" s="34"/>
      <c r="U180" s="42"/>
      <c r="V180" s="34"/>
      <c r="W180" s="42"/>
      <c r="X180" s="34"/>
      <c r="Y180" s="42"/>
      <c r="Z180" s="42"/>
      <c r="AA180" s="36"/>
      <c r="AB180" s="50"/>
      <c r="AC180" s="35" t="str">
        <f>IF(Table1[[#This Row],[Auto Order]]=1,IF(Table1[[#This Row],[In stock]]&lt;Table1[[#This Row],[Min in stock]],1,""),"")</f>
        <v/>
      </c>
    </row>
    <row r="181" spans="1:29" x14ac:dyDescent="0.25">
      <c r="A181" s="52" t="s">
        <v>113</v>
      </c>
      <c r="B181" s="34" t="s">
        <v>33</v>
      </c>
      <c r="C181" s="34" t="s">
        <v>352</v>
      </c>
      <c r="D181" s="34" t="s">
        <v>116</v>
      </c>
      <c r="E181" s="34" t="s">
        <v>543</v>
      </c>
      <c r="F181" s="53">
        <v>-2.2000000000000002</v>
      </c>
      <c r="G181" s="53">
        <v>5</v>
      </c>
      <c r="H181" s="53">
        <f>1</f>
        <v>1</v>
      </c>
      <c r="I18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2725179</v>
      </c>
      <c r="J18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0.28699999999999998</v>
      </c>
      <c r="K18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Farnell</v>
      </c>
      <c r="L181" s="34"/>
      <c r="M181" s="42"/>
      <c r="N181" s="34" t="s">
        <v>114</v>
      </c>
      <c r="O181" s="42">
        <v>0.28699999999999998</v>
      </c>
      <c r="P181" s="34"/>
      <c r="Q181" s="42"/>
      <c r="R181" s="34"/>
      <c r="S181" s="42"/>
      <c r="T181" s="34"/>
      <c r="U181" s="42"/>
      <c r="V181" s="34"/>
      <c r="W181" s="42"/>
      <c r="X181" s="34"/>
      <c r="Y181" s="42">
        <v>0.28699999999999998</v>
      </c>
      <c r="Z181" s="42"/>
      <c r="AA181" s="36"/>
      <c r="AB181" s="50"/>
      <c r="AC181" s="35">
        <f>IF(Table1[[#This Row],[Auto Order]]=1,IF(Table1[[#This Row],[In stock]]&lt;Table1[[#This Row],[Min in stock]],1,""),"")</f>
        <v>1</v>
      </c>
    </row>
    <row r="182" spans="1:29" x14ac:dyDescent="0.25">
      <c r="A182" s="52" t="s">
        <v>482</v>
      </c>
      <c r="B182" s="34" t="s">
        <v>419</v>
      </c>
      <c r="C182" s="34" t="s">
        <v>352</v>
      </c>
      <c r="D182" s="34" t="s">
        <v>420</v>
      </c>
      <c r="E182" s="34" t="s">
        <v>543</v>
      </c>
      <c r="F182" s="53">
        <v>5</v>
      </c>
      <c r="G182" s="53"/>
      <c r="H182" s="53"/>
      <c r="I18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32845729569</v>
      </c>
      <c r="J18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0.127</v>
      </c>
      <c r="K18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Aliexpress</v>
      </c>
      <c r="L182" s="34"/>
      <c r="M182" s="42"/>
      <c r="N182" s="34"/>
      <c r="O182" s="42"/>
      <c r="P182" s="34"/>
      <c r="Q182" s="42"/>
      <c r="R182" s="34"/>
      <c r="S182" s="42"/>
      <c r="T182" s="34"/>
      <c r="U182" s="42"/>
      <c r="V182" s="34" t="s">
        <v>418</v>
      </c>
      <c r="W182" s="42">
        <v>0.127</v>
      </c>
      <c r="X182" s="34"/>
      <c r="Y182" s="42"/>
      <c r="Z182" s="42"/>
      <c r="AA182" s="36"/>
      <c r="AB182" s="50"/>
      <c r="AC182" s="35" t="str">
        <f>IF(Table1[[#This Row],[Auto Order]]=1,IF(Table1[[#This Row],[In stock]]&lt;Table1[[#This Row],[Min in stock]],1,""),"")</f>
        <v/>
      </c>
    </row>
    <row r="183" spans="1:29" x14ac:dyDescent="0.25">
      <c r="A183" s="52" t="s">
        <v>483</v>
      </c>
      <c r="B183" s="34" t="s">
        <v>419</v>
      </c>
      <c r="C183" s="34" t="s">
        <v>352</v>
      </c>
      <c r="D183" s="34" t="s">
        <v>421</v>
      </c>
      <c r="E183" s="34" t="s">
        <v>543</v>
      </c>
      <c r="F183" s="53">
        <v>5</v>
      </c>
      <c r="G183" s="53"/>
      <c r="H183" s="53"/>
      <c r="I18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32845729569</v>
      </c>
      <c r="J18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0.127</v>
      </c>
      <c r="K18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Aliexpress</v>
      </c>
      <c r="L183" s="34"/>
      <c r="M183" s="42"/>
      <c r="N183" s="34"/>
      <c r="O183" s="42"/>
      <c r="P183" s="34"/>
      <c r="Q183" s="42"/>
      <c r="R183" s="34"/>
      <c r="S183" s="42"/>
      <c r="T183" s="34"/>
      <c r="U183" s="42"/>
      <c r="V183" s="34" t="s">
        <v>418</v>
      </c>
      <c r="W183" s="42">
        <v>0.127</v>
      </c>
      <c r="X183" s="34"/>
      <c r="Y183" s="42"/>
      <c r="Z183" s="42"/>
      <c r="AA183" s="36"/>
      <c r="AB183" s="50"/>
      <c r="AC183" s="35" t="str">
        <f>IF(Table1[[#This Row],[Auto Order]]=1,IF(Table1[[#This Row],[In stock]]&lt;Table1[[#This Row],[Min in stock]],1,""),"")</f>
        <v/>
      </c>
    </row>
    <row r="184" spans="1:29" x14ac:dyDescent="0.25">
      <c r="A184" s="55" t="s">
        <v>590</v>
      </c>
      <c r="B184" s="34" t="s">
        <v>108</v>
      </c>
      <c r="C184" s="34" t="s">
        <v>352</v>
      </c>
      <c r="D184" s="34" t="s">
        <v>589</v>
      </c>
      <c r="E184" s="34" t="s">
        <v>543</v>
      </c>
      <c r="F184" s="53">
        <v>3</v>
      </c>
      <c r="G184" s="53">
        <v>5</v>
      </c>
      <c r="H184" s="53">
        <v>1</v>
      </c>
      <c r="I18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WM50014-36-ND</v>
      </c>
      <c r="J18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1.02</v>
      </c>
      <c r="K18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84" s="34" t="s">
        <v>538</v>
      </c>
      <c r="M184" s="42">
        <v>1.02</v>
      </c>
      <c r="N184" s="34" t="s">
        <v>109</v>
      </c>
      <c r="O184" s="42">
        <v>1.55</v>
      </c>
      <c r="P184" s="34"/>
      <c r="Q184" s="42"/>
      <c r="R184" s="34"/>
      <c r="S184" s="42"/>
      <c r="T184" s="34"/>
      <c r="U184" s="42"/>
      <c r="V184" s="34"/>
      <c r="W184" s="42"/>
      <c r="X184" s="34"/>
      <c r="Y184" s="42">
        <v>1.55</v>
      </c>
      <c r="Z184" s="42"/>
      <c r="AA184" s="36"/>
      <c r="AB184" s="50"/>
      <c r="AC184" s="35">
        <f>IF(Table1[[#This Row],[Auto Order]]=1,IF(Table1[[#This Row],[In stock]]&lt;Table1[[#This Row],[Min in stock]],1,""),"")</f>
        <v>1</v>
      </c>
    </row>
    <row r="185" spans="1:29" x14ac:dyDescent="0.25">
      <c r="A185" s="52" t="s">
        <v>40</v>
      </c>
      <c r="B185" s="34" t="s">
        <v>7</v>
      </c>
      <c r="C185" s="34" t="s">
        <v>352</v>
      </c>
      <c r="D185" s="34" t="s">
        <v>588</v>
      </c>
      <c r="E185" s="34" t="s">
        <v>543</v>
      </c>
      <c r="F185" s="53">
        <v>0</v>
      </c>
      <c r="G185" s="53"/>
      <c r="H185" s="53"/>
      <c r="I18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929974E-01-36-ND</v>
      </c>
      <c r="J18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3.12</v>
      </c>
      <c r="K18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85" s="34" t="s">
        <v>539</v>
      </c>
      <c r="M185" s="42">
        <v>3.12</v>
      </c>
      <c r="N185" s="34">
        <v>2064805</v>
      </c>
      <c r="O185" s="42">
        <v>2.95</v>
      </c>
      <c r="P185" s="34"/>
      <c r="Q185" s="42"/>
      <c r="R185" s="34"/>
      <c r="S185" s="42"/>
      <c r="T185" s="34"/>
      <c r="U185" s="42"/>
      <c r="V185" s="34"/>
      <c r="W185" s="42"/>
      <c r="X185" s="34"/>
      <c r="Y185" s="42">
        <v>2.95</v>
      </c>
      <c r="Z185" s="42"/>
      <c r="AA185" s="36"/>
      <c r="AB185" s="50"/>
      <c r="AC185" s="35" t="str">
        <f>IF(Table1[[#This Row],[Auto Order]]=1,IF(Table1[[#This Row],[In stock]]&lt;Table1[[#This Row],[Min in stock]],1,""),"")</f>
        <v/>
      </c>
    </row>
    <row r="186" spans="1:29" x14ac:dyDescent="0.25">
      <c r="A186" s="52" t="s">
        <v>591</v>
      </c>
      <c r="B186" s="34" t="s">
        <v>112</v>
      </c>
      <c r="C186" s="34" t="s">
        <v>352</v>
      </c>
      <c r="D186" s="34" t="s">
        <v>592</v>
      </c>
      <c r="E186" s="34" t="s">
        <v>543</v>
      </c>
      <c r="F186" s="53">
        <v>9.85</v>
      </c>
      <c r="G186" s="53">
        <v>2</v>
      </c>
      <c r="H186" s="53">
        <v>1</v>
      </c>
      <c r="I18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732-5350-ND</v>
      </c>
      <c r="J18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1.44</v>
      </c>
      <c r="K18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86" s="34" t="s">
        <v>464</v>
      </c>
      <c r="M186" s="42">
        <v>1.44</v>
      </c>
      <c r="N186" s="34" t="s">
        <v>111</v>
      </c>
      <c r="O186" s="42">
        <v>1.58</v>
      </c>
      <c r="P186" s="34"/>
      <c r="Q186" s="42"/>
      <c r="R186" s="34"/>
      <c r="S186" s="42"/>
      <c r="T186" s="34"/>
      <c r="U186" s="42"/>
      <c r="V186" s="34"/>
      <c r="W186" s="42"/>
      <c r="X186" s="34"/>
      <c r="Y186" s="42">
        <v>1.58</v>
      </c>
      <c r="Z186" s="42"/>
      <c r="AA186" s="36"/>
      <c r="AB186" s="50"/>
      <c r="AC186" s="35" t="str">
        <f>IF(Table1[[#This Row],[Auto Order]]=1,IF(Table1[[#This Row],[In stock]]&lt;Table1[[#This Row],[Min in stock]],1,""),"")</f>
        <v/>
      </c>
    </row>
    <row r="187" spans="1:29" x14ac:dyDescent="0.25">
      <c r="A187" s="52" t="s">
        <v>225</v>
      </c>
      <c r="B187" s="34" t="s">
        <v>226</v>
      </c>
      <c r="C187" s="34" t="s">
        <v>352</v>
      </c>
      <c r="D187" s="34" t="s">
        <v>227</v>
      </c>
      <c r="E187" s="34" t="s">
        <v>543</v>
      </c>
      <c r="F187" s="53">
        <v>4</v>
      </c>
      <c r="G187" s="53">
        <v>1</v>
      </c>
      <c r="H187" s="53">
        <f>1</f>
        <v>1</v>
      </c>
      <c r="I18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BU2032SM-JJ-GCT-ND</v>
      </c>
      <c r="J18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1.21</v>
      </c>
      <c r="K18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87" s="34" t="s">
        <v>224</v>
      </c>
      <c r="M187" s="42">
        <v>1.21</v>
      </c>
      <c r="N187" s="34"/>
      <c r="O187" s="42"/>
      <c r="P187" s="34"/>
      <c r="Q187" s="42"/>
      <c r="R187" s="34"/>
      <c r="S187" s="42"/>
      <c r="T187" s="34"/>
      <c r="U187" s="42"/>
      <c r="V187" s="34"/>
      <c r="W187" s="42"/>
      <c r="X187" s="34"/>
      <c r="Y187" s="42"/>
      <c r="Z187" s="42"/>
      <c r="AA187" s="36"/>
      <c r="AB187" s="50"/>
      <c r="AC187" s="35" t="str">
        <f>IF(Table1[[#This Row],[Auto Order]]=1,IF(Table1[[#This Row],[In stock]]&lt;Table1[[#This Row],[Min in stock]],1,""),"")</f>
        <v/>
      </c>
    </row>
    <row r="188" spans="1:29" x14ac:dyDescent="0.25">
      <c r="A188" s="62" t="s">
        <v>2957</v>
      </c>
      <c r="B188" s="34" t="s">
        <v>2958</v>
      </c>
      <c r="C188" s="34" t="s">
        <v>352</v>
      </c>
      <c r="D188" s="34" t="s">
        <v>2959</v>
      </c>
      <c r="E188" s="34" t="s">
        <v>2956</v>
      </c>
      <c r="F188" s="53">
        <v>0</v>
      </c>
      <c r="G188" s="53">
        <v>100</v>
      </c>
      <c r="H188" s="53">
        <v>1</v>
      </c>
      <c r="I18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455-1606-1-ND</v>
      </c>
      <c r="J18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6.5000000000000002E-2</v>
      </c>
      <c r="K18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88" s="34" t="s">
        <v>2960</v>
      </c>
      <c r="M188" s="42">
        <v>6.5000000000000002E-2</v>
      </c>
      <c r="N188" s="34"/>
      <c r="O188" s="42"/>
      <c r="P188" s="34"/>
      <c r="Q188" s="42"/>
      <c r="R188" s="34"/>
      <c r="S188" s="42"/>
      <c r="T188" s="34"/>
      <c r="U188" s="42"/>
      <c r="V188" s="34"/>
      <c r="W188" s="42"/>
      <c r="X188" s="34"/>
      <c r="Y188" s="42"/>
      <c r="Z188" s="42"/>
      <c r="AA188" s="36"/>
      <c r="AB188" s="50"/>
      <c r="AC188" s="56">
        <f>IF(Table1[[#This Row],[Auto Order]]=1,IF(Table1[[#This Row],[In stock]]&lt;Table1[[#This Row],[Min in stock]],1,""),"")</f>
        <v>1</v>
      </c>
    </row>
    <row r="189" spans="1:29" x14ac:dyDescent="0.25">
      <c r="A189" s="52" t="s">
        <v>97</v>
      </c>
      <c r="B189" s="34" t="s">
        <v>45</v>
      </c>
      <c r="C189" s="34" t="s">
        <v>352</v>
      </c>
      <c r="D189" s="34" t="s">
        <v>98</v>
      </c>
      <c r="E189" s="34" t="s">
        <v>551</v>
      </c>
      <c r="F189" s="53">
        <v>100</v>
      </c>
      <c r="G189" s="53">
        <f>10</f>
        <v>10</v>
      </c>
      <c r="H189" s="53">
        <f>1</f>
        <v>1</v>
      </c>
      <c r="I18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9843680</v>
      </c>
      <c r="J18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5.8900000000000001E-2</v>
      </c>
      <c r="K18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Farnell</v>
      </c>
      <c r="L189" s="34"/>
      <c r="M189" s="42"/>
      <c r="N189" s="34" t="s">
        <v>159</v>
      </c>
      <c r="O189" s="42">
        <v>5.8900000000000001E-2</v>
      </c>
      <c r="P189" s="34"/>
      <c r="Q189" s="42"/>
      <c r="R189" s="34"/>
      <c r="S189" s="42"/>
      <c r="T189" s="34"/>
      <c r="U189" s="42"/>
      <c r="V189" s="34"/>
      <c r="W189" s="42"/>
      <c r="X189" s="34"/>
      <c r="Y189" s="42">
        <v>5.8900000000000001E-2</v>
      </c>
      <c r="Z189" s="42"/>
      <c r="AA189" s="36"/>
      <c r="AB189" s="50"/>
      <c r="AC189" s="35" t="str">
        <f>IF(Table1[[#This Row],[Auto Order]]=1,IF(Table1[[#This Row],[In stock]]&lt;Table1[[#This Row],[Min in stock]],1,""),"")</f>
        <v/>
      </c>
    </row>
    <row r="190" spans="1:29" x14ac:dyDescent="0.25">
      <c r="A190" s="52" t="s">
        <v>126</v>
      </c>
      <c r="B190" s="34" t="s">
        <v>127</v>
      </c>
      <c r="C190" s="34" t="s">
        <v>352</v>
      </c>
      <c r="D190" s="34" t="s">
        <v>125</v>
      </c>
      <c r="E190" s="34" t="s">
        <v>571</v>
      </c>
      <c r="F190" s="53">
        <v>5</v>
      </c>
      <c r="G190" s="53"/>
      <c r="H190" s="53"/>
      <c r="I19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1103041</v>
      </c>
      <c r="J19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0.68600000000000005</v>
      </c>
      <c r="K19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Farnell</v>
      </c>
      <c r="L190" s="34"/>
      <c r="M190" s="42"/>
      <c r="N190" s="34" t="s">
        <v>128</v>
      </c>
      <c r="O190" s="42">
        <v>0.68600000000000005</v>
      </c>
      <c r="P190" s="34"/>
      <c r="Q190" s="42"/>
      <c r="R190" s="34"/>
      <c r="S190" s="42"/>
      <c r="T190" s="34"/>
      <c r="U190" s="42"/>
      <c r="V190" s="34"/>
      <c r="W190" s="42"/>
      <c r="X190" s="34"/>
      <c r="Y190" s="42">
        <v>0.68600000000000005</v>
      </c>
      <c r="Z190" s="42"/>
      <c r="AA190" s="36"/>
      <c r="AB190" s="50"/>
      <c r="AC190" s="35" t="str">
        <f>IF(Table1[[#This Row],[Auto Order]]=1,IF(Table1[[#This Row],[In stock]]&lt;Table1[[#This Row],[Min in stock]],1,""),"")</f>
        <v/>
      </c>
    </row>
    <row r="191" spans="1:29" x14ac:dyDescent="0.25">
      <c r="A191" s="52" t="s">
        <v>197</v>
      </c>
      <c r="B191" s="34" t="s">
        <v>177</v>
      </c>
      <c r="C191" s="34" t="s">
        <v>352</v>
      </c>
      <c r="D191" s="34" t="s">
        <v>198</v>
      </c>
      <c r="E191" s="34" t="s">
        <v>569</v>
      </c>
      <c r="F191" s="53">
        <v>1</v>
      </c>
      <c r="G191" s="53">
        <v>1</v>
      </c>
      <c r="H191" s="53">
        <f>1</f>
        <v>1</v>
      </c>
      <c r="I19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SMD291-ND</v>
      </c>
      <c r="J19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15.95</v>
      </c>
      <c r="K19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91" s="34" t="s">
        <v>196</v>
      </c>
      <c r="M191" s="42">
        <v>15.95</v>
      </c>
      <c r="N191" s="34"/>
      <c r="O191" s="42"/>
      <c r="P191" s="34"/>
      <c r="Q191" s="42"/>
      <c r="R191" s="34"/>
      <c r="S191" s="42"/>
      <c r="T191" s="34"/>
      <c r="U191" s="42"/>
      <c r="V191" s="34"/>
      <c r="W191" s="42"/>
      <c r="X191" s="34"/>
      <c r="Y191" s="42"/>
      <c r="Z191" s="42"/>
      <c r="AA191" s="36"/>
      <c r="AB191" s="50"/>
      <c r="AC191" s="35" t="str">
        <f>IF(Table1[[#This Row],[Auto Order]]=1,IF(Table1[[#This Row],[In stock]]&lt;Table1[[#This Row],[Min in stock]],1,""),"")</f>
        <v/>
      </c>
    </row>
    <row r="192" spans="1:29" x14ac:dyDescent="0.25">
      <c r="A192" s="55" t="s">
        <v>516</v>
      </c>
      <c r="B192" s="34" t="s">
        <v>517</v>
      </c>
      <c r="C192" s="34" t="s">
        <v>352</v>
      </c>
      <c r="D192" s="34" t="s">
        <v>519</v>
      </c>
      <c r="E192" s="34" t="s">
        <v>542</v>
      </c>
      <c r="F192" s="53">
        <v>0</v>
      </c>
      <c r="G192" s="53">
        <v>5</v>
      </c>
      <c r="H192" s="53">
        <f>1</f>
        <v>1</v>
      </c>
      <c r="I19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507-2023-1-ND</v>
      </c>
      <c r="J19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0.34</v>
      </c>
      <c r="K19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92" s="34" t="s">
        <v>518</v>
      </c>
      <c r="M192" s="42">
        <v>0.34</v>
      </c>
      <c r="N192" s="34"/>
      <c r="O192" s="42"/>
      <c r="P192" s="34"/>
      <c r="Q192" s="42"/>
      <c r="R192" s="34"/>
      <c r="S192" s="42"/>
      <c r="T192" s="34"/>
      <c r="U192" s="42"/>
      <c r="V192" s="34"/>
      <c r="W192" s="42"/>
      <c r="X192" s="34"/>
      <c r="Y192" s="42"/>
      <c r="Z192" s="42"/>
      <c r="AA192" s="36"/>
      <c r="AB192" s="50"/>
      <c r="AC192" s="35">
        <f>IF(Table1[[#This Row],[Auto Order]]=1,IF(Table1[[#This Row],[In stock]]&lt;Table1[[#This Row],[Min in stock]],1,""),"")</f>
        <v>1</v>
      </c>
    </row>
    <row r="193" spans="1:29" x14ac:dyDescent="0.25">
      <c r="A193" s="52" t="s">
        <v>179</v>
      </c>
      <c r="B193" s="34" t="s">
        <v>177</v>
      </c>
      <c r="C193" s="34" t="s">
        <v>352</v>
      </c>
      <c r="D193" s="34" t="s">
        <v>180</v>
      </c>
      <c r="E193" s="34" t="s">
        <v>542</v>
      </c>
      <c r="F193" s="53">
        <v>4</v>
      </c>
      <c r="G193" s="53">
        <v>2</v>
      </c>
      <c r="H193" s="53">
        <f>1</f>
        <v>1</v>
      </c>
      <c r="I19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F10794-ND</v>
      </c>
      <c r="J19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1.82</v>
      </c>
      <c r="K19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93" s="34" t="s">
        <v>178</v>
      </c>
      <c r="M193" s="42">
        <v>1.82</v>
      </c>
      <c r="N193" s="34"/>
      <c r="O193" s="42"/>
      <c r="P193" s="34"/>
      <c r="Q193" s="42"/>
      <c r="R193" s="34"/>
      <c r="S193" s="42"/>
      <c r="T193" s="34"/>
      <c r="U193" s="42"/>
      <c r="V193" s="34"/>
      <c r="W193" s="42"/>
      <c r="X193" s="34"/>
      <c r="Y193" s="42"/>
      <c r="Z193" s="42"/>
      <c r="AA193" s="36"/>
      <c r="AB193" s="50"/>
      <c r="AC193" s="35" t="str">
        <f>IF(Table1[[#This Row],[Auto Order]]=1,IF(Table1[[#This Row],[In stock]]&lt;Table1[[#This Row],[Min in stock]],1,""),"")</f>
        <v/>
      </c>
    </row>
    <row r="194" spans="1:29" x14ac:dyDescent="0.25">
      <c r="A194" s="52" t="s">
        <v>343</v>
      </c>
      <c r="B194" s="34" t="s">
        <v>344</v>
      </c>
      <c r="C194" s="34" t="s">
        <v>352</v>
      </c>
      <c r="D194" s="34" t="s">
        <v>345</v>
      </c>
      <c r="E194" s="34" t="s">
        <v>542</v>
      </c>
      <c r="F194" s="53">
        <v>0</v>
      </c>
      <c r="G194" s="53"/>
      <c r="H194" s="53"/>
      <c r="I19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418973 - 62</v>
      </c>
      <c r="J19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0.31</v>
      </c>
      <c r="K19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Conrad</v>
      </c>
      <c r="L194" s="34"/>
      <c r="M194" s="42"/>
      <c r="N194" s="34"/>
      <c r="O194" s="42"/>
      <c r="P194" s="34"/>
      <c r="Q194" s="42"/>
      <c r="R194" s="34" t="s">
        <v>342</v>
      </c>
      <c r="S194" s="42">
        <v>0.31</v>
      </c>
      <c r="T194" s="34"/>
      <c r="U194" s="42"/>
      <c r="V194" s="34"/>
      <c r="W194" s="42"/>
      <c r="X194" s="34"/>
      <c r="Y194" s="42"/>
      <c r="Z194" s="42"/>
      <c r="AA194" s="36"/>
      <c r="AB194" s="50"/>
      <c r="AC194" s="35" t="str">
        <f>IF(Table1[[#This Row],[Auto Order]]=1,IF(Table1[[#This Row],[In stock]]&lt;Table1[[#This Row],[Min in stock]],1,""),"")</f>
        <v/>
      </c>
    </row>
    <row r="195" spans="1:29" x14ac:dyDescent="0.25">
      <c r="A195" s="52" t="s">
        <v>339</v>
      </c>
      <c r="B195" s="34" t="s">
        <v>340</v>
      </c>
      <c r="C195" s="34" t="s">
        <v>352</v>
      </c>
      <c r="D195" s="34" t="s">
        <v>341</v>
      </c>
      <c r="E195" s="34" t="s">
        <v>542</v>
      </c>
      <c r="F195" s="53">
        <v>0</v>
      </c>
      <c r="G195" s="53">
        <v>1</v>
      </c>
      <c r="H195" s="53">
        <f>1</f>
        <v>1</v>
      </c>
      <c r="I19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133-18-751</v>
      </c>
      <c r="J19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5.4</v>
      </c>
      <c r="K19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Distrelec</v>
      </c>
      <c r="L195" s="34"/>
      <c r="M195" s="42"/>
      <c r="N195" s="34"/>
      <c r="O195" s="42"/>
      <c r="P195" s="34" t="s">
        <v>338</v>
      </c>
      <c r="Q195" s="42">
        <v>5.4</v>
      </c>
      <c r="R195" s="34"/>
      <c r="S195" s="42"/>
      <c r="T195" s="34"/>
      <c r="U195" s="42"/>
      <c r="V195" s="34"/>
      <c r="W195" s="42"/>
      <c r="X195" s="34"/>
      <c r="Y195" s="42"/>
      <c r="Z195" s="42"/>
      <c r="AA195" s="36"/>
      <c r="AB195" s="50"/>
      <c r="AC195" s="35">
        <f>IF(Table1[[#This Row],[Auto Order]]=1,IF(Table1[[#This Row],[In stock]]&lt;Table1[[#This Row],[Min in stock]],1,""),"")</f>
        <v>1</v>
      </c>
    </row>
    <row r="196" spans="1:29" x14ac:dyDescent="0.25">
      <c r="A196" s="52" t="s">
        <v>488</v>
      </c>
      <c r="B196" s="34" t="s">
        <v>288</v>
      </c>
      <c r="C196" s="34" t="s">
        <v>352</v>
      </c>
      <c r="D196" s="34" t="s">
        <v>289</v>
      </c>
      <c r="E196" s="34" t="s">
        <v>542</v>
      </c>
      <c r="F196" s="53">
        <v>0</v>
      </c>
      <c r="G196" s="53"/>
      <c r="H196" s="53"/>
      <c r="I19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MFU0805.63CT-ND</v>
      </c>
      <c r="J19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0.62</v>
      </c>
      <c r="K19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96" s="34" t="s">
        <v>287</v>
      </c>
      <c r="M196" s="42">
        <v>0.62</v>
      </c>
      <c r="N196" s="34"/>
      <c r="O196" s="42"/>
      <c r="P196" s="34"/>
      <c r="Q196" s="42"/>
      <c r="R196" s="34"/>
      <c r="S196" s="42"/>
      <c r="T196" s="34"/>
      <c r="U196" s="42"/>
      <c r="V196" s="34"/>
      <c r="W196" s="42"/>
      <c r="X196" s="34"/>
      <c r="Y196" s="42"/>
      <c r="Z196" s="42"/>
      <c r="AA196" s="36"/>
      <c r="AB196" s="50"/>
      <c r="AC196" s="35" t="str">
        <f>IF(Table1[[#This Row],[Auto Order]]=1,IF(Table1[[#This Row],[In stock]]&lt;Table1[[#This Row],[Min in stock]],1,""),"")</f>
        <v/>
      </c>
    </row>
    <row r="197" spans="1:29" x14ac:dyDescent="0.25">
      <c r="A197" s="52" t="s">
        <v>290</v>
      </c>
      <c r="B197" s="34" t="s">
        <v>288</v>
      </c>
      <c r="C197" s="34" t="s">
        <v>352</v>
      </c>
      <c r="D197" s="34" t="s">
        <v>291</v>
      </c>
      <c r="E197" s="34" t="s">
        <v>542</v>
      </c>
      <c r="F197" s="53">
        <v>0</v>
      </c>
      <c r="G197" s="53"/>
      <c r="H197" s="53"/>
      <c r="I19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MFU1206.63CT-ND</v>
      </c>
      <c r="J19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0.97</v>
      </c>
      <c r="K19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97" s="34" t="s">
        <v>452</v>
      </c>
      <c r="M197" s="42">
        <v>0.97</v>
      </c>
      <c r="N197" s="34"/>
      <c r="O197" s="42"/>
      <c r="P197" s="34"/>
      <c r="Q197" s="42"/>
      <c r="R197" s="34"/>
      <c r="S197" s="42"/>
      <c r="T197" s="34"/>
      <c r="U197" s="42"/>
      <c r="V197" s="34"/>
      <c r="W197" s="42"/>
      <c r="X197" s="34"/>
      <c r="Y197" s="42"/>
      <c r="Z197" s="42"/>
      <c r="AA197" s="36"/>
      <c r="AB197" s="50"/>
      <c r="AC197" s="35" t="str">
        <f>IF(Table1[[#This Row],[Auto Order]]=1,IF(Table1[[#This Row],[In stock]]&lt;Table1[[#This Row],[Min in stock]],1,""),"")</f>
        <v/>
      </c>
    </row>
    <row r="198" spans="1:29" x14ac:dyDescent="0.25">
      <c r="A198" s="52" t="s">
        <v>16</v>
      </c>
      <c r="B198" s="34" t="s">
        <v>33</v>
      </c>
      <c r="C198" s="34" t="s">
        <v>352</v>
      </c>
      <c r="D198" s="34" t="s">
        <v>15</v>
      </c>
      <c r="E198" s="34" t="s">
        <v>542</v>
      </c>
      <c r="F198" s="53">
        <v>14</v>
      </c>
      <c r="G198" s="53">
        <v>2</v>
      </c>
      <c r="H198" s="53">
        <f>1</f>
        <v>1</v>
      </c>
      <c r="I198" s="34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2461217</v>
      </c>
      <c r="J19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0.20200000000000001</v>
      </c>
      <c r="K19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Farnell</v>
      </c>
      <c r="L198" s="34"/>
      <c r="M198" s="42"/>
      <c r="N198" s="34">
        <v>2461217</v>
      </c>
      <c r="O198" s="42">
        <v>0.20200000000000001</v>
      </c>
      <c r="P198" s="34"/>
      <c r="Q198" s="42"/>
      <c r="R198" s="34"/>
      <c r="S198" s="42"/>
      <c r="T198" s="34"/>
      <c r="U198" s="42"/>
      <c r="V198" s="34"/>
      <c r="W198" s="42"/>
      <c r="X198" s="34"/>
      <c r="Y198" s="42">
        <v>0.20200000000000001</v>
      </c>
      <c r="Z198" s="42"/>
      <c r="AA198" s="36"/>
      <c r="AB198" s="50"/>
      <c r="AC198" s="35" t="str">
        <f>IF(Table1[[#This Row],[Auto Order]]=1,IF(Table1[[#This Row],[In stock]]&lt;Table1[[#This Row],[Min in stock]],1,""),"")</f>
        <v/>
      </c>
    </row>
    <row r="199" spans="1:29" x14ac:dyDescent="0.25">
      <c r="A199" s="52" t="s">
        <v>272</v>
      </c>
      <c r="B199" s="34" t="s">
        <v>273</v>
      </c>
      <c r="C199" s="34" t="s">
        <v>352</v>
      </c>
      <c r="D199" s="34" t="s">
        <v>274</v>
      </c>
      <c r="E199" s="34" t="s">
        <v>563</v>
      </c>
      <c r="F199" s="53">
        <v>5</v>
      </c>
      <c r="G199" s="53"/>
      <c r="H199" s="53"/>
      <c r="I19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596-1023-5-ND</v>
      </c>
      <c r="J19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1.34</v>
      </c>
      <c r="K19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99" s="34" t="s">
        <v>463</v>
      </c>
      <c r="M199" s="42">
        <v>1.34</v>
      </c>
      <c r="N199" s="34"/>
      <c r="O199" s="42"/>
      <c r="P199" s="34" t="s">
        <v>271</v>
      </c>
      <c r="Q199" s="42">
        <v>1.04</v>
      </c>
      <c r="R199" s="34"/>
      <c r="S199" s="42"/>
      <c r="T199" s="34"/>
      <c r="U199" s="42"/>
      <c r="V199" s="34"/>
      <c r="W199" s="42"/>
      <c r="X199" s="34"/>
      <c r="Y199" s="42"/>
      <c r="Z199" s="42"/>
      <c r="AA199" s="36"/>
      <c r="AB199" s="50"/>
      <c r="AC199" s="35" t="str">
        <f>IF(Table1[[#This Row],[Auto Order]]=1,IF(Table1[[#This Row],[In stock]]&lt;Table1[[#This Row],[Min in stock]],1,""),"")</f>
        <v/>
      </c>
    </row>
    <row r="200" spans="1:29" x14ac:dyDescent="0.25">
      <c r="A200" s="52" t="s">
        <v>486</v>
      </c>
      <c r="B200" s="34" t="s">
        <v>258</v>
      </c>
      <c r="C200" s="34" t="s">
        <v>352</v>
      </c>
      <c r="D200" s="34" t="s">
        <v>266</v>
      </c>
      <c r="E200" s="34" t="s">
        <v>558</v>
      </c>
      <c r="F200" s="53">
        <v>1</v>
      </c>
      <c r="G200" s="53"/>
      <c r="H200" s="53"/>
      <c r="I20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495-5623-1-ND</v>
      </c>
      <c r="J20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0.72</v>
      </c>
      <c r="K20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00" s="34" t="s">
        <v>265</v>
      </c>
      <c r="M200" s="42">
        <v>0.72</v>
      </c>
      <c r="N200" s="34"/>
      <c r="O200" s="42"/>
      <c r="P200" s="34"/>
      <c r="Q200" s="42"/>
      <c r="R200" s="34"/>
      <c r="S200" s="42"/>
      <c r="T200" s="34"/>
      <c r="U200" s="42"/>
      <c r="V200" s="34"/>
      <c r="W200" s="42"/>
      <c r="X200" s="34"/>
      <c r="Y200" s="42"/>
      <c r="Z200" s="42"/>
      <c r="AA200" s="36"/>
      <c r="AB200" s="50"/>
      <c r="AC200" s="35" t="str">
        <f>IF(Table1[[#This Row],[Auto Order]]=1,IF(Table1[[#This Row],[In stock]]&lt;Table1[[#This Row],[Min in stock]],1,""),"")</f>
        <v/>
      </c>
    </row>
    <row r="201" spans="1:29" x14ac:dyDescent="0.25">
      <c r="A201" s="52" t="s">
        <v>485</v>
      </c>
      <c r="B201" s="34" t="s">
        <v>258</v>
      </c>
      <c r="C201" s="34" t="s">
        <v>352</v>
      </c>
      <c r="D201" s="34" t="s">
        <v>264</v>
      </c>
      <c r="E201" s="34" t="s">
        <v>558</v>
      </c>
      <c r="F201" s="53">
        <v>1</v>
      </c>
      <c r="G201" s="53"/>
      <c r="H201" s="53"/>
      <c r="I20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495-5633-1-ND</v>
      </c>
      <c r="J20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0.93</v>
      </c>
      <c r="K20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01" s="34" t="s">
        <v>263</v>
      </c>
      <c r="M201" s="42">
        <v>0.93</v>
      </c>
      <c r="N201" s="34"/>
      <c r="O201" s="42"/>
      <c r="P201" s="34"/>
      <c r="Q201" s="42"/>
      <c r="R201" s="34"/>
      <c r="S201" s="42"/>
      <c r="T201" s="34"/>
      <c r="U201" s="42"/>
      <c r="V201" s="34"/>
      <c r="W201" s="42"/>
      <c r="X201" s="34"/>
      <c r="Y201" s="42"/>
      <c r="Z201" s="42"/>
      <c r="AA201" s="36"/>
      <c r="AB201" s="50"/>
      <c r="AC201" s="35" t="str">
        <f>IF(Table1[[#This Row],[Auto Order]]=1,IF(Table1[[#This Row],[In stock]]&lt;Table1[[#This Row],[Min in stock]],1,""),"")</f>
        <v/>
      </c>
    </row>
    <row r="202" spans="1:29" x14ac:dyDescent="0.25">
      <c r="A202" s="52" t="s">
        <v>90</v>
      </c>
      <c r="B202" s="34" t="s">
        <v>91</v>
      </c>
      <c r="C202" s="34" t="s">
        <v>352</v>
      </c>
      <c r="D202" s="34" t="s">
        <v>96</v>
      </c>
      <c r="E202" s="34" t="s">
        <v>554</v>
      </c>
      <c r="F202" s="53">
        <v>0</v>
      </c>
      <c r="G202" s="53"/>
      <c r="H202" s="53"/>
      <c r="I20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A106373-ND</v>
      </c>
      <c r="J20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1.38</v>
      </c>
      <c r="K20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02" s="34" t="s">
        <v>472</v>
      </c>
      <c r="M202" s="42">
        <v>1.38</v>
      </c>
      <c r="N202" s="34" t="s">
        <v>89</v>
      </c>
      <c r="O202" s="42">
        <v>0.32600000000000001</v>
      </c>
      <c r="P202" s="34"/>
      <c r="Q202" s="42"/>
      <c r="R202" s="34"/>
      <c r="S202" s="42"/>
      <c r="T202" s="34"/>
      <c r="U202" s="42"/>
      <c r="V202" s="34"/>
      <c r="W202" s="42"/>
      <c r="X202" s="34"/>
      <c r="Y202" s="42">
        <v>0.32600000000000001</v>
      </c>
      <c r="Z202" s="42"/>
      <c r="AA202" s="36"/>
      <c r="AB202" s="50"/>
      <c r="AC202" s="35" t="str">
        <f>IF(Table1[[#This Row],[Auto Order]]=1,IF(Table1[[#This Row],[In stock]]&lt;Table1[[#This Row],[Min in stock]],1,""),"")</f>
        <v/>
      </c>
    </row>
    <row r="203" spans="1:29" x14ac:dyDescent="0.25">
      <c r="A203" s="52" t="s">
        <v>118</v>
      </c>
      <c r="B203" s="34" t="s">
        <v>91</v>
      </c>
      <c r="C203" s="34" t="s">
        <v>352</v>
      </c>
      <c r="D203" s="34" t="s">
        <v>28</v>
      </c>
      <c r="E203" s="34" t="s">
        <v>554</v>
      </c>
      <c r="F203" s="53">
        <v>100</v>
      </c>
      <c r="G203" s="53"/>
      <c r="H203" s="53"/>
      <c r="I20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A107340-ND</v>
      </c>
      <c r="J20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0.26</v>
      </c>
      <c r="K20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03" s="34" t="s">
        <v>468</v>
      </c>
      <c r="M203" s="42">
        <v>0.26</v>
      </c>
      <c r="N203" s="34" t="s">
        <v>164</v>
      </c>
      <c r="O203" s="42">
        <v>0.112</v>
      </c>
      <c r="P203" s="34"/>
      <c r="Q203" s="42"/>
      <c r="R203" s="34"/>
      <c r="S203" s="42"/>
      <c r="T203" s="34"/>
      <c r="U203" s="42"/>
      <c r="V203" s="34"/>
      <c r="W203" s="42"/>
      <c r="X203" s="34"/>
      <c r="Y203" s="42">
        <v>0.112</v>
      </c>
      <c r="Z203" s="42"/>
      <c r="AA203" s="36"/>
      <c r="AB203" s="50"/>
      <c r="AC203" s="35" t="str">
        <f>IF(Table1[[#This Row],[Auto Order]]=1,IF(Table1[[#This Row],[In stock]]&lt;Table1[[#This Row],[Min in stock]],1,""),"")</f>
        <v/>
      </c>
    </row>
    <row r="204" spans="1:29" x14ac:dyDescent="0.25">
      <c r="A204" s="52" t="s">
        <v>191</v>
      </c>
      <c r="B204" s="34" t="s">
        <v>177</v>
      </c>
      <c r="C204" s="34" t="s">
        <v>352</v>
      </c>
      <c r="D204" s="34" t="s">
        <v>192</v>
      </c>
      <c r="E204" s="34" t="s">
        <v>564</v>
      </c>
      <c r="F204" s="53">
        <v>1</v>
      </c>
      <c r="G204" s="53"/>
      <c r="H204" s="53"/>
      <c r="I20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296-46314-1-ND</v>
      </c>
      <c r="J20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1.82</v>
      </c>
      <c r="K20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04" s="34" t="s">
        <v>190</v>
      </c>
      <c r="M204" s="42">
        <v>1.82</v>
      </c>
      <c r="N204" s="34"/>
      <c r="O204" s="42"/>
      <c r="P204" s="34"/>
      <c r="Q204" s="42"/>
      <c r="R204" s="34"/>
      <c r="S204" s="42"/>
      <c r="T204" s="34"/>
      <c r="U204" s="42"/>
      <c r="V204" s="34"/>
      <c r="W204" s="42"/>
      <c r="X204" s="34"/>
      <c r="Y204" s="42"/>
      <c r="Z204" s="42"/>
      <c r="AA204" s="36"/>
      <c r="AB204" s="50"/>
      <c r="AC204" s="35" t="str">
        <f>IF(Table1[[#This Row],[Auto Order]]=1,IF(Table1[[#This Row],[In stock]]&lt;Table1[[#This Row],[Min in stock]],1,""),"")</f>
        <v/>
      </c>
    </row>
    <row r="205" spans="1:29" x14ac:dyDescent="0.25">
      <c r="A205" s="52" t="s">
        <v>141</v>
      </c>
      <c r="B205" s="34" t="s">
        <v>160</v>
      </c>
      <c r="C205" s="34" t="s">
        <v>352</v>
      </c>
      <c r="D205" s="34" t="s">
        <v>142</v>
      </c>
      <c r="E205" s="34" t="s">
        <v>550</v>
      </c>
      <c r="F205" s="53">
        <v>5</v>
      </c>
      <c r="G205" s="53"/>
      <c r="H205" s="53"/>
      <c r="I20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732-4998-1-ND</v>
      </c>
      <c r="J20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0.45</v>
      </c>
      <c r="K20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05" s="34" t="s">
        <v>140</v>
      </c>
      <c r="M205" s="42">
        <v>0.45</v>
      </c>
      <c r="N205" s="34"/>
      <c r="O205" s="42"/>
      <c r="P205" s="34"/>
      <c r="Q205" s="42"/>
      <c r="R205" s="34"/>
      <c r="S205" s="42"/>
      <c r="T205" s="34"/>
      <c r="U205" s="42"/>
      <c r="V205" s="34"/>
      <c r="W205" s="42"/>
      <c r="X205" s="34"/>
      <c r="Y205" s="42"/>
      <c r="Z205" s="42"/>
      <c r="AA205" s="36"/>
      <c r="AB205" s="50"/>
      <c r="AC205" s="35" t="str">
        <f>IF(Table1[[#This Row],[Auto Order]]=1,IF(Table1[[#This Row],[In stock]]&lt;Table1[[#This Row],[Min in stock]],1,""),"")</f>
        <v/>
      </c>
    </row>
    <row r="206" spans="1:29" x14ac:dyDescent="0.25">
      <c r="A206" s="52" t="s">
        <v>194</v>
      </c>
      <c r="B206" s="34" t="s">
        <v>177</v>
      </c>
      <c r="C206" s="34" t="s">
        <v>352</v>
      </c>
      <c r="D206" s="34" t="s">
        <v>195</v>
      </c>
      <c r="E206" s="34" t="s">
        <v>550</v>
      </c>
      <c r="F206" s="53">
        <v>2</v>
      </c>
      <c r="G206" s="53"/>
      <c r="H206" s="53"/>
      <c r="I20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1510-2262-1-ND</v>
      </c>
      <c r="J20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2.64</v>
      </c>
      <c r="K20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06" s="34" t="s">
        <v>193</v>
      </c>
      <c r="M206" s="42">
        <v>2.64</v>
      </c>
      <c r="N206" s="34"/>
      <c r="O206" s="42"/>
      <c r="P206" s="34"/>
      <c r="Q206" s="42"/>
      <c r="R206" s="34"/>
      <c r="S206" s="42"/>
      <c r="T206" s="34"/>
      <c r="U206" s="42"/>
      <c r="V206" s="34"/>
      <c r="W206" s="42"/>
      <c r="X206" s="34"/>
      <c r="Y206" s="42"/>
      <c r="Z206" s="42"/>
      <c r="AA206" s="36"/>
      <c r="AB206" s="50"/>
      <c r="AC206" s="35" t="str">
        <f>IF(Table1[[#This Row],[Auto Order]]=1,IF(Table1[[#This Row],[In stock]]&lt;Table1[[#This Row],[Min in stock]],1,""),"")</f>
        <v/>
      </c>
    </row>
    <row r="207" spans="1:29" x14ac:dyDescent="0.25">
      <c r="A207" s="52" t="s">
        <v>34</v>
      </c>
      <c r="B207" s="34" t="s">
        <v>33</v>
      </c>
      <c r="C207" s="34" t="s">
        <v>352</v>
      </c>
      <c r="D207" s="34" t="s">
        <v>32</v>
      </c>
      <c r="E207" s="34" t="s">
        <v>550</v>
      </c>
      <c r="F207" s="53">
        <v>4</v>
      </c>
      <c r="G207" s="53">
        <v>2</v>
      </c>
      <c r="H207" s="53">
        <f>1</f>
        <v>1</v>
      </c>
      <c r="I207" s="34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2112100</v>
      </c>
      <c r="J20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0.28999999999999998</v>
      </c>
      <c r="K20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Farnell</v>
      </c>
      <c r="L207" s="34"/>
      <c r="M207" s="42"/>
      <c r="N207" s="34">
        <v>2112100</v>
      </c>
      <c r="O207" s="42">
        <v>0.28999999999999998</v>
      </c>
      <c r="P207" s="34"/>
      <c r="Q207" s="42"/>
      <c r="R207" s="34"/>
      <c r="S207" s="42"/>
      <c r="T207" s="34"/>
      <c r="U207" s="42"/>
      <c r="V207" s="34"/>
      <c r="W207" s="42"/>
      <c r="X207" s="34"/>
      <c r="Y207" s="42">
        <v>0.28999999999999998</v>
      </c>
      <c r="Z207" s="42"/>
      <c r="AA207" s="36"/>
      <c r="AB207" s="50"/>
      <c r="AC207" s="35" t="str">
        <f>IF(Table1[[#This Row],[Auto Order]]=1,IF(Table1[[#This Row],[In stock]]&lt;Table1[[#This Row],[Min in stock]],1,""),"")</f>
        <v/>
      </c>
    </row>
    <row r="208" spans="1:29" x14ac:dyDescent="0.25">
      <c r="A208" s="52" t="s">
        <v>144</v>
      </c>
      <c r="B208" s="34" t="s">
        <v>161</v>
      </c>
      <c r="C208" s="34" t="s">
        <v>352</v>
      </c>
      <c r="D208" s="34" t="s">
        <v>145</v>
      </c>
      <c r="E208" s="34" t="s">
        <v>550</v>
      </c>
      <c r="F208" s="53">
        <v>2</v>
      </c>
      <c r="G208" s="53"/>
      <c r="H208" s="53"/>
      <c r="I20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VEML6040A3OGCT-ND</v>
      </c>
      <c r="J20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2.52</v>
      </c>
      <c r="K20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08" s="34" t="s">
        <v>143</v>
      </c>
      <c r="M208" s="42">
        <v>2.52</v>
      </c>
      <c r="N208" s="34"/>
      <c r="O208" s="42"/>
      <c r="P208" s="34"/>
      <c r="Q208" s="42"/>
      <c r="R208" s="34"/>
      <c r="S208" s="42"/>
      <c r="T208" s="34"/>
      <c r="U208" s="42"/>
      <c r="V208" s="34"/>
      <c r="W208" s="42"/>
      <c r="X208" s="34"/>
      <c r="Y208" s="42"/>
      <c r="Z208" s="42"/>
      <c r="AA208" s="36"/>
      <c r="AB208" s="50"/>
      <c r="AC208" s="35" t="str">
        <f>IF(Table1[[#This Row],[Auto Order]]=1,IF(Table1[[#This Row],[In stock]]&lt;Table1[[#This Row],[Min in stock]],1,""),"")</f>
        <v/>
      </c>
    </row>
    <row r="209" spans="1:29" x14ac:dyDescent="0.25">
      <c r="A209" s="52" t="s">
        <v>153</v>
      </c>
      <c r="B209" s="34" t="s">
        <v>80</v>
      </c>
      <c r="C209" s="34" t="s">
        <v>352</v>
      </c>
      <c r="D209" s="34" t="s">
        <v>154</v>
      </c>
      <c r="E209" s="34" t="s">
        <v>567</v>
      </c>
      <c r="F209" s="53">
        <v>3</v>
      </c>
      <c r="G209" s="53"/>
      <c r="H209" s="53"/>
      <c r="I20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PIC16F18346-I/P-ND</v>
      </c>
      <c r="J20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1.53</v>
      </c>
      <c r="K20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09" s="34" t="s">
        <v>152</v>
      </c>
      <c r="M209" s="42">
        <v>1.53</v>
      </c>
      <c r="N209" s="34"/>
      <c r="O209" s="42"/>
      <c r="P209" s="34"/>
      <c r="Q209" s="42"/>
      <c r="R209" s="34"/>
      <c r="S209" s="42"/>
      <c r="T209" s="34"/>
      <c r="U209" s="42"/>
      <c r="V209" s="34"/>
      <c r="W209" s="42"/>
      <c r="X209" s="34"/>
      <c r="Y209" s="42"/>
      <c r="Z209" s="42"/>
      <c r="AA209" s="36"/>
      <c r="AB209" s="50"/>
      <c r="AC209" s="35" t="str">
        <f>IF(Table1[[#This Row],[Auto Order]]=1,IF(Table1[[#This Row],[In stock]]&lt;Table1[[#This Row],[Min in stock]],1,""),"")</f>
        <v/>
      </c>
    </row>
    <row r="210" spans="1:29" x14ac:dyDescent="0.25">
      <c r="A210" s="52" t="s">
        <v>81</v>
      </c>
      <c r="B210" s="34" t="s">
        <v>80</v>
      </c>
      <c r="C210" s="34" t="s">
        <v>352</v>
      </c>
      <c r="D210" s="34" t="s">
        <v>79</v>
      </c>
      <c r="E210" s="34" t="s">
        <v>567</v>
      </c>
      <c r="F210" s="53">
        <v>2</v>
      </c>
      <c r="G210" s="53"/>
      <c r="H210" s="53"/>
      <c r="I21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PIC16LF1827-I/P-ND</v>
      </c>
      <c r="J21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1.57</v>
      </c>
      <c r="K21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10" s="34" t="s">
        <v>78</v>
      </c>
      <c r="M210" s="42">
        <v>1.57</v>
      </c>
      <c r="N210" s="34"/>
      <c r="O210" s="42"/>
      <c r="P210" s="34"/>
      <c r="Q210" s="42"/>
      <c r="R210" s="34"/>
      <c r="S210" s="42"/>
      <c r="T210" s="34"/>
      <c r="U210" s="42"/>
      <c r="V210" s="34"/>
      <c r="W210" s="42"/>
      <c r="X210" s="34"/>
      <c r="Y210" s="42"/>
      <c r="Z210" s="42"/>
      <c r="AA210" s="36"/>
      <c r="AB210" s="50"/>
      <c r="AC210" s="35" t="str">
        <f>IF(Table1[[#This Row],[Auto Order]]=1,IF(Table1[[#This Row],[In stock]]&lt;Table1[[#This Row],[Min in stock]],1,""),"")</f>
        <v/>
      </c>
    </row>
    <row r="211" spans="1:29" x14ac:dyDescent="0.25">
      <c r="A211" s="55" t="s">
        <v>513</v>
      </c>
      <c r="B211" s="34" t="s">
        <v>80</v>
      </c>
      <c r="C211" s="34" t="s">
        <v>352</v>
      </c>
      <c r="D211" s="34" t="s">
        <v>515</v>
      </c>
      <c r="E211" s="34" t="s">
        <v>567</v>
      </c>
      <c r="F211" s="53">
        <v>0</v>
      </c>
      <c r="G211" s="53">
        <v>1</v>
      </c>
      <c r="H211" s="53">
        <f>1</f>
        <v>1</v>
      </c>
      <c r="I21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PIC18F46K40-I/PT-ND</v>
      </c>
      <c r="J21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1.78</v>
      </c>
      <c r="K21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11" s="34" t="s">
        <v>514</v>
      </c>
      <c r="M211" s="42">
        <v>1.78</v>
      </c>
      <c r="N211" s="34"/>
      <c r="O211" s="42"/>
      <c r="P211" s="34"/>
      <c r="Q211" s="42"/>
      <c r="R211" s="34"/>
      <c r="S211" s="42"/>
      <c r="T211" s="34"/>
      <c r="U211" s="42"/>
      <c r="V211" s="34"/>
      <c r="W211" s="42"/>
      <c r="X211" s="34"/>
      <c r="Y211" s="42"/>
      <c r="Z211" s="42"/>
      <c r="AA211" s="36"/>
      <c r="AB211" s="50"/>
      <c r="AC211" s="35">
        <f>IF(Table1[[#This Row],[Auto Order]]=1,IF(Table1[[#This Row],[In stock]]&lt;Table1[[#This Row],[Min in stock]],1,""),"")</f>
        <v>1</v>
      </c>
    </row>
    <row r="212" spans="1:29" x14ac:dyDescent="0.25">
      <c r="A212" s="52">
        <v>912951</v>
      </c>
      <c r="B212" s="34" t="s">
        <v>65</v>
      </c>
      <c r="C212" s="34" t="s">
        <v>352</v>
      </c>
      <c r="D212" s="34" t="s">
        <v>85</v>
      </c>
      <c r="E212" s="34" t="s">
        <v>544</v>
      </c>
      <c r="F212" s="53">
        <v>1</v>
      </c>
      <c r="G212" s="53"/>
      <c r="H212" s="53"/>
      <c r="I212" s="34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912951</v>
      </c>
      <c r="J21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3.43</v>
      </c>
      <c r="K212" s="61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Banggood</v>
      </c>
      <c r="L212" s="34"/>
      <c r="M212" s="42"/>
      <c r="N212" s="34"/>
      <c r="O212" s="42"/>
      <c r="P212" s="34"/>
      <c r="Q212" s="42"/>
      <c r="R212" s="34"/>
      <c r="S212" s="42"/>
      <c r="T212" s="34"/>
      <c r="U212" s="42"/>
      <c r="V212" s="34"/>
      <c r="W212" s="42"/>
      <c r="X212" s="34">
        <v>912951</v>
      </c>
      <c r="Y212" s="42">
        <v>3.43</v>
      </c>
      <c r="Z212" s="42"/>
      <c r="AA212" s="36"/>
      <c r="AB212" s="50"/>
      <c r="AC212" s="35" t="str">
        <f>IF(Table1[[#This Row],[Auto Order]]=1,IF(Table1[[#This Row],[In stock]]&lt;Table1[[#This Row],[Min in stock]],1,""),"")</f>
        <v/>
      </c>
    </row>
    <row r="213" spans="1:29" x14ac:dyDescent="0.25">
      <c r="A213" s="52">
        <v>1181876</v>
      </c>
      <c r="B213" s="34" t="s">
        <v>65</v>
      </c>
      <c r="C213" s="34" t="s">
        <v>352</v>
      </c>
      <c r="D213" s="34" t="s">
        <v>86</v>
      </c>
      <c r="E213" s="34" t="s">
        <v>544</v>
      </c>
      <c r="F213" s="53">
        <v>9</v>
      </c>
      <c r="G213" s="53"/>
      <c r="H213" s="53"/>
      <c r="I213" s="34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1181876</v>
      </c>
      <c r="J21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3.79</v>
      </c>
      <c r="K21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Banggood</v>
      </c>
      <c r="L213" s="34"/>
      <c r="M213" s="42"/>
      <c r="N213" s="34"/>
      <c r="O213" s="42"/>
      <c r="P213" s="34"/>
      <c r="Q213" s="42"/>
      <c r="R213" s="34"/>
      <c r="S213" s="42"/>
      <c r="T213" s="34"/>
      <c r="U213" s="42"/>
      <c r="V213" s="34"/>
      <c r="W213" s="42"/>
      <c r="X213" s="34">
        <v>1181876</v>
      </c>
      <c r="Y213" s="42">
        <v>3.79</v>
      </c>
      <c r="Z213" s="42"/>
      <c r="AA213" s="36"/>
      <c r="AB213" s="50"/>
      <c r="AC213" s="35" t="str">
        <f>IF(Table1[[#This Row],[Auto Order]]=1,IF(Table1[[#This Row],[In stock]]&lt;Table1[[#This Row],[Min in stock]],1,""),"")</f>
        <v/>
      </c>
    </row>
    <row r="214" spans="1:29" x14ac:dyDescent="0.25">
      <c r="A214" s="52" t="s">
        <v>369</v>
      </c>
      <c r="B214" s="34" t="s">
        <v>365</v>
      </c>
      <c r="C214" s="34" t="s">
        <v>352</v>
      </c>
      <c r="D214" s="34" t="s">
        <v>370</v>
      </c>
      <c r="E214" s="34" t="s">
        <v>544</v>
      </c>
      <c r="F214" s="53">
        <v>1</v>
      </c>
      <c r="G214" s="53"/>
      <c r="H214" s="53"/>
      <c r="I21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32710723814</v>
      </c>
      <c r="J21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4.5999999999999996</v>
      </c>
      <c r="K21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Aliexpress</v>
      </c>
      <c r="L214" s="34"/>
      <c r="M214" s="42"/>
      <c r="N214" s="34"/>
      <c r="O214" s="42"/>
      <c r="P214" s="34"/>
      <c r="Q214" s="42"/>
      <c r="R214" s="34"/>
      <c r="S214" s="42"/>
      <c r="T214" s="34"/>
      <c r="U214" s="42"/>
      <c r="V214" s="34" t="s">
        <v>369</v>
      </c>
      <c r="W214" s="42">
        <v>4.5999999999999996</v>
      </c>
      <c r="X214" s="34"/>
      <c r="Y214" s="42"/>
      <c r="Z214" s="42"/>
      <c r="AA214" s="36"/>
      <c r="AB214" s="50"/>
      <c r="AC214" s="35" t="str">
        <f>IF(Table1[[#This Row],[Auto Order]]=1,IF(Table1[[#This Row],[In stock]]&lt;Table1[[#This Row],[Min in stock]],1,""),"")</f>
        <v/>
      </c>
    </row>
    <row r="215" spans="1:29" x14ac:dyDescent="0.25">
      <c r="A215" s="52" t="s">
        <v>360</v>
      </c>
      <c r="B215" s="34" t="s">
        <v>361</v>
      </c>
      <c r="C215" s="34" t="s">
        <v>352</v>
      </c>
      <c r="D215" s="34" t="s">
        <v>362</v>
      </c>
      <c r="E215" s="34" t="s">
        <v>544</v>
      </c>
      <c r="F215" s="53">
        <v>1</v>
      </c>
      <c r="G215" s="53"/>
      <c r="H215" s="53"/>
      <c r="I21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32867696371</v>
      </c>
      <c r="J21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7.46</v>
      </c>
      <c r="K21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Aliexpress</v>
      </c>
      <c r="L215" s="34"/>
      <c r="M215" s="42"/>
      <c r="N215" s="34"/>
      <c r="O215" s="42"/>
      <c r="P215" s="34"/>
      <c r="Q215" s="42"/>
      <c r="R215" s="34"/>
      <c r="S215" s="42"/>
      <c r="T215" s="34"/>
      <c r="U215" s="42"/>
      <c r="V215" s="34" t="s">
        <v>360</v>
      </c>
      <c r="W215" s="42">
        <v>7.46</v>
      </c>
      <c r="X215" s="34"/>
      <c r="Y215" s="42"/>
      <c r="Z215" s="42"/>
      <c r="AA215" s="36"/>
      <c r="AB215" s="50"/>
      <c r="AC215" s="35" t="str">
        <f>IF(Table1[[#This Row],[Auto Order]]=1,IF(Table1[[#This Row],[In stock]]&lt;Table1[[#This Row],[Min in stock]],1,""),"")</f>
        <v/>
      </c>
    </row>
    <row r="216" spans="1:29" x14ac:dyDescent="0.25">
      <c r="A216" s="52" t="s">
        <v>364</v>
      </c>
      <c r="B216" s="34" t="s">
        <v>365</v>
      </c>
      <c r="C216" s="34" t="s">
        <v>352</v>
      </c>
      <c r="D216" s="34" t="s">
        <v>366</v>
      </c>
      <c r="E216" s="34" t="s">
        <v>544</v>
      </c>
      <c r="F216" s="53">
        <v>1</v>
      </c>
      <c r="G216" s="53"/>
      <c r="H216" s="53"/>
      <c r="I21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32845056564</v>
      </c>
      <c r="J21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1.1619999999999999</v>
      </c>
      <c r="K21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Aliexpress</v>
      </c>
      <c r="L216" s="34"/>
      <c r="M216" s="42"/>
      <c r="N216" s="34"/>
      <c r="O216" s="42"/>
      <c r="P216" s="34"/>
      <c r="Q216" s="42"/>
      <c r="R216" s="34"/>
      <c r="S216" s="42"/>
      <c r="T216" s="34"/>
      <c r="U216" s="42"/>
      <c r="V216" s="34" t="s">
        <v>364</v>
      </c>
      <c r="W216" s="42">
        <v>1.1619999999999999</v>
      </c>
      <c r="X216" s="34"/>
      <c r="Y216" s="42"/>
      <c r="Z216" s="42"/>
      <c r="AA216" s="36"/>
      <c r="AB216" s="50"/>
      <c r="AC216" s="35" t="str">
        <f>IF(Table1[[#This Row],[Auto Order]]=1,IF(Table1[[#This Row],[In stock]]&lt;Table1[[#This Row],[Min in stock]],1,""),"")</f>
        <v/>
      </c>
    </row>
    <row r="217" spans="1:29" x14ac:dyDescent="0.25">
      <c r="A217" s="55" t="s">
        <v>511</v>
      </c>
      <c r="B217" s="34" t="s">
        <v>80</v>
      </c>
      <c r="C217" s="34" t="s">
        <v>352</v>
      </c>
      <c r="D217" s="34" t="s">
        <v>2952</v>
      </c>
      <c r="E217" s="34" t="s">
        <v>544</v>
      </c>
      <c r="F217" s="53">
        <v>0</v>
      </c>
      <c r="G217" s="53">
        <v>1</v>
      </c>
      <c r="H217" s="53">
        <v>1</v>
      </c>
      <c r="I21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MRF89XAM8A-I/RM-ND</v>
      </c>
      <c r="J21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8.19</v>
      </c>
      <c r="K21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17" s="34" t="s">
        <v>512</v>
      </c>
      <c r="M217" s="42">
        <v>8.19</v>
      </c>
      <c r="N217" s="34"/>
      <c r="O217" s="42"/>
      <c r="P217" s="34"/>
      <c r="Q217" s="42"/>
      <c r="R217" s="34"/>
      <c r="S217" s="42"/>
      <c r="T217" s="34"/>
      <c r="U217" s="42"/>
      <c r="V217" s="34"/>
      <c r="W217" s="42"/>
      <c r="X217" s="34"/>
      <c r="Y217" s="42"/>
      <c r="Z217" s="42"/>
      <c r="AA217" s="36"/>
      <c r="AB217" s="50"/>
      <c r="AC217" s="35">
        <f>IF(Table1[[#This Row],[Auto Order]]=1,IF(Table1[[#This Row],[In stock]]&lt;Table1[[#This Row],[Min in stock]],1,""),"")</f>
        <v>1</v>
      </c>
    </row>
    <row r="218" spans="1:29" x14ac:dyDescent="0.25">
      <c r="A218" s="55" t="s">
        <v>508</v>
      </c>
      <c r="B218" s="34" t="s">
        <v>80</v>
      </c>
      <c r="C218" s="34" t="s">
        <v>352</v>
      </c>
      <c r="D218" s="34" t="s">
        <v>510</v>
      </c>
      <c r="E218" s="34" t="s">
        <v>574</v>
      </c>
      <c r="F218" s="53">
        <v>0</v>
      </c>
      <c r="G218" s="53">
        <v>2</v>
      </c>
      <c r="H218" s="53">
        <f>1</f>
        <v>1</v>
      </c>
      <c r="I21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DSC6003JI2A-012.0000TCT-ND</v>
      </c>
      <c r="J21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0.93</v>
      </c>
      <c r="K21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18" s="34" t="s">
        <v>509</v>
      </c>
      <c r="M218" s="42">
        <v>0.93</v>
      </c>
      <c r="N218" s="34"/>
      <c r="O218" s="42"/>
      <c r="P218" s="34"/>
      <c r="Q218" s="42"/>
      <c r="R218" s="34"/>
      <c r="S218" s="42"/>
      <c r="T218" s="34"/>
      <c r="U218" s="42"/>
      <c r="V218" s="34"/>
      <c r="W218" s="42"/>
      <c r="X218" s="34"/>
      <c r="Y218" s="42"/>
      <c r="Z218" s="42"/>
      <c r="AA218" s="36"/>
      <c r="AB218" s="50"/>
      <c r="AC218" s="35">
        <f>IF(Table1[[#This Row],[Auto Order]]=1,IF(Table1[[#This Row],[In stock]]&lt;Table1[[#This Row],[Min in stock]],1,""),"")</f>
        <v>1</v>
      </c>
    </row>
    <row r="219" spans="1:29" x14ac:dyDescent="0.25">
      <c r="A219" s="52" t="s">
        <v>322</v>
      </c>
      <c r="B219" s="34" t="s">
        <v>253</v>
      </c>
      <c r="C219" s="34" t="s">
        <v>352</v>
      </c>
      <c r="D219" s="34" t="s">
        <v>254</v>
      </c>
      <c r="E219" s="34" t="s">
        <v>560</v>
      </c>
      <c r="F219" s="53">
        <v>9</v>
      </c>
      <c r="G219" s="53"/>
      <c r="H219" s="53"/>
      <c r="I219" s="34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0</v>
      </c>
      <c r="J21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</v>
      </c>
      <c r="K21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JLCPCB</v>
      </c>
      <c r="L219" s="34"/>
      <c r="M219" s="42"/>
      <c r="N219" s="34"/>
      <c r="O219" s="42"/>
      <c r="P219" s="34"/>
      <c r="Q219" s="42"/>
      <c r="R219" s="34"/>
      <c r="S219" s="42"/>
      <c r="T219" s="34"/>
      <c r="U219" s="42"/>
      <c r="V219" s="34"/>
      <c r="W219" s="42"/>
      <c r="X219" s="34"/>
      <c r="Y219" s="42"/>
      <c r="Z219" s="42" t="s">
        <v>523</v>
      </c>
      <c r="AA219" s="36"/>
      <c r="AB219" s="50"/>
      <c r="AC219" s="35" t="str">
        <f>IF(Table1[[#This Row],[Auto Order]]=1,IF(Table1[[#This Row],[In stock]]&lt;Table1[[#This Row],[Min in stock]],1,""),"")</f>
        <v/>
      </c>
    </row>
    <row r="220" spans="1:29" x14ac:dyDescent="0.25">
      <c r="A220" s="52" t="s">
        <v>323</v>
      </c>
      <c r="B220" s="34" t="s">
        <v>253</v>
      </c>
      <c r="C220" s="34" t="s">
        <v>352</v>
      </c>
      <c r="D220" s="34" t="s">
        <v>255</v>
      </c>
      <c r="E220" s="34" t="s">
        <v>560</v>
      </c>
      <c r="F220" s="53">
        <v>10</v>
      </c>
      <c r="G220" s="53"/>
      <c r="H220" s="53"/>
      <c r="I220" s="34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0</v>
      </c>
      <c r="J22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</v>
      </c>
      <c r="K22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JLCPCB</v>
      </c>
      <c r="L220" s="34"/>
      <c r="M220" s="42"/>
      <c r="N220" s="34"/>
      <c r="O220" s="42"/>
      <c r="P220" s="34"/>
      <c r="Q220" s="42"/>
      <c r="R220" s="34"/>
      <c r="S220" s="42"/>
      <c r="T220" s="34"/>
      <c r="U220" s="42"/>
      <c r="V220" s="34"/>
      <c r="W220" s="42"/>
      <c r="X220" s="34"/>
      <c r="Y220" s="42"/>
      <c r="Z220" s="42" t="s">
        <v>523</v>
      </c>
      <c r="AA220" s="36"/>
      <c r="AB220" s="50"/>
      <c r="AC220" s="35" t="str">
        <f>IF(Table1[[#This Row],[Auto Order]]=1,IF(Table1[[#This Row],[In stock]]&lt;Table1[[#This Row],[Min in stock]],1,""),"")</f>
        <v/>
      </c>
    </row>
    <row r="221" spans="1:29" x14ac:dyDescent="0.25">
      <c r="A221" s="52" t="s">
        <v>326</v>
      </c>
      <c r="B221" s="34" t="s">
        <v>253</v>
      </c>
      <c r="C221" s="34" t="s">
        <v>352</v>
      </c>
      <c r="D221" s="34" t="s">
        <v>327</v>
      </c>
      <c r="E221" s="34" t="s">
        <v>560</v>
      </c>
      <c r="F221" s="53">
        <v>10</v>
      </c>
      <c r="G221" s="53"/>
      <c r="H221" s="53"/>
      <c r="I221" s="34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0</v>
      </c>
      <c r="J22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</v>
      </c>
      <c r="K22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JLCPCB</v>
      </c>
      <c r="L221" s="34"/>
      <c r="M221" s="42"/>
      <c r="N221" s="34"/>
      <c r="O221" s="42"/>
      <c r="P221" s="34"/>
      <c r="Q221" s="42"/>
      <c r="R221" s="34"/>
      <c r="S221" s="42"/>
      <c r="T221" s="34"/>
      <c r="U221" s="42"/>
      <c r="V221" s="34"/>
      <c r="W221" s="42"/>
      <c r="X221" s="34"/>
      <c r="Y221" s="42"/>
      <c r="Z221" s="42" t="s">
        <v>523</v>
      </c>
      <c r="AA221" s="36"/>
      <c r="AB221" s="50"/>
      <c r="AC221" s="35" t="str">
        <f>IF(Table1[[#This Row],[Auto Order]]=1,IF(Table1[[#This Row],[In stock]]&lt;Table1[[#This Row],[Min in stock]],1,""),"")</f>
        <v/>
      </c>
    </row>
    <row r="222" spans="1:29" x14ac:dyDescent="0.25">
      <c r="A222" s="52" t="s">
        <v>324</v>
      </c>
      <c r="B222" s="34" t="s">
        <v>253</v>
      </c>
      <c r="C222" s="34" t="s">
        <v>352</v>
      </c>
      <c r="D222" s="34" t="s">
        <v>385</v>
      </c>
      <c r="E222" s="34" t="s">
        <v>560</v>
      </c>
      <c r="F222" s="53">
        <v>9</v>
      </c>
      <c r="G222" s="53"/>
      <c r="H222" s="53"/>
      <c r="I222" s="34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0</v>
      </c>
      <c r="J22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</v>
      </c>
      <c r="K22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JLCPCB</v>
      </c>
      <c r="L222" s="34"/>
      <c r="M222" s="42"/>
      <c r="N222" s="34"/>
      <c r="O222" s="42"/>
      <c r="P222" s="34"/>
      <c r="Q222" s="42"/>
      <c r="R222" s="34"/>
      <c r="S222" s="42"/>
      <c r="T222" s="34"/>
      <c r="U222" s="42"/>
      <c r="V222" s="34"/>
      <c r="W222" s="42"/>
      <c r="X222" s="34"/>
      <c r="Y222" s="42"/>
      <c r="Z222" s="42" t="s">
        <v>523</v>
      </c>
      <c r="AA222" s="36"/>
      <c r="AB222" s="50"/>
      <c r="AC222" s="35" t="str">
        <f>IF(Table1[[#This Row],[Auto Order]]=1,IF(Table1[[#This Row],[In stock]]&lt;Table1[[#This Row],[Min in stock]],1,""),"")</f>
        <v/>
      </c>
    </row>
    <row r="223" spans="1:29" x14ac:dyDescent="0.25">
      <c r="A223" s="52" t="s">
        <v>325</v>
      </c>
      <c r="B223" s="34" t="s">
        <v>253</v>
      </c>
      <c r="C223" s="34" t="s">
        <v>352</v>
      </c>
      <c r="D223" s="34" t="s">
        <v>256</v>
      </c>
      <c r="E223" s="34" t="s">
        <v>560</v>
      </c>
      <c r="F223" s="53">
        <v>9</v>
      </c>
      <c r="G223" s="53"/>
      <c r="H223" s="53"/>
      <c r="I223" s="34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0</v>
      </c>
      <c r="J22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</v>
      </c>
      <c r="K223" s="34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0</v>
      </c>
      <c r="L223" s="34"/>
      <c r="M223" s="42"/>
      <c r="N223" s="34"/>
      <c r="O223" s="42"/>
      <c r="P223" s="34"/>
      <c r="Q223" s="42"/>
      <c r="R223" s="34"/>
      <c r="S223" s="42"/>
      <c r="T223" s="34"/>
      <c r="U223" s="42"/>
      <c r="V223" s="34"/>
      <c r="W223" s="42"/>
      <c r="X223" s="34"/>
      <c r="Y223" s="42"/>
      <c r="Z223" s="42"/>
      <c r="AA223" s="36"/>
      <c r="AB223" s="50"/>
      <c r="AC223" s="35" t="str">
        <f>IF(Table1[[#This Row],[Auto Order]]=1,IF(Table1[[#This Row],[In stock]]&lt;Table1[[#This Row],[Min in stock]],1,""),"")</f>
        <v/>
      </c>
    </row>
    <row r="224" spans="1:29" x14ac:dyDescent="0.25">
      <c r="A224" s="60" t="s">
        <v>3079</v>
      </c>
      <c r="B224" s="34" t="s">
        <v>253</v>
      </c>
      <c r="C224" s="34" t="s">
        <v>352</v>
      </c>
      <c r="D224" s="34" t="s">
        <v>3080</v>
      </c>
      <c r="E224" s="34" t="s">
        <v>560</v>
      </c>
      <c r="F224" s="53">
        <v>0</v>
      </c>
      <c r="G224" s="53"/>
      <c r="H224" s="53"/>
      <c r="I224" s="34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0</v>
      </c>
      <c r="J22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</v>
      </c>
      <c r="K224" s="34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0</v>
      </c>
      <c r="L224" s="34"/>
      <c r="M224" s="42"/>
      <c r="N224" s="34"/>
      <c r="O224" s="42"/>
      <c r="P224" s="34"/>
      <c r="Q224" s="42"/>
      <c r="R224" s="34"/>
      <c r="S224" s="42"/>
      <c r="T224" s="34"/>
      <c r="U224" s="42"/>
      <c r="V224" s="34"/>
      <c r="W224" s="42"/>
      <c r="X224" s="34"/>
      <c r="Y224" s="42"/>
      <c r="Z224" s="42"/>
      <c r="AA224" s="36"/>
      <c r="AB224" s="50"/>
      <c r="AC224" s="56" t="str">
        <f>IF(Table1[[#This Row],[Auto Order]]=1,IF(Table1[[#This Row],[In stock]]&lt;Table1[[#This Row],[Min in stock]],1,""),"")</f>
        <v/>
      </c>
    </row>
    <row r="225" spans="1:29" x14ac:dyDescent="0.25">
      <c r="A225" s="52" t="s">
        <v>73</v>
      </c>
      <c r="B225" s="34" t="s">
        <v>72</v>
      </c>
      <c r="C225" s="34" t="s">
        <v>352</v>
      </c>
      <c r="D225" s="34" t="s">
        <v>71</v>
      </c>
      <c r="E225" s="34" t="s">
        <v>566</v>
      </c>
      <c r="F225" s="53">
        <v>3</v>
      </c>
      <c r="G225" s="53">
        <v>1</v>
      </c>
      <c r="H225" s="53">
        <f>1</f>
        <v>1</v>
      </c>
      <c r="I22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NSL-19M51-ND</v>
      </c>
      <c r="J22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1.07</v>
      </c>
      <c r="K22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25" s="34" t="s">
        <v>70</v>
      </c>
      <c r="M225" s="42">
        <v>1.07</v>
      </c>
      <c r="N225" s="34"/>
      <c r="O225" s="42"/>
      <c r="P225" s="34"/>
      <c r="Q225" s="42"/>
      <c r="R225" s="34"/>
      <c r="S225" s="42"/>
      <c r="T225" s="34"/>
      <c r="U225" s="42"/>
      <c r="V225" s="34"/>
      <c r="W225" s="42"/>
      <c r="X225" s="34"/>
      <c r="Y225" s="42"/>
      <c r="Z225" s="42"/>
      <c r="AA225" s="36"/>
      <c r="AB225" s="50"/>
      <c r="AC225" s="35" t="str">
        <f>IF(Table1[[#This Row],[Auto Order]]=1,IF(Table1[[#This Row],[In stock]]&lt;Table1[[#This Row],[Min in stock]],1,""),"")</f>
        <v/>
      </c>
    </row>
    <row r="226" spans="1:29" x14ac:dyDescent="0.25">
      <c r="A226" s="52">
        <v>1004068</v>
      </c>
      <c r="B226" s="34" t="s">
        <v>65</v>
      </c>
      <c r="C226" s="34" t="s">
        <v>352</v>
      </c>
      <c r="D226" s="34" t="s">
        <v>83</v>
      </c>
      <c r="E226" s="34" t="s">
        <v>545</v>
      </c>
      <c r="F226" s="53">
        <v>2</v>
      </c>
      <c r="G226" s="53"/>
      <c r="H226" s="53"/>
      <c r="I226" s="34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1004068</v>
      </c>
      <c r="J22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3.49</v>
      </c>
      <c r="K22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Banggood</v>
      </c>
      <c r="L226" s="34"/>
      <c r="M226" s="42"/>
      <c r="N226" s="34"/>
      <c r="O226" s="42"/>
      <c r="P226" s="34"/>
      <c r="Q226" s="42"/>
      <c r="R226" s="34"/>
      <c r="S226" s="42"/>
      <c r="T226" s="34"/>
      <c r="U226" s="42"/>
      <c r="V226" s="34"/>
      <c r="W226" s="42"/>
      <c r="X226" s="34">
        <v>1004068</v>
      </c>
      <c r="Y226" s="42">
        <v>3.49</v>
      </c>
      <c r="Z226" s="42"/>
      <c r="AA226" s="36"/>
      <c r="AB226" s="50"/>
      <c r="AC226" s="35" t="str">
        <f>IF(Table1[[#This Row],[Auto Order]]=1,IF(Table1[[#This Row],[In stock]]&lt;Table1[[#This Row],[Min in stock]],1,""),"")</f>
        <v/>
      </c>
    </row>
    <row r="227" spans="1:29" x14ac:dyDescent="0.25">
      <c r="A227" s="52" t="s">
        <v>182</v>
      </c>
      <c r="B227" s="34" t="s">
        <v>177</v>
      </c>
      <c r="C227" s="34" t="s">
        <v>352</v>
      </c>
      <c r="D227" s="34" t="s">
        <v>183</v>
      </c>
      <c r="E227" s="34" t="s">
        <v>572</v>
      </c>
      <c r="F227" s="53">
        <v>1</v>
      </c>
      <c r="G227" s="53"/>
      <c r="H227" s="53"/>
      <c r="I22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XQDAWT-00-0000-00000BF50CT-ND</v>
      </c>
      <c r="J22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0.8</v>
      </c>
      <c r="K22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27" s="34" t="s">
        <v>181</v>
      </c>
      <c r="M227" s="42">
        <v>0.8</v>
      </c>
      <c r="N227" s="34"/>
      <c r="O227" s="42"/>
      <c r="P227" s="34"/>
      <c r="Q227" s="42"/>
      <c r="R227" s="34"/>
      <c r="S227" s="42"/>
      <c r="T227" s="34"/>
      <c r="U227" s="42"/>
      <c r="V227" s="34"/>
      <c r="W227" s="42"/>
      <c r="X227" s="34"/>
      <c r="Y227" s="42"/>
      <c r="Z227" s="42"/>
      <c r="AA227" s="36"/>
      <c r="AB227" s="50"/>
      <c r="AC227" s="35" t="str">
        <f>IF(Table1[[#This Row],[Auto Order]]=1,IF(Table1[[#This Row],[In stock]]&lt;Table1[[#This Row],[Min in stock]],1,""),"")</f>
        <v/>
      </c>
    </row>
    <row r="228" spans="1:29" x14ac:dyDescent="0.25">
      <c r="A228" s="52" t="s">
        <v>185</v>
      </c>
      <c r="B228" s="34" t="s">
        <v>177</v>
      </c>
      <c r="C228" s="34" t="s">
        <v>352</v>
      </c>
      <c r="D228" s="34" t="s">
        <v>186</v>
      </c>
      <c r="E228" s="34" t="s">
        <v>572</v>
      </c>
      <c r="F228" s="53">
        <v>2</v>
      </c>
      <c r="G228" s="53"/>
      <c r="H228" s="53"/>
      <c r="I22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XTEAWT-00-0000-000000KE1CT-ND</v>
      </c>
      <c r="J22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1.06</v>
      </c>
      <c r="K22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28" s="34" t="s">
        <v>184</v>
      </c>
      <c r="M228" s="42">
        <v>1.06</v>
      </c>
      <c r="N228" s="34"/>
      <c r="O228" s="42"/>
      <c r="P228" s="34"/>
      <c r="Q228" s="42"/>
      <c r="R228" s="34"/>
      <c r="S228" s="42"/>
      <c r="T228" s="34"/>
      <c r="U228" s="42"/>
      <c r="V228" s="34"/>
      <c r="W228" s="42"/>
      <c r="X228" s="34"/>
      <c r="Y228" s="42"/>
      <c r="Z228" s="42"/>
      <c r="AA228" s="36"/>
      <c r="AB228" s="50"/>
      <c r="AC228" s="35" t="str">
        <f>IF(Table1[[#This Row],[Auto Order]]=1,IF(Table1[[#This Row],[In stock]]&lt;Table1[[#This Row],[Min in stock]],1,""),"")</f>
        <v/>
      </c>
    </row>
    <row r="229" spans="1:29" x14ac:dyDescent="0.25">
      <c r="A229" s="62" t="s">
        <v>598</v>
      </c>
      <c r="B229" s="34" t="s">
        <v>251</v>
      </c>
      <c r="C229" s="34" t="s">
        <v>352</v>
      </c>
      <c r="D229" s="34" t="s">
        <v>600</v>
      </c>
      <c r="E229" s="34" t="s">
        <v>559</v>
      </c>
      <c r="F229" s="53">
        <v>0</v>
      </c>
      <c r="G229" s="53"/>
      <c r="H229" s="53"/>
      <c r="I22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541-4140-1-ND</v>
      </c>
      <c r="J22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</v>
      </c>
      <c r="K22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29" s="34" t="s">
        <v>599</v>
      </c>
      <c r="M229" s="42">
        <v>0.2</v>
      </c>
      <c r="N229" s="34"/>
      <c r="O229" s="42"/>
      <c r="P229" s="34"/>
      <c r="Q229" s="42"/>
      <c r="R229" s="34"/>
      <c r="S229" s="42"/>
      <c r="T229" s="34"/>
      <c r="U229" s="42"/>
      <c r="V229" s="34"/>
      <c r="W229" s="42"/>
      <c r="X229" s="34"/>
      <c r="Y229" s="42"/>
      <c r="Z229" s="42"/>
      <c r="AA229" s="36"/>
      <c r="AB229" s="50"/>
      <c r="AC229" s="56" t="str">
        <f>IF(Table1[[#This Row],[Auto Order]]=1,IF(Table1[[#This Row],[In stock]]&lt;Table1[[#This Row],[Min in stock]],1,""),"")</f>
        <v/>
      </c>
    </row>
    <row r="230" spans="1:29" x14ac:dyDescent="0.25">
      <c r="A230" s="62" t="s">
        <v>649</v>
      </c>
      <c r="B230" s="34" t="s">
        <v>251</v>
      </c>
      <c r="C230" s="34" t="s">
        <v>352</v>
      </c>
      <c r="D230" s="34" t="s">
        <v>651</v>
      </c>
      <c r="E230" s="34" t="s">
        <v>559</v>
      </c>
      <c r="F230" s="53">
        <v>0</v>
      </c>
      <c r="G230" s="53"/>
      <c r="H230" s="53"/>
      <c r="I23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541-4161-1-ND</v>
      </c>
      <c r="J23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3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30" s="34" t="s">
        <v>650</v>
      </c>
      <c r="M230" s="42">
        <v>0.1</v>
      </c>
      <c r="N230" s="34"/>
      <c r="O230" s="42"/>
      <c r="P230" s="34"/>
      <c r="Q230" s="42"/>
      <c r="R230" s="34"/>
      <c r="S230" s="42"/>
      <c r="T230" s="34"/>
      <c r="U230" s="42"/>
      <c r="V230" s="34"/>
      <c r="W230" s="42"/>
      <c r="X230" s="34"/>
      <c r="Y230" s="42"/>
      <c r="Z230" s="42"/>
      <c r="AA230" s="36"/>
      <c r="AB230" s="50"/>
      <c r="AC230" s="56" t="str">
        <f>IF(Table1[[#This Row],[Auto Order]]=1,IF(Table1[[#This Row],[In stock]]&lt;Table1[[#This Row],[Min in stock]],1,""),"")</f>
        <v/>
      </c>
    </row>
    <row r="231" spans="1:29" x14ac:dyDescent="0.25">
      <c r="A231" s="62" t="s">
        <v>613</v>
      </c>
      <c r="B231" s="34" t="s">
        <v>251</v>
      </c>
      <c r="C231" s="34" t="s">
        <v>352</v>
      </c>
      <c r="D231" s="34" t="s">
        <v>615</v>
      </c>
      <c r="E231" s="34" t="s">
        <v>559</v>
      </c>
      <c r="F231" s="53">
        <v>0</v>
      </c>
      <c r="G231" s="53"/>
      <c r="H231" s="53"/>
      <c r="I23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541-4132-1-ND</v>
      </c>
      <c r="J23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3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31" s="34" t="s">
        <v>614</v>
      </c>
      <c r="M231" s="42">
        <v>0.1</v>
      </c>
      <c r="N231" s="34"/>
      <c r="O231" s="42"/>
      <c r="P231" s="34"/>
      <c r="Q231" s="42"/>
      <c r="R231" s="34"/>
      <c r="S231" s="42"/>
      <c r="T231" s="34"/>
      <c r="U231" s="42"/>
      <c r="V231" s="34"/>
      <c r="W231" s="42"/>
      <c r="X231" s="34"/>
      <c r="Y231" s="42"/>
      <c r="Z231" s="42"/>
      <c r="AA231" s="36"/>
      <c r="AB231" s="50"/>
      <c r="AC231" s="56" t="str">
        <f>IF(Table1[[#This Row],[Auto Order]]=1,IF(Table1[[#This Row],[In stock]]&lt;Table1[[#This Row],[Min in stock]],1,""),"")</f>
        <v/>
      </c>
    </row>
    <row r="232" spans="1:29" x14ac:dyDescent="0.25">
      <c r="A232" s="52" t="s">
        <v>250</v>
      </c>
      <c r="B232" s="34" t="s">
        <v>251</v>
      </c>
      <c r="C232" s="34" t="s">
        <v>352</v>
      </c>
      <c r="D232" s="34" t="s">
        <v>252</v>
      </c>
      <c r="E232" s="34" t="s">
        <v>559</v>
      </c>
      <c r="F232" s="53">
        <v>99</v>
      </c>
      <c r="G232" s="53"/>
      <c r="H232" s="53"/>
      <c r="I23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541-3979-1-ND</v>
      </c>
      <c r="J23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4.8000000000000001E-2</v>
      </c>
      <c r="K23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32" s="34" t="s">
        <v>249</v>
      </c>
      <c r="M232" s="42">
        <v>4.8000000000000001E-2</v>
      </c>
      <c r="N232" s="34"/>
      <c r="O232" s="42"/>
      <c r="P232" s="34"/>
      <c r="Q232" s="42"/>
      <c r="R232" s="34"/>
      <c r="S232" s="42"/>
      <c r="T232" s="34"/>
      <c r="U232" s="42"/>
      <c r="V232" s="34"/>
      <c r="W232" s="42"/>
      <c r="X232" s="34"/>
      <c r="Y232" s="42"/>
      <c r="Z232" s="42"/>
      <c r="AA232" s="36"/>
      <c r="AB232" s="50"/>
      <c r="AC232" s="35" t="str">
        <f>IF(Table1[[#This Row],[Auto Order]]=1,IF(Table1[[#This Row],[In stock]]&lt;Table1[[#This Row],[Min in stock]],1,""),"")</f>
        <v/>
      </c>
    </row>
    <row r="233" spans="1:29" x14ac:dyDescent="0.25">
      <c r="A233" s="62" t="s">
        <v>688</v>
      </c>
      <c r="B233" s="34" t="s">
        <v>251</v>
      </c>
      <c r="C233" s="34" t="s">
        <v>352</v>
      </c>
      <c r="D233" s="34" t="s">
        <v>690</v>
      </c>
      <c r="E233" s="34" t="s">
        <v>559</v>
      </c>
      <c r="F233" s="53">
        <v>0</v>
      </c>
      <c r="G233" s="53"/>
      <c r="H233" s="53"/>
      <c r="I23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541-3978-1-ND</v>
      </c>
      <c r="J23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3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33" s="34" t="s">
        <v>689</v>
      </c>
      <c r="M233" s="42">
        <v>0.1</v>
      </c>
      <c r="N233" s="34"/>
      <c r="O233" s="42"/>
      <c r="P233" s="34"/>
      <c r="Q233" s="42"/>
      <c r="R233" s="34"/>
      <c r="S233" s="42"/>
      <c r="T233" s="34"/>
      <c r="U233" s="42"/>
      <c r="V233" s="34"/>
      <c r="W233" s="42"/>
      <c r="X233" s="34"/>
      <c r="Y233" s="42"/>
      <c r="Z233" s="42"/>
      <c r="AA233" s="36"/>
      <c r="AB233" s="50"/>
      <c r="AC233" s="56" t="str">
        <f>IF(Table1[[#This Row],[Auto Order]]=1,IF(Table1[[#This Row],[In stock]]&lt;Table1[[#This Row],[Min in stock]],1,""),"")</f>
        <v/>
      </c>
    </row>
    <row r="234" spans="1:29" x14ac:dyDescent="0.25">
      <c r="A234" s="62" t="s">
        <v>595</v>
      </c>
      <c r="B234" s="34" t="s">
        <v>251</v>
      </c>
      <c r="C234" s="34" t="s">
        <v>352</v>
      </c>
      <c r="D234" s="34" t="s">
        <v>597</v>
      </c>
      <c r="E234" s="34" t="s">
        <v>559</v>
      </c>
      <c r="F234" s="53">
        <v>0</v>
      </c>
      <c r="G234" s="53"/>
      <c r="H234" s="53"/>
      <c r="I23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541-3976-1-ND</v>
      </c>
      <c r="J23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3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34" s="34" t="s">
        <v>596</v>
      </c>
      <c r="M234" s="42">
        <v>0.1</v>
      </c>
      <c r="N234" s="34"/>
      <c r="O234" s="42"/>
      <c r="P234" s="34"/>
      <c r="Q234" s="42"/>
      <c r="R234" s="34"/>
      <c r="S234" s="42"/>
      <c r="T234" s="34"/>
      <c r="U234" s="42"/>
      <c r="V234" s="34"/>
      <c r="W234" s="42"/>
      <c r="X234" s="34"/>
      <c r="Y234" s="42"/>
      <c r="Z234" s="42"/>
      <c r="AA234" s="36"/>
      <c r="AB234" s="50"/>
      <c r="AC234" s="56" t="str">
        <f>IF(Table1[[#This Row],[Auto Order]]=1,IF(Table1[[#This Row],[In stock]]&lt;Table1[[#This Row],[Min in stock]],1,""),"")</f>
        <v/>
      </c>
    </row>
    <row r="235" spans="1:29" x14ac:dyDescent="0.25">
      <c r="A235" s="62" t="s">
        <v>670</v>
      </c>
      <c r="B235" s="34" t="s">
        <v>251</v>
      </c>
      <c r="C235" s="34" t="s">
        <v>352</v>
      </c>
      <c r="D235" s="34" t="s">
        <v>672</v>
      </c>
      <c r="E235" s="34" t="s">
        <v>559</v>
      </c>
      <c r="F235" s="53">
        <v>0</v>
      </c>
      <c r="G235" s="53"/>
      <c r="H235" s="53"/>
      <c r="I23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541-4136-1-ND</v>
      </c>
      <c r="J23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3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35" s="34" t="s">
        <v>671</v>
      </c>
      <c r="M235" s="42">
        <v>0.1</v>
      </c>
      <c r="N235" s="34"/>
      <c r="O235" s="42"/>
      <c r="P235" s="34"/>
      <c r="Q235" s="42"/>
      <c r="R235" s="34"/>
      <c r="S235" s="42"/>
      <c r="T235" s="34"/>
      <c r="U235" s="42"/>
      <c r="V235" s="34"/>
      <c r="W235" s="42"/>
      <c r="X235" s="34"/>
      <c r="Y235" s="42"/>
      <c r="Z235" s="42"/>
      <c r="AA235" s="36"/>
      <c r="AB235" s="50"/>
      <c r="AC235" s="56" t="str">
        <f>IF(Table1[[#This Row],[Auto Order]]=1,IF(Table1[[#This Row],[In stock]]&lt;Table1[[#This Row],[Min in stock]],1,""),"")</f>
        <v/>
      </c>
    </row>
    <row r="236" spans="1:29" x14ac:dyDescent="0.25">
      <c r="A236" s="62" t="s">
        <v>646</v>
      </c>
      <c r="B236" s="34" t="s">
        <v>251</v>
      </c>
      <c r="C236" s="34" t="s">
        <v>352</v>
      </c>
      <c r="D236" s="34" t="s">
        <v>3088</v>
      </c>
      <c r="E236" s="34" t="s">
        <v>559</v>
      </c>
      <c r="F236" s="53">
        <v>0</v>
      </c>
      <c r="G236" s="53"/>
      <c r="H236" s="53"/>
      <c r="I23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541-3977-1-ND</v>
      </c>
      <c r="J23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3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36" s="34" t="s">
        <v>647</v>
      </c>
      <c r="M236" s="42">
        <v>0.1</v>
      </c>
      <c r="N236" s="34"/>
      <c r="O236" s="42"/>
      <c r="P236" s="34"/>
      <c r="Q236" s="42"/>
      <c r="R236" s="34"/>
      <c r="S236" s="42"/>
      <c r="T236" s="34"/>
      <c r="U236" s="42"/>
      <c r="V236" s="34"/>
      <c r="W236" s="42"/>
      <c r="X236" s="34"/>
      <c r="Y236" s="42"/>
      <c r="Z236" s="42"/>
      <c r="AA236" s="36"/>
      <c r="AB236" s="50"/>
      <c r="AC236" s="56" t="str">
        <f>IF(Table1[[#This Row],[Auto Order]]=1,IF(Table1[[#This Row],[In stock]]&lt;Table1[[#This Row],[Min in stock]],1,""),"")</f>
        <v/>
      </c>
    </row>
    <row r="237" spans="1:29" x14ac:dyDescent="0.25">
      <c r="A237" s="62" t="s">
        <v>697</v>
      </c>
      <c r="B237" s="34" t="s">
        <v>251</v>
      </c>
      <c r="C237" s="34" t="s">
        <v>352</v>
      </c>
      <c r="D237" s="34" t="s">
        <v>699</v>
      </c>
      <c r="E237" s="34" t="s">
        <v>559</v>
      </c>
      <c r="F237" s="53">
        <v>0</v>
      </c>
      <c r="G237" s="53"/>
      <c r="H237" s="53"/>
      <c r="I23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541-4135-1-ND</v>
      </c>
      <c r="J23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3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37" s="34" t="s">
        <v>698</v>
      </c>
      <c r="M237" s="42">
        <v>0.1</v>
      </c>
      <c r="N237" s="34"/>
      <c r="O237" s="42"/>
      <c r="P237" s="34"/>
      <c r="Q237" s="42"/>
      <c r="R237" s="34"/>
      <c r="S237" s="42"/>
      <c r="T237" s="34"/>
      <c r="U237" s="42"/>
      <c r="V237" s="34"/>
      <c r="W237" s="42"/>
      <c r="X237" s="34"/>
      <c r="Y237" s="42"/>
      <c r="Z237" s="42"/>
      <c r="AA237" s="36"/>
      <c r="AB237" s="50"/>
      <c r="AC237" s="56" t="str">
        <f>IF(Table1[[#This Row],[Auto Order]]=1,IF(Table1[[#This Row],[In stock]]&lt;Table1[[#This Row],[Min in stock]],1,""),"")</f>
        <v/>
      </c>
    </row>
    <row r="238" spans="1:29" x14ac:dyDescent="0.25">
      <c r="A238" s="62" t="s">
        <v>601</v>
      </c>
      <c r="B238" s="34" t="s">
        <v>251</v>
      </c>
      <c r="C238" s="34" t="s">
        <v>352</v>
      </c>
      <c r="D238" s="34" t="s">
        <v>603</v>
      </c>
      <c r="E238" s="34" t="s">
        <v>559</v>
      </c>
      <c r="F238" s="53">
        <v>0</v>
      </c>
      <c r="G238" s="53"/>
      <c r="H238" s="53"/>
      <c r="I23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541-4155-1-ND</v>
      </c>
      <c r="J23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</v>
      </c>
      <c r="K23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38" s="34" t="s">
        <v>602</v>
      </c>
      <c r="M238" s="42">
        <v>0.2</v>
      </c>
      <c r="N238" s="34"/>
      <c r="O238" s="42"/>
      <c r="P238" s="34"/>
      <c r="Q238" s="42"/>
      <c r="R238" s="34"/>
      <c r="S238" s="42"/>
      <c r="T238" s="34"/>
      <c r="U238" s="42"/>
      <c r="V238" s="34"/>
      <c r="W238" s="42"/>
      <c r="X238" s="34"/>
      <c r="Y238" s="42"/>
      <c r="Z238" s="42"/>
      <c r="AA238" s="36"/>
      <c r="AB238" s="50"/>
      <c r="AC238" s="56" t="str">
        <f>IF(Table1[[#This Row],[Auto Order]]=1,IF(Table1[[#This Row],[In stock]]&lt;Table1[[#This Row],[Min in stock]],1,""),"")</f>
        <v/>
      </c>
    </row>
    <row r="239" spans="1:29" x14ac:dyDescent="0.25">
      <c r="A239" s="52" t="s">
        <v>484</v>
      </c>
      <c r="B239" s="34" t="s">
        <v>258</v>
      </c>
      <c r="C239" s="34" t="s">
        <v>352</v>
      </c>
      <c r="D239" s="34" t="s">
        <v>262</v>
      </c>
      <c r="E239" s="34" t="s">
        <v>559</v>
      </c>
      <c r="F239" s="53">
        <v>3</v>
      </c>
      <c r="G239" s="53"/>
      <c r="H239" s="53"/>
      <c r="I23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A129415CT-ND</v>
      </c>
      <c r="J23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0.31</v>
      </c>
      <c r="K23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39" s="34" t="s">
        <v>261</v>
      </c>
      <c r="M239" s="42">
        <v>0.31</v>
      </c>
      <c r="N239" s="34"/>
      <c r="O239" s="42"/>
      <c r="P239" s="34"/>
      <c r="Q239" s="42"/>
      <c r="R239" s="34"/>
      <c r="S239" s="42"/>
      <c r="T239" s="34"/>
      <c r="U239" s="42"/>
      <c r="V239" s="34"/>
      <c r="W239" s="42"/>
      <c r="X239" s="34"/>
      <c r="Y239" s="42"/>
      <c r="Z239" s="42"/>
      <c r="AA239" s="36"/>
      <c r="AB239" s="50"/>
      <c r="AC239" s="35" t="str">
        <f>IF(Table1[[#This Row],[Auto Order]]=1,IF(Table1[[#This Row],[In stock]]&lt;Table1[[#This Row],[Min in stock]],1,""),"")</f>
        <v/>
      </c>
    </row>
    <row r="240" spans="1:29" x14ac:dyDescent="0.25">
      <c r="A240" s="52" t="s">
        <v>246</v>
      </c>
      <c r="B240" s="34" t="s">
        <v>247</v>
      </c>
      <c r="C240" s="34" t="s">
        <v>352</v>
      </c>
      <c r="D240" s="34" t="s">
        <v>248</v>
      </c>
      <c r="E240" s="34" t="s">
        <v>559</v>
      </c>
      <c r="F240" s="53">
        <v>99</v>
      </c>
      <c r="G240" s="53"/>
      <c r="H240" s="53"/>
      <c r="I24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P150CCT-ND</v>
      </c>
      <c r="J24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8.1000000000000003E-2</v>
      </c>
      <c r="K24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40" s="34" t="s">
        <v>245</v>
      </c>
      <c r="M240" s="42">
        <v>8.1000000000000003E-2</v>
      </c>
      <c r="N240" s="34"/>
      <c r="O240" s="42"/>
      <c r="P240" s="34"/>
      <c r="Q240" s="42"/>
      <c r="R240" s="34"/>
      <c r="S240" s="42"/>
      <c r="T240" s="34"/>
      <c r="U240" s="42"/>
      <c r="V240" s="34"/>
      <c r="W240" s="42"/>
      <c r="X240" s="34"/>
      <c r="Y240" s="42"/>
      <c r="Z240" s="42"/>
      <c r="AA240" s="36"/>
      <c r="AB240" s="50"/>
      <c r="AC240" s="35" t="str">
        <f>IF(Table1[[#This Row],[Auto Order]]=1,IF(Table1[[#This Row],[In stock]]&lt;Table1[[#This Row],[Min in stock]],1,""),"")</f>
        <v/>
      </c>
    </row>
    <row r="241" spans="1:29" x14ac:dyDescent="0.25">
      <c r="A241" s="62" t="s">
        <v>1794</v>
      </c>
      <c r="B241" s="34" t="s">
        <v>713</v>
      </c>
      <c r="C241" s="34" t="s">
        <v>352</v>
      </c>
      <c r="D241" s="34" t="s">
        <v>1795</v>
      </c>
      <c r="E241" s="34" t="s">
        <v>559</v>
      </c>
      <c r="F241" s="53">
        <v>0</v>
      </c>
      <c r="G241" s="53"/>
      <c r="H241" s="53"/>
      <c r="I24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RHM1.00KADCT-ND</v>
      </c>
      <c r="J24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4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41" s="34" t="s">
        <v>1793</v>
      </c>
      <c r="M241" s="42">
        <v>0.13</v>
      </c>
      <c r="N241" s="34"/>
      <c r="O241" s="42"/>
      <c r="P241" s="34"/>
      <c r="Q241" s="42"/>
      <c r="R241" s="34"/>
      <c r="S241" s="42"/>
      <c r="T241" s="34"/>
      <c r="U241" s="42"/>
      <c r="V241" s="34"/>
      <c r="W241" s="42"/>
      <c r="X241" s="34"/>
      <c r="Y241" s="42"/>
      <c r="Z241" s="42"/>
      <c r="AA241" s="36"/>
      <c r="AB241" s="50"/>
      <c r="AC241" s="56" t="str">
        <f>IF(Table1[[#This Row],[Auto Order]]=1,IF(Table1[[#This Row],[In stock]]&lt;Table1[[#This Row],[Min in stock]],1,""),"")</f>
        <v/>
      </c>
    </row>
    <row r="242" spans="1:29" x14ac:dyDescent="0.25">
      <c r="A242" s="62" t="s">
        <v>1791</v>
      </c>
      <c r="B242" s="34" t="s">
        <v>713</v>
      </c>
      <c r="C242" s="34" t="s">
        <v>352</v>
      </c>
      <c r="D242" s="34" t="s">
        <v>1792</v>
      </c>
      <c r="E242" s="34" t="s">
        <v>559</v>
      </c>
      <c r="F242" s="53">
        <v>0</v>
      </c>
      <c r="G242" s="53">
        <v>10</v>
      </c>
      <c r="H242" s="53">
        <f>1</f>
        <v>1</v>
      </c>
      <c r="I24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RHM10KADCT-ND</v>
      </c>
      <c r="J24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4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42" s="34" t="s">
        <v>1790</v>
      </c>
      <c r="M242" s="42">
        <v>0.13</v>
      </c>
      <c r="N242" s="34"/>
      <c r="O242" s="42"/>
      <c r="P242" s="34"/>
      <c r="Q242" s="42"/>
      <c r="R242" s="34"/>
      <c r="S242" s="42"/>
      <c r="T242" s="34"/>
      <c r="U242" s="42"/>
      <c r="V242" s="34"/>
      <c r="W242" s="42"/>
      <c r="X242" s="34"/>
      <c r="Y242" s="42"/>
      <c r="Z242" s="42"/>
      <c r="AA242" s="36"/>
      <c r="AB242" s="50"/>
      <c r="AC242" s="56">
        <f>IF(Table1[[#This Row],[Auto Order]]=1,IF(Table1[[#This Row],[In stock]]&lt;Table1[[#This Row],[Min in stock]],1,""),"")</f>
        <v>1</v>
      </c>
    </row>
    <row r="243" spans="1:29" x14ac:dyDescent="0.25">
      <c r="A243" s="62" t="s">
        <v>1788</v>
      </c>
      <c r="B243" s="34" t="s">
        <v>713</v>
      </c>
      <c r="C243" s="34" t="s">
        <v>352</v>
      </c>
      <c r="D243" s="34" t="s">
        <v>1789</v>
      </c>
      <c r="E243" s="34" t="s">
        <v>559</v>
      </c>
      <c r="F243" s="53">
        <v>0</v>
      </c>
      <c r="G243" s="53"/>
      <c r="H243" s="53"/>
      <c r="I24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RHM10.0ADCT-ND</v>
      </c>
      <c r="J24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4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43" s="34" t="s">
        <v>1787</v>
      </c>
      <c r="M243" s="42">
        <v>0.13</v>
      </c>
      <c r="N243" s="34"/>
      <c r="O243" s="42"/>
      <c r="P243" s="34"/>
      <c r="Q243" s="42"/>
      <c r="R243" s="34"/>
      <c r="S243" s="42"/>
      <c r="T243" s="34"/>
      <c r="U243" s="42"/>
      <c r="V243" s="34"/>
      <c r="W243" s="42"/>
      <c r="X243" s="34"/>
      <c r="Y243" s="42"/>
      <c r="Z243" s="42"/>
      <c r="AA243" s="36"/>
      <c r="AB243" s="50"/>
      <c r="AC243" s="56" t="str">
        <f>IF(Table1[[#This Row],[Auto Order]]=1,IF(Table1[[#This Row],[In stock]]&lt;Table1[[#This Row],[Min in stock]],1,""),"")</f>
        <v/>
      </c>
    </row>
    <row r="244" spans="1:29" x14ac:dyDescent="0.25">
      <c r="A244" s="62" t="s">
        <v>2436</v>
      </c>
      <c r="B244" s="34" t="s">
        <v>713</v>
      </c>
      <c r="C244" s="34" t="s">
        <v>352</v>
      </c>
      <c r="D244" s="34" t="s">
        <v>2437</v>
      </c>
      <c r="E244" s="34" t="s">
        <v>559</v>
      </c>
      <c r="F244" s="53">
        <v>0</v>
      </c>
      <c r="G244" s="53"/>
      <c r="H244" s="53"/>
      <c r="I24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RHM12.0KADCT-ND</v>
      </c>
      <c r="J24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4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44" s="34" t="s">
        <v>2435</v>
      </c>
      <c r="M244" s="42">
        <v>0.13</v>
      </c>
      <c r="N244" s="34"/>
      <c r="O244" s="42"/>
      <c r="P244" s="34"/>
      <c r="Q244" s="42"/>
      <c r="R244" s="34"/>
      <c r="S244" s="42"/>
      <c r="T244" s="34"/>
      <c r="U244" s="42"/>
      <c r="V244" s="34"/>
      <c r="W244" s="42"/>
      <c r="X244" s="34"/>
      <c r="Y244" s="42"/>
      <c r="Z244" s="42"/>
      <c r="AA244" s="36"/>
      <c r="AB244" s="50"/>
      <c r="AC244" s="56" t="str">
        <f>IF(Table1[[#This Row],[Auto Order]]=1,IF(Table1[[#This Row],[In stock]]&lt;Table1[[#This Row],[Min in stock]],1,""),"")</f>
        <v/>
      </c>
    </row>
    <row r="245" spans="1:29" x14ac:dyDescent="0.25">
      <c r="A245" s="60" t="s">
        <v>2271</v>
      </c>
      <c r="B245" s="34" t="s">
        <v>713</v>
      </c>
      <c r="C245" s="34" t="s">
        <v>352</v>
      </c>
      <c r="D245" s="34" t="s">
        <v>2272</v>
      </c>
      <c r="E245" s="34" t="s">
        <v>559</v>
      </c>
      <c r="F245" s="53">
        <v>0</v>
      </c>
      <c r="G245" s="53"/>
      <c r="H245" s="53"/>
      <c r="I24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RHM1.50KADCT-ND</v>
      </c>
      <c r="J24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4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45" s="34" t="s">
        <v>2270</v>
      </c>
      <c r="M245" s="42">
        <v>0.13</v>
      </c>
      <c r="N245" s="34"/>
      <c r="O245" s="42"/>
      <c r="P245" s="34"/>
      <c r="Q245" s="42"/>
      <c r="R245" s="34"/>
      <c r="S245" s="42"/>
      <c r="T245" s="34"/>
      <c r="U245" s="42"/>
      <c r="V245" s="34"/>
      <c r="W245" s="42"/>
      <c r="X245" s="34"/>
      <c r="Y245" s="42"/>
      <c r="Z245" s="42"/>
      <c r="AA245" s="36"/>
      <c r="AB245" s="50"/>
      <c r="AC245" s="56" t="str">
        <f>IF(Table1[[#This Row],[Auto Order]]=1,IF(Table1[[#This Row],[In stock]]&lt;Table1[[#This Row],[Min in stock]],1,""),"")</f>
        <v/>
      </c>
    </row>
    <row r="246" spans="1:29" x14ac:dyDescent="0.25">
      <c r="A246" s="60" t="s">
        <v>2262</v>
      </c>
      <c r="B246" s="34" t="s">
        <v>713</v>
      </c>
      <c r="C246" s="34" t="s">
        <v>352</v>
      </c>
      <c r="D246" s="34" t="s">
        <v>2263</v>
      </c>
      <c r="E246" s="34" t="s">
        <v>559</v>
      </c>
      <c r="F246" s="53">
        <v>0</v>
      </c>
      <c r="G246" s="53"/>
      <c r="H246" s="53"/>
      <c r="I24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RHM15.0KADCT-ND</v>
      </c>
      <c r="J24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4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46" s="34" t="s">
        <v>2261</v>
      </c>
      <c r="M246" s="42">
        <v>0.13</v>
      </c>
      <c r="N246" s="34"/>
      <c r="O246" s="42"/>
      <c r="P246" s="34"/>
      <c r="Q246" s="42"/>
      <c r="R246" s="34"/>
      <c r="S246" s="42"/>
      <c r="T246" s="34"/>
      <c r="U246" s="42"/>
      <c r="V246" s="34"/>
      <c r="W246" s="42"/>
      <c r="X246" s="34"/>
      <c r="Y246" s="42"/>
      <c r="Z246" s="42"/>
      <c r="AA246" s="36"/>
      <c r="AB246" s="50"/>
      <c r="AC246" s="56" t="str">
        <f>IF(Table1[[#This Row],[Auto Order]]=1,IF(Table1[[#This Row],[In stock]]&lt;Table1[[#This Row],[Min in stock]],1,""),"")</f>
        <v/>
      </c>
    </row>
    <row r="247" spans="1:29" x14ac:dyDescent="0.25">
      <c r="A247" s="60" t="s">
        <v>2439</v>
      </c>
      <c r="B247" s="34" t="s">
        <v>713</v>
      </c>
      <c r="C247" s="34" t="s">
        <v>352</v>
      </c>
      <c r="D247" s="34" t="s">
        <v>2440</v>
      </c>
      <c r="E247" s="34" t="s">
        <v>559</v>
      </c>
      <c r="F247" s="53">
        <v>0</v>
      </c>
      <c r="G247" s="53"/>
      <c r="H247" s="53"/>
      <c r="I24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RHM150KADCT-ND</v>
      </c>
      <c r="J24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4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47" s="34" t="s">
        <v>2438</v>
      </c>
      <c r="M247" s="42">
        <v>0.13</v>
      </c>
      <c r="N247" s="34"/>
      <c r="O247" s="42"/>
      <c r="P247" s="34"/>
      <c r="Q247" s="42"/>
      <c r="R247" s="34"/>
      <c r="S247" s="42"/>
      <c r="T247" s="34"/>
      <c r="U247" s="42"/>
      <c r="V247" s="34"/>
      <c r="W247" s="42"/>
      <c r="X247" s="34"/>
      <c r="Y247" s="42"/>
      <c r="Z247" s="42"/>
      <c r="AA247" s="36"/>
      <c r="AB247" s="50"/>
      <c r="AC247" s="56" t="str">
        <f>IF(Table1[[#This Row],[Auto Order]]=1,IF(Table1[[#This Row],[In stock]]&lt;Table1[[#This Row],[Min in stock]],1,""),"")</f>
        <v/>
      </c>
    </row>
    <row r="248" spans="1:29" x14ac:dyDescent="0.25">
      <c r="A248" s="60" t="s">
        <v>1983</v>
      </c>
      <c r="B248" s="34" t="s">
        <v>713</v>
      </c>
      <c r="C248" s="34" t="s">
        <v>352</v>
      </c>
      <c r="D248" s="34" t="s">
        <v>1984</v>
      </c>
      <c r="E248" s="34" t="s">
        <v>559</v>
      </c>
      <c r="F248" s="53">
        <v>0</v>
      </c>
      <c r="G248" s="53"/>
      <c r="H248" s="53"/>
      <c r="I24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RHM200ADCT-ND</v>
      </c>
      <c r="J24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4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48" s="34" t="s">
        <v>1982</v>
      </c>
      <c r="M248" s="42">
        <v>0.13</v>
      </c>
      <c r="N248" s="34"/>
      <c r="O248" s="42"/>
      <c r="P248" s="34"/>
      <c r="Q248" s="42"/>
      <c r="R248" s="34"/>
      <c r="S248" s="42"/>
      <c r="T248" s="34"/>
      <c r="U248" s="42"/>
      <c r="V248" s="34"/>
      <c r="W248" s="42"/>
      <c r="X248" s="34"/>
      <c r="Y248" s="42"/>
      <c r="Z248" s="42"/>
      <c r="AA248" s="36"/>
      <c r="AB248" s="50"/>
      <c r="AC248" s="56" t="str">
        <f>IF(Table1[[#This Row],[Auto Order]]=1,IF(Table1[[#This Row],[In stock]]&lt;Table1[[#This Row],[Min in stock]],1,""),"")</f>
        <v/>
      </c>
    </row>
    <row r="249" spans="1:29" x14ac:dyDescent="0.25">
      <c r="A249" s="60" t="s">
        <v>1986</v>
      </c>
      <c r="B249" s="34" t="s">
        <v>713</v>
      </c>
      <c r="C249" s="34" t="s">
        <v>352</v>
      </c>
      <c r="D249" s="34" t="s">
        <v>1987</v>
      </c>
      <c r="E249" s="34" t="s">
        <v>559</v>
      </c>
      <c r="F249" s="53">
        <v>0</v>
      </c>
      <c r="G249" s="53"/>
      <c r="H249" s="53"/>
      <c r="I24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RHM20.0KADCT-ND</v>
      </c>
      <c r="J24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4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49" s="34" t="s">
        <v>1985</v>
      </c>
      <c r="M249" s="42">
        <v>0.13</v>
      </c>
      <c r="N249" s="34"/>
      <c r="O249" s="42"/>
      <c r="P249" s="34"/>
      <c r="Q249" s="42"/>
      <c r="R249" s="34"/>
      <c r="S249" s="42"/>
      <c r="T249" s="34"/>
      <c r="U249" s="42"/>
      <c r="V249" s="34"/>
      <c r="W249" s="42"/>
      <c r="X249" s="34"/>
      <c r="Y249" s="42"/>
      <c r="Z249" s="42"/>
      <c r="AA249" s="36"/>
      <c r="AB249" s="50"/>
      <c r="AC249" s="56" t="str">
        <f>IF(Table1[[#This Row],[Auto Order]]=1,IF(Table1[[#This Row],[In stock]]&lt;Table1[[#This Row],[Min in stock]],1,""),"")</f>
        <v/>
      </c>
    </row>
    <row r="250" spans="1:29" x14ac:dyDescent="0.25">
      <c r="A250" s="60" t="s">
        <v>1980</v>
      </c>
      <c r="B250" s="34" t="s">
        <v>713</v>
      </c>
      <c r="C250" s="34" t="s">
        <v>352</v>
      </c>
      <c r="D250" s="34" t="s">
        <v>1981</v>
      </c>
      <c r="E250" s="34" t="s">
        <v>559</v>
      </c>
      <c r="F250" s="53">
        <v>0</v>
      </c>
      <c r="G250" s="53"/>
      <c r="H250" s="53"/>
      <c r="I25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RHM220KADCT-ND</v>
      </c>
      <c r="J25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5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50" s="34" t="s">
        <v>1979</v>
      </c>
      <c r="M250" s="42">
        <v>0.13</v>
      </c>
      <c r="N250" s="34"/>
      <c r="O250" s="42"/>
      <c r="P250" s="34"/>
      <c r="Q250" s="42"/>
      <c r="R250" s="34"/>
      <c r="S250" s="42"/>
      <c r="T250" s="34"/>
      <c r="U250" s="42"/>
      <c r="V250" s="34"/>
      <c r="W250" s="42"/>
      <c r="X250" s="34"/>
      <c r="Y250" s="42"/>
      <c r="Z250" s="42"/>
      <c r="AA250" s="36"/>
      <c r="AB250" s="50"/>
      <c r="AC250" s="56" t="str">
        <f>IF(Table1[[#This Row],[Auto Order]]=1,IF(Table1[[#This Row],[In stock]]&lt;Table1[[#This Row],[Min in stock]],1,""),"")</f>
        <v/>
      </c>
    </row>
    <row r="251" spans="1:29" x14ac:dyDescent="0.25">
      <c r="A251" s="60" t="s">
        <v>2442</v>
      </c>
      <c r="B251" s="34" t="s">
        <v>713</v>
      </c>
      <c r="C251" s="34" t="s">
        <v>352</v>
      </c>
      <c r="D251" s="34" t="s">
        <v>2443</v>
      </c>
      <c r="E251" s="34" t="s">
        <v>559</v>
      </c>
      <c r="F251" s="53">
        <v>0</v>
      </c>
      <c r="G251" s="53"/>
      <c r="H251" s="53"/>
      <c r="I25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RHM2.70KADCT-ND</v>
      </c>
      <c r="J25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5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51" s="34" t="s">
        <v>2441</v>
      </c>
      <c r="M251" s="42">
        <v>0.13</v>
      </c>
      <c r="N251" s="34"/>
      <c r="O251" s="42"/>
      <c r="P251" s="34"/>
      <c r="Q251" s="42"/>
      <c r="R251" s="34"/>
      <c r="S251" s="42"/>
      <c r="T251" s="34"/>
      <c r="U251" s="42"/>
      <c r="V251" s="34"/>
      <c r="W251" s="42"/>
      <c r="X251" s="34"/>
      <c r="Y251" s="42"/>
      <c r="Z251" s="42"/>
      <c r="AA251" s="36"/>
      <c r="AB251" s="50"/>
      <c r="AC251" s="56" t="str">
        <f>IF(Table1[[#This Row],[Auto Order]]=1,IF(Table1[[#This Row],[In stock]]&lt;Table1[[#This Row],[Min in stock]],1,""),"")</f>
        <v/>
      </c>
    </row>
    <row r="252" spans="1:29" x14ac:dyDescent="0.25">
      <c r="A252" s="60" t="s">
        <v>2268</v>
      </c>
      <c r="B252" s="34" t="s">
        <v>713</v>
      </c>
      <c r="C252" s="34" t="s">
        <v>352</v>
      </c>
      <c r="D252" s="34" t="s">
        <v>2269</v>
      </c>
      <c r="E252" s="34" t="s">
        <v>559</v>
      </c>
      <c r="F252" s="53">
        <v>0</v>
      </c>
      <c r="G252" s="53"/>
      <c r="H252" s="53"/>
      <c r="I25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RHM27.0KADCT-ND</v>
      </c>
      <c r="J25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5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52" s="34" t="s">
        <v>2267</v>
      </c>
      <c r="M252" s="42">
        <v>0.13</v>
      </c>
      <c r="N252" s="34"/>
      <c r="O252" s="42"/>
      <c r="P252" s="34"/>
      <c r="Q252" s="42"/>
      <c r="R252" s="34"/>
      <c r="S252" s="42"/>
      <c r="T252" s="34"/>
      <c r="U252" s="42"/>
      <c r="V252" s="34"/>
      <c r="W252" s="42"/>
      <c r="X252" s="34"/>
      <c r="Y252" s="42"/>
      <c r="Z252" s="42"/>
      <c r="AA252" s="36"/>
      <c r="AB252" s="50"/>
      <c r="AC252" s="56" t="str">
        <f>IF(Table1[[#This Row],[Auto Order]]=1,IF(Table1[[#This Row],[In stock]]&lt;Table1[[#This Row],[Min in stock]],1,""),"")</f>
        <v/>
      </c>
    </row>
    <row r="253" spans="1:29" x14ac:dyDescent="0.25">
      <c r="A253" s="60" t="s">
        <v>2937</v>
      </c>
      <c r="B253" s="34" t="s">
        <v>713</v>
      </c>
      <c r="C253" s="34" t="s">
        <v>352</v>
      </c>
      <c r="D253" s="34" t="s">
        <v>2938</v>
      </c>
      <c r="E253" s="34" t="s">
        <v>559</v>
      </c>
      <c r="F253" s="53">
        <v>0</v>
      </c>
      <c r="G253" s="53"/>
      <c r="H253" s="53"/>
      <c r="I25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RHM330KADCT-ND</v>
      </c>
      <c r="J25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5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53" s="34" t="s">
        <v>2936</v>
      </c>
      <c r="M253" s="42">
        <v>0.13</v>
      </c>
      <c r="N253" s="34"/>
      <c r="O253" s="42"/>
      <c r="P253" s="34"/>
      <c r="Q253" s="42"/>
      <c r="R253" s="34"/>
      <c r="S253" s="42"/>
      <c r="T253" s="34"/>
      <c r="U253" s="42"/>
      <c r="V253" s="34"/>
      <c r="W253" s="42"/>
      <c r="X253" s="34"/>
      <c r="Y253" s="42"/>
      <c r="Z253" s="42"/>
      <c r="AA253" s="36"/>
      <c r="AB253" s="50"/>
      <c r="AC253" s="56" t="str">
        <f>IF(Table1[[#This Row],[Auto Order]]=1,IF(Table1[[#This Row],[In stock]]&lt;Table1[[#This Row],[Min in stock]],1,""),"")</f>
        <v/>
      </c>
    </row>
    <row r="254" spans="1:29" x14ac:dyDescent="0.25">
      <c r="A254" s="60" t="s">
        <v>2940</v>
      </c>
      <c r="B254" s="34" t="s">
        <v>713</v>
      </c>
      <c r="C254" s="34" t="s">
        <v>352</v>
      </c>
      <c r="D254" s="34" t="s">
        <v>2941</v>
      </c>
      <c r="E254" s="34" t="s">
        <v>559</v>
      </c>
      <c r="F254" s="53">
        <v>0</v>
      </c>
      <c r="G254" s="53"/>
      <c r="H254" s="53"/>
      <c r="I25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RHM4.30KADCT-ND</v>
      </c>
      <c r="J25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5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54" s="34" t="s">
        <v>2939</v>
      </c>
      <c r="M254" s="42">
        <v>0.13</v>
      </c>
      <c r="N254" s="34"/>
      <c r="O254" s="42"/>
      <c r="P254" s="34"/>
      <c r="Q254" s="42"/>
      <c r="R254" s="34"/>
      <c r="S254" s="42"/>
      <c r="T254" s="34"/>
      <c r="U254" s="42"/>
      <c r="V254" s="34"/>
      <c r="W254" s="42"/>
      <c r="X254" s="34"/>
      <c r="Y254" s="42"/>
      <c r="Z254" s="42"/>
      <c r="AA254" s="36"/>
      <c r="AB254" s="50"/>
      <c r="AC254" s="56" t="str">
        <f>IF(Table1[[#This Row],[Auto Order]]=1,IF(Table1[[#This Row],[In stock]]&lt;Table1[[#This Row],[Min in stock]],1,""),"")</f>
        <v/>
      </c>
    </row>
    <row r="255" spans="1:29" x14ac:dyDescent="0.25">
      <c r="A255" s="60" t="s">
        <v>1989</v>
      </c>
      <c r="B255" s="34" t="s">
        <v>713</v>
      </c>
      <c r="C255" s="34" t="s">
        <v>352</v>
      </c>
      <c r="D255" s="34" t="s">
        <v>1990</v>
      </c>
      <c r="E255" s="34" t="s">
        <v>559</v>
      </c>
      <c r="F255" s="53">
        <v>0</v>
      </c>
      <c r="G255" s="53"/>
      <c r="H255" s="53"/>
      <c r="I25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RHM470ADCT-ND</v>
      </c>
      <c r="J25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5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55" s="34" t="s">
        <v>1988</v>
      </c>
      <c r="M255" s="42">
        <v>0.13</v>
      </c>
      <c r="N255" s="34"/>
      <c r="O255" s="42"/>
      <c r="P255" s="34"/>
      <c r="Q255" s="42"/>
      <c r="R255" s="34"/>
      <c r="S255" s="42"/>
      <c r="T255" s="34"/>
      <c r="U255" s="42"/>
      <c r="V255" s="34"/>
      <c r="W255" s="42"/>
      <c r="X255" s="34"/>
      <c r="Y255" s="42"/>
      <c r="Z255" s="42"/>
      <c r="AA255" s="36"/>
      <c r="AB255" s="50"/>
      <c r="AC255" s="56" t="str">
        <f>IF(Table1[[#This Row],[Auto Order]]=1,IF(Table1[[#This Row],[In stock]]&lt;Table1[[#This Row],[Min in stock]],1,""),"")</f>
        <v/>
      </c>
    </row>
    <row r="256" spans="1:29" x14ac:dyDescent="0.25">
      <c r="A256" s="60" t="s">
        <v>1974</v>
      </c>
      <c r="B256" s="34" t="s">
        <v>713</v>
      </c>
      <c r="C256" s="34" t="s">
        <v>352</v>
      </c>
      <c r="D256" s="34" t="s">
        <v>1975</v>
      </c>
      <c r="E256" s="34" t="s">
        <v>559</v>
      </c>
      <c r="F256" s="53">
        <v>0</v>
      </c>
      <c r="G256" s="53"/>
      <c r="H256" s="53"/>
      <c r="I25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RHM51.0ADCT-ND</v>
      </c>
      <c r="J25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5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56" s="34" t="s">
        <v>1973</v>
      </c>
      <c r="M256" s="42">
        <v>0.13</v>
      </c>
      <c r="N256" s="34"/>
      <c r="O256" s="42"/>
      <c r="P256" s="34"/>
      <c r="Q256" s="42"/>
      <c r="R256" s="34"/>
      <c r="S256" s="42"/>
      <c r="T256" s="34"/>
      <c r="U256" s="42"/>
      <c r="V256" s="34"/>
      <c r="W256" s="42"/>
      <c r="X256" s="34"/>
      <c r="Y256" s="42"/>
      <c r="Z256" s="42"/>
      <c r="AA256" s="36"/>
      <c r="AB256" s="50"/>
      <c r="AC256" s="56" t="str">
        <f>IF(Table1[[#This Row],[Auto Order]]=1,IF(Table1[[#This Row],[In stock]]&lt;Table1[[#This Row],[Min in stock]],1,""),"")</f>
        <v/>
      </c>
    </row>
    <row r="257" spans="1:29" x14ac:dyDescent="0.25">
      <c r="A257" s="60" t="s">
        <v>2265</v>
      </c>
      <c r="B257" s="34" t="s">
        <v>713</v>
      </c>
      <c r="C257" s="34" t="s">
        <v>352</v>
      </c>
      <c r="D257" s="34" t="s">
        <v>2266</v>
      </c>
      <c r="E257" s="34" t="s">
        <v>559</v>
      </c>
      <c r="F257" s="53">
        <v>0</v>
      </c>
      <c r="G257" s="53"/>
      <c r="H257" s="53"/>
      <c r="I25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RHM560ADCT-ND</v>
      </c>
      <c r="J25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5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57" s="34" t="s">
        <v>2264</v>
      </c>
      <c r="M257" s="42">
        <v>0.13</v>
      </c>
      <c r="N257" s="34"/>
      <c r="O257" s="42"/>
      <c r="P257" s="34"/>
      <c r="Q257" s="42"/>
      <c r="R257" s="34"/>
      <c r="S257" s="42"/>
      <c r="T257" s="34"/>
      <c r="U257" s="42"/>
      <c r="V257" s="34"/>
      <c r="W257" s="42"/>
      <c r="X257" s="34"/>
      <c r="Y257" s="42"/>
      <c r="Z257" s="42"/>
      <c r="AA257" s="36"/>
      <c r="AB257" s="50"/>
      <c r="AC257" s="56" t="str">
        <f>IF(Table1[[#This Row],[Auto Order]]=1,IF(Table1[[#This Row],[In stock]]&lt;Table1[[#This Row],[Min in stock]],1,""),"")</f>
        <v/>
      </c>
    </row>
    <row r="258" spans="1:29" x14ac:dyDescent="0.25">
      <c r="A258" s="60" t="s">
        <v>2943</v>
      </c>
      <c r="B258" s="34" t="s">
        <v>713</v>
      </c>
      <c r="C258" s="34" t="s">
        <v>352</v>
      </c>
      <c r="D258" s="34" t="s">
        <v>2944</v>
      </c>
      <c r="E258" s="34" t="s">
        <v>559</v>
      </c>
      <c r="F258" s="53">
        <v>0</v>
      </c>
      <c r="G258" s="53"/>
      <c r="H258" s="53"/>
      <c r="I25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RHM75.0KADCT-ND</v>
      </c>
      <c r="J25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5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58" s="34" t="s">
        <v>2942</v>
      </c>
      <c r="M258" s="42">
        <v>0.13</v>
      </c>
      <c r="N258" s="34"/>
      <c r="O258" s="42"/>
      <c r="P258" s="34"/>
      <c r="Q258" s="42"/>
      <c r="R258" s="34"/>
      <c r="S258" s="42"/>
      <c r="T258" s="34"/>
      <c r="U258" s="42"/>
      <c r="V258" s="34"/>
      <c r="W258" s="42"/>
      <c r="X258" s="34"/>
      <c r="Y258" s="42"/>
      <c r="Z258" s="42"/>
      <c r="AA258" s="36"/>
      <c r="AB258" s="50"/>
      <c r="AC258" s="56" t="str">
        <f>IF(Table1[[#This Row],[Auto Order]]=1,IF(Table1[[#This Row],[In stock]]&lt;Table1[[#This Row],[Min in stock]],1,""),"")</f>
        <v/>
      </c>
    </row>
    <row r="259" spans="1:29" x14ac:dyDescent="0.25">
      <c r="A259" s="60" t="s">
        <v>1977</v>
      </c>
      <c r="B259" s="34" t="s">
        <v>713</v>
      </c>
      <c r="C259" s="34" t="s">
        <v>352</v>
      </c>
      <c r="D259" s="34" t="s">
        <v>1978</v>
      </c>
      <c r="E259" s="34" t="s">
        <v>559</v>
      </c>
      <c r="F259" s="53">
        <v>0</v>
      </c>
      <c r="G259" s="53"/>
      <c r="H259" s="53"/>
      <c r="I25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RHM75.0ADCT-ND</v>
      </c>
      <c r="J25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5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59" s="34" t="s">
        <v>1976</v>
      </c>
      <c r="M259" s="42">
        <v>0.13</v>
      </c>
      <c r="N259" s="34"/>
      <c r="O259" s="42"/>
      <c r="P259" s="34"/>
      <c r="Q259" s="42"/>
      <c r="R259" s="34"/>
      <c r="S259" s="42"/>
      <c r="T259" s="34"/>
      <c r="U259" s="42"/>
      <c r="V259" s="34"/>
      <c r="W259" s="42"/>
      <c r="X259" s="34"/>
      <c r="Y259" s="42"/>
      <c r="Z259" s="42"/>
      <c r="AA259" s="36"/>
      <c r="AB259" s="50"/>
      <c r="AC259" s="56" t="str">
        <f>IF(Table1[[#This Row],[Auto Order]]=1,IF(Table1[[#This Row],[In stock]]&lt;Table1[[#This Row],[Min in stock]],1,""),"")</f>
        <v/>
      </c>
    </row>
    <row r="260" spans="1:29" x14ac:dyDescent="0.25">
      <c r="A260" s="60" t="s">
        <v>2946</v>
      </c>
      <c r="B260" s="34" t="s">
        <v>713</v>
      </c>
      <c r="C260" s="34" t="s">
        <v>352</v>
      </c>
      <c r="D260" s="34" t="s">
        <v>2947</v>
      </c>
      <c r="E260" s="34" t="s">
        <v>559</v>
      </c>
      <c r="F260" s="53">
        <v>0</v>
      </c>
      <c r="G260" s="53"/>
      <c r="H260" s="53"/>
      <c r="I26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RHM8.20KADCT-ND</v>
      </c>
      <c r="J26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6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60" s="34" t="s">
        <v>2945</v>
      </c>
      <c r="M260" s="42">
        <v>0.13</v>
      </c>
      <c r="N260" s="34"/>
      <c r="O260" s="42"/>
      <c r="P260" s="34"/>
      <c r="Q260" s="42"/>
      <c r="R260" s="34"/>
      <c r="S260" s="42"/>
      <c r="T260" s="34"/>
      <c r="U260" s="42"/>
      <c r="V260" s="34"/>
      <c r="W260" s="42"/>
      <c r="X260" s="34"/>
      <c r="Y260" s="42"/>
      <c r="Z260" s="42"/>
      <c r="AA260" s="36"/>
      <c r="AB260" s="50"/>
      <c r="AC260" s="56" t="str">
        <f>IF(Table1[[#This Row],[Auto Order]]=1,IF(Table1[[#This Row],[In stock]]&lt;Table1[[#This Row],[Min in stock]],1,""),"")</f>
        <v/>
      </c>
    </row>
    <row r="261" spans="1:29" x14ac:dyDescent="0.25">
      <c r="A261" s="60" t="s">
        <v>1785</v>
      </c>
      <c r="B261" s="34" t="s">
        <v>713</v>
      </c>
      <c r="C261" s="34" t="s">
        <v>352</v>
      </c>
      <c r="D261" s="34" t="s">
        <v>1786</v>
      </c>
      <c r="E261" s="34" t="s">
        <v>559</v>
      </c>
      <c r="F261" s="53">
        <v>0</v>
      </c>
      <c r="G261" s="53"/>
      <c r="H261" s="53"/>
      <c r="I26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RHM10DCT-ND</v>
      </c>
      <c r="J26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6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61" s="34" t="s">
        <v>1784</v>
      </c>
      <c r="M261" s="42">
        <v>0.1</v>
      </c>
      <c r="N261" s="34"/>
      <c r="O261" s="42"/>
      <c r="P261" s="34"/>
      <c r="Q261" s="42"/>
      <c r="R261" s="34"/>
      <c r="S261" s="42"/>
      <c r="T261" s="34"/>
      <c r="U261" s="42"/>
      <c r="V261" s="34"/>
      <c r="W261" s="42"/>
      <c r="X261" s="34"/>
      <c r="Y261" s="42"/>
      <c r="Z261" s="42"/>
      <c r="AA261" s="36"/>
      <c r="AB261" s="50"/>
      <c r="AC261" s="56" t="str">
        <f>IF(Table1[[#This Row],[Auto Order]]=1,IF(Table1[[#This Row],[In stock]]&lt;Table1[[#This Row],[Min in stock]],1,""),"")</f>
        <v/>
      </c>
    </row>
    <row r="262" spans="1:29" x14ac:dyDescent="0.25">
      <c r="A262" s="60" t="s">
        <v>1809</v>
      </c>
      <c r="B262" s="34" t="s">
        <v>713</v>
      </c>
      <c r="C262" s="34" t="s">
        <v>352</v>
      </c>
      <c r="D262" s="34" t="s">
        <v>1810</v>
      </c>
      <c r="E262" s="34" t="s">
        <v>559</v>
      </c>
      <c r="F262" s="53">
        <v>0</v>
      </c>
      <c r="G262" s="53"/>
      <c r="H262" s="53"/>
      <c r="I26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RHM100DCT-ND</v>
      </c>
      <c r="J26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6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62" s="34" t="s">
        <v>1808</v>
      </c>
      <c r="M262" s="42">
        <v>0.1</v>
      </c>
      <c r="N262" s="34"/>
      <c r="O262" s="42"/>
      <c r="P262" s="34"/>
      <c r="Q262" s="42"/>
      <c r="R262" s="34"/>
      <c r="S262" s="42"/>
      <c r="T262" s="34"/>
      <c r="U262" s="42"/>
      <c r="V262" s="34"/>
      <c r="W262" s="42"/>
      <c r="X262" s="34"/>
      <c r="Y262" s="42"/>
      <c r="Z262" s="42"/>
      <c r="AA262" s="36"/>
      <c r="AB262" s="50"/>
      <c r="AC262" s="56" t="str">
        <f>IF(Table1[[#This Row],[Auto Order]]=1,IF(Table1[[#This Row],[In stock]]&lt;Table1[[#This Row],[Min in stock]],1,""),"")</f>
        <v/>
      </c>
    </row>
    <row r="263" spans="1:29" x14ac:dyDescent="0.25">
      <c r="A263" s="60" t="s">
        <v>1782</v>
      </c>
      <c r="B263" s="34" t="s">
        <v>713</v>
      </c>
      <c r="C263" s="34" t="s">
        <v>352</v>
      </c>
      <c r="D263" s="34" t="s">
        <v>1783</v>
      </c>
      <c r="E263" s="34" t="s">
        <v>559</v>
      </c>
      <c r="F263" s="53">
        <v>0</v>
      </c>
      <c r="G263" s="53">
        <v>10</v>
      </c>
      <c r="H263" s="53">
        <v>1</v>
      </c>
      <c r="I26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RHM1.0KDCT-ND</v>
      </c>
      <c r="J26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6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63" s="34" t="s">
        <v>1781</v>
      </c>
      <c r="M263" s="42">
        <v>0.1</v>
      </c>
      <c r="N263" s="34"/>
      <c r="O263" s="42"/>
      <c r="P263" s="34"/>
      <c r="Q263" s="42"/>
      <c r="R263" s="34"/>
      <c r="S263" s="42"/>
      <c r="T263" s="34"/>
      <c r="U263" s="42"/>
      <c r="V263" s="34"/>
      <c r="W263" s="42"/>
      <c r="X263" s="34"/>
      <c r="Y263" s="42"/>
      <c r="Z263" s="42"/>
      <c r="AA263" s="36"/>
      <c r="AB263" s="50"/>
      <c r="AC263" s="56">
        <f>IF(Table1[[#This Row],[Auto Order]]=1,IF(Table1[[#This Row],[In stock]]&lt;Table1[[#This Row],[Min in stock]],1,""),"")</f>
        <v>1</v>
      </c>
    </row>
    <row r="264" spans="1:29" x14ac:dyDescent="0.25">
      <c r="A264" s="60" t="s">
        <v>1812</v>
      </c>
      <c r="B264" s="34" t="s">
        <v>713</v>
      </c>
      <c r="C264" s="34" t="s">
        <v>352</v>
      </c>
      <c r="D264" s="34" t="s">
        <v>1813</v>
      </c>
      <c r="E264" s="34" t="s">
        <v>559</v>
      </c>
      <c r="F264" s="53">
        <v>0</v>
      </c>
      <c r="G264" s="53"/>
      <c r="H264" s="53"/>
      <c r="I26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RHM10KDCT-ND</v>
      </c>
      <c r="J26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6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64" s="34" t="s">
        <v>1811</v>
      </c>
      <c r="M264" s="42">
        <v>0.1</v>
      </c>
      <c r="N264" s="34"/>
      <c r="O264" s="42"/>
      <c r="P264" s="34"/>
      <c r="Q264" s="42"/>
      <c r="R264" s="34"/>
      <c r="S264" s="42"/>
      <c r="T264" s="34"/>
      <c r="U264" s="42"/>
      <c r="V264" s="34"/>
      <c r="W264" s="42"/>
      <c r="X264" s="34"/>
      <c r="Y264" s="42"/>
      <c r="Z264" s="42"/>
      <c r="AA264" s="36"/>
      <c r="AB264" s="50"/>
      <c r="AC264" s="56" t="str">
        <f>IF(Table1[[#This Row],[Auto Order]]=1,IF(Table1[[#This Row],[In stock]]&lt;Table1[[#This Row],[Min in stock]],1,""),"")</f>
        <v/>
      </c>
    </row>
    <row r="265" spans="1:29" x14ac:dyDescent="0.25">
      <c r="A265" s="60" t="s">
        <v>1959</v>
      </c>
      <c r="B265" s="34" t="s">
        <v>713</v>
      </c>
      <c r="C265" s="34" t="s">
        <v>352</v>
      </c>
      <c r="D265" s="34" t="s">
        <v>1960</v>
      </c>
      <c r="E265" s="34" t="s">
        <v>559</v>
      </c>
      <c r="F265" s="53">
        <v>0</v>
      </c>
      <c r="G265" s="53"/>
      <c r="H265" s="53"/>
      <c r="I26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RHM100KDCT-ND</v>
      </c>
      <c r="J26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6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65" s="34" t="s">
        <v>1958</v>
      </c>
      <c r="M265" s="42">
        <v>0.1</v>
      </c>
      <c r="N265" s="34"/>
      <c r="O265" s="42"/>
      <c r="P265" s="34"/>
      <c r="Q265" s="42"/>
      <c r="R265" s="34"/>
      <c r="S265" s="42"/>
      <c r="T265" s="34"/>
      <c r="U265" s="42"/>
      <c r="V265" s="34"/>
      <c r="W265" s="42"/>
      <c r="X265" s="34"/>
      <c r="Y265" s="42"/>
      <c r="Z265" s="42"/>
      <c r="AA265" s="36"/>
      <c r="AB265" s="50"/>
      <c r="AC265" s="56" t="str">
        <f>IF(Table1[[#This Row],[Auto Order]]=1,IF(Table1[[#This Row],[In stock]]&lt;Table1[[#This Row],[Min in stock]],1,""),"")</f>
        <v/>
      </c>
    </row>
    <row r="266" spans="1:29" x14ac:dyDescent="0.25">
      <c r="A266" s="60" t="s">
        <v>2259</v>
      </c>
      <c r="B266" s="34" t="s">
        <v>713</v>
      </c>
      <c r="C266" s="34" t="s">
        <v>352</v>
      </c>
      <c r="D266" s="34" t="s">
        <v>2260</v>
      </c>
      <c r="E266" s="34" t="s">
        <v>559</v>
      </c>
      <c r="F266" s="53">
        <v>0</v>
      </c>
      <c r="G266" s="53"/>
      <c r="H266" s="53"/>
      <c r="I26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RHM1MDCT-ND</v>
      </c>
      <c r="J26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6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66" s="34" t="s">
        <v>2258</v>
      </c>
      <c r="M266" s="42">
        <v>0.1</v>
      </c>
      <c r="N266" s="34"/>
      <c r="O266" s="42"/>
      <c r="P266" s="34"/>
      <c r="Q266" s="42"/>
      <c r="R266" s="34"/>
      <c r="S266" s="42"/>
      <c r="T266" s="34"/>
      <c r="U266" s="42"/>
      <c r="V266" s="34"/>
      <c r="W266" s="42"/>
      <c r="X266" s="34"/>
      <c r="Y266" s="42"/>
      <c r="Z266" s="42"/>
      <c r="AA266" s="36"/>
      <c r="AB266" s="50"/>
      <c r="AC266" s="56" t="str">
        <f>IF(Table1[[#This Row],[Auto Order]]=1,IF(Table1[[#This Row],[In stock]]&lt;Table1[[#This Row],[Min in stock]],1,""),"")</f>
        <v/>
      </c>
    </row>
    <row r="267" spans="1:29" x14ac:dyDescent="0.25">
      <c r="A267" s="60" t="s">
        <v>2370</v>
      </c>
      <c r="B267" s="34" t="s">
        <v>713</v>
      </c>
      <c r="C267" s="34" t="s">
        <v>352</v>
      </c>
      <c r="D267" s="34" t="s">
        <v>2371</v>
      </c>
      <c r="E267" s="34" t="s">
        <v>559</v>
      </c>
      <c r="F267" s="53">
        <v>0</v>
      </c>
      <c r="G267" s="53"/>
      <c r="H267" s="53"/>
      <c r="I26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RHM10MDCT-ND</v>
      </c>
      <c r="J26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6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67" s="34" t="s">
        <v>2369</v>
      </c>
      <c r="M267" s="42">
        <v>0.1</v>
      </c>
      <c r="N267" s="34"/>
      <c r="O267" s="42"/>
      <c r="P267" s="34"/>
      <c r="Q267" s="42"/>
      <c r="R267" s="34"/>
      <c r="S267" s="42"/>
      <c r="T267" s="34"/>
      <c r="U267" s="42"/>
      <c r="V267" s="34"/>
      <c r="W267" s="42"/>
      <c r="X267" s="34"/>
      <c r="Y267" s="42"/>
      <c r="Z267" s="42"/>
      <c r="AA267" s="36"/>
      <c r="AB267" s="50"/>
      <c r="AC267" s="56" t="str">
        <f>IF(Table1[[#This Row],[Auto Order]]=1,IF(Table1[[#This Row],[In stock]]&lt;Table1[[#This Row],[Min in stock]],1,""),"")</f>
        <v/>
      </c>
    </row>
    <row r="268" spans="1:29" x14ac:dyDescent="0.25">
      <c r="A268" s="60" t="s">
        <v>2202</v>
      </c>
      <c r="B268" s="34" t="s">
        <v>713</v>
      </c>
      <c r="C268" s="34" t="s">
        <v>352</v>
      </c>
      <c r="D268" s="34" t="s">
        <v>2203</v>
      </c>
      <c r="E268" s="34" t="s">
        <v>559</v>
      </c>
      <c r="F268" s="53">
        <v>0</v>
      </c>
      <c r="G268" s="53"/>
      <c r="H268" s="53"/>
      <c r="I26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RHM11DCT-ND</v>
      </c>
      <c r="J26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6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68" s="34" t="s">
        <v>2201</v>
      </c>
      <c r="M268" s="42">
        <v>0.1</v>
      </c>
      <c r="N268" s="34"/>
      <c r="O268" s="42"/>
      <c r="P268" s="34"/>
      <c r="Q268" s="42"/>
      <c r="R268" s="34"/>
      <c r="S268" s="42"/>
      <c r="T268" s="34"/>
      <c r="U268" s="42"/>
      <c r="V268" s="34"/>
      <c r="W268" s="42"/>
      <c r="X268" s="34"/>
      <c r="Y268" s="42"/>
      <c r="Z268" s="42"/>
      <c r="AA268" s="36"/>
      <c r="AB268" s="50"/>
      <c r="AC268" s="56" t="str">
        <f>IF(Table1[[#This Row],[Auto Order]]=1,IF(Table1[[#This Row],[In stock]]&lt;Table1[[#This Row],[Min in stock]],1,""),"")</f>
        <v/>
      </c>
    </row>
    <row r="269" spans="1:29" x14ac:dyDescent="0.25">
      <c r="A269" s="60" t="s">
        <v>2727</v>
      </c>
      <c r="B269" s="34" t="s">
        <v>713</v>
      </c>
      <c r="C269" s="34" t="s">
        <v>352</v>
      </c>
      <c r="D269" s="34" t="s">
        <v>2728</v>
      </c>
      <c r="E269" s="34" t="s">
        <v>559</v>
      </c>
      <c r="F269" s="53">
        <v>0</v>
      </c>
      <c r="G269" s="53"/>
      <c r="H269" s="53"/>
      <c r="I26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RHM110DCT-ND</v>
      </c>
      <c r="J26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6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69" s="34" t="s">
        <v>2726</v>
      </c>
      <c r="M269" s="42">
        <v>0.1</v>
      </c>
      <c r="N269" s="34"/>
      <c r="O269" s="42"/>
      <c r="P269" s="34"/>
      <c r="Q269" s="42"/>
      <c r="R269" s="34"/>
      <c r="S269" s="42"/>
      <c r="T269" s="34"/>
      <c r="U269" s="42"/>
      <c r="V269" s="34"/>
      <c r="W269" s="42"/>
      <c r="X269" s="34"/>
      <c r="Y269" s="42"/>
      <c r="Z269" s="42"/>
      <c r="AA269" s="36"/>
      <c r="AB269" s="50"/>
      <c r="AC269" s="56" t="str">
        <f>IF(Table1[[#This Row],[Auto Order]]=1,IF(Table1[[#This Row],[In stock]]&lt;Table1[[#This Row],[Min in stock]],1,""),"")</f>
        <v/>
      </c>
    </row>
    <row r="270" spans="1:29" x14ac:dyDescent="0.25">
      <c r="A270" s="60" t="s">
        <v>2502</v>
      </c>
      <c r="B270" s="34" t="s">
        <v>713</v>
      </c>
      <c r="C270" s="34" t="s">
        <v>352</v>
      </c>
      <c r="D270" s="34" t="s">
        <v>2503</v>
      </c>
      <c r="E270" s="34" t="s">
        <v>559</v>
      </c>
      <c r="F270" s="53">
        <v>0</v>
      </c>
      <c r="G270" s="53"/>
      <c r="H270" s="53"/>
      <c r="I27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RHM1.1KDCT-ND</v>
      </c>
      <c r="J27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7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70" s="34" t="s">
        <v>2501</v>
      </c>
      <c r="M270" s="42">
        <v>0.1</v>
      </c>
      <c r="N270" s="34"/>
      <c r="O270" s="42"/>
      <c r="P270" s="34"/>
      <c r="Q270" s="42"/>
      <c r="R270" s="34"/>
      <c r="S270" s="42"/>
      <c r="T270" s="34"/>
      <c r="U270" s="42"/>
      <c r="V270" s="34"/>
      <c r="W270" s="42"/>
      <c r="X270" s="34"/>
      <c r="Y270" s="42"/>
      <c r="Z270" s="42"/>
      <c r="AA270" s="36"/>
      <c r="AB270" s="50"/>
      <c r="AC270" s="56" t="str">
        <f>IF(Table1[[#This Row],[Auto Order]]=1,IF(Table1[[#This Row],[In stock]]&lt;Table1[[#This Row],[Min in stock]],1,""),"")</f>
        <v/>
      </c>
    </row>
    <row r="271" spans="1:29" x14ac:dyDescent="0.25">
      <c r="A271" s="60" t="s">
        <v>2505</v>
      </c>
      <c r="B271" s="34" t="s">
        <v>713</v>
      </c>
      <c r="C271" s="34" t="s">
        <v>352</v>
      </c>
      <c r="D271" s="34" t="s">
        <v>2506</v>
      </c>
      <c r="E271" s="34" t="s">
        <v>559</v>
      </c>
      <c r="F271" s="53">
        <v>0</v>
      </c>
      <c r="G271" s="53"/>
      <c r="H271" s="53"/>
      <c r="I27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RHM11KDCT-ND</v>
      </c>
      <c r="J27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7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71" s="34" t="s">
        <v>2504</v>
      </c>
      <c r="M271" s="42">
        <v>0.1</v>
      </c>
      <c r="N271" s="34"/>
      <c r="O271" s="42"/>
      <c r="P271" s="34"/>
      <c r="Q271" s="42"/>
      <c r="R271" s="34"/>
      <c r="S271" s="42"/>
      <c r="T271" s="34"/>
      <c r="U271" s="42"/>
      <c r="V271" s="34"/>
      <c r="W271" s="42"/>
      <c r="X271" s="34"/>
      <c r="Y271" s="42"/>
      <c r="Z271" s="42"/>
      <c r="AA271" s="36"/>
      <c r="AB271" s="50"/>
      <c r="AC271" s="56" t="str">
        <f>IF(Table1[[#This Row],[Auto Order]]=1,IF(Table1[[#This Row],[In stock]]&lt;Table1[[#This Row],[Min in stock]],1,""),"")</f>
        <v/>
      </c>
    </row>
    <row r="272" spans="1:29" x14ac:dyDescent="0.25">
      <c r="A272" s="60" t="s">
        <v>2781</v>
      </c>
      <c r="B272" s="34" t="s">
        <v>713</v>
      </c>
      <c r="C272" s="34" t="s">
        <v>352</v>
      </c>
      <c r="D272" s="34" t="s">
        <v>2782</v>
      </c>
      <c r="E272" s="34" t="s">
        <v>559</v>
      </c>
      <c r="F272" s="53">
        <v>0</v>
      </c>
      <c r="G272" s="53"/>
      <c r="H272" s="53"/>
      <c r="I27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RHM110KDCT-ND</v>
      </c>
      <c r="J27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7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72" s="34" t="s">
        <v>2780</v>
      </c>
      <c r="M272" s="42">
        <v>0.1</v>
      </c>
      <c r="N272" s="34"/>
      <c r="O272" s="42"/>
      <c r="P272" s="34"/>
      <c r="Q272" s="42"/>
      <c r="R272" s="34"/>
      <c r="S272" s="42"/>
      <c r="T272" s="34"/>
      <c r="U272" s="42"/>
      <c r="V272" s="34"/>
      <c r="W272" s="42"/>
      <c r="X272" s="34"/>
      <c r="Y272" s="42"/>
      <c r="Z272" s="42"/>
      <c r="AA272" s="36"/>
      <c r="AB272" s="50"/>
      <c r="AC272" s="56" t="str">
        <f>IF(Table1[[#This Row],[Auto Order]]=1,IF(Table1[[#This Row],[In stock]]&lt;Table1[[#This Row],[Min in stock]],1,""),"")</f>
        <v/>
      </c>
    </row>
    <row r="273" spans="1:29" x14ac:dyDescent="0.25">
      <c r="A273" s="60" t="s">
        <v>2607</v>
      </c>
      <c r="B273" s="34" t="s">
        <v>713</v>
      </c>
      <c r="C273" s="34" t="s">
        <v>352</v>
      </c>
      <c r="D273" s="34" t="s">
        <v>2608</v>
      </c>
      <c r="E273" s="34" t="s">
        <v>559</v>
      </c>
      <c r="F273" s="53">
        <v>0</v>
      </c>
      <c r="G273" s="53"/>
      <c r="H273" s="53"/>
      <c r="I27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RHM1.1MDCT-ND</v>
      </c>
      <c r="J27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7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73" s="34" t="s">
        <v>2606</v>
      </c>
      <c r="M273" s="42">
        <v>0.1</v>
      </c>
      <c r="N273" s="34"/>
      <c r="O273" s="42"/>
      <c r="P273" s="34"/>
      <c r="Q273" s="42"/>
      <c r="R273" s="34"/>
      <c r="S273" s="42"/>
      <c r="T273" s="34"/>
      <c r="U273" s="42"/>
      <c r="V273" s="34"/>
      <c r="W273" s="42"/>
      <c r="X273" s="34"/>
      <c r="Y273" s="42"/>
      <c r="Z273" s="42"/>
      <c r="AA273" s="36"/>
      <c r="AB273" s="50"/>
      <c r="AC273" s="56" t="str">
        <f>IF(Table1[[#This Row],[Auto Order]]=1,IF(Table1[[#This Row],[In stock]]&lt;Table1[[#This Row],[Min in stock]],1,""),"")</f>
        <v/>
      </c>
    </row>
    <row r="274" spans="1:29" x14ac:dyDescent="0.25">
      <c r="A274" s="60" t="s">
        <v>2103</v>
      </c>
      <c r="B274" s="34" t="s">
        <v>713</v>
      </c>
      <c r="C274" s="34" t="s">
        <v>352</v>
      </c>
      <c r="D274" s="34" t="s">
        <v>2104</v>
      </c>
      <c r="E274" s="34" t="s">
        <v>559</v>
      </c>
      <c r="F274" s="53">
        <v>0</v>
      </c>
      <c r="G274" s="53"/>
      <c r="H274" s="53"/>
      <c r="I27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RHM12DCT-ND</v>
      </c>
      <c r="J27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7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74" s="34" t="s">
        <v>2102</v>
      </c>
      <c r="M274" s="42">
        <v>0.1</v>
      </c>
      <c r="N274" s="34"/>
      <c r="O274" s="42"/>
      <c r="P274" s="34"/>
      <c r="Q274" s="42"/>
      <c r="R274" s="34"/>
      <c r="S274" s="42"/>
      <c r="T274" s="34"/>
      <c r="U274" s="42"/>
      <c r="V274" s="34"/>
      <c r="W274" s="42"/>
      <c r="X274" s="34"/>
      <c r="Y274" s="42"/>
      <c r="Z274" s="42"/>
      <c r="AA274" s="36"/>
      <c r="AB274" s="50"/>
      <c r="AC274" s="56" t="str">
        <f>IF(Table1[[#This Row],[Auto Order]]=1,IF(Table1[[#This Row],[In stock]]&lt;Table1[[#This Row],[Min in stock]],1,""),"")</f>
        <v/>
      </c>
    </row>
    <row r="275" spans="1:29" x14ac:dyDescent="0.25">
      <c r="A275" s="60" t="s">
        <v>1839</v>
      </c>
      <c r="B275" s="34" t="s">
        <v>713</v>
      </c>
      <c r="C275" s="34" t="s">
        <v>352</v>
      </c>
      <c r="D275" s="34" t="s">
        <v>1840</v>
      </c>
      <c r="E275" s="34" t="s">
        <v>559</v>
      </c>
      <c r="F275" s="53">
        <v>0</v>
      </c>
      <c r="G275" s="53"/>
      <c r="H275" s="53"/>
      <c r="I27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RHM120DCT-ND</v>
      </c>
      <c r="J27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7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75" s="34" t="s">
        <v>1838</v>
      </c>
      <c r="M275" s="42">
        <v>0.1</v>
      </c>
      <c r="N275" s="34"/>
      <c r="O275" s="42"/>
      <c r="P275" s="34"/>
      <c r="Q275" s="42"/>
      <c r="R275" s="34"/>
      <c r="S275" s="42"/>
      <c r="T275" s="34"/>
      <c r="U275" s="42"/>
      <c r="V275" s="34"/>
      <c r="W275" s="42"/>
      <c r="X275" s="34"/>
      <c r="Y275" s="42"/>
      <c r="Z275" s="42"/>
      <c r="AA275" s="36"/>
      <c r="AB275" s="50"/>
      <c r="AC275" s="56" t="str">
        <f>IF(Table1[[#This Row],[Auto Order]]=1,IF(Table1[[#This Row],[In stock]]&lt;Table1[[#This Row],[Min in stock]],1,""),"")</f>
        <v/>
      </c>
    </row>
    <row r="276" spans="1:29" x14ac:dyDescent="0.25">
      <c r="A276" s="60" t="s">
        <v>2379</v>
      </c>
      <c r="B276" s="34" t="s">
        <v>713</v>
      </c>
      <c r="C276" s="34" t="s">
        <v>352</v>
      </c>
      <c r="D276" s="34" t="s">
        <v>2380</v>
      </c>
      <c r="E276" s="34" t="s">
        <v>559</v>
      </c>
      <c r="F276" s="53">
        <v>0</v>
      </c>
      <c r="G276" s="53"/>
      <c r="H276" s="53"/>
      <c r="I27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RHM1.2KDCT-ND</v>
      </c>
      <c r="J27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7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76" s="34" t="s">
        <v>2378</v>
      </c>
      <c r="M276" s="42">
        <v>0.1</v>
      </c>
      <c r="N276" s="34"/>
      <c r="O276" s="42"/>
      <c r="P276" s="34"/>
      <c r="Q276" s="42"/>
      <c r="R276" s="34"/>
      <c r="S276" s="42"/>
      <c r="T276" s="34"/>
      <c r="U276" s="42"/>
      <c r="V276" s="34"/>
      <c r="W276" s="42"/>
      <c r="X276" s="34"/>
      <c r="Y276" s="42"/>
      <c r="Z276" s="42"/>
      <c r="AA276" s="36"/>
      <c r="AB276" s="50"/>
      <c r="AC276" s="56" t="str">
        <f>IF(Table1[[#This Row],[Auto Order]]=1,IF(Table1[[#This Row],[In stock]]&lt;Table1[[#This Row],[Min in stock]],1,""),"")</f>
        <v/>
      </c>
    </row>
    <row r="277" spans="1:29" x14ac:dyDescent="0.25">
      <c r="A277" s="60" t="s">
        <v>2724</v>
      </c>
      <c r="B277" s="34" t="s">
        <v>713</v>
      </c>
      <c r="C277" s="34" t="s">
        <v>352</v>
      </c>
      <c r="D277" s="34" t="s">
        <v>2725</v>
      </c>
      <c r="E277" s="34" t="s">
        <v>559</v>
      </c>
      <c r="F277" s="53">
        <v>0</v>
      </c>
      <c r="G277" s="53"/>
      <c r="H277" s="53"/>
      <c r="I27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RHM12KDCT-ND</v>
      </c>
      <c r="J27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7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77" s="34" t="s">
        <v>2723</v>
      </c>
      <c r="M277" s="42">
        <v>0.1</v>
      </c>
      <c r="N277" s="34"/>
      <c r="O277" s="42"/>
      <c r="P277" s="34"/>
      <c r="Q277" s="42"/>
      <c r="R277" s="34"/>
      <c r="S277" s="42"/>
      <c r="T277" s="34"/>
      <c r="U277" s="42"/>
      <c r="V277" s="34"/>
      <c r="W277" s="42"/>
      <c r="X277" s="34"/>
      <c r="Y277" s="42"/>
      <c r="Z277" s="42"/>
      <c r="AA277" s="36"/>
      <c r="AB277" s="50"/>
      <c r="AC277" s="56" t="str">
        <f>IF(Table1[[#This Row],[Auto Order]]=1,IF(Table1[[#This Row],[In stock]]&lt;Table1[[#This Row],[Min in stock]],1,""),"")</f>
        <v/>
      </c>
    </row>
    <row r="278" spans="1:29" x14ac:dyDescent="0.25">
      <c r="A278" s="60" t="s">
        <v>2382</v>
      </c>
      <c r="B278" s="34" t="s">
        <v>713</v>
      </c>
      <c r="C278" s="34" t="s">
        <v>352</v>
      </c>
      <c r="D278" s="34" t="s">
        <v>2383</v>
      </c>
      <c r="E278" s="34" t="s">
        <v>559</v>
      </c>
      <c r="F278" s="53">
        <v>0</v>
      </c>
      <c r="G278" s="53"/>
      <c r="H278" s="53"/>
      <c r="I27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RHM120KDCT-ND</v>
      </c>
      <c r="J27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7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78" s="34" t="s">
        <v>2381</v>
      </c>
      <c r="M278" s="42">
        <v>0.1</v>
      </c>
      <c r="N278" s="34"/>
      <c r="O278" s="42"/>
      <c r="P278" s="34"/>
      <c r="Q278" s="42"/>
      <c r="R278" s="34"/>
      <c r="S278" s="42"/>
      <c r="T278" s="34"/>
      <c r="U278" s="42"/>
      <c r="V278" s="34"/>
      <c r="W278" s="42"/>
      <c r="X278" s="34"/>
      <c r="Y278" s="42"/>
      <c r="Z278" s="42"/>
      <c r="AA278" s="36"/>
      <c r="AB278" s="50"/>
      <c r="AC278" s="56" t="str">
        <f>IF(Table1[[#This Row],[Auto Order]]=1,IF(Table1[[#This Row],[In stock]]&lt;Table1[[#This Row],[Min in stock]],1,""),"")</f>
        <v/>
      </c>
    </row>
    <row r="279" spans="1:29" x14ac:dyDescent="0.25">
      <c r="A279" s="60" t="s">
        <v>2508</v>
      </c>
      <c r="B279" s="34" t="s">
        <v>713</v>
      </c>
      <c r="C279" s="34" t="s">
        <v>352</v>
      </c>
      <c r="D279" s="34" t="s">
        <v>2509</v>
      </c>
      <c r="E279" s="34" t="s">
        <v>559</v>
      </c>
      <c r="F279" s="53">
        <v>0</v>
      </c>
      <c r="G279" s="53"/>
      <c r="H279" s="53"/>
      <c r="I27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RHM1.2MDCT-ND</v>
      </c>
      <c r="J27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7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79" s="34" t="s">
        <v>2507</v>
      </c>
      <c r="M279" s="42">
        <v>0.1</v>
      </c>
      <c r="N279" s="34"/>
      <c r="O279" s="42"/>
      <c r="P279" s="34"/>
      <c r="Q279" s="42"/>
      <c r="R279" s="34"/>
      <c r="S279" s="42"/>
      <c r="T279" s="34"/>
      <c r="U279" s="42"/>
      <c r="V279" s="34"/>
      <c r="W279" s="42"/>
      <c r="X279" s="34"/>
      <c r="Y279" s="42"/>
      <c r="Z279" s="42"/>
      <c r="AA279" s="36"/>
      <c r="AB279" s="50"/>
      <c r="AC279" s="56" t="str">
        <f>IF(Table1[[#This Row],[Auto Order]]=1,IF(Table1[[#This Row],[In stock]]&lt;Table1[[#This Row],[Min in stock]],1,""),"")</f>
        <v/>
      </c>
    </row>
    <row r="280" spans="1:29" x14ac:dyDescent="0.25">
      <c r="A280" s="60" t="s">
        <v>2742</v>
      </c>
      <c r="B280" s="34" t="s">
        <v>713</v>
      </c>
      <c r="C280" s="34" t="s">
        <v>352</v>
      </c>
      <c r="D280" s="34" t="s">
        <v>2743</v>
      </c>
      <c r="E280" s="34" t="s">
        <v>559</v>
      </c>
      <c r="F280" s="53">
        <v>0</v>
      </c>
      <c r="G280" s="53"/>
      <c r="H280" s="53"/>
      <c r="I28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RHM13DCT-ND</v>
      </c>
      <c r="J28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8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80" s="34" t="s">
        <v>2741</v>
      </c>
      <c r="M280" s="42">
        <v>0.1</v>
      </c>
      <c r="N280" s="34"/>
      <c r="O280" s="42"/>
      <c r="P280" s="34"/>
      <c r="Q280" s="42"/>
      <c r="R280" s="34"/>
      <c r="S280" s="42"/>
      <c r="T280" s="34"/>
      <c r="U280" s="42"/>
      <c r="V280" s="34"/>
      <c r="W280" s="42"/>
      <c r="X280" s="34"/>
      <c r="Y280" s="42"/>
      <c r="Z280" s="42"/>
      <c r="AA280" s="36"/>
      <c r="AB280" s="50"/>
      <c r="AC280" s="56" t="str">
        <f>IF(Table1[[#This Row],[Auto Order]]=1,IF(Table1[[#This Row],[In stock]]&lt;Table1[[#This Row],[Min in stock]],1,""),"")</f>
        <v/>
      </c>
    </row>
    <row r="281" spans="1:29" x14ac:dyDescent="0.25">
      <c r="A281" s="60" t="s">
        <v>1905</v>
      </c>
      <c r="B281" s="34" t="s">
        <v>713</v>
      </c>
      <c r="C281" s="34" t="s">
        <v>352</v>
      </c>
      <c r="D281" s="34" t="s">
        <v>1906</v>
      </c>
      <c r="E281" s="34" t="s">
        <v>559</v>
      </c>
      <c r="F281" s="53">
        <v>0</v>
      </c>
      <c r="G281" s="53"/>
      <c r="H281" s="53"/>
      <c r="I28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RHM130DCT-ND</v>
      </c>
      <c r="J28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8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81" s="34" t="s">
        <v>1904</v>
      </c>
      <c r="M281" s="42">
        <v>0.1</v>
      </c>
      <c r="N281" s="34"/>
      <c r="O281" s="42"/>
      <c r="P281" s="34"/>
      <c r="Q281" s="42"/>
      <c r="R281" s="34"/>
      <c r="S281" s="42"/>
      <c r="T281" s="34"/>
      <c r="U281" s="42"/>
      <c r="V281" s="34"/>
      <c r="W281" s="42"/>
      <c r="X281" s="34"/>
      <c r="Y281" s="42"/>
      <c r="Z281" s="42"/>
      <c r="AA281" s="36"/>
      <c r="AB281" s="50"/>
      <c r="AC281" s="56" t="str">
        <f>IF(Table1[[#This Row],[Auto Order]]=1,IF(Table1[[#This Row],[In stock]]&lt;Table1[[#This Row],[Min in stock]],1,""),"")</f>
        <v/>
      </c>
    </row>
    <row r="282" spans="1:29" x14ac:dyDescent="0.25">
      <c r="A282" s="60" t="s">
        <v>2511</v>
      </c>
      <c r="B282" s="34" t="s">
        <v>713</v>
      </c>
      <c r="C282" s="34" t="s">
        <v>352</v>
      </c>
      <c r="D282" s="34" t="s">
        <v>2512</v>
      </c>
      <c r="E282" s="34" t="s">
        <v>559</v>
      </c>
      <c r="F282" s="53">
        <v>0</v>
      </c>
      <c r="G282" s="53"/>
      <c r="H282" s="53"/>
      <c r="I28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RHM1.3KDCT-ND</v>
      </c>
      <c r="J28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8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82" s="34" t="s">
        <v>2510</v>
      </c>
      <c r="M282" s="42">
        <v>0.1</v>
      </c>
      <c r="N282" s="34"/>
      <c r="O282" s="42"/>
      <c r="P282" s="34"/>
      <c r="Q282" s="42"/>
      <c r="R282" s="34"/>
      <c r="S282" s="42"/>
      <c r="T282" s="34"/>
      <c r="U282" s="42"/>
      <c r="V282" s="34"/>
      <c r="W282" s="42"/>
      <c r="X282" s="34"/>
      <c r="Y282" s="42"/>
      <c r="Z282" s="42"/>
      <c r="AA282" s="36"/>
      <c r="AB282" s="50"/>
      <c r="AC282" s="56" t="str">
        <f>IF(Table1[[#This Row],[Auto Order]]=1,IF(Table1[[#This Row],[In stock]]&lt;Table1[[#This Row],[Min in stock]],1,""),"")</f>
        <v/>
      </c>
    </row>
    <row r="283" spans="1:29" x14ac:dyDescent="0.25">
      <c r="A283" s="60" t="s">
        <v>2802</v>
      </c>
      <c r="B283" s="34" t="s">
        <v>713</v>
      </c>
      <c r="C283" s="34" t="s">
        <v>352</v>
      </c>
      <c r="D283" s="34" t="s">
        <v>2803</v>
      </c>
      <c r="E283" s="34" t="s">
        <v>559</v>
      </c>
      <c r="F283" s="53">
        <v>0</v>
      </c>
      <c r="G283" s="53"/>
      <c r="H283" s="53"/>
      <c r="I28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RHM13KDCT-ND</v>
      </c>
      <c r="J28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8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83" s="34" t="s">
        <v>2801</v>
      </c>
      <c r="M283" s="42">
        <v>0.1</v>
      </c>
      <c r="N283" s="34"/>
      <c r="O283" s="42"/>
      <c r="P283" s="34"/>
      <c r="Q283" s="42"/>
      <c r="R283" s="34"/>
      <c r="S283" s="42"/>
      <c r="T283" s="34"/>
      <c r="U283" s="42"/>
      <c r="V283" s="34"/>
      <c r="W283" s="42"/>
      <c r="X283" s="34"/>
      <c r="Y283" s="42"/>
      <c r="Z283" s="42"/>
      <c r="AA283" s="36"/>
      <c r="AB283" s="50"/>
      <c r="AC283" s="56" t="str">
        <f>IF(Table1[[#This Row],[Auto Order]]=1,IF(Table1[[#This Row],[In stock]]&lt;Table1[[#This Row],[Min in stock]],1,""),"")</f>
        <v/>
      </c>
    </row>
    <row r="284" spans="1:29" x14ac:dyDescent="0.25">
      <c r="A284" s="60" t="s">
        <v>2610</v>
      </c>
      <c r="B284" s="34" t="s">
        <v>713</v>
      </c>
      <c r="C284" s="34" t="s">
        <v>352</v>
      </c>
      <c r="D284" s="34" t="s">
        <v>2611</v>
      </c>
      <c r="E284" s="34" t="s">
        <v>559</v>
      </c>
      <c r="F284" s="53">
        <v>0</v>
      </c>
      <c r="G284" s="53"/>
      <c r="H284" s="53"/>
      <c r="I28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RHM130KDCT-ND</v>
      </c>
      <c r="J28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8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84" s="34" t="s">
        <v>2609</v>
      </c>
      <c r="M284" s="42">
        <v>0.1</v>
      </c>
      <c r="N284" s="34"/>
      <c r="O284" s="42"/>
      <c r="P284" s="34"/>
      <c r="Q284" s="42"/>
      <c r="R284" s="34"/>
      <c r="S284" s="42"/>
      <c r="T284" s="34"/>
      <c r="U284" s="42"/>
      <c r="V284" s="34"/>
      <c r="W284" s="42"/>
      <c r="X284" s="34"/>
      <c r="Y284" s="42"/>
      <c r="Z284" s="42"/>
      <c r="AA284" s="36"/>
      <c r="AB284" s="50"/>
      <c r="AC284" s="56" t="str">
        <f>IF(Table1[[#This Row],[Auto Order]]=1,IF(Table1[[#This Row],[In stock]]&lt;Table1[[#This Row],[Min in stock]],1,""),"")</f>
        <v/>
      </c>
    </row>
    <row r="285" spans="1:29" x14ac:dyDescent="0.25">
      <c r="A285" s="60" t="s">
        <v>2613</v>
      </c>
      <c r="B285" s="34" t="s">
        <v>713</v>
      </c>
      <c r="C285" s="34" t="s">
        <v>352</v>
      </c>
      <c r="D285" s="34" t="s">
        <v>2614</v>
      </c>
      <c r="E285" s="34" t="s">
        <v>559</v>
      </c>
      <c r="F285" s="53">
        <v>0</v>
      </c>
      <c r="G285" s="53"/>
      <c r="H285" s="53"/>
      <c r="I28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RHM1.3MDCT-ND</v>
      </c>
      <c r="J28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8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85" s="34" t="s">
        <v>2612</v>
      </c>
      <c r="M285" s="42">
        <v>0.1</v>
      </c>
      <c r="N285" s="34"/>
      <c r="O285" s="42"/>
      <c r="P285" s="34"/>
      <c r="Q285" s="42"/>
      <c r="R285" s="34"/>
      <c r="S285" s="42"/>
      <c r="T285" s="34"/>
      <c r="U285" s="42"/>
      <c r="V285" s="34"/>
      <c r="W285" s="42"/>
      <c r="X285" s="34"/>
      <c r="Y285" s="42"/>
      <c r="Z285" s="42"/>
      <c r="AA285" s="36"/>
      <c r="AB285" s="50"/>
      <c r="AC285" s="56" t="str">
        <f>IF(Table1[[#This Row],[Auto Order]]=1,IF(Table1[[#This Row],[In stock]]&lt;Table1[[#This Row],[Min in stock]],1,""),"")</f>
        <v/>
      </c>
    </row>
    <row r="286" spans="1:29" x14ac:dyDescent="0.25">
      <c r="A286" s="60" t="s">
        <v>2169</v>
      </c>
      <c r="B286" s="34" t="s">
        <v>713</v>
      </c>
      <c r="C286" s="34" t="s">
        <v>352</v>
      </c>
      <c r="D286" s="34" t="s">
        <v>2170</v>
      </c>
      <c r="E286" s="34" t="s">
        <v>559</v>
      </c>
      <c r="F286" s="53">
        <v>0</v>
      </c>
      <c r="G286" s="53"/>
      <c r="H286" s="53"/>
      <c r="I28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RHM15DCT-ND</v>
      </c>
      <c r="J28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8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86" s="34" t="s">
        <v>2168</v>
      </c>
      <c r="M286" s="42">
        <v>0.1</v>
      </c>
      <c r="N286" s="34"/>
      <c r="O286" s="42"/>
      <c r="P286" s="34"/>
      <c r="Q286" s="42"/>
      <c r="R286" s="34"/>
      <c r="S286" s="42"/>
      <c r="T286" s="34"/>
      <c r="U286" s="42"/>
      <c r="V286" s="34"/>
      <c r="W286" s="42"/>
      <c r="X286" s="34"/>
      <c r="Y286" s="42"/>
      <c r="Z286" s="42"/>
      <c r="AA286" s="36"/>
      <c r="AB286" s="50"/>
      <c r="AC286" s="56" t="str">
        <f>IF(Table1[[#This Row],[Auto Order]]=1,IF(Table1[[#This Row],[In stock]]&lt;Table1[[#This Row],[Min in stock]],1,""),"")</f>
        <v/>
      </c>
    </row>
    <row r="287" spans="1:29" x14ac:dyDescent="0.25">
      <c r="A287" s="62" t="s">
        <v>1971</v>
      </c>
      <c r="B287" s="34" t="s">
        <v>713</v>
      </c>
      <c r="C287" s="34" t="s">
        <v>352</v>
      </c>
      <c r="D287" s="34" t="s">
        <v>1972</v>
      </c>
      <c r="E287" s="34" t="s">
        <v>559</v>
      </c>
      <c r="F287" s="53">
        <v>0</v>
      </c>
      <c r="G287" s="53">
        <v>10</v>
      </c>
      <c r="H287" s="53">
        <f>1</f>
        <v>1</v>
      </c>
      <c r="I28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RHM100KADCT-ND</v>
      </c>
      <c r="J28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8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87" s="34" t="s">
        <v>1970</v>
      </c>
      <c r="M287" s="42">
        <v>0.13</v>
      </c>
      <c r="N287" s="34"/>
      <c r="O287" s="42"/>
      <c r="P287" s="34"/>
      <c r="Q287" s="42"/>
      <c r="R287" s="34"/>
      <c r="S287" s="42"/>
      <c r="T287" s="34"/>
      <c r="U287" s="42"/>
      <c r="V287" s="34"/>
      <c r="W287" s="42"/>
      <c r="X287" s="34"/>
      <c r="Y287" s="42"/>
      <c r="Z287" s="42"/>
      <c r="AA287" s="36"/>
      <c r="AB287" s="50"/>
      <c r="AC287" s="56">
        <f>IF(Table1[[#This Row],[Auto Order]]=1,IF(Table1[[#This Row],[In stock]]&lt;Table1[[#This Row],[Min in stock]],1,""),"")</f>
        <v>1</v>
      </c>
    </row>
    <row r="288" spans="1:29" x14ac:dyDescent="0.25">
      <c r="A288" s="60" t="s">
        <v>2232</v>
      </c>
      <c r="B288" s="34" t="s">
        <v>713</v>
      </c>
      <c r="C288" s="34" t="s">
        <v>352</v>
      </c>
      <c r="D288" s="34" t="s">
        <v>2233</v>
      </c>
      <c r="E288" s="34" t="s">
        <v>559</v>
      </c>
      <c r="F288" s="53">
        <v>0</v>
      </c>
      <c r="G288" s="53"/>
      <c r="H288" s="53"/>
      <c r="I28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RHM1.5KDCT-ND</v>
      </c>
      <c r="J28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8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88" s="34" t="s">
        <v>2231</v>
      </c>
      <c r="M288" s="42">
        <v>0.1</v>
      </c>
      <c r="N288" s="34"/>
      <c r="O288" s="42"/>
      <c r="P288" s="34"/>
      <c r="Q288" s="42"/>
      <c r="R288" s="34"/>
      <c r="S288" s="42"/>
      <c r="T288" s="34"/>
      <c r="U288" s="42"/>
      <c r="V288" s="34"/>
      <c r="W288" s="42"/>
      <c r="X288" s="34"/>
      <c r="Y288" s="42"/>
      <c r="Z288" s="42"/>
      <c r="AA288" s="36"/>
      <c r="AB288" s="50"/>
      <c r="AC288" s="56" t="str">
        <f>IF(Table1[[#This Row],[Auto Order]]=1,IF(Table1[[#This Row],[In stock]]&lt;Table1[[#This Row],[Min in stock]],1,""),"")</f>
        <v/>
      </c>
    </row>
    <row r="289" spans="1:29" x14ac:dyDescent="0.25">
      <c r="A289" s="60" t="s">
        <v>2181</v>
      </c>
      <c r="B289" s="34" t="s">
        <v>713</v>
      </c>
      <c r="C289" s="34" t="s">
        <v>352</v>
      </c>
      <c r="D289" s="34" t="s">
        <v>2182</v>
      </c>
      <c r="E289" s="34" t="s">
        <v>559</v>
      </c>
      <c r="F289" s="53">
        <v>0</v>
      </c>
      <c r="G289" s="53"/>
      <c r="H289" s="53"/>
      <c r="I28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RHM15KDCT-ND</v>
      </c>
      <c r="J28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8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89" s="34" t="s">
        <v>2180</v>
      </c>
      <c r="M289" s="42">
        <v>0.1</v>
      </c>
      <c r="N289" s="34"/>
      <c r="O289" s="42"/>
      <c r="P289" s="34"/>
      <c r="Q289" s="42"/>
      <c r="R289" s="34"/>
      <c r="S289" s="42"/>
      <c r="T289" s="34"/>
      <c r="U289" s="42"/>
      <c r="V289" s="34"/>
      <c r="W289" s="42"/>
      <c r="X289" s="34"/>
      <c r="Y289" s="42"/>
      <c r="Z289" s="42"/>
      <c r="AA289" s="36"/>
      <c r="AB289" s="50"/>
      <c r="AC289" s="56" t="str">
        <f>IF(Table1[[#This Row],[Auto Order]]=1,IF(Table1[[#This Row],[In stock]]&lt;Table1[[#This Row],[Min in stock]],1,""),"")</f>
        <v/>
      </c>
    </row>
    <row r="290" spans="1:29" x14ac:dyDescent="0.25">
      <c r="A290" s="60" t="s">
        <v>2514</v>
      </c>
      <c r="B290" s="34" t="s">
        <v>713</v>
      </c>
      <c r="C290" s="34" t="s">
        <v>352</v>
      </c>
      <c r="D290" s="34" t="s">
        <v>2515</v>
      </c>
      <c r="E290" s="34" t="s">
        <v>559</v>
      </c>
      <c r="F290" s="53">
        <v>0</v>
      </c>
      <c r="G290" s="53"/>
      <c r="H290" s="53"/>
      <c r="I29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RHM150KDCT-ND</v>
      </c>
      <c r="J29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9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90" s="34" t="s">
        <v>2513</v>
      </c>
      <c r="M290" s="42">
        <v>0.1</v>
      </c>
      <c r="N290" s="34"/>
      <c r="O290" s="42"/>
      <c r="P290" s="34"/>
      <c r="Q290" s="42"/>
      <c r="R290" s="34"/>
      <c r="S290" s="42"/>
      <c r="T290" s="34"/>
      <c r="U290" s="42"/>
      <c r="V290" s="34"/>
      <c r="W290" s="42"/>
      <c r="X290" s="34"/>
      <c r="Y290" s="42"/>
      <c r="Z290" s="42"/>
      <c r="AA290" s="36"/>
      <c r="AB290" s="50"/>
      <c r="AC290" s="56" t="str">
        <f>IF(Table1[[#This Row],[Auto Order]]=1,IF(Table1[[#This Row],[In stock]]&lt;Table1[[#This Row],[Min in stock]],1,""),"")</f>
        <v/>
      </c>
    </row>
    <row r="291" spans="1:29" x14ac:dyDescent="0.25">
      <c r="A291" s="60" t="s">
        <v>2877</v>
      </c>
      <c r="B291" s="34" t="s">
        <v>713</v>
      </c>
      <c r="C291" s="34" t="s">
        <v>352</v>
      </c>
      <c r="D291" s="34" t="s">
        <v>2878</v>
      </c>
      <c r="E291" s="34" t="s">
        <v>559</v>
      </c>
      <c r="F291" s="53">
        <v>0</v>
      </c>
      <c r="G291" s="53"/>
      <c r="H291" s="53"/>
      <c r="I29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RHM1.5MDCT-ND</v>
      </c>
      <c r="J29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9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91" s="34" t="s">
        <v>2876</v>
      </c>
      <c r="M291" s="42">
        <v>0.1</v>
      </c>
      <c r="N291" s="34"/>
      <c r="O291" s="42"/>
      <c r="P291" s="34"/>
      <c r="Q291" s="42"/>
      <c r="R291" s="34"/>
      <c r="S291" s="42"/>
      <c r="T291" s="34"/>
      <c r="U291" s="42"/>
      <c r="V291" s="34"/>
      <c r="W291" s="42"/>
      <c r="X291" s="34"/>
      <c r="Y291" s="42"/>
      <c r="Z291" s="42"/>
      <c r="AA291" s="36"/>
      <c r="AB291" s="50"/>
      <c r="AC291" s="56" t="str">
        <f>IF(Table1[[#This Row],[Auto Order]]=1,IF(Table1[[#This Row],[In stock]]&lt;Table1[[#This Row],[Min in stock]],1,""),"")</f>
        <v/>
      </c>
    </row>
    <row r="292" spans="1:29" x14ac:dyDescent="0.25">
      <c r="A292" s="60" t="s">
        <v>2385</v>
      </c>
      <c r="B292" s="34" t="s">
        <v>713</v>
      </c>
      <c r="C292" s="34" t="s">
        <v>352</v>
      </c>
      <c r="D292" s="34" t="s">
        <v>2386</v>
      </c>
      <c r="E292" s="34" t="s">
        <v>559</v>
      </c>
      <c r="F292" s="53">
        <v>0</v>
      </c>
      <c r="G292" s="53"/>
      <c r="H292" s="53"/>
      <c r="I29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RHM16DCT-ND</v>
      </c>
      <c r="J29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9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92" s="34" t="s">
        <v>2384</v>
      </c>
      <c r="M292" s="42">
        <v>0.1</v>
      </c>
      <c r="N292" s="34"/>
      <c r="O292" s="42"/>
      <c r="P292" s="34"/>
      <c r="Q292" s="42"/>
      <c r="R292" s="34"/>
      <c r="S292" s="42"/>
      <c r="T292" s="34"/>
      <c r="U292" s="42"/>
      <c r="V292" s="34"/>
      <c r="W292" s="42"/>
      <c r="X292" s="34"/>
      <c r="Y292" s="42"/>
      <c r="Z292" s="42"/>
      <c r="AA292" s="36"/>
      <c r="AB292" s="50"/>
      <c r="AC292" s="56" t="str">
        <f>IF(Table1[[#This Row],[Auto Order]]=1,IF(Table1[[#This Row],[In stock]]&lt;Table1[[#This Row],[Min in stock]],1,""),"")</f>
        <v/>
      </c>
    </row>
    <row r="293" spans="1:29" x14ac:dyDescent="0.25">
      <c r="A293" s="60" t="s">
        <v>2373</v>
      </c>
      <c r="B293" s="34" t="s">
        <v>713</v>
      </c>
      <c r="C293" s="34" t="s">
        <v>352</v>
      </c>
      <c r="D293" s="34" t="s">
        <v>2374</v>
      </c>
      <c r="E293" s="34" t="s">
        <v>559</v>
      </c>
      <c r="F293" s="53">
        <v>0</v>
      </c>
      <c r="G293" s="53"/>
      <c r="H293" s="53"/>
      <c r="I29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RHM160DCT-ND</v>
      </c>
      <c r="J29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9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93" s="34" t="s">
        <v>2372</v>
      </c>
      <c r="M293" s="42">
        <v>0.1</v>
      </c>
      <c r="N293" s="34"/>
      <c r="O293" s="42"/>
      <c r="P293" s="34"/>
      <c r="Q293" s="42"/>
      <c r="R293" s="34"/>
      <c r="S293" s="42"/>
      <c r="T293" s="34"/>
      <c r="U293" s="42"/>
      <c r="V293" s="34"/>
      <c r="W293" s="42"/>
      <c r="X293" s="34"/>
      <c r="Y293" s="42"/>
      <c r="Z293" s="42"/>
      <c r="AA293" s="36"/>
      <c r="AB293" s="50"/>
      <c r="AC293" s="56" t="str">
        <f>IF(Table1[[#This Row],[Auto Order]]=1,IF(Table1[[#This Row],[In stock]]&lt;Table1[[#This Row],[Min in stock]],1,""),"")</f>
        <v/>
      </c>
    </row>
    <row r="294" spans="1:29" x14ac:dyDescent="0.25">
      <c r="A294" s="60" t="s">
        <v>2700</v>
      </c>
      <c r="B294" s="34" t="s">
        <v>713</v>
      </c>
      <c r="C294" s="34" t="s">
        <v>352</v>
      </c>
      <c r="D294" s="34" t="s">
        <v>2701</v>
      </c>
      <c r="E294" s="34" t="s">
        <v>559</v>
      </c>
      <c r="F294" s="53">
        <v>0</v>
      </c>
      <c r="G294" s="53"/>
      <c r="H294" s="53"/>
      <c r="I29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RHM1.6KDCT-ND</v>
      </c>
      <c r="J29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9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94" s="34" t="s">
        <v>2699</v>
      </c>
      <c r="M294" s="42">
        <v>0.1</v>
      </c>
      <c r="N294" s="34"/>
      <c r="O294" s="42"/>
      <c r="P294" s="34"/>
      <c r="Q294" s="42"/>
      <c r="R294" s="34"/>
      <c r="S294" s="42"/>
      <c r="T294" s="34"/>
      <c r="U294" s="42"/>
      <c r="V294" s="34"/>
      <c r="W294" s="42"/>
      <c r="X294" s="34"/>
      <c r="Y294" s="42"/>
      <c r="Z294" s="42"/>
      <c r="AA294" s="36"/>
      <c r="AB294" s="50"/>
      <c r="AC294" s="56" t="str">
        <f>IF(Table1[[#This Row],[Auto Order]]=1,IF(Table1[[#This Row],[In stock]]&lt;Table1[[#This Row],[Min in stock]],1,""),"")</f>
        <v/>
      </c>
    </row>
    <row r="295" spans="1:29" x14ac:dyDescent="0.25">
      <c r="A295" s="60" t="s">
        <v>2193</v>
      </c>
      <c r="B295" s="34" t="s">
        <v>713</v>
      </c>
      <c r="C295" s="34" t="s">
        <v>352</v>
      </c>
      <c r="D295" s="34" t="s">
        <v>2194</v>
      </c>
      <c r="E295" s="34" t="s">
        <v>559</v>
      </c>
      <c r="F295" s="53">
        <v>0</v>
      </c>
      <c r="G295" s="53"/>
      <c r="H295" s="53"/>
      <c r="I29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RHM16KDCT-ND</v>
      </c>
      <c r="J29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9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95" s="34" t="s">
        <v>2192</v>
      </c>
      <c r="M295" s="42">
        <v>0.1</v>
      </c>
      <c r="N295" s="34"/>
      <c r="O295" s="42"/>
      <c r="P295" s="34"/>
      <c r="Q295" s="42"/>
      <c r="R295" s="34"/>
      <c r="S295" s="42"/>
      <c r="T295" s="34"/>
      <c r="U295" s="42"/>
      <c r="V295" s="34"/>
      <c r="W295" s="42"/>
      <c r="X295" s="34"/>
      <c r="Y295" s="42"/>
      <c r="Z295" s="42"/>
      <c r="AA295" s="36"/>
      <c r="AB295" s="50"/>
      <c r="AC295" s="56" t="str">
        <f>IF(Table1[[#This Row],[Auto Order]]=1,IF(Table1[[#This Row],[In stock]]&lt;Table1[[#This Row],[Min in stock]],1,""),"")</f>
        <v/>
      </c>
    </row>
    <row r="296" spans="1:29" x14ac:dyDescent="0.25">
      <c r="A296" s="60" t="s">
        <v>2616</v>
      </c>
      <c r="B296" s="34" t="s">
        <v>713</v>
      </c>
      <c r="C296" s="34" t="s">
        <v>352</v>
      </c>
      <c r="D296" s="34" t="s">
        <v>2617</v>
      </c>
      <c r="E296" s="34" t="s">
        <v>559</v>
      </c>
      <c r="F296" s="53">
        <v>0</v>
      </c>
      <c r="G296" s="53"/>
      <c r="H296" s="53"/>
      <c r="I29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RHM1.6MDCT-ND</v>
      </c>
      <c r="J29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9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96" s="34" t="s">
        <v>2615</v>
      </c>
      <c r="M296" s="42">
        <v>0.1</v>
      </c>
      <c r="N296" s="34"/>
      <c r="O296" s="42"/>
      <c r="P296" s="34"/>
      <c r="Q296" s="42"/>
      <c r="R296" s="34"/>
      <c r="S296" s="42"/>
      <c r="T296" s="34"/>
      <c r="U296" s="42"/>
      <c r="V296" s="34"/>
      <c r="W296" s="42"/>
      <c r="X296" s="34"/>
      <c r="Y296" s="42"/>
      <c r="Z296" s="42"/>
      <c r="AA296" s="36"/>
      <c r="AB296" s="50"/>
      <c r="AC296" s="56" t="str">
        <f>IF(Table1[[#This Row],[Auto Order]]=1,IF(Table1[[#This Row],[In stock]]&lt;Table1[[#This Row],[Min in stock]],1,""),"")</f>
        <v/>
      </c>
    </row>
    <row r="297" spans="1:29" x14ac:dyDescent="0.25">
      <c r="A297" s="60" t="s">
        <v>1902</v>
      </c>
      <c r="B297" s="34" t="s">
        <v>713</v>
      </c>
      <c r="C297" s="34" t="s">
        <v>352</v>
      </c>
      <c r="D297" s="34" t="s">
        <v>1903</v>
      </c>
      <c r="E297" s="34" t="s">
        <v>559</v>
      </c>
      <c r="F297" s="53">
        <v>0</v>
      </c>
      <c r="G297" s="53"/>
      <c r="H297" s="53"/>
      <c r="I29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RHM18DCT-ND</v>
      </c>
      <c r="J29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9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97" s="34" t="s">
        <v>1901</v>
      </c>
      <c r="M297" s="42">
        <v>0.1</v>
      </c>
      <c r="N297" s="34"/>
      <c r="O297" s="42"/>
      <c r="P297" s="34"/>
      <c r="Q297" s="42"/>
      <c r="R297" s="34"/>
      <c r="S297" s="42"/>
      <c r="T297" s="34"/>
      <c r="U297" s="42"/>
      <c r="V297" s="34"/>
      <c r="W297" s="42"/>
      <c r="X297" s="34"/>
      <c r="Y297" s="42"/>
      <c r="Z297" s="42"/>
      <c r="AA297" s="36"/>
      <c r="AB297" s="50"/>
      <c r="AC297" s="56" t="str">
        <f>IF(Table1[[#This Row],[Auto Order]]=1,IF(Table1[[#This Row],[In stock]]&lt;Table1[[#This Row],[Min in stock]],1,""),"")</f>
        <v/>
      </c>
    </row>
    <row r="298" spans="1:29" x14ac:dyDescent="0.25">
      <c r="A298" s="60" t="s">
        <v>1878</v>
      </c>
      <c r="B298" s="34" t="s">
        <v>713</v>
      </c>
      <c r="C298" s="34" t="s">
        <v>352</v>
      </c>
      <c r="D298" s="34" t="s">
        <v>1879</v>
      </c>
      <c r="E298" s="34" t="s">
        <v>559</v>
      </c>
      <c r="F298" s="53">
        <v>0</v>
      </c>
      <c r="G298" s="53">
        <v>10</v>
      </c>
      <c r="H298" s="53">
        <f>1</f>
        <v>1</v>
      </c>
      <c r="I29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RHM150DCT-ND</v>
      </c>
      <c r="J29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9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98" s="34" t="s">
        <v>1877</v>
      </c>
      <c r="M298" s="42">
        <v>0.1</v>
      </c>
      <c r="N298" s="34"/>
      <c r="O298" s="42"/>
      <c r="P298" s="34"/>
      <c r="Q298" s="42"/>
      <c r="R298" s="34"/>
      <c r="S298" s="42"/>
      <c r="T298" s="34"/>
      <c r="U298" s="42"/>
      <c r="V298" s="34"/>
      <c r="W298" s="42"/>
      <c r="X298" s="34"/>
      <c r="Y298" s="42"/>
      <c r="Z298" s="42"/>
      <c r="AA298" s="36"/>
      <c r="AB298" s="50"/>
      <c r="AC298" s="56">
        <f>IF(Table1[[#This Row],[Auto Order]]=1,IF(Table1[[#This Row],[In stock]]&lt;Table1[[#This Row],[Min in stock]],1,""),"")</f>
        <v>1</v>
      </c>
    </row>
    <row r="299" spans="1:29" x14ac:dyDescent="0.25">
      <c r="A299" s="60" t="s">
        <v>2388</v>
      </c>
      <c r="B299" s="34" t="s">
        <v>713</v>
      </c>
      <c r="C299" s="34" t="s">
        <v>352</v>
      </c>
      <c r="D299" s="34" t="s">
        <v>2389</v>
      </c>
      <c r="E299" s="34" t="s">
        <v>559</v>
      </c>
      <c r="F299" s="53">
        <v>0</v>
      </c>
      <c r="G299" s="53"/>
      <c r="H299" s="53"/>
      <c r="I29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RHM1.8KDCT-ND</v>
      </c>
      <c r="J29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9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99" s="34" t="s">
        <v>2387</v>
      </c>
      <c r="M299" s="42">
        <v>0.1</v>
      </c>
      <c r="N299" s="34"/>
      <c r="O299" s="42"/>
      <c r="P299" s="34"/>
      <c r="Q299" s="42"/>
      <c r="R299" s="34"/>
      <c r="S299" s="42"/>
      <c r="T299" s="34"/>
      <c r="U299" s="42"/>
      <c r="V299" s="34"/>
      <c r="W299" s="42"/>
      <c r="X299" s="34"/>
      <c r="Y299" s="42"/>
      <c r="Z299" s="42"/>
      <c r="AA299" s="36"/>
      <c r="AB299" s="50"/>
      <c r="AC299" s="56" t="str">
        <f>IF(Table1[[#This Row],[Auto Order]]=1,IF(Table1[[#This Row],[In stock]]&lt;Table1[[#This Row],[Min in stock]],1,""),"")</f>
        <v/>
      </c>
    </row>
    <row r="300" spans="1:29" x14ac:dyDescent="0.25">
      <c r="A300" s="60" t="s">
        <v>2229</v>
      </c>
      <c r="B300" s="34" t="s">
        <v>713</v>
      </c>
      <c r="C300" s="34" t="s">
        <v>352</v>
      </c>
      <c r="D300" s="34" t="s">
        <v>2230</v>
      </c>
      <c r="E300" s="34" t="s">
        <v>559</v>
      </c>
      <c r="F300" s="53">
        <v>0</v>
      </c>
      <c r="G300" s="53"/>
      <c r="H300" s="53"/>
      <c r="I30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RHM18KDCT-ND</v>
      </c>
      <c r="J30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0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00" s="34" t="s">
        <v>2228</v>
      </c>
      <c r="M300" s="42">
        <v>0.1</v>
      </c>
      <c r="N300" s="34"/>
      <c r="O300" s="42"/>
      <c r="P300" s="34"/>
      <c r="Q300" s="42"/>
      <c r="R300" s="34"/>
      <c r="S300" s="42"/>
      <c r="T300" s="34"/>
      <c r="U300" s="42"/>
      <c r="V300" s="34"/>
      <c r="W300" s="42"/>
      <c r="X300" s="34"/>
      <c r="Y300" s="42"/>
      <c r="Z300" s="42"/>
      <c r="AA300" s="36"/>
      <c r="AB300" s="50"/>
      <c r="AC300" s="56" t="str">
        <f>IF(Table1[[#This Row],[Auto Order]]=1,IF(Table1[[#This Row],[In stock]]&lt;Table1[[#This Row],[Min in stock]],1,""),"")</f>
        <v/>
      </c>
    </row>
    <row r="301" spans="1:29" x14ac:dyDescent="0.25">
      <c r="A301" s="60" t="s">
        <v>2703</v>
      </c>
      <c r="B301" s="34" t="s">
        <v>713</v>
      </c>
      <c r="C301" s="34" t="s">
        <v>352</v>
      </c>
      <c r="D301" s="34" t="s">
        <v>2704</v>
      </c>
      <c r="E301" s="34" t="s">
        <v>559</v>
      </c>
      <c r="F301" s="53">
        <v>0</v>
      </c>
      <c r="G301" s="53"/>
      <c r="H301" s="53"/>
      <c r="I30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RHM180KDCT-ND</v>
      </c>
      <c r="J30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0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01" s="34" t="s">
        <v>2702</v>
      </c>
      <c r="M301" s="42">
        <v>0.1</v>
      </c>
      <c r="N301" s="34"/>
      <c r="O301" s="42"/>
      <c r="P301" s="34"/>
      <c r="Q301" s="42"/>
      <c r="R301" s="34"/>
      <c r="S301" s="42"/>
      <c r="T301" s="34"/>
      <c r="U301" s="42"/>
      <c r="V301" s="34"/>
      <c r="W301" s="42"/>
      <c r="X301" s="34"/>
      <c r="Y301" s="42"/>
      <c r="Z301" s="42"/>
      <c r="AA301" s="36"/>
      <c r="AB301" s="50"/>
      <c r="AC301" s="56" t="str">
        <f>IF(Table1[[#This Row],[Auto Order]]=1,IF(Table1[[#This Row],[In stock]]&lt;Table1[[#This Row],[Min in stock]],1,""),"")</f>
        <v/>
      </c>
    </row>
    <row r="302" spans="1:29" x14ac:dyDescent="0.25">
      <c r="A302" s="60" t="s">
        <v>2517</v>
      </c>
      <c r="B302" s="34" t="s">
        <v>713</v>
      </c>
      <c r="C302" s="34" t="s">
        <v>352</v>
      </c>
      <c r="D302" s="34" t="s">
        <v>2518</v>
      </c>
      <c r="E302" s="34" t="s">
        <v>559</v>
      </c>
      <c r="F302" s="53">
        <v>0</v>
      </c>
      <c r="G302" s="53"/>
      <c r="H302" s="53"/>
      <c r="I30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RHM1.8MDCT-ND</v>
      </c>
      <c r="J30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0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02" s="34" t="s">
        <v>2516</v>
      </c>
      <c r="M302" s="42">
        <v>0.1</v>
      </c>
      <c r="N302" s="34"/>
      <c r="O302" s="42"/>
      <c r="P302" s="34"/>
      <c r="Q302" s="42"/>
      <c r="R302" s="34"/>
      <c r="S302" s="42"/>
      <c r="T302" s="34"/>
      <c r="U302" s="42"/>
      <c r="V302" s="34"/>
      <c r="W302" s="42"/>
      <c r="X302" s="34"/>
      <c r="Y302" s="42"/>
      <c r="Z302" s="42"/>
      <c r="AA302" s="36"/>
      <c r="AB302" s="50"/>
      <c r="AC302" s="56" t="str">
        <f>IF(Table1[[#This Row],[Auto Order]]=1,IF(Table1[[#This Row],[In stock]]&lt;Table1[[#This Row],[Min in stock]],1,""),"")</f>
        <v/>
      </c>
    </row>
    <row r="303" spans="1:29" x14ac:dyDescent="0.25">
      <c r="A303" s="60" t="s">
        <v>1833</v>
      </c>
      <c r="B303" s="34" t="s">
        <v>713</v>
      </c>
      <c r="C303" s="34" t="s">
        <v>352</v>
      </c>
      <c r="D303" s="34" t="s">
        <v>1834</v>
      </c>
      <c r="E303" s="34" t="s">
        <v>559</v>
      </c>
      <c r="F303" s="53">
        <v>0</v>
      </c>
      <c r="G303" s="53"/>
      <c r="H303" s="53"/>
      <c r="I30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RHM1DCT-ND</v>
      </c>
      <c r="J30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0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03" s="34" t="s">
        <v>1832</v>
      </c>
      <c r="M303" s="42">
        <v>0.1</v>
      </c>
      <c r="N303" s="34"/>
      <c r="O303" s="42"/>
      <c r="P303" s="34"/>
      <c r="Q303" s="42"/>
      <c r="R303" s="34"/>
      <c r="S303" s="42"/>
      <c r="T303" s="34"/>
      <c r="U303" s="42"/>
      <c r="V303" s="34"/>
      <c r="W303" s="42"/>
      <c r="X303" s="34"/>
      <c r="Y303" s="42"/>
      <c r="Z303" s="42"/>
      <c r="AA303" s="36"/>
      <c r="AB303" s="50"/>
      <c r="AC303" s="56" t="str">
        <f>IF(Table1[[#This Row],[Auto Order]]=1,IF(Table1[[#This Row],[In stock]]&lt;Table1[[#This Row],[Min in stock]],1,""),"")</f>
        <v/>
      </c>
    </row>
    <row r="304" spans="1:29" x14ac:dyDescent="0.25">
      <c r="A304" s="60" t="s">
        <v>2619</v>
      </c>
      <c r="B304" s="34" t="s">
        <v>713</v>
      </c>
      <c r="C304" s="34" t="s">
        <v>352</v>
      </c>
      <c r="D304" s="34" t="s">
        <v>2620</v>
      </c>
      <c r="E304" s="34" t="s">
        <v>559</v>
      </c>
      <c r="F304" s="53">
        <v>0</v>
      </c>
      <c r="G304" s="53"/>
      <c r="H304" s="53"/>
      <c r="I30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RHM1.1DCT-ND</v>
      </c>
      <c r="J30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0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04" s="34" t="s">
        <v>2618</v>
      </c>
      <c r="M304" s="42">
        <v>0.1</v>
      </c>
      <c r="N304" s="34"/>
      <c r="O304" s="42"/>
      <c r="P304" s="34"/>
      <c r="Q304" s="42"/>
      <c r="R304" s="34"/>
      <c r="S304" s="42"/>
      <c r="T304" s="34"/>
      <c r="U304" s="42"/>
      <c r="V304" s="34"/>
      <c r="W304" s="42"/>
      <c r="X304" s="34"/>
      <c r="Y304" s="42"/>
      <c r="Z304" s="42"/>
      <c r="AA304" s="36"/>
      <c r="AB304" s="50"/>
      <c r="AC304" s="56" t="str">
        <f>IF(Table1[[#This Row],[Auto Order]]=1,IF(Table1[[#This Row],[In stock]]&lt;Table1[[#This Row],[Min in stock]],1,""),"")</f>
        <v/>
      </c>
    </row>
    <row r="305" spans="1:29" x14ac:dyDescent="0.25">
      <c r="A305" s="60" t="s">
        <v>2520</v>
      </c>
      <c r="B305" s="34" t="s">
        <v>713</v>
      </c>
      <c r="C305" s="34" t="s">
        <v>352</v>
      </c>
      <c r="D305" s="34" t="s">
        <v>2521</v>
      </c>
      <c r="E305" s="34" t="s">
        <v>559</v>
      </c>
      <c r="F305" s="53">
        <v>0</v>
      </c>
      <c r="G305" s="53"/>
      <c r="H305" s="53"/>
      <c r="I30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RHM1.2DCT-ND</v>
      </c>
      <c r="J30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0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05" s="34" t="s">
        <v>2519</v>
      </c>
      <c r="M305" s="42">
        <v>0.1</v>
      </c>
      <c r="N305" s="34"/>
      <c r="O305" s="42"/>
      <c r="P305" s="34"/>
      <c r="Q305" s="42"/>
      <c r="R305" s="34"/>
      <c r="S305" s="42"/>
      <c r="T305" s="34"/>
      <c r="U305" s="42"/>
      <c r="V305" s="34"/>
      <c r="W305" s="42"/>
      <c r="X305" s="34"/>
      <c r="Y305" s="42"/>
      <c r="Z305" s="42"/>
      <c r="AA305" s="36"/>
      <c r="AB305" s="50"/>
      <c r="AC305" s="56" t="str">
        <f>IF(Table1[[#This Row],[Auto Order]]=1,IF(Table1[[#This Row],[In stock]]&lt;Table1[[#This Row],[Min in stock]],1,""),"")</f>
        <v/>
      </c>
    </row>
    <row r="306" spans="1:29" x14ac:dyDescent="0.25">
      <c r="A306" s="60" t="s">
        <v>2184</v>
      </c>
      <c r="B306" s="34" t="s">
        <v>713</v>
      </c>
      <c r="C306" s="34" t="s">
        <v>352</v>
      </c>
      <c r="D306" s="34" t="s">
        <v>2185</v>
      </c>
      <c r="E306" s="34" t="s">
        <v>559</v>
      </c>
      <c r="F306" s="53">
        <v>0</v>
      </c>
      <c r="G306" s="53"/>
      <c r="H306" s="53"/>
      <c r="I30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RHM1.3DCT-ND</v>
      </c>
      <c r="J30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0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06" s="34" t="s">
        <v>2183</v>
      </c>
      <c r="M306" s="42">
        <v>0.1</v>
      </c>
      <c r="N306" s="34"/>
      <c r="O306" s="42"/>
      <c r="P306" s="34"/>
      <c r="Q306" s="42"/>
      <c r="R306" s="34"/>
      <c r="S306" s="42"/>
      <c r="T306" s="34"/>
      <c r="U306" s="42"/>
      <c r="V306" s="34"/>
      <c r="W306" s="42"/>
      <c r="X306" s="34"/>
      <c r="Y306" s="42"/>
      <c r="Z306" s="42"/>
      <c r="AA306" s="36"/>
      <c r="AB306" s="50"/>
      <c r="AC306" s="56" t="str">
        <f>IF(Table1[[#This Row],[Auto Order]]=1,IF(Table1[[#This Row],[In stock]]&lt;Table1[[#This Row],[Min in stock]],1,""),"")</f>
        <v/>
      </c>
    </row>
    <row r="307" spans="1:29" x14ac:dyDescent="0.25">
      <c r="A307" s="60" t="s">
        <v>2898</v>
      </c>
      <c r="B307" s="34" t="s">
        <v>713</v>
      </c>
      <c r="C307" s="34" t="s">
        <v>352</v>
      </c>
      <c r="D307" s="34" t="s">
        <v>2899</v>
      </c>
      <c r="E307" s="34" t="s">
        <v>559</v>
      </c>
      <c r="F307" s="53">
        <v>0</v>
      </c>
      <c r="G307" s="53"/>
      <c r="H307" s="53"/>
      <c r="I30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RHM1.5DCT-ND</v>
      </c>
      <c r="J30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0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07" s="34" t="s">
        <v>2897</v>
      </c>
      <c r="M307" s="42">
        <v>0.1</v>
      </c>
      <c r="N307" s="34"/>
      <c r="O307" s="42"/>
      <c r="P307" s="34"/>
      <c r="Q307" s="42"/>
      <c r="R307" s="34"/>
      <c r="S307" s="42"/>
      <c r="T307" s="34"/>
      <c r="U307" s="42"/>
      <c r="V307" s="34"/>
      <c r="W307" s="42"/>
      <c r="X307" s="34"/>
      <c r="Y307" s="42"/>
      <c r="Z307" s="42"/>
      <c r="AA307" s="36"/>
      <c r="AB307" s="50"/>
      <c r="AC307" s="56" t="str">
        <f>IF(Table1[[#This Row],[Auto Order]]=1,IF(Table1[[#This Row],[In stock]]&lt;Table1[[#This Row],[Min in stock]],1,""),"")</f>
        <v/>
      </c>
    </row>
    <row r="308" spans="1:29" x14ac:dyDescent="0.25">
      <c r="A308" s="60" t="s">
        <v>2691</v>
      </c>
      <c r="B308" s="34" t="s">
        <v>713</v>
      </c>
      <c r="C308" s="34" t="s">
        <v>352</v>
      </c>
      <c r="D308" s="34" t="s">
        <v>2692</v>
      </c>
      <c r="E308" s="34" t="s">
        <v>559</v>
      </c>
      <c r="F308" s="53">
        <v>0</v>
      </c>
      <c r="G308" s="53"/>
      <c r="H308" s="53"/>
      <c r="I30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RHM1.6DCT-ND</v>
      </c>
      <c r="J30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0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08" s="34" t="s">
        <v>2690</v>
      </c>
      <c r="M308" s="42">
        <v>0.1</v>
      </c>
      <c r="N308" s="34"/>
      <c r="O308" s="42"/>
      <c r="P308" s="34"/>
      <c r="Q308" s="42"/>
      <c r="R308" s="34"/>
      <c r="S308" s="42"/>
      <c r="T308" s="34"/>
      <c r="U308" s="42"/>
      <c r="V308" s="34"/>
      <c r="W308" s="42"/>
      <c r="X308" s="34"/>
      <c r="Y308" s="42"/>
      <c r="Z308" s="42"/>
      <c r="AA308" s="36"/>
      <c r="AB308" s="50"/>
      <c r="AC308" s="56" t="str">
        <f>IF(Table1[[#This Row],[Auto Order]]=1,IF(Table1[[#This Row],[In stock]]&lt;Table1[[#This Row],[Min in stock]],1,""),"")</f>
        <v/>
      </c>
    </row>
    <row r="309" spans="1:29" x14ac:dyDescent="0.25">
      <c r="A309" s="60" t="s">
        <v>2775</v>
      </c>
      <c r="B309" s="34" t="s">
        <v>713</v>
      </c>
      <c r="C309" s="34" t="s">
        <v>352</v>
      </c>
      <c r="D309" s="34" t="s">
        <v>2776</v>
      </c>
      <c r="E309" s="34" t="s">
        <v>559</v>
      </c>
      <c r="F309" s="53">
        <v>0</v>
      </c>
      <c r="G309" s="53"/>
      <c r="H309" s="53"/>
      <c r="I30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RHM1.8DCT-ND</v>
      </c>
      <c r="J30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0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09" s="34" t="s">
        <v>2774</v>
      </c>
      <c r="M309" s="42">
        <v>0.1</v>
      </c>
      <c r="N309" s="34"/>
      <c r="O309" s="42"/>
      <c r="P309" s="34"/>
      <c r="Q309" s="42"/>
      <c r="R309" s="34"/>
      <c r="S309" s="42"/>
      <c r="T309" s="34"/>
      <c r="U309" s="42"/>
      <c r="V309" s="34"/>
      <c r="W309" s="42"/>
      <c r="X309" s="34"/>
      <c r="Y309" s="42"/>
      <c r="Z309" s="42"/>
      <c r="AA309" s="36"/>
      <c r="AB309" s="50"/>
      <c r="AC309" s="56" t="str">
        <f>IF(Table1[[#This Row],[Auto Order]]=1,IF(Table1[[#This Row],[In stock]]&lt;Table1[[#This Row],[Min in stock]],1,""),"")</f>
        <v/>
      </c>
    </row>
    <row r="310" spans="1:29" x14ac:dyDescent="0.25">
      <c r="A310" s="60" t="s">
        <v>2376</v>
      </c>
      <c r="B310" s="34" t="s">
        <v>713</v>
      </c>
      <c r="C310" s="34" t="s">
        <v>352</v>
      </c>
      <c r="D310" s="34" t="s">
        <v>2377</v>
      </c>
      <c r="E310" s="34" t="s">
        <v>559</v>
      </c>
      <c r="F310" s="53">
        <v>0</v>
      </c>
      <c r="G310" s="53"/>
      <c r="H310" s="53"/>
      <c r="I31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RHM20DCT-ND</v>
      </c>
      <c r="J31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1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10" s="34" t="s">
        <v>2375</v>
      </c>
      <c r="M310" s="42">
        <v>0.1</v>
      </c>
      <c r="N310" s="34"/>
      <c r="O310" s="42"/>
      <c r="P310" s="34"/>
      <c r="Q310" s="42"/>
      <c r="R310" s="34"/>
      <c r="S310" s="42"/>
      <c r="T310" s="34"/>
      <c r="U310" s="42"/>
      <c r="V310" s="34"/>
      <c r="W310" s="42"/>
      <c r="X310" s="34"/>
      <c r="Y310" s="42"/>
      <c r="Z310" s="42"/>
      <c r="AA310" s="36"/>
      <c r="AB310" s="50"/>
      <c r="AC310" s="56" t="str">
        <f>IF(Table1[[#This Row],[Auto Order]]=1,IF(Table1[[#This Row],[In stock]]&lt;Table1[[#This Row],[Min in stock]],1,""),"")</f>
        <v/>
      </c>
    </row>
    <row r="311" spans="1:29" x14ac:dyDescent="0.25">
      <c r="A311" s="60" t="s">
        <v>1872</v>
      </c>
      <c r="B311" s="34" t="s">
        <v>713</v>
      </c>
      <c r="C311" s="34" t="s">
        <v>352</v>
      </c>
      <c r="D311" s="34" t="s">
        <v>1873</v>
      </c>
      <c r="E311" s="34" t="s">
        <v>559</v>
      </c>
      <c r="F311" s="53">
        <v>0</v>
      </c>
      <c r="G311" s="53"/>
      <c r="H311" s="53"/>
      <c r="I31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RHM200DCT-ND</v>
      </c>
      <c r="J31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1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11" s="34" t="s">
        <v>1871</v>
      </c>
      <c r="M311" s="42">
        <v>0.1</v>
      </c>
      <c r="N311" s="34"/>
      <c r="O311" s="42"/>
      <c r="P311" s="34"/>
      <c r="Q311" s="42"/>
      <c r="R311" s="34"/>
      <c r="S311" s="42"/>
      <c r="T311" s="34"/>
      <c r="U311" s="42"/>
      <c r="V311" s="34"/>
      <c r="W311" s="42"/>
      <c r="X311" s="34"/>
      <c r="Y311" s="42"/>
      <c r="Z311" s="42"/>
      <c r="AA311" s="36"/>
      <c r="AB311" s="50"/>
      <c r="AC311" s="56" t="str">
        <f>IF(Table1[[#This Row],[Auto Order]]=1,IF(Table1[[#This Row],[In stock]]&lt;Table1[[#This Row],[Min in stock]],1,""),"")</f>
        <v/>
      </c>
    </row>
    <row r="312" spans="1:29" x14ac:dyDescent="0.25">
      <c r="A312" s="60" t="s">
        <v>2178</v>
      </c>
      <c r="B312" s="34" t="s">
        <v>713</v>
      </c>
      <c r="C312" s="34" t="s">
        <v>352</v>
      </c>
      <c r="D312" s="34" t="s">
        <v>2179</v>
      </c>
      <c r="E312" s="34" t="s">
        <v>559</v>
      </c>
      <c r="F312" s="53">
        <v>0</v>
      </c>
      <c r="G312" s="53"/>
      <c r="H312" s="53"/>
      <c r="I31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RHM2.0KDCT-ND</v>
      </c>
      <c r="J31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1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12" s="34" t="s">
        <v>2177</v>
      </c>
      <c r="M312" s="42">
        <v>0.1</v>
      </c>
      <c r="N312" s="34"/>
      <c r="O312" s="42"/>
      <c r="P312" s="34"/>
      <c r="Q312" s="42"/>
      <c r="R312" s="34"/>
      <c r="S312" s="42"/>
      <c r="T312" s="34"/>
      <c r="U312" s="42"/>
      <c r="V312" s="34"/>
      <c r="W312" s="42"/>
      <c r="X312" s="34"/>
      <c r="Y312" s="42"/>
      <c r="Z312" s="42"/>
      <c r="AA312" s="36"/>
      <c r="AB312" s="50"/>
      <c r="AC312" s="56" t="str">
        <f>IF(Table1[[#This Row],[Auto Order]]=1,IF(Table1[[#This Row],[In stock]]&lt;Table1[[#This Row],[Min in stock]],1,""),"")</f>
        <v/>
      </c>
    </row>
    <row r="313" spans="1:29" x14ac:dyDescent="0.25">
      <c r="A313" s="60" t="s">
        <v>1962</v>
      </c>
      <c r="B313" s="34" t="s">
        <v>713</v>
      </c>
      <c r="C313" s="34" t="s">
        <v>352</v>
      </c>
      <c r="D313" s="34" t="s">
        <v>1963</v>
      </c>
      <c r="E313" s="34" t="s">
        <v>559</v>
      </c>
      <c r="F313" s="53">
        <v>0</v>
      </c>
      <c r="G313" s="53"/>
      <c r="H313" s="53"/>
      <c r="I31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RHM20KDCT-ND</v>
      </c>
      <c r="J31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1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13" s="34" t="s">
        <v>1961</v>
      </c>
      <c r="M313" s="42">
        <v>0.1</v>
      </c>
      <c r="N313" s="34"/>
      <c r="O313" s="42"/>
      <c r="P313" s="34"/>
      <c r="Q313" s="42"/>
      <c r="R313" s="34"/>
      <c r="S313" s="42"/>
      <c r="T313" s="34"/>
      <c r="U313" s="42"/>
      <c r="V313" s="34"/>
      <c r="W313" s="42"/>
      <c r="X313" s="34"/>
      <c r="Y313" s="42"/>
      <c r="Z313" s="42"/>
      <c r="AA313" s="36"/>
      <c r="AB313" s="50"/>
      <c r="AC313" s="56" t="str">
        <f>IF(Table1[[#This Row],[Auto Order]]=1,IF(Table1[[#This Row],[In stock]]&lt;Table1[[#This Row],[Min in stock]],1,""),"")</f>
        <v/>
      </c>
    </row>
    <row r="314" spans="1:29" x14ac:dyDescent="0.25">
      <c r="A314" s="60" t="s">
        <v>2919</v>
      </c>
      <c r="B314" s="34" t="s">
        <v>713</v>
      </c>
      <c r="C314" s="34" t="s">
        <v>352</v>
      </c>
      <c r="D314" s="34" t="s">
        <v>2920</v>
      </c>
      <c r="E314" s="34" t="s">
        <v>559</v>
      </c>
      <c r="F314" s="53">
        <v>0</v>
      </c>
      <c r="G314" s="53"/>
      <c r="H314" s="53"/>
      <c r="I31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RHM200KDCT-ND</v>
      </c>
      <c r="J31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1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14" s="34" t="s">
        <v>2918</v>
      </c>
      <c r="M314" s="42">
        <v>0.1</v>
      </c>
      <c r="N314" s="34"/>
      <c r="O314" s="42"/>
      <c r="P314" s="34"/>
      <c r="Q314" s="42"/>
      <c r="R314" s="34"/>
      <c r="S314" s="42"/>
      <c r="T314" s="34"/>
      <c r="U314" s="42"/>
      <c r="V314" s="34"/>
      <c r="W314" s="42"/>
      <c r="X314" s="34"/>
      <c r="Y314" s="42"/>
      <c r="Z314" s="42"/>
      <c r="AA314" s="36"/>
      <c r="AB314" s="50"/>
      <c r="AC314" s="56" t="str">
        <f>IF(Table1[[#This Row],[Auto Order]]=1,IF(Table1[[#This Row],[In stock]]&lt;Table1[[#This Row],[Min in stock]],1,""),"")</f>
        <v/>
      </c>
    </row>
    <row r="315" spans="1:29" x14ac:dyDescent="0.25">
      <c r="A315" s="60" t="s">
        <v>2706</v>
      </c>
      <c r="B315" s="34" t="s">
        <v>713</v>
      </c>
      <c r="C315" s="34" t="s">
        <v>352</v>
      </c>
      <c r="D315" s="34" t="s">
        <v>2707</v>
      </c>
      <c r="E315" s="34" t="s">
        <v>559</v>
      </c>
      <c r="F315" s="53">
        <v>0</v>
      </c>
      <c r="G315" s="53"/>
      <c r="H315" s="53"/>
      <c r="I31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RHM2MDCT-ND</v>
      </c>
      <c r="J31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1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15" s="34" t="s">
        <v>2705</v>
      </c>
      <c r="M315" s="42">
        <v>0.1</v>
      </c>
      <c r="N315" s="34"/>
      <c r="O315" s="42"/>
      <c r="P315" s="34"/>
      <c r="Q315" s="42"/>
      <c r="R315" s="34"/>
      <c r="S315" s="42"/>
      <c r="T315" s="34"/>
      <c r="U315" s="42"/>
      <c r="V315" s="34"/>
      <c r="W315" s="42"/>
      <c r="X315" s="34"/>
      <c r="Y315" s="42"/>
      <c r="Z315" s="42"/>
      <c r="AA315" s="36"/>
      <c r="AB315" s="50"/>
      <c r="AC315" s="56" t="str">
        <f>IF(Table1[[#This Row],[Auto Order]]=1,IF(Table1[[#This Row],[In stock]]&lt;Table1[[#This Row],[Min in stock]],1,""),"")</f>
        <v/>
      </c>
    </row>
    <row r="316" spans="1:29" x14ac:dyDescent="0.25">
      <c r="A316" s="60" t="s">
        <v>1821</v>
      </c>
      <c r="B316" s="34" t="s">
        <v>713</v>
      </c>
      <c r="C316" s="34" t="s">
        <v>352</v>
      </c>
      <c r="D316" s="34" t="s">
        <v>1822</v>
      </c>
      <c r="E316" s="34" t="s">
        <v>559</v>
      </c>
      <c r="F316" s="53">
        <v>0</v>
      </c>
      <c r="G316" s="53"/>
      <c r="H316" s="53"/>
      <c r="I31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RHM22DCT-ND</v>
      </c>
      <c r="J31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1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16" s="34" t="s">
        <v>1820</v>
      </c>
      <c r="M316" s="42">
        <v>0.1</v>
      </c>
      <c r="N316" s="34"/>
      <c r="O316" s="42"/>
      <c r="P316" s="34"/>
      <c r="Q316" s="42"/>
      <c r="R316" s="34"/>
      <c r="S316" s="42"/>
      <c r="T316" s="34"/>
      <c r="U316" s="42"/>
      <c r="V316" s="34"/>
      <c r="W316" s="42"/>
      <c r="X316" s="34"/>
      <c r="Y316" s="42"/>
      <c r="Z316" s="42"/>
      <c r="AA316" s="36"/>
      <c r="AB316" s="50"/>
      <c r="AC316" s="56" t="str">
        <f>IF(Table1[[#This Row],[Auto Order]]=1,IF(Table1[[#This Row],[In stock]]&lt;Table1[[#This Row],[Min in stock]],1,""),"")</f>
        <v/>
      </c>
    </row>
    <row r="317" spans="1:29" x14ac:dyDescent="0.25">
      <c r="A317" s="60" t="s">
        <v>2154</v>
      </c>
      <c r="B317" s="34" t="s">
        <v>713</v>
      </c>
      <c r="C317" s="34" t="s">
        <v>352</v>
      </c>
      <c r="D317" s="34" t="s">
        <v>2155</v>
      </c>
      <c r="E317" s="34" t="s">
        <v>559</v>
      </c>
      <c r="F317" s="53">
        <v>0</v>
      </c>
      <c r="G317" s="53"/>
      <c r="H317" s="53"/>
      <c r="I31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RHM220DCT-ND</v>
      </c>
      <c r="J31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1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17" s="34" t="s">
        <v>2153</v>
      </c>
      <c r="M317" s="42">
        <v>0.1</v>
      </c>
      <c r="N317" s="34"/>
      <c r="O317" s="42"/>
      <c r="P317" s="34"/>
      <c r="Q317" s="42"/>
      <c r="R317" s="34"/>
      <c r="S317" s="42"/>
      <c r="T317" s="34"/>
      <c r="U317" s="42"/>
      <c r="V317" s="34"/>
      <c r="W317" s="42"/>
      <c r="X317" s="34"/>
      <c r="Y317" s="42"/>
      <c r="Z317" s="42"/>
      <c r="AA317" s="36"/>
      <c r="AB317" s="50"/>
      <c r="AC317" s="56" t="str">
        <f>IF(Table1[[#This Row],[Auto Order]]=1,IF(Table1[[#This Row],[In stock]]&lt;Table1[[#This Row],[Min in stock]],1,""),"")</f>
        <v/>
      </c>
    </row>
    <row r="318" spans="1:29" x14ac:dyDescent="0.25">
      <c r="A318" s="60" t="s">
        <v>2340</v>
      </c>
      <c r="B318" s="34" t="s">
        <v>713</v>
      </c>
      <c r="C318" s="34" t="s">
        <v>352</v>
      </c>
      <c r="D318" s="34" t="s">
        <v>2341</v>
      </c>
      <c r="E318" s="34" t="s">
        <v>559</v>
      </c>
      <c r="F318" s="53">
        <v>0</v>
      </c>
      <c r="G318" s="53"/>
      <c r="H318" s="53"/>
      <c r="I31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RHM2.2KDCT-ND</v>
      </c>
      <c r="J31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1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18" s="34" t="s">
        <v>2339</v>
      </c>
      <c r="M318" s="42">
        <v>0.1</v>
      </c>
      <c r="N318" s="34"/>
      <c r="O318" s="42"/>
      <c r="P318" s="34"/>
      <c r="Q318" s="42"/>
      <c r="R318" s="34"/>
      <c r="S318" s="42"/>
      <c r="T318" s="34"/>
      <c r="U318" s="42"/>
      <c r="V318" s="34"/>
      <c r="W318" s="42"/>
      <c r="X318" s="34"/>
      <c r="Y318" s="42"/>
      <c r="Z318" s="42"/>
      <c r="AA318" s="36"/>
      <c r="AB318" s="50"/>
      <c r="AC318" s="56" t="str">
        <f>IF(Table1[[#This Row],[Auto Order]]=1,IF(Table1[[#This Row],[In stock]]&lt;Table1[[#This Row],[Min in stock]],1,""),"")</f>
        <v/>
      </c>
    </row>
    <row r="319" spans="1:29" x14ac:dyDescent="0.25">
      <c r="A319" s="60" t="s">
        <v>2241</v>
      </c>
      <c r="B319" s="34" t="s">
        <v>713</v>
      </c>
      <c r="C319" s="34" t="s">
        <v>352</v>
      </c>
      <c r="D319" s="34" t="s">
        <v>2242</v>
      </c>
      <c r="E319" s="34" t="s">
        <v>559</v>
      </c>
      <c r="F319" s="53">
        <v>0</v>
      </c>
      <c r="G319" s="53"/>
      <c r="H319" s="53"/>
      <c r="I31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RHM22KDCT-ND</v>
      </c>
      <c r="J31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1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19" s="34" t="s">
        <v>2240</v>
      </c>
      <c r="M319" s="42">
        <v>0.1</v>
      </c>
      <c r="N319" s="34"/>
      <c r="O319" s="42"/>
      <c r="P319" s="34"/>
      <c r="Q319" s="42"/>
      <c r="R319" s="34"/>
      <c r="S319" s="42"/>
      <c r="T319" s="34"/>
      <c r="U319" s="42"/>
      <c r="V319" s="34"/>
      <c r="W319" s="42"/>
      <c r="X319" s="34"/>
      <c r="Y319" s="42"/>
      <c r="Z319" s="42"/>
      <c r="AA319" s="36"/>
      <c r="AB319" s="50"/>
      <c r="AC319" s="56" t="str">
        <f>IF(Table1[[#This Row],[Auto Order]]=1,IF(Table1[[#This Row],[In stock]]&lt;Table1[[#This Row],[Min in stock]],1,""),"")</f>
        <v/>
      </c>
    </row>
    <row r="320" spans="1:29" x14ac:dyDescent="0.25">
      <c r="A320" s="60" t="s">
        <v>2523</v>
      </c>
      <c r="B320" s="34" t="s">
        <v>713</v>
      </c>
      <c r="C320" s="34" t="s">
        <v>352</v>
      </c>
      <c r="D320" s="34" t="s">
        <v>2524</v>
      </c>
      <c r="E320" s="34" t="s">
        <v>559</v>
      </c>
      <c r="F320" s="53">
        <v>0</v>
      </c>
      <c r="G320" s="53"/>
      <c r="H320" s="53"/>
      <c r="I32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RHM220KDCT-ND</v>
      </c>
      <c r="J32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2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20" s="34" t="s">
        <v>2522</v>
      </c>
      <c r="M320" s="42">
        <v>0.1</v>
      </c>
      <c r="N320" s="34"/>
      <c r="O320" s="42"/>
      <c r="P320" s="34"/>
      <c r="Q320" s="42"/>
      <c r="R320" s="34"/>
      <c r="S320" s="42"/>
      <c r="T320" s="34"/>
      <c r="U320" s="42"/>
      <c r="V320" s="34"/>
      <c r="W320" s="42"/>
      <c r="X320" s="34"/>
      <c r="Y320" s="42"/>
      <c r="Z320" s="42"/>
      <c r="AA320" s="36"/>
      <c r="AB320" s="50"/>
      <c r="AC320" s="56" t="str">
        <f>IF(Table1[[#This Row],[Auto Order]]=1,IF(Table1[[#This Row],[In stock]]&lt;Table1[[#This Row],[Min in stock]],1,""),"")</f>
        <v/>
      </c>
    </row>
    <row r="321" spans="1:29" x14ac:dyDescent="0.25">
      <c r="A321" s="60" t="s">
        <v>2499</v>
      </c>
      <c r="B321" s="34" t="s">
        <v>713</v>
      </c>
      <c r="C321" s="34" t="s">
        <v>352</v>
      </c>
      <c r="D321" s="34" t="s">
        <v>2500</v>
      </c>
      <c r="E321" s="34" t="s">
        <v>559</v>
      </c>
      <c r="F321" s="53">
        <v>0</v>
      </c>
      <c r="G321" s="53"/>
      <c r="H321" s="53"/>
      <c r="I32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RHM2.2MDCT-ND</v>
      </c>
      <c r="J32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2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21" s="34" t="s">
        <v>2498</v>
      </c>
      <c r="M321" s="42">
        <v>0.1</v>
      </c>
      <c r="N321" s="34"/>
      <c r="O321" s="42"/>
      <c r="P321" s="34"/>
      <c r="Q321" s="42"/>
      <c r="R321" s="34"/>
      <c r="S321" s="42"/>
      <c r="T321" s="34"/>
      <c r="U321" s="42"/>
      <c r="V321" s="34"/>
      <c r="W321" s="42"/>
      <c r="X321" s="34"/>
      <c r="Y321" s="42"/>
      <c r="Z321" s="42"/>
      <c r="AA321" s="36"/>
      <c r="AB321" s="50"/>
      <c r="AC321" s="56" t="str">
        <f>IF(Table1[[#This Row],[Auto Order]]=1,IF(Table1[[#This Row],[In stock]]&lt;Table1[[#This Row],[Min in stock]],1,""),"")</f>
        <v/>
      </c>
    </row>
    <row r="322" spans="1:29" x14ac:dyDescent="0.25">
      <c r="A322" s="60" t="s">
        <v>2526</v>
      </c>
      <c r="B322" s="34" t="s">
        <v>713</v>
      </c>
      <c r="C322" s="34" t="s">
        <v>352</v>
      </c>
      <c r="D322" s="34" t="s">
        <v>2527</v>
      </c>
      <c r="E322" s="34" t="s">
        <v>559</v>
      </c>
      <c r="F322" s="53">
        <v>0</v>
      </c>
      <c r="G322" s="53"/>
      <c r="H322" s="53"/>
      <c r="I32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RHM24DCT-ND</v>
      </c>
      <c r="J32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2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22" s="34" t="s">
        <v>2525</v>
      </c>
      <c r="M322" s="42">
        <v>0.1</v>
      </c>
      <c r="N322" s="34"/>
      <c r="O322" s="42"/>
      <c r="P322" s="34"/>
      <c r="Q322" s="42"/>
      <c r="R322" s="34"/>
      <c r="S322" s="42"/>
      <c r="T322" s="34"/>
      <c r="U322" s="42"/>
      <c r="V322" s="34"/>
      <c r="W322" s="42"/>
      <c r="X322" s="34"/>
      <c r="Y322" s="42"/>
      <c r="Z322" s="42"/>
      <c r="AA322" s="36"/>
      <c r="AB322" s="50"/>
      <c r="AC322" s="56" t="str">
        <f>IF(Table1[[#This Row],[Auto Order]]=1,IF(Table1[[#This Row],[In stock]]&lt;Table1[[#This Row],[Min in stock]],1,""),"")</f>
        <v/>
      </c>
    </row>
    <row r="323" spans="1:29" x14ac:dyDescent="0.25">
      <c r="A323" s="60" t="s">
        <v>1860</v>
      </c>
      <c r="B323" s="34" t="s">
        <v>713</v>
      </c>
      <c r="C323" s="34" t="s">
        <v>352</v>
      </c>
      <c r="D323" s="34" t="s">
        <v>1861</v>
      </c>
      <c r="E323" s="34" t="s">
        <v>559</v>
      </c>
      <c r="F323" s="53">
        <v>0</v>
      </c>
      <c r="G323" s="53"/>
      <c r="H323" s="53"/>
      <c r="I32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RHM240DCT-ND</v>
      </c>
      <c r="J32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2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23" s="34" t="s">
        <v>1859</v>
      </c>
      <c r="M323" s="42">
        <v>0.1</v>
      </c>
      <c r="N323" s="34"/>
      <c r="O323" s="42"/>
      <c r="P323" s="34"/>
      <c r="Q323" s="42"/>
      <c r="R323" s="34"/>
      <c r="S323" s="42"/>
      <c r="T323" s="34"/>
      <c r="U323" s="42"/>
      <c r="V323" s="34"/>
      <c r="W323" s="42"/>
      <c r="X323" s="34"/>
      <c r="Y323" s="42"/>
      <c r="Z323" s="42"/>
      <c r="AA323" s="36"/>
      <c r="AB323" s="50"/>
      <c r="AC323" s="56" t="str">
        <f>IF(Table1[[#This Row],[Auto Order]]=1,IF(Table1[[#This Row],[In stock]]&lt;Table1[[#This Row],[Min in stock]],1,""),"")</f>
        <v/>
      </c>
    </row>
    <row r="324" spans="1:29" x14ac:dyDescent="0.25">
      <c r="A324" s="60" t="s">
        <v>2820</v>
      </c>
      <c r="B324" s="34" t="s">
        <v>713</v>
      </c>
      <c r="C324" s="34" t="s">
        <v>352</v>
      </c>
      <c r="D324" s="34" t="s">
        <v>2821</v>
      </c>
      <c r="E324" s="34" t="s">
        <v>559</v>
      </c>
      <c r="F324" s="53">
        <v>0</v>
      </c>
      <c r="G324" s="53"/>
      <c r="H324" s="53"/>
      <c r="I32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RHM2.4KDCT-ND</v>
      </c>
      <c r="J32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2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24" s="34" t="s">
        <v>2819</v>
      </c>
      <c r="M324" s="42">
        <v>0.1</v>
      </c>
      <c r="N324" s="34"/>
      <c r="O324" s="42"/>
      <c r="P324" s="34"/>
      <c r="Q324" s="42"/>
      <c r="R324" s="34"/>
      <c r="S324" s="42"/>
      <c r="T324" s="34"/>
      <c r="U324" s="42"/>
      <c r="V324" s="34"/>
      <c r="W324" s="42"/>
      <c r="X324" s="34"/>
      <c r="Y324" s="42"/>
      <c r="Z324" s="42"/>
      <c r="AA324" s="36"/>
      <c r="AB324" s="50"/>
      <c r="AC324" s="56" t="str">
        <f>IF(Table1[[#This Row],[Auto Order]]=1,IF(Table1[[#This Row],[In stock]]&lt;Table1[[#This Row],[Min in stock]],1,""),"")</f>
        <v/>
      </c>
    </row>
    <row r="325" spans="1:29" x14ac:dyDescent="0.25">
      <c r="A325" s="60" t="s">
        <v>2529</v>
      </c>
      <c r="B325" s="34" t="s">
        <v>713</v>
      </c>
      <c r="C325" s="34" t="s">
        <v>352</v>
      </c>
      <c r="D325" s="34" t="s">
        <v>2530</v>
      </c>
      <c r="E325" s="34" t="s">
        <v>559</v>
      </c>
      <c r="F325" s="53">
        <v>0</v>
      </c>
      <c r="G325" s="53"/>
      <c r="H325" s="53"/>
      <c r="I32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RHM24KDCT-ND</v>
      </c>
      <c r="J32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2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25" s="34" t="s">
        <v>2528</v>
      </c>
      <c r="M325" s="42">
        <v>0.1</v>
      </c>
      <c r="N325" s="34"/>
      <c r="O325" s="42"/>
      <c r="P325" s="34"/>
      <c r="Q325" s="42"/>
      <c r="R325" s="34"/>
      <c r="S325" s="42"/>
      <c r="T325" s="34"/>
      <c r="U325" s="42"/>
      <c r="V325" s="34"/>
      <c r="W325" s="42"/>
      <c r="X325" s="34"/>
      <c r="Y325" s="42"/>
      <c r="Z325" s="42"/>
      <c r="AA325" s="36"/>
      <c r="AB325" s="50"/>
      <c r="AC325" s="56" t="str">
        <f>IF(Table1[[#This Row],[Auto Order]]=1,IF(Table1[[#This Row],[In stock]]&lt;Table1[[#This Row],[Min in stock]],1,""),"")</f>
        <v/>
      </c>
    </row>
    <row r="326" spans="1:29" x14ac:dyDescent="0.25">
      <c r="A326" s="60" t="s">
        <v>2733</v>
      </c>
      <c r="B326" s="34" t="s">
        <v>713</v>
      </c>
      <c r="C326" s="34" t="s">
        <v>352</v>
      </c>
      <c r="D326" s="34" t="s">
        <v>2734</v>
      </c>
      <c r="E326" s="34" t="s">
        <v>559</v>
      </c>
      <c r="F326" s="53">
        <v>0</v>
      </c>
      <c r="G326" s="53"/>
      <c r="H326" s="53"/>
      <c r="I32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RHM240KDCT-ND</v>
      </c>
      <c r="J32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2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26" s="34" t="s">
        <v>2732</v>
      </c>
      <c r="M326" s="42">
        <v>0.1</v>
      </c>
      <c r="N326" s="34"/>
      <c r="O326" s="42"/>
      <c r="P326" s="34"/>
      <c r="Q326" s="42"/>
      <c r="R326" s="34"/>
      <c r="S326" s="42"/>
      <c r="T326" s="34"/>
      <c r="U326" s="42"/>
      <c r="V326" s="34"/>
      <c r="W326" s="42"/>
      <c r="X326" s="34"/>
      <c r="Y326" s="42"/>
      <c r="Z326" s="42"/>
      <c r="AA326" s="36"/>
      <c r="AB326" s="50"/>
      <c r="AC326" s="56" t="str">
        <f>IF(Table1[[#This Row],[Auto Order]]=1,IF(Table1[[#This Row],[In stock]]&lt;Table1[[#This Row],[Min in stock]],1,""),"")</f>
        <v/>
      </c>
    </row>
    <row r="327" spans="1:29" x14ac:dyDescent="0.25">
      <c r="A327" s="60" t="s">
        <v>2730</v>
      </c>
      <c r="B327" s="34" t="s">
        <v>713</v>
      </c>
      <c r="C327" s="34" t="s">
        <v>352</v>
      </c>
      <c r="D327" s="34" t="s">
        <v>2731</v>
      </c>
      <c r="E327" s="34" t="s">
        <v>559</v>
      </c>
      <c r="F327" s="53">
        <v>0</v>
      </c>
      <c r="G327" s="53"/>
      <c r="H327" s="53"/>
      <c r="I32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RHM2.4MDCT-ND</v>
      </c>
      <c r="J32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2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27" s="34" t="s">
        <v>2729</v>
      </c>
      <c r="M327" s="42">
        <v>0.1</v>
      </c>
      <c r="N327" s="34"/>
      <c r="O327" s="42"/>
      <c r="P327" s="34"/>
      <c r="Q327" s="42"/>
      <c r="R327" s="34"/>
      <c r="S327" s="42"/>
      <c r="T327" s="34"/>
      <c r="U327" s="42"/>
      <c r="V327" s="34"/>
      <c r="W327" s="42"/>
      <c r="X327" s="34"/>
      <c r="Y327" s="42"/>
      <c r="Z327" s="42"/>
      <c r="AA327" s="36"/>
      <c r="AB327" s="50"/>
      <c r="AC327" s="56" t="str">
        <f>IF(Table1[[#This Row],[Auto Order]]=1,IF(Table1[[#This Row],[In stock]]&lt;Table1[[#This Row],[Min in stock]],1,""),"")</f>
        <v/>
      </c>
    </row>
    <row r="328" spans="1:29" x14ac:dyDescent="0.25">
      <c r="A328" s="60" t="s">
        <v>1929</v>
      </c>
      <c r="B328" s="34" t="s">
        <v>713</v>
      </c>
      <c r="C328" s="34" t="s">
        <v>352</v>
      </c>
      <c r="D328" s="34" t="s">
        <v>1930</v>
      </c>
      <c r="E328" s="34" t="s">
        <v>559</v>
      </c>
      <c r="F328" s="53">
        <v>0</v>
      </c>
      <c r="G328" s="53"/>
      <c r="H328" s="53"/>
      <c r="I32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RHM27DCT-ND</v>
      </c>
      <c r="J32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2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28" s="34" t="s">
        <v>1928</v>
      </c>
      <c r="M328" s="42">
        <v>0.1</v>
      </c>
      <c r="N328" s="34"/>
      <c r="O328" s="42"/>
      <c r="P328" s="34"/>
      <c r="Q328" s="42"/>
      <c r="R328" s="34"/>
      <c r="S328" s="42"/>
      <c r="T328" s="34"/>
      <c r="U328" s="42"/>
      <c r="V328" s="34"/>
      <c r="W328" s="42"/>
      <c r="X328" s="34"/>
      <c r="Y328" s="42"/>
      <c r="Z328" s="42"/>
      <c r="AA328" s="36"/>
      <c r="AB328" s="50"/>
      <c r="AC328" s="56" t="str">
        <f>IF(Table1[[#This Row],[Auto Order]]=1,IF(Table1[[#This Row],[In stock]]&lt;Table1[[#This Row],[Min in stock]],1,""),"")</f>
        <v/>
      </c>
    </row>
    <row r="329" spans="1:29" x14ac:dyDescent="0.25">
      <c r="A329" s="60" t="s">
        <v>2208</v>
      </c>
      <c r="B329" s="34" t="s">
        <v>713</v>
      </c>
      <c r="C329" s="34" t="s">
        <v>352</v>
      </c>
      <c r="D329" s="34" t="s">
        <v>2209</v>
      </c>
      <c r="E329" s="34" t="s">
        <v>559</v>
      </c>
      <c r="F329" s="53">
        <v>0</v>
      </c>
      <c r="G329" s="53"/>
      <c r="H329" s="53"/>
      <c r="I32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RHM270DCT-ND</v>
      </c>
      <c r="J32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2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29" s="34" t="s">
        <v>2207</v>
      </c>
      <c r="M329" s="42">
        <v>0.1</v>
      </c>
      <c r="N329" s="34"/>
      <c r="O329" s="42"/>
      <c r="P329" s="34"/>
      <c r="Q329" s="42"/>
      <c r="R329" s="34"/>
      <c r="S329" s="42"/>
      <c r="T329" s="34"/>
      <c r="U329" s="42"/>
      <c r="V329" s="34"/>
      <c r="W329" s="42"/>
      <c r="X329" s="34"/>
      <c r="Y329" s="42"/>
      <c r="Z329" s="42"/>
      <c r="AA329" s="36"/>
      <c r="AB329" s="50"/>
      <c r="AC329" s="56" t="str">
        <f>IF(Table1[[#This Row],[Auto Order]]=1,IF(Table1[[#This Row],[In stock]]&lt;Table1[[#This Row],[Min in stock]],1,""),"")</f>
        <v/>
      </c>
    </row>
    <row r="330" spans="1:29" x14ac:dyDescent="0.25">
      <c r="A330" s="60" t="s">
        <v>2391</v>
      </c>
      <c r="B330" s="34" t="s">
        <v>713</v>
      </c>
      <c r="C330" s="34" t="s">
        <v>352</v>
      </c>
      <c r="D330" s="34" t="s">
        <v>2392</v>
      </c>
      <c r="E330" s="34" t="s">
        <v>559</v>
      </c>
      <c r="F330" s="53">
        <v>0</v>
      </c>
      <c r="G330" s="53"/>
      <c r="H330" s="53"/>
      <c r="I33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RHM2.7KDCT-ND</v>
      </c>
      <c r="J33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3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30" s="34" t="s">
        <v>2390</v>
      </c>
      <c r="M330" s="42">
        <v>0.1</v>
      </c>
      <c r="N330" s="34"/>
      <c r="O330" s="42"/>
      <c r="P330" s="34"/>
      <c r="Q330" s="42"/>
      <c r="R330" s="34"/>
      <c r="S330" s="42"/>
      <c r="T330" s="34"/>
      <c r="U330" s="42"/>
      <c r="V330" s="34"/>
      <c r="W330" s="42"/>
      <c r="X330" s="34"/>
      <c r="Y330" s="42"/>
      <c r="Z330" s="42"/>
      <c r="AA330" s="36"/>
      <c r="AB330" s="50"/>
      <c r="AC330" s="56" t="str">
        <f>IF(Table1[[#This Row],[Auto Order]]=1,IF(Table1[[#This Row],[In stock]]&lt;Table1[[#This Row],[Min in stock]],1,""),"")</f>
        <v/>
      </c>
    </row>
    <row r="331" spans="1:29" x14ac:dyDescent="0.25">
      <c r="A331" s="60" t="s">
        <v>2076</v>
      </c>
      <c r="B331" s="34" t="s">
        <v>713</v>
      </c>
      <c r="C331" s="34" t="s">
        <v>352</v>
      </c>
      <c r="D331" s="34" t="s">
        <v>2077</v>
      </c>
      <c r="E331" s="34" t="s">
        <v>559</v>
      </c>
      <c r="F331" s="53">
        <v>0</v>
      </c>
      <c r="G331" s="53"/>
      <c r="H331" s="53"/>
      <c r="I33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RHM27KDCT-ND</v>
      </c>
      <c r="J33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3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31" s="34" t="s">
        <v>2075</v>
      </c>
      <c r="M331" s="42">
        <v>0.1</v>
      </c>
      <c r="N331" s="34"/>
      <c r="O331" s="42"/>
      <c r="P331" s="34"/>
      <c r="Q331" s="42"/>
      <c r="R331" s="34"/>
      <c r="S331" s="42"/>
      <c r="T331" s="34"/>
      <c r="U331" s="42"/>
      <c r="V331" s="34"/>
      <c r="W331" s="42"/>
      <c r="X331" s="34"/>
      <c r="Y331" s="42"/>
      <c r="Z331" s="42"/>
      <c r="AA331" s="36"/>
      <c r="AB331" s="50"/>
      <c r="AC331" s="56" t="str">
        <f>IF(Table1[[#This Row],[Auto Order]]=1,IF(Table1[[#This Row],[In stock]]&lt;Table1[[#This Row],[Min in stock]],1,""),"")</f>
        <v/>
      </c>
    </row>
    <row r="332" spans="1:29" x14ac:dyDescent="0.25">
      <c r="A332" s="60" t="s">
        <v>2904</v>
      </c>
      <c r="B332" s="34" t="s">
        <v>713</v>
      </c>
      <c r="C332" s="34" t="s">
        <v>352</v>
      </c>
      <c r="D332" s="34" t="s">
        <v>2905</v>
      </c>
      <c r="E332" s="34" t="s">
        <v>559</v>
      </c>
      <c r="F332" s="53">
        <v>0</v>
      </c>
      <c r="G332" s="53"/>
      <c r="H332" s="53"/>
      <c r="I33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RHM270KDCT-ND</v>
      </c>
      <c r="J33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3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32" s="34" t="s">
        <v>2903</v>
      </c>
      <c r="M332" s="42">
        <v>0.1</v>
      </c>
      <c r="N332" s="34"/>
      <c r="O332" s="42"/>
      <c r="P332" s="34"/>
      <c r="Q332" s="42"/>
      <c r="R332" s="34"/>
      <c r="S332" s="42"/>
      <c r="T332" s="34"/>
      <c r="U332" s="42"/>
      <c r="V332" s="34"/>
      <c r="W332" s="42"/>
      <c r="X332" s="34"/>
      <c r="Y332" s="42"/>
      <c r="Z332" s="42"/>
      <c r="AA332" s="36"/>
      <c r="AB332" s="50"/>
      <c r="AC332" s="56" t="str">
        <f>IF(Table1[[#This Row],[Auto Order]]=1,IF(Table1[[#This Row],[In stock]]&lt;Table1[[#This Row],[Min in stock]],1,""),"")</f>
        <v/>
      </c>
    </row>
    <row r="333" spans="1:29" x14ac:dyDescent="0.25">
      <c r="A333" s="60" t="s">
        <v>1965</v>
      </c>
      <c r="B333" s="34" t="s">
        <v>713</v>
      </c>
      <c r="C333" s="34" t="s">
        <v>352</v>
      </c>
      <c r="D333" s="34" t="s">
        <v>1966</v>
      </c>
      <c r="E333" s="34" t="s">
        <v>559</v>
      </c>
      <c r="F333" s="53">
        <v>0</v>
      </c>
      <c r="G333" s="53"/>
      <c r="H333" s="53"/>
      <c r="I33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RHM2DCT-ND</v>
      </c>
      <c r="J33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3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33" s="34" t="s">
        <v>1964</v>
      </c>
      <c r="M333" s="42">
        <v>0.1</v>
      </c>
      <c r="N333" s="34"/>
      <c r="O333" s="42"/>
      <c r="P333" s="34"/>
      <c r="Q333" s="42"/>
      <c r="R333" s="34"/>
      <c r="S333" s="42"/>
      <c r="T333" s="34"/>
      <c r="U333" s="42"/>
      <c r="V333" s="34"/>
      <c r="W333" s="42"/>
      <c r="X333" s="34"/>
      <c r="Y333" s="42"/>
      <c r="Z333" s="42"/>
      <c r="AA333" s="36"/>
      <c r="AB333" s="50"/>
      <c r="AC333" s="56" t="str">
        <f>IF(Table1[[#This Row],[Auto Order]]=1,IF(Table1[[#This Row],[In stock]]&lt;Table1[[#This Row],[Min in stock]],1,""),"")</f>
        <v/>
      </c>
    </row>
    <row r="334" spans="1:29" x14ac:dyDescent="0.25">
      <c r="A334" s="60" t="s">
        <v>2157</v>
      </c>
      <c r="B334" s="34" t="s">
        <v>713</v>
      </c>
      <c r="C334" s="34" t="s">
        <v>352</v>
      </c>
      <c r="D334" s="34" t="s">
        <v>2158</v>
      </c>
      <c r="E334" s="34" t="s">
        <v>559</v>
      </c>
      <c r="F334" s="53">
        <v>0</v>
      </c>
      <c r="G334" s="53"/>
      <c r="H334" s="53"/>
      <c r="I33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RHM2.2DCT-ND</v>
      </c>
      <c r="J33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3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34" s="34" t="s">
        <v>2156</v>
      </c>
      <c r="M334" s="42">
        <v>0.1</v>
      </c>
      <c r="N334" s="34"/>
      <c r="O334" s="42"/>
      <c r="P334" s="34"/>
      <c r="Q334" s="42"/>
      <c r="R334" s="34"/>
      <c r="S334" s="42"/>
      <c r="T334" s="34"/>
      <c r="U334" s="42"/>
      <c r="V334" s="34"/>
      <c r="W334" s="42"/>
      <c r="X334" s="34"/>
      <c r="Y334" s="42"/>
      <c r="Z334" s="42"/>
      <c r="AA334" s="36"/>
      <c r="AB334" s="50"/>
      <c r="AC334" s="56" t="str">
        <f>IF(Table1[[#This Row],[Auto Order]]=1,IF(Table1[[#This Row],[In stock]]&lt;Table1[[#This Row],[Min in stock]],1,""),"")</f>
        <v/>
      </c>
    </row>
    <row r="335" spans="1:29" x14ac:dyDescent="0.25">
      <c r="A335" s="60" t="s">
        <v>2934</v>
      </c>
      <c r="B335" s="34" t="s">
        <v>713</v>
      </c>
      <c r="C335" s="34" t="s">
        <v>352</v>
      </c>
      <c r="D335" s="34" t="s">
        <v>2935</v>
      </c>
      <c r="E335" s="34" t="s">
        <v>559</v>
      </c>
      <c r="F335" s="53">
        <v>0</v>
      </c>
      <c r="G335" s="53"/>
      <c r="H335" s="53"/>
      <c r="I33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RHM2.4DCT-ND</v>
      </c>
      <c r="J33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3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35" s="34" t="s">
        <v>2933</v>
      </c>
      <c r="M335" s="42">
        <v>0.1</v>
      </c>
      <c r="N335" s="34"/>
      <c r="O335" s="42"/>
      <c r="P335" s="34"/>
      <c r="Q335" s="42"/>
      <c r="R335" s="34"/>
      <c r="S335" s="42"/>
      <c r="T335" s="34"/>
      <c r="U335" s="42"/>
      <c r="V335" s="34"/>
      <c r="W335" s="42"/>
      <c r="X335" s="34"/>
      <c r="Y335" s="42"/>
      <c r="Z335" s="42"/>
      <c r="AA335" s="36"/>
      <c r="AB335" s="50"/>
      <c r="AC335" s="56" t="str">
        <f>IF(Table1[[#This Row],[Auto Order]]=1,IF(Table1[[#This Row],[In stock]]&lt;Table1[[#This Row],[Min in stock]],1,""),"")</f>
        <v/>
      </c>
    </row>
    <row r="336" spans="1:29" x14ac:dyDescent="0.25">
      <c r="A336" s="60" t="s">
        <v>2247</v>
      </c>
      <c r="B336" s="34" t="s">
        <v>713</v>
      </c>
      <c r="C336" s="34" t="s">
        <v>352</v>
      </c>
      <c r="D336" s="34" t="s">
        <v>2248</v>
      </c>
      <c r="E336" s="34" t="s">
        <v>559</v>
      </c>
      <c r="F336" s="53">
        <v>0</v>
      </c>
      <c r="G336" s="53"/>
      <c r="H336" s="53"/>
      <c r="I33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RHM2.7DCT-ND</v>
      </c>
      <c r="J33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3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36" s="34" t="s">
        <v>2246</v>
      </c>
      <c r="M336" s="42">
        <v>0.1</v>
      </c>
      <c r="N336" s="34"/>
      <c r="O336" s="42"/>
      <c r="P336" s="34"/>
      <c r="Q336" s="42"/>
      <c r="R336" s="34"/>
      <c r="S336" s="42"/>
      <c r="T336" s="34"/>
      <c r="U336" s="42"/>
      <c r="V336" s="34"/>
      <c r="W336" s="42"/>
      <c r="X336" s="34"/>
      <c r="Y336" s="42"/>
      <c r="Z336" s="42"/>
      <c r="AA336" s="36"/>
      <c r="AB336" s="50"/>
      <c r="AC336" s="56" t="str">
        <f>IF(Table1[[#This Row],[Auto Order]]=1,IF(Table1[[#This Row],[In stock]]&lt;Table1[[#This Row],[Min in stock]],1,""),"")</f>
        <v/>
      </c>
    </row>
    <row r="337" spans="1:29" x14ac:dyDescent="0.25">
      <c r="A337" s="60" t="s">
        <v>2841</v>
      </c>
      <c r="B337" s="34" t="s">
        <v>713</v>
      </c>
      <c r="C337" s="34" t="s">
        <v>352</v>
      </c>
      <c r="D337" s="34" t="s">
        <v>2842</v>
      </c>
      <c r="E337" s="34" t="s">
        <v>559</v>
      </c>
      <c r="F337" s="53">
        <v>0</v>
      </c>
      <c r="G337" s="53"/>
      <c r="H337" s="53"/>
      <c r="I33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RHM30DCT-ND</v>
      </c>
      <c r="J33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3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37" s="34" t="s">
        <v>2840</v>
      </c>
      <c r="M337" s="42">
        <v>0.1</v>
      </c>
      <c r="N337" s="34"/>
      <c r="O337" s="42"/>
      <c r="P337" s="34"/>
      <c r="Q337" s="42"/>
      <c r="R337" s="34"/>
      <c r="S337" s="42"/>
      <c r="T337" s="34"/>
      <c r="U337" s="42"/>
      <c r="V337" s="34"/>
      <c r="W337" s="42"/>
      <c r="X337" s="34"/>
      <c r="Y337" s="42"/>
      <c r="Z337" s="42"/>
      <c r="AA337" s="36"/>
      <c r="AB337" s="50"/>
      <c r="AC337" s="56" t="str">
        <f>IF(Table1[[#This Row],[Auto Order]]=1,IF(Table1[[#This Row],[In stock]]&lt;Table1[[#This Row],[Min in stock]],1,""),"")</f>
        <v/>
      </c>
    </row>
    <row r="338" spans="1:29" x14ac:dyDescent="0.25">
      <c r="A338" s="60" t="s">
        <v>1893</v>
      </c>
      <c r="B338" s="34" t="s">
        <v>713</v>
      </c>
      <c r="C338" s="34" t="s">
        <v>352</v>
      </c>
      <c r="D338" s="34" t="s">
        <v>1894</v>
      </c>
      <c r="E338" s="34" t="s">
        <v>559</v>
      </c>
      <c r="F338" s="53">
        <v>0</v>
      </c>
      <c r="G338" s="53"/>
      <c r="H338" s="53"/>
      <c r="I33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RHM300DCT-ND</v>
      </c>
      <c r="J33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3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38" s="34" t="s">
        <v>1892</v>
      </c>
      <c r="M338" s="42">
        <v>0.1</v>
      </c>
      <c r="N338" s="34"/>
      <c r="O338" s="42"/>
      <c r="P338" s="34"/>
      <c r="Q338" s="42"/>
      <c r="R338" s="34"/>
      <c r="S338" s="42"/>
      <c r="T338" s="34"/>
      <c r="U338" s="42"/>
      <c r="V338" s="34"/>
      <c r="W338" s="42"/>
      <c r="X338" s="34"/>
      <c r="Y338" s="42"/>
      <c r="Z338" s="42"/>
      <c r="AA338" s="36"/>
      <c r="AB338" s="50"/>
      <c r="AC338" s="56" t="str">
        <f>IF(Table1[[#This Row],[Auto Order]]=1,IF(Table1[[#This Row],[In stock]]&lt;Table1[[#This Row],[Min in stock]],1,""),"")</f>
        <v/>
      </c>
    </row>
    <row r="339" spans="1:29" x14ac:dyDescent="0.25">
      <c r="A339" s="60" t="s">
        <v>2394</v>
      </c>
      <c r="B339" s="34" t="s">
        <v>713</v>
      </c>
      <c r="C339" s="34" t="s">
        <v>352</v>
      </c>
      <c r="D339" s="34" t="s">
        <v>2395</v>
      </c>
      <c r="E339" s="34" t="s">
        <v>559</v>
      </c>
      <c r="F339" s="53">
        <v>0</v>
      </c>
      <c r="G339" s="53"/>
      <c r="H339" s="53"/>
      <c r="I33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RHM3KDCT-ND</v>
      </c>
      <c r="J33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3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39" s="34" t="s">
        <v>2393</v>
      </c>
      <c r="M339" s="42">
        <v>0.1</v>
      </c>
      <c r="N339" s="34"/>
      <c r="O339" s="42"/>
      <c r="P339" s="34"/>
      <c r="Q339" s="42"/>
      <c r="R339" s="34"/>
      <c r="S339" s="42"/>
      <c r="T339" s="34"/>
      <c r="U339" s="42"/>
      <c r="V339" s="34"/>
      <c r="W339" s="42"/>
      <c r="X339" s="34"/>
      <c r="Y339" s="42"/>
      <c r="Z339" s="42"/>
      <c r="AA339" s="36"/>
      <c r="AB339" s="50"/>
      <c r="AC339" s="56" t="str">
        <f>IF(Table1[[#This Row],[Auto Order]]=1,IF(Table1[[#This Row],[In stock]]&lt;Table1[[#This Row],[Min in stock]],1,""),"")</f>
        <v/>
      </c>
    </row>
    <row r="340" spans="1:29" x14ac:dyDescent="0.25">
      <c r="A340" s="60" t="s">
        <v>2397</v>
      </c>
      <c r="B340" s="34" t="s">
        <v>713</v>
      </c>
      <c r="C340" s="34" t="s">
        <v>352</v>
      </c>
      <c r="D340" s="34" t="s">
        <v>2398</v>
      </c>
      <c r="E340" s="34" t="s">
        <v>559</v>
      </c>
      <c r="F340" s="53">
        <v>0</v>
      </c>
      <c r="G340" s="53"/>
      <c r="H340" s="53"/>
      <c r="I34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RHM30KDCT-ND</v>
      </c>
      <c r="J34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4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40" s="34" t="s">
        <v>2396</v>
      </c>
      <c r="M340" s="42">
        <v>0.1</v>
      </c>
      <c r="N340" s="34"/>
      <c r="O340" s="42"/>
      <c r="P340" s="34"/>
      <c r="Q340" s="42"/>
      <c r="R340" s="34"/>
      <c r="S340" s="42"/>
      <c r="T340" s="34"/>
      <c r="U340" s="42"/>
      <c r="V340" s="34"/>
      <c r="W340" s="42"/>
      <c r="X340" s="34"/>
      <c r="Y340" s="42"/>
      <c r="Z340" s="42"/>
      <c r="AA340" s="36"/>
      <c r="AB340" s="50"/>
      <c r="AC340" s="56" t="str">
        <f>IF(Table1[[#This Row],[Auto Order]]=1,IF(Table1[[#This Row],[In stock]]&lt;Table1[[#This Row],[Min in stock]],1,""),"")</f>
        <v/>
      </c>
    </row>
    <row r="341" spans="1:29" x14ac:dyDescent="0.25">
      <c r="A341" s="60" t="s">
        <v>2784</v>
      </c>
      <c r="B341" s="34" t="s">
        <v>713</v>
      </c>
      <c r="C341" s="34" t="s">
        <v>352</v>
      </c>
      <c r="D341" s="34" t="s">
        <v>2785</v>
      </c>
      <c r="E341" s="34" t="s">
        <v>559</v>
      </c>
      <c r="F341" s="53">
        <v>0</v>
      </c>
      <c r="G341" s="53"/>
      <c r="H341" s="53"/>
      <c r="I34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RHM300KDCT-ND</v>
      </c>
      <c r="J34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4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41" s="34" t="s">
        <v>2783</v>
      </c>
      <c r="M341" s="42">
        <v>0.1</v>
      </c>
      <c r="N341" s="34"/>
      <c r="O341" s="42"/>
      <c r="P341" s="34"/>
      <c r="Q341" s="42"/>
      <c r="R341" s="34"/>
      <c r="S341" s="42"/>
      <c r="T341" s="34"/>
      <c r="U341" s="42"/>
      <c r="V341" s="34"/>
      <c r="W341" s="42"/>
      <c r="X341" s="34"/>
      <c r="Y341" s="42"/>
      <c r="Z341" s="42"/>
      <c r="AA341" s="36"/>
      <c r="AB341" s="50"/>
      <c r="AC341" s="56" t="str">
        <f>IF(Table1[[#This Row],[Auto Order]]=1,IF(Table1[[#This Row],[In stock]]&lt;Table1[[#This Row],[Min in stock]],1,""),"")</f>
        <v/>
      </c>
    </row>
    <row r="342" spans="1:29" x14ac:dyDescent="0.25">
      <c r="A342" s="60" t="s">
        <v>2532</v>
      </c>
      <c r="B342" s="34" t="s">
        <v>713</v>
      </c>
      <c r="C342" s="34" t="s">
        <v>352</v>
      </c>
      <c r="D342" s="34" t="s">
        <v>2533</v>
      </c>
      <c r="E342" s="34" t="s">
        <v>559</v>
      </c>
      <c r="F342" s="53">
        <v>0</v>
      </c>
      <c r="G342" s="53"/>
      <c r="H342" s="53"/>
      <c r="I34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RHM3MDCT-ND</v>
      </c>
      <c r="J34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4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42" s="34" t="s">
        <v>2531</v>
      </c>
      <c r="M342" s="42">
        <v>0.1</v>
      </c>
      <c r="N342" s="34"/>
      <c r="O342" s="42"/>
      <c r="P342" s="34"/>
      <c r="Q342" s="42"/>
      <c r="R342" s="34"/>
      <c r="S342" s="42"/>
      <c r="T342" s="34"/>
      <c r="U342" s="42"/>
      <c r="V342" s="34"/>
      <c r="W342" s="42"/>
      <c r="X342" s="34"/>
      <c r="Y342" s="42"/>
      <c r="Z342" s="42"/>
      <c r="AA342" s="36"/>
      <c r="AB342" s="50"/>
      <c r="AC342" s="56" t="str">
        <f>IF(Table1[[#This Row],[Auto Order]]=1,IF(Table1[[#This Row],[In stock]]&lt;Table1[[#This Row],[Min in stock]],1,""),"")</f>
        <v/>
      </c>
    </row>
    <row r="343" spans="1:29" x14ac:dyDescent="0.25">
      <c r="A343" s="60" t="s">
        <v>1899</v>
      </c>
      <c r="B343" s="34" t="s">
        <v>713</v>
      </c>
      <c r="C343" s="34" t="s">
        <v>352</v>
      </c>
      <c r="D343" s="34" t="s">
        <v>1900</v>
      </c>
      <c r="E343" s="34" t="s">
        <v>559</v>
      </c>
      <c r="F343" s="53">
        <v>0</v>
      </c>
      <c r="G343" s="53"/>
      <c r="H343" s="53"/>
      <c r="I34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RHM33DCT-ND</v>
      </c>
      <c r="J34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4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43" s="34" t="s">
        <v>1898</v>
      </c>
      <c r="M343" s="42">
        <v>0.1</v>
      </c>
      <c r="N343" s="34"/>
      <c r="O343" s="42"/>
      <c r="P343" s="34"/>
      <c r="Q343" s="42"/>
      <c r="R343" s="34"/>
      <c r="S343" s="42"/>
      <c r="T343" s="34"/>
      <c r="U343" s="42"/>
      <c r="V343" s="34"/>
      <c r="W343" s="42"/>
      <c r="X343" s="34"/>
      <c r="Y343" s="42"/>
      <c r="Z343" s="42"/>
      <c r="AA343" s="36"/>
      <c r="AB343" s="50"/>
      <c r="AC343" s="56" t="str">
        <f>IF(Table1[[#This Row],[Auto Order]]=1,IF(Table1[[#This Row],[In stock]]&lt;Table1[[#This Row],[Min in stock]],1,""),"")</f>
        <v/>
      </c>
    </row>
    <row r="344" spans="1:29" x14ac:dyDescent="0.25">
      <c r="A344" s="60" t="s">
        <v>1836</v>
      </c>
      <c r="B344" s="34" t="s">
        <v>713</v>
      </c>
      <c r="C344" s="34" t="s">
        <v>352</v>
      </c>
      <c r="D344" s="34" t="s">
        <v>1837</v>
      </c>
      <c r="E344" s="34" t="s">
        <v>559</v>
      </c>
      <c r="F344" s="53">
        <v>0</v>
      </c>
      <c r="G344" s="53"/>
      <c r="H344" s="53"/>
      <c r="I34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RHM330DCT-ND</v>
      </c>
      <c r="J34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4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44" s="34" t="s">
        <v>1835</v>
      </c>
      <c r="M344" s="42">
        <v>0.1</v>
      </c>
      <c r="N344" s="34"/>
      <c r="O344" s="42"/>
      <c r="P344" s="34"/>
      <c r="Q344" s="42"/>
      <c r="R344" s="34"/>
      <c r="S344" s="42"/>
      <c r="T344" s="34"/>
      <c r="U344" s="42"/>
      <c r="V344" s="34"/>
      <c r="W344" s="42"/>
      <c r="X344" s="34"/>
      <c r="Y344" s="42"/>
      <c r="Z344" s="42"/>
      <c r="AA344" s="36"/>
      <c r="AB344" s="50"/>
      <c r="AC344" s="56" t="str">
        <f>IF(Table1[[#This Row],[Auto Order]]=1,IF(Table1[[#This Row],[In stock]]&lt;Table1[[#This Row],[Min in stock]],1,""),"")</f>
        <v/>
      </c>
    </row>
    <row r="345" spans="1:29" x14ac:dyDescent="0.25">
      <c r="A345" s="60" t="s">
        <v>2211</v>
      </c>
      <c r="B345" s="34" t="s">
        <v>713</v>
      </c>
      <c r="C345" s="34" t="s">
        <v>352</v>
      </c>
      <c r="D345" s="34" t="s">
        <v>2212</v>
      </c>
      <c r="E345" s="34" t="s">
        <v>559</v>
      </c>
      <c r="F345" s="53">
        <v>0</v>
      </c>
      <c r="G345" s="53"/>
      <c r="H345" s="53"/>
      <c r="I34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RHM3.3KDCT-ND</v>
      </c>
      <c r="J34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4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45" s="34" t="s">
        <v>2210</v>
      </c>
      <c r="M345" s="42">
        <v>0.1</v>
      </c>
      <c r="N345" s="34"/>
      <c r="O345" s="42"/>
      <c r="P345" s="34"/>
      <c r="Q345" s="42"/>
      <c r="R345" s="34"/>
      <c r="S345" s="42"/>
      <c r="T345" s="34"/>
      <c r="U345" s="42"/>
      <c r="V345" s="34"/>
      <c r="W345" s="42"/>
      <c r="X345" s="34"/>
      <c r="Y345" s="42"/>
      <c r="Z345" s="42"/>
      <c r="AA345" s="36"/>
      <c r="AB345" s="50"/>
      <c r="AC345" s="56" t="str">
        <f>IF(Table1[[#This Row],[Auto Order]]=1,IF(Table1[[#This Row],[In stock]]&lt;Table1[[#This Row],[Min in stock]],1,""),"")</f>
        <v/>
      </c>
    </row>
    <row r="346" spans="1:29" x14ac:dyDescent="0.25">
      <c r="A346" s="60" t="s">
        <v>2892</v>
      </c>
      <c r="B346" s="34" t="s">
        <v>713</v>
      </c>
      <c r="C346" s="34" t="s">
        <v>352</v>
      </c>
      <c r="D346" s="34" t="s">
        <v>2893</v>
      </c>
      <c r="E346" s="34" t="s">
        <v>559</v>
      </c>
      <c r="F346" s="53">
        <v>0</v>
      </c>
      <c r="G346" s="53"/>
      <c r="H346" s="53"/>
      <c r="I34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RHM33KDCT-ND</v>
      </c>
      <c r="J34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4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46" s="34" t="s">
        <v>2891</v>
      </c>
      <c r="M346" s="42">
        <v>0.1</v>
      </c>
      <c r="N346" s="34"/>
      <c r="O346" s="42"/>
      <c r="P346" s="34"/>
      <c r="Q346" s="42"/>
      <c r="R346" s="34"/>
      <c r="S346" s="42"/>
      <c r="T346" s="34"/>
      <c r="U346" s="42"/>
      <c r="V346" s="34"/>
      <c r="W346" s="42"/>
      <c r="X346" s="34"/>
      <c r="Y346" s="42"/>
      <c r="Z346" s="42"/>
      <c r="AA346" s="36"/>
      <c r="AB346" s="50"/>
      <c r="AC346" s="56" t="str">
        <f>IF(Table1[[#This Row],[Auto Order]]=1,IF(Table1[[#This Row],[In stock]]&lt;Table1[[#This Row],[Min in stock]],1,""),"")</f>
        <v/>
      </c>
    </row>
    <row r="347" spans="1:29" x14ac:dyDescent="0.25">
      <c r="A347" s="60" t="s">
        <v>2913</v>
      </c>
      <c r="B347" s="34" t="s">
        <v>713</v>
      </c>
      <c r="C347" s="34" t="s">
        <v>352</v>
      </c>
      <c r="D347" s="34" t="s">
        <v>2914</v>
      </c>
      <c r="E347" s="34" t="s">
        <v>559</v>
      </c>
      <c r="F347" s="53">
        <v>0</v>
      </c>
      <c r="G347" s="53"/>
      <c r="H347" s="53"/>
      <c r="I34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RHM330KDCT-ND</v>
      </c>
      <c r="J34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4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47" s="34" t="s">
        <v>2912</v>
      </c>
      <c r="M347" s="42">
        <v>0.1</v>
      </c>
      <c r="N347" s="34"/>
      <c r="O347" s="42"/>
      <c r="P347" s="34"/>
      <c r="Q347" s="42"/>
      <c r="R347" s="34"/>
      <c r="S347" s="42"/>
      <c r="T347" s="34"/>
      <c r="U347" s="42"/>
      <c r="V347" s="34"/>
      <c r="W347" s="42"/>
      <c r="X347" s="34"/>
      <c r="Y347" s="42"/>
      <c r="Z347" s="42"/>
      <c r="AA347" s="36"/>
      <c r="AB347" s="50"/>
      <c r="AC347" s="56" t="str">
        <f>IF(Table1[[#This Row],[Auto Order]]=1,IF(Table1[[#This Row],[In stock]]&lt;Table1[[#This Row],[Min in stock]],1,""),"")</f>
        <v/>
      </c>
    </row>
    <row r="348" spans="1:29" x14ac:dyDescent="0.25">
      <c r="A348" s="60" t="s">
        <v>2535</v>
      </c>
      <c r="B348" s="34" t="s">
        <v>713</v>
      </c>
      <c r="C348" s="34" t="s">
        <v>352</v>
      </c>
      <c r="D348" s="34" t="s">
        <v>2536</v>
      </c>
      <c r="E348" s="34" t="s">
        <v>559</v>
      </c>
      <c r="F348" s="53">
        <v>0</v>
      </c>
      <c r="G348" s="53"/>
      <c r="H348" s="53"/>
      <c r="I34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RHM3.3MDCT-ND</v>
      </c>
      <c r="J34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4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48" s="34" t="s">
        <v>2534</v>
      </c>
      <c r="M348" s="42">
        <v>0.1</v>
      </c>
      <c r="N348" s="34"/>
      <c r="O348" s="42"/>
      <c r="P348" s="34"/>
      <c r="Q348" s="42"/>
      <c r="R348" s="34"/>
      <c r="S348" s="42"/>
      <c r="T348" s="34"/>
      <c r="U348" s="42"/>
      <c r="V348" s="34"/>
      <c r="W348" s="42"/>
      <c r="X348" s="34"/>
      <c r="Y348" s="42"/>
      <c r="Z348" s="42"/>
      <c r="AA348" s="36"/>
      <c r="AB348" s="50"/>
      <c r="AC348" s="56" t="str">
        <f>IF(Table1[[#This Row],[Auto Order]]=1,IF(Table1[[#This Row],[In stock]]&lt;Table1[[#This Row],[Min in stock]],1,""),"")</f>
        <v/>
      </c>
    </row>
    <row r="349" spans="1:29" x14ac:dyDescent="0.25">
      <c r="A349" s="60" t="s">
        <v>2679</v>
      </c>
      <c r="B349" s="34" t="s">
        <v>713</v>
      </c>
      <c r="C349" s="34" t="s">
        <v>352</v>
      </c>
      <c r="D349" s="34" t="s">
        <v>2680</v>
      </c>
      <c r="E349" s="34" t="s">
        <v>559</v>
      </c>
      <c r="F349" s="53">
        <v>0</v>
      </c>
      <c r="G349" s="53"/>
      <c r="H349" s="53"/>
      <c r="I34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RHM36DCT-ND</v>
      </c>
      <c r="J34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4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49" s="34" t="s">
        <v>2678</v>
      </c>
      <c r="M349" s="42">
        <v>0.1</v>
      </c>
      <c r="N349" s="34"/>
      <c r="O349" s="42"/>
      <c r="P349" s="34"/>
      <c r="Q349" s="42"/>
      <c r="R349" s="34"/>
      <c r="S349" s="42"/>
      <c r="T349" s="34"/>
      <c r="U349" s="42"/>
      <c r="V349" s="34"/>
      <c r="W349" s="42"/>
      <c r="X349" s="34"/>
      <c r="Y349" s="42"/>
      <c r="Z349" s="42"/>
      <c r="AA349" s="36"/>
      <c r="AB349" s="50"/>
      <c r="AC349" s="56" t="str">
        <f>IF(Table1[[#This Row],[Auto Order]]=1,IF(Table1[[#This Row],[In stock]]&lt;Table1[[#This Row],[Min in stock]],1,""),"")</f>
        <v/>
      </c>
    </row>
    <row r="350" spans="1:29" x14ac:dyDescent="0.25">
      <c r="A350" s="60" t="s">
        <v>2400</v>
      </c>
      <c r="B350" s="34" t="s">
        <v>713</v>
      </c>
      <c r="C350" s="34" t="s">
        <v>352</v>
      </c>
      <c r="D350" s="34" t="s">
        <v>2401</v>
      </c>
      <c r="E350" s="34" t="s">
        <v>559</v>
      </c>
      <c r="F350" s="53">
        <v>0</v>
      </c>
      <c r="G350" s="53"/>
      <c r="H350" s="53"/>
      <c r="I35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RHM360DCT-ND</v>
      </c>
      <c r="J35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5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50" s="34" t="s">
        <v>2399</v>
      </c>
      <c r="M350" s="42">
        <v>0.1</v>
      </c>
      <c r="N350" s="34"/>
      <c r="O350" s="42"/>
      <c r="P350" s="34"/>
      <c r="Q350" s="42"/>
      <c r="R350" s="34"/>
      <c r="S350" s="42"/>
      <c r="T350" s="34"/>
      <c r="U350" s="42"/>
      <c r="V350" s="34"/>
      <c r="W350" s="42"/>
      <c r="X350" s="34"/>
      <c r="Y350" s="42"/>
      <c r="Z350" s="42"/>
      <c r="AA350" s="36"/>
      <c r="AB350" s="50"/>
      <c r="AC350" s="56" t="str">
        <f>IF(Table1[[#This Row],[Auto Order]]=1,IF(Table1[[#This Row],[In stock]]&lt;Table1[[#This Row],[Min in stock]],1,""),"")</f>
        <v/>
      </c>
    </row>
    <row r="351" spans="1:29" x14ac:dyDescent="0.25">
      <c r="A351" s="60" t="s">
        <v>2826</v>
      </c>
      <c r="B351" s="34" t="s">
        <v>713</v>
      </c>
      <c r="C351" s="34" t="s">
        <v>352</v>
      </c>
      <c r="D351" s="34" t="s">
        <v>2827</v>
      </c>
      <c r="E351" s="34" t="s">
        <v>559</v>
      </c>
      <c r="F351" s="53">
        <v>0</v>
      </c>
      <c r="G351" s="53"/>
      <c r="H351" s="53"/>
      <c r="I35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RHM3.6KDCT-ND</v>
      </c>
      <c r="J35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5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51" s="34" t="s">
        <v>2825</v>
      </c>
      <c r="M351" s="42">
        <v>0.1</v>
      </c>
      <c r="N351" s="34"/>
      <c r="O351" s="42"/>
      <c r="P351" s="34"/>
      <c r="Q351" s="42"/>
      <c r="R351" s="34"/>
      <c r="S351" s="42"/>
      <c r="T351" s="34"/>
      <c r="U351" s="42"/>
      <c r="V351" s="34"/>
      <c r="W351" s="42"/>
      <c r="X351" s="34"/>
      <c r="Y351" s="42"/>
      <c r="Z351" s="42"/>
      <c r="AA351" s="36"/>
      <c r="AB351" s="50"/>
      <c r="AC351" s="56" t="str">
        <f>IF(Table1[[#This Row],[Auto Order]]=1,IF(Table1[[#This Row],[In stock]]&lt;Table1[[#This Row],[Min in stock]],1,""),"")</f>
        <v/>
      </c>
    </row>
    <row r="352" spans="1:29" x14ac:dyDescent="0.25">
      <c r="A352" s="60" t="s">
        <v>2622</v>
      </c>
      <c r="B352" s="34" t="s">
        <v>713</v>
      </c>
      <c r="C352" s="34" t="s">
        <v>352</v>
      </c>
      <c r="D352" s="34" t="s">
        <v>2623</v>
      </c>
      <c r="E352" s="34" t="s">
        <v>559</v>
      </c>
      <c r="F352" s="53">
        <v>0</v>
      </c>
      <c r="G352" s="53"/>
      <c r="H352" s="53"/>
      <c r="I35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RHM36KDCT-ND</v>
      </c>
      <c r="J35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5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52" s="34" t="s">
        <v>2621</v>
      </c>
      <c r="M352" s="42">
        <v>0.1</v>
      </c>
      <c r="N352" s="34"/>
      <c r="O352" s="42"/>
      <c r="P352" s="34"/>
      <c r="Q352" s="42"/>
      <c r="R352" s="34"/>
      <c r="S352" s="42"/>
      <c r="T352" s="34"/>
      <c r="U352" s="42"/>
      <c r="V352" s="34"/>
      <c r="W352" s="42"/>
      <c r="X352" s="34"/>
      <c r="Y352" s="42"/>
      <c r="Z352" s="42"/>
      <c r="AA352" s="36"/>
      <c r="AB352" s="50"/>
      <c r="AC352" s="56" t="str">
        <f>IF(Table1[[#This Row],[Auto Order]]=1,IF(Table1[[#This Row],[In stock]]&lt;Table1[[#This Row],[Min in stock]],1,""),"")</f>
        <v/>
      </c>
    </row>
    <row r="353" spans="1:29" x14ac:dyDescent="0.25">
      <c r="A353" s="60" t="s">
        <v>2625</v>
      </c>
      <c r="B353" s="34" t="s">
        <v>713</v>
      </c>
      <c r="C353" s="34" t="s">
        <v>352</v>
      </c>
      <c r="D353" s="34" t="s">
        <v>2626</v>
      </c>
      <c r="E353" s="34" t="s">
        <v>559</v>
      </c>
      <c r="F353" s="53">
        <v>0</v>
      </c>
      <c r="G353" s="53"/>
      <c r="H353" s="53"/>
      <c r="I35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RHM3.6MDCT-ND</v>
      </c>
      <c r="J35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5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53" s="34" t="s">
        <v>2624</v>
      </c>
      <c r="M353" s="42">
        <v>0.1</v>
      </c>
      <c r="N353" s="34"/>
      <c r="O353" s="42"/>
      <c r="P353" s="34"/>
      <c r="Q353" s="42"/>
      <c r="R353" s="34"/>
      <c r="S353" s="42"/>
      <c r="T353" s="34"/>
      <c r="U353" s="42"/>
      <c r="V353" s="34"/>
      <c r="W353" s="42"/>
      <c r="X353" s="34"/>
      <c r="Y353" s="42"/>
      <c r="Z353" s="42"/>
      <c r="AA353" s="36"/>
      <c r="AB353" s="50"/>
      <c r="AC353" s="56" t="str">
        <f>IF(Table1[[#This Row],[Auto Order]]=1,IF(Table1[[#This Row],[In stock]]&lt;Table1[[#This Row],[Min in stock]],1,""),"")</f>
        <v/>
      </c>
    </row>
    <row r="354" spans="1:29" x14ac:dyDescent="0.25">
      <c r="A354" s="60" t="s">
        <v>2403</v>
      </c>
      <c r="B354" s="34" t="s">
        <v>713</v>
      </c>
      <c r="C354" s="34" t="s">
        <v>352</v>
      </c>
      <c r="D354" s="34" t="s">
        <v>2404</v>
      </c>
      <c r="E354" s="34" t="s">
        <v>559</v>
      </c>
      <c r="F354" s="53">
        <v>0</v>
      </c>
      <c r="G354" s="53"/>
      <c r="H354" s="53"/>
      <c r="I35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RHM39DCT-ND</v>
      </c>
      <c r="J35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5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54" s="34" t="s">
        <v>2402</v>
      </c>
      <c r="M354" s="42">
        <v>0.1</v>
      </c>
      <c r="N354" s="34"/>
      <c r="O354" s="42"/>
      <c r="P354" s="34"/>
      <c r="Q354" s="42"/>
      <c r="R354" s="34"/>
      <c r="S354" s="42"/>
      <c r="T354" s="34"/>
      <c r="U354" s="42"/>
      <c r="V354" s="34"/>
      <c r="W354" s="42"/>
      <c r="X354" s="34"/>
      <c r="Y354" s="42"/>
      <c r="Z354" s="42"/>
      <c r="AA354" s="36"/>
      <c r="AB354" s="50"/>
      <c r="AC354" s="56" t="str">
        <f>IF(Table1[[#This Row],[Auto Order]]=1,IF(Table1[[#This Row],[In stock]]&lt;Table1[[#This Row],[Min in stock]],1,""),"")</f>
        <v/>
      </c>
    </row>
    <row r="355" spans="1:29" x14ac:dyDescent="0.25">
      <c r="A355" s="60" t="s">
        <v>2343</v>
      </c>
      <c r="B355" s="34" t="s">
        <v>713</v>
      </c>
      <c r="C355" s="34" t="s">
        <v>352</v>
      </c>
      <c r="D355" s="34" t="s">
        <v>2344</v>
      </c>
      <c r="E355" s="34" t="s">
        <v>559</v>
      </c>
      <c r="F355" s="53">
        <v>0</v>
      </c>
      <c r="G355" s="53"/>
      <c r="H355" s="53"/>
      <c r="I35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RHM390DCT-ND</v>
      </c>
      <c r="J35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5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55" s="34" t="s">
        <v>2342</v>
      </c>
      <c r="M355" s="42">
        <v>0.1</v>
      </c>
      <c r="N355" s="34"/>
      <c r="O355" s="42"/>
      <c r="P355" s="34"/>
      <c r="Q355" s="42"/>
      <c r="R355" s="34"/>
      <c r="S355" s="42"/>
      <c r="T355" s="34"/>
      <c r="U355" s="42"/>
      <c r="V355" s="34"/>
      <c r="W355" s="42"/>
      <c r="X355" s="34"/>
      <c r="Y355" s="42"/>
      <c r="Z355" s="42"/>
      <c r="AA355" s="36"/>
      <c r="AB355" s="50"/>
      <c r="AC355" s="56" t="str">
        <f>IF(Table1[[#This Row],[Auto Order]]=1,IF(Table1[[#This Row],[In stock]]&lt;Table1[[#This Row],[Min in stock]],1,""),"")</f>
        <v/>
      </c>
    </row>
    <row r="356" spans="1:29" x14ac:dyDescent="0.25">
      <c r="A356" s="60" t="s">
        <v>2928</v>
      </c>
      <c r="B356" s="34" t="s">
        <v>713</v>
      </c>
      <c r="C356" s="34" t="s">
        <v>352</v>
      </c>
      <c r="D356" s="34" t="s">
        <v>2929</v>
      </c>
      <c r="E356" s="34" t="s">
        <v>559</v>
      </c>
      <c r="F356" s="53">
        <v>0</v>
      </c>
      <c r="G356" s="53"/>
      <c r="H356" s="53"/>
      <c r="I35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RHM3.9KDCT-ND</v>
      </c>
      <c r="J35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5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56" s="34" t="s">
        <v>2927</v>
      </c>
      <c r="M356" s="42">
        <v>0.1</v>
      </c>
      <c r="N356" s="34"/>
      <c r="O356" s="42"/>
      <c r="P356" s="34"/>
      <c r="Q356" s="42"/>
      <c r="R356" s="34"/>
      <c r="S356" s="42"/>
      <c r="T356" s="34"/>
      <c r="U356" s="42"/>
      <c r="V356" s="34"/>
      <c r="W356" s="42"/>
      <c r="X356" s="34"/>
      <c r="Y356" s="42"/>
      <c r="Z356" s="42"/>
      <c r="AA356" s="36"/>
      <c r="AB356" s="50"/>
      <c r="AC356" s="56" t="str">
        <f>IF(Table1[[#This Row],[Auto Order]]=1,IF(Table1[[#This Row],[In stock]]&lt;Table1[[#This Row],[Min in stock]],1,""),"")</f>
        <v/>
      </c>
    </row>
    <row r="357" spans="1:29" x14ac:dyDescent="0.25">
      <c r="A357" s="60" t="s">
        <v>2739</v>
      </c>
      <c r="B357" s="34" t="s">
        <v>713</v>
      </c>
      <c r="C357" s="34" t="s">
        <v>352</v>
      </c>
      <c r="D357" s="34" t="s">
        <v>2740</v>
      </c>
      <c r="E357" s="34" t="s">
        <v>559</v>
      </c>
      <c r="F357" s="53">
        <v>0</v>
      </c>
      <c r="G357" s="53"/>
      <c r="H357" s="53"/>
      <c r="I35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RHM39KDCT-ND</v>
      </c>
      <c r="J35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5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57" s="34" t="s">
        <v>2738</v>
      </c>
      <c r="M357" s="42">
        <v>0.1</v>
      </c>
      <c r="N357" s="34"/>
      <c r="O357" s="42"/>
      <c r="P357" s="34"/>
      <c r="Q357" s="42"/>
      <c r="R357" s="34"/>
      <c r="S357" s="42"/>
      <c r="T357" s="34"/>
      <c r="U357" s="42"/>
      <c r="V357" s="34"/>
      <c r="W357" s="42"/>
      <c r="X357" s="34"/>
      <c r="Y357" s="42"/>
      <c r="Z357" s="42"/>
      <c r="AA357" s="36"/>
      <c r="AB357" s="50"/>
      <c r="AC357" s="56" t="str">
        <f>IF(Table1[[#This Row],[Auto Order]]=1,IF(Table1[[#This Row],[In stock]]&lt;Table1[[#This Row],[Min in stock]],1,""),"")</f>
        <v/>
      </c>
    </row>
    <row r="358" spans="1:29" x14ac:dyDescent="0.25">
      <c r="A358" s="60" t="s">
        <v>2091</v>
      </c>
      <c r="B358" s="34" t="s">
        <v>713</v>
      </c>
      <c r="C358" s="34" t="s">
        <v>352</v>
      </c>
      <c r="D358" s="34" t="s">
        <v>2092</v>
      </c>
      <c r="E358" s="34" t="s">
        <v>559</v>
      </c>
      <c r="F358" s="53">
        <v>0</v>
      </c>
      <c r="G358" s="53"/>
      <c r="H358" s="53"/>
      <c r="I35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RHM390KDCT-ND</v>
      </c>
      <c r="J35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5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58" s="34" t="s">
        <v>2090</v>
      </c>
      <c r="M358" s="42">
        <v>0.1</v>
      </c>
      <c r="N358" s="34"/>
      <c r="O358" s="42"/>
      <c r="P358" s="34"/>
      <c r="Q358" s="42"/>
      <c r="R358" s="34"/>
      <c r="S358" s="42"/>
      <c r="T358" s="34"/>
      <c r="U358" s="42"/>
      <c r="V358" s="34"/>
      <c r="W358" s="42"/>
      <c r="X358" s="34"/>
      <c r="Y358" s="42"/>
      <c r="Z358" s="42"/>
      <c r="AA358" s="36"/>
      <c r="AB358" s="50"/>
      <c r="AC358" s="56" t="str">
        <f>IF(Table1[[#This Row],[Auto Order]]=1,IF(Table1[[#This Row],[In stock]]&lt;Table1[[#This Row],[Min in stock]],1,""),"")</f>
        <v/>
      </c>
    </row>
    <row r="359" spans="1:29" x14ac:dyDescent="0.25">
      <c r="A359" s="60" t="s">
        <v>2538</v>
      </c>
      <c r="B359" s="34" t="s">
        <v>713</v>
      </c>
      <c r="C359" s="34" t="s">
        <v>352</v>
      </c>
      <c r="D359" s="34" t="s">
        <v>2539</v>
      </c>
      <c r="E359" s="34" t="s">
        <v>559</v>
      </c>
      <c r="F359" s="53">
        <v>0</v>
      </c>
      <c r="G359" s="53"/>
      <c r="H359" s="53"/>
      <c r="I35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RHM3.9MDCT-ND</v>
      </c>
      <c r="J35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5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59" s="34" t="s">
        <v>2537</v>
      </c>
      <c r="M359" s="42">
        <v>0.1</v>
      </c>
      <c r="N359" s="34"/>
      <c r="O359" s="42"/>
      <c r="P359" s="34"/>
      <c r="Q359" s="42"/>
      <c r="R359" s="34"/>
      <c r="S359" s="42"/>
      <c r="T359" s="34"/>
      <c r="U359" s="42"/>
      <c r="V359" s="34"/>
      <c r="W359" s="42"/>
      <c r="X359" s="34"/>
      <c r="Y359" s="42"/>
      <c r="Z359" s="42"/>
      <c r="AA359" s="36"/>
      <c r="AB359" s="50"/>
      <c r="AC359" s="56" t="str">
        <f>IF(Table1[[#This Row],[Auto Order]]=1,IF(Table1[[#This Row],[In stock]]&lt;Table1[[#This Row],[Min in stock]],1,""),"")</f>
        <v/>
      </c>
    </row>
    <row r="360" spans="1:29" x14ac:dyDescent="0.25">
      <c r="A360" s="60" t="s">
        <v>1890</v>
      </c>
      <c r="B360" s="34" t="s">
        <v>713</v>
      </c>
      <c r="C360" s="34" t="s">
        <v>352</v>
      </c>
      <c r="D360" s="34" t="s">
        <v>1891</v>
      </c>
      <c r="E360" s="34" t="s">
        <v>559</v>
      </c>
      <c r="F360" s="53">
        <v>0</v>
      </c>
      <c r="G360" s="53"/>
      <c r="H360" s="53"/>
      <c r="I36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RHM3DCT-ND</v>
      </c>
      <c r="J36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6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60" s="34" t="s">
        <v>1889</v>
      </c>
      <c r="M360" s="42">
        <v>0.1</v>
      </c>
      <c r="N360" s="34"/>
      <c r="O360" s="42"/>
      <c r="P360" s="34"/>
      <c r="Q360" s="42"/>
      <c r="R360" s="34"/>
      <c r="S360" s="42"/>
      <c r="T360" s="34"/>
      <c r="U360" s="42"/>
      <c r="V360" s="34"/>
      <c r="W360" s="42"/>
      <c r="X360" s="34"/>
      <c r="Y360" s="42"/>
      <c r="Z360" s="42"/>
      <c r="AA360" s="36"/>
      <c r="AB360" s="50"/>
      <c r="AC360" s="56" t="str">
        <f>IF(Table1[[#This Row],[Auto Order]]=1,IF(Table1[[#This Row],[In stock]]&lt;Table1[[#This Row],[Min in stock]],1,""),"")</f>
        <v/>
      </c>
    </row>
    <row r="361" spans="1:29" x14ac:dyDescent="0.25">
      <c r="A361" s="60" t="s">
        <v>2406</v>
      </c>
      <c r="B361" s="34" t="s">
        <v>713</v>
      </c>
      <c r="C361" s="34" t="s">
        <v>352</v>
      </c>
      <c r="D361" s="34" t="s">
        <v>2407</v>
      </c>
      <c r="E361" s="34" t="s">
        <v>559</v>
      </c>
      <c r="F361" s="53">
        <v>0</v>
      </c>
      <c r="G361" s="53"/>
      <c r="H361" s="53"/>
      <c r="I36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RHM303DCT-ND</v>
      </c>
      <c r="J36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6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61" s="34" t="s">
        <v>2405</v>
      </c>
      <c r="M361" s="42">
        <v>0.1</v>
      </c>
      <c r="N361" s="34"/>
      <c r="O361" s="42"/>
      <c r="P361" s="34"/>
      <c r="Q361" s="42"/>
      <c r="R361" s="34"/>
      <c r="S361" s="42"/>
      <c r="T361" s="34"/>
      <c r="U361" s="42"/>
      <c r="V361" s="34"/>
      <c r="W361" s="42"/>
      <c r="X361" s="34"/>
      <c r="Y361" s="42"/>
      <c r="Z361" s="42"/>
      <c r="AA361" s="36"/>
      <c r="AB361" s="50"/>
      <c r="AC361" s="56" t="str">
        <f>IF(Table1[[#This Row],[Auto Order]]=1,IF(Table1[[#This Row],[In stock]]&lt;Table1[[#This Row],[Min in stock]],1,""),"")</f>
        <v/>
      </c>
    </row>
    <row r="362" spans="1:29" x14ac:dyDescent="0.25">
      <c r="A362" s="60" t="s">
        <v>2886</v>
      </c>
      <c r="B362" s="34" t="s">
        <v>713</v>
      </c>
      <c r="C362" s="34" t="s">
        <v>352</v>
      </c>
      <c r="D362" s="34" t="s">
        <v>2887</v>
      </c>
      <c r="E362" s="34" t="s">
        <v>559</v>
      </c>
      <c r="F362" s="53">
        <v>0</v>
      </c>
      <c r="G362" s="53"/>
      <c r="H362" s="53"/>
      <c r="I36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RHM3.6DCT-ND</v>
      </c>
      <c r="J36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6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62" s="34" t="s">
        <v>2885</v>
      </c>
      <c r="M362" s="42">
        <v>0.1</v>
      </c>
      <c r="N362" s="34"/>
      <c r="O362" s="42"/>
      <c r="P362" s="34"/>
      <c r="Q362" s="42"/>
      <c r="R362" s="34"/>
      <c r="S362" s="42"/>
      <c r="T362" s="34"/>
      <c r="U362" s="42"/>
      <c r="V362" s="34"/>
      <c r="W362" s="42"/>
      <c r="X362" s="34"/>
      <c r="Y362" s="42"/>
      <c r="Z362" s="42"/>
      <c r="AA362" s="36"/>
      <c r="AB362" s="50"/>
      <c r="AC362" s="56" t="str">
        <f>IF(Table1[[#This Row],[Auto Order]]=1,IF(Table1[[#This Row],[In stock]]&lt;Table1[[#This Row],[Min in stock]],1,""),"")</f>
        <v/>
      </c>
    </row>
    <row r="363" spans="1:29" x14ac:dyDescent="0.25">
      <c r="A363" s="60" t="s">
        <v>2541</v>
      </c>
      <c r="B363" s="34" t="s">
        <v>713</v>
      </c>
      <c r="C363" s="34" t="s">
        <v>352</v>
      </c>
      <c r="D363" s="34" t="s">
        <v>2542</v>
      </c>
      <c r="E363" s="34" t="s">
        <v>559</v>
      </c>
      <c r="F363" s="53">
        <v>0</v>
      </c>
      <c r="G363" s="53"/>
      <c r="H363" s="53"/>
      <c r="I36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RHM3.9DCT-ND</v>
      </c>
      <c r="J36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6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63" s="34" t="s">
        <v>2540</v>
      </c>
      <c r="M363" s="42">
        <v>0.1</v>
      </c>
      <c r="N363" s="34"/>
      <c r="O363" s="42"/>
      <c r="P363" s="34"/>
      <c r="Q363" s="42"/>
      <c r="R363" s="34"/>
      <c r="S363" s="42"/>
      <c r="T363" s="34"/>
      <c r="U363" s="42"/>
      <c r="V363" s="34"/>
      <c r="W363" s="42"/>
      <c r="X363" s="34"/>
      <c r="Y363" s="42"/>
      <c r="Z363" s="42"/>
      <c r="AA363" s="36"/>
      <c r="AB363" s="50"/>
      <c r="AC363" s="56" t="str">
        <f>IF(Table1[[#This Row],[Auto Order]]=1,IF(Table1[[#This Row],[In stock]]&lt;Table1[[#This Row],[Min in stock]],1,""),"")</f>
        <v/>
      </c>
    </row>
    <row r="364" spans="1:29" x14ac:dyDescent="0.25">
      <c r="A364" s="60" t="s">
        <v>2544</v>
      </c>
      <c r="B364" s="34" t="s">
        <v>713</v>
      </c>
      <c r="C364" s="34" t="s">
        <v>352</v>
      </c>
      <c r="D364" s="34" t="s">
        <v>2545</v>
      </c>
      <c r="E364" s="34" t="s">
        <v>559</v>
      </c>
      <c r="F364" s="53">
        <v>0</v>
      </c>
      <c r="G364" s="53"/>
      <c r="H364" s="53"/>
      <c r="I36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RHM43DCT-ND</v>
      </c>
      <c r="J36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6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64" s="34" t="s">
        <v>2543</v>
      </c>
      <c r="M364" s="42">
        <v>0.1</v>
      </c>
      <c r="N364" s="34"/>
      <c r="O364" s="42"/>
      <c r="P364" s="34"/>
      <c r="Q364" s="42"/>
      <c r="R364" s="34"/>
      <c r="S364" s="42"/>
      <c r="T364" s="34"/>
      <c r="U364" s="42"/>
      <c r="V364" s="34"/>
      <c r="W364" s="42"/>
      <c r="X364" s="34"/>
      <c r="Y364" s="42"/>
      <c r="Z364" s="42"/>
      <c r="AA364" s="36"/>
      <c r="AB364" s="50"/>
      <c r="AC364" s="56" t="str">
        <f>IF(Table1[[#This Row],[Auto Order]]=1,IF(Table1[[#This Row],[In stock]]&lt;Table1[[#This Row],[Min in stock]],1,""),"")</f>
        <v/>
      </c>
    </row>
    <row r="365" spans="1:29" x14ac:dyDescent="0.25">
      <c r="A365" s="60" t="s">
        <v>2916</v>
      </c>
      <c r="B365" s="34" t="s">
        <v>713</v>
      </c>
      <c r="C365" s="34" t="s">
        <v>352</v>
      </c>
      <c r="D365" s="34" t="s">
        <v>2917</v>
      </c>
      <c r="E365" s="34" t="s">
        <v>559</v>
      </c>
      <c r="F365" s="53">
        <v>0</v>
      </c>
      <c r="G365" s="53"/>
      <c r="H365" s="53"/>
      <c r="I36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RHM430DCT-ND</v>
      </c>
      <c r="J36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6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65" s="34" t="s">
        <v>2915</v>
      </c>
      <c r="M365" s="42">
        <v>0.1</v>
      </c>
      <c r="N365" s="34"/>
      <c r="O365" s="42"/>
      <c r="P365" s="34"/>
      <c r="Q365" s="42"/>
      <c r="R365" s="34"/>
      <c r="S365" s="42"/>
      <c r="T365" s="34"/>
      <c r="U365" s="42"/>
      <c r="V365" s="34"/>
      <c r="W365" s="42"/>
      <c r="X365" s="34"/>
      <c r="Y365" s="42"/>
      <c r="Z365" s="42"/>
      <c r="AA365" s="36"/>
      <c r="AB365" s="50"/>
      <c r="AC365" s="56" t="str">
        <f>IF(Table1[[#This Row],[Auto Order]]=1,IF(Table1[[#This Row],[In stock]]&lt;Table1[[#This Row],[Min in stock]],1,""),"")</f>
        <v/>
      </c>
    </row>
    <row r="366" spans="1:29" x14ac:dyDescent="0.25">
      <c r="A366" s="60" t="s">
        <v>2799</v>
      </c>
      <c r="B366" s="34" t="s">
        <v>713</v>
      </c>
      <c r="C366" s="34" t="s">
        <v>352</v>
      </c>
      <c r="D366" s="34" t="s">
        <v>2800</v>
      </c>
      <c r="E366" s="34" t="s">
        <v>559</v>
      </c>
      <c r="F366" s="53">
        <v>0</v>
      </c>
      <c r="G366" s="53"/>
      <c r="H366" s="53"/>
      <c r="I36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RHM4.3KDCT-ND</v>
      </c>
      <c r="J36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6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66" s="34" t="s">
        <v>2798</v>
      </c>
      <c r="M366" s="42">
        <v>0.1</v>
      </c>
      <c r="N366" s="34"/>
      <c r="O366" s="42"/>
      <c r="P366" s="34"/>
      <c r="Q366" s="42"/>
      <c r="R366" s="34"/>
      <c r="S366" s="42"/>
      <c r="T366" s="34"/>
      <c r="U366" s="42"/>
      <c r="V366" s="34"/>
      <c r="W366" s="42"/>
      <c r="X366" s="34"/>
      <c r="Y366" s="42"/>
      <c r="Z366" s="42"/>
      <c r="AA366" s="36"/>
      <c r="AB366" s="50"/>
      <c r="AC366" s="56" t="str">
        <f>IF(Table1[[#This Row],[Auto Order]]=1,IF(Table1[[#This Row],[In stock]]&lt;Table1[[#This Row],[Min in stock]],1,""),"")</f>
        <v/>
      </c>
    </row>
    <row r="367" spans="1:29" x14ac:dyDescent="0.25">
      <c r="A367" s="60" t="s">
        <v>2547</v>
      </c>
      <c r="B367" s="34" t="s">
        <v>713</v>
      </c>
      <c r="C367" s="34" t="s">
        <v>352</v>
      </c>
      <c r="D367" s="34" t="s">
        <v>2548</v>
      </c>
      <c r="E367" s="34" t="s">
        <v>559</v>
      </c>
      <c r="F367" s="53">
        <v>0</v>
      </c>
      <c r="G367" s="53"/>
      <c r="H367" s="53"/>
      <c r="I36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RHM43KDCT-ND</v>
      </c>
      <c r="J36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6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67" s="34" t="s">
        <v>2546</v>
      </c>
      <c r="M367" s="42">
        <v>0.1</v>
      </c>
      <c r="N367" s="34"/>
      <c r="O367" s="42"/>
      <c r="P367" s="34"/>
      <c r="Q367" s="42"/>
      <c r="R367" s="34"/>
      <c r="S367" s="42"/>
      <c r="T367" s="34"/>
      <c r="U367" s="42"/>
      <c r="V367" s="34"/>
      <c r="W367" s="42"/>
      <c r="X367" s="34"/>
      <c r="Y367" s="42"/>
      <c r="Z367" s="42"/>
      <c r="AA367" s="36"/>
      <c r="AB367" s="50"/>
      <c r="AC367" s="56" t="str">
        <f>IF(Table1[[#This Row],[Auto Order]]=1,IF(Table1[[#This Row],[In stock]]&lt;Table1[[#This Row],[Min in stock]],1,""),"")</f>
        <v/>
      </c>
    </row>
    <row r="368" spans="1:29" x14ac:dyDescent="0.25">
      <c r="A368" s="60" t="s">
        <v>2856</v>
      </c>
      <c r="B368" s="34" t="s">
        <v>713</v>
      </c>
      <c r="C368" s="34" t="s">
        <v>352</v>
      </c>
      <c r="D368" s="34" t="s">
        <v>2857</v>
      </c>
      <c r="E368" s="34" t="s">
        <v>559</v>
      </c>
      <c r="F368" s="53">
        <v>0</v>
      </c>
      <c r="G368" s="53"/>
      <c r="H368" s="53"/>
      <c r="I36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RHM430KDCT-ND</v>
      </c>
      <c r="J36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6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68" s="34" t="s">
        <v>2855</v>
      </c>
      <c r="M368" s="42">
        <v>0.1</v>
      </c>
      <c r="N368" s="34"/>
      <c r="O368" s="42"/>
      <c r="P368" s="34"/>
      <c r="Q368" s="42"/>
      <c r="R368" s="34"/>
      <c r="S368" s="42"/>
      <c r="T368" s="34"/>
      <c r="U368" s="42"/>
      <c r="V368" s="34"/>
      <c r="W368" s="42"/>
      <c r="X368" s="34"/>
      <c r="Y368" s="42"/>
      <c r="Z368" s="42"/>
      <c r="AA368" s="36"/>
      <c r="AB368" s="50"/>
      <c r="AC368" s="56" t="str">
        <f>IF(Table1[[#This Row],[Auto Order]]=1,IF(Table1[[#This Row],[In stock]]&lt;Table1[[#This Row],[Min in stock]],1,""),"")</f>
        <v/>
      </c>
    </row>
    <row r="369" spans="1:29" x14ac:dyDescent="0.25">
      <c r="A369" s="60" t="s">
        <v>1845</v>
      </c>
      <c r="B369" s="34" t="s">
        <v>713</v>
      </c>
      <c r="C369" s="34" t="s">
        <v>352</v>
      </c>
      <c r="D369" s="34" t="s">
        <v>1846</v>
      </c>
      <c r="E369" s="34" t="s">
        <v>559</v>
      </c>
      <c r="F369" s="53">
        <v>0</v>
      </c>
      <c r="G369" s="53"/>
      <c r="H369" s="53"/>
      <c r="I36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RHM47DCT-ND</v>
      </c>
      <c r="J36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6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69" s="34" t="s">
        <v>1844</v>
      </c>
      <c r="M369" s="42">
        <v>0.1</v>
      </c>
      <c r="N369" s="34"/>
      <c r="O369" s="42"/>
      <c r="P369" s="34"/>
      <c r="Q369" s="42"/>
      <c r="R369" s="34"/>
      <c r="S369" s="42"/>
      <c r="T369" s="34"/>
      <c r="U369" s="42"/>
      <c r="V369" s="34"/>
      <c r="W369" s="42"/>
      <c r="X369" s="34"/>
      <c r="Y369" s="42"/>
      <c r="Z369" s="42"/>
      <c r="AA369" s="36"/>
      <c r="AB369" s="50"/>
      <c r="AC369" s="56" t="str">
        <f>IF(Table1[[#This Row],[Auto Order]]=1,IF(Table1[[#This Row],[In stock]]&lt;Table1[[#This Row],[Min in stock]],1,""),"")</f>
        <v/>
      </c>
    </row>
    <row r="370" spans="1:29" x14ac:dyDescent="0.25">
      <c r="A370" s="60" t="s">
        <v>2829</v>
      </c>
      <c r="B370" s="34" t="s">
        <v>713</v>
      </c>
      <c r="C370" s="34" t="s">
        <v>352</v>
      </c>
      <c r="D370" s="34" t="s">
        <v>2830</v>
      </c>
      <c r="E370" s="34" t="s">
        <v>559</v>
      </c>
      <c r="F370" s="53">
        <v>0</v>
      </c>
      <c r="G370" s="53"/>
      <c r="H370" s="53"/>
      <c r="I37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RHM470DCT-ND</v>
      </c>
      <c r="J37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7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70" s="34" t="s">
        <v>2828</v>
      </c>
      <c r="M370" s="42">
        <v>0.1</v>
      </c>
      <c r="N370" s="34"/>
      <c r="O370" s="42"/>
      <c r="P370" s="34"/>
      <c r="Q370" s="42"/>
      <c r="R370" s="34"/>
      <c r="S370" s="42"/>
      <c r="T370" s="34"/>
      <c r="U370" s="42"/>
      <c r="V370" s="34"/>
      <c r="W370" s="42"/>
      <c r="X370" s="34"/>
      <c r="Y370" s="42"/>
      <c r="Z370" s="42"/>
      <c r="AA370" s="36"/>
      <c r="AB370" s="50"/>
      <c r="AC370" s="56" t="str">
        <f>IF(Table1[[#This Row],[Auto Order]]=1,IF(Table1[[#This Row],[In stock]]&lt;Table1[[#This Row],[Min in stock]],1,""),"")</f>
        <v/>
      </c>
    </row>
    <row r="371" spans="1:29" x14ac:dyDescent="0.25">
      <c r="A371" s="60" t="s">
        <v>2214</v>
      </c>
      <c r="B371" s="34" t="s">
        <v>713</v>
      </c>
      <c r="C371" s="34" t="s">
        <v>352</v>
      </c>
      <c r="D371" s="34" t="s">
        <v>2215</v>
      </c>
      <c r="E371" s="34" t="s">
        <v>559</v>
      </c>
      <c r="F371" s="53">
        <v>0</v>
      </c>
      <c r="G371" s="53">
        <v>10</v>
      </c>
      <c r="H371" s="53">
        <f>1</f>
        <v>1</v>
      </c>
      <c r="I37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RHM180DCT-ND</v>
      </c>
      <c r="J37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7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71" s="34" t="s">
        <v>2213</v>
      </c>
      <c r="M371" s="42">
        <v>0.1</v>
      </c>
      <c r="N371" s="34"/>
      <c r="O371" s="42"/>
      <c r="P371" s="34"/>
      <c r="Q371" s="42"/>
      <c r="R371" s="34"/>
      <c r="S371" s="42"/>
      <c r="T371" s="34"/>
      <c r="U371" s="42"/>
      <c r="V371" s="34"/>
      <c r="W371" s="42"/>
      <c r="X371" s="34"/>
      <c r="Y371" s="42"/>
      <c r="Z371" s="42"/>
      <c r="AA371" s="36"/>
      <c r="AB371" s="50"/>
      <c r="AC371" s="56">
        <f>IF(Table1[[#This Row],[Auto Order]]=1,IF(Table1[[#This Row],[In stock]]&lt;Table1[[#This Row],[Min in stock]],1,""),"")</f>
        <v>1</v>
      </c>
    </row>
    <row r="372" spans="1:29" x14ac:dyDescent="0.25">
      <c r="A372" s="60" t="s">
        <v>1926</v>
      </c>
      <c r="B372" s="34" t="s">
        <v>713</v>
      </c>
      <c r="C372" s="34" t="s">
        <v>352</v>
      </c>
      <c r="D372" s="34" t="s">
        <v>1927</v>
      </c>
      <c r="E372" s="34" t="s">
        <v>559</v>
      </c>
      <c r="F372" s="53">
        <v>0</v>
      </c>
      <c r="G372" s="53"/>
      <c r="H372" s="53"/>
      <c r="I37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RHM47KDCT-ND</v>
      </c>
      <c r="J37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7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72" s="34" t="s">
        <v>1925</v>
      </c>
      <c r="M372" s="42">
        <v>0.1</v>
      </c>
      <c r="N372" s="34"/>
      <c r="O372" s="42"/>
      <c r="P372" s="34"/>
      <c r="Q372" s="42"/>
      <c r="R372" s="34"/>
      <c r="S372" s="42"/>
      <c r="T372" s="34"/>
      <c r="U372" s="42"/>
      <c r="V372" s="34"/>
      <c r="W372" s="42"/>
      <c r="X372" s="34"/>
      <c r="Y372" s="42"/>
      <c r="Z372" s="42"/>
      <c r="AA372" s="36"/>
      <c r="AB372" s="50"/>
      <c r="AC372" s="56" t="str">
        <f>IF(Table1[[#This Row],[Auto Order]]=1,IF(Table1[[#This Row],[In stock]]&lt;Table1[[#This Row],[Min in stock]],1,""),"")</f>
        <v/>
      </c>
    </row>
    <row r="373" spans="1:29" x14ac:dyDescent="0.25">
      <c r="A373" s="60" t="s">
        <v>2409</v>
      </c>
      <c r="B373" s="34" t="s">
        <v>713</v>
      </c>
      <c r="C373" s="34" t="s">
        <v>352</v>
      </c>
      <c r="D373" s="34" t="s">
        <v>2410</v>
      </c>
      <c r="E373" s="34" t="s">
        <v>559</v>
      </c>
      <c r="F373" s="53">
        <v>0</v>
      </c>
      <c r="G373" s="53"/>
      <c r="H373" s="53"/>
      <c r="I37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RHM470KDCT-ND</v>
      </c>
      <c r="J37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7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73" s="34" t="s">
        <v>2408</v>
      </c>
      <c r="M373" s="42">
        <v>0.1</v>
      </c>
      <c r="N373" s="34"/>
      <c r="O373" s="42"/>
      <c r="P373" s="34"/>
      <c r="Q373" s="42"/>
      <c r="R373" s="34"/>
      <c r="S373" s="42"/>
      <c r="T373" s="34"/>
      <c r="U373" s="42"/>
      <c r="V373" s="34"/>
      <c r="W373" s="42"/>
      <c r="X373" s="34"/>
      <c r="Y373" s="42"/>
      <c r="Z373" s="42"/>
      <c r="AA373" s="36"/>
      <c r="AB373" s="50"/>
      <c r="AC373" s="56" t="str">
        <f>IF(Table1[[#This Row],[Auto Order]]=1,IF(Table1[[#This Row],[In stock]]&lt;Table1[[#This Row],[Min in stock]],1,""),"")</f>
        <v/>
      </c>
    </row>
    <row r="374" spans="1:29" x14ac:dyDescent="0.25">
      <c r="A374" s="60" t="s">
        <v>2883</v>
      </c>
      <c r="B374" s="34" t="s">
        <v>713</v>
      </c>
      <c r="C374" s="34" t="s">
        <v>352</v>
      </c>
      <c r="D374" s="34" t="s">
        <v>2884</v>
      </c>
      <c r="E374" s="34" t="s">
        <v>559</v>
      </c>
      <c r="F374" s="53">
        <v>0</v>
      </c>
      <c r="G374" s="53"/>
      <c r="H374" s="53"/>
      <c r="I37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RHM4.7MDCT-ND</v>
      </c>
      <c r="J37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7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74" s="34" t="s">
        <v>2882</v>
      </c>
      <c r="M374" s="42">
        <v>0.1</v>
      </c>
      <c r="N374" s="34"/>
      <c r="O374" s="42"/>
      <c r="P374" s="34"/>
      <c r="Q374" s="42"/>
      <c r="R374" s="34"/>
      <c r="S374" s="42"/>
      <c r="T374" s="34"/>
      <c r="U374" s="42"/>
      <c r="V374" s="34"/>
      <c r="W374" s="42"/>
      <c r="X374" s="34"/>
      <c r="Y374" s="42"/>
      <c r="Z374" s="42"/>
      <c r="AA374" s="36"/>
      <c r="AB374" s="50"/>
      <c r="AC374" s="56" t="str">
        <f>IF(Table1[[#This Row],[Auto Order]]=1,IF(Table1[[#This Row],[In stock]]&lt;Table1[[#This Row],[Min in stock]],1,""),"")</f>
        <v/>
      </c>
    </row>
    <row r="375" spans="1:29" x14ac:dyDescent="0.25">
      <c r="A375" s="60" t="s">
        <v>2772</v>
      </c>
      <c r="B375" s="34" t="s">
        <v>713</v>
      </c>
      <c r="C375" s="34" t="s">
        <v>352</v>
      </c>
      <c r="D375" s="34" t="s">
        <v>2773</v>
      </c>
      <c r="E375" s="34" t="s">
        <v>559</v>
      </c>
      <c r="F375" s="53">
        <v>0</v>
      </c>
      <c r="G375" s="53"/>
      <c r="H375" s="53"/>
      <c r="I37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RHM4.3DCT-ND</v>
      </c>
      <c r="J37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7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75" s="34" t="s">
        <v>2771</v>
      </c>
      <c r="M375" s="42">
        <v>0.1</v>
      </c>
      <c r="N375" s="34"/>
      <c r="O375" s="42"/>
      <c r="P375" s="34"/>
      <c r="Q375" s="42"/>
      <c r="R375" s="34"/>
      <c r="S375" s="42"/>
      <c r="T375" s="34"/>
      <c r="U375" s="42"/>
      <c r="V375" s="34"/>
      <c r="W375" s="42"/>
      <c r="X375" s="34"/>
      <c r="Y375" s="42"/>
      <c r="Z375" s="42"/>
      <c r="AA375" s="36"/>
      <c r="AB375" s="50"/>
      <c r="AC375" s="56" t="str">
        <f>IF(Table1[[#This Row],[Auto Order]]=1,IF(Table1[[#This Row],[In stock]]&lt;Table1[[#This Row],[Min in stock]],1,""),"")</f>
        <v/>
      </c>
    </row>
    <row r="376" spans="1:29" x14ac:dyDescent="0.25">
      <c r="A376" s="60" t="s">
        <v>1842</v>
      </c>
      <c r="B376" s="34" t="s">
        <v>713</v>
      </c>
      <c r="C376" s="34" t="s">
        <v>352</v>
      </c>
      <c r="D376" s="34" t="s">
        <v>1843</v>
      </c>
      <c r="E376" s="34" t="s">
        <v>559</v>
      </c>
      <c r="F376" s="53">
        <v>0</v>
      </c>
      <c r="G376" s="53"/>
      <c r="H376" s="53"/>
      <c r="I37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RHM4.7DCT-ND</v>
      </c>
      <c r="J37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7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76" s="34" t="s">
        <v>1841</v>
      </c>
      <c r="M376" s="42">
        <v>0.1</v>
      </c>
      <c r="N376" s="34"/>
      <c r="O376" s="42"/>
      <c r="P376" s="34"/>
      <c r="Q376" s="42"/>
      <c r="R376" s="34"/>
      <c r="S376" s="42"/>
      <c r="T376" s="34"/>
      <c r="U376" s="42"/>
      <c r="V376" s="34"/>
      <c r="W376" s="42"/>
      <c r="X376" s="34"/>
      <c r="Y376" s="42"/>
      <c r="Z376" s="42"/>
      <c r="AA376" s="36"/>
      <c r="AB376" s="50"/>
      <c r="AC376" s="56" t="str">
        <f>IF(Table1[[#This Row],[Auto Order]]=1,IF(Table1[[#This Row],[In stock]]&lt;Table1[[#This Row],[Min in stock]],1,""),"")</f>
        <v/>
      </c>
    </row>
    <row r="377" spans="1:29" x14ac:dyDescent="0.25">
      <c r="A377" s="60" t="s">
        <v>1848</v>
      </c>
      <c r="B377" s="34" t="s">
        <v>713</v>
      </c>
      <c r="C377" s="34" t="s">
        <v>352</v>
      </c>
      <c r="D377" s="34" t="s">
        <v>1849</v>
      </c>
      <c r="E377" s="34" t="s">
        <v>559</v>
      </c>
      <c r="F377" s="53">
        <v>0</v>
      </c>
      <c r="G377" s="53"/>
      <c r="H377" s="53"/>
      <c r="I37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RHM51DCT-ND</v>
      </c>
      <c r="J37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7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77" s="34" t="s">
        <v>1847</v>
      </c>
      <c r="M377" s="42">
        <v>0.1</v>
      </c>
      <c r="N377" s="34"/>
      <c r="O377" s="42"/>
      <c r="P377" s="34"/>
      <c r="Q377" s="42"/>
      <c r="R377" s="34"/>
      <c r="S377" s="42"/>
      <c r="T377" s="34"/>
      <c r="U377" s="42"/>
      <c r="V377" s="34"/>
      <c r="W377" s="42"/>
      <c r="X377" s="34"/>
      <c r="Y377" s="42"/>
      <c r="Z377" s="42"/>
      <c r="AA377" s="36"/>
      <c r="AB377" s="50"/>
      <c r="AC377" s="56" t="str">
        <f>IF(Table1[[#This Row],[Auto Order]]=1,IF(Table1[[#This Row],[In stock]]&lt;Table1[[#This Row],[Min in stock]],1,""),"")</f>
        <v/>
      </c>
    </row>
    <row r="378" spans="1:29" x14ac:dyDescent="0.25">
      <c r="A378" s="60" t="s">
        <v>1908</v>
      </c>
      <c r="B378" s="34" t="s">
        <v>713</v>
      </c>
      <c r="C378" s="34" t="s">
        <v>352</v>
      </c>
      <c r="D378" s="34" t="s">
        <v>1909</v>
      </c>
      <c r="E378" s="34" t="s">
        <v>559</v>
      </c>
      <c r="F378" s="53">
        <v>0</v>
      </c>
      <c r="G378" s="53"/>
      <c r="H378" s="53"/>
      <c r="I37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RHM510DCT-ND</v>
      </c>
      <c r="J37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7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78" s="34" t="s">
        <v>1907</v>
      </c>
      <c r="M378" s="42">
        <v>0.1</v>
      </c>
      <c r="N378" s="34"/>
      <c r="O378" s="42"/>
      <c r="P378" s="34"/>
      <c r="Q378" s="42"/>
      <c r="R378" s="34"/>
      <c r="S378" s="42"/>
      <c r="T378" s="34"/>
      <c r="U378" s="42"/>
      <c r="V378" s="34"/>
      <c r="W378" s="42"/>
      <c r="X378" s="34"/>
      <c r="Y378" s="42"/>
      <c r="Z378" s="42"/>
      <c r="AA378" s="36"/>
      <c r="AB378" s="50"/>
      <c r="AC378" s="56" t="str">
        <f>IF(Table1[[#This Row],[Auto Order]]=1,IF(Table1[[#This Row],[In stock]]&lt;Table1[[#This Row],[Min in stock]],1,""),"")</f>
        <v/>
      </c>
    </row>
    <row r="379" spans="1:29" x14ac:dyDescent="0.25">
      <c r="A379" s="60" t="s">
        <v>2223</v>
      </c>
      <c r="B379" s="34" t="s">
        <v>713</v>
      </c>
      <c r="C379" s="34" t="s">
        <v>352</v>
      </c>
      <c r="D379" s="34" t="s">
        <v>2224</v>
      </c>
      <c r="E379" s="34" t="s">
        <v>559</v>
      </c>
      <c r="F379" s="53">
        <v>0</v>
      </c>
      <c r="G379" s="53"/>
      <c r="H379" s="53"/>
      <c r="I37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RHM5.1KDCT-ND</v>
      </c>
      <c r="J37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7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79" s="34" t="s">
        <v>2222</v>
      </c>
      <c r="M379" s="42">
        <v>0.1</v>
      </c>
      <c r="N379" s="34"/>
      <c r="O379" s="42"/>
      <c r="P379" s="34"/>
      <c r="Q379" s="42"/>
      <c r="R379" s="34"/>
      <c r="S379" s="42"/>
      <c r="T379" s="34"/>
      <c r="U379" s="42"/>
      <c r="V379" s="34"/>
      <c r="W379" s="42"/>
      <c r="X379" s="34"/>
      <c r="Y379" s="42"/>
      <c r="Z379" s="42"/>
      <c r="AA379" s="36"/>
      <c r="AB379" s="50"/>
      <c r="AC379" s="56" t="str">
        <f>IF(Table1[[#This Row],[Auto Order]]=1,IF(Table1[[#This Row],[In stock]]&lt;Table1[[#This Row],[Min in stock]],1,""),"")</f>
        <v/>
      </c>
    </row>
    <row r="380" spans="1:29" x14ac:dyDescent="0.25">
      <c r="A380" s="60" t="s">
        <v>2412</v>
      </c>
      <c r="B380" s="34" t="s">
        <v>713</v>
      </c>
      <c r="C380" s="34" t="s">
        <v>352</v>
      </c>
      <c r="D380" s="34" t="s">
        <v>2413</v>
      </c>
      <c r="E380" s="34" t="s">
        <v>559</v>
      </c>
      <c r="F380" s="53">
        <v>0</v>
      </c>
      <c r="G380" s="53"/>
      <c r="H380" s="53"/>
      <c r="I38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RHM51KDCT-ND</v>
      </c>
      <c r="J38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8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80" s="34" t="s">
        <v>2411</v>
      </c>
      <c r="M380" s="42">
        <v>0.1</v>
      </c>
      <c r="N380" s="34"/>
      <c r="O380" s="42"/>
      <c r="P380" s="34"/>
      <c r="Q380" s="42"/>
      <c r="R380" s="34"/>
      <c r="S380" s="42"/>
      <c r="T380" s="34"/>
      <c r="U380" s="42"/>
      <c r="V380" s="34"/>
      <c r="W380" s="42"/>
      <c r="X380" s="34"/>
      <c r="Y380" s="42"/>
      <c r="Z380" s="42"/>
      <c r="AA380" s="36"/>
      <c r="AB380" s="50"/>
      <c r="AC380" s="56" t="str">
        <f>IF(Table1[[#This Row],[Auto Order]]=1,IF(Table1[[#This Row],[In stock]]&lt;Table1[[#This Row],[Min in stock]],1,""),"")</f>
        <v/>
      </c>
    </row>
    <row r="381" spans="1:29" x14ac:dyDescent="0.25">
      <c r="A381" s="60" t="s">
        <v>2253</v>
      </c>
      <c r="B381" s="34" t="s">
        <v>713</v>
      </c>
      <c r="C381" s="34" t="s">
        <v>352</v>
      </c>
      <c r="D381" s="34" t="s">
        <v>2254</v>
      </c>
      <c r="E381" s="34" t="s">
        <v>559</v>
      </c>
      <c r="F381" s="53">
        <v>0</v>
      </c>
      <c r="G381" s="53"/>
      <c r="H381" s="53"/>
      <c r="I38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RHM510KDCT-ND</v>
      </c>
      <c r="J38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8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81" s="34" t="s">
        <v>2252</v>
      </c>
      <c r="M381" s="42">
        <v>0.1</v>
      </c>
      <c r="N381" s="34"/>
      <c r="O381" s="42"/>
      <c r="P381" s="34"/>
      <c r="Q381" s="42"/>
      <c r="R381" s="34"/>
      <c r="S381" s="42"/>
      <c r="T381" s="34"/>
      <c r="U381" s="42"/>
      <c r="V381" s="34"/>
      <c r="W381" s="42"/>
      <c r="X381" s="34"/>
      <c r="Y381" s="42"/>
      <c r="Z381" s="42"/>
      <c r="AA381" s="36"/>
      <c r="AB381" s="50"/>
      <c r="AC381" s="56" t="str">
        <f>IF(Table1[[#This Row],[Auto Order]]=1,IF(Table1[[#This Row],[In stock]]&lt;Table1[[#This Row],[Min in stock]],1,""),"")</f>
        <v/>
      </c>
    </row>
    <row r="382" spans="1:29" x14ac:dyDescent="0.25">
      <c r="A382" s="60" t="s">
        <v>2550</v>
      </c>
      <c r="B382" s="34" t="s">
        <v>713</v>
      </c>
      <c r="C382" s="34" t="s">
        <v>352</v>
      </c>
      <c r="D382" s="34" t="s">
        <v>2551</v>
      </c>
      <c r="E382" s="34" t="s">
        <v>559</v>
      </c>
      <c r="F382" s="53">
        <v>0</v>
      </c>
      <c r="G382" s="53"/>
      <c r="H382" s="53"/>
      <c r="I38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RHM5.1MDCT-ND</v>
      </c>
      <c r="J38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8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82" s="34" t="s">
        <v>2549</v>
      </c>
      <c r="M382" s="42">
        <v>0.1</v>
      </c>
      <c r="N382" s="34"/>
      <c r="O382" s="42"/>
      <c r="P382" s="34"/>
      <c r="Q382" s="42"/>
      <c r="R382" s="34"/>
      <c r="S382" s="42"/>
      <c r="T382" s="34"/>
      <c r="U382" s="42"/>
      <c r="V382" s="34"/>
      <c r="W382" s="42"/>
      <c r="X382" s="34"/>
      <c r="Y382" s="42"/>
      <c r="Z382" s="42"/>
      <c r="AA382" s="36"/>
      <c r="AB382" s="50"/>
      <c r="AC382" s="56" t="str">
        <f>IF(Table1[[#This Row],[Auto Order]]=1,IF(Table1[[#This Row],[In stock]]&lt;Table1[[#This Row],[Min in stock]],1,""),"")</f>
        <v/>
      </c>
    </row>
    <row r="383" spans="1:29" x14ac:dyDescent="0.25">
      <c r="A383" s="60" t="s">
        <v>2172</v>
      </c>
      <c r="B383" s="34" t="s">
        <v>713</v>
      </c>
      <c r="C383" s="34" t="s">
        <v>352</v>
      </c>
      <c r="D383" s="34" t="s">
        <v>2173</v>
      </c>
      <c r="E383" s="34" t="s">
        <v>559</v>
      </c>
      <c r="F383" s="53">
        <v>0</v>
      </c>
      <c r="G383" s="53"/>
      <c r="H383" s="53"/>
      <c r="I38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RHM56DCT-ND</v>
      </c>
      <c r="J38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8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83" s="34" t="s">
        <v>2171</v>
      </c>
      <c r="M383" s="42">
        <v>0.1</v>
      </c>
      <c r="N383" s="34"/>
      <c r="O383" s="42"/>
      <c r="P383" s="34"/>
      <c r="Q383" s="42"/>
      <c r="R383" s="34"/>
      <c r="S383" s="42"/>
      <c r="T383" s="34"/>
      <c r="U383" s="42"/>
      <c r="V383" s="34"/>
      <c r="W383" s="42"/>
      <c r="X383" s="34"/>
      <c r="Y383" s="42"/>
      <c r="Z383" s="42"/>
      <c r="AA383" s="36"/>
      <c r="AB383" s="50"/>
      <c r="AC383" s="56" t="str">
        <f>IF(Table1[[#This Row],[Auto Order]]=1,IF(Table1[[#This Row],[In stock]]&lt;Table1[[#This Row],[Min in stock]],1,""),"")</f>
        <v/>
      </c>
    </row>
    <row r="384" spans="1:29" x14ac:dyDescent="0.25">
      <c r="A384" s="60" t="s">
        <v>2847</v>
      </c>
      <c r="B384" s="34" t="s">
        <v>713</v>
      </c>
      <c r="C384" s="34" t="s">
        <v>352</v>
      </c>
      <c r="D384" s="34" t="s">
        <v>2848</v>
      </c>
      <c r="E384" s="34" t="s">
        <v>559</v>
      </c>
      <c r="F384" s="53">
        <v>0</v>
      </c>
      <c r="G384" s="53"/>
      <c r="H384" s="53"/>
      <c r="I38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RHM560DCT-ND</v>
      </c>
      <c r="J38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8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84" s="34" t="s">
        <v>2846</v>
      </c>
      <c r="M384" s="42">
        <v>0.1</v>
      </c>
      <c r="N384" s="34"/>
      <c r="O384" s="42"/>
      <c r="P384" s="34"/>
      <c r="Q384" s="42"/>
      <c r="R384" s="34"/>
      <c r="S384" s="42"/>
      <c r="T384" s="34"/>
      <c r="U384" s="42"/>
      <c r="V384" s="34"/>
      <c r="W384" s="42"/>
      <c r="X384" s="34"/>
      <c r="Y384" s="42"/>
      <c r="Z384" s="42"/>
      <c r="AA384" s="36"/>
      <c r="AB384" s="50"/>
      <c r="AC384" s="56" t="str">
        <f>IF(Table1[[#This Row],[Auto Order]]=1,IF(Table1[[#This Row],[In stock]]&lt;Table1[[#This Row],[Min in stock]],1,""),"")</f>
        <v/>
      </c>
    </row>
    <row r="385" spans="1:29" x14ac:dyDescent="0.25">
      <c r="A385" s="60" t="s">
        <v>2925</v>
      </c>
      <c r="B385" s="34" t="s">
        <v>713</v>
      </c>
      <c r="C385" s="34" t="s">
        <v>352</v>
      </c>
      <c r="D385" s="34" t="s">
        <v>2926</v>
      </c>
      <c r="E385" s="34" t="s">
        <v>559</v>
      </c>
      <c r="F385" s="53">
        <v>0</v>
      </c>
      <c r="G385" s="53"/>
      <c r="H385" s="53"/>
      <c r="I38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RHM5.6KDCT-ND</v>
      </c>
      <c r="J38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8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85" s="34" t="s">
        <v>2924</v>
      </c>
      <c r="M385" s="42">
        <v>0.1</v>
      </c>
      <c r="N385" s="34"/>
      <c r="O385" s="42"/>
      <c r="P385" s="34"/>
      <c r="Q385" s="42"/>
      <c r="R385" s="34"/>
      <c r="S385" s="42"/>
      <c r="T385" s="34"/>
      <c r="U385" s="42"/>
      <c r="V385" s="34"/>
      <c r="W385" s="42"/>
      <c r="X385" s="34"/>
      <c r="Y385" s="42"/>
      <c r="Z385" s="42"/>
      <c r="AA385" s="36"/>
      <c r="AB385" s="50"/>
      <c r="AC385" s="56" t="str">
        <f>IF(Table1[[#This Row],[Auto Order]]=1,IF(Table1[[#This Row],[In stock]]&lt;Table1[[#This Row],[Min in stock]],1,""),"")</f>
        <v/>
      </c>
    </row>
    <row r="386" spans="1:29" x14ac:dyDescent="0.25">
      <c r="A386" s="60" t="s">
        <v>2553</v>
      </c>
      <c r="B386" s="34" t="s">
        <v>713</v>
      </c>
      <c r="C386" s="34" t="s">
        <v>352</v>
      </c>
      <c r="D386" s="34" t="s">
        <v>2554</v>
      </c>
      <c r="E386" s="34" t="s">
        <v>559</v>
      </c>
      <c r="F386" s="53">
        <v>0</v>
      </c>
      <c r="G386" s="53"/>
      <c r="H386" s="53"/>
      <c r="I38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RHM56KDCT-ND</v>
      </c>
      <c r="J38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8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86" s="34" t="s">
        <v>2552</v>
      </c>
      <c r="M386" s="42">
        <v>0.1</v>
      </c>
      <c r="N386" s="34"/>
      <c r="O386" s="42"/>
      <c r="P386" s="34"/>
      <c r="Q386" s="42"/>
      <c r="R386" s="34"/>
      <c r="S386" s="42"/>
      <c r="T386" s="34"/>
      <c r="U386" s="42"/>
      <c r="V386" s="34"/>
      <c r="W386" s="42"/>
      <c r="X386" s="34"/>
      <c r="Y386" s="42"/>
      <c r="Z386" s="42"/>
      <c r="AA386" s="36"/>
      <c r="AB386" s="50"/>
      <c r="AC386" s="56" t="str">
        <f>IF(Table1[[#This Row],[Auto Order]]=1,IF(Table1[[#This Row],[In stock]]&lt;Table1[[#This Row],[Min in stock]],1,""),"")</f>
        <v/>
      </c>
    </row>
    <row r="387" spans="1:29" x14ac:dyDescent="0.25">
      <c r="A387" s="60" t="s">
        <v>2682</v>
      </c>
      <c r="B387" s="34" t="s">
        <v>713</v>
      </c>
      <c r="C387" s="34" t="s">
        <v>352</v>
      </c>
      <c r="D387" s="34" t="s">
        <v>2683</v>
      </c>
      <c r="E387" s="34" t="s">
        <v>559</v>
      </c>
      <c r="F387" s="53">
        <v>0</v>
      </c>
      <c r="G387" s="53"/>
      <c r="H387" s="53"/>
      <c r="I38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RHM560KDCT-ND</v>
      </c>
      <c r="J38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8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87" s="34" t="s">
        <v>2681</v>
      </c>
      <c r="M387" s="42">
        <v>0.1</v>
      </c>
      <c r="N387" s="34"/>
      <c r="O387" s="42"/>
      <c r="P387" s="34"/>
      <c r="Q387" s="42"/>
      <c r="R387" s="34"/>
      <c r="S387" s="42"/>
      <c r="T387" s="34"/>
      <c r="U387" s="42"/>
      <c r="V387" s="34"/>
      <c r="W387" s="42"/>
      <c r="X387" s="34"/>
      <c r="Y387" s="42"/>
      <c r="Z387" s="42"/>
      <c r="AA387" s="36"/>
      <c r="AB387" s="50"/>
      <c r="AC387" s="56" t="str">
        <f>IF(Table1[[#This Row],[Auto Order]]=1,IF(Table1[[#This Row],[In stock]]&lt;Table1[[#This Row],[Min in stock]],1,""),"")</f>
        <v/>
      </c>
    </row>
    <row r="388" spans="1:29" x14ac:dyDescent="0.25">
      <c r="A388" s="60" t="s">
        <v>1941</v>
      </c>
      <c r="B388" s="34" t="s">
        <v>713</v>
      </c>
      <c r="C388" s="34" t="s">
        <v>352</v>
      </c>
      <c r="D388" s="34" t="s">
        <v>1942</v>
      </c>
      <c r="E388" s="34" t="s">
        <v>559</v>
      </c>
      <c r="F388" s="53">
        <v>0</v>
      </c>
      <c r="G388" s="53"/>
      <c r="H388" s="53"/>
      <c r="I38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RHM5.1DCT-ND</v>
      </c>
      <c r="J38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8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88" s="34" t="s">
        <v>1940</v>
      </c>
      <c r="M388" s="42">
        <v>0.1</v>
      </c>
      <c r="N388" s="34"/>
      <c r="O388" s="42"/>
      <c r="P388" s="34"/>
      <c r="Q388" s="42"/>
      <c r="R388" s="34"/>
      <c r="S388" s="42"/>
      <c r="T388" s="34"/>
      <c r="U388" s="42"/>
      <c r="V388" s="34"/>
      <c r="W388" s="42"/>
      <c r="X388" s="34"/>
      <c r="Y388" s="42"/>
      <c r="Z388" s="42"/>
      <c r="AA388" s="36"/>
      <c r="AB388" s="50"/>
      <c r="AC388" s="56" t="str">
        <f>IF(Table1[[#This Row],[Auto Order]]=1,IF(Table1[[#This Row],[In stock]]&lt;Table1[[#This Row],[Min in stock]],1,""),"")</f>
        <v/>
      </c>
    </row>
    <row r="389" spans="1:29" x14ac:dyDescent="0.25">
      <c r="A389" s="60" t="s">
        <v>2556</v>
      </c>
      <c r="B389" s="34" t="s">
        <v>713</v>
      </c>
      <c r="C389" s="34" t="s">
        <v>352</v>
      </c>
      <c r="D389" s="34" t="s">
        <v>2557</v>
      </c>
      <c r="E389" s="34" t="s">
        <v>559</v>
      </c>
      <c r="F389" s="53">
        <v>0</v>
      </c>
      <c r="G389" s="53"/>
      <c r="H389" s="53"/>
      <c r="I38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RHM5.6DCT-ND</v>
      </c>
      <c r="J38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8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89" s="34" t="s">
        <v>2555</v>
      </c>
      <c r="M389" s="42">
        <v>0.1</v>
      </c>
      <c r="N389" s="34"/>
      <c r="O389" s="42"/>
      <c r="P389" s="34"/>
      <c r="Q389" s="42"/>
      <c r="R389" s="34"/>
      <c r="S389" s="42"/>
      <c r="T389" s="34"/>
      <c r="U389" s="42"/>
      <c r="V389" s="34"/>
      <c r="W389" s="42"/>
      <c r="X389" s="34"/>
      <c r="Y389" s="42"/>
      <c r="Z389" s="42"/>
      <c r="AA389" s="36"/>
      <c r="AB389" s="50"/>
      <c r="AC389" s="56" t="str">
        <f>IF(Table1[[#This Row],[Auto Order]]=1,IF(Table1[[#This Row],[In stock]]&lt;Table1[[#This Row],[Min in stock]],1,""),"")</f>
        <v/>
      </c>
    </row>
    <row r="390" spans="1:29" x14ac:dyDescent="0.25">
      <c r="A390" s="60" t="s">
        <v>1875</v>
      </c>
      <c r="B390" s="34" t="s">
        <v>713</v>
      </c>
      <c r="C390" s="34" t="s">
        <v>352</v>
      </c>
      <c r="D390" s="34" t="s">
        <v>1876</v>
      </c>
      <c r="E390" s="34" t="s">
        <v>559</v>
      </c>
      <c r="F390" s="53">
        <v>0</v>
      </c>
      <c r="G390" s="53"/>
      <c r="H390" s="53"/>
      <c r="I39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RHM62DCT-ND</v>
      </c>
      <c r="J39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9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90" s="34" t="s">
        <v>1874</v>
      </c>
      <c r="M390" s="42">
        <v>0.1</v>
      </c>
      <c r="N390" s="34"/>
      <c r="O390" s="42"/>
      <c r="P390" s="34"/>
      <c r="Q390" s="42"/>
      <c r="R390" s="34"/>
      <c r="S390" s="42"/>
      <c r="T390" s="34"/>
      <c r="U390" s="42"/>
      <c r="V390" s="34"/>
      <c r="W390" s="42"/>
      <c r="X390" s="34"/>
      <c r="Y390" s="42"/>
      <c r="Z390" s="42"/>
      <c r="AA390" s="36"/>
      <c r="AB390" s="50"/>
      <c r="AC390" s="56" t="str">
        <f>IF(Table1[[#This Row],[Auto Order]]=1,IF(Table1[[#This Row],[In stock]]&lt;Table1[[#This Row],[Min in stock]],1,""),"")</f>
        <v/>
      </c>
    </row>
    <row r="391" spans="1:29" x14ac:dyDescent="0.25">
      <c r="A391" s="60" t="s">
        <v>2415</v>
      </c>
      <c r="B391" s="34" t="s">
        <v>713</v>
      </c>
      <c r="C391" s="34" t="s">
        <v>352</v>
      </c>
      <c r="D391" s="34" t="s">
        <v>2416</v>
      </c>
      <c r="E391" s="34" t="s">
        <v>559</v>
      </c>
      <c r="F391" s="53">
        <v>0</v>
      </c>
      <c r="G391" s="53"/>
      <c r="H391" s="53"/>
      <c r="I39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RHM620DCT-ND</v>
      </c>
      <c r="J39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9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91" s="34" t="s">
        <v>2414</v>
      </c>
      <c r="M391" s="42">
        <v>0.1</v>
      </c>
      <c r="N391" s="34"/>
      <c r="O391" s="42"/>
      <c r="P391" s="34"/>
      <c r="Q391" s="42"/>
      <c r="R391" s="34"/>
      <c r="S391" s="42"/>
      <c r="T391" s="34"/>
      <c r="U391" s="42"/>
      <c r="V391" s="34"/>
      <c r="W391" s="42"/>
      <c r="X391" s="34"/>
      <c r="Y391" s="42"/>
      <c r="Z391" s="42"/>
      <c r="AA391" s="36"/>
      <c r="AB391" s="50"/>
      <c r="AC391" s="56" t="str">
        <f>IF(Table1[[#This Row],[Auto Order]]=1,IF(Table1[[#This Row],[In stock]]&lt;Table1[[#This Row],[Min in stock]],1,""),"")</f>
        <v/>
      </c>
    </row>
    <row r="392" spans="1:29" x14ac:dyDescent="0.25">
      <c r="A392" s="60" t="s">
        <v>2667</v>
      </c>
      <c r="B392" s="34" t="s">
        <v>713</v>
      </c>
      <c r="C392" s="34" t="s">
        <v>352</v>
      </c>
      <c r="D392" s="34" t="s">
        <v>2668</v>
      </c>
      <c r="E392" s="34" t="s">
        <v>559</v>
      </c>
      <c r="F392" s="53">
        <v>0</v>
      </c>
      <c r="G392" s="53"/>
      <c r="H392" s="53"/>
      <c r="I39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RHM6.2KDCT-ND</v>
      </c>
      <c r="J39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9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92" s="34" t="s">
        <v>2666</v>
      </c>
      <c r="M392" s="42">
        <v>0.1</v>
      </c>
      <c r="N392" s="34"/>
      <c r="O392" s="42"/>
      <c r="P392" s="34"/>
      <c r="Q392" s="42"/>
      <c r="R392" s="34"/>
      <c r="S392" s="42"/>
      <c r="T392" s="34"/>
      <c r="U392" s="42"/>
      <c r="V392" s="34"/>
      <c r="W392" s="42"/>
      <c r="X392" s="34"/>
      <c r="Y392" s="42"/>
      <c r="Z392" s="42"/>
      <c r="AA392" s="36"/>
      <c r="AB392" s="50"/>
      <c r="AC392" s="56" t="str">
        <f>IF(Table1[[#This Row],[Auto Order]]=1,IF(Table1[[#This Row],[In stock]]&lt;Table1[[#This Row],[Min in stock]],1,""),"")</f>
        <v/>
      </c>
    </row>
    <row r="393" spans="1:29" x14ac:dyDescent="0.25">
      <c r="A393" s="60" t="s">
        <v>2559</v>
      </c>
      <c r="B393" s="34" t="s">
        <v>713</v>
      </c>
      <c r="C393" s="34" t="s">
        <v>352</v>
      </c>
      <c r="D393" s="34" t="s">
        <v>2560</v>
      </c>
      <c r="E393" s="34" t="s">
        <v>559</v>
      </c>
      <c r="F393" s="53">
        <v>0</v>
      </c>
      <c r="G393" s="53"/>
      <c r="H393" s="53"/>
      <c r="I39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RHM62KDCT-ND</v>
      </c>
      <c r="J39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9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93" s="34" t="s">
        <v>2558</v>
      </c>
      <c r="M393" s="42">
        <v>0.1</v>
      </c>
      <c r="N393" s="34"/>
      <c r="O393" s="42"/>
      <c r="P393" s="34"/>
      <c r="Q393" s="42"/>
      <c r="R393" s="34"/>
      <c r="S393" s="42"/>
      <c r="T393" s="34"/>
      <c r="U393" s="42"/>
      <c r="V393" s="34"/>
      <c r="W393" s="42"/>
      <c r="X393" s="34"/>
      <c r="Y393" s="42"/>
      <c r="Z393" s="42"/>
      <c r="AA393" s="36"/>
      <c r="AB393" s="50"/>
      <c r="AC393" s="56" t="str">
        <f>IF(Table1[[#This Row],[Auto Order]]=1,IF(Table1[[#This Row],[In stock]]&lt;Table1[[#This Row],[Min in stock]],1,""),"")</f>
        <v/>
      </c>
    </row>
    <row r="394" spans="1:29" x14ac:dyDescent="0.25">
      <c r="A394" s="60" t="s">
        <v>2418</v>
      </c>
      <c r="B394" s="34" t="s">
        <v>713</v>
      </c>
      <c r="C394" s="34" t="s">
        <v>352</v>
      </c>
      <c r="D394" s="34" t="s">
        <v>2419</v>
      </c>
      <c r="E394" s="34" t="s">
        <v>559</v>
      </c>
      <c r="F394" s="53">
        <v>0</v>
      </c>
      <c r="G394" s="53"/>
      <c r="H394" s="53"/>
      <c r="I39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RHM68DCT-ND</v>
      </c>
      <c r="J39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9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94" s="34" t="s">
        <v>2417</v>
      </c>
      <c r="M394" s="42">
        <v>0.1</v>
      </c>
      <c r="N394" s="34"/>
      <c r="O394" s="42"/>
      <c r="P394" s="34"/>
      <c r="Q394" s="42"/>
      <c r="R394" s="34"/>
      <c r="S394" s="42"/>
      <c r="T394" s="34"/>
      <c r="U394" s="42"/>
      <c r="V394" s="34"/>
      <c r="W394" s="42"/>
      <c r="X394" s="34"/>
      <c r="Y394" s="42"/>
      <c r="Z394" s="42"/>
      <c r="AA394" s="36"/>
      <c r="AB394" s="50"/>
      <c r="AC394" s="56" t="str">
        <f>IF(Table1[[#This Row],[Auto Order]]=1,IF(Table1[[#This Row],[In stock]]&lt;Table1[[#This Row],[Min in stock]],1,""),"")</f>
        <v/>
      </c>
    </row>
    <row r="395" spans="1:29" x14ac:dyDescent="0.25">
      <c r="A395" s="60" t="s">
        <v>1887</v>
      </c>
      <c r="B395" s="34" t="s">
        <v>713</v>
      </c>
      <c r="C395" s="34" t="s">
        <v>352</v>
      </c>
      <c r="D395" s="34" t="s">
        <v>1888</v>
      </c>
      <c r="E395" s="34" t="s">
        <v>559</v>
      </c>
      <c r="F395" s="53">
        <v>0</v>
      </c>
      <c r="G395" s="53"/>
      <c r="H395" s="53"/>
      <c r="I39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RHM680DCT-ND</v>
      </c>
      <c r="J39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9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95" s="34" t="s">
        <v>1886</v>
      </c>
      <c r="M395" s="42">
        <v>0.1</v>
      </c>
      <c r="N395" s="34"/>
      <c r="O395" s="42"/>
      <c r="P395" s="34"/>
      <c r="Q395" s="42"/>
      <c r="R395" s="34"/>
      <c r="S395" s="42"/>
      <c r="T395" s="34"/>
      <c r="U395" s="42"/>
      <c r="V395" s="34"/>
      <c r="W395" s="42"/>
      <c r="X395" s="34"/>
      <c r="Y395" s="42"/>
      <c r="Z395" s="42"/>
      <c r="AA395" s="36"/>
      <c r="AB395" s="50"/>
      <c r="AC395" s="56" t="str">
        <f>IF(Table1[[#This Row],[Auto Order]]=1,IF(Table1[[#This Row],[In stock]]&lt;Table1[[#This Row],[Min in stock]],1,""),"")</f>
        <v/>
      </c>
    </row>
    <row r="396" spans="1:29" x14ac:dyDescent="0.25">
      <c r="A396" s="60" t="s">
        <v>1932</v>
      </c>
      <c r="B396" s="34" t="s">
        <v>713</v>
      </c>
      <c r="C396" s="34" t="s">
        <v>352</v>
      </c>
      <c r="D396" s="34" t="s">
        <v>1933</v>
      </c>
      <c r="E396" s="34" t="s">
        <v>559</v>
      </c>
      <c r="F396" s="53">
        <v>0</v>
      </c>
      <c r="G396" s="53"/>
      <c r="H396" s="53"/>
      <c r="I39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RHM6.8KDCT-ND</v>
      </c>
      <c r="J39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9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96" s="34" t="s">
        <v>1931</v>
      </c>
      <c r="M396" s="42">
        <v>0.1</v>
      </c>
      <c r="N396" s="34"/>
      <c r="O396" s="42"/>
      <c r="P396" s="34"/>
      <c r="Q396" s="42"/>
      <c r="R396" s="34"/>
      <c r="S396" s="42"/>
      <c r="T396" s="34"/>
      <c r="U396" s="42"/>
      <c r="V396" s="34"/>
      <c r="W396" s="42"/>
      <c r="X396" s="34"/>
      <c r="Y396" s="42"/>
      <c r="Z396" s="42"/>
      <c r="AA396" s="36"/>
      <c r="AB396" s="50"/>
      <c r="AC396" s="56" t="str">
        <f>IF(Table1[[#This Row],[Auto Order]]=1,IF(Table1[[#This Row],[In stock]]&lt;Table1[[#This Row],[Min in stock]],1,""),"")</f>
        <v/>
      </c>
    </row>
    <row r="397" spans="1:29" x14ac:dyDescent="0.25">
      <c r="A397" s="60" t="s">
        <v>2670</v>
      </c>
      <c r="B397" s="34" t="s">
        <v>713</v>
      </c>
      <c r="C397" s="34" t="s">
        <v>352</v>
      </c>
      <c r="D397" s="34" t="s">
        <v>2671</v>
      </c>
      <c r="E397" s="34" t="s">
        <v>559</v>
      </c>
      <c r="F397" s="53">
        <v>0</v>
      </c>
      <c r="G397" s="53"/>
      <c r="H397" s="53"/>
      <c r="I39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RHM68KDCT-ND</v>
      </c>
      <c r="J39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9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97" s="34" t="s">
        <v>2669</v>
      </c>
      <c r="M397" s="42">
        <v>0.1</v>
      </c>
      <c r="N397" s="34"/>
      <c r="O397" s="42"/>
      <c r="P397" s="34"/>
      <c r="Q397" s="42"/>
      <c r="R397" s="34"/>
      <c r="S397" s="42"/>
      <c r="T397" s="34"/>
      <c r="U397" s="42"/>
      <c r="V397" s="34"/>
      <c r="W397" s="42"/>
      <c r="X397" s="34"/>
      <c r="Y397" s="42"/>
      <c r="Z397" s="42"/>
      <c r="AA397" s="36"/>
      <c r="AB397" s="50"/>
      <c r="AC397" s="56" t="str">
        <f>IF(Table1[[#This Row],[Auto Order]]=1,IF(Table1[[#This Row],[In stock]]&lt;Table1[[#This Row],[Min in stock]],1,""),"")</f>
        <v/>
      </c>
    </row>
    <row r="398" spans="1:29" x14ac:dyDescent="0.25">
      <c r="A398" s="60" t="s">
        <v>2844</v>
      </c>
      <c r="B398" s="34" t="s">
        <v>713</v>
      </c>
      <c r="C398" s="34" t="s">
        <v>352</v>
      </c>
      <c r="D398" s="34" t="s">
        <v>2845</v>
      </c>
      <c r="E398" s="34" t="s">
        <v>559</v>
      </c>
      <c r="F398" s="53">
        <v>0</v>
      </c>
      <c r="G398" s="53"/>
      <c r="H398" s="53"/>
      <c r="I39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RHM680KDCT-ND</v>
      </c>
      <c r="J39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9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98" s="34" t="s">
        <v>2843</v>
      </c>
      <c r="M398" s="42">
        <v>0.1</v>
      </c>
      <c r="N398" s="34"/>
      <c r="O398" s="42"/>
      <c r="P398" s="34"/>
      <c r="Q398" s="42"/>
      <c r="R398" s="34"/>
      <c r="S398" s="42"/>
      <c r="T398" s="34"/>
      <c r="U398" s="42"/>
      <c r="V398" s="34"/>
      <c r="W398" s="42"/>
      <c r="X398" s="34"/>
      <c r="Y398" s="42"/>
      <c r="Z398" s="42"/>
      <c r="AA398" s="36"/>
      <c r="AB398" s="50"/>
      <c r="AC398" s="56" t="str">
        <f>IF(Table1[[#This Row],[Auto Order]]=1,IF(Table1[[#This Row],[In stock]]&lt;Table1[[#This Row],[Min in stock]],1,""),"")</f>
        <v/>
      </c>
    </row>
    <row r="399" spans="1:29" x14ac:dyDescent="0.25">
      <c r="A399" s="60" t="s">
        <v>2760</v>
      </c>
      <c r="B399" s="34" t="s">
        <v>713</v>
      </c>
      <c r="C399" s="34" t="s">
        <v>352</v>
      </c>
      <c r="D399" s="34" t="s">
        <v>2761</v>
      </c>
      <c r="E399" s="34" t="s">
        <v>559</v>
      </c>
      <c r="F399" s="53">
        <v>0</v>
      </c>
      <c r="G399" s="53"/>
      <c r="H399" s="53"/>
      <c r="I39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RHM6.8MDCT-ND</v>
      </c>
      <c r="J39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9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99" s="34" t="s">
        <v>2759</v>
      </c>
      <c r="M399" s="42">
        <v>0.1</v>
      </c>
      <c r="N399" s="34"/>
      <c r="O399" s="42"/>
      <c r="P399" s="34"/>
      <c r="Q399" s="42"/>
      <c r="R399" s="34"/>
      <c r="S399" s="42"/>
      <c r="T399" s="34"/>
      <c r="U399" s="42"/>
      <c r="V399" s="34"/>
      <c r="W399" s="42"/>
      <c r="X399" s="34"/>
      <c r="Y399" s="42"/>
      <c r="Z399" s="42"/>
      <c r="AA399" s="36"/>
      <c r="AB399" s="50"/>
      <c r="AC399" s="56" t="str">
        <f>IF(Table1[[#This Row],[Auto Order]]=1,IF(Table1[[#This Row],[In stock]]&lt;Table1[[#This Row],[Min in stock]],1,""),"")</f>
        <v/>
      </c>
    </row>
    <row r="400" spans="1:29" x14ac:dyDescent="0.25">
      <c r="A400" s="60" t="s">
        <v>2562</v>
      </c>
      <c r="B400" s="34" t="s">
        <v>713</v>
      </c>
      <c r="C400" s="34" t="s">
        <v>352</v>
      </c>
      <c r="D400" s="34" t="s">
        <v>2563</v>
      </c>
      <c r="E400" s="34" t="s">
        <v>559</v>
      </c>
      <c r="F400" s="53">
        <v>0</v>
      </c>
      <c r="G400" s="53"/>
      <c r="H400" s="53"/>
      <c r="I40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RHM6.2DCT-ND</v>
      </c>
      <c r="J40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0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00" s="34" t="s">
        <v>2561</v>
      </c>
      <c r="M400" s="42">
        <v>0.1</v>
      </c>
      <c r="N400" s="34"/>
      <c r="O400" s="42"/>
      <c r="P400" s="34"/>
      <c r="Q400" s="42"/>
      <c r="R400" s="34"/>
      <c r="S400" s="42"/>
      <c r="T400" s="34"/>
      <c r="U400" s="42"/>
      <c r="V400" s="34"/>
      <c r="W400" s="42"/>
      <c r="X400" s="34"/>
      <c r="Y400" s="42"/>
      <c r="Z400" s="42"/>
      <c r="AA400" s="36"/>
      <c r="AB400" s="50"/>
      <c r="AC400" s="56" t="str">
        <f>IF(Table1[[#This Row],[Auto Order]]=1,IF(Table1[[#This Row],[In stock]]&lt;Table1[[#This Row],[Min in stock]],1,""),"")</f>
        <v/>
      </c>
    </row>
    <row r="401" spans="1:29" x14ac:dyDescent="0.25">
      <c r="A401" s="60" t="s">
        <v>2565</v>
      </c>
      <c r="B401" s="34" t="s">
        <v>713</v>
      </c>
      <c r="C401" s="34" t="s">
        <v>352</v>
      </c>
      <c r="D401" s="34" t="s">
        <v>2566</v>
      </c>
      <c r="E401" s="34" t="s">
        <v>559</v>
      </c>
      <c r="F401" s="53">
        <v>0</v>
      </c>
      <c r="G401" s="53"/>
      <c r="H401" s="53"/>
      <c r="I40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RHM6.8DCT-ND</v>
      </c>
      <c r="J40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0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01" s="34" t="s">
        <v>2564</v>
      </c>
      <c r="M401" s="42">
        <v>0.1</v>
      </c>
      <c r="N401" s="34"/>
      <c r="O401" s="42"/>
      <c r="P401" s="34"/>
      <c r="Q401" s="42"/>
      <c r="R401" s="34"/>
      <c r="S401" s="42"/>
      <c r="T401" s="34"/>
      <c r="U401" s="42"/>
      <c r="V401" s="34"/>
      <c r="W401" s="42"/>
      <c r="X401" s="34"/>
      <c r="Y401" s="42"/>
      <c r="Z401" s="42"/>
      <c r="AA401" s="36"/>
      <c r="AB401" s="50"/>
      <c r="AC401" s="56" t="str">
        <f>IF(Table1[[#This Row],[Auto Order]]=1,IF(Table1[[#This Row],[In stock]]&lt;Table1[[#This Row],[Min in stock]],1,""),"")</f>
        <v/>
      </c>
    </row>
    <row r="402" spans="1:29" x14ac:dyDescent="0.25">
      <c r="A402" s="60" t="s">
        <v>2421</v>
      </c>
      <c r="B402" s="34" t="s">
        <v>713</v>
      </c>
      <c r="C402" s="34" t="s">
        <v>352</v>
      </c>
      <c r="D402" s="34" t="s">
        <v>2422</v>
      </c>
      <c r="E402" s="34" t="s">
        <v>559</v>
      </c>
      <c r="F402" s="53">
        <v>0</v>
      </c>
      <c r="G402" s="53"/>
      <c r="H402" s="53"/>
      <c r="I40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RHM75DCT-ND</v>
      </c>
      <c r="J40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0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02" s="34" t="s">
        <v>2420</v>
      </c>
      <c r="M402" s="42">
        <v>0.1</v>
      </c>
      <c r="N402" s="34"/>
      <c r="O402" s="42"/>
      <c r="P402" s="34"/>
      <c r="Q402" s="42"/>
      <c r="R402" s="34"/>
      <c r="S402" s="42"/>
      <c r="T402" s="34"/>
      <c r="U402" s="42"/>
      <c r="V402" s="34"/>
      <c r="W402" s="42"/>
      <c r="X402" s="34"/>
      <c r="Y402" s="42"/>
      <c r="Z402" s="42"/>
      <c r="AA402" s="36"/>
      <c r="AB402" s="50"/>
      <c r="AC402" s="56" t="str">
        <f>IF(Table1[[#This Row],[Auto Order]]=1,IF(Table1[[#This Row],[In stock]]&lt;Table1[[#This Row],[Min in stock]],1,""),"")</f>
        <v/>
      </c>
    </row>
    <row r="403" spans="1:29" x14ac:dyDescent="0.25">
      <c r="A403" s="60" t="s">
        <v>2889</v>
      </c>
      <c r="B403" s="34" t="s">
        <v>713</v>
      </c>
      <c r="C403" s="34" t="s">
        <v>352</v>
      </c>
      <c r="D403" s="34" t="s">
        <v>2890</v>
      </c>
      <c r="E403" s="34" t="s">
        <v>559</v>
      </c>
      <c r="F403" s="53">
        <v>0</v>
      </c>
      <c r="G403" s="53"/>
      <c r="H403" s="53"/>
      <c r="I40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RHM750DCT-ND</v>
      </c>
      <c r="J40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0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03" s="34" t="s">
        <v>2888</v>
      </c>
      <c r="M403" s="42">
        <v>0.1</v>
      </c>
      <c r="N403" s="34"/>
      <c r="O403" s="42"/>
      <c r="P403" s="34"/>
      <c r="Q403" s="42"/>
      <c r="R403" s="34"/>
      <c r="S403" s="42"/>
      <c r="T403" s="34"/>
      <c r="U403" s="42"/>
      <c r="V403" s="34"/>
      <c r="W403" s="42"/>
      <c r="X403" s="34"/>
      <c r="Y403" s="42"/>
      <c r="Z403" s="42"/>
      <c r="AA403" s="36"/>
      <c r="AB403" s="50"/>
      <c r="AC403" s="56" t="str">
        <f>IF(Table1[[#This Row],[Auto Order]]=1,IF(Table1[[#This Row],[In stock]]&lt;Table1[[#This Row],[Min in stock]],1,""),"")</f>
        <v/>
      </c>
    </row>
    <row r="404" spans="1:29" x14ac:dyDescent="0.25">
      <c r="A404" s="60" t="s">
        <v>2199</v>
      </c>
      <c r="B404" s="34" t="s">
        <v>713</v>
      </c>
      <c r="C404" s="34" t="s">
        <v>352</v>
      </c>
      <c r="D404" s="34" t="s">
        <v>2200</v>
      </c>
      <c r="E404" s="34" t="s">
        <v>559</v>
      </c>
      <c r="F404" s="53">
        <v>0</v>
      </c>
      <c r="G404" s="53"/>
      <c r="H404" s="53"/>
      <c r="I40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RHM7.5KDCT-ND</v>
      </c>
      <c r="J40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0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04" s="34" t="s">
        <v>2198</v>
      </c>
      <c r="M404" s="42">
        <v>0.1</v>
      </c>
      <c r="N404" s="34"/>
      <c r="O404" s="42"/>
      <c r="P404" s="34"/>
      <c r="Q404" s="42"/>
      <c r="R404" s="34"/>
      <c r="S404" s="42"/>
      <c r="T404" s="34"/>
      <c r="U404" s="42"/>
      <c r="V404" s="34"/>
      <c r="W404" s="42"/>
      <c r="X404" s="34"/>
      <c r="Y404" s="42"/>
      <c r="Z404" s="42"/>
      <c r="AA404" s="36"/>
      <c r="AB404" s="50"/>
      <c r="AC404" s="56" t="str">
        <f>IF(Table1[[#This Row],[Auto Order]]=1,IF(Table1[[#This Row],[In stock]]&lt;Table1[[#This Row],[Min in stock]],1,""),"")</f>
        <v/>
      </c>
    </row>
    <row r="405" spans="1:29" x14ac:dyDescent="0.25">
      <c r="A405" s="60" t="s">
        <v>2568</v>
      </c>
      <c r="B405" s="34" t="s">
        <v>713</v>
      </c>
      <c r="C405" s="34" t="s">
        <v>352</v>
      </c>
      <c r="D405" s="34" t="s">
        <v>2569</v>
      </c>
      <c r="E405" s="34" t="s">
        <v>559</v>
      </c>
      <c r="F405" s="53">
        <v>0</v>
      </c>
      <c r="G405" s="53"/>
      <c r="H405" s="53"/>
      <c r="I40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RHM75KDCT-ND</v>
      </c>
      <c r="J40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0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05" s="34" t="s">
        <v>2567</v>
      </c>
      <c r="M405" s="42">
        <v>0.1</v>
      </c>
      <c r="N405" s="34"/>
      <c r="O405" s="42"/>
      <c r="P405" s="34"/>
      <c r="Q405" s="42"/>
      <c r="R405" s="34"/>
      <c r="S405" s="42"/>
      <c r="T405" s="34"/>
      <c r="U405" s="42"/>
      <c r="V405" s="34"/>
      <c r="W405" s="42"/>
      <c r="X405" s="34"/>
      <c r="Y405" s="42"/>
      <c r="Z405" s="42"/>
      <c r="AA405" s="36"/>
      <c r="AB405" s="50"/>
      <c r="AC405" s="56" t="str">
        <f>IF(Table1[[#This Row],[Auto Order]]=1,IF(Table1[[#This Row],[In stock]]&lt;Table1[[#This Row],[Min in stock]],1,""),"")</f>
        <v/>
      </c>
    </row>
    <row r="406" spans="1:29" x14ac:dyDescent="0.25">
      <c r="A406" s="60" t="s">
        <v>2754</v>
      </c>
      <c r="B406" s="34" t="s">
        <v>713</v>
      </c>
      <c r="C406" s="34" t="s">
        <v>352</v>
      </c>
      <c r="D406" s="34" t="s">
        <v>2755</v>
      </c>
      <c r="E406" s="34" t="s">
        <v>559</v>
      </c>
      <c r="F406" s="53">
        <v>0</v>
      </c>
      <c r="G406" s="53"/>
      <c r="H406" s="53"/>
      <c r="I40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RHM750KDCT-ND</v>
      </c>
      <c r="J40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0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06" s="34" t="s">
        <v>2753</v>
      </c>
      <c r="M406" s="42">
        <v>0.1</v>
      </c>
      <c r="N406" s="34"/>
      <c r="O406" s="42"/>
      <c r="P406" s="34"/>
      <c r="Q406" s="42"/>
      <c r="R406" s="34"/>
      <c r="S406" s="42"/>
      <c r="T406" s="34"/>
      <c r="U406" s="42"/>
      <c r="V406" s="34"/>
      <c r="W406" s="42"/>
      <c r="X406" s="34"/>
      <c r="Y406" s="42"/>
      <c r="Z406" s="42"/>
      <c r="AA406" s="36"/>
      <c r="AB406" s="50"/>
      <c r="AC406" s="56" t="str">
        <f>IF(Table1[[#This Row],[Auto Order]]=1,IF(Table1[[#This Row],[In stock]]&lt;Table1[[#This Row],[Min in stock]],1,""),"")</f>
        <v/>
      </c>
    </row>
    <row r="407" spans="1:29" x14ac:dyDescent="0.25">
      <c r="A407" s="60" t="s">
        <v>2628</v>
      </c>
      <c r="B407" s="34" t="s">
        <v>713</v>
      </c>
      <c r="C407" s="34" t="s">
        <v>352</v>
      </c>
      <c r="D407" s="34" t="s">
        <v>2629</v>
      </c>
      <c r="E407" s="34" t="s">
        <v>559</v>
      </c>
      <c r="F407" s="53">
        <v>0</v>
      </c>
      <c r="G407" s="53"/>
      <c r="H407" s="53"/>
      <c r="I40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RHM7.5MDCT-ND</v>
      </c>
      <c r="J40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0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07" s="34" t="s">
        <v>2627</v>
      </c>
      <c r="M407" s="42">
        <v>0.1</v>
      </c>
      <c r="N407" s="34"/>
      <c r="O407" s="42"/>
      <c r="P407" s="34"/>
      <c r="Q407" s="42"/>
      <c r="R407" s="34"/>
      <c r="S407" s="42"/>
      <c r="T407" s="34"/>
      <c r="U407" s="42"/>
      <c r="V407" s="34"/>
      <c r="W407" s="42"/>
      <c r="X407" s="34"/>
      <c r="Y407" s="42"/>
      <c r="Z407" s="42"/>
      <c r="AA407" s="36"/>
      <c r="AB407" s="50"/>
      <c r="AC407" s="56" t="str">
        <f>IF(Table1[[#This Row],[Auto Order]]=1,IF(Table1[[#This Row],[In stock]]&lt;Table1[[#This Row],[Min in stock]],1,""),"")</f>
        <v/>
      </c>
    </row>
    <row r="408" spans="1:29" x14ac:dyDescent="0.25">
      <c r="A408" s="60" t="s">
        <v>2745</v>
      </c>
      <c r="B408" s="34" t="s">
        <v>713</v>
      </c>
      <c r="C408" s="34" t="s">
        <v>352</v>
      </c>
      <c r="D408" s="34" t="s">
        <v>2746</v>
      </c>
      <c r="E408" s="34" t="s">
        <v>559</v>
      </c>
      <c r="F408" s="53">
        <v>0</v>
      </c>
      <c r="G408" s="53"/>
      <c r="H408" s="53"/>
      <c r="I40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RHM7.5DCT-ND</v>
      </c>
      <c r="J40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0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08" s="34" t="s">
        <v>2744</v>
      </c>
      <c r="M408" s="42">
        <v>0.1</v>
      </c>
      <c r="N408" s="34"/>
      <c r="O408" s="42"/>
      <c r="P408" s="34"/>
      <c r="Q408" s="42"/>
      <c r="R408" s="34"/>
      <c r="S408" s="42"/>
      <c r="T408" s="34"/>
      <c r="U408" s="42"/>
      <c r="V408" s="34"/>
      <c r="W408" s="42"/>
      <c r="X408" s="34"/>
      <c r="Y408" s="42"/>
      <c r="Z408" s="42"/>
      <c r="AA408" s="36"/>
      <c r="AB408" s="50"/>
      <c r="AC408" s="56" t="str">
        <f>IF(Table1[[#This Row],[Auto Order]]=1,IF(Table1[[#This Row],[In stock]]&lt;Table1[[#This Row],[Min in stock]],1,""),"")</f>
        <v/>
      </c>
    </row>
    <row r="409" spans="1:29" x14ac:dyDescent="0.25">
      <c r="A409" s="60" t="s">
        <v>2424</v>
      </c>
      <c r="B409" s="34" t="s">
        <v>713</v>
      </c>
      <c r="C409" s="34" t="s">
        <v>352</v>
      </c>
      <c r="D409" s="34" t="s">
        <v>2425</v>
      </c>
      <c r="E409" s="34" t="s">
        <v>559</v>
      </c>
      <c r="F409" s="53">
        <v>0</v>
      </c>
      <c r="G409" s="53"/>
      <c r="H409" s="53"/>
      <c r="I40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RHM82DCT-ND</v>
      </c>
      <c r="J40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0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09" s="34" t="s">
        <v>2423</v>
      </c>
      <c r="M409" s="42">
        <v>0.1</v>
      </c>
      <c r="N409" s="34"/>
      <c r="O409" s="42"/>
      <c r="P409" s="34"/>
      <c r="Q409" s="42"/>
      <c r="R409" s="34"/>
      <c r="S409" s="42"/>
      <c r="T409" s="34"/>
      <c r="U409" s="42"/>
      <c r="V409" s="34"/>
      <c r="W409" s="42"/>
      <c r="X409" s="34"/>
      <c r="Y409" s="42"/>
      <c r="Z409" s="42"/>
      <c r="AA409" s="36"/>
      <c r="AB409" s="50"/>
      <c r="AC409" s="56" t="str">
        <f>IF(Table1[[#This Row],[Auto Order]]=1,IF(Table1[[#This Row],[In stock]]&lt;Table1[[#This Row],[Min in stock]],1,""),"")</f>
        <v/>
      </c>
    </row>
    <row r="410" spans="1:29" x14ac:dyDescent="0.25">
      <c r="A410" s="60" t="s">
        <v>2427</v>
      </c>
      <c r="B410" s="34" t="s">
        <v>713</v>
      </c>
      <c r="C410" s="34" t="s">
        <v>352</v>
      </c>
      <c r="D410" s="34" t="s">
        <v>2428</v>
      </c>
      <c r="E410" s="34" t="s">
        <v>559</v>
      </c>
      <c r="F410" s="53">
        <v>0</v>
      </c>
      <c r="G410" s="53"/>
      <c r="H410" s="53"/>
      <c r="I41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RHM820DCT-ND</v>
      </c>
      <c r="J41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1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10" s="34" t="s">
        <v>2426</v>
      </c>
      <c r="M410" s="42">
        <v>0.1</v>
      </c>
      <c r="N410" s="34"/>
      <c r="O410" s="42"/>
      <c r="P410" s="34"/>
      <c r="Q410" s="42"/>
      <c r="R410" s="34"/>
      <c r="S410" s="42"/>
      <c r="T410" s="34"/>
      <c r="U410" s="42"/>
      <c r="V410" s="34"/>
      <c r="W410" s="42"/>
      <c r="X410" s="34"/>
      <c r="Y410" s="42"/>
      <c r="Z410" s="42"/>
      <c r="AA410" s="36"/>
      <c r="AB410" s="50"/>
      <c r="AC410" s="56" t="str">
        <f>IF(Table1[[#This Row],[Auto Order]]=1,IF(Table1[[#This Row],[In stock]]&lt;Table1[[#This Row],[Min in stock]],1,""),"")</f>
        <v/>
      </c>
    </row>
    <row r="411" spans="1:29" x14ac:dyDescent="0.25">
      <c r="A411" s="60" t="s">
        <v>2430</v>
      </c>
      <c r="B411" s="34" t="s">
        <v>713</v>
      </c>
      <c r="C411" s="34" t="s">
        <v>352</v>
      </c>
      <c r="D411" s="34" t="s">
        <v>2431</v>
      </c>
      <c r="E411" s="34" t="s">
        <v>559</v>
      </c>
      <c r="F411" s="53">
        <v>0</v>
      </c>
      <c r="G411" s="53"/>
      <c r="H411" s="53"/>
      <c r="I41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RHM8.2KDCT-ND</v>
      </c>
      <c r="J41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1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11" s="34" t="s">
        <v>2429</v>
      </c>
      <c r="M411" s="42">
        <v>0.1</v>
      </c>
      <c r="N411" s="34"/>
      <c r="O411" s="42"/>
      <c r="P411" s="34"/>
      <c r="Q411" s="42"/>
      <c r="R411" s="34"/>
      <c r="S411" s="42"/>
      <c r="T411" s="34"/>
      <c r="U411" s="42"/>
      <c r="V411" s="34"/>
      <c r="W411" s="42"/>
      <c r="X411" s="34"/>
      <c r="Y411" s="42"/>
      <c r="Z411" s="42"/>
      <c r="AA411" s="36"/>
      <c r="AB411" s="50"/>
      <c r="AC411" s="56" t="str">
        <f>IF(Table1[[#This Row],[Auto Order]]=1,IF(Table1[[#This Row],[In stock]]&lt;Table1[[#This Row],[Min in stock]],1,""),"")</f>
        <v/>
      </c>
    </row>
    <row r="412" spans="1:29" x14ac:dyDescent="0.25">
      <c r="A412" s="60" t="s">
        <v>2865</v>
      </c>
      <c r="B412" s="34" t="s">
        <v>713</v>
      </c>
      <c r="C412" s="34" t="s">
        <v>352</v>
      </c>
      <c r="D412" s="34" t="s">
        <v>2866</v>
      </c>
      <c r="E412" s="34" t="s">
        <v>559</v>
      </c>
      <c r="F412" s="53">
        <v>0</v>
      </c>
      <c r="G412" s="53"/>
      <c r="H412" s="53"/>
      <c r="I41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RHM82KDCT-ND</v>
      </c>
      <c r="J41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1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12" s="34" t="s">
        <v>2864</v>
      </c>
      <c r="M412" s="42">
        <v>0.1</v>
      </c>
      <c r="N412" s="34"/>
      <c r="O412" s="42"/>
      <c r="P412" s="34"/>
      <c r="Q412" s="42"/>
      <c r="R412" s="34"/>
      <c r="S412" s="42"/>
      <c r="T412" s="34"/>
      <c r="U412" s="42"/>
      <c r="V412" s="34"/>
      <c r="W412" s="42"/>
      <c r="X412" s="34"/>
      <c r="Y412" s="42"/>
      <c r="Z412" s="42"/>
      <c r="AA412" s="36"/>
      <c r="AB412" s="50"/>
      <c r="AC412" s="56" t="str">
        <f>IF(Table1[[#This Row],[Auto Order]]=1,IF(Table1[[#This Row],[In stock]]&lt;Table1[[#This Row],[Min in stock]],1,""),"")</f>
        <v/>
      </c>
    </row>
    <row r="413" spans="1:29" x14ac:dyDescent="0.25">
      <c r="A413" s="60" t="s">
        <v>2631</v>
      </c>
      <c r="B413" s="34" t="s">
        <v>713</v>
      </c>
      <c r="C413" s="34" t="s">
        <v>352</v>
      </c>
      <c r="D413" s="34" t="s">
        <v>2632</v>
      </c>
      <c r="E413" s="34" t="s">
        <v>559</v>
      </c>
      <c r="F413" s="53">
        <v>0</v>
      </c>
      <c r="G413" s="53"/>
      <c r="H413" s="53"/>
      <c r="I41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RHM820KDCT-ND</v>
      </c>
      <c r="J41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1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13" s="34" t="s">
        <v>2630</v>
      </c>
      <c r="M413" s="42">
        <v>0.1</v>
      </c>
      <c r="N413" s="34"/>
      <c r="O413" s="42"/>
      <c r="P413" s="34"/>
      <c r="Q413" s="42"/>
      <c r="R413" s="34"/>
      <c r="S413" s="42"/>
      <c r="T413" s="34"/>
      <c r="U413" s="42"/>
      <c r="V413" s="34"/>
      <c r="W413" s="42"/>
      <c r="X413" s="34"/>
      <c r="Y413" s="42"/>
      <c r="Z413" s="42"/>
      <c r="AA413" s="36"/>
      <c r="AB413" s="50"/>
      <c r="AC413" s="56" t="str">
        <f>IF(Table1[[#This Row],[Auto Order]]=1,IF(Table1[[#This Row],[In stock]]&lt;Table1[[#This Row],[Min in stock]],1,""),"")</f>
        <v/>
      </c>
    </row>
    <row r="414" spans="1:29" x14ac:dyDescent="0.25">
      <c r="A414" s="60" t="s">
        <v>2634</v>
      </c>
      <c r="B414" s="34" t="s">
        <v>713</v>
      </c>
      <c r="C414" s="34" t="s">
        <v>352</v>
      </c>
      <c r="D414" s="34" t="s">
        <v>2635</v>
      </c>
      <c r="E414" s="34" t="s">
        <v>559</v>
      </c>
      <c r="F414" s="53">
        <v>0</v>
      </c>
      <c r="G414" s="53"/>
      <c r="H414" s="53"/>
      <c r="I41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RHM8.2MDCT-ND</v>
      </c>
      <c r="J41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1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14" s="34" t="s">
        <v>2633</v>
      </c>
      <c r="M414" s="42">
        <v>0.1</v>
      </c>
      <c r="N414" s="34"/>
      <c r="O414" s="42"/>
      <c r="P414" s="34"/>
      <c r="Q414" s="42"/>
      <c r="R414" s="34"/>
      <c r="S414" s="42"/>
      <c r="T414" s="34"/>
      <c r="U414" s="42"/>
      <c r="V414" s="34"/>
      <c r="W414" s="42"/>
      <c r="X414" s="34"/>
      <c r="Y414" s="42"/>
      <c r="Z414" s="42"/>
      <c r="AA414" s="36"/>
      <c r="AB414" s="50"/>
      <c r="AC414" s="56" t="str">
        <f>IF(Table1[[#This Row],[Auto Order]]=1,IF(Table1[[#This Row],[In stock]]&lt;Table1[[#This Row],[Min in stock]],1,""),"")</f>
        <v/>
      </c>
    </row>
    <row r="415" spans="1:29" x14ac:dyDescent="0.25">
      <c r="A415" s="60" t="s">
        <v>1968</v>
      </c>
      <c r="B415" s="34" t="s">
        <v>713</v>
      </c>
      <c r="C415" s="34" t="s">
        <v>352</v>
      </c>
      <c r="D415" s="34" t="s">
        <v>1969</v>
      </c>
      <c r="E415" s="34" t="s">
        <v>559</v>
      </c>
      <c r="F415" s="53">
        <v>0</v>
      </c>
      <c r="G415" s="53"/>
      <c r="H415" s="53"/>
      <c r="I41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RHM8.2DCT-ND</v>
      </c>
      <c r="J41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1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15" s="34" t="s">
        <v>1967</v>
      </c>
      <c r="M415" s="42">
        <v>0.1</v>
      </c>
      <c r="N415" s="34"/>
      <c r="O415" s="42"/>
      <c r="P415" s="34"/>
      <c r="Q415" s="42"/>
      <c r="R415" s="34"/>
      <c r="S415" s="42"/>
      <c r="T415" s="34"/>
      <c r="U415" s="42"/>
      <c r="V415" s="34"/>
      <c r="W415" s="42"/>
      <c r="X415" s="34"/>
      <c r="Y415" s="42"/>
      <c r="Z415" s="42"/>
      <c r="AA415" s="36"/>
      <c r="AB415" s="50"/>
      <c r="AC415" s="56" t="str">
        <f>IF(Table1[[#This Row],[Auto Order]]=1,IF(Table1[[#This Row],[In stock]]&lt;Table1[[#This Row],[Min in stock]],1,""),"")</f>
        <v/>
      </c>
    </row>
    <row r="416" spans="1:29" x14ac:dyDescent="0.25">
      <c r="A416" s="60" t="s">
        <v>2880</v>
      </c>
      <c r="B416" s="34" t="s">
        <v>713</v>
      </c>
      <c r="C416" s="34" t="s">
        <v>352</v>
      </c>
      <c r="D416" s="34" t="s">
        <v>2881</v>
      </c>
      <c r="E416" s="34" t="s">
        <v>559</v>
      </c>
      <c r="F416" s="53">
        <v>0</v>
      </c>
      <c r="G416" s="53"/>
      <c r="H416" s="53"/>
      <c r="I41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RHM91DCT-ND</v>
      </c>
      <c r="J41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1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16" s="34" t="s">
        <v>2879</v>
      </c>
      <c r="M416" s="42">
        <v>0.1</v>
      </c>
      <c r="N416" s="34"/>
      <c r="O416" s="42"/>
      <c r="P416" s="34"/>
      <c r="Q416" s="42"/>
      <c r="R416" s="34"/>
      <c r="S416" s="42"/>
      <c r="T416" s="34"/>
      <c r="U416" s="42"/>
      <c r="V416" s="34"/>
      <c r="W416" s="42"/>
      <c r="X416" s="34"/>
      <c r="Y416" s="42"/>
      <c r="Z416" s="42"/>
      <c r="AA416" s="36"/>
      <c r="AB416" s="50"/>
      <c r="AC416" s="56" t="str">
        <f>IF(Table1[[#This Row],[Auto Order]]=1,IF(Table1[[#This Row],[In stock]]&lt;Table1[[#This Row],[Min in stock]],1,""),"")</f>
        <v/>
      </c>
    </row>
    <row r="417" spans="1:29" x14ac:dyDescent="0.25">
      <c r="A417" s="60" t="s">
        <v>2448</v>
      </c>
      <c r="B417" s="34" t="s">
        <v>713</v>
      </c>
      <c r="C417" s="34" t="s">
        <v>352</v>
      </c>
      <c r="D417" s="34" t="s">
        <v>2449</v>
      </c>
      <c r="E417" s="34" t="s">
        <v>559</v>
      </c>
      <c r="F417" s="53">
        <v>0</v>
      </c>
      <c r="G417" s="53"/>
      <c r="H417" s="53"/>
      <c r="I41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RHM910DCT-ND</v>
      </c>
      <c r="J41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1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17" s="34" t="s">
        <v>2447</v>
      </c>
      <c r="M417" s="42">
        <v>0.1</v>
      </c>
      <c r="N417" s="34"/>
      <c r="O417" s="42"/>
      <c r="P417" s="34"/>
      <c r="Q417" s="42"/>
      <c r="R417" s="34"/>
      <c r="S417" s="42"/>
      <c r="T417" s="34"/>
      <c r="U417" s="42"/>
      <c r="V417" s="34"/>
      <c r="W417" s="42"/>
      <c r="X417" s="34"/>
      <c r="Y417" s="42"/>
      <c r="Z417" s="42"/>
      <c r="AA417" s="36"/>
      <c r="AB417" s="50"/>
      <c r="AC417" s="56" t="str">
        <f>IF(Table1[[#This Row],[Auto Order]]=1,IF(Table1[[#This Row],[In stock]]&lt;Table1[[#This Row],[Min in stock]],1,""),"")</f>
        <v/>
      </c>
    </row>
    <row r="418" spans="1:29" x14ac:dyDescent="0.25">
      <c r="A418" s="60" t="s">
        <v>2736</v>
      </c>
      <c r="B418" s="34" t="s">
        <v>713</v>
      </c>
      <c r="C418" s="34" t="s">
        <v>352</v>
      </c>
      <c r="D418" s="34" t="s">
        <v>2737</v>
      </c>
      <c r="E418" s="34" t="s">
        <v>559</v>
      </c>
      <c r="F418" s="53">
        <v>0</v>
      </c>
      <c r="G418" s="53"/>
      <c r="H418" s="53"/>
      <c r="I41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RHM9.1KDCT-ND</v>
      </c>
      <c r="J41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1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18" s="34" t="s">
        <v>2735</v>
      </c>
      <c r="M418" s="42">
        <v>0.1</v>
      </c>
      <c r="N418" s="34"/>
      <c r="O418" s="42"/>
      <c r="P418" s="34"/>
      <c r="Q418" s="42"/>
      <c r="R418" s="34"/>
      <c r="S418" s="42"/>
      <c r="T418" s="34"/>
      <c r="U418" s="42"/>
      <c r="V418" s="34"/>
      <c r="W418" s="42"/>
      <c r="X418" s="34"/>
      <c r="Y418" s="42"/>
      <c r="Z418" s="42"/>
      <c r="AA418" s="36"/>
      <c r="AB418" s="50"/>
      <c r="AC418" s="56" t="str">
        <f>IF(Table1[[#This Row],[Auto Order]]=1,IF(Table1[[#This Row],[In stock]]&lt;Table1[[#This Row],[Min in stock]],1,""),"")</f>
        <v/>
      </c>
    </row>
    <row r="419" spans="1:29" x14ac:dyDescent="0.25">
      <c r="A419" s="60" t="s">
        <v>2571</v>
      </c>
      <c r="B419" s="34" t="s">
        <v>713</v>
      </c>
      <c r="C419" s="34" t="s">
        <v>352</v>
      </c>
      <c r="D419" s="34" t="s">
        <v>2572</v>
      </c>
      <c r="E419" s="34" t="s">
        <v>559</v>
      </c>
      <c r="F419" s="53">
        <v>0</v>
      </c>
      <c r="G419" s="53"/>
      <c r="H419" s="53"/>
      <c r="I41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RHM91KDCT-ND</v>
      </c>
      <c r="J41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1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19" s="34" t="s">
        <v>2570</v>
      </c>
      <c r="M419" s="42">
        <v>0.1</v>
      </c>
      <c r="N419" s="34"/>
      <c r="O419" s="42"/>
      <c r="P419" s="34"/>
      <c r="Q419" s="42"/>
      <c r="R419" s="34"/>
      <c r="S419" s="42"/>
      <c r="T419" s="34"/>
      <c r="U419" s="42"/>
      <c r="V419" s="34"/>
      <c r="W419" s="42"/>
      <c r="X419" s="34"/>
      <c r="Y419" s="42"/>
      <c r="Z419" s="42"/>
      <c r="AA419" s="36"/>
      <c r="AB419" s="50"/>
      <c r="AC419" s="56" t="str">
        <f>IF(Table1[[#This Row],[Auto Order]]=1,IF(Table1[[#This Row],[In stock]]&lt;Table1[[#This Row],[Min in stock]],1,""),"")</f>
        <v/>
      </c>
    </row>
    <row r="420" spans="1:29" x14ac:dyDescent="0.25">
      <c r="A420" s="60" t="s">
        <v>2685</v>
      </c>
      <c r="B420" s="34" t="s">
        <v>713</v>
      </c>
      <c r="C420" s="34" t="s">
        <v>352</v>
      </c>
      <c r="D420" s="34" t="s">
        <v>2686</v>
      </c>
      <c r="E420" s="34" t="s">
        <v>559</v>
      </c>
      <c r="F420" s="53">
        <v>0</v>
      </c>
      <c r="G420" s="53"/>
      <c r="H420" s="53"/>
      <c r="I42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RHM910KDCT-ND</v>
      </c>
      <c r="J42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2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20" s="34" t="s">
        <v>2684</v>
      </c>
      <c r="M420" s="42">
        <v>0.1</v>
      </c>
      <c r="N420" s="34"/>
      <c r="O420" s="42"/>
      <c r="P420" s="34"/>
      <c r="Q420" s="42"/>
      <c r="R420" s="34"/>
      <c r="S420" s="42"/>
      <c r="T420" s="34"/>
      <c r="U420" s="42"/>
      <c r="V420" s="34"/>
      <c r="W420" s="42"/>
      <c r="X420" s="34"/>
      <c r="Y420" s="42"/>
      <c r="Z420" s="42"/>
      <c r="AA420" s="36"/>
      <c r="AB420" s="50"/>
      <c r="AC420" s="56" t="str">
        <f>IF(Table1[[#This Row],[Auto Order]]=1,IF(Table1[[#This Row],[In stock]]&lt;Table1[[#This Row],[Min in stock]],1,""),"")</f>
        <v/>
      </c>
    </row>
    <row r="421" spans="1:29" x14ac:dyDescent="0.25">
      <c r="A421" s="60" t="s">
        <v>2637</v>
      </c>
      <c r="B421" s="34" t="s">
        <v>713</v>
      </c>
      <c r="C421" s="34" t="s">
        <v>352</v>
      </c>
      <c r="D421" s="34" t="s">
        <v>2638</v>
      </c>
      <c r="E421" s="34" t="s">
        <v>559</v>
      </c>
      <c r="F421" s="53">
        <v>0</v>
      </c>
      <c r="G421" s="53"/>
      <c r="H421" s="53"/>
      <c r="I42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RHM9.1MDCT-ND</v>
      </c>
      <c r="J42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2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21" s="34" t="s">
        <v>2636</v>
      </c>
      <c r="M421" s="42">
        <v>0.1</v>
      </c>
      <c r="N421" s="34"/>
      <c r="O421" s="42"/>
      <c r="P421" s="34"/>
      <c r="Q421" s="42"/>
      <c r="R421" s="34"/>
      <c r="S421" s="42"/>
      <c r="T421" s="34"/>
      <c r="U421" s="42"/>
      <c r="V421" s="34"/>
      <c r="W421" s="42"/>
      <c r="X421" s="34"/>
      <c r="Y421" s="42"/>
      <c r="Z421" s="42"/>
      <c r="AA421" s="36"/>
      <c r="AB421" s="50"/>
      <c r="AC421" s="56" t="str">
        <f>IF(Table1[[#This Row],[Auto Order]]=1,IF(Table1[[#This Row],[In stock]]&lt;Table1[[#This Row],[Min in stock]],1,""),"")</f>
        <v/>
      </c>
    </row>
    <row r="422" spans="1:29" x14ac:dyDescent="0.25">
      <c r="A422" s="60" t="s">
        <v>2574</v>
      </c>
      <c r="B422" s="34" t="s">
        <v>713</v>
      </c>
      <c r="C422" s="34" t="s">
        <v>352</v>
      </c>
      <c r="D422" s="34" t="s">
        <v>2575</v>
      </c>
      <c r="E422" s="34" t="s">
        <v>559</v>
      </c>
      <c r="F422" s="53">
        <v>0</v>
      </c>
      <c r="G422" s="53"/>
      <c r="H422" s="53"/>
      <c r="I42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RHM9.1DCT-ND</v>
      </c>
      <c r="J42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2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22" s="34" t="s">
        <v>2573</v>
      </c>
      <c r="M422" s="42">
        <v>0.1</v>
      </c>
      <c r="N422" s="34"/>
      <c r="O422" s="42"/>
      <c r="P422" s="34"/>
      <c r="Q422" s="42"/>
      <c r="R422" s="34"/>
      <c r="S422" s="42"/>
      <c r="T422" s="34"/>
      <c r="U422" s="42"/>
      <c r="V422" s="34"/>
      <c r="W422" s="42"/>
      <c r="X422" s="34"/>
      <c r="Y422" s="42"/>
      <c r="Z422" s="42"/>
      <c r="AA422" s="36"/>
      <c r="AB422" s="50"/>
      <c r="AC422" s="56" t="str">
        <f>IF(Table1[[#This Row],[Auto Order]]=1,IF(Table1[[#This Row],[In stock]]&lt;Table1[[#This Row],[Min in stock]],1,""),"")</f>
        <v/>
      </c>
    </row>
    <row r="423" spans="1:29" x14ac:dyDescent="0.25">
      <c r="A423" s="60" t="s">
        <v>2010</v>
      </c>
      <c r="B423" s="34" t="s">
        <v>713</v>
      </c>
      <c r="C423" s="34" t="s">
        <v>352</v>
      </c>
      <c r="D423" s="34" t="s">
        <v>2011</v>
      </c>
      <c r="E423" s="34" t="s">
        <v>559</v>
      </c>
      <c r="F423" s="53">
        <v>0</v>
      </c>
      <c r="G423" s="53"/>
      <c r="H423" s="53"/>
      <c r="I42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RHM100AECT-ND</v>
      </c>
      <c r="J42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2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23" s="34" t="s">
        <v>2009</v>
      </c>
      <c r="M423" s="42">
        <v>0.17</v>
      </c>
      <c r="N423" s="34"/>
      <c r="O423" s="42"/>
      <c r="P423" s="34"/>
      <c r="Q423" s="42"/>
      <c r="R423" s="34"/>
      <c r="S423" s="42"/>
      <c r="T423" s="34"/>
      <c r="U423" s="42"/>
      <c r="V423" s="34"/>
      <c r="W423" s="42"/>
      <c r="X423" s="34"/>
      <c r="Y423" s="42"/>
      <c r="Z423" s="42"/>
      <c r="AA423" s="36"/>
      <c r="AB423" s="50"/>
      <c r="AC423" s="56" t="str">
        <f>IF(Table1[[#This Row],[Auto Order]]=1,IF(Table1[[#This Row],[In stock]]&lt;Table1[[#This Row],[Min in stock]],1,""),"")</f>
        <v/>
      </c>
    </row>
    <row r="424" spans="1:29" x14ac:dyDescent="0.25">
      <c r="A424" s="60" t="s">
        <v>1800</v>
      </c>
      <c r="B424" s="34" t="s">
        <v>713</v>
      </c>
      <c r="C424" s="34" t="s">
        <v>352</v>
      </c>
      <c r="D424" s="34" t="s">
        <v>1801</v>
      </c>
      <c r="E424" s="34" t="s">
        <v>559</v>
      </c>
      <c r="F424" s="53">
        <v>0</v>
      </c>
      <c r="G424" s="53"/>
      <c r="H424" s="53"/>
      <c r="I42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RHM1.00KAECT-ND</v>
      </c>
      <c r="J42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2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24" s="34" t="s">
        <v>1799</v>
      </c>
      <c r="M424" s="42">
        <v>0.17</v>
      </c>
      <c r="N424" s="34"/>
      <c r="O424" s="42"/>
      <c r="P424" s="34"/>
      <c r="Q424" s="42"/>
      <c r="R424" s="34"/>
      <c r="S424" s="42"/>
      <c r="T424" s="34"/>
      <c r="U424" s="42"/>
      <c r="V424" s="34"/>
      <c r="W424" s="42"/>
      <c r="X424" s="34"/>
      <c r="Y424" s="42"/>
      <c r="Z424" s="42"/>
      <c r="AA424" s="36"/>
      <c r="AB424" s="50"/>
      <c r="AC424" s="56" t="str">
        <f>IF(Table1[[#This Row],[Auto Order]]=1,IF(Table1[[#This Row],[In stock]]&lt;Table1[[#This Row],[Min in stock]],1,""),"")</f>
        <v/>
      </c>
    </row>
    <row r="425" spans="1:29" x14ac:dyDescent="0.25">
      <c r="A425" s="60" t="s">
        <v>2007</v>
      </c>
      <c r="B425" s="34" t="s">
        <v>713</v>
      </c>
      <c r="C425" s="34" t="s">
        <v>352</v>
      </c>
      <c r="D425" s="34" t="s">
        <v>2008</v>
      </c>
      <c r="E425" s="34" t="s">
        <v>559</v>
      </c>
      <c r="F425" s="53">
        <v>0</v>
      </c>
      <c r="G425" s="53"/>
      <c r="H425" s="53"/>
      <c r="I42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RHM10.0KAECT-ND</v>
      </c>
      <c r="J42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2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25" s="34" t="s">
        <v>2006</v>
      </c>
      <c r="M425" s="42">
        <v>0.17</v>
      </c>
      <c r="N425" s="34"/>
      <c r="O425" s="42"/>
      <c r="P425" s="34"/>
      <c r="Q425" s="42"/>
      <c r="R425" s="34"/>
      <c r="S425" s="42"/>
      <c r="T425" s="34"/>
      <c r="U425" s="42"/>
      <c r="V425" s="34"/>
      <c r="W425" s="42"/>
      <c r="X425" s="34"/>
      <c r="Y425" s="42"/>
      <c r="Z425" s="42"/>
      <c r="AA425" s="36"/>
      <c r="AB425" s="50"/>
      <c r="AC425" s="56" t="str">
        <f>IF(Table1[[#This Row],[Auto Order]]=1,IF(Table1[[#This Row],[In stock]]&lt;Table1[[#This Row],[Min in stock]],1,""),"")</f>
        <v/>
      </c>
    </row>
    <row r="426" spans="1:29" x14ac:dyDescent="0.25">
      <c r="A426" s="60" t="s">
        <v>2019</v>
      </c>
      <c r="B426" s="34" t="s">
        <v>713</v>
      </c>
      <c r="C426" s="34" t="s">
        <v>352</v>
      </c>
      <c r="D426" s="34" t="s">
        <v>2020</v>
      </c>
      <c r="E426" s="34" t="s">
        <v>559</v>
      </c>
      <c r="F426" s="53">
        <v>0</v>
      </c>
      <c r="G426" s="53"/>
      <c r="H426" s="53"/>
      <c r="I42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RHM100KAECT-ND</v>
      </c>
      <c r="J42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2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26" s="34" t="s">
        <v>2018</v>
      </c>
      <c r="M426" s="42">
        <v>0.17</v>
      </c>
      <c r="N426" s="34"/>
      <c r="O426" s="42"/>
      <c r="P426" s="34"/>
      <c r="Q426" s="42"/>
      <c r="R426" s="34"/>
      <c r="S426" s="42"/>
      <c r="T426" s="34"/>
      <c r="U426" s="42"/>
      <c r="V426" s="34"/>
      <c r="W426" s="42"/>
      <c r="X426" s="34"/>
      <c r="Y426" s="42"/>
      <c r="Z426" s="42"/>
      <c r="AA426" s="36"/>
      <c r="AB426" s="50"/>
      <c r="AC426" s="56" t="str">
        <f>IF(Table1[[#This Row],[Auto Order]]=1,IF(Table1[[#This Row],[In stock]]&lt;Table1[[#This Row],[Min in stock]],1,""),"")</f>
        <v/>
      </c>
    </row>
    <row r="427" spans="1:29" x14ac:dyDescent="0.25">
      <c r="A427" s="60" t="s">
        <v>1797</v>
      </c>
      <c r="B427" s="34" t="s">
        <v>713</v>
      </c>
      <c r="C427" s="34" t="s">
        <v>352</v>
      </c>
      <c r="D427" s="34" t="s">
        <v>1798</v>
      </c>
      <c r="E427" s="34" t="s">
        <v>559</v>
      </c>
      <c r="F427" s="53">
        <v>0</v>
      </c>
      <c r="G427" s="53"/>
      <c r="H427" s="53"/>
      <c r="I42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RHM10.0AECT-ND</v>
      </c>
      <c r="J42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2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27" s="34" t="s">
        <v>1796</v>
      </c>
      <c r="M427" s="42">
        <v>0.17</v>
      </c>
      <c r="N427" s="34"/>
      <c r="O427" s="42"/>
      <c r="P427" s="34"/>
      <c r="Q427" s="42"/>
      <c r="R427" s="34"/>
      <c r="S427" s="42"/>
      <c r="T427" s="34"/>
      <c r="U427" s="42"/>
      <c r="V427" s="34"/>
      <c r="W427" s="42"/>
      <c r="X427" s="34"/>
      <c r="Y427" s="42"/>
      <c r="Z427" s="42"/>
      <c r="AA427" s="36"/>
      <c r="AB427" s="50"/>
      <c r="AC427" s="56" t="str">
        <f>IF(Table1[[#This Row],[Auto Order]]=1,IF(Table1[[#This Row],[In stock]]&lt;Table1[[#This Row],[Min in stock]],1,""),"")</f>
        <v/>
      </c>
    </row>
    <row r="428" spans="1:29" x14ac:dyDescent="0.25">
      <c r="A428" s="60" t="s">
        <v>2112</v>
      </c>
      <c r="B428" s="34" t="s">
        <v>713</v>
      </c>
      <c r="C428" s="34" t="s">
        <v>352</v>
      </c>
      <c r="D428" s="34" t="s">
        <v>2113</v>
      </c>
      <c r="E428" s="34" t="s">
        <v>559</v>
      </c>
      <c r="F428" s="53">
        <v>0</v>
      </c>
      <c r="G428" s="53"/>
      <c r="H428" s="53"/>
      <c r="I42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RHM1.10KAECT-ND</v>
      </c>
      <c r="J42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2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28" s="34" t="s">
        <v>2111</v>
      </c>
      <c r="M428" s="42">
        <v>0.17</v>
      </c>
      <c r="N428" s="34"/>
      <c r="O428" s="42"/>
      <c r="P428" s="34"/>
      <c r="Q428" s="42"/>
      <c r="R428" s="34"/>
      <c r="S428" s="42"/>
      <c r="T428" s="34"/>
      <c r="U428" s="42"/>
      <c r="V428" s="34"/>
      <c r="W428" s="42"/>
      <c r="X428" s="34"/>
      <c r="Y428" s="42"/>
      <c r="Z428" s="42"/>
      <c r="AA428" s="36"/>
      <c r="AB428" s="50"/>
      <c r="AC428" s="56" t="str">
        <f>IF(Table1[[#This Row],[Auto Order]]=1,IF(Table1[[#This Row],[In stock]]&lt;Table1[[#This Row],[Min in stock]],1,""),"")</f>
        <v/>
      </c>
    </row>
    <row r="429" spans="1:29" x14ac:dyDescent="0.25">
      <c r="A429" s="60" t="s">
        <v>2049</v>
      </c>
      <c r="B429" s="34" t="s">
        <v>713</v>
      </c>
      <c r="C429" s="34" t="s">
        <v>352</v>
      </c>
      <c r="D429" s="34" t="s">
        <v>2050</v>
      </c>
      <c r="E429" s="34" t="s">
        <v>559</v>
      </c>
      <c r="F429" s="53">
        <v>0</v>
      </c>
      <c r="G429" s="53"/>
      <c r="H429" s="53"/>
      <c r="I42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RHM120AECT-ND</v>
      </c>
      <c r="J42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2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29" s="34" t="s">
        <v>2048</v>
      </c>
      <c r="M429" s="42">
        <v>0.17</v>
      </c>
      <c r="N429" s="34"/>
      <c r="O429" s="42"/>
      <c r="P429" s="34"/>
      <c r="Q429" s="42"/>
      <c r="R429" s="34"/>
      <c r="S429" s="42"/>
      <c r="T429" s="34"/>
      <c r="U429" s="42"/>
      <c r="V429" s="34"/>
      <c r="W429" s="42"/>
      <c r="X429" s="34"/>
      <c r="Y429" s="42"/>
      <c r="Z429" s="42"/>
      <c r="AA429" s="36"/>
      <c r="AB429" s="50"/>
      <c r="AC429" s="56" t="str">
        <f>IF(Table1[[#This Row],[Auto Order]]=1,IF(Table1[[#This Row],[In stock]]&lt;Table1[[#This Row],[Min in stock]],1,""),"")</f>
        <v/>
      </c>
    </row>
    <row r="430" spans="1:29" x14ac:dyDescent="0.25">
      <c r="A430" s="60" t="s">
        <v>2052</v>
      </c>
      <c r="B430" s="34" t="s">
        <v>713</v>
      </c>
      <c r="C430" s="34" t="s">
        <v>352</v>
      </c>
      <c r="D430" s="34" t="s">
        <v>2053</v>
      </c>
      <c r="E430" s="34" t="s">
        <v>559</v>
      </c>
      <c r="F430" s="53">
        <v>0</v>
      </c>
      <c r="G430" s="53"/>
      <c r="H430" s="53"/>
      <c r="I43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RHM1.20KAECT-ND</v>
      </c>
      <c r="J43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3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30" s="34" t="s">
        <v>2051</v>
      </c>
      <c r="M430" s="42">
        <v>0.17</v>
      </c>
      <c r="N430" s="34"/>
      <c r="O430" s="42"/>
      <c r="P430" s="34"/>
      <c r="Q430" s="42"/>
      <c r="R430" s="34"/>
      <c r="S430" s="42"/>
      <c r="T430" s="34"/>
      <c r="U430" s="42"/>
      <c r="V430" s="34"/>
      <c r="W430" s="42"/>
      <c r="X430" s="34"/>
      <c r="Y430" s="42"/>
      <c r="Z430" s="42"/>
      <c r="AA430" s="36"/>
      <c r="AB430" s="50"/>
      <c r="AC430" s="56" t="str">
        <f>IF(Table1[[#This Row],[Auto Order]]=1,IF(Table1[[#This Row],[In stock]]&lt;Table1[[#This Row],[Min in stock]],1,""),"")</f>
        <v/>
      </c>
    </row>
    <row r="431" spans="1:29" x14ac:dyDescent="0.25">
      <c r="A431" s="60" t="s">
        <v>2061</v>
      </c>
      <c r="B431" s="34" t="s">
        <v>713</v>
      </c>
      <c r="C431" s="34" t="s">
        <v>352</v>
      </c>
      <c r="D431" s="34" t="s">
        <v>2062</v>
      </c>
      <c r="E431" s="34" t="s">
        <v>559</v>
      </c>
      <c r="F431" s="53">
        <v>0</v>
      </c>
      <c r="G431" s="53"/>
      <c r="H431" s="53"/>
      <c r="I43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RHM1.30KAECT-ND</v>
      </c>
      <c r="J43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3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31" s="34" t="s">
        <v>2060</v>
      </c>
      <c r="M431" s="42">
        <v>0.17</v>
      </c>
      <c r="N431" s="34"/>
      <c r="O431" s="42"/>
      <c r="P431" s="34"/>
      <c r="Q431" s="42"/>
      <c r="R431" s="34"/>
      <c r="S431" s="42"/>
      <c r="T431" s="34"/>
      <c r="U431" s="42"/>
      <c r="V431" s="34"/>
      <c r="W431" s="42"/>
      <c r="X431" s="34"/>
      <c r="Y431" s="42"/>
      <c r="Z431" s="42"/>
      <c r="AA431" s="36"/>
      <c r="AB431" s="50"/>
      <c r="AC431" s="56" t="str">
        <f>IF(Table1[[#This Row],[Auto Order]]=1,IF(Table1[[#This Row],[In stock]]&lt;Table1[[#This Row],[Min in stock]],1,""),"")</f>
        <v/>
      </c>
    </row>
    <row r="432" spans="1:29" x14ac:dyDescent="0.25">
      <c r="A432" s="60" t="s">
        <v>2337</v>
      </c>
      <c r="B432" s="34" t="s">
        <v>713</v>
      </c>
      <c r="C432" s="34" t="s">
        <v>352</v>
      </c>
      <c r="D432" s="34" t="s">
        <v>2338</v>
      </c>
      <c r="E432" s="34" t="s">
        <v>559</v>
      </c>
      <c r="F432" s="53">
        <v>0</v>
      </c>
      <c r="G432" s="53"/>
      <c r="H432" s="53"/>
      <c r="I43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RHM130KAECT-ND</v>
      </c>
      <c r="J43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3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32" s="34" t="s">
        <v>2336</v>
      </c>
      <c r="M432" s="42">
        <v>0.17</v>
      </c>
      <c r="N432" s="34"/>
      <c r="O432" s="42"/>
      <c r="P432" s="34"/>
      <c r="Q432" s="42"/>
      <c r="R432" s="34"/>
      <c r="S432" s="42"/>
      <c r="T432" s="34"/>
      <c r="U432" s="42"/>
      <c r="V432" s="34"/>
      <c r="W432" s="42"/>
      <c r="X432" s="34"/>
      <c r="Y432" s="42"/>
      <c r="Z432" s="42"/>
      <c r="AA432" s="36"/>
      <c r="AB432" s="50"/>
      <c r="AC432" s="56" t="str">
        <f>IF(Table1[[#This Row],[Auto Order]]=1,IF(Table1[[#This Row],[In stock]]&lt;Table1[[#This Row],[Min in stock]],1,""),"")</f>
        <v/>
      </c>
    </row>
    <row r="433" spans="1:29" x14ac:dyDescent="0.25">
      <c r="A433" s="60" t="s">
        <v>2298</v>
      </c>
      <c r="B433" s="34" t="s">
        <v>713</v>
      </c>
      <c r="C433" s="34" t="s">
        <v>352</v>
      </c>
      <c r="D433" s="34" t="s">
        <v>2299</v>
      </c>
      <c r="E433" s="34" t="s">
        <v>559</v>
      </c>
      <c r="F433" s="53">
        <v>0</v>
      </c>
      <c r="G433" s="53"/>
      <c r="H433" s="53"/>
      <c r="I43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RHM13.7AECT-ND</v>
      </c>
      <c r="J43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3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33" s="34" t="s">
        <v>2297</v>
      </c>
      <c r="M433" s="42">
        <v>0.17</v>
      </c>
      <c r="N433" s="34"/>
      <c r="O433" s="42"/>
      <c r="P433" s="34"/>
      <c r="Q433" s="42"/>
      <c r="R433" s="34"/>
      <c r="S433" s="42"/>
      <c r="T433" s="34"/>
      <c r="U433" s="42"/>
      <c r="V433" s="34"/>
      <c r="W433" s="42"/>
      <c r="X433" s="34"/>
      <c r="Y433" s="42"/>
      <c r="Z433" s="42"/>
      <c r="AA433" s="36"/>
      <c r="AB433" s="50"/>
      <c r="AC433" s="56" t="str">
        <f>IF(Table1[[#This Row],[Auto Order]]=1,IF(Table1[[#This Row],[In stock]]&lt;Table1[[#This Row],[Min in stock]],1,""),"")</f>
        <v/>
      </c>
    </row>
    <row r="434" spans="1:29" x14ac:dyDescent="0.25">
      <c r="A434" s="60" t="s">
        <v>2118</v>
      </c>
      <c r="B434" s="34" t="s">
        <v>713</v>
      </c>
      <c r="C434" s="34" t="s">
        <v>352</v>
      </c>
      <c r="D434" s="34" t="s">
        <v>2119</v>
      </c>
      <c r="E434" s="34" t="s">
        <v>559</v>
      </c>
      <c r="F434" s="53">
        <v>0</v>
      </c>
      <c r="G434" s="53"/>
      <c r="H434" s="53"/>
      <c r="I43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RHM14.0AECT-ND</v>
      </c>
      <c r="J43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3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34" s="34" t="s">
        <v>2117</v>
      </c>
      <c r="M434" s="42">
        <v>0.17</v>
      </c>
      <c r="N434" s="34"/>
      <c r="O434" s="42"/>
      <c r="P434" s="34"/>
      <c r="Q434" s="42"/>
      <c r="R434" s="34"/>
      <c r="S434" s="42"/>
      <c r="T434" s="34"/>
      <c r="U434" s="42"/>
      <c r="V434" s="34"/>
      <c r="W434" s="42"/>
      <c r="X434" s="34"/>
      <c r="Y434" s="42"/>
      <c r="Z434" s="42"/>
      <c r="AA434" s="36"/>
      <c r="AB434" s="50"/>
      <c r="AC434" s="56" t="str">
        <f>IF(Table1[[#This Row],[Auto Order]]=1,IF(Table1[[#This Row],[In stock]]&lt;Table1[[#This Row],[Min in stock]],1,""),"")</f>
        <v/>
      </c>
    </row>
    <row r="435" spans="1:29" x14ac:dyDescent="0.25">
      <c r="A435" s="60" t="s">
        <v>2310</v>
      </c>
      <c r="B435" s="34" t="s">
        <v>713</v>
      </c>
      <c r="C435" s="34" t="s">
        <v>352</v>
      </c>
      <c r="D435" s="34" t="s">
        <v>2311</v>
      </c>
      <c r="E435" s="34" t="s">
        <v>559</v>
      </c>
      <c r="F435" s="53">
        <v>0</v>
      </c>
      <c r="G435" s="53"/>
      <c r="H435" s="53"/>
      <c r="I43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RHM1.50KAECT-ND</v>
      </c>
      <c r="J43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3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35" s="34" t="s">
        <v>2309</v>
      </c>
      <c r="M435" s="42">
        <v>0.17</v>
      </c>
      <c r="N435" s="34"/>
      <c r="O435" s="42"/>
      <c r="P435" s="34"/>
      <c r="Q435" s="42"/>
      <c r="R435" s="34"/>
      <c r="S435" s="42"/>
      <c r="T435" s="34"/>
      <c r="U435" s="42"/>
      <c r="V435" s="34"/>
      <c r="W435" s="42"/>
      <c r="X435" s="34"/>
      <c r="Y435" s="42"/>
      <c r="Z435" s="42"/>
      <c r="AA435" s="36"/>
      <c r="AB435" s="50"/>
      <c r="AC435" s="56" t="str">
        <f>IF(Table1[[#This Row],[Auto Order]]=1,IF(Table1[[#This Row],[In stock]]&lt;Table1[[#This Row],[Min in stock]],1,""),"")</f>
        <v/>
      </c>
    </row>
    <row r="436" spans="1:29" x14ac:dyDescent="0.25">
      <c r="A436" s="60" t="s">
        <v>2064</v>
      </c>
      <c r="B436" s="34" t="s">
        <v>713</v>
      </c>
      <c r="C436" s="34" t="s">
        <v>352</v>
      </c>
      <c r="D436" s="34" t="s">
        <v>2065</v>
      </c>
      <c r="E436" s="34" t="s">
        <v>559</v>
      </c>
      <c r="F436" s="53">
        <v>0</v>
      </c>
      <c r="G436" s="53"/>
      <c r="H436" s="53"/>
      <c r="I43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RHM15.0KAECT-ND</v>
      </c>
      <c r="J43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3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36" s="34" t="s">
        <v>2063</v>
      </c>
      <c r="M436" s="42">
        <v>0.17</v>
      </c>
      <c r="N436" s="34"/>
      <c r="O436" s="42"/>
      <c r="P436" s="34"/>
      <c r="Q436" s="42"/>
      <c r="R436" s="34"/>
      <c r="S436" s="42"/>
      <c r="T436" s="34"/>
      <c r="U436" s="42"/>
      <c r="V436" s="34"/>
      <c r="W436" s="42"/>
      <c r="X436" s="34"/>
      <c r="Y436" s="42"/>
      <c r="Z436" s="42"/>
      <c r="AA436" s="36"/>
      <c r="AB436" s="50"/>
      <c r="AC436" s="56" t="str">
        <f>IF(Table1[[#This Row],[Auto Order]]=1,IF(Table1[[#This Row],[In stock]]&lt;Table1[[#This Row],[Min in stock]],1,""),"")</f>
        <v/>
      </c>
    </row>
    <row r="437" spans="1:29" x14ac:dyDescent="0.25">
      <c r="A437" s="60" t="s">
        <v>2121</v>
      </c>
      <c r="B437" s="34" t="s">
        <v>713</v>
      </c>
      <c r="C437" s="34" t="s">
        <v>352</v>
      </c>
      <c r="D437" s="34" t="s">
        <v>2122</v>
      </c>
      <c r="E437" s="34" t="s">
        <v>559</v>
      </c>
      <c r="F437" s="53">
        <v>0</v>
      </c>
      <c r="G437" s="53"/>
      <c r="H437" s="53"/>
      <c r="I43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RHM150KAECT-ND</v>
      </c>
      <c r="J43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3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37" s="34" t="s">
        <v>2120</v>
      </c>
      <c r="M437" s="42">
        <v>0.17</v>
      </c>
      <c r="N437" s="34"/>
      <c r="O437" s="42"/>
      <c r="P437" s="34"/>
      <c r="Q437" s="42"/>
      <c r="R437" s="34"/>
      <c r="S437" s="42"/>
      <c r="T437" s="34"/>
      <c r="U437" s="42"/>
      <c r="V437" s="34"/>
      <c r="W437" s="42"/>
      <c r="X437" s="34"/>
      <c r="Y437" s="42"/>
      <c r="Z437" s="42"/>
      <c r="AA437" s="36"/>
      <c r="AB437" s="50"/>
      <c r="AC437" s="56" t="str">
        <f>IF(Table1[[#This Row],[Auto Order]]=1,IF(Table1[[#This Row],[In stock]]&lt;Table1[[#This Row],[Min in stock]],1,""),"")</f>
        <v/>
      </c>
    </row>
    <row r="438" spans="1:29" x14ac:dyDescent="0.25">
      <c r="A438" s="60" t="s">
        <v>2022</v>
      </c>
      <c r="B438" s="34" t="s">
        <v>713</v>
      </c>
      <c r="C438" s="34" t="s">
        <v>352</v>
      </c>
      <c r="D438" s="34" t="s">
        <v>2023</v>
      </c>
      <c r="E438" s="34" t="s">
        <v>559</v>
      </c>
      <c r="F438" s="53">
        <v>0</v>
      </c>
      <c r="G438" s="53"/>
      <c r="H438" s="53"/>
      <c r="I43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RHM15.0AECT-ND</v>
      </c>
      <c r="J43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3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38" s="34" t="s">
        <v>2021</v>
      </c>
      <c r="M438" s="42">
        <v>0.17</v>
      </c>
      <c r="N438" s="34"/>
      <c r="O438" s="42"/>
      <c r="P438" s="34"/>
      <c r="Q438" s="42"/>
      <c r="R438" s="34"/>
      <c r="S438" s="42"/>
      <c r="T438" s="34"/>
      <c r="U438" s="42"/>
      <c r="V438" s="34"/>
      <c r="W438" s="42"/>
      <c r="X438" s="34"/>
      <c r="Y438" s="42"/>
      <c r="Z438" s="42"/>
      <c r="AA438" s="36"/>
      <c r="AB438" s="50"/>
      <c r="AC438" s="56" t="str">
        <f>IF(Table1[[#This Row],[Auto Order]]=1,IF(Table1[[#This Row],[In stock]]&lt;Table1[[#This Row],[Min in stock]],1,""),"")</f>
        <v/>
      </c>
    </row>
    <row r="439" spans="1:29" x14ac:dyDescent="0.25">
      <c r="A439" s="60" t="s">
        <v>1995</v>
      </c>
      <c r="B439" s="34" t="s">
        <v>713</v>
      </c>
      <c r="C439" s="34" t="s">
        <v>352</v>
      </c>
      <c r="D439" s="34" t="s">
        <v>1996</v>
      </c>
      <c r="E439" s="34" t="s">
        <v>559</v>
      </c>
      <c r="F439" s="53">
        <v>0</v>
      </c>
      <c r="G439" s="53"/>
      <c r="H439" s="53"/>
      <c r="I43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RHM16.0AECT-ND</v>
      </c>
      <c r="J43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3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39" s="34" t="s">
        <v>1994</v>
      </c>
      <c r="M439" s="42">
        <v>0.17</v>
      </c>
      <c r="N439" s="34"/>
      <c r="O439" s="42"/>
      <c r="P439" s="34"/>
      <c r="Q439" s="42"/>
      <c r="R439" s="34"/>
      <c r="S439" s="42"/>
      <c r="T439" s="34"/>
      <c r="U439" s="42"/>
      <c r="V439" s="34"/>
      <c r="W439" s="42"/>
      <c r="X439" s="34"/>
      <c r="Y439" s="42"/>
      <c r="Z439" s="42"/>
      <c r="AA439" s="36"/>
      <c r="AB439" s="50"/>
      <c r="AC439" s="56" t="str">
        <f>IF(Table1[[#This Row],[Auto Order]]=1,IF(Table1[[#This Row],[In stock]]&lt;Table1[[#This Row],[Min in stock]],1,""),"")</f>
        <v/>
      </c>
    </row>
    <row r="440" spans="1:29" x14ac:dyDescent="0.25">
      <c r="A440" s="60" t="s">
        <v>2295</v>
      </c>
      <c r="B440" s="34" t="s">
        <v>713</v>
      </c>
      <c r="C440" s="34" t="s">
        <v>352</v>
      </c>
      <c r="D440" s="34" t="s">
        <v>2296</v>
      </c>
      <c r="E440" s="34" t="s">
        <v>559</v>
      </c>
      <c r="F440" s="53">
        <v>0</v>
      </c>
      <c r="G440" s="53"/>
      <c r="H440" s="53"/>
      <c r="I44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RHM16.5AECT-ND</v>
      </c>
      <c r="J44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4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40" s="34" t="s">
        <v>2294</v>
      </c>
      <c r="M440" s="42">
        <v>0.17</v>
      </c>
      <c r="N440" s="34"/>
      <c r="O440" s="42"/>
      <c r="P440" s="34"/>
      <c r="Q440" s="42"/>
      <c r="R440" s="34"/>
      <c r="S440" s="42"/>
      <c r="T440" s="34"/>
      <c r="U440" s="42"/>
      <c r="V440" s="34"/>
      <c r="W440" s="42"/>
      <c r="X440" s="34"/>
      <c r="Y440" s="42"/>
      <c r="Z440" s="42"/>
      <c r="AA440" s="36"/>
      <c r="AB440" s="50"/>
      <c r="AC440" s="56" t="str">
        <f>IF(Table1[[#This Row],[Auto Order]]=1,IF(Table1[[#This Row],[In stock]]&lt;Table1[[#This Row],[Min in stock]],1,""),"")</f>
        <v/>
      </c>
    </row>
    <row r="441" spans="1:29" x14ac:dyDescent="0.25">
      <c r="A441" s="60" t="s">
        <v>2148</v>
      </c>
      <c r="B441" s="34" t="s">
        <v>713</v>
      </c>
      <c r="C441" s="34" t="s">
        <v>352</v>
      </c>
      <c r="D441" s="34" t="s">
        <v>2149</v>
      </c>
      <c r="E441" s="34" t="s">
        <v>559</v>
      </c>
      <c r="F441" s="53">
        <v>0</v>
      </c>
      <c r="G441" s="53"/>
      <c r="H441" s="53"/>
      <c r="I44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RHM18.2AECT-ND</v>
      </c>
      <c r="J44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4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41" s="34" t="s">
        <v>2147</v>
      </c>
      <c r="M441" s="42">
        <v>0.17</v>
      </c>
      <c r="N441" s="34"/>
      <c r="O441" s="42"/>
      <c r="P441" s="34"/>
      <c r="Q441" s="42"/>
      <c r="R441" s="34"/>
      <c r="S441" s="42"/>
      <c r="T441" s="34"/>
      <c r="U441" s="42"/>
      <c r="V441" s="34"/>
      <c r="W441" s="42"/>
      <c r="X441" s="34"/>
      <c r="Y441" s="42"/>
      <c r="Z441" s="42"/>
      <c r="AA441" s="36"/>
      <c r="AB441" s="50"/>
      <c r="AC441" s="56" t="str">
        <f>IF(Table1[[#This Row],[Auto Order]]=1,IF(Table1[[#This Row],[In stock]]&lt;Table1[[#This Row],[Min in stock]],1,""),"")</f>
        <v/>
      </c>
    </row>
    <row r="442" spans="1:29" x14ac:dyDescent="0.25">
      <c r="A442" s="60" t="s">
        <v>2151</v>
      </c>
      <c r="B442" s="34" t="s">
        <v>713</v>
      </c>
      <c r="C442" s="34" t="s">
        <v>352</v>
      </c>
      <c r="D442" s="34" t="s">
        <v>2152</v>
      </c>
      <c r="E442" s="34" t="s">
        <v>559</v>
      </c>
      <c r="F442" s="53">
        <v>0</v>
      </c>
      <c r="G442" s="53"/>
      <c r="H442" s="53"/>
      <c r="I44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RHM18.7AECT-ND</v>
      </c>
      <c r="J44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4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42" s="34" t="s">
        <v>2150</v>
      </c>
      <c r="M442" s="42">
        <v>0.17</v>
      </c>
      <c r="N442" s="34"/>
      <c r="O442" s="42"/>
      <c r="P442" s="34"/>
      <c r="Q442" s="42"/>
      <c r="R442" s="34"/>
      <c r="S442" s="42"/>
      <c r="T442" s="34"/>
      <c r="U442" s="42"/>
      <c r="V442" s="34"/>
      <c r="W442" s="42"/>
      <c r="X442" s="34"/>
      <c r="Y442" s="42"/>
      <c r="Z442" s="42"/>
      <c r="AA442" s="36"/>
      <c r="AB442" s="50"/>
      <c r="AC442" s="56" t="str">
        <f>IF(Table1[[#This Row],[Auto Order]]=1,IF(Table1[[#This Row],[In stock]]&lt;Table1[[#This Row],[Min in stock]],1,""),"")</f>
        <v/>
      </c>
    </row>
    <row r="443" spans="1:29" x14ac:dyDescent="0.25">
      <c r="A443" s="60" t="s">
        <v>2124</v>
      </c>
      <c r="B443" s="34" t="s">
        <v>713</v>
      </c>
      <c r="C443" s="34" t="s">
        <v>352</v>
      </c>
      <c r="D443" s="34" t="s">
        <v>2125</v>
      </c>
      <c r="E443" s="34" t="s">
        <v>559</v>
      </c>
      <c r="F443" s="53">
        <v>0</v>
      </c>
      <c r="G443" s="53"/>
      <c r="H443" s="53"/>
      <c r="I44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RHM1.30AECT-ND</v>
      </c>
      <c r="J44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4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43" s="34" t="s">
        <v>2123</v>
      </c>
      <c r="M443" s="42">
        <v>0.17</v>
      </c>
      <c r="N443" s="34"/>
      <c r="O443" s="42"/>
      <c r="P443" s="34"/>
      <c r="Q443" s="42"/>
      <c r="R443" s="34"/>
      <c r="S443" s="42"/>
      <c r="T443" s="34"/>
      <c r="U443" s="42"/>
      <c r="V443" s="34"/>
      <c r="W443" s="42"/>
      <c r="X443" s="34"/>
      <c r="Y443" s="42"/>
      <c r="Z443" s="42"/>
      <c r="AA443" s="36"/>
      <c r="AB443" s="50"/>
      <c r="AC443" s="56" t="str">
        <f>IF(Table1[[#This Row],[Auto Order]]=1,IF(Table1[[#This Row],[In stock]]&lt;Table1[[#This Row],[Min in stock]],1,""),"")</f>
        <v/>
      </c>
    </row>
    <row r="444" spans="1:29" x14ac:dyDescent="0.25">
      <c r="A444" s="60" t="s">
        <v>2283</v>
      </c>
      <c r="B444" s="34" t="s">
        <v>713</v>
      </c>
      <c r="C444" s="34" t="s">
        <v>352</v>
      </c>
      <c r="D444" s="34" t="s">
        <v>2284</v>
      </c>
      <c r="E444" s="34" t="s">
        <v>559</v>
      </c>
      <c r="F444" s="53">
        <v>0</v>
      </c>
      <c r="G444" s="53"/>
      <c r="H444" s="53"/>
      <c r="I44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RHM200AECT-ND</v>
      </c>
      <c r="J44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4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44" s="34" t="s">
        <v>2282</v>
      </c>
      <c r="M444" s="42">
        <v>0.17</v>
      </c>
      <c r="N444" s="34"/>
      <c r="O444" s="42"/>
      <c r="P444" s="34"/>
      <c r="Q444" s="42"/>
      <c r="R444" s="34"/>
      <c r="S444" s="42"/>
      <c r="T444" s="34"/>
      <c r="U444" s="42"/>
      <c r="V444" s="34"/>
      <c r="W444" s="42"/>
      <c r="X444" s="34"/>
      <c r="Y444" s="42"/>
      <c r="Z444" s="42"/>
      <c r="AA444" s="36"/>
      <c r="AB444" s="50"/>
      <c r="AC444" s="56" t="str">
        <f>IF(Table1[[#This Row],[Auto Order]]=1,IF(Table1[[#This Row],[In stock]]&lt;Table1[[#This Row],[Min in stock]],1,""),"")</f>
        <v/>
      </c>
    </row>
    <row r="445" spans="1:29" x14ac:dyDescent="0.25">
      <c r="A445" s="60" t="s">
        <v>2037</v>
      </c>
      <c r="B445" s="34" t="s">
        <v>713</v>
      </c>
      <c r="C445" s="34" t="s">
        <v>352</v>
      </c>
      <c r="D445" s="34" t="s">
        <v>2038</v>
      </c>
      <c r="E445" s="34" t="s">
        <v>559</v>
      </c>
      <c r="F445" s="53">
        <v>0</v>
      </c>
      <c r="G445" s="53"/>
      <c r="H445" s="53"/>
      <c r="I44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RHM2.00KAECT-ND</v>
      </c>
      <c r="J44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4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45" s="34" t="s">
        <v>2036</v>
      </c>
      <c r="M445" s="42">
        <v>0.17</v>
      </c>
      <c r="N445" s="34"/>
      <c r="O445" s="42"/>
      <c r="P445" s="34"/>
      <c r="Q445" s="42"/>
      <c r="R445" s="34"/>
      <c r="S445" s="42"/>
      <c r="T445" s="34"/>
      <c r="U445" s="42"/>
      <c r="V445" s="34"/>
      <c r="W445" s="42"/>
      <c r="X445" s="34"/>
      <c r="Y445" s="42"/>
      <c r="Z445" s="42"/>
      <c r="AA445" s="36"/>
      <c r="AB445" s="50"/>
      <c r="AC445" s="56" t="str">
        <f>IF(Table1[[#This Row],[Auto Order]]=1,IF(Table1[[#This Row],[In stock]]&lt;Table1[[#This Row],[Min in stock]],1,""),"")</f>
        <v/>
      </c>
    </row>
    <row r="446" spans="1:29" x14ac:dyDescent="0.25">
      <c r="A446" s="60" t="s">
        <v>2031</v>
      </c>
      <c r="B446" s="34" t="s">
        <v>713</v>
      </c>
      <c r="C446" s="34" t="s">
        <v>352</v>
      </c>
      <c r="D446" s="34" t="s">
        <v>2032</v>
      </c>
      <c r="E446" s="34" t="s">
        <v>559</v>
      </c>
      <c r="F446" s="53">
        <v>0</v>
      </c>
      <c r="G446" s="53"/>
      <c r="H446" s="53"/>
      <c r="I44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RHM20.0AECT-ND</v>
      </c>
      <c r="J44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4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46" s="34" t="s">
        <v>2030</v>
      </c>
      <c r="M446" s="42">
        <v>0.17</v>
      </c>
      <c r="N446" s="34"/>
      <c r="O446" s="42"/>
      <c r="P446" s="34"/>
      <c r="Q446" s="42"/>
      <c r="R446" s="34"/>
      <c r="S446" s="42"/>
      <c r="T446" s="34"/>
      <c r="U446" s="42"/>
      <c r="V446" s="34"/>
      <c r="W446" s="42"/>
      <c r="X446" s="34"/>
      <c r="Y446" s="42"/>
      <c r="Z446" s="42"/>
      <c r="AA446" s="36"/>
      <c r="AB446" s="50"/>
      <c r="AC446" s="56" t="str">
        <f>IF(Table1[[#This Row],[Auto Order]]=1,IF(Table1[[#This Row],[In stock]]&lt;Table1[[#This Row],[Min in stock]],1,""),"")</f>
        <v/>
      </c>
    </row>
    <row r="447" spans="1:29" x14ac:dyDescent="0.25">
      <c r="A447" s="60" t="s">
        <v>2127</v>
      </c>
      <c r="B447" s="34" t="s">
        <v>713</v>
      </c>
      <c r="C447" s="34" t="s">
        <v>352</v>
      </c>
      <c r="D447" s="34" t="s">
        <v>2128</v>
      </c>
      <c r="E447" s="34" t="s">
        <v>559</v>
      </c>
      <c r="F447" s="53">
        <v>0</v>
      </c>
      <c r="G447" s="53"/>
      <c r="H447" s="53"/>
      <c r="I44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RHM20.5AECT-ND</v>
      </c>
      <c r="J44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4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47" s="34" t="s">
        <v>2126</v>
      </c>
      <c r="M447" s="42">
        <v>0.17</v>
      </c>
      <c r="N447" s="34"/>
      <c r="O447" s="42"/>
      <c r="P447" s="34"/>
      <c r="Q447" s="42"/>
      <c r="R447" s="34"/>
      <c r="S447" s="42"/>
      <c r="T447" s="34"/>
      <c r="U447" s="42"/>
      <c r="V447" s="34"/>
      <c r="W447" s="42"/>
      <c r="X447" s="34"/>
      <c r="Y447" s="42"/>
      <c r="Z447" s="42"/>
      <c r="AA447" s="36"/>
      <c r="AB447" s="50"/>
      <c r="AC447" s="56" t="str">
        <f>IF(Table1[[#This Row],[Auto Order]]=1,IF(Table1[[#This Row],[In stock]]&lt;Table1[[#This Row],[Min in stock]],1,""),"")</f>
        <v/>
      </c>
    </row>
    <row r="448" spans="1:29" x14ac:dyDescent="0.25">
      <c r="A448" s="60" t="s">
        <v>2001</v>
      </c>
      <c r="B448" s="34" t="s">
        <v>713</v>
      </c>
      <c r="C448" s="34" t="s">
        <v>352</v>
      </c>
      <c r="D448" s="34" t="s">
        <v>2002</v>
      </c>
      <c r="E448" s="34" t="s">
        <v>559</v>
      </c>
      <c r="F448" s="53">
        <v>0</v>
      </c>
      <c r="G448" s="53"/>
      <c r="H448" s="53"/>
      <c r="I44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RHM220AECT-ND</v>
      </c>
      <c r="J44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4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48" s="34" t="s">
        <v>2000</v>
      </c>
      <c r="M448" s="42">
        <v>0.17</v>
      </c>
      <c r="N448" s="34"/>
      <c r="O448" s="42"/>
      <c r="P448" s="34"/>
      <c r="Q448" s="42"/>
      <c r="R448" s="34"/>
      <c r="S448" s="42"/>
      <c r="T448" s="34"/>
      <c r="U448" s="42"/>
      <c r="V448" s="34"/>
      <c r="W448" s="42"/>
      <c r="X448" s="34"/>
      <c r="Y448" s="42"/>
      <c r="Z448" s="42"/>
      <c r="AA448" s="36"/>
      <c r="AB448" s="50"/>
      <c r="AC448" s="56" t="str">
        <f>IF(Table1[[#This Row],[Auto Order]]=1,IF(Table1[[#This Row],[In stock]]&lt;Table1[[#This Row],[Min in stock]],1,""),"")</f>
        <v/>
      </c>
    </row>
    <row r="449" spans="1:29" x14ac:dyDescent="0.25">
      <c r="A449" s="60" t="s">
        <v>2313</v>
      </c>
      <c r="B449" s="34" t="s">
        <v>713</v>
      </c>
      <c r="C449" s="34" t="s">
        <v>352</v>
      </c>
      <c r="D449" s="34" t="s">
        <v>2314</v>
      </c>
      <c r="E449" s="34" t="s">
        <v>559</v>
      </c>
      <c r="F449" s="53">
        <v>0</v>
      </c>
      <c r="G449" s="53"/>
      <c r="H449" s="53"/>
      <c r="I44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RHM220KAECT-ND</v>
      </c>
      <c r="J44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4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49" s="34" t="s">
        <v>2312</v>
      </c>
      <c r="M449" s="42">
        <v>0.17</v>
      </c>
      <c r="N449" s="34"/>
      <c r="O449" s="42"/>
      <c r="P449" s="34"/>
      <c r="Q449" s="42"/>
      <c r="R449" s="34"/>
      <c r="S449" s="42"/>
      <c r="T449" s="34"/>
      <c r="U449" s="42"/>
      <c r="V449" s="34"/>
      <c r="W449" s="42"/>
      <c r="X449" s="34"/>
      <c r="Y449" s="42"/>
      <c r="Z449" s="42"/>
      <c r="AA449" s="36"/>
      <c r="AB449" s="50"/>
      <c r="AC449" s="56" t="str">
        <f>IF(Table1[[#This Row],[Auto Order]]=1,IF(Table1[[#This Row],[In stock]]&lt;Table1[[#This Row],[Min in stock]],1,""),"")</f>
        <v/>
      </c>
    </row>
    <row r="450" spans="1:29" x14ac:dyDescent="0.25">
      <c r="A450" s="60" t="s">
        <v>2328</v>
      </c>
      <c r="B450" s="34" t="s">
        <v>713</v>
      </c>
      <c r="C450" s="34" t="s">
        <v>352</v>
      </c>
      <c r="D450" s="34" t="s">
        <v>2329</v>
      </c>
      <c r="E450" s="34" t="s">
        <v>559</v>
      </c>
      <c r="F450" s="53">
        <v>0</v>
      </c>
      <c r="G450" s="53"/>
      <c r="H450" s="53"/>
      <c r="I45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RHM22.6AECT-ND</v>
      </c>
      <c r="J45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5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50" s="34" t="s">
        <v>2327</v>
      </c>
      <c r="M450" s="42">
        <v>0.17</v>
      </c>
      <c r="N450" s="34"/>
      <c r="O450" s="42"/>
      <c r="P450" s="34"/>
      <c r="Q450" s="42"/>
      <c r="R450" s="34"/>
      <c r="S450" s="42"/>
      <c r="T450" s="34"/>
      <c r="U450" s="42"/>
      <c r="V450" s="34"/>
      <c r="W450" s="42"/>
      <c r="X450" s="34"/>
      <c r="Y450" s="42"/>
      <c r="Z450" s="42"/>
      <c r="AA450" s="36"/>
      <c r="AB450" s="50"/>
      <c r="AC450" s="56" t="str">
        <f>IF(Table1[[#This Row],[Auto Order]]=1,IF(Table1[[#This Row],[In stock]]&lt;Table1[[#This Row],[Min in stock]],1,""),"")</f>
        <v/>
      </c>
    </row>
    <row r="451" spans="1:29" x14ac:dyDescent="0.25">
      <c r="A451" s="60" t="s">
        <v>2325</v>
      </c>
      <c r="B451" s="34" t="s">
        <v>713</v>
      </c>
      <c r="C451" s="34" t="s">
        <v>352</v>
      </c>
      <c r="D451" s="34" t="s">
        <v>2326</v>
      </c>
      <c r="E451" s="34" t="s">
        <v>559</v>
      </c>
      <c r="F451" s="53">
        <v>0</v>
      </c>
      <c r="G451" s="53"/>
      <c r="H451" s="53"/>
      <c r="I45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RHM249KAECT-ND</v>
      </c>
      <c r="J45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5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51" s="34" t="s">
        <v>2324</v>
      </c>
      <c r="M451" s="42">
        <v>0.17</v>
      </c>
      <c r="N451" s="34"/>
      <c r="O451" s="42"/>
      <c r="P451" s="34"/>
      <c r="Q451" s="42"/>
      <c r="R451" s="34"/>
      <c r="S451" s="42"/>
      <c r="T451" s="34"/>
      <c r="U451" s="42"/>
      <c r="V451" s="34"/>
      <c r="W451" s="42"/>
      <c r="X451" s="34"/>
      <c r="Y451" s="42"/>
      <c r="Z451" s="42"/>
      <c r="AA451" s="36"/>
      <c r="AB451" s="50"/>
      <c r="AC451" s="56" t="str">
        <f>IF(Table1[[#This Row],[Auto Order]]=1,IF(Table1[[#This Row],[In stock]]&lt;Table1[[#This Row],[Min in stock]],1,""),"")</f>
        <v/>
      </c>
    </row>
    <row r="452" spans="1:29" x14ac:dyDescent="0.25">
      <c r="A452" s="60" t="s">
        <v>2949</v>
      </c>
      <c r="B452" s="34" t="s">
        <v>713</v>
      </c>
      <c r="C452" s="34" t="s">
        <v>352</v>
      </c>
      <c r="D452" s="34" t="s">
        <v>2950</v>
      </c>
      <c r="E452" s="34" t="s">
        <v>559</v>
      </c>
      <c r="F452" s="53">
        <v>0</v>
      </c>
      <c r="G452" s="53"/>
      <c r="H452" s="53"/>
      <c r="I45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RHM24.0AECT-ND</v>
      </c>
      <c r="J45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5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52" s="34" t="s">
        <v>2948</v>
      </c>
      <c r="M452" s="42">
        <v>0.17</v>
      </c>
      <c r="N452" s="34"/>
      <c r="O452" s="42"/>
      <c r="P452" s="34"/>
      <c r="Q452" s="42"/>
      <c r="R452" s="34"/>
      <c r="S452" s="42"/>
      <c r="T452" s="34"/>
      <c r="U452" s="42"/>
      <c r="V452" s="34"/>
      <c r="W452" s="42"/>
      <c r="X452" s="34"/>
      <c r="Y452" s="42"/>
      <c r="Z452" s="42"/>
      <c r="AA452" s="36"/>
      <c r="AB452" s="50"/>
      <c r="AC452" s="56" t="str">
        <f>IF(Table1[[#This Row],[Auto Order]]=1,IF(Table1[[#This Row],[In stock]]&lt;Table1[[#This Row],[Min in stock]],1,""),"")</f>
        <v/>
      </c>
    </row>
    <row r="453" spans="1:29" x14ac:dyDescent="0.25">
      <c r="A453" s="60" t="s">
        <v>2280</v>
      </c>
      <c r="B453" s="34" t="s">
        <v>713</v>
      </c>
      <c r="C453" s="34" t="s">
        <v>352</v>
      </c>
      <c r="D453" s="34" t="s">
        <v>2281</v>
      </c>
      <c r="E453" s="34" t="s">
        <v>559</v>
      </c>
      <c r="F453" s="53">
        <v>0</v>
      </c>
      <c r="G453" s="53"/>
      <c r="H453" s="53"/>
      <c r="I45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RHM27.0AECT-ND</v>
      </c>
      <c r="J45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5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53" s="34" t="s">
        <v>2279</v>
      </c>
      <c r="M453" s="42">
        <v>0.17</v>
      </c>
      <c r="N453" s="34"/>
      <c r="O453" s="42"/>
      <c r="P453" s="34"/>
      <c r="Q453" s="42"/>
      <c r="R453" s="34"/>
      <c r="S453" s="42"/>
      <c r="T453" s="34"/>
      <c r="U453" s="42"/>
      <c r="V453" s="34"/>
      <c r="W453" s="42"/>
      <c r="X453" s="34"/>
      <c r="Y453" s="42"/>
      <c r="Z453" s="42"/>
      <c r="AA453" s="36"/>
      <c r="AB453" s="50"/>
      <c r="AC453" s="56" t="str">
        <f>IF(Table1[[#This Row],[Auto Order]]=1,IF(Table1[[#This Row],[In stock]]&lt;Table1[[#This Row],[Min in stock]],1,""),"")</f>
        <v/>
      </c>
    </row>
    <row r="454" spans="1:29" x14ac:dyDescent="0.25">
      <c r="A454" s="60" t="s">
        <v>2013</v>
      </c>
      <c r="B454" s="34" t="s">
        <v>713</v>
      </c>
      <c r="C454" s="34" t="s">
        <v>352</v>
      </c>
      <c r="D454" s="34" t="s">
        <v>2014</v>
      </c>
      <c r="E454" s="34" t="s">
        <v>559</v>
      </c>
      <c r="F454" s="53">
        <v>0</v>
      </c>
      <c r="G454" s="53"/>
      <c r="H454" s="53"/>
      <c r="I45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RHM2.00AECT-ND</v>
      </c>
      <c r="J45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5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54" s="34" t="s">
        <v>2012</v>
      </c>
      <c r="M454" s="42">
        <v>0.17</v>
      </c>
      <c r="N454" s="34"/>
      <c r="O454" s="42"/>
      <c r="P454" s="34"/>
      <c r="Q454" s="42"/>
      <c r="R454" s="34"/>
      <c r="S454" s="42"/>
      <c r="T454" s="34"/>
      <c r="U454" s="42"/>
      <c r="V454" s="34"/>
      <c r="W454" s="42"/>
      <c r="X454" s="34"/>
      <c r="Y454" s="42"/>
      <c r="Z454" s="42"/>
      <c r="AA454" s="36"/>
      <c r="AB454" s="50"/>
      <c r="AC454" s="56" t="str">
        <f>IF(Table1[[#This Row],[Auto Order]]=1,IF(Table1[[#This Row],[In stock]]&lt;Table1[[#This Row],[Min in stock]],1,""),"")</f>
        <v/>
      </c>
    </row>
    <row r="455" spans="1:29" x14ac:dyDescent="0.25">
      <c r="A455" s="60" t="s">
        <v>2067</v>
      </c>
      <c r="B455" s="34" t="s">
        <v>713</v>
      </c>
      <c r="C455" s="34" t="s">
        <v>352</v>
      </c>
      <c r="D455" s="34" t="s">
        <v>2068</v>
      </c>
      <c r="E455" s="34" t="s">
        <v>559</v>
      </c>
      <c r="F455" s="53">
        <v>0</v>
      </c>
      <c r="G455" s="53"/>
      <c r="H455" s="53"/>
      <c r="I45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RHM3.00KAECT-ND</v>
      </c>
      <c r="J45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5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55" s="34" t="s">
        <v>2066</v>
      </c>
      <c r="M455" s="42">
        <v>0.17</v>
      </c>
      <c r="N455" s="34"/>
      <c r="O455" s="42"/>
      <c r="P455" s="34"/>
      <c r="Q455" s="42"/>
      <c r="R455" s="34"/>
      <c r="S455" s="42"/>
      <c r="T455" s="34"/>
      <c r="U455" s="42"/>
      <c r="V455" s="34"/>
      <c r="W455" s="42"/>
      <c r="X455" s="34"/>
      <c r="Y455" s="42"/>
      <c r="Z455" s="42"/>
      <c r="AA455" s="36"/>
      <c r="AB455" s="50"/>
      <c r="AC455" s="56" t="str">
        <f>IF(Table1[[#This Row],[Auto Order]]=1,IF(Table1[[#This Row],[In stock]]&lt;Table1[[#This Row],[Min in stock]],1,""),"")</f>
        <v/>
      </c>
    </row>
    <row r="456" spans="1:29" x14ac:dyDescent="0.25">
      <c r="A456" s="60" t="s">
        <v>2040</v>
      </c>
      <c r="B456" s="34" t="s">
        <v>713</v>
      </c>
      <c r="C456" s="34" t="s">
        <v>352</v>
      </c>
      <c r="D456" s="34" t="s">
        <v>2041</v>
      </c>
      <c r="E456" s="34" t="s">
        <v>559</v>
      </c>
      <c r="F456" s="53">
        <v>0</v>
      </c>
      <c r="G456" s="53"/>
      <c r="H456" s="53"/>
      <c r="I45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RHM30.0AECT-ND</v>
      </c>
      <c r="J45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5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56" s="34" t="s">
        <v>2039</v>
      </c>
      <c r="M456" s="42">
        <v>0.17</v>
      </c>
      <c r="N456" s="34"/>
      <c r="O456" s="42"/>
      <c r="P456" s="34"/>
      <c r="Q456" s="42"/>
      <c r="R456" s="34"/>
      <c r="S456" s="42"/>
      <c r="T456" s="34"/>
      <c r="U456" s="42"/>
      <c r="V456" s="34"/>
      <c r="W456" s="42"/>
      <c r="X456" s="34"/>
      <c r="Y456" s="42"/>
      <c r="Z456" s="42"/>
      <c r="AA456" s="36"/>
      <c r="AB456" s="50"/>
      <c r="AC456" s="56" t="str">
        <f>IF(Table1[[#This Row],[Auto Order]]=1,IF(Table1[[#This Row],[In stock]]&lt;Table1[[#This Row],[Min in stock]],1,""),"")</f>
        <v/>
      </c>
    </row>
    <row r="457" spans="1:29" x14ac:dyDescent="0.25">
      <c r="A457" s="60" t="s">
        <v>2034</v>
      </c>
      <c r="B457" s="34" t="s">
        <v>713</v>
      </c>
      <c r="C457" s="34" t="s">
        <v>352</v>
      </c>
      <c r="D457" s="34" t="s">
        <v>2035</v>
      </c>
      <c r="E457" s="34" t="s">
        <v>559</v>
      </c>
      <c r="F457" s="53">
        <v>0</v>
      </c>
      <c r="G457" s="53"/>
      <c r="H457" s="53"/>
      <c r="I45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RHM330AECT-ND</v>
      </c>
      <c r="J45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5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57" s="34" t="s">
        <v>2033</v>
      </c>
      <c r="M457" s="42">
        <v>0.17</v>
      </c>
      <c r="N457" s="34"/>
      <c r="O457" s="42"/>
      <c r="P457" s="34"/>
      <c r="Q457" s="42"/>
      <c r="R457" s="34"/>
      <c r="S457" s="42"/>
      <c r="T457" s="34"/>
      <c r="U457" s="42"/>
      <c r="V457" s="34"/>
      <c r="W457" s="42"/>
      <c r="X457" s="34"/>
      <c r="Y457" s="42"/>
      <c r="Z457" s="42"/>
      <c r="AA457" s="36"/>
      <c r="AB457" s="50"/>
      <c r="AC457" s="56" t="str">
        <f>IF(Table1[[#This Row],[Auto Order]]=1,IF(Table1[[#This Row],[In stock]]&lt;Table1[[#This Row],[Min in stock]],1,""),"")</f>
        <v/>
      </c>
    </row>
    <row r="458" spans="1:29" x14ac:dyDescent="0.25">
      <c r="A458" s="60" t="s">
        <v>2055</v>
      </c>
      <c r="B458" s="34" t="s">
        <v>713</v>
      </c>
      <c r="C458" s="34" t="s">
        <v>352</v>
      </c>
      <c r="D458" s="34" t="s">
        <v>2056</v>
      </c>
      <c r="E458" s="34" t="s">
        <v>559</v>
      </c>
      <c r="F458" s="53">
        <v>0</v>
      </c>
      <c r="G458" s="53"/>
      <c r="H458" s="53"/>
      <c r="I45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RHM3.30KAECT-ND</v>
      </c>
      <c r="J45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5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58" s="34" t="s">
        <v>2054</v>
      </c>
      <c r="M458" s="42">
        <v>0.17</v>
      </c>
      <c r="N458" s="34"/>
      <c r="O458" s="42"/>
      <c r="P458" s="34"/>
      <c r="Q458" s="42"/>
      <c r="R458" s="34"/>
      <c r="S458" s="42"/>
      <c r="T458" s="34"/>
      <c r="U458" s="42"/>
      <c r="V458" s="34"/>
      <c r="W458" s="42"/>
      <c r="X458" s="34"/>
      <c r="Y458" s="42"/>
      <c r="Z458" s="42"/>
      <c r="AA458" s="36"/>
      <c r="AB458" s="50"/>
      <c r="AC458" s="56" t="str">
        <f>IF(Table1[[#This Row],[Auto Order]]=1,IF(Table1[[#This Row],[In stock]]&lt;Table1[[#This Row],[Min in stock]],1,""),"")</f>
        <v/>
      </c>
    </row>
    <row r="459" spans="1:29" x14ac:dyDescent="0.25">
      <c r="A459" s="60" t="s">
        <v>2286</v>
      </c>
      <c r="B459" s="34" t="s">
        <v>713</v>
      </c>
      <c r="C459" s="34" t="s">
        <v>352</v>
      </c>
      <c r="D459" s="34" t="s">
        <v>2287</v>
      </c>
      <c r="E459" s="34" t="s">
        <v>559</v>
      </c>
      <c r="F459" s="53">
        <v>0</v>
      </c>
      <c r="G459" s="53"/>
      <c r="H459" s="53"/>
      <c r="I45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RHM3.60KAECT-ND</v>
      </c>
      <c r="J45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5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59" s="34" t="s">
        <v>2285</v>
      </c>
      <c r="M459" s="42">
        <v>0.17</v>
      </c>
      <c r="N459" s="34"/>
      <c r="O459" s="42"/>
      <c r="P459" s="34"/>
      <c r="Q459" s="42"/>
      <c r="R459" s="34"/>
      <c r="S459" s="42"/>
      <c r="T459" s="34"/>
      <c r="U459" s="42"/>
      <c r="V459" s="34"/>
      <c r="W459" s="42"/>
      <c r="X459" s="34"/>
      <c r="Y459" s="42"/>
      <c r="Z459" s="42"/>
      <c r="AA459" s="36"/>
      <c r="AB459" s="50"/>
      <c r="AC459" s="56" t="str">
        <f>IF(Table1[[#This Row],[Auto Order]]=1,IF(Table1[[#This Row],[In stock]]&lt;Table1[[#This Row],[Min in stock]],1,""),"")</f>
        <v/>
      </c>
    </row>
    <row r="460" spans="1:29" x14ac:dyDescent="0.25">
      <c r="A460" s="60" t="s">
        <v>2130</v>
      </c>
      <c r="B460" s="34" t="s">
        <v>713</v>
      </c>
      <c r="C460" s="34" t="s">
        <v>352</v>
      </c>
      <c r="D460" s="34" t="s">
        <v>2131</v>
      </c>
      <c r="E460" s="34" t="s">
        <v>559</v>
      </c>
      <c r="F460" s="53">
        <v>0</v>
      </c>
      <c r="G460" s="53"/>
      <c r="H460" s="53"/>
      <c r="I46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RHM3.90KAECT-ND</v>
      </c>
      <c r="J46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6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60" s="34" t="s">
        <v>2129</v>
      </c>
      <c r="M460" s="42">
        <v>0.17</v>
      </c>
      <c r="N460" s="34"/>
      <c r="O460" s="42"/>
      <c r="P460" s="34"/>
      <c r="Q460" s="42"/>
      <c r="R460" s="34"/>
      <c r="S460" s="42"/>
      <c r="T460" s="34"/>
      <c r="U460" s="42"/>
      <c r="V460" s="34"/>
      <c r="W460" s="42"/>
      <c r="X460" s="34"/>
      <c r="Y460" s="42"/>
      <c r="Z460" s="42"/>
      <c r="AA460" s="36"/>
      <c r="AB460" s="50"/>
      <c r="AC460" s="56" t="str">
        <f>IF(Table1[[#This Row],[Auto Order]]=1,IF(Table1[[#This Row],[In stock]]&lt;Table1[[#This Row],[Min in stock]],1,""),"")</f>
        <v/>
      </c>
    </row>
    <row r="461" spans="1:29" x14ac:dyDescent="0.25">
      <c r="A461" s="60" t="s">
        <v>2133</v>
      </c>
      <c r="B461" s="34" t="s">
        <v>713</v>
      </c>
      <c r="C461" s="34" t="s">
        <v>352</v>
      </c>
      <c r="D461" s="34" t="s">
        <v>2134</v>
      </c>
      <c r="E461" s="34" t="s">
        <v>559</v>
      </c>
      <c r="F461" s="53">
        <v>0</v>
      </c>
      <c r="G461" s="53"/>
      <c r="H461" s="53"/>
      <c r="I46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RHM390KAECT-ND</v>
      </c>
      <c r="J46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6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61" s="34" t="s">
        <v>2132</v>
      </c>
      <c r="M461" s="42">
        <v>0.17</v>
      </c>
      <c r="N461" s="34"/>
      <c r="O461" s="42"/>
      <c r="P461" s="34"/>
      <c r="Q461" s="42"/>
      <c r="R461" s="34"/>
      <c r="S461" s="42"/>
      <c r="T461" s="34"/>
      <c r="U461" s="42"/>
      <c r="V461" s="34"/>
      <c r="W461" s="42"/>
      <c r="X461" s="34"/>
      <c r="Y461" s="42"/>
      <c r="Z461" s="42"/>
      <c r="AA461" s="36"/>
      <c r="AB461" s="50"/>
      <c r="AC461" s="56" t="str">
        <f>IF(Table1[[#This Row],[Auto Order]]=1,IF(Table1[[#This Row],[In stock]]&lt;Table1[[#This Row],[Min in stock]],1,""),"")</f>
        <v/>
      </c>
    </row>
    <row r="462" spans="1:29" x14ac:dyDescent="0.25">
      <c r="A462" s="60" t="s">
        <v>2277</v>
      </c>
      <c r="B462" s="34" t="s">
        <v>713</v>
      </c>
      <c r="C462" s="34" t="s">
        <v>352</v>
      </c>
      <c r="D462" s="34" t="s">
        <v>2278</v>
      </c>
      <c r="E462" s="34" t="s">
        <v>559</v>
      </c>
      <c r="F462" s="53">
        <v>0</v>
      </c>
      <c r="G462" s="53"/>
      <c r="H462" s="53"/>
      <c r="I46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RHM3.92AECT-ND</v>
      </c>
      <c r="J46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6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62" s="34" t="s">
        <v>2276</v>
      </c>
      <c r="M462" s="42">
        <v>0.17</v>
      </c>
      <c r="N462" s="34"/>
      <c r="O462" s="42"/>
      <c r="P462" s="34"/>
      <c r="Q462" s="42"/>
      <c r="R462" s="34"/>
      <c r="S462" s="42"/>
      <c r="T462" s="34"/>
      <c r="U462" s="42"/>
      <c r="V462" s="34"/>
      <c r="W462" s="42"/>
      <c r="X462" s="34"/>
      <c r="Y462" s="42"/>
      <c r="Z462" s="42"/>
      <c r="AA462" s="36"/>
      <c r="AB462" s="50"/>
      <c r="AC462" s="56" t="str">
        <f>IF(Table1[[#This Row],[Auto Order]]=1,IF(Table1[[#This Row],[In stock]]&lt;Table1[[#This Row],[Min in stock]],1,""),"")</f>
        <v/>
      </c>
    </row>
    <row r="463" spans="1:29" x14ac:dyDescent="0.25">
      <c r="A463" s="60" t="s">
        <v>2301</v>
      </c>
      <c r="B463" s="34" t="s">
        <v>713</v>
      </c>
      <c r="C463" s="34" t="s">
        <v>352</v>
      </c>
      <c r="D463" s="34" t="s">
        <v>2302</v>
      </c>
      <c r="E463" s="34" t="s">
        <v>559</v>
      </c>
      <c r="F463" s="53">
        <v>0</v>
      </c>
      <c r="G463" s="53"/>
      <c r="H463" s="53"/>
      <c r="I46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RHM4.02KAECT-ND</v>
      </c>
      <c r="J46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6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63" s="34" t="s">
        <v>2300</v>
      </c>
      <c r="M463" s="42">
        <v>0.17</v>
      </c>
      <c r="N463" s="34"/>
      <c r="O463" s="42"/>
      <c r="P463" s="34"/>
      <c r="Q463" s="42"/>
      <c r="R463" s="34"/>
      <c r="S463" s="42"/>
      <c r="T463" s="34"/>
      <c r="U463" s="42"/>
      <c r="V463" s="34"/>
      <c r="W463" s="42"/>
      <c r="X463" s="34"/>
      <c r="Y463" s="42"/>
      <c r="Z463" s="42"/>
      <c r="AA463" s="36"/>
      <c r="AB463" s="50"/>
      <c r="AC463" s="56" t="str">
        <f>IF(Table1[[#This Row],[Auto Order]]=1,IF(Table1[[#This Row],[In stock]]&lt;Table1[[#This Row],[Min in stock]],1,""),"")</f>
        <v/>
      </c>
    </row>
    <row r="464" spans="1:29" x14ac:dyDescent="0.25">
      <c r="A464" s="60" t="s">
        <v>2043</v>
      </c>
      <c r="B464" s="34" t="s">
        <v>713</v>
      </c>
      <c r="C464" s="34" t="s">
        <v>352</v>
      </c>
      <c r="D464" s="34" t="s">
        <v>2044</v>
      </c>
      <c r="E464" s="34" t="s">
        <v>559</v>
      </c>
      <c r="F464" s="53">
        <v>0</v>
      </c>
      <c r="G464" s="53"/>
      <c r="H464" s="53"/>
      <c r="I46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RHM430AECT-ND</v>
      </c>
      <c r="J46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6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64" s="34" t="s">
        <v>2042</v>
      </c>
      <c r="M464" s="42">
        <v>0.17</v>
      </c>
      <c r="N464" s="34"/>
      <c r="O464" s="42"/>
      <c r="P464" s="34"/>
      <c r="Q464" s="42"/>
      <c r="R464" s="34"/>
      <c r="S464" s="42"/>
      <c r="T464" s="34"/>
      <c r="U464" s="42"/>
      <c r="V464" s="34"/>
      <c r="W464" s="42"/>
      <c r="X464" s="34"/>
      <c r="Y464" s="42"/>
      <c r="Z464" s="42"/>
      <c r="AA464" s="36"/>
      <c r="AB464" s="50"/>
      <c r="AC464" s="56" t="str">
        <f>IF(Table1[[#This Row],[Auto Order]]=1,IF(Table1[[#This Row],[In stock]]&lt;Table1[[#This Row],[Min in stock]],1,""),"")</f>
        <v/>
      </c>
    </row>
    <row r="465" spans="1:29" x14ac:dyDescent="0.25">
      <c r="A465" s="60" t="s">
        <v>2322</v>
      </c>
      <c r="B465" s="34" t="s">
        <v>713</v>
      </c>
      <c r="C465" s="34" t="s">
        <v>352</v>
      </c>
      <c r="D465" s="34" t="s">
        <v>2323</v>
      </c>
      <c r="E465" s="34" t="s">
        <v>559</v>
      </c>
      <c r="F465" s="53">
        <v>0</v>
      </c>
      <c r="G465" s="53"/>
      <c r="H465" s="53"/>
      <c r="I46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RHM4.30KAECT-ND</v>
      </c>
      <c r="J46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6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65" s="34" t="s">
        <v>2321</v>
      </c>
      <c r="M465" s="42">
        <v>0.17</v>
      </c>
      <c r="N465" s="34"/>
      <c r="O465" s="42"/>
      <c r="P465" s="34"/>
      <c r="Q465" s="42"/>
      <c r="R465" s="34"/>
      <c r="S465" s="42"/>
      <c r="T465" s="34"/>
      <c r="U465" s="42"/>
      <c r="V465" s="34"/>
      <c r="W465" s="42"/>
      <c r="X465" s="34"/>
      <c r="Y465" s="42"/>
      <c r="Z465" s="42"/>
      <c r="AA465" s="36"/>
      <c r="AB465" s="50"/>
      <c r="AC465" s="56" t="str">
        <f>IF(Table1[[#This Row],[Auto Order]]=1,IF(Table1[[#This Row],[In stock]]&lt;Table1[[#This Row],[Min in stock]],1,""),"")</f>
        <v/>
      </c>
    </row>
    <row r="466" spans="1:29" x14ac:dyDescent="0.25">
      <c r="A466" s="60" t="s">
        <v>2115</v>
      </c>
      <c r="B466" s="34" t="s">
        <v>713</v>
      </c>
      <c r="C466" s="34" t="s">
        <v>352</v>
      </c>
      <c r="D466" s="34" t="s">
        <v>2116</v>
      </c>
      <c r="E466" s="34" t="s">
        <v>559</v>
      </c>
      <c r="F466" s="53">
        <v>0</v>
      </c>
      <c r="G466" s="53"/>
      <c r="H466" s="53"/>
      <c r="I46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RHM43.0AECT-ND</v>
      </c>
      <c r="J46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6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66" s="34" t="s">
        <v>2114</v>
      </c>
      <c r="M466" s="42">
        <v>0.17</v>
      </c>
      <c r="N466" s="34"/>
      <c r="O466" s="42"/>
      <c r="P466" s="34"/>
      <c r="Q466" s="42"/>
      <c r="R466" s="34"/>
      <c r="S466" s="42"/>
      <c r="T466" s="34"/>
      <c r="U466" s="42"/>
      <c r="V466" s="34"/>
      <c r="W466" s="42"/>
      <c r="X466" s="34"/>
      <c r="Y466" s="42"/>
      <c r="Z466" s="42"/>
      <c r="AA466" s="36"/>
      <c r="AB466" s="50"/>
      <c r="AC466" s="56" t="str">
        <f>IF(Table1[[#This Row],[Auto Order]]=1,IF(Table1[[#This Row],[In stock]]&lt;Table1[[#This Row],[Min in stock]],1,""),"")</f>
        <v/>
      </c>
    </row>
    <row r="467" spans="1:29" x14ac:dyDescent="0.25">
      <c r="A467" s="60" t="s">
        <v>2445</v>
      </c>
      <c r="B467" s="34" t="s">
        <v>713</v>
      </c>
      <c r="C467" s="34" t="s">
        <v>352</v>
      </c>
      <c r="D467" s="34" t="s">
        <v>2446</v>
      </c>
      <c r="E467" s="34" t="s">
        <v>559</v>
      </c>
      <c r="F467" s="53">
        <v>0</v>
      </c>
      <c r="G467" s="53"/>
      <c r="H467" s="53"/>
      <c r="I46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RHM4.70KAECT-ND</v>
      </c>
      <c r="J46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6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67" s="34" t="s">
        <v>2444</v>
      </c>
      <c r="M467" s="42">
        <v>0.17</v>
      </c>
      <c r="N467" s="34"/>
      <c r="O467" s="42"/>
      <c r="P467" s="34"/>
      <c r="Q467" s="42"/>
      <c r="R467" s="34"/>
      <c r="S467" s="42"/>
      <c r="T467" s="34"/>
      <c r="U467" s="42"/>
      <c r="V467" s="34"/>
      <c r="W467" s="42"/>
      <c r="X467" s="34"/>
      <c r="Y467" s="42"/>
      <c r="Z467" s="42"/>
      <c r="AA467" s="36"/>
      <c r="AB467" s="50"/>
      <c r="AC467" s="56" t="str">
        <f>IF(Table1[[#This Row],[Auto Order]]=1,IF(Table1[[#This Row],[In stock]]&lt;Table1[[#This Row],[Min in stock]],1,""),"")</f>
        <v/>
      </c>
    </row>
    <row r="468" spans="1:29" x14ac:dyDescent="0.25">
      <c r="A468" s="60" t="s">
        <v>2016</v>
      </c>
      <c r="B468" s="34" t="s">
        <v>713</v>
      </c>
      <c r="C468" s="34" t="s">
        <v>352</v>
      </c>
      <c r="D468" s="34" t="s">
        <v>2017</v>
      </c>
      <c r="E468" s="34" t="s">
        <v>559</v>
      </c>
      <c r="F468" s="53">
        <v>0</v>
      </c>
      <c r="G468" s="53"/>
      <c r="H468" s="53"/>
      <c r="I46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RHM47.0KAECT-ND</v>
      </c>
      <c r="J46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6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68" s="34" t="s">
        <v>2015</v>
      </c>
      <c r="M468" s="42">
        <v>0.17</v>
      </c>
      <c r="N468" s="34"/>
      <c r="O468" s="42"/>
      <c r="P468" s="34"/>
      <c r="Q468" s="42"/>
      <c r="R468" s="34"/>
      <c r="S468" s="42"/>
      <c r="T468" s="34"/>
      <c r="U468" s="42"/>
      <c r="V468" s="34"/>
      <c r="W468" s="42"/>
      <c r="X468" s="34"/>
      <c r="Y468" s="42"/>
      <c r="Z468" s="42"/>
      <c r="AA468" s="36"/>
      <c r="AB468" s="50"/>
      <c r="AC468" s="56" t="str">
        <f>IF(Table1[[#This Row],[Auto Order]]=1,IF(Table1[[#This Row],[In stock]]&lt;Table1[[#This Row],[Min in stock]],1,""),"")</f>
        <v/>
      </c>
    </row>
    <row r="469" spans="1:29" x14ac:dyDescent="0.25">
      <c r="A469" s="60" t="s">
        <v>1992</v>
      </c>
      <c r="B469" s="34" t="s">
        <v>713</v>
      </c>
      <c r="C469" s="34" t="s">
        <v>352</v>
      </c>
      <c r="D469" s="34" t="s">
        <v>1993</v>
      </c>
      <c r="E469" s="34" t="s">
        <v>559</v>
      </c>
      <c r="F469" s="53">
        <v>0</v>
      </c>
      <c r="G469" s="53"/>
      <c r="H469" s="53"/>
      <c r="I46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RHM49.9AECT-ND</v>
      </c>
      <c r="J46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6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69" s="34" t="s">
        <v>1991</v>
      </c>
      <c r="M469" s="42">
        <v>0.17</v>
      </c>
      <c r="N469" s="34"/>
      <c r="O469" s="42"/>
      <c r="P469" s="34"/>
      <c r="Q469" s="42"/>
      <c r="R469" s="34"/>
      <c r="S469" s="42"/>
      <c r="T469" s="34"/>
      <c r="U469" s="42"/>
      <c r="V469" s="34"/>
      <c r="W469" s="42"/>
      <c r="X469" s="34"/>
      <c r="Y469" s="42"/>
      <c r="Z469" s="42"/>
      <c r="AA469" s="36"/>
      <c r="AB469" s="50"/>
      <c r="AC469" s="56" t="str">
        <f>IF(Table1[[#This Row],[Auto Order]]=1,IF(Table1[[#This Row],[In stock]]&lt;Table1[[#This Row],[Min in stock]],1,""),"")</f>
        <v/>
      </c>
    </row>
    <row r="470" spans="1:29" x14ac:dyDescent="0.25">
      <c r="A470" s="60" t="s">
        <v>2289</v>
      </c>
      <c r="B470" s="34" t="s">
        <v>713</v>
      </c>
      <c r="C470" s="34" t="s">
        <v>352</v>
      </c>
      <c r="D470" s="34" t="s">
        <v>2290</v>
      </c>
      <c r="E470" s="34" t="s">
        <v>559</v>
      </c>
      <c r="F470" s="53">
        <v>0</v>
      </c>
      <c r="G470" s="53"/>
      <c r="H470" s="53"/>
      <c r="I47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RHM4.22AECT-ND</v>
      </c>
      <c r="J47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7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70" s="34" t="s">
        <v>2288</v>
      </c>
      <c r="M470" s="42">
        <v>0.17</v>
      </c>
      <c r="N470" s="34"/>
      <c r="O470" s="42"/>
      <c r="P470" s="34"/>
      <c r="Q470" s="42"/>
      <c r="R470" s="34"/>
      <c r="S470" s="42"/>
      <c r="T470" s="34"/>
      <c r="U470" s="42"/>
      <c r="V470" s="34"/>
      <c r="W470" s="42"/>
      <c r="X470" s="34"/>
      <c r="Y470" s="42"/>
      <c r="Z470" s="42"/>
      <c r="AA470" s="36"/>
      <c r="AB470" s="50"/>
      <c r="AC470" s="56" t="str">
        <f>IF(Table1[[#This Row],[Auto Order]]=1,IF(Table1[[#This Row],[In stock]]&lt;Table1[[#This Row],[Min in stock]],1,""),"")</f>
        <v/>
      </c>
    </row>
    <row r="471" spans="1:29" x14ac:dyDescent="0.25">
      <c r="A471" s="60" t="s">
        <v>2334</v>
      </c>
      <c r="B471" s="34" t="s">
        <v>713</v>
      </c>
      <c r="C471" s="34" t="s">
        <v>352</v>
      </c>
      <c r="D471" s="34" t="s">
        <v>2335</v>
      </c>
      <c r="E471" s="34" t="s">
        <v>559</v>
      </c>
      <c r="F471" s="53">
        <v>0</v>
      </c>
      <c r="G471" s="53"/>
      <c r="H471" s="53"/>
      <c r="I47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RHM4.32AECT-ND</v>
      </c>
      <c r="J47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7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71" s="34" t="s">
        <v>2333</v>
      </c>
      <c r="M471" s="42">
        <v>0.17</v>
      </c>
      <c r="N471" s="34"/>
      <c r="O471" s="42"/>
      <c r="P471" s="34"/>
      <c r="Q471" s="42"/>
      <c r="R471" s="34"/>
      <c r="S471" s="42"/>
      <c r="T471" s="34"/>
      <c r="U471" s="42"/>
      <c r="V471" s="34"/>
      <c r="W471" s="42"/>
      <c r="X471" s="34"/>
      <c r="Y471" s="42"/>
      <c r="Z471" s="42"/>
      <c r="AA471" s="36"/>
      <c r="AB471" s="50"/>
      <c r="AC471" s="56" t="str">
        <f>IF(Table1[[#This Row],[Auto Order]]=1,IF(Table1[[#This Row],[In stock]]&lt;Table1[[#This Row],[Min in stock]],1,""),"")</f>
        <v/>
      </c>
    </row>
    <row r="472" spans="1:29" x14ac:dyDescent="0.25">
      <c r="A472" s="60" t="s">
        <v>2025</v>
      </c>
      <c r="B472" s="34" t="s">
        <v>713</v>
      </c>
      <c r="C472" s="34" t="s">
        <v>352</v>
      </c>
      <c r="D472" s="34" t="s">
        <v>2026</v>
      </c>
      <c r="E472" s="34" t="s">
        <v>559</v>
      </c>
      <c r="F472" s="53">
        <v>0</v>
      </c>
      <c r="G472" s="53"/>
      <c r="H472" s="53"/>
      <c r="I47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RHM4.70AECT-ND</v>
      </c>
      <c r="J47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7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72" s="34" t="s">
        <v>2024</v>
      </c>
      <c r="M472" s="42">
        <v>0.17</v>
      </c>
      <c r="N472" s="34"/>
      <c r="O472" s="42"/>
      <c r="P472" s="34"/>
      <c r="Q472" s="42"/>
      <c r="R472" s="34"/>
      <c r="S472" s="42"/>
      <c r="T472" s="34"/>
      <c r="U472" s="42"/>
      <c r="V472" s="34"/>
      <c r="W472" s="42"/>
      <c r="X472" s="34"/>
      <c r="Y472" s="42"/>
      <c r="Z472" s="42"/>
      <c r="AA472" s="36"/>
      <c r="AB472" s="50"/>
      <c r="AC472" s="56" t="str">
        <f>IF(Table1[[#This Row],[Auto Order]]=1,IF(Table1[[#This Row],[In stock]]&lt;Table1[[#This Row],[Min in stock]],1,""),"")</f>
        <v/>
      </c>
    </row>
    <row r="473" spans="1:29" x14ac:dyDescent="0.25">
      <c r="A473" s="60" t="s">
        <v>2106</v>
      </c>
      <c r="B473" s="34" t="s">
        <v>713</v>
      </c>
      <c r="C473" s="34" t="s">
        <v>352</v>
      </c>
      <c r="D473" s="34" t="s">
        <v>2107</v>
      </c>
      <c r="E473" s="34" t="s">
        <v>559</v>
      </c>
      <c r="F473" s="53">
        <v>0</v>
      </c>
      <c r="G473" s="53"/>
      <c r="H473" s="53"/>
      <c r="I47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RHM4.75AECT-ND</v>
      </c>
      <c r="J47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7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73" s="34" t="s">
        <v>2105</v>
      </c>
      <c r="M473" s="42">
        <v>0.17</v>
      </c>
      <c r="N473" s="34"/>
      <c r="O473" s="42"/>
      <c r="P473" s="34"/>
      <c r="Q473" s="42"/>
      <c r="R473" s="34"/>
      <c r="S473" s="42"/>
      <c r="T473" s="34"/>
      <c r="U473" s="42"/>
      <c r="V473" s="34"/>
      <c r="W473" s="42"/>
      <c r="X473" s="34"/>
      <c r="Y473" s="42"/>
      <c r="Z473" s="42"/>
      <c r="AA473" s="36"/>
      <c r="AB473" s="50"/>
      <c r="AC473" s="56" t="str">
        <f>IF(Table1[[#This Row],[Auto Order]]=1,IF(Table1[[#This Row],[In stock]]&lt;Table1[[#This Row],[Min in stock]],1,""),"")</f>
        <v/>
      </c>
    </row>
    <row r="474" spans="1:29" x14ac:dyDescent="0.25">
      <c r="A474" s="60" t="s">
        <v>2070</v>
      </c>
      <c r="B474" s="34" t="s">
        <v>713</v>
      </c>
      <c r="C474" s="34" t="s">
        <v>352</v>
      </c>
      <c r="D474" s="34" t="s">
        <v>2071</v>
      </c>
      <c r="E474" s="34" t="s">
        <v>559</v>
      </c>
      <c r="F474" s="53">
        <v>0</v>
      </c>
      <c r="G474" s="53"/>
      <c r="H474" s="53"/>
      <c r="I47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RHM5.10KAECT-ND</v>
      </c>
      <c r="J47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7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74" s="34" t="s">
        <v>2069</v>
      </c>
      <c r="M474" s="42">
        <v>0.17</v>
      </c>
      <c r="N474" s="34"/>
      <c r="O474" s="42"/>
      <c r="P474" s="34"/>
      <c r="Q474" s="42"/>
      <c r="R474" s="34"/>
      <c r="S474" s="42"/>
      <c r="T474" s="34"/>
      <c r="U474" s="42"/>
      <c r="V474" s="34"/>
      <c r="W474" s="42"/>
      <c r="X474" s="34"/>
      <c r="Y474" s="42"/>
      <c r="Z474" s="42"/>
      <c r="AA474" s="36"/>
      <c r="AB474" s="50"/>
      <c r="AC474" s="56" t="str">
        <f>IF(Table1[[#This Row],[Auto Order]]=1,IF(Table1[[#This Row],[In stock]]&lt;Table1[[#This Row],[Min in stock]],1,""),"")</f>
        <v/>
      </c>
    </row>
    <row r="475" spans="1:29" x14ac:dyDescent="0.25">
      <c r="A475" s="60" t="s">
        <v>2136</v>
      </c>
      <c r="B475" s="34" t="s">
        <v>713</v>
      </c>
      <c r="C475" s="34" t="s">
        <v>352</v>
      </c>
      <c r="D475" s="34" t="s">
        <v>2137</v>
      </c>
      <c r="E475" s="34" t="s">
        <v>559</v>
      </c>
      <c r="F475" s="53">
        <v>0</v>
      </c>
      <c r="G475" s="53"/>
      <c r="H475" s="53"/>
      <c r="I47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RHM51.0KAECT-ND</v>
      </c>
      <c r="J47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7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75" s="34" t="s">
        <v>2135</v>
      </c>
      <c r="M475" s="42">
        <v>0.17</v>
      </c>
      <c r="N475" s="34"/>
      <c r="O475" s="42"/>
      <c r="P475" s="34"/>
      <c r="Q475" s="42"/>
      <c r="R475" s="34"/>
      <c r="S475" s="42"/>
      <c r="T475" s="34"/>
      <c r="U475" s="42"/>
      <c r="V475" s="34"/>
      <c r="W475" s="42"/>
      <c r="X475" s="34"/>
      <c r="Y475" s="42"/>
      <c r="Z475" s="42"/>
      <c r="AA475" s="36"/>
      <c r="AB475" s="50"/>
      <c r="AC475" s="56" t="str">
        <f>IF(Table1[[#This Row],[Auto Order]]=1,IF(Table1[[#This Row],[In stock]]&lt;Table1[[#This Row],[Min in stock]],1,""),"")</f>
        <v/>
      </c>
    </row>
    <row r="476" spans="1:29" x14ac:dyDescent="0.25">
      <c r="A476" s="60" t="s">
        <v>2046</v>
      </c>
      <c r="B476" s="34" t="s">
        <v>713</v>
      </c>
      <c r="C476" s="34" t="s">
        <v>352</v>
      </c>
      <c r="D476" s="34" t="s">
        <v>2047</v>
      </c>
      <c r="E476" s="34" t="s">
        <v>559</v>
      </c>
      <c r="F476" s="53">
        <v>0</v>
      </c>
      <c r="G476" s="53"/>
      <c r="H476" s="53"/>
      <c r="I47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RHM5.60KAECT-ND</v>
      </c>
      <c r="J47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7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76" s="34" t="s">
        <v>2045</v>
      </c>
      <c r="M476" s="42">
        <v>0.17</v>
      </c>
      <c r="N476" s="34"/>
      <c r="O476" s="42"/>
      <c r="P476" s="34"/>
      <c r="Q476" s="42"/>
      <c r="R476" s="34"/>
      <c r="S476" s="42"/>
      <c r="T476" s="34"/>
      <c r="U476" s="42"/>
      <c r="V476" s="34"/>
      <c r="W476" s="42"/>
      <c r="X476" s="34"/>
      <c r="Y476" s="42"/>
      <c r="Z476" s="42"/>
      <c r="AA476" s="36"/>
      <c r="AB476" s="50"/>
      <c r="AC476" s="56" t="str">
        <f>IF(Table1[[#This Row],[Auto Order]]=1,IF(Table1[[#This Row],[In stock]]&lt;Table1[[#This Row],[Min in stock]],1,""),"")</f>
        <v/>
      </c>
    </row>
    <row r="477" spans="1:29" x14ac:dyDescent="0.25">
      <c r="A477" s="60" t="s">
        <v>2058</v>
      </c>
      <c r="B477" s="34" t="s">
        <v>713</v>
      </c>
      <c r="C477" s="34" t="s">
        <v>352</v>
      </c>
      <c r="D477" s="34" t="s">
        <v>2059</v>
      </c>
      <c r="E477" s="34" t="s">
        <v>559</v>
      </c>
      <c r="F477" s="53">
        <v>0</v>
      </c>
      <c r="G477" s="53"/>
      <c r="H477" s="53"/>
      <c r="I47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RHM56.0AECT-ND</v>
      </c>
      <c r="J47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7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77" s="34" t="s">
        <v>2057</v>
      </c>
      <c r="M477" s="42">
        <v>0.17</v>
      </c>
      <c r="N477" s="34"/>
      <c r="O477" s="42"/>
      <c r="P477" s="34"/>
      <c r="Q477" s="42"/>
      <c r="R477" s="34"/>
      <c r="S477" s="42"/>
      <c r="T477" s="34"/>
      <c r="U477" s="42"/>
      <c r="V477" s="34"/>
      <c r="W477" s="42"/>
      <c r="X477" s="34"/>
      <c r="Y477" s="42"/>
      <c r="Z477" s="42"/>
      <c r="AA477" s="36"/>
      <c r="AB477" s="50"/>
      <c r="AC477" s="56" t="str">
        <f>IF(Table1[[#This Row],[Auto Order]]=1,IF(Table1[[#This Row],[In stock]]&lt;Table1[[#This Row],[Min in stock]],1,""),"")</f>
        <v/>
      </c>
    </row>
    <row r="478" spans="1:29" x14ac:dyDescent="0.25">
      <c r="A478" s="60" t="s">
        <v>2307</v>
      </c>
      <c r="B478" s="34" t="s">
        <v>713</v>
      </c>
      <c r="C478" s="34" t="s">
        <v>352</v>
      </c>
      <c r="D478" s="34" t="s">
        <v>2308</v>
      </c>
      <c r="E478" s="34" t="s">
        <v>559</v>
      </c>
      <c r="F478" s="53">
        <v>0</v>
      </c>
      <c r="G478" s="53"/>
      <c r="H478" s="53"/>
      <c r="I47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RHM59.0KAECT-ND</v>
      </c>
      <c r="J47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7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78" s="34" t="s">
        <v>2306</v>
      </c>
      <c r="M478" s="42">
        <v>0.17</v>
      </c>
      <c r="N478" s="34"/>
      <c r="O478" s="42"/>
      <c r="P478" s="34"/>
      <c r="Q478" s="42"/>
      <c r="R478" s="34"/>
      <c r="S478" s="42"/>
      <c r="T478" s="34"/>
      <c r="U478" s="42"/>
      <c r="V478" s="34"/>
      <c r="W478" s="42"/>
      <c r="X478" s="34"/>
      <c r="Y478" s="42"/>
      <c r="Z478" s="42"/>
      <c r="AA478" s="36"/>
      <c r="AB478" s="50"/>
      <c r="AC478" s="56" t="str">
        <f>IF(Table1[[#This Row],[Auto Order]]=1,IF(Table1[[#This Row],[In stock]]&lt;Table1[[#This Row],[Min in stock]],1,""),"")</f>
        <v/>
      </c>
    </row>
    <row r="479" spans="1:29" x14ac:dyDescent="0.25">
      <c r="A479" s="60" t="s">
        <v>2004</v>
      </c>
      <c r="B479" s="34" t="s">
        <v>713</v>
      </c>
      <c r="C479" s="34" t="s">
        <v>352</v>
      </c>
      <c r="D479" s="34" t="s">
        <v>2005</v>
      </c>
      <c r="E479" s="34" t="s">
        <v>559</v>
      </c>
      <c r="F479" s="53">
        <v>0</v>
      </c>
      <c r="G479" s="53"/>
      <c r="H479" s="53"/>
      <c r="I47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RHM5.10AECT-ND</v>
      </c>
      <c r="J47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7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79" s="34" t="s">
        <v>2003</v>
      </c>
      <c r="M479" s="42">
        <v>0.17</v>
      </c>
      <c r="N479" s="34"/>
      <c r="O479" s="42"/>
      <c r="P479" s="34"/>
      <c r="Q479" s="42"/>
      <c r="R479" s="34"/>
      <c r="S479" s="42"/>
      <c r="T479" s="34"/>
      <c r="U479" s="42"/>
      <c r="V479" s="34"/>
      <c r="W479" s="42"/>
      <c r="X479" s="34"/>
      <c r="Y479" s="42"/>
      <c r="Z479" s="42"/>
      <c r="AA479" s="36"/>
      <c r="AB479" s="50"/>
      <c r="AC479" s="56" t="str">
        <f>IF(Table1[[#This Row],[Auto Order]]=1,IF(Table1[[#This Row],[In stock]]&lt;Table1[[#This Row],[Min in stock]],1,""),"")</f>
        <v/>
      </c>
    </row>
    <row r="480" spans="1:29" x14ac:dyDescent="0.25">
      <c r="A480" s="60" t="s">
        <v>2304</v>
      </c>
      <c r="B480" s="34" t="s">
        <v>713</v>
      </c>
      <c r="C480" s="34" t="s">
        <v>352</v>
      </c>
      <c r="D480" s="34" t="s">
        <v>2305</v>
      </c>
      <c r="E480" s="34" t="s">
        <v>559</v>
      </c>
      <c r="F480" s="53">
        <v>0</v>
      </c>
      <c r="G480" s="53"/>
      <c r="H480" s="53"/>
      <c r="I48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RHM5.60AECT-ND</v>
      </c>
      <c r="J48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8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80" s="34" t="s">
        <v>2303</v>
      </c>
      <c r="M480" s="42">
        <v>0.17</v>
      </c>
      <c r="N480" s="34"/>
      <c r="O480" s="42"/>
      <c r="P480" s="34"/>
      <c r="Q480" s="42"/>
      <c r="R480" s="34"/>
      <c r="S480" s="42"/>
      <c r="T480" s="34"/>
      <c r="U480" s="42"/>
      <c r="V480" s="34"/>
      <c r="W480" s="42"/>
      <c r="X480" s="34"/>
      <c r="Y480" s="42"/>
      <c r="Z480" s="42"/>
      <c r="AA480" s="36"/>
      <c r="AB480" s="50"/>
      <c r="AC480" s="56" t="str">
        <f>IF(Table1[[#This Row],[Auto Order]]=1,IF(Table1[[#This Row],[In stock]]&lt;Table1[[#This Row],[Min in stock]],1,""),"")</f>
        <v/>
      </c>
    </row>
    <row r="481" spans="1:29" x14ac:dyDescent="0.25">
      <c r="A481" s="60" t="s">
        <v>2139</v>
      </c>
      <c r="B481" s="34" t="s">
        <v>713</v>
      </c>
      <c r="C481" s="34" t="s">
        <v>352</v>
      </c>
      <c r="D481" s="34" t="s">
        <v>2140</v>
      </c>
      <c r="E481" s="34" t="s">
        <v>559</v>
      </c>
      <c r="F481" s="53">
        <v>0</v>
      </c>
      <c r="G481" s="53"/>
      <c r="H481" s="53"/>
      <c r="I48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RHM5.90AECT-ND</v>
      </c>
      <c r="J48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8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81" s="34" t="s">
        <v>2138</v>
      </c>
      <c r="M481" s="42">
        <v>0.17</v>
      </c>
      <c r="N481" s="34"/>
      <c r="O481" s="42"/>
      <c r="P481" s="34"/>
      <c r="Q481" s="42"/>
      <c r="R481" s="34"/>
      <c r="S481" s="42"/>
      <c r="T481" s="34"/>
      <c r="U481" s="42"/>
      <c r="V481" s="34"/>
      <c r="W481" s="42"/>
      <c r="X481" s="34"/>
      <c r="Y481" s="42"/>
      <c r="Z481" s="42"/>
      <c r="AA481" s="36"/>
      <c r="AB481" s="50"/>
      <c r="AC481" s="56" t="str">
        <f>IF(Table1[[#This Row],[Auto Order]]=1,IF(Table1[[#This Row],[In stock]]&lt;Table1[[#This Row],[Min in stock]],1,""),"")</f>
        <v/>
      </c>
    </row>
    <row r="482" spans="1:29" x14ac:dyDescent="0.25">
      <c r="A482" s="60" t="s">
        <v>2142</v>
      </c>
      <c r="B482" s="34" t="s">
        <v>713</v>
      </c>
      <c r="C482" s="34" t="s">
        <v>352</v>
      </c>
      <c r="D482" s="34" t="s">
        <v>2143</v>
      </c>
      <c r="E482" s="34" t="s">
        <v>559</v>
      </c>
      <c r="F482" s="53">
        <v>0</v>
      </c>
      <c r="G482" s="53"/>
      <c r="H482" s="53"/>
      <c r="I48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RHM6.19KAECT-ND</v>
      </c>
      <c r="J48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8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82" s="34" t="s">
        <v>2141</v>
      </c>
      <c r="M482" s="42">
        <v>0.17</v>
      </c>
      <c r="N482" s="34"/>
      <c r="O482" s="42"/>
      <c r="P482" s="34"/>
      <c r="Q482" s="42"/>
      <c r="R482" s="34"/>
      <c r="S482" s="42"/>
      <c r="T482" s="34"/>
      <c r="U482" s="42"/>
      <c r="V482" s="34"/>
      <c r="W482" s="42"/>
      <c r="X482" s="34"/>
      <c r="Y482" s="42"/>
      <c r="Z482" s="42"/>
      <c r="AA482" s="36"/>
      <c r="AB482" s="50"/>
      <c r="AC482" s="56" t="str">
        <f>IF(Table1[[#This Row],[Auto Order]]=1,IF(Table1[[#This Row],[In stock]]&lt;Table1[[#This Row],[Min in stock]],1,""),"")</f>
        <v/>
      </c>
    </row>
    <row r="483" spans="1:29" x14ac:dyDescent="0.25">
      <c r="A483" s="60" t="s">
        <v>1998</v>
      </c>
      <c r="B483" s="34" t="s">
        <v>713</v>
      </c>
      <c r="C483" s="34" t="s">
        <v>352</v>
      </c>
      <c r="D483" s="34" t="s">
        <v>1999</v>
      </c>
      <c r="E483" s="34" t="s">
        <v>559</v>
      </c>
      <c r="F483" s="53">
        <v>0</v>
      </c>
      <c r="G483" s="53"/>
      <c r="H483" s="53"/>
      <c r="I48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RHM6.80KAECT-ND</v>
      </c>
      <c r="J48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8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83" s="34" t="s">
        <v>1997</v>
      </c>
      <c r="M483" s="42">
        <v>0.17</v>
      </c>
      <c r="N483" s="34"/>
      <c r="O483" s="42"/>
      <c r="P483" s="34"/>
      <c r="Q483" s="42"/>
      <c r="R483" s="34"/>
      <c r="S483" s="42"/>
      <c r="T483" s="34"/>
      <c r="U483" s="42"/>
      <c r="V483" s="34"/>
      <c r="W483" s="42"/>
      <c r="X483" s="34"/>
      <c r="Y483" s="42"/>
      <c r="Z483" s="42"/>
      <c r="AA483" s="36"/>
      <c r="AB483" s="50"/>
      <c r="AC483" s="56" t="str">
        <f>IF(Table1[[#This Row],[Auto Order]]=1,IF(Table1[[#This Row],[In stock]]&lt;Table1[[#This Row],[Min in stock]],1,""),"")</f>
        <v/>
      </c>
    </row>
    <row r="484" spans="1:29" x14ac:dyDescent="0.25">
      <c r="A484" s="60" t="s">
        <v>2274</v>
      </c>
      <c r="B484" s="34" t="s">
        <v>713</v>
      </c>
      <c r="C484" s="34" t="s">
        <v>352</v>
      </c>
      <c r="D484" s="34" t="s">
        <v>2275</v>
      </c>
      <c r="E484" s="34" t="s">
        <v>559</v>
      </c>
      <c r="F484" s="53">
        <v>0</v>
      </c>
      <c r="G484" s="53"/>
      <c r="H484" s="53"/>
      <c r="I48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RHM6.34AECT-ND</v>
      </c>
      <c r="J48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8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84" s="34" t="s">
        <v>2273</v>
      </c>
      <c r="M484" s="42">
        <v>0.17</v>
      </c>
      <c r="N484" s="34"/>
      <c r="O484" s="42"/>
      <c r="P484" s="34"/>
      <c r="Q484" s="42"/>
      <c r="R484" s="34"/>
      <c r="S484" s="42"/>
      <c r="T484" s="34"/>
      <c r="U484" s="42"/>
      <c r="V484" s="34"/>
      <c r="W484" s="42"/>
      <c r="X484" s="34"/>
      <c r="Y484" s="42"/>
      <c r="Z484" s="42"/>
      <c r="AA484" s="36"/>
      <c r="AB484" s="50"/>
      <c r="AC484" s="56" t="str">
        <f>IF(Table1[[#This Row],[Auto Order]]=1,IF(Table1[[#This Row],[In stock]]&lt;Table1[[#This Row],[Min in stock]],1,""),"")</f>
        <v/>
      </c>
    </row>
    <row r="485" spans="1:29" x14ac:dyDescent="0.25">
      <c r="A485" s="60" t="s">
        <v>2319</v>
      </c>
      <c r="B485" s="34" t="s">
        <v>713</v>
      </c>
      <c r="C485" s="34" t="s">
        <v>352</v>
      </c>
      <c r="D485" s="34" t="s">
        <v>2320</v>
      </c>
      <c r="E485" s="34" t="s">
        <v>559</v>
      </c>
      <c r="F485" s="53">
        <v>0</v>
      </c>
      <c r="G485" s="53"/>
      <c r="H485" s="53"/>
      <c r="I48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RHM6.81AECT-ND</v>
      </c>
      <c r="J48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8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85" s="34" t="s">
        <v>2318</v>
      </c>
      <c r="M485" s="42">
        <v>0.17</v>
      </c>
      <c r="N485" s="34"/>
      <c r="O485" s="42"/>
      <c r="P485" s="34"/>
      <c r="Q485" s="42"/>
      <c r="R485" s="34"/>
      <c r="S485" s="42"/>
      <c r="T485" s="34"/>
      <c r="U485" s="42"/>
      <c r="V485" s="34"/>
      <c r="W485" s="42"/>
      <c r="X485" s="34"/>
      <c r="Y485" s="42"/>
      <c r="Z485" s="42"/>
      <c r="AA485" s="36"/>
      <c r="AB485" s="50"/>
      <c r="AC485" s="56" t="str">
        <f>IF(Table1[[#This Row],[Auto Order]]=1,IF(Table1[[#This Row],[In stock]]&lt;Table1[[#This Row],[Min in stock]],1,""),"")</f>
        <v/>
      </c>
    </row>
    <row r="486" spans="1:29" x14ac:dyDescent="0.25">
      <c r="A486" s="60" t="s">
        <v>2331</v>
      </c>
      <c r="B486" s="34" t="s">
        <v>713</v>
      </c>
      <c r="C486" s="34" t="s">
        <v>352</v>
      </c>
      <c r="D486" s="34" t="s">
        <v>2332</v>
      </c>
      <c r="E486" s="34" t="s">
        <v>559</v>
      </c>
      <c r="F486" s="53">
        <v>0</v>
      </c>
      <c r="G486" s="53"/>
      <c r="H486" s="53"/>
      <c r="I48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RHM7.50KAECT-ND</v>
      </c>
      <c r="J48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8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86" s="34" t="s">
        <v>2330</v>
      </c>
      <c r="M486" s="42">
        <v>0.17</v>
      </c>
      <c r="N486" s="34"/>
      <c r="O486" s="42"/>
      <c r="P486" s="34"/>
      <c r="Q486" s="42"/>
      <c r="R486" s="34"/>
      <c r="S486" s="42"/>
      <c r="T486" s="34"/>
      <c r="U486" s="42"/>
      <c r="V486" s="34"/>
      <c r="W486" s="42"/>
      <c r="X486" s="34"/>
      <c r="Y486" s="42"/>
      <c r="Z486" s="42"/>
      <c r="AA486" s="36"/>
      <c r="AB486" s="50"/>
      <c r="AC486" s="56" t="str">
        <f>IF(Table1[[#This Row],[Auto Order]]=1,IF(Table1[[#This Row],[In stock]]&lt;Table1[[#This Row],[Min in stock]],1,""),"")</f>
        <v/>
      </c>
    </row>
    <row r="487" spans="1:29" x14ac:dyDescent="0.25">
      <c r="A487" s="60" t="s">
        <v>2028</v>
      </c>
      <c r="B487" s="34" t="s">
        <v>713</v>
      </c>
      <c r="C487" s="34" t="s">
        <v>352</v>
      </c>
      <c r="D487" s="34" t="s">
        <v>2029</v>
      </c>
      <c r="E487" s="34" t="s">
        <v>559</v>
      </c>
      <c r="F487" s="53">
        <v>0</v>
      </c>
      <c r="G487" s="53"/>
      <c r="H487" s="53"/>
      <c r="I48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RHM75.0AECT-ND</v>
      </c>
      <c r="J48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8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87" s="34" t="s">
        <v>2027</v>
      </c>
      <c r="M487" s="42">
        <v>0.17</v>
      </c>
      <c r="N487" s="34"/>
      <c r="O487" s="42"/>
      <c r="P487" s="34"/>
      <c r="Q487" s="42"/>
      <c r="R487" s="34"/>
      <c r="S487" s="42"/>
      <c r="T487" s="34"/>
      <c r="U487" s="42"/>
      <c r="V487" s="34"/>
      <c r="W487" s="42"/>
      <c r="X487" s="34"/>
      <c r="Y487" s="42"/>
      <c r="Z487" s="42"/>
      <c r="AA487" s="36"/>
      <c r="AB487" s="50"/>
      <c r="AC487" s="56" t="str">
        <f>IF(Table1[[#This Row],[Auto Order]]=1,IF(Table1[[#This Row],[In stock]]&lt;Table1[[#This Row],[Min in stock]],1,""),"")</f>
        <v/>
      </c>
    </row>
    <row r="488" spans="1:29" x14ac:dyDescent="0.25">
      <c r="A488" s="60" t="s">
        <v>2109</v>
      </c>
      <c r="B488" s="34" t="s">
        <v>713</v>
      </c>
      <c r="C488" s="34" t="s">
        <v>352</v>
      </c>
      <c r="D488" s="34" t="s">
        <v>2110</v>
      </c>
      <c r="E488" s="34" t="s">
        <v>559</v>
      </c>
      <c r="F488" s="53">
        <v>0</v>
      </c>
      <c r="G488" s="53"/>
      <c r="H488" s="53"/>
      <c r="I48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RHM7.50AECT-ND</v>
      </c>
      <c r="J48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8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88" s="34" t="s">
        <v>2108</v>
      </c>
      <c r="M488" s="42">
        <v>0.17</v>
      </c>
      <c r="N488" s="34"/>
      <c r="O488" s="42"/>
      <c r="P488" s="34"/>
      <c r="Q488" s="42"/>
      <c r="R488" s="34"/>
      <c r="S488" s="42"/>
      <c r="T488" s="34"/>
      <c r="U488" s="42"/>
      <c r="V488" s="34"/>
      <c r="W488" s="42"/>
      <c r="X488" s="34"/>
      <c r="Y488" s="42"/>
      <c r="Z488" s="42"/>
      <c r="AA488" s="36"/>
      <c r="AB488" s="50"/>
      <c r="AC488" s="56" t="str">
        <f>IF(Table1[[#This Row],[Auto Order]]=1,IF(Table1[[#This Row],[In stock]]&lt;Table1[[#This Row],[Min in stock]],1,""),"")</f>
        <v/>
      </c>
    </row>
    <row r="489" spans="1:29" x14ac:dyDescent="0.25">
      <c r="A489" s="60" t="s">
        <v>2145</v>
      </c>
      <c r="B489" s="34" t="s">
        <v>713</v>
      </c>
      <c r="C489" s="34" t="s">
        <v>352</v>
      </c>
      <c r="D489" s="34" t="s">
        <v>2146</v>
      </c>
      <c r="E489" s="34" t="s">
        <v>559</v>
      </c>
      <c r="F489" s="53">
        <v>0</v>
      </c>
      <c r="G489" s="53"/>
      <c r="H489" s="53"/>
      <c r="I48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RHM82.0AECT-ND</v>
      </c>
      <c r="J48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8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89" s="34" t="s">
        <v>2144</v>
      </c>
      <c r="M489" s="42">
        <v>0.17</v>
      </c>
      <c r="N489" s="34"/>
      <c r="O489" s="42"/>
      <c r="P489" s="34"/>
      <c r="Q489" s="42"/>
      <c r="R489" s="34"/>
      <c r="S489" s="42"/>
      <c r="T489" s="34"/>
      <c r="U489" s="42"/>
      <c r="V489" s="34"/>
      <c r="W489" s="42"/>
      <c r="X489" s="34"/>
      <c r="Y489" s="42"/>
      <c r="Z489" s="42"/>
      <c r="AA489" s="36"/>
      <c r="AB489" s="50"/>
      <c r="AC489" s="56" t="str">
        <f>IF(Table1[[#This Row],[Auto Order]]=1,IF(Table1[[#This Row],[In stock]]&lt;Table1[[#This Row],[Min in stock]],1,""),"")</f>
        <v/>
      </c>
    </row>
    <row r="490" spans="1:29" x14ac:dyDescent="0.25">
      <c r="A490" s="60" t="s">
        <v>2292</v>
      </c>
      <c r="B490" s="34" t="s">
        <v>713</v>
      </c>
      <c r="C490" s="34" t="s">
        <v>352</v>
      </c>
      <c r="D490" s="34" t="s">
        <v>2293</v>
      </c>
      <c r="E490" s="34" t="s">
        <v>559</v>
      </c>
      <c r="F490" s="53">
        <v>0</v>
      </c>
      <c r="G490" s="53"/>
      <c r="H490" s="53"/>
      <c r="I49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RHM9.10KAECT-ND</v>
      </c>
      <c r="J49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9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90" s="34" t="s">
        <v>2291</v>
      </c>
      <c r="M490" s="42">
        <v>0.17</v>
      </c>
      <c r="N490" s="34"/>
      <c r="O490" s="42"/>
      <c r="P490" s="34"/>
      <c r="Q490" s="42"/>
      <c r="R490" s="34"/>
      <c r="S490" s="42"/>
      <c r="T490" s="34"/>
      <c r="U490" s="42"/>
      <c r="V490" s="34"/>
      <c r="W490" s="42"/>
      <c r="X490" s="34"/>
      <c r="Y490" s="42"/>
      <c r="Z490" s="42"/>
      <c r="AA490" s="36"/>
      <c r="AB490" s="50"/>
      <c r="AC490" s="56" t="str">
        <f>IF(Table1[[#This Row],[Auto Order]]=1,IF(Table1[[#This Row],[In stock]]&lt;Table1[[#This Row],[Min in stock]],1,""),"")</f>
        <v/>
      </c>
    </row>
    <row r="491" spans="1:29" x14ac:dyDescent="0.25">
      <c r="A491" s="60" t="s">
        <v>2316</v>
      </c>
      <c r="B491" s="34" t="s">
        <v>713</v>
      </c>
      <c r="C491" s="34" t="s">
        <v>352</v>
      </c>
      <c r="D491" s="34" t="s">
        <v>2317</v>
      </c>
      <c r="E491" s="34" t="s">
        <v>559</v>
      </c>
      <c r="F491" s="53">
        <v>0</v>
      </c>
      <c r="G491" s="53"/>
      <c r="H491" s="53"/>
      <c r="I49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RHM9.10AECT-ND</v>
      </c>
      <c r="J49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9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91" s="34" t="s">
        <v>2315</v>
      </c>
      <c r="M491" s="42">
        <v>0.17</v>
      </c>
      <c r="N491" s="34"/>
      <c r="O491" s="42"/>
      <c r="P491" s="34"/>
      <c r="Q491" s="42"/>
      <c r="R491" s="34"/>
      <c r="S491" s="42"/>
      <c r="T491" s="34"/>
      <c r="U491" s="42"/>
      <c r="V491" s="34"/>
      <c r="W491" s="42"/>
      <c r="X491" s="34"/>
      <c r="Y491" s="42"/>
      <c r="Z491" s="42"/>
      <c r="AA491" s="36"/>
      <c r="AB491" s="50"/>
      <c r="AC491" s="56" t="str">
        <f>IF(Table1[[#This Row],[Auto Order]]=1,IF(Table1[[#This Row],[In stock]]&lt;Table1[[#This Row],[Min in stock]],1,""),"")</f>
        <v/>
      </c>
    </row>
    <row r="492" spans="1:29" x14ac:dyDescent="0.25">
      <c r="A492" s="60" t="s">
        <v>1818</v>
      </c>
      <c r="B492" s="34" t="s">
        <v>713</v>
      </c>
      <c r="C492" s="34" t="s">
        <v>352</v>
      </c>
      <c r="D492" s="34" t="s">
        <v>1819</v>
      </c>
      <c r="E492" s="34" t="s">
        <v>559</v>
      </c>
      <c r="F492" s="53">
        <v>0</v>
      </c>
      <c r="G492" s="53"/>
      <c r="H492" s="53"/>
      <c r="I49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RHM10KCT-ND</v>
      </c>
      <c r="J49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9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92" s="34" t="s">
        <v>1817</v>
      </c>
      <c r="M492" s="42">
        <v>0.1</v>
      </c>
      <c r="N492" s="34"/>
      <c r="O492" s="42"/>
      <c r="P492" s="34"/>
      <c r="Q492" s="42"/>
      <c r="R492" s="34"/>
      <c r="S492" s="42"/>
      <c r="T492" s="34"/>
      <c r="U492" s="42"/>
      <c r="V492" s="34"/>
      <c r="W492" s="42"/>
      <c r="X492" s="34"/>
      <c r="Y492" s="42"/>
      <c r="Z492" s="42"/>
      <c r="AA492" s="36"/>
      <c r="AB492" s="50"/>
      <c r="AC492" s="56" t="str">
        <f>IF(Table1[[#This Row],[Auto Order]]=1,IF(Table1[[#This Row],[In stock]]&lt;Table1[[#This Row],[Min in stock]],1,""),"")</f>
        <v/>
      </c>
    </row>
    <row r="493" spans="1:29" x14ac:dyDescent="0.25">
      <c r="A493" s="60" t="s">
        <v>1815</v>
      </c>
      <c r="B493" s="34" t="s">
        <v>713</v>
      </c>
      <c r="C493" s="34" t="s">
        <v>352</v>
      </c>
      <c r="D493" s="34" t="s">
        <v>1816</v>
      </c>
      <c r="E493" s="34" t="s">
        <v>559</v>
      </c>
      <c r="F493" s="53">
        <v>0</v>
      </c>
      <c r="G493" s="53"/>
      <c r="H493" s="53"/>
      <c r="I49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RHM100KCT-ND</v>
      </c>
      <c r="J49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9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93" s="34" t="s">
        <v>1814</v>
      </c>
      <c r="M493" s="42">
        <v>0.1</v>
      </c>
      <c r="N493" s="34"/>
      <c r="O493" s="42"/>
      <c r="P493" s="34"/>
      <c r="Q493" s="42"/>
      <c r="R493" s="34"/>
      <c r="S493" s="42"/>
      <c r="T493" s="34"/>
      <c r="U493" s="42"/>
      <c r="V493" s="34"/>
      <c r="W493" s="42"/>
      <c r="X493" s="34"/>
      <c r="Y493" s="42"/>
      <c r="Z493" s="42"/>
      <c r="AA493" s="36"/>
      <c r="AB493" s="50"/>
      <c r="AC493" s="56" t="str">
        <f>IF(Table1[[#This Row],[Auto Order]]=1,IF(Table1[[#This Row],[In stock]]&lt;Table1[[#This Row],[Min in stock]],1,""),"")</f>
        <v/>
      </c>
    </row>
    <row r="494" spans="1:29" x14ac:dyDescent="0.25">
      <c r="A494" s="60" t="s">
        <v>2196</v>
      </c>
      <c r="B494" s="34" t="s">
        <v>713</v>
      </c>
      <c r="C494" s="34" t="s">
        <v>352</v>
      </c>
      <c r="D494" s="34" t="s">
        <v>2197</v>
      </c>
      <c r="E494" s="34" t="s">
        <v>559</v>
      </c>
      <c r="F494" s="53">
        <v>0</v>
      </c>
      <c r="G494" s="53">
        <v>10</v>
      </c>
      <c r="H494" s="53">
        <v>1</v>
      </c>
      <c r="I49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RHM1.0KKCT-ND</v>
      </c>
      <c r="J49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9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94" s="34" t="s">
        <v>2195</v>
      </c>
      <c r="M494" s="42">
        <v>0.1</v>
      </c>
      <c r="N494" s="34"/>
      <c r="O494" s="42"/>
      <c r="P494" s="34"/>
      <c r="Q494" s="42"/>
      <c r="R494" s="34"/>
      <c r="S494" s="42"/>
      <c r="T494" s="34"/>
      <c r="U494" s="42"/>
      <c r="V494" s="34"/>
      <c r="W494" s="42"/>
      <c r="X494" s="34"/>
      <c r="Y494" s="42"/>
      <c r="Z494" s="42"/>
      <c r="AA494" s="36"/>
      <c r="AB494" s="50"/>
      <c r="AC494" s="56">
        <f>IF(Table1[[#This Row],[Auto Order]]=1,IF(Table1[[#This Row],[In stock]]&lt;Table1[[#This Row],[Min in stock]],1,""),"")</f>
        <v>1</v>
      </c>
    </row>
    <row r="495" spans="1:29" x14ac:dyDescent="0.25">
      <c r="A495" s="60" t="s">
        <v>1827</v>
      </c>
      <c r="B495" s="34" t="s">
        <v>713</v>
      </c>
      <c r="C495" s="34" t="s">
        <v>352</v>
      </c>
      <c r="D495" s="34" t="s">
        <v>1828</v>
      </c>
      <c r="E495" s="34" t="s">
        <v>559</v>
      </c>
      <c r="F495" s="53">
        <v>0</v>
      </c>
      <c r="G495" s="53"/>
      <c r="H495" s="53"/>
      <c r="I49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RHM10KKCT-ND</v>
      </c>
      <c r="J49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9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95" s="34" t="s">
        <v>1826</v>
      </c>
      <c r="M495" s="42">
        <v>0.1</v>
      </c>
      <c r="N495" s="34"/>
      <c r="O495" s="42"/>
      <c r="P495" s="34"/>
      <c r="Q495" s="42"/>
      <c r="R495" s="34"/>
      <c r="S495" s="42"/>
      <c r="T495" s="34"/>
      <c r="U495" s="42"/>
      <c r="V495" s="34"/>
      <c r="W495" s="42"/>
      <c r="X495" s="34"/>
      <c r="Y495" s="42"/>
      <c r="Z495" s="42"/>
      <c r="AA495" s="36"/>
      <c r="AB495" s="50"/>
      <c r="AC495" s="56" t="str">
        <f>IF(Table1[[#This Row],[Auto Order]]=1,IF(Table1[[#This Row],[In stock]]&lt;Table1[[#This Row],[Min in stock]],1,""),"")</f>
        <v/>
      </c>
    </row>
    <row r="496" spans="1:29" x14ac:dyDescent="0.25">
      <c r="A496" s="60" t="s">
        <v>2907</v>
      </c>
      <c r="B496" s="34" t="s">
        <v>713</v>
      </c>
      <c r="C496" s="34" t="s">
        <v>352</v>
      </c>
      <c r="D496" s="34" t="s">
        <v>2908</v>
      </c>
      <c r="E496" s="34" t="s">
        <v>559</v>
      </c>
      <c r="F496" s="53">
        <v>0</v>
      </c>
      <c r="G496" s="53"/>
      <c r="H496" s="53"/>
      <c r="I49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RHM100KKCT-ND</v>
      </c>
      <c r="J49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9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96" s="34" t="s">
        <v>2906</v>
      </c>
      <c r="M496" s="42">
        <v>0.1</v>
      </c>
      <c r="N496" s="34"/>
      <c r="O496" s="42"/>
      <c r="P496" s="34"/>
      <c r="Q496" s="42"/>
      <c r="R496" s="34"/>
      <c r="S496" s="42"/>
      <c r="T496" s="34"/>
      <c r="U496" s="42"/>
      <c r="V496" s="34"/>
      <c r="W496" s="42"/>
      <c r="X496" s="34"/>
      <c r="Y496" s="42"/>
      <c r="Z496" s="42"/>
      <c r="AA496" s="36"/>
      <c r="AB496" s="50"/>
      <c r="AC496" s="56" t="str">
        <f>IF(Table1[[#This Row],[Auto Order]]=1,IF(Table1[[#This Row],[In stock]]&lt;Table1[[#This Row],[Min in stock]],1,""),"")</f>
        <v/>
      </c>
    </row>
    <row r="497" spans="1:29" x14ac:dyDescent="0.25">
      <c r="A497" s="60" t="s">
        <v>2712</v>
      </c>
      <c r="B497" s="34" t="s">
        <v>713</v>
      </c>
      <c r="C497" s="34" t="s">
        <v>352</v>
      </c>
      <c r="D497" s="34" t="s">
        <v>2713</v>
      </c>
      <c r="E497" s="34" t="s">
        <v>559</v>
      </c>
      <c r="F497" s="53">
        <v>0</v>
      </c>
      <c r="G497" s="53"/>
      <c r="H497" s="53"/>
      <c r="I49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RHM1.0MKCT-ND</v>
      </c>
      <c r="J49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9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97" s="34" t="s">
        <v>2711</v>
      </c>
      <c r="M497" s="42">
        <v>0.1</v>
      </c>
      <c r="N497" s="34"/>
      <c r="O497" s="42"/>
      <c r="P497" s="34"/>
      <c r="Q497" s="42"/>
      <c r="R497" s="34"/>
      <c r="S497" s="42"/>
      <c r="T497" s="34"/>
      <c r="U497" s="42"/>
      <c r="V497" s="34"/>
      <c r="W497" s="42"/>
      <c r="X497" s="34"/>
      <c r="Y497" s="42"/>
      <c r="Z497" s="42"/>
      <c r="AA497" s="36"/>
      <c r="AB497" s="50"/>
      <c r="AC497" s="56" t="str">
        <f>IF(Table1[[#This Row],[Auto Order]]=1,IF(Table1[[#This Row],[In stock]]&lt;Table1[[#This Row],[Min in stock]],1,""),"")</f>
        <v/>
      </c>
    </row>
    <row r="498" spans="1:29" x14ac:dyDescent="0.25">
      <c r="A498" s="60" t="s">
        <v>2853</v>
      </c>
      <c r="B498" s="34" t="s">
        <v>713</v>
      </c>
      <c r="C498" s="34" t="s">
        <v>352</v>
      </c>
      <c r="D498" s="34" t="s">
        <v>2854</v>
      </c>
      <c r="E498" s="34" t="s">
        <v>559</v>
      </c>
      <c r="F498" s="53">
        <v>0</v>
      </c>
      <c r="G498" s="53"/>
      <c r="H498" s="53"/>
      <c r="I49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RHM10MKCT-ND</v>
      </c>
      <c r="J49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9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98" s="34" t="s">
        <v>2852</v>
      </c>
      <c r="M498" s="42">
        <v>0.1</v>
      </c>
      <c r="N498" s="34"/>
      <c r="O498" s="42"/>
      <c r="P498" s="34"/>
      <c r="Q498" s="42"/>
      <c r="R498" s="34"/>
      <c r="S498" s="42"/>
      <c r="T498" s="34"/>
      <c r="U498" s="42"/>
      <c r="V498" s="34"/>
      <c r="W498" s="42"/>
      <c r="X498" s="34"/>
      <c r="Y498" s="42"/>
      <c r="Z498" s="42"/>
      <c r="AA498" s="36"/>
      <c r="AB498" s="50"/>
      <c r="AC498" s="56" t="str">
        <f>IF(Table1[[#This Row],[Auto Order]]=1,IF(Table1[[#This Row],[In stock]]&lt;Table1[[#This Row],[Min in stock]],1,""),"")</f>
        <v/>
      </c>
    </row>
    <row r="499" spans="1:29" x14ac:dyDescent="0.25">
      <c r="A499" s="60" t="s">
        <v>2451</v>
      </c>
      <c r="B499" s="34" t="s">
        <v>713</v>
      </c>
      <c r="C499" s="34" t="s">
        <v>352</v>
      </c>
      <c r="D499" s="34" t="s">
        <v>2452</v>
      </c>
      <c r="E499" s="34" t="s">
        <v>559</v>
      </c>
      <c r="F499" s="53">
        <v>0</v>
      </c>
      <c r="G499" s="53"/>
      <c r="H499" s="53"/>
      <c r="I49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RHM11KCT-ND</v>
      </c>
      <c r="J49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9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99" s="34" t="s">
        <v>2450</v>
      </c>
      <c r="M499" s="42">
        <v>0.1</v>
      </c>
      <c r="N499" s="34"/>
      <c r="O499" s="42"/>
      <c r="P499" s="34"/>
      <c r="Q499" s="42"/>
      <c r="R499" s="34"/>
      <c r="S499" s="42"/>
      <c r="T499" s="34"/>
      <c r="U499" s="42"/>
      <c r="V499" s="34"/>
      <c r="W499" s="42"/>
      <c r="X499" s="34"/>
      <c r="Y499" s="42"/>
      <c r="Z499" s="42"/>
      <c r="AA499" s="36"/>
      <c r="AB499" s="50"/>
      <c r="AC499" s="56" t="str">
        <f>IF(Table1[[#This Row],[Auto Order]]=1,IF(Table1[[#This Row],[In stock]]&lt;Table1[[#This Row],[Min in stock]],1,""),"")</f>
        <v/>
      </c>
    </row>
    <row r="500" spans="1:29" x14ac:dyDescent="0.25">
      <c r="A500" s="60" t="s">
        <v>2697</v>
      </c>
      <c r="B500" s="34" t="s">
        <v>713</v>
      </c>
      <c r="C500" s="34" t="s">
        <v>352</v>
      </c>
      <c r="D500" s="34" t="s">
        <v>2698</v>
      </c>
      <c r="E500" s="34" t="s">
        <v>559</v>
      </c>
      <c r="F500" s="53">
        <v>0</v>
      </c>
      <c r="G500" s="53"/>
      <c r="H500" s="53"/>
      <c r="I50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RHM110KCT-ND</v>
      </c>
      <c r="J50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0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00" s="34" t="s">
        <v>2696</v>
      </c>
      <c r="M500" s="42">
        <v>0.1</v>
      </c>
      <c r="N500" s="34"/>
      <c r="O500" s="42"/>
      <c r="P500" s="34"/>
      <c r="Q500" s="42"/>
      <c r="R500" s="34"/>
      <c r="S500" s="42"/>
      <c r="T500" s="34"/>
      <c r="U500" s="42"/>
      <c r="V500" s="34"/>
      <c r="W500" s="42"/>
      <c r="X500" s="34"/>
      <c r="Y500" s="42"/>
      <c r="Z500" s="42"/>
      <c r="AA500" s="36"/>
      <c r="AB500" s="50"/>
      <c r="AC500" s="56" t="str">
        <f>IF(Table1[[#This Row],[Auto Order]]=1,IF(Table1[[#This Row],[In stock]]&lt;Table1[[#This Row],[Min in stock]],1,""),"")</f>
        <v/>
      </c>
    </row>
    <row r="501" spans="1:29" x14ac:dyDescent="0.25">
      <c r="A501" s="60" t="s">
        <v>2595</v>
      </c>
      <c r="B501" s="34" t="s">
        <v>713</v>
      </c>
      <c r="C501" s="34" t="s">
        <v>352</v>
      </c>
      <c r="D501" s="34" t="s">
        <v>2596</v>
      </c>
      <c r="E501" s="34" t="s">
        <v>559</v>
      </c>
      <c r="F501" s="53">
        <v>0</v>
      </c>
      <c r="G501" s="53"/>
      <c r="H501" s="53"/>
      <c r="I50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RHM1.1KKCT-ND</v>
      </c>
      <c r="J50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0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01" s="34" t="s">
        <v>2594</v>
      </c>
      <c r="M501" s="42">
        <v>0.1</v>
      </c>
      <c r="N501" s="34"/>
      <c r="O501" s="42"/>
      <c r="P501" s="34"/>
      <c r="Q501" s="42"/>
      <c r="R501" s="34"/>
      <c r="S501" s="42"/>
      <c r="T501" s="34"/>
      <c r="U501" s="42"/>
      <c r="V501" s="34"/>
      <c r="W501" s="42"/>
      <c r="X501" s="34"/>
      <c r="Y501" s="42"/>
      <c r="Z501" s="42"/>
      <c r="AA501" s="36"/>
      <c r="AB501" s="50"/>
      <c r="AC501" s="56" t="str">
        <f>IF(Table1[[#This Row],[Auto Order]]=1,IF(Table1[[#This Row],[In stock]]&lt;Table1[[#This Row],[Min in stock]],1,""),"")</f>
        <v/>
      </c>
    </row>
    <row r="502" spans="1:29" x14ac:dyDescent="0.25">
      <c r="A502" s="60" t="s">
        <v>2673</v>
      </c>
      <c r="B502" s="34" t="s">
        <v>713</v>
      </c>
      <c r="C502" s="34" t="s">
        <v>352</v>
      </c>
      <c r="D502" s="34" t="s">
        <v>2674</v>
      </c>
      <c r="E502" s="34" t="s">
        <v>559</v>
      </c>
      <c r="F502" s="53">
        <v>0</v>
      </c>
      <c r="G502" s="53"/>
      <c r="H502" s="53"/>
      <c r="I50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RHM1.1MKCT-ND</v>
      </c>
      <c r="J50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0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02" s="34" t="s">
        <v>2672</v>
      </c>
      <c r="M502" s="42">
        <v>0.1</v>
      </c>
      <c r="N502" s="34"/>
      <c r="O502" s="42"/>
      <c r="P502" s="34"/>
      <c r="Q502" s="42"/>
      <c r="R502" s="34"/>
      <c r="S502" s="42"/>
      <c r="T502" s="34"/>
      <c r="U502" s="42"/>
      <c r="V502" s="34"/>
      <c r="W502" s="42"/>
      <c r="X502" s="34"/>
      <c r="Y502" s="42"/>
      <c r="Z502" s="42"/>
      <c r="AA502" s="36"/>
      <c r="AB502" s="50"/>
      <c r="AC502" s="56" t="str">
        <f>IF(Table1[[#This Row],[Auto Order]]=1,IF(Table1[[#This Row],[In stock]]&lt;Table1[[#This Row],[Min in stock]],1,""),"")</f>
        <v/>
      </c>
    </row>
    <row r="503" spans="1:29" x14ac:dyDescent="0.25">
      <c r="A503" s="60" t="s">
        <v>2073</v>
      </c>
      <c r="B503" s="34" t="s">
        <v>713</v>
      </c>
      <c r="C503" s="34" t="s">
        <v>352</v>
      </c>
      <c r="D503" s="34" t="s">
        <v>2074</v>
      </c>
      <c r="E503" s="34" t="s">
        <v>559</v>
      </c>
      <c r="F503" s="53">
        <v>0</v>
      </c>
      <c r="G503" s="53"/>
      <c r="H503" s="53"/>
      <c r="I50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RHM12KCT-ND</v>
      </c>
      <c r="J50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0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03" s="34" t="s">
        <v>2072</v>
      </c>
      <c r="M503" s="42">
        <v>0.1</v>
      </c>
      <c r="N503" s="34"/>
      <c r="O503" s="42"/>
      <c r="P503" s="34"/>
      <c r="Q503" s="42"/>
      <c r="R503" s="34"/>
      <c r="S503" s="42"/>
      <c r="T503" s="34"/>
      <c r="U503" s="42"/>
      <c r="V503" s="34"/>
      <c r="W503" s="42"/>
      <c r="X503" s="34"/>
      <c r="Y503" s="42"/>
      <c r="Z503" s="42"/>
      <c r="AA503" s="36"/>
      <c r="AB503" s="50"/>
      <c r="AC503" s="56" t="str">
        <f>IF(Table1[[#This Row],[Auto Order]]=1,IF(Table1[[#This Row],[In stock]]&lt;Table1[[#This Row],[Min in stock]],1,""),"")</f>
        <v/>
      </c>
    </row>
    <row r="504" spans="1:29" x14ac:dyDescent="0.25">
      <c r="A504" s="60" t="s">
        <v>1851</v>
      </c>
      <c r="B504" s="34" t="s">
        <v>713</v>
      </c>
      <c r="C504" s="34" t="s">
        <v>352</v>
      </c>
      <c r="D504" s="34" t="s">
        <v>1852</v>
      </c>
      <c r="E504" s="34" t="s">
        <v>559</v>
      </c>
      <c r="F504" s="53">
        <v>0</v>
      </c>
      <c r="G504" s="53"/>
      <c r="H504" s="53"/>
      <c r="I50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RHM120KCT-ND</v>
      </c>
      <c r="J50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0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04" s="34" t="s">
        <v>1850</v>
      </c>
      <c r="M504" s="42">
        <v>0.1</v>
      </c>
      <c r="N504" s="34"/>
      <c r="O504" s="42"/>
      <c r="P504" s="34"/>
      <c r="Q504" s="42"/>
      <c r="R504" s="34"/>
      <c r="S504" s="42"/>
      <c r="T504" s="34"/>
      <c r="U504" s="42"/>
      <c r="V504" s="34"/>
      <c r="W504" s="42"/>
      <c r="X504" s="34"/>
      <c r="Y504" s="42"/>
      <c r="Z504" s="42"/>
      <c r="AA504" s="36"/>
      <c r="AB504" s="50"/>
      <c r="AC504" s="56" t="str">
        <f>IF(Table1[[#This Row],[Auto Order]]=1,IF(Table1[[#This Row],[In stock]]&lt;Table1[[#This Row],[Min in stock]],1,""),"")</f>
        <v/>
      </c>
    </row>
    <row r="505" spans="1:29" x14ac:dyDescent="0.25">
      <c r="A505" s="60" t="s">
        <v>1944</v>
      </c>
      <c r="B505" s="34" t="s">
        <v>713</v>
      </c>
      <c r="C505" s="34" t="s">
        <v>352</v>
      </c>
      <c r="D505" s="34" t="s">
        <v>1945</v>
      </c>
      <c r="E505" s="34" t="s">
        <v>559</v>
      </c>
      <c r="F505" s="53">
        <v>0</v>
      </c>
      <c r="G505" s="53"/>
      <c r="H505" s="53"/>
      <c r="I50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RHM1.2KKCT-ND</v>
      </c>
      <c r="J50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0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05" s="34" t="s">
        <v>1943</v>
      </c>
      <c r="M505" s="42">
        <v>0.1</v>
      </c>
      <c r="N505" s="34"/>
      <c r="O505" s="42"/>
      <c r="P505" s="34"/>
      <c r="Q505" s="42"/>
      <c r="R505" s="34"/>
      <c r="S505" s="42"/>
      <c r="T505" s="34"/>
      <c r="U505" s="42"/>
      <c r="V505" s="34"/>
      <c r="W505" s="42"/>
      <c r="X505" s="34"/>
      <c r="Y505" s="42"/>
      <c r="Z505" s="42"/>
      <c r="AA505" s="36"/>
      <c r="AB505" s="50"/>
      <c r="AC505" s="56" t="str">
        <f>IF(Table1[[#This Row],[Auto Order]]=1,IF(Table1[[#This Row],[In stock]]&lt;Table1[[#This Row],[Min in stock]],1,""),"")</f>
        <v/>
      </c>
    </row>
    <row r="506" spans="1:29" x14ac:dyDescent="0.25">
      <c r="A506" s="60" t="s">
        <v>2094</v>
      </c>
      <c r="B506" s="34" t="s">
        <v>713</v>
      </c>
      <c r="C506" s="34" t="s">
        <v>352</v>
      </c>
      <c r="D506" s="34" t="s">
        <v>2095</v>
      </c>
      <c r="E506" s="34" t="s">
        <v>559</v>
      </c>
      <c r="F506" s="53">
        <v>0</v>
      </c>
      <c r="G506" s="53"/>
      <c r="H506" s="53"/>
      <c r="I50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RHM12KKCT-ND</v>
      </c>
      <c r="J50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0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06" s="34" t="s">
        <v>2093</v>
      </c>
      <c r="M506" s="42">
        <v>0.1</v>
      </c>
      <c r="N506" s="34"/>
      <c r="O506" s="42"/>
      <c r="P506" s="34"/>
      <c r="Q506" s="42"/>
      <c r="R506" s="34"/>
      <c r="S506" s="42"/>
      <c r="T506" s="34"/>
      <c r="U506" s="42"/>
      <c r="V506" s="34"/>
      <c r="W506" s="42"/>
      <c r="X506" s="34"/>
      <c r="Y506" s="42"/>
      <c r="Z506" s="42"/>
      <c r="AA506" s="36"/>
      <c r="AB506" s="50"/>
      <c r="AC506" s="56" t="str">
        <f>IF(Table1[[#This Row],[Auto Order]]=1,IF(Table1[[#This Row],[In stock]]&lt;Table1[[#This Row],[Min in stock]],1,""),"")</f>
        <v/>
      </c>
    </row>
    <row r="507" spans="1:29" x14ac:dyDescent="0.25">
      <c r="A507" s="60" t="s">
        <v>2850</v>
      </c>
      <c r="B507" s="34" t="s">
        <v>713</v>
      </c>
      <c r="C507" s="34" t="s">
        <v>352</v>
      </c>
      <c r="D507" s="34" t="s">
        <v>2851</v>
      </c>
      <c r="E507" s="34" t="s">
        <v>559</v>
      </c>
      <c r="F507" s="53">
        <v>0</v>
      </c>
      <c r="G507" s="53"/>
      <c r="H507" s="53"/>
      <c r="I50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RHM120KKCT-ND</v>
      </c>
      <c r="J50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0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07" s="34" t="s">
        <v>2849</v>
      </c>
      <c r="M507" s="42">
        <v>0.1</v>
      </c>
      <c r="N507" s="34"/>
      <c r="O507" s="42"/>
      <c r="P507" s="34"/>
      <c r="Q507" s="42"/>
      <c r="R507" s="34"/>
      <c r="S507" s="42"/>
      <c r="T507" s="34"/>
      <c r="U507" s="42"/>
      <c r="V507" s="34"/>
      <c r="W507" s="42"/>
      <c r="X507" s="34"/>
      <c r="Y507" s="42"/>
      <c r="Z507" s="42"/>
      <c r="AA507" s="36"/>
      <c r="AB507" s="50"/>
      <c r="AC507" s="56" t="str">
        <f>IF(Table1[[#This Row],[Auto Order]]=1,IF(Table1[[#This Row],[In stock]]&lt;Table1[[#This Row],[Min in stock]],1,""),"")</f>
        <v/>
      </c>
    </row>
    <row r="508" spans="1:29" x14ac:dyDescent="0.25">
      <c r="A508" s="60" t="s">
        <v>2922</v>
      </c>
      <c r="B508" s="34" t="s">
        <v>713</v>
      </c>
      <c r="C508" s="34" t="s">
        <v>352</v>
      </c>
      <c r="D508" s="34" t="s">
        <v>2923</v>
      </c>
      <c r="E508" s="34" t="s">
        <v>559</v>
      </c>
      <c r="F508" s="53">
        <v>0</v>
      </c>
      <c r="G508" s="53"/>
      <c r="H508" s="53"/>
      <c r="I50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RHM13KCT-ND</v>
      </c>
      <c r="J50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0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08" s="34" t="s">
        <v>2921</v>
      </c>
      <c r="M508" s="42">
        <v>0.1</v>
      </c>
      <c r="N508" s="34"/>
      <c r="O508" s="42"/>
      <c r="P508" s="34"/>
      <c r="Q508" s="42"/>
      <c r="R508" s="34"/>
      <c r="S508" s="42"/>
      <c r="T508" s="34"/>
      <c r="U508" s="42"/>
      <c r="V508" s="34"/>
      <c r="W508" s="42"/>
      <c r="X508" s="34"/>
      <c r="Y508" s="42"/>
      <c r="Z508" s="42"/>
      <c r="AA508" s="36"/>
      <c r="AB508" s="50"/>
      <c r="AC508" s="56" t="str">
        <f>IF(Table1[[#This Row],[Auto Order]]=1,IF(Table1[[#This Row],[In stock]]&lt;Table1[[#This Row],[Min in stock]],1,""),"")</f>
        <v/>
      </c>
    </row>
    <row r="509" spans="1:29" x14ac:dyDescent="0.25">
      <c r="A509" s="60" t="s">
        <v>2454</v>
      </c>
      <c r="B509" s="34" t="s">
        <v>713</v>
      </c>
      <c r="C509" s="34" t="s">
        <v>352</v>
      </c>
      <c r="D509" s="34" t="s">
        <v>2455</v>
      </c>
      <c r="E509" s="34" t="s">
        <v>559</v>
      </c>
      <c r="F509" s="53">
        <v>0</v>
      </c>
      <c r="G509" s="53"/>
      <c r="H509" s="53"/>
      <c r="I50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RHM130KCT-ND</v>
      </c>
      <c r="J50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0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09" s="34" t="s">
        <v>2453</v>
      </c>
      <c r="M509" s="42">
        <v>0.1</v>
      </c>
      <c r="N509" s="34"/>
      <c r="O509" s="42"/>
      <c r="P509" s="34"/>
      <c r="Q509" s="42"/>
      <c r="R509" s="34"/>
      <c r="S509" s="42"/>
      <c r="T509" s="34"/>
      <c r="U509" s="42"/>
      <c r="V509" s="34"/>
      <c r="W509" s="42"/>
      <c r="X509" s="34"/>
      <c r="Y509" s="42"/>
      <c r="Z509" s="42"/>
      <c r="AA509" s="36"/>
      <c r="AB509" s="50"/>
      <c r="AC509" s="56" t="str">
        <f>IF(Table1[[#This Row],[Auto Order]]=1,IF(Table1[[#This Row],[In stock]]&lt;Table1[[#This Row],[Min in stock]],1,""),"")</f>
        <v/>
      </c>
    </row>
    <row r="510" spans="1:29" x14ac:dyDescent="0.25">
      <c r="A510" s="60" t="s">
        <v>2190</v>
      </c>
      <c r="B510" s="34" t="s">
        <v>713</v>
      </c>
      <c r="C510" s="34" t="s">
        <v>352</v>
      </c>
      <c r="D510" s="34" t="s">
        <v>2191</v>
      </c>
      <c r="E510" s="34" t="s">
        <v>559</v>
      </c>
      <c r="F510" s="53">
        <v>0</v>
      </c>
      <c r="G510" s="53"/>
      <c r="H510" s="53"/>
      <c r="I51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RHM13KKCT-ND</v>
      </c>
      <c r="J51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1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10" s="34" t="s">
        <v>2189</v>
      </c>
      <c r="M510" s="42">
        <v>0.1</v>
      </c>
      <c r="N510" s="34"/>
      <c r="O510" s="42"/>
      <c r="P510" s="34"/>
      <c r="Q510" s="42"/>
      <c r="R510" s="34"/>
      <c r="S510" s="42"/>
      <c r="T510" s="34"/>
      <c r="U510" s="42"/>
      <c r="V510" s="34"/>
      <c r="W510" s="42"/>
      <c r="X510" s="34"/>
      <c r="Y510" s="42"/>
      <c r="Z510" s="42"/>
      <c r="AA510" s="36"/>
      <c r="AB510" s="50"/>
      <c r="AC510" s="56" t="str">
        <f>IF(Table1[[#This Row],[Auto Order]]=1,IF(Table1[[#This Row],[In stock]]&lt;Table1[[#This Row],[Min in stock]],1,""),"")</f>
        <v/>
      </c>
    </row>
    <row r="511" spans="1:29" x14ac:dyDescent="0.25">
      <c r="A511" s="60" t="s">
        <v>2346</v>
      </c>
      <c r="B511" s="34" t="s">
        <v>713</v>
      </c>
      <c r="C511" s="34" t="s">
        <v>352</v>
      </c>
      <c r="D511" s="34" t="s">
        <v>2347</v>
      </c>
      <c r="E511" s="34" t="s">
        <v>559</v>
      </c>
      <c r="F511" s="53">
        <v>0</v>
      </c>
      <c r="G511" s="53"/>
      <c r="H511" s="53"/>
      <c r="I51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RHM15KCT-ND</v>
      </c>
      <c r="J51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1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11" s="34" t="s">
        <v>2345</v>
      </c>
      <c r="M511" s="42">
        <v>0.1</v>
      </c>
      <c r="N511" s="34"/>
      <c r="O511" s="42"/>
      <c r="P511" s="34"/>
      <c r="Q511" s="42"/>
      <c r="R511" s="34"/>
      <c r="S511" s="42"/>
      <c r="T511" s="34"/>
      <c r="U511" s="42"/>
      <c r="V511" s="34"/>
      <c r="W511" s="42"/>
      <c r="X511" s="34"/>
      <c r="Y511" s="42"/>
      <c r="Z511" s="42"/>
      <c r="AA511" s="36"/>
      <c r="AB511" s="50"/>
      <c r="AC511" s="56" t="str">
        <f>IF(Table1[[#This Row],[Auto Order]]=1,IF(Table1[[#This Row],[In stock]]&lt;Table1[[#This Row],[Min in stock]],1,""),"")</f>
        <v/>
      </c>
    </row>
    <row r="512" spans="1:29" x14ac:dyDescent="0.25">
      <c r="A512" s="60" t="s">
        <v>2175</v>
      </c>
      <c r="B512" s="34" t="s">
        <v>713</v>
      </c>
      <c r="C512" s="34" t="s">
        <v>352</v>
      </c>
      <c r="D512" s="34" t="s">
        <v>2176</v>
      </c>
      <c r="E512" s="34" t="s">
        <v>559</v>
      </c>
      <c r="F512" s="53">
        <v>0</v>
      </c>
      <c r="G512" s="53"/>
      <c r="H512" s="53"/>
      <c r="I51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RHM1.5KKCT-ND</v>
      </c>
      <c r="J51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1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12" s="34" t="s">
        <v>2174</v>
      </c>
      <c r="M512" s="42">
        <v>0.1</v>
      </c>
      <c r="N512" s="34"/>
      <c r="O512" s="42"/>
      <c r="P512" s="34"/>
      <c r="Q512" s="42"/>
      <c r="R512" s="34"/>
      <c r="S512" s="42"/>
      <c r="T512" s="34"/>
      <c r="U512" s="42"/>
      <c r="V512" s="34"/>
      <c r="W512" s="42"/>
      <c r="X512" s="34"/>
      <c r="Y512" s="42"/>
      <c r="Z512" s="42"/>
      <c r="AA512" s="36"/>
      <c r="AB512" s="50"/>
      <c r="AC512" s="56" t="str">
        <f>IF(Table1[[#This Row],[Auto Order]]=1,IF(Table1[[#This Row],[In stock]]&lt;Table1[[#This Row],[Min in stock]],1,""),"")</f>
        <v/>
      </c>
    </row>
    <row r="513" spans="1:29" x14ac:dyDescent="0.25">
      <c r="A513" s="60" t="s">
        <v>2577</v>
      </c>
      <c r="B513" s="34" t="s">
        <v>713</v>
      </c>
      <c r="C513" s="34" t="s">
        <v>352</v>
      </c>
      <c r="D513" s="34" t="s">
        <v>2578</v>
      </c>
      <c r="E513" s="34" t="s">
        <v>559</v>
      </c>
      <c r="F513" s="53">
        <v>0</v>
      </c>
      <c r="G513" s="53"/>
      <c r="H513" s="53"/>
      <c r="I51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RHM15KKCT-ND</v>
      </c>
      <c r="J51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1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13" s="34" t="s">
        <v>2576</v>
      </c>
      <c r="M513" s="42">
        <v>0.1</v>
      </c>
      <c r="N513" s="34"/>
      <c r="O513" s="42"/>
      <c r="P513" s="34"/>
      <c r="Q513" s="42"/>
      <c r="R513" s="34"/>
      <c r="S513" s="42"/>
      <c r="T513" s="34"/>
      <c r="U513" s="42"/>
      <c r="V513" s="34"/>
      <c r="W513" s="42"/>
      <c r="X513" s="34"/>
      <c r="Y513" s="42"/>
      <c r="Z513" s="42"/>
      <c r="AA513" s="36"/>
      <c r="AB513" s="50"/>
      <c r="AC513" s="56" t="str">
        <f>IF(Table1[[#This Row],[Auto Order]]=1,IF(Table1[[#This Row],[In stock]]&lt;Table1[[#This Row],[Min in stock]],1,""),"")</f>
        <v/>
      </c>
    </row>
    <row r="514" spans="1:29" x14ac:dyDescent="0.25">
      <c r="A514" s="60" t="s">
        <v>2769</v>
      </c>
      <c r="B514" s="34" t="s">
        <v>713</v>
      </c>
      <c r="C514" s="34" t="s">
        <v>352</v>
      </c>
      <c r="D514" s="34" t="s">
        <v>2770</v>
      </c>
      <c r="E514" s="34" t="s">
        <v>559</v>
      </c>
      <c r="F514" s="53">
        <v>0</v>
      </c>
      <c r="G514" s="53"/>
      <c r="H514" s="53"/>
      <c r="I51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RHM150KKCT-ND</v>
      </c>
      <c r="J51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1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14" s="34" t="s">
        <v>2768</v>
      </c>
      <c r="M514" s="42">
        <v>0.1</v>
      </c>
      <c r="N514" s="34"/>
      <c r="O514" s="42"/>
      <c r="P514" s="34"/>
      <c r="Q514" s="42"/>
      <c r="R514" s="34"/>
      <c r="S514" s="42"/>
      <c r="T514" s="34"/>
      <c r="U514" s="42"/>
      <c r="V514" s="34"/>
      <c r="W514" s="42"/>
      <c r="X514" s="34"/>
      <c r="Y514" s="42"/>
      <c r="Z514" s="42"/>
      <c r="AA514" s="36"/>
      <c r="AB514" s="50"/>
      <c r="AC514" s="56" t="str">
        <f>IF(Table1[[#This Row],[Auto Order]]=1,IF(Table1[[#This Row],[In stock]]&lt;Table1[[#This Row],[Min in stock]],1,""),"")</f>
        <v/>
      </c>
    </row>
    <row r="515" spans="1:29" x14ac:dyDescent="0.25">
      <c r="A515" s="60" t="s">
        <v>2457</v>
      </c>
      <c r="B515" s="34" t="s">
        <v>713</v>
      </c>
      <c r="C515" s="34" t="s">
        <v>352</v>
      </c>
      <c r="D515" s="34" t="s">
        <v>2458</v>
      </c>
      <c r="E515" s="34" t="s">
        <v>559</v>
      </c>
      <c r="F515" s="53">
        <v>0</v>
      </c>
      <c r="G515" s="53"/>
      <c r="H515" s="53"/>
      <c r="I51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RHM1.5MKCT-ND</v>
      </c>
      <c r="J51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1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15" s="34" t="s">
        <v>2456</v>
      </c>
      <c r="M515" s="42">
        <v>0.1</v>
      </c>
      <c r="N515" s="34"/>
      <c r="O515" s="42"/>
      <c r="P515" s="34"/>
      <c r="Q515" s="42"/>
      <c r="R515" s="34"/>
      <c r="S515" s="42"/>
      <c r="T515" s="34"/>
      <c r="U515" s="42"/>
      <c r="V515" s="34"/>
      <c r="W515" s="42"/>
      <c r="X515" s="34"/>
      <c r="Y515" s="42"/>
      <c r="Z515" s="42"/>
      <c r="AA515" s="36"/>
      <c r="AB515" s="50"/>
      <c r="AC515" s="56" t="str">
        <f>IF(Table1[[#This Row],[Auto Order]]=1,IF(Table1[[#This Row],[In stock]]&lt;Table1[[#This Row],[Min in stock]],1,""),"")</f>
        <v/>
      </c>
    </row>
    <row r="516" spans="1:29" x14ac:dyDescent="0.25">
      <c r="A516" s="60" t="s">
        <v>2235</v>
      </c>
      <c r="B516" s="34" t="s">
        <v>713</v>
      </c>
      <c r="C516" s="34" t="s">
        <v>352</v>
      </c>
      <c r="D516" s="34" t="s">
        <v>2236</v>
      </c>
      <c r="E516" s="34" t="s">
        <v>559</v>
      </c>
      <c r="F516" s="53">
        <v>0</v>
      </c>
      <c r="G516" s="53"/>
      <c r="H516" s="53"/>
      <c r="I51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RHM16KCT-ND</v>
      </c>
      <c r="J51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1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16" s="34" t="s">
        <v>2234</v>
      </c>
      <c r="M516" s="42">
        <v>0.1</v>
      </c>
      <c r="N516" s="34"/>
      <c r="O516" s="42"/>
      <c r="P516" s="34"/>
      <c r="Q516" s="42"/>
      <c r="R516" s="34"/>
      <c r="S516" s="42"/>
      <c r="T516" s="34"/>
      <c r="U516" s="42"/>
      <c r="V516" s="34"/>
      <c r="W516" s="42"/>
      <c r="X516" s="34"/>
      <c r="Y516" s="42"/>
      <c r="Z516" s="42"/>
      <c r="AA516" s="36"/>
      <c r="AB516" s="50"/>
      <c r="AC516" s="56" t="str">
        <f>IF(Table1[[#This Row],[Auto Order]]=1,IF(Table1[[#This Row],[In stock]]&lt;Table1[[#This Row],[Min in stock]],1,""),"")</f>
        <v/>
      </c>
    </row>
    <row r="517" spans="1:29" x14ac:dyDescent="0.25">
      <c r="A517" s="60" t="s">
        <v>2349</v>
      </c>
      <c r="B517" s="34" t="s">
        <v>713</v>
      </c>
      <c r="C517" s="34" t="s">
        <v>352</v>
      </c>
      <c r="D517" s="34" t="s">
        <v>2350</v>
      </c>
      <c r="E517" s="34" t="s">
        <v>559</v>
      </c>
      <c r="F517" s="53">
        <v>0</v>
      </c>
      <c r="G517" s="53"/>
      <c r="H517" s="53"/>
      <c r="I51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RHM160KCT-ND</v>
      </c>
      <c r="J51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1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17" s="34" t="s">
        <v>2348</v>
      </c>
      <c r="M517" s="42">
        <v>0.1</v>
      </c>
      <c r="N517" s="34"/>
      <c r="O517" s="42"/>
      <c r="P517" s="34"/>
      <c r="Q517" s="42"/>
      <c r="R517" s="34"/>
      <c r="S517" s="42"/>
      <c r="T517" s="34"/>
      <c r="U517" s="42"/>
      <c r="V517" s="34"/>
      <c r="W517" s="42"/>
      <c r="X517" s="34"/>
      <c r="Y517" s="42"/>
      <c r="Z517" s="42"/>
      <c r="AA517" s="36"/>
      <c r="AB517" s="50"/>
      <c r="AC517" s="56" t="str">
        <f>IF(Table1[[#This Row],[Auto Order]]=1,IF(Table1[[#This Row],[In stock]]&lt;Table1[[#This Row],[Min in stock]],1,""),"")</f>
        <v/>
      </c>
    </row>
    <row r="518" spans="1:29" x14ac:dyDescent="0.25">
      <c r="A518" s="60" t="s">
        <v>2079</v>
      </c>
      <c r="B518" s="34" t="s">
        <v>713</v>
      </c>
      <c r="C518" s="34" t="s">
        <v>352</v>
      </c>
      <c r="D518" s="34" t="s">
        <v>2080</v>
      </c>
      <c r="E518" s="34" t="s">
        <v>559</v>
      </c>
      <c r="F518" s="53">
        <v>0</v>
      </c>
      <c r="G518" s="53"/>
      <c r="H518" s="53"/>
      <c r="I51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RHM1.6KKCT-ND</v>
      </c>
      <c r="J51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1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18" s="34" t="s">
        <v>2078</v>
      </c>
      <c r="M518" s="42">
        <v>0.1</v>
      </c>
      <c r="N518" s="34"/>
      <c r="O518" s="42"/>
      <c r="P518" s="34"/>
      <c r="Q518" s="42"/>
      <c r="R518" s="34"/>
      <c r="S518" s="42"/>
      <c r="T518" s="34"/>
      <c r="U518" s="42"/>
      <c r="V518" s="34"/>
      <c r="W518" s="42"/>
      <c r="X518" s="34"/>
      <c r="Y518" s="42"/>
      <c r="Z518" s="42"/>
      <c r="AA518" s="36"/>
      <c r="AB518" s="50"/>
      <c r="AC518" s="56" t="str">
        <f>IF(Table1[[#This Row],[Auto Order]]=1,IF(Table1[[#This Row],[In stock]]&lt;Table1[[#This Row],[Min in stock]],1,""),"")</f>
        <v/>
      </c>
    </row>
    <row r="519" spans="1:29" x14ac:dyDescent="0.25">
      <c r="A519" s="60" t="s">
        <v>2817</v>
      </c>
      <c r="B519" s="34" t="s">
        <v>713</v>
      </c>
      <c r="C519" s="34" t="s">
        <v>352</v>
      </c>
      <c r="D519" s="34" t="s">
        <v>2818</v>
      </c>
      <c r="E519" s="34" t="s">
        <v>559</v>
      </c>
      <c r="F519" s="53">
        <v>0</v>
      </c>
      <c r="G519" s="53"/>
      <c r="H519" s="53"/>
      <c r="I51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RHM16KKCT-ND</v>
      </c>
      <c r="J51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1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19" s="34" t="s">
        <v>2816</v>
      </c>
      <c r="M519" s="42">
        <v>0.1</v>
      </c>
      <c r="N519" s="34"/>
      <c r="O519" s="42"/>
      <c r="P519" s="34"/>
      <c r="Q519" s="42"/>
      <c r="R519" s="34"/>
      <c r="S519" s="42"/>
      <c r="T519" s="34"/>
      <c r="U519" s="42"/>
      <c r="V519" s="34"/>
      <c r="W519" s="42"/>
      <c r="X519" s="34"/>
      <c r="Y519" s="42"/>
      <c r="Z519" s="42"/>
      <c r="AA519" s="36"/>
      <c r="AB519" s="50"/>
      <c r="AC519" s="56" t="str">
        <f>IF(Table1[[#This Row],[Auto Order]]=1,IF(Table1[[#This Row],[In stock]]&lt;Table1[[#This Row],[Min in stock]],1,""),"")</f>
        <v/>
      </c>
    </row>
    <row r="520" spans="1:29" x14ac:dyDescent="0.25">
      <c r="A520" s="60" t="s">
        <v>2721</v>
      </c>
      <c r="B520" s="34" t="s">
        <v>713</v>
      </c>
      <c r="C520" s="34" t="s">
        <v>352</v>
      </c>
      <c r="D520" s="34" t="s">
        <v>2722</v>
      </c>
      <c r="E520" s="34" t="s">
        <v>559</v>
      </c>
      <c r="F520" s="53">
        <v>0</v>
      </c>
      <c r="G520" s="53"/>
      <c r="H520" s="53"/>
      <c r="I52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RHM18KCT-ND</v>
      </c>
      <c r="J52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2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20" s="34" t="s">
        <v>2720</v>
      </c>
      <c r="M520" s="42">
        <v>0.1</v>
      </c>
      <c r="N520" s="34"/>
      <c r="O520" s="42"/>
      <c r="P520" s="34"/>
      <c r="Q520" s="42"/>
      <c r="R520" s="34"/>
      <c r="S520" s="42"/>
      <c r="T520" s="34"/>
      <c r="U520" s="42"/>
      <c r="V520" s="34"/>
      <c r="W520" s="42"/>
      <c r="X520" s="34"/>
      <c r="Y520" s="42"/>
      <c r="Z520" s="42"/>
      <c r="AA520" s="36"/>
      <c r="AB520" s="50"/>
      <c r="AC520" s="56" t="str">
        <f>IF(Table1[[#This Row],[Auto Order]]=1,IF(Table1[[#This Row],[In stock]]&lt;Table1[[#This Row],[Min in stock]],1,""),"")</f>
        <v/>
      </c>
    </row>
    <row r="521" spans="1:29" x14ac:dyDescent="0.25">
      <c r="A521" s="60" t="s">
        <v>2352</v>
      </c>
      <c r="B521" s="34" t="s">
        <v>713</v>
      </c>
      <c r="C521" s="34" t="s">
        <v>352</v>
      </c>
      <c r="D521" s="34" t="s">
        <v>2353</v>
      </c>
      <c r="E521" s="34" t="s">
        <v>559</v>
      </c>
      <c r="F521" s="53">
        <v>0</v>
      </c>
      <c r="G521" s="53"/>
      <c r="H521" s="53"/>
      <c r="I52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RHM180KCT-ND</v>
      </c>
      <c r="J52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2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21" s="34" t="s">
        <v>2351</v>
      </c>
      <c r="M521" s="42">
        <v>0.1</v>
      </c>
      <c r="N521" s="34"/>
      <c r="O521" s="42"/>
      <c r="P521" s="34"/>
      <c r="Q521" s="42"/>
      <c r="R521" s="34"/>
      <c r="S521" s="42"/>
      <c r="T521" s="34"/>
      <c r="U521" s="42"/>
      <c r="V521" s="34"/>
      <c r="W521" s="42"/>
      <c r="X521" s="34"/>
      <c r="Y521" s="42"/>
      <c r="Z521" s="42"/>
      <c r="AA521" s="36"/>
      <c r="AB521" s="50"/>
      <c r="AC521" s="56" t="str">
        <f>IF(Table1[[#This Row],[Auto Order]]=1,IF(Table1[[#This Row],[In stock]]&lt;Table1[[#This Row],[Min in stock]],1,""),"")</f>
        <v/>
      </c>
    </row>
    <row r="522" spans="1:29" x14ac:dyDescent="0.25">
      <c r="A522" s="60" t="s">
        <v>1803</v>
      </c>
      <c r="B522" s="34" t="s">
        <v>713</v>
      </c>
      <c r="C522" s="34" t="s">
        <v>352</v>
      </c>
      <c r="D522" s="34" t="s">
        <v>1804</v>
      </c>
      <c r="E522" s="34" t="s">
        <v>559</v>
      </c>
      <c r="F522" s="53">
        <v>0</v>
      </c>
      <c r="G522" s="53"/>
      <c r="H522" s="53"/>
      <c r="I52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RHM1.8KKCT-ND</v>
      </c>
      <c r="J52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2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22" s="34" t="s">
        <v>1802</v>
      </c>
      <c r="M522" s="42">
        <v>0.1</v>
      </c>
      <c r="N522" s="34"/>
      <c r="O522" s="42"/>
      <c r="P522" s="34"/>
      <c r="Q522" s="42"/>
      <c r="R522" s="34"/>
      <c r="S522" s="42"/>
      <c r="T522" s="34"/>
      <c r="U522" s="42"/>
      <c r="V522" s="34"/>
      <c r="W522" s="42"/>
      <c r="X522" s="34"/>
      <c r="Y522" s="42"/>
      <c r="Z522" s="42"/>
      <c r="AA522" s="36"/>
      <c r="AB522" s="50"/>
      <c r="AC522" s="56" t="str">
        <f>IF(Table1[[#This Row],[Auto Order]]=1,IF(Table1[[#This Row],[In stock]]&lt;Table1[[#This Row],[Min in stock]],1,""),"")</f>
        <v/>
      </c>
    </row>
    <row r="523" spans="1:29" x14ac:dyDescent="0.25">
      <c r="A523" s="60" t="s">
        <v>2718</v>
      </c>
      <c r="B523" s="34" t="s">
        <v>713</v>
      </c>
      <c r="C523" s="34" t="s">
        <v>352</v>
      </c>
      <c r="D523" s="34" t="s">
        <v>2719</v>
      </c>
      <c r="E523" s="34" t="s">
        <v>559</v>
      </c>
      <c r="F523" s="53">
        <v>0</v>
      </c>
      <c r="G523" s="53"/>
      <c r="H523" s="53"/>
      <c r="I52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RHM18KKCT-ND</v>
      </c>
      <c r="J52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2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23" s="34" t="s">
        <v>2717</v>
      </c>
      <c r="M523" s="42">
        <v>0.1</v>
      </c>
      <c r="N523" s="34"/>
      <c r="O523" s="42"/>
      <c r="P523" s="34"/>
      <c r="Q523" s="42"/>
      <c r="R523" s="34"/>
      <c r="S523" s="42"/>
      <c r="T523" s="34"/>
      <c r="U523" s="42"/>
      <c r="V523" s="34"/>
      <c r="W523" s="42"/>
      <c r="X523" s="34"/>
      <c r="Y523" s="42"/>
      <c r="Z523" s="42"/>
      <c r="AA523" s="36"/>
      <c r="AB523" s="50"/>
      <c r="AC523" s="56" t="str">
        <f>IF(Table1[[#This Row],[Auto Order]]=1,IF(Table1[[#This Row],[In stock]]&lt;Table1[[#This Row],[Min in stock]],1,""),"")</f>
        <v/>
      </c>
    </row>
    <row r="524" spans="1:29" x14ac:dyDescent="0.25">
      <c r="A524" s="60" t="s">
        <v>2640</v>
      </c>
      <c r="B524" s="34" t="s">
        <v>713</v>
      </c>
      <c r="C524" s="34" t="s">
        <v>352</v>
      </c>
      <c r="D524" s="34" t="s">
        <v>2641</v>
      </c>
      <c r="E524" s="34" t="s">
        <v>559</v>
      </c>
      <c r="F524" s="53">
        <v>0</v>
      </c>
      <c r="G524" s="53"/>
      <c r="H524" s="53"/>
      <c r="I52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RHM180KKCT-ND</v>
      </c>
      <c r="J52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2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24" s="34" t="s">
        <v>2639</v>
      </c>
      <c r="M524" s="42">
        <v>0.1</v>
      </c>
      <c r="N524" s="34"/>
      <c r="O524" s="42"/>
      <c r="P524" s="34"/>
      <c r="Q524" s="42"/>
      <c r="R524" s="34"/>
      <c r="S524" s="42"/>
      <c r="T524" s="34"/>
      <c r="U524" s="42"/>
      <c r="V524" s="34"/>
      <c r="W524" s="42"/>
      <c r="X524" s="34"/>
      <c r="Y524" s="42"/>
      <c r="Z524" s="42"/>
      <c r="AA524" s="36"/>
      <c r="AB524" s="50"/>
      <c r="AC524" s="56" t="str">
        <f>IF(Table1[[#This Row],[Auto Order]]=1,IF(Table1[[#This Row],[In stock]]&lt;Table1[[#This Row],[Min in stock]],1,""),"")</f>
        <v/>
      </c>
    </row>
    <row r="525" spans="1:29" x14ac:dyDescent="0.25">
      <c r="A525" s="60" t="s">
        <v>2643</v>
      </c>
      <c r="B525" s="34" t="s">
        <v>713</v>
      </c>
      <c r="C525" s="34" t="s">
        <v>352</v>
      </c>
      <c r="D525" s="34" t="s">
        <v>2644</v>
      </c>
      <c r="E525" s="34" t="s">
        <v>559</v>
      </c>
      <c r="F525" s="53">
        <v>0</v>
      </c>
      <c r="G525" s="53"/>
      <c r="H525" s="53"/>
      <c r="I52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RHM1.8MKCT-ND</v>
      </c>
      <c r="J52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2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25" s="34" t="s">
        <v>2642</v>
      </c>
      <c r="M525" s="42">
        <v>0.1</v>
      </c>
      <c r="N525" s="34"/>
      <c r="O525" s="42"/>
      <c r="P525" s="34"/>
      <c r="Q525" s="42"/>
      <c r="R525" s="34"/>
      <c r="S525" s="42"/>
      <c r="T525" s="34"/>
      <c r="U525" s="42"/>
      <c r="V525" s="34"/>
      <c r="W525" s="42"/>
      <c r="X525" s="34"/>
      <c r="Y525" s="42"/>
      <c r="Z525" s="42"/>
      <c r="AA525" s="36"/>
      <c r="AB525" s="50"/>
      <c r="AC525" s="56" t="str">
        <f>IF(Table1[[#This Row],[Auto Order]]=1,IF(Table1[[#This Row],[In stock]]&lt;Table1[[#This Row],[Min in stock]],1,""),"")</f>
        <v/>
      </c>
    </row>
    <row r="526" spans="1:29" x14ac:dyDescent="0.25">
      <c r="A526" s="60" t="s">
        <v>1911</v>
      </c>
      <c r="B526" s="34" t="s">
        <v>713</v>
      </c>
      <c r="C526" s="34" t="s">
        <v>352</v>
      </c>
      <c r="D526" s="34" t="s">
        <v>1912</v>
      </c>
      <c r="E526" s="34" t="s">
        <v>559</v>
      </c>
      <c r="F526" s="53">
        <v>0</v>
      </c>
      <c r="G526" s="53"/>
      <c r="H526" s="53"/>
      <c r="I52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RHM1KCT-ND</v>
      </c>
      <c r="J52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2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26" s="34" t="s">
        <v>1910</v>
      </c>
      <c r="M526" s="42">
        <v>0.1</v>
      </c>
      <c r="N526" s="34"/>
      <c r="O526" s="42"/>
      <c r="P526" s="34"/>
      <c r="Q526" s="42"/>
      <c r="R526" s="34"/>
      <c r="S526" s="42"/>
      <c r="T526" s="34"/>
      <c r="U526" s="42"/>
      <c r="V526" s="34"/>
      <c r="W526" s="42"/>
      <c r="X526" s="34"/>
      <c r="Y526" s="42"/>
      <c r="Z526" s="42"/>
      <c r="AA526" s="36"/>
      <c r="AB526" s="50"/>
      <c r="AC526" s="56" t="str">
        <f>IF(Table1[[#This Row],[Auto Order]]=1,IF(Table1[[#This Row],[In stock]]&lt;Table1[[#This Row],[Min in stock]],1,""),"")</f>
        <v/>
      </c>
    </row>
    <row r="527" spans="1:29" x14ac:dyDescent="0.25">
      <c r="A527" s="60" t="s">
        <v>2871</v>
      </c>
      <c r="B527" s="34" t="s">
        <v>713</v>
      </c>
      <c r="C527" s="34" t="s">
        <v>352</v>
      </c>
      <c r="D527" s="34" t="s">
        <v>2872</v>
      </c>
      <c r="E527" s="34" t="s">
        <v>559</v>
      </c>
      <c r="F527" s="53">
        <v>0</v>
      </c>
      <c r="G527" s="53"/>
      <c r="H527" s="53"/>
      <c r="I52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RHM1.1KCT-ND</v>
      </c>
      <c r="J52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2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27" s="34" t="s">
        <v>2870</v>
      </c>
      <c r="M527" s="42">
        <v>0.1</v>
      </c>
      <c r="N527" s="34"/>
      <c r="O527" s="42"/>
      <c r="P527" s="34"/>
      <c r="Q527" s="42"/>
      <c r="R527" s="34"/>
      <c r="S527" s="42"/>
      <c r="T527" s="34"/>
      <c r="U527" s="42"/>
      <c r="V527" s="34"/>
      <c r="W527" s="42"/>
      <c r="X527" s="34"/>
      <c r="Y527" s="42"/>
      <c r="Z527" s="42"/>
      <c r="AA527" s="36"/>
      <c r="AB527" s="50"/>
      <c r="AC527" s="56" t="str">
        <f>IF(Table1[[#This Row],[Auto Order]]=1,IF(Table1[[#This Row],[In stock]]&lt;Table1[[#This Row],[Min in stock]],1,""),"")</f>
        <v/>
      </c>
    </row>
    <row r="528" spans="1:29" x14ac:dyDescent="0.25">
      <c r="A528" s="60" t="s">
        <v>2748</v>
      </c>
      <c r="B528" s="34" t="s">
        <v>713</v>
      </c>
      <c r="C528" s="34" t="s">
        <v>352</v>
      </c>
      <c r="D528" s="34" t="s">
        <v>2749</v>
      </c>
      <c r="E528" s="34" t="s">
        <v>559</v>
      </c>
      <c r="F528" s="53">
        <v>0</v>
      </c>
      <c r="G528" s="53"/>
      <c r="H528" s="53"/>
      <c r="I52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RHM1.2KCT-ND</v>
      </c>
      <c r="J52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2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28" s="34" t="s">
        <v>2747</v>
      </c>
      <c r="M528" s="42">
        <v>0.1</v>
      </c>
      <c r="N528" s="34"/>
      <c r="O528" s="42"/>
      <c r="P528" s="34"/>
      <c r="Q528" s="42"/>
      <c r="R528" s="34"/>
      <c r="S528" s="42"/>
      <c r="T528" s="34"/>
      <c r="U528" s="42"/>
      <c r="V528" s="34"/>
      <c r="W528" s="42"/>
      <c r="X528" s="34"/>
      <c r="Y528" s="42"/>
      <c r="Z528" s="42"/>
      <c r="AA528" s="36"/>
      <c r="AB528" s="50"/>
      <c r="AC528" s="56" t="str">
        <f>IF(Table1[[#This Row],[Auto Order]]=1,IF(Table1[[#This Row],[In stock]]&lt;Table1[[#This Row],[Min in stock]],1,""),"")</f>
        <v/>
      </c>
    </row>
    <row r="529" spans="1:29" x14ac:dyDescent="0.25">
      <c r="A529" s="60" t="s">
        <v>1896</v>
      </c>
      <c r="B529" s="34" t="s">
        <v>713</v>
      </c>
      <c r="C529" s="34" t="s">
        <v>352</v>
      </c>
      <c r="D529" s="34" t="s">
        <v>1897</v>
      </c>
      <c r="E529" s="34" t="s">
        <v>559</v>
      </c>
      <c r="F529" s="53">
        <v>0</v>
      </c>
      <c r="G529" s="53"/>
      <c r="H529" s="53"/>
      <c r="I52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RHM1.5KCT-ND</v>
      </c>
      <c r="J52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2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29" s="34" t="s">
        <v>1895</v>
      </c>
      <c r="M529" s="42">
        <v>0.1</v>
      </c>
      <c r="N529" s="34"/>
      <c r="O529" s="42"/>
      <c r="P529" s="34"/>
      <c r="Q529" s="42"/>
      <c r="R529" s="34"/>
      <c r="S529" s="42"/>
      <c r="T529" s="34"/>
      <c r="U529" s="42"/>
      <c r="V529" s="34"/>
      <c r="W529" s="42"/>
      <c r="X529" s="34"/>
      <c r="Y529" s="42"/>
      <c r="Z529" s="42"/>
      <c r="AA529" s="36"/>
      <c r="AB529" s="50"/>
      <c r="AC529" s="56" t="str">
        <f>IF(Table1[[#This Row],[Auto Order]]=1,IF(Table1[[#This Row],[In stock]]&lt;Table1[[#This Row],[Min in stock]],1,""),"")</f>
        <v/>
      </c>
    </row>
    <row r="530" spans="1:29" x14ac:dyDescent="0.25">
      <c r="A530" s="60" t="s">
        <v>2460</v>
      </c>
      <c r="B530" s="34" t="s">
        <v>713</v>
      </c>
      <c r="C530" s="34" t="s">
        <v>352</v>
      </c>
      <c r="D530" s="34" t="s">
        <v>2461</v>
      </c>
      <c r="E530" s="34" t="s">
        <v>559</v>
      </c>
      <c r="F530" s="53">
        <v>0</v>
      </c>
      <c r="G530" s="53"/>
      <c r="H530" s="53"/>
      <c r="I53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RHM1.8KCT-ND</v>
      </c>
      <c r="J53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3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30" s="34" t="s">
        <v>2459</v>
      </c>
      <c r="M530" s="42">
        <v>0.1</v>
      </c>
      <c r="N530" s="34"/>
      <c r="O530" s="42"/>
      <c r="P530" s="34"/>
      <c r="Q530" s="42"/>
      <c r="R530" s="34"/>
      <c r="S530" s="42"/>
      <c r="T530" s="34"/>
      <c r="U530" s="42"/>
      <c r="V530" s="34"/>
      <c r="W530" s="42"/>
      <c r="X530" s="34"/>
      <c r="Y530" s="42"/>
      <c r="Z530" s="42"/>
      <c r="AA530" s="36"/>
      <c r="AB530" s="50"/>
      <c r="AC530" s="56" t="str">
        <f>IF(Table1[[#This Row],[Auto Order]]=1,IF(Table1[[#This Row],[In stock]]&lt;Table1[[#This Row],[Min in stock]],1,""),"")</f>
        <v/>
      </c>
    </row>
    <row r="531" spans="1:29" x14ac:dyDescent="0.25">
      <c r="A531" s="60" t="s">
        <v>2187</v>
      </c>
      <c r="B531" s="34" t="s">
        <v>713</v>
      </c>
      <c r="C531" s="34" t="s">
        <v>352</v>
      </c>
      <c r="D531" s="34" t="s">
        <v>2188</v>
      </c>
      <c r="E531" s="34" t="s">
        <v>559</v>
      </c>
      <c r="F531" s="53">
        <v>0</v>
      </c>
      <c r="G531" s="53"/>
      <c r="H531" s="53"/>
      <c r="I53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RHM20KCT-ND</v>
      </c>
      <c r="J53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3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31" s="34" t="s">
        <v>2186</v>
      </c>
      <c r="M531" s="42">
        <v>0.1</v>
      </c>
      <c r="N531" s="34"/>
      <c r="O531" s="42"/>
      <c r="P531" s="34"/>
      <c r="Q531" s="42"/>
      <c r="R531" s="34"/>
      <c r="S531" s="42"/>
      <c r="T531" s="34"/>
      <c r="U531" s="42"/>
      <c r="V531" s="34"/>
      <c r="W531" s="42"/>
      <c r="X531" s="34"/>
      <c r="Y531" s="42"/>
      <c r="Z531" s="42"/>
      <c r="AA531" s="36"/>
      <c r="AB531" s="50"/>
      <c r="AC531" s="56" t="str">
        <f>IF(Table1[[#This Row],[Auto Order]]=1,IF(Table1[[#This Row],[In stock]]&lt;Table1[[#This Row],[Min in stock]],1,""),"")</f>
        <v/>
      </c>
    </row>
    <row r="532" spans="1:29" x14ac:dyDescent="0.25">
      <c r="A532" s="60" t="s">
        <v>1866</v>
      </c>
      <c r="B532" s="34" t="s">
        <v>713</v>
      </c>
      <c r="C532" s="34" t="s">
        <v>352</v>
      </c>
      <c r="D532" s="34" t="s">
        <v>1867</v>
      </c>
      <c r="E532" s="34" t="s">
        <v>559</v>
      </c>
      <c r="F532" s="53">
        <v>0</v>
      </c>
      <c r="G532" s="53"/>
      <c r="H532" s="53"/>
      <c r="I53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RHM200KCT-ND</v>
      </c>
      <c r="J53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3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32" s="34" t="s">
        <v>1865</v>
      </c>
      <c r="M532" s="42">
        <v>0.1</v>
      </c>
      <c r="N532" s="34"/>
      <c r="O532" s="42"/>
      <c r="P532" s="34"/>
      <c r="Q532" s="42"/>
      <c r="R532" s="34"/>
      <c r="S532" s="42"/>
      <c r="T532" s="34"/>
      <c r="U532" s="42"/>
      <c r="V532" s="34"/>
      <c r="W532" s="42"/>
      <c r="X532" s="34"/>
      <c r="Y532" s="42"/>
      <c r="Z532" s="42"/>
      <c r="AA532" s="36"/>
      <c r="AB532" s="50"/>
      <c r="AC532" s="56" t="str">
        <f>IF(Table1[[#This Row],[Auto Order]]=1,IF(Table1[[#This Row],[In stock]]&lt;Table1[[#This Row],[Min in stock]],1,""),"")</f>
        <v/>
      </c>
    </row>
    <row r="533" spans="1:29" x14ac:dyDescent="0.25">
      <c r="A533" s="60" t="s">
        <v>1947</v>
      </c>
      <c r="B533" s="34" t="s">
        <v>713</v>
      </c>
      <c r="C533" s="34" t="s">
        <v>352</v>
      </c>
      <c r="D533" s="34" t="s">
        <v>1948</v>
      </c>
      <c r="E533" s="34" t="s">
        <v>559</v>
      </c>
      <c r="F533" s="53">
        <v>0</v>
      </c>
      <c r="G533" s="53"/>
      <c r="H533" s="53"/>
      <c r="I53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RHM2.0KKCT-ND</v>
      </c>
      <c r="J53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3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33" s="34" t="s">
        <v>1946</v>
      </c>
      <c r="M533" s="42">
        <v>0.1</v>
      </c>
      <c r="N533" s="34"/>
      <c r="O533" s="42"/>
      <c r="P533" s="34"/>
      <c r="Q533" s="42"/>
      <c r="R533" s="34"/>
      <c r="S533" s="42"/>
      <c r="T533" s="34"/>
      <c r="U533" s="42"/>
      <c r="V533" s="34"/>
      <c r="W533" s="42"/>
      <c r="X533" s="34"/>
      <c r="Y533" s="42"/>
      <c r="Z533" s="42"/>
      <c r="AA533" s="36"/>
      <c r="AB533" s="50"/>
      <c r="AC533" s="56" t="str">
        <f>IF(Table1[[#This Row],[Auto Order]]=1,IF(Table1[[#This Row],[In stock]]&lt;Table1[[#This Row],[Min in stock]],1,""),"")</f>
        <v/>
      </c>
    </row>
    <row r="534" spans="1:29" x14ac:dyDescent="0.25">
      <c r="A534" s="60" t="s">
        <v>2355</v>
      </c>
      <c r="B534" s="34" t="s">
        <v>713</v>
      </c>
      <c r="C534" s="34" t="s">
        <v>352</v>
      </c>
      <c r="D534" s="34" t="s">
        <v>2356</v>
      </c>
      <c r="E534" s="34" t="s">
        <v>559</v>
      </c>
      <c r="F534" s="53">
        <v>0</v>
      </c>
      <c r="G534" s="53"/>
      <c r="H534" s="53"/>
      <c r="I53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RHM20KKCT-ND</v>
      </c>
      <c r="J53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3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34" s="34" t="s">
        <v>2354</v>
      </c>
      <c r="M534" s="42">
        <v>0.1</v>
      </c>
      <c r="N534" s="34"/>
      <c r="O534" s="42"/>
      <c r="P534" s="34"/>
      <c r="Q534" s="42"/>
      <c r="R534" s="34"/>
      <c r="S534" s="42"/>
      <c r="T534" s="34"/>
      <c r="U534" s="42"/>
      <c r="V534" s="34"/>
      <c r="W534" s="42"/>
      <c r="X534" s="34"/>
      <c r="Y534" s="42"/>
      <c r="Z534" s="42"/>
      <c r="AA534" s="36"/>
      <c r="AB534" s="50"/>
      <c r="AC534" s="56" t="str">
        <f>IF(Table1[[#This Row],[Auto Order]]=1,IF(Table1[[#This Row],[In stock]]&lt;Table1[[#This Row],[Min in stock]],1,""),"")</f>
        <v/>
      </c>
    </row>
    <row r="535" spans="1:29" x14ac:dyDescent="0.25">
      <c r="A535" s="60" t="s">
        <v>2463</v>
      </c>
      <c r="B535" s="34" t="s">
        <v>713</v>
      </c>
      <c r="C535" s="34" t="s">
        <v>352</v>
      </c>
      <c r="D535" s="34" t="s">
        <v>2464</v>
      </c>
      <c r="E535" s="34" t="s">
        <v>559</v>
      </c>
      <c r="F535" s="53">
        <v>0</v>
      </c>
      <c r="G535" s="53"/>
      <c r="H535" s="53"/>
      <c r="I53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RHM200KKCT-ND</v>
      </c>
      <c r="J53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3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35" s="34" t="s">
        <v>2462</v>
      </c>
      <c r="M535" s="42">
        <v>0.1</v>
      </c>
      <c r="N535" s="34"/>
      <c r="O535" s="42"/>
      <c r="P535" s="34"/>
      <c r="Q535" s="42"/>
      <c r="R535" s="34"/>
      <c r="S535" s="42"/>
      <c r="T535" s="34"/>
      <c r="U535" s="42"/>
      <c r="V535" s="34"/>
      <c r="W535" s="42"/>
      <c r="X535" s="34"/>
      <c r="Y535" s="42"/>
      <c r="Z535" s="42"/>
      <c r="AA535" s="36"/>
      <c r="AB535" s="50"/>
      <c r="AC535" s="56" t="str">
        <f>IF(Table1[[#This Row],[Auto Order]]=1,IF(Table1[[#This Row],[In stock]]&lt;Table1[[#This Row],[Min in stock]],1,""),"")</f>
        <v/>
      </c>
    </row>
    <row r="536" spans="1:29" x14ac:dyDescent="0.25">
      <c r="A536" s="60" t="s">
        <v>2676</v>
      </c>
      <c r="B536" s="34" t="s">
        <v>713</v>
      </c>
      <c r="C536" s="34" t="s">
        <v>352</v>
      </c>
      <c r="D536" s="34" t="s">
        <v>2677</v>
      </c>
      <c r="E536" s="34" t="s">
        <v>559</v>
      </c>
      <c r="F536" s="53">
        <v>0</v>
      </c>
      <c r="G536" s="53"/>
      <c r="H536" s="53"/>
      <c r="I53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RHM2.0MKCT-ND</v>
      </c>
      <c r="J53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3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36" s="34" t="s">
        <v>2675</v>
      </c>
      <c r="M536" s="42">
        <v>0.1</v>
      </c>
      <c r="N536" s="34"/>
      <c r="O536" s="42"/>
      <c r="P536" s="34"/>
      <c r="Q536" s="42"/>
      <c r="R536" s="34"/>
      <c r="S536" s="42"/>
      <c r="T536" s="34"/>
      <c r="U536" s="42"/>
      <c r="V536" s="34"/>
      <c r="W536" s="42"/>
      <c r="X536" s="34"/>
      <c r="Y536" s="42"/>
      <c r="Z536" s="42"/>
      <c r="AA536" s="36"/>
      <c r="AB536" s="50"/>
      <c r="AC536" s="56" t="str">
        <f>IF(Table1[[#This Row],[Auto Order]]=1,IF(Table1[[#This Row],[In stock]]&lt;Table1[[#This Row],[Min in stock]],1,""),"")</f>
        <v/>
      </c>
    </row>
    <row r="537" spans="1:29" x14ac:dyDescent="0.25">
      <c r="A537" s="60" t="s">
        <v>1884</v>
      </c>
      <c r="B537" s="34" t="s">
        <v>713</v>
      </c>
      <c r="C537" s="34" t="s">
        <v>352</v>
      </c>
      <c r="D537" s="34" t="s">
        <v>1885</v>
      </c>
      <c r="E537" s="34" t="s">
        <v>559</v>
      </c>
      <c r="F537" s="53">
        <v>0</v>
      </c>
      <c r="G537" s="53"/>
      <c r="H537" s="53"/>
      <c r="I53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RHM22KCT-ND</v>
      </c>
      <c r="J53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3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37" s="34" t="s">
        <v>1883</v>
      </c>
      <c r="M537" s="42">
        <v>0.1</v>
      </c>
      <c r="N537" s="34"/>
      <c r="O537" s="42"/>
      <c r="P537" s="34"/>
      <c r="Q537" s="42"/>
      <c r="R537" s="34"/>
      <c r="S537" s="42"/>
      <c r="T537" s="34"/>
      <c r="U537" s="42"/>
      <c r="V537" s="34"/>
      <c r="W537" s="42"/>
      <c r="X537" s="34"/>
      <c r="Y537" s="42"/>
      <c r="Z537" s="42"/>
      <c r="AA537" s="36"/>
      <c r="AB537" s="50"/>
      <c r="AC537" s="56" t="str">
        <f>IF(Table1[[#This Row],[Auto Order]]=1,IF(Table1[[#This Row],[In stock]]&lt;Table1[[#This Row],[Min in stock]],1,""),"")</f>
        <v/>
      </c>
    </row>
    <row r="538" spans="1:29" x14ac:dyDescent="0.25">
      <c r="A538" s="60" t="s">
        <v>1806</v>
      </c>
      <c r="B538" s="34" t="s">
        <v>713</v>
      </c>
      <c r="C538" s="34" t="s">
        <v>352</v>
      </c>
      <c r="D538" s="34" t="s">
        <v>1807</v>
      </c>
      <c r="E538" s="34" t="s">
        <v>559</v>
      </c>
      <c r="F538" s="53">
        <v>0</v>
      </c>
      <c r="G538" s="53"/>
      <c r="H538" s="53"/>
      <c r="I53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RHM220KCT-ND</v>
      </c>
      <c r="J53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3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38" s="34" t="s">
        <v>1805</v>
      </c>
      <c r="M538" s="42">
        <v>0.1</v>
      </c>
      <c r="N538" s="34"/>
      <c r="O538" s="42"/>
      <c r="P538" s="34"/>
      <c r="Q538" s="42"/>
      <c r="R538" s="34"/>
      <c r="S538" s="42"/>
      <c r="T538" s="34"/>
      <c r="U538" s="42"/>
      <c r="V538" s="34"/>
      <c r="W538" s="42"/>
      <c r="X538" s="34"/>
      <c r="Y538" s="42"/>
      <c r="Z538" s="42"/>
      <c r="AA538" s="36"/>
      <c r="AB538" s="50"/>
      <c r="AC538" s="56" t="str">
        <f>IF(Table1[[#This Row],[Auto Order]]=1,IF(Table1[[#This Row],[In stock]]&lt;Table1[[#This Row],[Min in stock]],1,""),"")</f>
        <v/>
      </c>
    </row>
    <row r="539" spans="1:29" x14ac:dyDescent="0.25">
      <c r="A539" s="60" t="s">
        <v>1854</v>
      </c>
      <c r="B539" s="34" t="s">
        <v>713</v>
      </c>
      <c r="C539" s="34" t="s">
        <v>352</v>
      </c>
      <c r="D539" s="34" t="s">
        <v>1855</v>
      </c>
      <c r="E539" s="34" t="s">
        <v>559</v>
      </c>
      <c r="F539" s="53">
        <v>0</v>
      </c>
      <c r="G539" s="53"/>
      <c r="H539" s="53"/>
      <c r="I53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RHM2.2KKCT-ND</v>
      </c>
      <c r="J53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3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39" s="34" t="s">
        <v>1853</v>
      </c>
      <c r="M539" s="42">
        <v>0.1</v>
      </c>
      <c r="N539" s="34"/>
      <c r="O539" s="42"/>
      <c r="P539" s="34"/>
      <c r="Q539" s="42"/>
      <c r="R539" s="34"/>
      <c r="S539" s="42"/>
      <c r="T539" s="34"/>
      <c r="U539" s="42"/>
      <c r="V539" s="34"/>
      <c r="W539" s="42"/>
      <c r="X539" s="34"/>
      <c r="Y539" s="42"/>
      <c r="Z539" s="42"/>
      <c r="AA539" s="36"/>
      <c r="AB539" s="50"/>
      <c r="AC539" s="56" t="str">
        <f>IF(Table1[[#This Row],[Auto Order]]=1,IF(Table1[[#This Row],[In stock]]&lt;Table1[[#This Row],[Min in stock]],1,""),"")</f>
        <v/>
      </c>
    </row>
    <row r="540" spans="1:29" x14ac:dyDescent="0.25">
      <c r="A540" s="60" t="s">
        <v>2874</v>
      </c>
      <c r="B540" s="34" t="s">
        <v>713</v>
      </c>
      <c r="C540" s="34" t="s">
        <v>352</v>
      </c>
      <c r="D540" s="34" t="s">
        <v>2875</v>
      </c>
      <c r="E540" s="34" t="s">
        <v>559</v>
      </c>
      <c r="F540" s="53">
        <v>0</v>
      </c>
      <c r="G540" s="53"/>
      <c r="H540" s="53"/>
      <c r="I54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RHM22KKCT-ND</v>
      </c>
      <c r="J54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4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40" s="34" t="s">
        <v>2873</v>
      </c>
      <c r="M540" s="42">
        <v>0.1</v>
      </c>
      <c r="N540" s="34"/>
      <c r="O540" s="42"/>
      <c r="P540" s="34"/>
      <c r="Q540" s="42"/>
      <c r="R540" s="34"/>
      <c r="S540" s="42"/>
      <c r="T540" s="34"/>
      <c r="U540" s="42"/>
      <c r="V540" s="34"/>
      <c r="W540" s="42"/>
      <c r="X540" s="34"/>
      <c r="Y540" s="42"/>
      <c r="Z540" s="42"/>
      <c r="AA540" s="36"/>
      <c r="AB540" s="50"/>
      <c r="AC540" s="56" t="str">
        <f>IF(Table1[[#This Row],[Auto Order]]=1,IF(Table1[[#This Row],[In stock]]&lt;Table1[[#This Row],[Min in stock]],1,""),"")</f>
        <v/>
      </c>
    </row>
    <row r="541" spans="1:29" x14ac:dyDescent="0.25">
      <c r="A541" s="60" t="s">
        <v>2466</v>
      </c>
      <c r="B541" s="34" t="s">
        <v>713</v>
      </c>
      <c r="C541" s="34" t="s">
        <v>352</v>
      </c>
      <c r="D541" s="34" t="s">
        <v>2467</v>
      </c>
      <c r="E541" s="34" t="s">
        <v>559</v>
      </c>
      <c r="F541" s="53">
        <v>0</v>
      </c>
      <c r="G541" s="53"/>
      <c r="H541" s="53"/>
      <c r="I54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RHM220KKCT-ND</v>
      </c>
      <c r="J54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4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41" s="34" t="s">
        <v>2465</v>
      </c>
      <c r="M541" s="42">
        <v>0.1</v>
      </c>
      <c r="N541" s="34"/>
      <c r="O541" s="42"/>
      <c r="P541" s="34"/>
      <c r="Q541" s="42"/>
      <c r="R541" s="34"/>
      <c r="S541" s="42"/>
      <c r="T541" s="34"/>
      <c r="U541" s="42"/>
      <c r="V541" s="34"/>
      <c r="W541" s="42"/>
      <c r="X541" s="34"/>
      <c r="Y541" s="42"/>
      <c r="Z541" s="42"/>
      <c r="AA541" s="36"/>
      <c r="AB541" s="50"/>
      <c r="AC541" s="56" t="str">
        <f>IF(Table1[[#This Row],[Auto Order]]=1,IF(Table1[[#This Row],[In stock]]&lt;Table1[[#This Row],[Min in stock]],1,""),"")</f>
        <v/>
      </c>
    </row>
    <row r="542" spans="1:29" x14ac:dyDescent="0.25">
      <c r="A542" s="60" t="s">
        <v>2580</v>
      </c>
      <c r="B542" s="34" t="s">
        <v>713</v>
      </c>
      <c r="C542" s="34" t="s">
        <v>352</v>
      </c>
      <c r="D542" s="34" t="s">
        <v>2581</v>
      </c>
      <c r="E542" s="34" t="s">
        <v>559</v>
      </c>
      <c r="F542" s="53">
        <v>0</v>
      </c>
      <c r="G542" s="53"/>
      <c r="H542" s="53"/>
      <c r="I54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RHM2.2MKCT-ND</v>
      </c>
      <c r="J54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4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42" s="34" t="s">
        <v>2579</v>
      </c>
      <c r="M542" s="42">
        <v>0.1</v>
      </c>
      <c r="N542" s="34"/>
      <c r="O542" s="42"/>
      <c r="P542" s="34"/>
      <c r="Q542" s="42"/>
      <c r="R542" s="34"/>
      <c r="S542" s="42"/>
      <c r="T542" s="34"/>
      <c r="U542" s="42"/>
      <c r="V542" s="34"/>
      <c r="W542" s="42"/>
      <c r="X542" s="34"/>
      <c r="Y542" s="42"/>
      <c r="Z542" s="42"/>
      <c r="AA542" s="36"/>
      <c r="AB542" s="50"/>
      <c r="AC542" s="56" t="str">
        <f>IF(Table1[[#This Row],[Auto Order]]=1,IF(Table1[[#This Row],[In stock]]&lt;Table1[[#This Row],[Min in stock]],1,""),"")</f>
        <v/>
      </c>
    </row>
    <row r="543" spans="1:29" x14ac:dyDescent="0.25">
      <c r="A543" s="60" t="s">
        <v>2250</v>
      </c>
      <c r="B543" s="34" t="s">
        <v>713</v>
      </c>
      <c r="C543" s="34" t="s">
        <v>352</v>
      </c>
      <c r="D543" s="34" t="s">
        <v>2251</v>
      </c>
      <c r="E543" s="34" t="s">
        <v>559</v>
      </c>
      <c r="F543" s="53">
        <v>0</v>
      </c>
      <c r="G543" s="53"/>
      <c r="H543" s="53"/>
      <c r="I54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RHM24KCT-ND</v>
      </c>
      <c r="J54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4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43" s="34" t="s">
        <v>2249</v>
      </c>
      <c r="M543" s="42">
        <v>0.1</v>
      </c>
      <c r="N543" s="34"/>
      <c r="O543" s="42"/>
      <c r="P543" s="34"/>
      <c r="Q543" s="42"/>
      <c r="R543" s="34"/>
      <c r="S543" s="42"/>
      <c r="T543" s="34"/>
      <c r="U543" s="42"/>
      <c r="V543" s="34"/>
      <c r="W543" s="42"/>
      <c r="X543" s="34"/>
      <c r="Y543" s="42"/>
      <c r="Z543" s="42"/>
      <c r="AA543" s="36"/>
      <c r="AB543" s="50"/>
      <c r="AC543" s="56" t="str">
        <f>IF(Table1[[#This Row],[Auto Order]]=1,IF(Table1[[#This Row],[In stock]]&lt;Table1[[#This Row],[Min in stock]],1,""),"")</f>
        <v/>
      </c>
    </row>
    <row r="544" spans="1:29" x14ac:dyDescent="0.25">
      <c r="A544" s="60" t="s">
        <v>2166</v>
      </c>
      <c r="B544" s="34" t="s">
        <v>713</v>
      </c>
      <c r="C544" s="34" t="s">
        <v>352</v>
      </c>
      <c r="D544" s="34" t="s">
        <v>2167</v>
      </c>
      <c r="E544" s="34" t="s">
        <v>559</v>
      </c>
      <c r="F544" s="53">
        <v>0</v>
      </c>
      <c r="G544" s="53"/>
      <c r="H544" s="53"/>
      <c r="I54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RHM240KCT-ND</v>
      </c>
      <c r="J54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4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44" s="34" t="s">
        <v>2165</v>
      </c>
      <c r="M544" s="42">
        <v>0.1</v>
      </c>
      <c r="N544" s="34"/>
      <c r="O544" s="42"/>
      <c r="P544" s="34"/>
      <c r="Q544" s="42"/>
      <c r="R544" s="34"/>
      <c r="S544" s="42"/>
      <c r="T544" s="34"/>
      <c r="U544" s="42"/>
      <c r="V544" s="34"/>
      <c r="W544" s="42"/>
      <c r="X544" s="34"/>
      <c r="Y544" s="42"/>
      <c r="Z544" s="42"/>
      <c r="AA544" s="36"/>
      <c r="AB544" s="50"/>
      <c r="AC544" s="56" t="str">
        <f>IF(Table1[[#This Row],[Auto Order]]=1,IF(Table1[[#This Row],[In stock]]&lt;Table1[[#This Row],[Min in stock]],1,""),"")</f>
        <v/>
      </c>
    </row>
    <row r="545" spans="1:29" x14ac:dyDescent="0.25">
      <c r="A545" s="60" t="s">
        <v>2082</v>
      </c>
      <c r="B545" s="34" t="s">
        <v>713</v>
      </c>
      <c r="C545" s="34" t="s">
        <v>352</v>
      </c>
      <c r="D545" s="34" t="s">
        <v>2083</v>
      </c>
      <c r="E545" s="34" t="s">
        <v>559</v>
      </c>
      <c r="F545" s="53">
        <v>0</v>
      </c>
      <c r="G545" s="53"/>
      <c r="H545" s="53"/>
      <c r="I54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RHM2.4KKCT-ND</v>
      </c>
      <c r="J54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4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45" s="34" t="s">
        <v>2081</v>
      </c>
      <c r="M545" s="42">
        <v>0.1</v>
      </c>
      <c r="N545" s="34"/>
      <c r="O545" s="42"/>
      <c r="P545" s="34"/>
      <c r="Q545" s="42"/>
      <c r="R545" s="34"/>
      <c r="S545" s="42"/>
      <c r="T545" s="34"/>
      <c r="U545" s="42"/>
      <c r="V545" s="34"/>
      <c r="W545" s="42"/>
      <c r="X545" s="34"/>
      <c r="Y545" s="42"/>
      <c r="Z545" s="42"/>
      <c r="AA545" s="36"/>
      <c r="AB545" s="50"/>
      <c r="AC545" s="56" t="str">
        <f>IF(Table1[[#This Row],[Auto Order]]=1,IF(Table1[[#This Row],[In stock]]&lt;Table1[[#This Row],[Min in stock]],1,""),"")</f>
        <v/>
      </c>
    </row>
    <row r="546" spans="1:29" x14ac:dyDescent="0.25">
      <c r="A546" s="60" t="s">
        <v>2085</v>
      </c>
      <c r="B546" s="34" t="s">
        <v>713</v>
      </c>
      <c r="C546" s="34" t="s">
        <v>352</v>
      </c>
      <c r="D546" s="34" t="s">
        <v>2086</v>
      </c>
      <c r="E546" s="34" t="s">
        <v>559</v>
      </c>
      <c r="F546" s="53">
        <v>0</v>
      </c>
      <c r="G546" s="53"/>
      <c r="H546" s="53"/>
      <c r="I54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RHM24KKCT-ND</v>
      </c>
      <c r="J54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4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46" s="34" t="s">
        <v>2084</v>
      </c>
      <c r="M546" s="42">
        <v>0.1</v>
      </c>
      <c r="N546" s="34"/>
      <c r="O546" s="42"/>
      <c r="P546" s="34"/>
      <c r="Q546" s="42"/>
      <c r="R546" s="34"/>
      <c r="S546" s="42"/>
      <c r="T546" s="34"/>
      <c r="U546" s="42"/>
      <c r="V546" s="34"/>
      <c r="W546" s="42"/>
      <c r="X546" s="34"/>
      <c r="Y546" s="42"/>
      <c r="Z546" s="42"/>
      <c r="AA546" s="36"/>
      <c r="AB546" s="50"/>
      <c r="AC546" s="56" t="str">
        <f>IF(Table1[[#This Row],[Auto Order]]=1,IF(Table1[[#This Row],[In stock]]&lt;Table1[[#This Row],[Min in stock]],1,""),"")</f>
        <v/>
      </c>
    </row>
    <row r="547" spans="1:29" x14ac:dyDescent="0.25">
      <c r="A547" s="60" t="s">
        <v>2838</v>
      </c>
      <c r="B547" s="34" t="s">
        <v>713</v>
      </c>
      <c r="C547" s="34" t="s">
        <v>352</v>
      </c>
      <c r="D547" s="34" t="s">
        <v>2839</v>
      </c>
      <c r="E547" s="34" t="s">
        <v>559</v>
      </c>
      <c r="F547" s="53">
        <v>0</v>
      </c>
      <c r="G547" s="53"/>
      <c r="H547" s="53"/>
      <c r="I54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RHM27KCT-ND</v>
      </c>
      <c r="J54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4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47" s="34" t="s">
        <v>2837</v>
      </c>
      <c r="M547" s="42">
        <v>0.1</v>
      </c>
      <c r="N547" s="34"/>
      <c r="O547" s="42"/>
      <c r="P547" s="34"/>
      <c r="Q547" s="42"/>
      <c r="R547" s="34"/>
      <c r="S547" s="42"/>
      <c r="T547" s="34"/>
      <c r="U547" s="42"/>
      <c r="V547" s="34"/>
      <c r="W547" s="42"/>
      <c r="X547" s="34"/>
      <c r="Y547" s="42"/>
      <c r="Z547" s="42"/>
      <c r="AA547" s="36"/>
      <c r="AB547" s="50"/>
      <c r="AC547" s="56" t="str">
        <f>IF(Table1[[#This Row],[Auto Order]]=1,IF(Table1[[#This Row],[In stock]]&lt;Table1[[#This Row],[Min in stock]],1,""),"")</f>
        <v/>
      </c>
    </row>
    <row r="548" spans="1:29" x14ac:dyDescent="0.25">
      <c r="A548" s="60" t="s">
        <v>1914</v>
      </c>
      <c r="B548" s="34" t="s">
        <v>713</v>
      </c>
      <c r="C548" s="34" t="s">
        <v>352</v>
      </c>
      <c r="D548" s="34" t="s">
        <v>1915</v>
      </c>
      <c r="E548" s="34" t="s">
        <v>559</v>
      </c>
      <c r="F548" s="53">
        <v>0</v>
      </c>
      <c r="G548" s="53"/>
      <c r="H548" s="53"/>
      <c r="I54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RHM270KCT-ND</v>
      </c>
      <c r="J54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4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48" s="34" t="s">
        <v>1913</v>
      </c>
      <c r="M548" s="42">
        <v>0.1</v>
      </c>
      <c r="N548" s="34"/>
      <c r="O548" s="42"/>
      <c r="P548" s="34"/>
      <c r="Q548" s="42"/>
      <c r="R548" s="34"/>
      <c r="S548" s="42"/>
      <c r="T548" s="34"/>
      <c r="U548" s="42"/>
      <c r="V548" s="34"/>
      <c r="W548" s="42"/>
      <c r="X548" s="34"/>
      <c r="Y548" s="42"/>
      <c r="Z548" s="42"/>
      <c r="AA548" s="36"/>
      <c r="AB548" s="50"/>
      <c r="AC548" s="56" t="str">
        <f>IF(Table1[[#This Row],[Auto Order]]=1,IF(Table1[[#This Row],[In stock]]&lt;Table1[[#This Row],[Min in stock]],1,""),"")</f>
        <v/>
      </c>
    </row>
    <row r="549" spans="1:29" x14ac:dyDescent="0.25">
      <c r="A549" s="60" t="s">
        <v>1869</v>
      </c>
      <c r="B549" s="34" t="s">
        <v>713</v>
      </c>
      <c r="C549" s="34" t="s">
        <v>352</v>
      </c>
      <c r="D549" s="34" t="s">
        <v>1870</v>
      </c>
      <c r="E549" s="34" t="s">
        <v>559</v>
      </c>
      <c r="F549" s="53">
        <v>0</v>
      </c>
      <c r="G549" s="53"/>
      <c r="H549" s="53"/>
      <c r="I54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RHM2.7KKCT-ND</v>
      </c>
      <c r="J54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4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49" s="34" t="s">
        <v>1868</v>
      </c>
      <c r="M549" s="42">
        <v>0.1</v>
      </c>
      <c r="N549" s="34"/>
      <c r="O549" s="42"/>
      <c r="P549" s="34"/>
      <c r="Q549" s="42"/>
      <c r="R549" s="34"/>
      <c r="S549" s="42"/>
      <c r="T549" s="34"/>
      <c r="U549" s="42"/>
      <c r="V549" s="34"/>
      <c r="W549" s="42"/>
      <c r="X549" s="34"/>
      <c r="Y549" s="42"/>
      <c r="Z549" s="42"/>
      <c r="AA549" s="36"/>
      <c r="AB549" s="50"/>
      <c r="AC549" s="56" t="str">
        <f>IF(Table1[[#This Row],[Auto Order]]=1,IF(Table1[[#This Row],[In stock]]&lt;Table1[[#This Row],[Min in stock]],1,""),"")</f>
        <v/>
      </c>
    </row>
    <row r="550" spans="1:29" x14ac:dyDescent="0.25">
      <c r="A550" s="60" t="s">
        <v>587</v>
      </c>
      <c r="B550" s="34" t="s">
        <v>713</v>
      </c>
      <c r="C550" s="34" t="s">
        <v>352</v>
      </c>
      <c r="D550" s="34" t="s">
        <v>714</v>
      </c>
      <c r="E550" s="34" t="s">
        <v>559</v>
      </c>
      <c r="F550" s="53">
        <v>0</v>
      </c>
      <c r="G550" s="53"/>
      <c r="H550" s="53"/>
      <c r="I55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RHM27KKCT-ND</v>
      </c>
      <c r="J55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5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50" s="34" t="s">
        <v>715</v>
      </c>
      <c r="M550" s="42">
        <v>0.1</v>
      </c>
      <c r="N550" s="34"/>
      <c r="O550" s="42"/>
      <c r="P550" s="34"/>
      <c r="Q550" s="42"/>
      <c r="R550" s="34"/>
      <c r="S550" s="42"/>
      <c r="T550" s="34"/>
      <c r="U550" s="42"/>
      <c r="V550" s="34"/>
      <c r="W550" s="42"/>
      <c r="X550" s="34"/>
      <c r="Y550" s="42"/>
      <c r="Z550" s="42"/>
      <c r="AA550" s="36"/>
      <c r="AB550" s="50"/>
      <c r="AC550" s="56" t="str">
        <f>IF(Table1[[#This Row],[Auto Order]]=1,IF(Table1[[#This Row],[In stock]]&lt;Table1[[#This Row],[Min in stock]],1,""),"")</f>
        <v/>
      </c>
    </row>
    <row r="551" spans="1:29" x14ac:dyDescent="0.25">
      <c r="A551" s="60" t="s">
        <v>2583</v>
      </c>
      <c r="B551" s="34" t="s">
        <v>713</v>
      </c>
      <c r="C551" s="34" t="s">
        <v>352</v>
      </c>
      <c r="D551" s="34" t="s">
        <v>2584</v>
      </c>
      <c r="E551" s="34" t="s">
        <v>559</v>
      </c>
      <c r="F551" s="53">
        <v>0</v>
      </c>
      <c r="G551" s="53"/>
      <c r="H551" s="53"/>
      <c r="I55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RHM2.7MKCT-ND</v>
      </c>
      <c r="J55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5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51" s="34" t="s">
        <v>2582</v>
      </c>
      <c r="M551" s="42">
        <v>0.1</v>
      </c>
      <c r="N551" s="34"/>
      <c r="O551" s="42"/>
      <c r="P551" s="34"/>
      <c r="Q551" s="42"/>
      <c r="R551" s="34"/>
      <c r="S551" s="42"/>
      <c r="T551" s="34"/>
      <c r="U551" s="42"/>
      <c r="V551" s="34"/>
      <c r="W551" s="42"/>
      <c r="X551" s="34"/>
      <c r="Y551" s="42"/>
      <c r="Z551" s="42"/>
      <c r="AA551" s="36"/>
      <c r="AB551" s="50"/>
      <c r="AC551" s="56" t="str">
        <f>IF(Table1[[#This Row],[Auto Order]]=1,IF(Table1[[#This Row],[In stock]]&lt;Table1[[#This Row],[Min in stock]],1,""),"")</f>
        <v/>
      </c>
    </row>
    <row r="552" spans="1:29" x14ac:dyDescent="0.25">
      <c r="A552" s="60" t="s">
        <v>2358</v>
      </c>
      <c r="B552" s="34" t="s">
        <v>713</v>
      </c>
      <c r="C552" s="34" t="s">
        <v>352</v>
      </c>
      <c r="D552" s="34" t="s">
        <v>2359</v>
      </c>
      <c r="E552" s="34" t="s">
        <v>559</v>
      </c>
      <c r="F552" s="53">
        <v>0</v>
      </c>
      <c r="G552" s="53"/>
      <c r="H552" s="53"/>
      <c r="I55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RHM2KCT-ND</v>
      </c>
      <c r="J55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5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52" s="34" t="s">
        <v>2357</v>
      </c>
      <c r="M552" s="42">
        <v>0.1</v>
      </c>
      <c r="N552" s="34"/>
      <c r="O552" s="42"/>
      <c r="P552" s="34"/>
      <c r="Q552" s="42"/>
      <c r="R552" s="34"/>
      <c r="S552" s="42"/>
      <c r="T552" s="34"/>
      <c r="U552" s="42"/>
      <c r="V552" s="34"/>
      <c r="W552" s="42"/>
      <c r="X552" s="34"/>
      <c r="Y552" s="42"/>
      <c r="Z552" s="42"/>
      <c r="AA552" s="36"/>
      <c r="AB552" s="50"/>
      <c r="AC552" s="56" t="str">
        <f>IF(Table1[[#This Row],[Auto Order]]=1,IF(Table1[[#This Row],[In stock]]&lt;Table1[[#This Row],[Min in stock]],1,""),"")</f>
        <v/>
      </c>
    </row>
    <row r="553" spans="1:29" x14ac:dyDescent="0.25">
      <c r="A553" s="60" t="s">
        <v>1935</v>
      </c>
      <c r="B553" s="34" t="s">
        <v>713</v>
      </c>
      <c r="C553" s="34" t="s">
        <v>352</v>
      </c>
      <c r="D553" s="34" t="s">
        <v>1936</v>
      </c>
      <c r="E553" s="34" t="s">
        <v>559</v>
      </c>
      <c r="F553" s="53">
        <v>0</v>
      </c>
      <c r="G553" s="53"/>
      <c r="H553" s="53"/>
      <c r="I55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RHM2.2KCT-ND</v>
      </c>
      <c r="J55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5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53" s="34" t="s">
        <v>1934</v>
      </c>
      <c r="M553" s="42">
        <v>0.1</v>
      </c>
      <c r="N553" s="34"/>
      <c r="O553" s="42"/>
      <c r="P553" s="34"/>
      <c r="Q553" s="42"/>
      <c r="R553" s="34"/>
      <c r="S553" s="42"/>
      <c r="T553" s="34"/>
      <c r="U553" s="42"/>
      <c r="V553" s="34"/>
      <c r="W553" s="42"/>
      <c r="X553" s="34"/>
      <c r="Y553" s="42"/>
      <c r="Z553" s="42"/>
      <c r="AA553" s="36"/>
      <c r="AB553" s="50"/>
      <c r="AC553" s="56" t="str">
        <f>IF(Table1[[#This Row],[Auto Order]]=1,IF(Table1[[#This Row],[In stock]]&lt;Table1[[#This Row],[Min in stock]],1,""),"")</f>
        <v/>
      </c>
    </row>
    <row r="554" spans="1:29" x14ac:dyDescent="0.25">
      <c r="A554" s="60" t="s">
        <v>2598</v>
      </c>
      <c r="B554" s="34" t="s">
        <v>713</v>
      </c>
      <c r="C554" s="34" t="s">
        <v>352</v>
      </c>
      <c r="D554" s="34" t="s">
        <v>2599</v>
      </c>
      <c r="E554" s="34" t="s">
        <v>559</v>
      </c>
      <c r="F554" s="53">
        <v>0</v>
      </c>
      <c r="G554" s="53"/>
      <c r="H554" s="53"/>
      <c r="I55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RHM2.4KCT-ND</v>
      </c>
      <c r="J55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5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54" s="34" t="s">
        <v>2597</v>
      </c>
      <c r="M554" s="42">
        <v>0.1</v>
      </c>
      <c r="N554" s="34"/>
      <c r="O554" s="42"/>
      <c r="P554" s="34"/>
      <c r="Q554" s="42"/>
      <c r="R554" s="34"/>
      <c r="S554" s="42"/>
      <c r="T554" s="34"/>
      <c r="U554" s="42"/>
      <c r="V554" s="34"/>
      <c r="W554" s="42"/>
      <c r="X554" s="34"/>
      <c r="Y554" s="42"/>
      <c r="Z554" s="42"/>
      <c r="AA554" s="36"/>
      <c r="AB554" s="50"/>
      <c r="AC554" s="56" t="str">
        <f>IF(Table1[[#This Row],[Auto Order]]=1,IF(Table1[[#This Row],[In stock]]&lt;Table1[[#This Row],[Min in stock]],1,""),"")</f>
        <v/>
      </c>
    </row>
    <row r="555" spans="1:29" x14ac:dyDescent="0.25">
      <c r="A555" s="60" t="s">
        <v>2097</v>
      </c>
      <c r="B555" s="34" t="s">
        <v>713</v>
      </c>
      <c r="C555" s="34" t="s">
        <v>352</v>
      </c>
      <c r="D555" s="34" t="s">
        <v>2098</v>
      </c>
      <c r="E555" s="34" t="s">
        <v>559</v>
      </c>
      <c r="F555" s="53">
        <v>0</v>
      </c>
      <c r="G555" s="53"/>
      <c r="H555" s="53"/>
      <c r="I55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RHM2.7KCT-ND</v>
      </c>
      <c r="J55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5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55" s="34" t="s">
        <v>2096</v>
      </c>
      <c r="M555" s="42">
        <v>0.1</v>
      </c>
      <c r="N555" s="34"/>
      <c r="O555" s="42"/>
      <c r="P555" s="34"/>
      <c r="Q555" s="42"/>
      <c r="R555" s="34"/>
      <c r="S555" s="42"/>
      <c r="T555" s="34"/>
      <c r="U555" s="42"/>
      <c r="V555" s="34"/>
      <c r="W555" s="42"/>
      <c r="X555" s="34"/>
      <c r="Y555" s="42"/>
      <c r="Z555" s="42"/>
      <c r="AA555" s="36"/>
      <c r="AB555" s="50"/>
      <c r="AC555" s="56" t="str">
        <f>IF(Table1[[#This Row],[Auto Order]]=1,IF(Table1[[#This Row],[In stock]]&lt;Table1[[#This Row],[Min in stock]],1,""),"")</f>
        <v/>
      </c>
    </row>
    <row r="556" spans="1:29" x14ac:dyDescent="0.25">
      <c r="A556" s="60" t="s">
        <v>2778</v>
      </c>
      <c r="B556" s="34" t="s">
        <v>713</v>
      </c>
      <c r="C556" s="34" t="s">
        <v>352</v>
      </c>
      <c r="D556" s="34" t="s">
        <v>2779</v>
      </c>
      <c r="E556" s="34" t="s">
        <v>559</v>
      </c>
      <c r="F556" s="53">
        <v>0</v>
      </c>
      <c r="G556" s="53"/>
      <c r="H556" s="53"/>
      <c r="I55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RHM30KCT-ND</v>
      </c>
      <c r="J55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5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56" s="34" t="s">
        <v>2777</v>
      </c>
      <c r="M556" s="42">
        <v>0.1</v>
      </c>
      <c r="N556" s="34"/>
      <c r="O556" s="42"/>
      <c r="P556" s="34"/>
      <c r="Q556" s="42"/>
      <c r="R556" s="34"/>
      <c r="S556" s="42"/>
      <c r="T556" s="34"/>
      <c r="U556" s="42"/>
      <c r="V556" s="34"/>
      <c r="W556" s="42"/>
      <c r="X556" s="34"/>
      <c r="Y556" s="42"/>
      <c r="Z556" s="42"/>
      <c r="AA556" s="36"/>
      <c r="AB556" s="50"/>
      <c r="AC556" s="56" t="str">
        <f>IF(Table1[[#This Row],[Auto Order]]=1,IF(Table1[[#This Row],[In stock]]&lt;Table1[[#This Row],[Min in stock]],1,""),"")</f>
        <v/>
      </c>
    </row>
    <row r="557" spans="1:29" x14ac:dyDescent="0.25">
      <c r="A557" s="60" t="s">
        <v>2361</v>
      </c>
      <c r="B557" s="34" t="s">
        <v>713</v>
      </c>
      <c r="C557" s="34" t="s">
        <v>352</v>
      </c>
      <c r="D557" s="34" t="s">
        <v>2362</v>
      </c>
      <c r="E557" s="34" t="s">
        <v>559</v>
      </c>
      <c r="F557" s="53">
        <v>0</v>
      </c>
      <c r="G557" s="53"/>
      <c r="H557" s="53"/>
      <c r="I55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RHM300KCT-ND</v>
      </c>
      <c r="J55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5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57" s="34" t="s">
        <v>2360</v>
      </c>
      <c r="M557" s="42">
        <v>0.1</v>
      </c>
      <c r="N557" s="34"/>
      <c r="O557" s="42"/>
      <c r="P557" s="34"/>
      <c r="Q557" s="42"/>
      <c r="R557" s="34"/>
      <c r="S557" s="42"/>
      <c r="T557" s="34"/>
      <c r="U557" s="42"/>
      <c r="V557" s="34"/>
      <c r="W557" s="42"/>
      <c r="X557" s="34"/>
      <c r="Y557" s="42"/>
      <c r="Z557" s="42"/>
      <c r="AA557" s="36"/>
      <c r="AB557" s="50"/>
      <c r="AC557" s="56" t="str">
        <f>IF(Table1[[#This Row],[Auto Order]]=1,IF(Table1[[#This Row],[In stock]]&lt;Table1[[#This Row],[Min in stock]],1,""),"")</f>
        <v/>
      </c>
    </row>
    <row r="558" spans="1:29" x14ac:dyDescent="0.25">
      <c r="A558" s="60" t="s">
        <v>2364</v>
      </c>
      <c r="B558" s="34" t="s">
        <v>713</v>
      </c>
      <c r="C558" s="34" t="s">
        <v>352</v>
      </c>
      <c r="D558" s="34" t="s">
        <v>2365</v>
      </c>
      <c r="E558" s="34" t="s">
        <v>559</v>
      </c>
      <c r="F558" s="53">
        <v>0</v>
      </c>
      <c r="G558" s="53"/>
      <c r="H558" s="53"/>
      <c r="I55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RHM3.0KKCT-ND</v>
      </c>
      <c r="J55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5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58" s="34" t="s">
        <v>2363</v>
      </c>
      <c r="M558" s="42">
        <v>0.1</v>
      </c>
      <c r="N558" s="34"/>
      <c r="O558" s="42"/>
      <c r="P558" s="34"/>
      <c r="Q558" s="42"/>
      <c r="R558" s="34"/>
      <c r="S558" s="42"/>
      <c r="T558" s="34"/>
      <c r="U558" s="42"/>
      <c r="V558" s="34"/>
      <c r="W558" s="42"/>
      <c r="X558" s="34"/>
      <c r="Y558" s="42"/>
      <c r="Z558" s="42"/>
      <c r="AA558" s="36"/>
      <c r="AB558" s="50"/>
      <c r="AC558" s="56" t="str">
        <f>IF(Table1[[#This Row],[Auto Order]]=1,IF(Table1[[#This Row],[In stock]]&lt;Table1[[#This Row],[Min in stock]],1,""),"")</f>
        <v/>
      </c>
    </row>
    <row r="559" spans="1:29" x14ac:dyDescent="0.25">
      <c r="A559" s="60" t="s">
        <v>2586</v>
      </c>
      <c r="B559" s="34" t="s">
        <v>713</v>
      </c>
      <c r="C559" s="34" t="s">
        <v>352</v>
      </c>
      <c r="D559" s="34" t="s">
        <v>2587</v>
      </c>
      <c r="E559" s="34" t="s">
        <v>559</v>
      </c>
      <c r="F559" s="53">
        <v>0</v>
      </c>
      <c r="G559" s="53"/>
      <c r="H559" s="53"/>
      <c r="I55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RHM30KKCT-ND</v>
      </c>
      <c r="J55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5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59" s="34" t="s">
        <v>2585</v>
      </c>
      <c r="M559" s="42">
        <v>0.1</v>
      </c>
      <c r="N559" s="34"/>
      <c r="O559" s="42"/>
      <c r="P559" s="34"/>
      <c r="Q559" s="42"/>
      <c r="R559" s="34"/>
      <c r="S559" s="42"/>
      <c r="T559" s="34"/>
      <c r="U559" s="42"/>
      <c r="V559" s="34"/>
      <c r="W559" s="42"/>
      <c r="X559" s="34"/>
      <c r="Y559" s="42"/>
      <c r="Z559" s="42"/>
      <c r="AA559" s="36"/>
      <c r="AB559" s="50"/>
      <c r="AC559" s="56" t="str">
        <f>IF(Table1[[#This Row],[Auto Order]]=1,IF(Table1[[#This Row],[In stock]]&lt;Table1[[#This Row],[Min in stock]],1,""),"")</f>
        <v/>
      </c>
    </row>
    <row r="560" spans="1:29" x14ac:dyDescent="0.25">
      <c r="A560" s="60" t="s">
        <v>2823</v>
      </c>
      <c r="B560" s="34" t="s">
        <v>713</v>
      </c>
      <c r="C560" s="34" t="s">
        <v>352</v>
      </c>
      <c r="D560" s="34" t="s">
        <v>2824</v>
      </c>
      <c r="E560" s="34" t="s">
        <v>559</v>
      </c>
      <c r="F560" s="53">
        <v>0</v>
      </c>
      <c r="G560" s="53"/>
      <c r="H560" s="53"/>
      <c r="I56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RHM300KKCT-ND</v>
      </c>
      <c r="J56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6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60" s="34" t="s">
        <v>2822</v>
      </c>
      <c r="M560" s="42">
        <v>0.1</v>
      </c>
      <c r="N560" s="34"/>
      <c r="O560" s="42"/>
      <c r="P560" s="34"/>
      <c r="Q560" s="42"/>
      <c r="R560" s="34"/>
      <c r="S560" s="42"/>
      <c r="T560" s="34"/>
      <c r="U560" s="42"/>
      <c r="V560" s="34"/>
      <c r="W560" s="42"/>
      <c r="X560" s="34"/>
      <c r="Y560" s="42"/>
      <c r="Z560" s="42"/>
      <c r="AA560" s="36"/>
      <c r="AB560" s="50"/>
      <c r="AC560" s="56" t="str">
        <f>IF(Table1[[#This Row],[Auto Order]]=1,IF(Table1[[#This Row],[In stock]]&lt;Table1[[#This Row],[Min in stock]],1,""),"")</f>
        <v/>
      </c>
    </row>
    <row r="561" spans="1:29" x14ac:dyDescent="0.25">
      <c r="A561" s="60" t="s">
        <v>2646</v>
      </c>
      <c r="B561" s="34" t="s">
        <v>713</v>
      </c>
      <c r="C561" s="34" t="s">
        <v>352</v>
      </c>
      <c r="D561" s="34" t="s">
        <v>2647</v>
      </c>
      <c r="E561" s="34" t="s">
        <v>559</v>
      </c>
      <c r="F561" s="53">
        <v>0</v>
      </c>
      <c r="G561" s="53"/>
      <c r="H561" s="53"/>
      <c r="I56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RHM3MKCT-ND</v>
      </c>
      <c r="J56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6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61" s="34" t="s">
        <v>2645</v>
      </c>
      <c r="M561" s="42">
        <v>0.1</v>
      </c>
      <c r="N561" s="34"/>
      <c r="O561" s="42"/>
      <c r="P561" s="34"/>
      <c r="Q561" s="42"/>
      <c r="R561" s="34"/>
      <c r="S561" s="42"/>
      <c r="T561" s="34"/>
      <c r="U561" s="42"/>
      <c r="V561" s="34"/>
      <c r="W561" s="42"/>
      <c r="X561" s="34"/>
      <c r="Y561" s="42"/>
      <c r="Z561" s="42"/>
      <c r="AA561" s="36"/>
      <c r="AB561" s="50"/>
      <c r="AC561" s="56" t="str">
        <f>IF(Table1[[#This Row],[Auto Order]]=1,IF(Table1[[#This Row],[In stock]]&lt;Table1[[#This Row],[Min in stock]],1,""),"")</f>
        <v/>
      </c>
    </row>
    <row r="562" spans="1:29" x14ac:dyDescent="0.25">
      <c r="A562" s="60" t="s">
        <v>1917</v>
      </c>
      <c r="B562" s="34" t="s">
        <v>713</v>
      </c>
      <c r="C562" s="34" t="s">
        <v>352</v>
      </c>
      <c r="D562" s="34" t="s">
        <v>1918</v>
      </c>
      <c r="E562" s="34" t="s">
        <v>559</v>
      </c>
      <c r="F562" s="53">
        <v>0</v>
      </c>
      <c r="G562" s="53"/>
      <c r="H562" s="53"/>
      <c r="I56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RHM33KCT-ND</v>
      </c>
      <c r="J56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6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62" s="34" t="s">
        <v>1916</v>
      </c>
      <c r="M562" s="42">
        <v>0.1</v>
      </c>
      <c r="N562" s="34"/>
      <c r="O562" s="42"/>
      <c r="P562" s="34"/>
      <c r="Q562" s="42"/>
      <c r="R562" s="34"/>
      <c r="S562" s="42"/>
      <c r="T562" s="34"/>
      <c r="U562" s="42"/>
      <c r="V562" s="34"/>
      <c r="W562" s="42"/>
      <c r="X562" s="34"/>
      <c r="Y562" s="42"/>
      <c r="Z562" s="42"/>
      <c r="AA562" s="36"/>
      <c r="AB562" s="50"/>
      <c r="AC562" s="56" t="str">
        <f>IF(Table1[[#This Row],[Auto Order]]=1,IF(Table1[[#This Row],[In stock]]&lt;Table1[[#This Row],[Min in stock]],1,""),"")</f>
        <v/>
      </c>
    </row>
    <row r="563" spans="1:29" x14ac:dyDescent="0.25">
      <c r="A563" s="60" t="s">
        <v>2832</v>
      </c>
      <c r="B563" s="34" t="s">
        <v>713</v>
      </c>
      <c r="C563" s="34" t="s">
        <v>352</v>
      </c>
      <c r="D563" s="34" t="s">
        <v>2833</v>
      </c>
      <c r="E563" s="34" t="s">
        <v>559</v>
      </c>
      <c r="F563" s="53">
        <v>0</v>
      </c>
      <c r="G563" s="53"/>
      <c r="H563" s="53"/>
      <c r="I56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RHM330KCT-ND</v>
      </c>
      <c r="J56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6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63" s="34" t="s">
        <v>2831</v>
      </c>
      <c r="M563" s="42">
        <v>0.1</v>
      </c>
      <c r="N563" s="34"/>
      <c r="O563" s="42"/>
      <c r="P563" s="34"/>
      <c r="Q563" s="42"/>
      <c r="R563" s="34"/>
      <c r="S563" s="42"/>
      <c r="T563" s="34"/>
      <c r="U563" s="42"/>
      <c r="V563" s="34"/>
      <c r="W563" s="42"/>
      <c r="X563" s="34"/>
      <c r="Y563" s="42"/>
      <c r="Z563" s="42"/>
      <c r="AA563" s="36"/>
      <c r="AB563" s="50"/>
      <c r="AC563" s="56" t="str">
        <f>IF(Table1[[#This Row],[Auto Order]]=1,IF(Table1[[#This Row],[In stock]]&lt;Table1[[#This Row],[Min in stock]],1,""),"")</f>
        <v/>
      </c>
    </row>
    <row r="564" spans="1:29" x14ac:dyDescent="0.25">
      <c r="A564" s="60" t="s">
        <v>1950</v>
      </c>
      <c r="B564" s="34" t="s">
        <v>713</v>
      </c>
      <c r="C564" s="34" t="s">
        <v>352</v>
      </c>
      <c r="D564" s="34" t="s">
        <v>1951</v>
      </c>
      <c r="E564" s="34" t="s">
        <v>559</v>
      </c>
      <c r="F564" s="53">
        <v>0</v>
      </c>
      <c r="G564" s="53"/>
      <c r="H564" s="53"/>
      <c r="I56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RHM3.3KKCT-ND</v>
      </c>
      <c r="J56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6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64" s="34" t="s">
        <v>1949</v>
      </c>
      <c r="M564" s="42">
        <v>0.1</v>
      </c>
      <c r="N564" s="34"/>
      <c r="O564" s="42"/>
      <c r="P564" s="34"/>
      <c r="Q564" s="42"/>
      <c r="R564" s="34"/>
      <c r="S564" s="42"/>
      <c r="T564" s="34"/>
      <c r="U564" s="42"/>
      <c r="V564" s="34"/>
      <c r="W564" s="42"/>
      <c r="X564" s="34"/>
      <c r="Y564" s="42"/>
      <c r="Z564" s="42"/>
      <c r="AA564" s="36"/>
      <c r="AB564" s="50"/>
      <c r="AC564" s="56" t="str">
        <f>IF(Table1[[#This Row],[Auto Order]]=1,IF(Table1[[#This Row],[In stock]]&lt;Table1[[#This Row],[Min in stock]],1,""),"")</f>
        <v/>
      </c>
    </row>
    <row r="565" spans="1:29" x14ac:dyDescent="0.25">
      <c r="A565" s="60" t="s">
        <v>2835</v>
      </c>
      <c r="B565" s="34" t="s">
        <v>713</v>
      </c>
      <c r="C565" s="34" t="s">
        <v>352</v>
      </c>
      <c r="D565" s="34" t="s">
        <v>2836</v>
      </c>
      <c r="E565" s="34" t="s">
        <v>559</v>
      </c>
      <c r="F565" s="53">
        <v>0</v>
      </c>
      <c r="G565" s="53"/>
      <c r="H565" s="53"/>
      <c r="I56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RHM33KKCT-ND</v>
      </c>
      <c r="J56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6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65" s="34" t="s">
        <v>2834</v>
      </c>
      <c r="M565" s="42">
        <v>0.1</v>
      </c>
      <c r="N565" s="34"/>
      <c r="O565" s="42"/>
      <c r="P565" s="34"/>
      <c r="Q565" s="42"/>
      <c r="R565" s="34"/>
      <c r="S565" s="42"/>
      <c r="T565" s="34"/>
      <c r="U565" s="42"/>
      <c r="V565" s="34"/>
      <c r="W565" s="42"/>
      <c r="X565" s="34"/>
      <c r="Y565" s="42"/>
      <c r="Z565" s="42"/>
      <c r="AA565" s="36"/>
      <c r="AB565" s="50"/>
      <c r="AC565" s="56" t="str">
        <f>IF(Table1[[#This Row],[Auto Order]]=1,IF(Table1[[#This Row],[In stock]]&lt;Table1[[#This Row],[Min in stock]],1,""),"")</f>
        <v/>
      </c>
    </row>
    <row r="566" spans="1:29" x14ac:dyDescent="0.25">
      <c r="A566" s="60" t="s">
        <v>2868</v>
      </c>
      <c r="B566" s="34" t="s">
        <v>713</v>
      </c>
      <c r="C566" s="34" t="s">
        <v>352</v>
      </c>
      <c r="D566" s="34" t="s">
        <v>2869</v>
      </c>
      <c r="E566" s="34" t="s">
        <v>559</v>
      </c>
      <c r="F566" s="53">
        <v>0</v>
      </c>
      <c r="G566" s="53"/>
      <c r="H566" s="53"/>
      <c r="I56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RHM330KKCT-ND</v>
      </c>
      <c r="J56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6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66" s="34" t="s">
        <v>2867</v>
      </c>
      <c r="M566" s="42">
        <v>0.1</v>
      </c>
      <c r="N566" s="34"/>
      <c r="O566" s="42"/>
      <c r="P566" s="34"/>
      <c r="Q566" s="42"/>
      <c r="R566" s="34"/>
      <c r="S566" s="42"/>
      <c r="T566" s="34"/>
      <c r="U566" s="42"/>
      <c r="V566" s="34"/>
      <c r="W566" s="42"/>
      <c r="X566" s="34"/>
      <c r="Y566" s="42"/>
      <c r="Z566" s="42"/>
      <c r="AA566" s="36"/>
      <c r="AB566" s="50"/>
      <c r="AC566" s="56" t="str">
        <f>IF(Table1[[#This Row],[Auto Order]]=1,IF(Table1[[#This Row],[In stock]]&lt;Table1[[#This Row],[Min in stock]],1,""),"")</f>
        <v/>
      </c>
    </row>
    <row r="567" spans="1:29" x14ac:dyDescent="0.25">
      <c r="A567" s="60" t="s">
        <v>2859</v>
      </c>
      <c r="B567" s="34" t="s">
        <v>713</v>
      </c>
      <c r="C567" s="34" t="s">
        <v>352</v>
      </c>
      <c r="D567" s="34" t="s">
        <v>2860</v>
      </c>
      <c r="E567" s="34" t="s">
        <v>559</v>
      </c>
      <c r="F567" s="53">
        <v>0</v>
      </c>
      <c r="G567" s="53"/>
      <c r="H567" s="53"/>
      <c r="I56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RHM3.5MKCT-ND</v>
      </c>
      <c r="J56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6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67" s="34" t="s">
        <v>2858</v>
      </c>
      <c r="M567" s="42">
        <v>0.1</v>
      </c>
      <c r="N567" s="34"/>
      <c r="O567" s="42"/>
      <c r="P567" s="34"/>
      <c r="Q567" s="42"/>
      <c r="R567" s="34"/>
      <c r="S567" s="42"/>
      <c r="T567" s="34"/>
      <c r="U567" s="42"/>
      <c r="V567" s="34"/>
      <c r="W567" s="42"/>
      <c r="X567" s="34"/>
      <c r="Y567" s="42"/>
      <c r="Z567" s="42"/>
      <c r="AA567" s="36"/>
      <c r="AB567" s="50"/>
      <c r="AC567" s="56" t="str">
        <f>IF(Table1[[#This Row],[Auto Order]]=1,IF(Table1[[#This Row],[In stock]]&lt;Table1[[#This Row],[Min in stock]],1,""),"")</f>
        <v/>
      </c>
    </row>
    <row r="568" spans="1:29" x14ac:dyDescent="0.25">
      <c r="A568" s="60" t="s">
        <v>2469</v>
      </c>
      <c r="B568" s="34" t="s">
        <v>713</v>
      </c>
      <c r="C568" s="34" t="s">
        <v>352</v>
      </c>
      <c r="D568" s="34" t="s">
        <v>2470</v>
      </c>
      <c r="E568" s="34" t="s">
        <v>559</v>
      </c>
      <c r="F568" s="53">
        <v>0</v>
      </c>
      <c r="G568" s="53"/>
      <c r="H568" s="53"/>
      <c r="I56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RHM36KCT-ND</v>
      </c>
      <c r="J56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6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68" s="34" t="s">
        <v>2468</v>
      </c>
      <c r="M568" s="42">
        <v>0.1</v>
      </c>
      <c r="N568" s="34"/>
      <c r="O568" s="42"/>
      <c r="P568" s="34"/>
      <c r="Q568" s="42"/>
      <c r="R568" s="34"/>
      <c r="S568" s="42"/>
      <c r="T568" s="34"/>
      <c r="U568" s="42"/>
      <c r="V568" s="34"/>
      <c r="W568" s="42"/>
      <c r="X568" s="34"/>
      <c r="Y568" s="42"/>
      <c r="Z568" s="42"/>
      <c r="AA568" s="36"/>
      <c r="AB568" s="50"/>
      <c r="AC568" s="56" t="str">
        <f>IF(Table1[[#This Row],[Auto Order]]=1,IF(Table1[[#This Row],[In stock]]&lt;Table1[[#This Row],[Min in stock]],1,""),"")</f>
        <v/>
      </c>
    </row>
    <row r="569" spans="1:29" x14ac:dyDescent="0.25">
      <c r="A569" s="60" t="s">
        <v>2688</v>
      </c>
      <c r="B569" s="34" t="s">
        <v>713</v>
      </c>
      <c r="C569" s="34" t="s">
        <v>352</v>
      </c>
      <c r="D569" s="34" t="s">
        <v>2689</v>
      </c>
      <c r="E569" s="34" t="s">
        <v>559</v>
      </c>
      <c r="F569" s="53">
        <v>0</v>
      </c>
      <c r="G569" s="53"/>
      <c r="H569" s="53"/>
      <c r="I56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RHM360KCT-ND</v>
      </c>
      <c r="J56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6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69" s="34" t="s">
        <v>2687</v>
      </c>
      <c r="M569" s="42">
        <v>0.1</v>
      </c>
      <c r="N569" s="34"/>
      <c r="O569" s="42"/>
      <c r="P569" s="34"/>
      <c r="Q569" s="42"/>
      <c r="R569" s="34"/>
      <c r="S569" s="42"/>
      <c r="T569" s="34"/>
      <c r="U569" s="42"/>
      <c r="V569" s="34"/>
      <c r="W569" s="42"/>
      <c r="X569" s="34"/>
      <c r="Y569" s="42"/>
      <c r="Z569" s="42"/>
      <c r="AA569" s="36"/>
      <c r="AB569" s="50"/>
      <c r="AC569" s="56" t="str">
        <f>IF(Table1[[#This Row],[Auto Order]]=1,IF(Table1[[#This Row],[In stock]]&lt;Table1[[#This Row],[Min in stock]],1,""),"")</f>
        <v/>
      </c>
    </row>
    <row r="570" spans="1:29" x14ac:dyDescent="0.25">
      <c r="A570" s="60" t="s">
        <v>2805</v>
      </c>
      <c r="B570" s="34" t="s">
        <v>713</v>
      </c>
      <c r="C570" s="34" t="s">
        <v>352</v>
      </c>
      <c r="D570" s="34" t="s">
        <v>2806</v>
      </c>
      <c r="E570" s="34" t="s">
        <v>559</v>
      </c>
      <c r="F570" s="53">
        <v>0</v>
      </c>
      <c r="G570" s="53"/>
      <c r="H570" s="53"/>
      <c r="I57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RHM3.6KKCT-ND</v>
      </c>
      <c r="J57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7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70" s="34" t="s">
        <v>2804</v>
      </c>
      <c r="M570" s="42">
        <v>0.1</v>
      </c>
      <c r="N570" s="34"/>
      <c r="O570" s="42"/>
      <c r="P570" s="34"/>
      <c r="Q570" s="42"/>
      <c r="R570" s="34"/>
      <c r="S570" s="42"/>
      <c r="T570" s="34"/>
      <c r="U570" s="42"/>
      <c r="V570" s="34"/>
      <c r="W570" s="42"/>
      <c r="X570" s="34"/>
      <c r="Y570" s="42"/>
      <c r="Z570" s="42"/>
      <c r="AA570" s="36"/>
      <c r="AB570" s="50"/>
      <c r="AC570" s="56" t="str">
        <f>IF(Table1[[#This Row],[Auto Order]]=1,IF(Table1[[#This Row],[In stock]]&lt;Table1[[#This Row],[Min in stock]],1,""),"")</f>
        <v/>
      </c>
    </row>
    <row r="571" spans="1:29" x14ac:dyDescent="0.25">
      <c r="A571" s="60" t="s">
        <v>2751</v>
      </c>
      <c r="B571" s="34" t="s">
        <v>713</v>
      </c>
      <c r="C571" s="34" t="s">
        <v>352</v>
      </c>
      <c r="D571" s="34" t="s">
        <v>2752</v>
      </c>
      <c r="E571" s="34" t="s">
        <v>559</v>
      </c>
      <c r="F571" s="53">
        <v>0</v>
      </c>
      <c r="G571" s="53"/>
      <c r="H571" s="53"/>
      <c r="I57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RHM36KKCT-ND</v>
      </c>
      <c r="J57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7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71" s="34" t="s">
        <v>2750</v>
      </c>
      <c r="M571" s="42">
        <v>0.1</v>
      </c>
      <c r="N571" s="34"/>
      <c r="O571" s="42"/>
      <c r="P571" s="34"/>
      <c r="Q571" s="42"/>
      <c r="R571" s="34"/>
      <c r="S571" s="42"/>
      <c r="T571" s="34"/>
      <c r="U571" s="42"/>
      <c r="V571" s="34"/>
      <c r="W571" s="42"/>
      <c r="X571" s="34"/>
      <c r="Y571" s="42"/>
      <c r="Z571" s="42"/>
      <c r="AA571" s="36"/>
      <c r="AB571" s="50"/>
      <c r="AC571" s="56" t="str">
        <f>IF(Table1[[#This Row],[Auto Order]]=1,IF(Table1[[#This Row],[In stock]]&lt;Table1[[#This Row],[Min in stock]],1,""),"")</f>
        <v/>
      </c>
    </row>
    <row r="572" spans="1:29" x14ac:dyDescent="0.25">
      <c r="A572" s="60" t="s">
        <v>2217</v>
      </c>
      <c r="B572" s="34" t="s">
        <v>713</v>
      </c>
      <c r="C572" s="34" t="s">
        <v>352</v>
      </c>
      <c r="D572" s="34" t="s">
        <v>2218</v>
      </c>
      <c r="E572" s="34" t="s">
        <v>559</v>
      </c>
      <c r="F572" s="53">
        <v>0</v>
      </c>
      <c r="G572" s="53"/>
      <c r="H572" s="53"/>
      <c r="I57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RHM39KCT-ND</v>
      </c>
      <c r="J57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7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72" s="34" t="s">
        <v>2216</v>
      </c>
      <c r="M572" s="42">
        <v>0.1</v>
      </c>
      <c r="N572" s="34"/>
      <c r="O572" s="42"/>
      <c r="P572" s="34"/>
      <c r="Q572" s="42"/>
      <c r="R572" s="34"/>
      <c r="S572" s="42"/>
      <c r="T572" s="34"/>
      <c r="U572" s="42"/>
      <c r="V572" s="34"/>
      <c r="W572" s="42"/>
      <c r="X572" s="34"/>
      <c r="Y572" s="42"/>
      <c r="Z572" s="42"/>
      <c r="AA572" s="36"/>
      <c r="AB572" s="50"/>
      <c r="AC572" s="56" t="str">
        <f>IF(Table1[[#This Row],[Auto Order]]=1,IF(Table1[[#This Row],[In stock]]&lt;Table1[[#This Row],[Min in stock]],1,""),"")</f>
        <v/>
      </c>
    </row>
    <row r="573" spans="1:29" x14ac:dyDescent="0.25">
      <c r="A573" s="60" t="s">
        <v>1953</v>
      </c>
      <c r="B573" s="34" t="s">
        <v>713</v>
      </c>
      <c r="C573" s="34" t="s">
        <v>352</v>
      </c>
      <c r="D573" s="34" t="s">
        <v>1954</v>
      </c>
      <c r="E573" s="34" t="s">
        <v>559</v>
      </c>
      <c r="F573" s="53">
        <v>0</v>
      </c>
      <c r="G573" s="53"/>
      <c r="H573" s="53"/>
      <c r="I57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RHM390KCT-ND</v>
      </c>
      <c r="J57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7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73" s="34" t="s">
        <v>1952</v>
      </c>
      <c r="M573" s="42">
        <v>0.1</v>
      </c>
      <c r="N573" s="34"/>
      <c r="O573" s="42"/>
      <c r="P573" s="34"/>
      <c r="Q573" s="42"/>
      <c r="R573" s="34"/>
      <c r="S573" s="42"/>
      <c r="T573" s="34"/>
      <c r="U573" s="42"/>
      <c r="V573" s="34"/>
      <c r="W573" s="42"/>
      <c r="X573" s="34"/>
      <c r="Y573" s="42"/>
      <c r="Z573" s="42"/>
      <c r="AA573" s="36"/>
      <c r="AB573" s="50"/>
      <c r="AC573" s="56" t="str">
        <f>IF(Table1[[#This Row],[Auto Order]]=1,IF(Table1[[#This Row],[In stock]]&lt;Table1[[#This Row],[Min in stock]],1,""),"")</f>
        <v/>
      </c>
    </row>
    <row r="574" spans="1:29" x14ac:dyDescent="0.25">
      <c r="A574" s="60" t="s">
        <v>2811</v>
      </c>
      <c r="B574" s="34" t="s">
        <v>713</v>
      </c>
      <c r="C574" s="34" t="s">
        <v>352</v>
      </c>
      <c r="D574" s="34" t="s">
        <v>2812</v>
      </c>
      <c r="E574" s="34" t="s">
        <v>559</v>
      </c>
      <c r="F574" s="53">
        <v>0</v>
      </c>
      <c r="G574" s="53"/>
      <c r="H574" s="53"/>
      <c r="I57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RHM3.9KKCT-ND</v>
      </c>
      <c r="J57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7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74" s="34" t="s">
        <v>2810</v>
      </c>
      <c r="M574" s="42">
        <v>0.1</v>
      </c>
      <c r="N574" s="34"/>
      <c r="O574" s="42"/>
      <c r="P574" s="34"/>
      <c r="Q574" s="42"/>
      <c r="R574" s="34"/>
      <c r="S574" s="42"/>
      <c r="T574" s="34"/>
      <c r="U574" s="42"/>
      <c r="V574" s="34"/>
      <c r="W574" s="42"/>
      <c r="X574" s="34"/>
      <c r="Y574" s="42"/>
      <c r="Z574" s="42"/>
      <c r="AA574" s="36"/>
      <c r="AB574" s="50"/>
      <c r="AC574" s="56" t="str">
        <f>IF(Table1[[#This Row],[Auto Order]]=1,IF(Table1[[#This Row],[In stock]]&lt;Table1[[#This Row],[Min in stock]],1,""),"")</f>
        <v/>
      </c>
    </row>
    <row r="575" spans="1:29" x14ac:dyDescent="0.25">
      <c r="A575" s="60" t="s">
        <v>2472</v>
      </c>
      <c r="B575" s="34" t="s">
        <v>713</v>
      </c>
      <c r="C575" s="34" t="s">
        <v>352</v>
      </c>
      <c r="D575" s="34" t="s">
        <v>2473</v>
      </c>
      <c r="E575" s="34" t="s">
        <v>559</v>
      </c>
      <c r="F575" s="53">
        <v>0</v>
      </c>
      <c r="G575" s="53"/>
      <c r="H575" s="53"/>
      <c r="I57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RHM39KKCT-ND</v>
      </c>
      <c r="J57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7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75" s="34" t="s">
        <v>2471</v>
      </c>
      <c r="M575" s="42">
        <v>0.1</v>
      </c>
      <c r="N575" s="34"/>
      <c r="O575" s="42"/>
      <c r="P575" s="34"/>
      <c r="Q575" s="42"/>
      <c r="R575" s="34"/>
      <c r="S575" s="42"/>
      <c r="T575" s="34"/>
      <c r="U575" s="42"/>
      <c r="V575" s="34"/>
      <c r="W575" s="42"/>
      <c r="X575" s="34"/>
      <c r="Y575" s="42"/>
      <c r="Z575" s="42"/>
      <c r="AA575" s="36"/>
      <c r="AB575" s="50"/>
      <c r="AC575" s="56" t="str">
        <f>IF(Table1[[#This Row],[Auto Order]]=1,IF(Table1[[#This Row],[In stock]]&lt;Table1[[#This Row],[Min in stock]],1,""),"")</f>
        <v/>
      </c>
    </row>
    <row r="576" spans="1:29" x14ac:dyDescent="0.25">
      <c r="A576" s="60" t="s">
        <v>2256</v>
      </c>
      <c r="B576" s="34" t="s">
        <v>713</v>
      </c>
      <c r="C576" s="34" t="s">
        <v>352</v>
      </c>
      <c r="D576" s="34" t="s">
        <v>2257</v>
      </c>
      <c r="E576" s="34" t="s">
        <v>559</v>
      </c>
      <c r="F576" s="53">
        <v>0</v>
      </c>
      <c r="G576" s="53"/>
      <c r="H576" s="53"/>
      <c r="I57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RHM3KCT-ND</v>
      </c>
      <c r="J57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7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76" s="34" t="s">
        <v>2255</v>
      </c>
      <c r="M576" s="42">
        <v>0.1</v>
      </c>
      <c r="N576" s="34"/>
      <c r="O576" s="42"/>
      <c r="P576" s="34"/>
      <c r="Q576" s="42"/>
      <c r="R576" s="34"/>
      <c r="S576" s="42"/>
      <c r="T576" s="34"/>
      <c r="U576" s="42"/>
      <c r="V576" s="34"/>
      <c r="W576" s="42"/>
      <c r="X576" s="34"/>
      <c r="Y576" s="42"/>
      <c r="Z576" s="42"/>
      <c r="AA576" s="36"/>
      <c r="AB576" s="50"/>
      <c r="AC576" s="56" t="str">
        <f>IF(Table1[[#This Row],[Auto Order]]=1,IF(Table1[[#This Row],[In stock]]&lt;Table1[[#This Row],[Min in stock]],1,""),"")</f>
        <v/>
      </c>
    </row>
    <row r="577" spans="1:29" x14ac:dyDescent="0.25">
      <c r="A577" s="60" t="s">
        <v>2715</v>
      </c>
      <c r="B577" s="34" t="s">
        <v>713</v>
      </c>
      <c r="C577" s="34" t="s">
        <v>352</v>
      </c>
      <c r="D577" s="34" t="s">
        <v>2716</v>
      </c>
      <c r="E577" s="34" t="s">
        <v>559</v>
      </c>
      <c r="F577" s="53">
        <v>0</v>
      </c>
      <c r="G577" s="53"/>
      <c r="H577" s="53"/>
      <c r="I57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RHM3.3KCT-ND</v>
      </c>
      <c r="J57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7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77" s="34" t="s">
        <v>2714</v>
      </c>
      <c r="M577" s="42">
        <v>0.1</v>
      </c>
      <c r="N577" s="34"/>
      <c r="O577" s="42"/>
      <c r="P577" s="34"/>
      <c r="Q577" s="42"/>
      <c r="R577" s="34"/>
      <c r="S577" s="42"/>
      <c r="T577" s="34"/>
      <c r="U577" s="42"/>
      <c r="V577" s="34"/>
      <c r="W577" s="42"/>
      <c r="X577" s="34"/>
      <c r="Y577" s="42"/>
      <c r="Z577" s="42"/>
      <c r="AA577" s="36"/>
      <c r="AB577" s="50"/>
      <c r="AC577" s="56" t="str">
        <f>IF(Table1[[#This Row],[Auto Order]]=1,IF(Table1[[#This Row],[In stock]]&lt;Table1[[#This Row],[Min in stock]],1,""),"")</f>
        <v/>
      </c>
    </row>
    <row r="578" spans="1:29" x14ac:dyDescent="0.25">
      <c r="A578" s="60" t="s">
        <v>2709</v>
      </c>
      <c r="B578" s="34" t="s">
        <v>713</v>
      </c>
      <c r="C578" s="34" t="s">
        <v>352</v>
      </c>
      <c r="D578" s="34" t="s">
        <v>2710</v>
      </c>
      <c r="E578" s="34" t="s">
        <v>559</v>
      </c>
      <c r="F578" s="53">
        <v>0</v>
      </c>
      <c r="G578" s="53"/>
      <c r="H578" s="53"/>
      <c r="I57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RHM3.6KCT-ND</v>
      </c>
      <c r="J57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7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78" s="34" t="s">
        <v>2708</v>
      </c>
      <c r="M578" s="42">
        <v>0.1</v>
      </c>
      <c r="N578" s="34"/>
      <c r="O578" s="42"/>
      <c r="P578" s="34"/>
      <c r="Q578" s="42"/>
      <c r="R578" s="34"/>
      <c r="S578" s="42"/>
      <c r="T578" s="34"/>
      <c r="U578" s="42"/>
      <c r="V578" s="34"/>
      <c r="W578" s="42"/>
      <c r="X578" s="34"/>
      <c r="Y578" s="42"/>
      <c r="Z578" s="42"/>
      <c r="AA578" s="36"/>
      <c r="AB578" s="50"/>
      <c r="AC578" s="56" t="str">
        <f>IF(Table1[[#This Row],[Auto Order]]=1,IF(Table1[[#This Row],[In stock]]&lt;Table1[[#This Row],[Min in stock]],1,""),"")</f>
        <v/>
      </c>
    </row>
    <row r="579" spans="1:29" x14ac:dyDescent="0.25">
      <c r="A579" s="60" t="s">
        <v>2088</v>
      </c>
      <c r="B579" s="34" t="s">
        <v>713</v>
      </c>
      <c r="C579" s="34" t="s">
        <v>352</v>
      </c>
      <c r="D579" s="34" t="s">
        <v>2089</v>
      </c>
      <c r="E579" s="34" t="s">
        <v>559</v>
      </c>
      <c r="F579" s="53">
        <v>0</v>
      </c>
      <c r="G579" s="53"/>
      <c r="H579" s="53"/>
      <c r="I57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RHM3.9KCT-ND</v>
      </c>
      <c r="J57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7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79" s="34" t="s">
        <v>2087</v>
      </c>
      <c r="M579" s="42">
        <v>0.1</v>
      </c>
      <c r="N579" s="34"/>
      <c r="O579" s="42"/>
      <c r="P579" s="34"/>
      <c r="Q579" s="42"/>
      <c r="R579" s="34"/>
      <c r="S579" s="42"/>
      <c r="T579" s="34"/>
      <c r="U579" s="42"/>
      <c r="V579" s="34"/>
      <c r="W579" s="42"/>
      <c r="X579" s="34"/>
      <c r="Y579" s="42"/>
      <c r="Z579" s="42"/>
      <c r="AA579" s="36"/>
      <c r="AB579" s="50"/>
      <c r="AC579" s="56" t="str">
        <f>IF(Table1[[#This Row],[Auto Order]]=1,IF(Table1[[#This Row],[In stock]]&lt;Table1[[#This Row],[Min in stock]],1,""),"")</f>
        <v/>
      </c>
    </row>
    <row r="580" spans="1:29" x14ac:dyDescent="0.25">
      <c r="A580" s="60" t="s">
        <v>2601</v>
      </c>
      <c r="B580" s="34" t="s">
        <v>713</v>
      </c>
      <c r="C580" s="34" t="s">
        <v>352</v>
      </c>
      <c r="D580" s="34" t="s">
        <v>2602</v>
      </c>
      <c r="E580" s="34" t="s">
        <v>559</v>
      </c>
      <c r="F580" s="53">
        <v>0</v>
      </c>
      <c r="G580" s="53"/>
      <c r="H580" s="53"/>
      <c r="I58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RHM43KCT-ND</v>
      </c>
      <c r="J58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8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80" s="34" t="s">
        <v>2600</v>
      </c>
      <c r="M580" s="42">
        <v>0.1</v>
      </c>
      <c r="N580" s="34"/>
      <c r="O580" s="42"/>
      <c r="P580" s="34"/>
      <c r="Q580" s="42"/>
      <c r="R580" s="34"/>
      <c r="S580" s="42"/>
      <c r="T580" s="34"/>
      <c r="U580" s="42"/>
      <c r="V580" s="34"/>
      <c r="W580" s="42"/>
      <c r="X580" s="34"/>
      <c r="Y580" s="42"/>
      <c r="Z580" s="42"/>
      <c r="AA580" s="36"/>
      <c r="AB580" s="50"/>
      <c r="AC580" s="56" t="str">
        <f>IF(Table1[[#This Row],[Auto Order]]=1,IF(Table1[[#This Row],[In stock]]&lt;Table1[[#This Row],[Min in stock]],1,""),"")</f>
        <v/>
      </c>
    </row>
    <row r="581" spans="1:29" x14ac:dyDescent="0.25">
      <c r="A581" s="60" t="s">
        <v>1857</v>
      </c>
      <c r="B581" s="34" t="s">
        <v>713</v>
      </c>
      <c r="C581" s="34" t="s">
        <v>352</v>
      </c>
      <c r="D581" s="34" t="s">
        <v>1858</v>
      </c>
      <c r="E581" s="34" t="s">
        <v>559</v>
      </c>
      <c r="F581" s="53">
        <v>0</v>
      </c>
      <c r="G581" s="53"/>
      <c r="H581" s="53"/>
      <c r="I58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RHM430KCT-ND</v>
      </c>
      <c r="J58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8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81" s="34" t="s">
        <v>1856</v>
      </c>
      <c r="M581" s="42">
        <v>0.1</v>
      </c>
      <c r="N581" s="34"/>
      <c r="O581" s="42"/>
      <c r="P581" s="34"/>
      <c r="Q581" s="42"/>
      <c r="R581" s="34"/>
      <c r="S581" s="42"/>
      <c r="T581" s="34"/>
      <c r="U581" s="42"/>
      <c r="V581" s="34"/>
      <c r="W581" s="42"/>
      <c r="X581" s="34"/>
      <c r="Y581" s="42"/>
      <c r="Z581" s="42"/>
      <c r="AA581" s="36"/>
      <c r="AB581" s="50"/>
      <c r="AC581" s="56" t="str">
        <f>IF(Table1[[#This Row],[Auto Order]]=1,IF(Table1[[#This Row],[In stock]]&lt;Table1[[#This Row],[Min in stock]],1,""),"")</f>
        <v/>
      </c>
    </row>
    <row r="582" spans="1:29" x14ac:dyDescent="0.25">
      <c r="A582" s="60" t="s">
        <v>2475</v>
      </c>
      <c r="B582" s="34" t="s">
        <v>713</v>
      </c>
      <c r="C582" s="34" t="s">
        <v>352</v>
      </c>
      <c r="D582" s="34" t="s">
        <v>2476</v>
      </c>
      <c r="E582" s="34" t="s">
        <v>559</v>
      </c>
      <c r="F582" s="53">
        <v>0</v>
      </c>
      <c r="G582" s="53"/>
      <c r="H582" s="53"/>
      <c r="I58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RHM4.3KKCT-ND</v>
      </c>
      <c r="J58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8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82" s="34" t="s">
        <v>2474</v>
      </c>
      <c r="M582" s="42">
        <v>0.1</v>
      </c>
      <c r="N582" s="34"/>
      <c r="O582" s="42"/>
      <c r="P582" s="34"/>
      <c r="Q582" s="42"/>
      <c r="R582" s="34"/>
      <c r="S582" s="42"/>
      <c r="T582" s="34"/>
      <c r="U582" s="42"/>
      <c r="V582" s="34"/>
      <c r="W582" s="42"/>
      <c r="X582" s="34"/>
      <c r="Y582" s="42"/>
      <c r="Z582" s="42"/>
      <c r="AA582" s="36"/>
      <c r="AB582" s="50"/>
      <c r="AC582" s="56" t="str">
        <f>IF(Table1[[#This Row],[Auto Order]]=1,IF(Table1[[#This Row],[In stock]]&lt;Table1[[#This Row],[Min in stock]],1,""),"")</f>
        <v/>
      </c>
    </row>
    <row r="583" spans="1:29" x14ac:dyDescent="0.25">
      <c r="A583" s="60" t="s">
        <v>2808</v>
      </c>
      <c r="B583" s="34" t="s">
        <v>713</v>
      </c>
      <c r="C583" s="34" t="s">
        <v>352</v>
      </c>
      <c r="D583" s="34" t="s">
        <v>2809</v>
      </c>
      <c r="E583" s="34" t="s">
        <v>559</v>
      </c>
      <c r="F583" s="53">
        <v>0</v>
      </c>
      <c r="G583" s="53"/>
      <c r="H583" s="53"/>
      <c r="I58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RHM430KKCT-ND</v>
      </c>
      <c r="J58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8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83" s="34" t="s">
        <v>2807</v>
      </c>
      <c r="M583" s="42">
        <v>0.1</v>
      </c>
      <c r="N583" s="34"/>
      <c r="O583" s="42"/>
      <c r="P583" s="34"/>
      <c r="Q583" s="42"/>
      <c r="R583" s="34"/>
      <c r="S583" s="42"/>
      <c r="T583" s="34"/>
      <c r="U583" s="42"/>
      <c r="V583" s="34"/>
      <c r="W583" s="42"/>
      <c r="X583" s="34"/>
      <c r="Y583" s="42"/>
      <c r="Z583" s="42"/>
      <c r="AA583" s="36"/>
      <c r="AB583" s="50"/>
      <c r="AC583" s="56" t="str">
        <f>IF(Table1[[#This Row],[Auto Order]]=1,IF(Table1[[#This Row],[In stock]]&lt;Table1[[#This Row],[Min in stock]],1,""),"")</f>
        <v/>
      </c>
    </row>
    <row r="584" spans="1:29" x14ac:dyDescent="0.25">
      <c r="A584" s="60" t="s">
        <v>1920</v>
      </c>
      <c r="B584" s="34" t="s">
        <v>713</v>
      </c>
      <c r="C584" s="34" t="s">
        <v>352</v>
      </c>
      <c r="D584" s="34" t="s">
        <v>1921</v>
      </c>
      <c r="E584" s="34" t="s">
        <v>559</v>
      </c>
      <c r="F584" s="53">
        <v>0</v>
      </c>
      <c r="G584" s="53"/>
      <c r="H584" s="53"/>
      <c r="I58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RHM47KCT-ND</v>
      </c>
      <c r="J58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8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84" s="34" t="s">
        <v>1919</v>
      </c>
      <c r="M584" s="42">
        <v>0.1</v>
      </c>
      <c r="N584" s="34"/>
      <c r="O584" s="42"/>
      <c r="P584" s="34"/>
      <c r="Q584" s="42"/>
      <c r="R584" s="34"/>
      <c r="S584" s="42"/>
      <c r="T584" s="34"/>
      <c r="U584" s="42"/>
      <c r="V584" s="34"/>
      <c r="W584" s="42"/>
      <c r="X584" s="34"/>
      <c r="Y584" s="42"/>
      <c r="Z584" s="42"/>
      <c r="AA584" s="36"/>
      <c r="AB584" s="50"/>
      <c r="AC584" s="56" t="str">
        <f>IF(Table1[[#This Row],[Auto Order]]=1,IF(Table1[[#This Row],[In stock]]&lt;Table1[[#This Row],[Min in stock]],1,""),"")</f>
        <v/>
      </c>
    </row>
    <row r="585" spans="1:29" x14ac:dyDescent="0.25">
      <c r="A585" s="60" t="s">
        <v>2160</v>
      </c>
      <c r="B585" s="34" t="s">
        <v>713</v>
      </c>
      <c r="C585" s="34" t="s">
        <v>352</v>
      </c>
      <c r="D585" s="34" t="s">
        <v>2161</v>
      </c>
      <c r="E585" s="34" t="s">
        <v>559</v>
      </c>
      <c r="F585" s="53">
        <v>0</v>
      </c>
      <c r="G585" s="53"/>
      <c r="H585" s="53"/>
      <c r="I58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RHM4.7KKCT-ND</v>
      </c>
      <c r="J58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8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85" s="34" t="s">
        <v>2159</v>
      </c>
      <c r="M585" s="42">
        <v>0.1</v>
      </c>
      <c r="N585" s="34"/>
      <c r="O585" s="42"/>
      <c r="P585" s="34"/>
      <c r="Q585" s="42"/>
      <c r="R585" s="34"/>
      <c r="S585" s="42"/>
      <c r="T585" s="34"/>
      <c r="U585" s="42"/>
      <c r="V585" s="34"/>
      <c r="W585" s="42"/>
      <c r="X585" s="34"/>
      <c r="Y585" s="42"/>
      <c r="Z585" s="42"/>
      <c r="AA585" s="36"/>
      <c r="AB585" s="50"/>
      <c r="AC585" s="56" t="str">
        <f>IF(Table1[[#This Row],[Auto Order]]=1,IF(Table1[[#This Row],[In stock]]&lt;Table1[[#This Row],[Min in stock]],1,""),"")</f>
        <v/>
      </c>
    </row>
    <row r="586" spans="1:29" x14ac:dyDescent="0.25">
      <c r="A586" s="60" t="s">
        <v>1923</v>
      </c>
      <c r="B586" s="34" t="s">
        <v>713</v>
      </c>
      <c r="C586" s="34" t="s">
        <v>352</v>
      </c>
      <c r="D586" s="34" t="s">
        <v>1924</v>
      </c>
      <c r="E586" s="34" t="s">
        <v>559</v>
      </c>
      <c r="F586" s="53">
        <v>0</v>
      </c>
      <c r="G586" s="53"/>
      <c r="H586" s="53"/>
      <c r="I58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RHM47KKCT-ND</v>
      </c>
      <c r="J58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8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86" s="34" t="s">
        <v>1922</v>
      </c>
      <c r="M586" s="42">
        <v>0.1</v>
      </c>
      <c r="N586" s="34"/>
      <c r="O586" s="42"/>
      <c r="P586" s="34"/>
      <c r="Q586" s="42"/>
      <c r="R586" s="34"/>
      <c r="S586" s="42"/>
      <c r="T586" s="34"/>
      <c r="U586" s="42"/>
      <c r="V586" s="34"/>
      <c r="W586" s="42"/>
      <c r="X586" s="34"/>
      <c r="Y586" s="42"/>
      <c r="Z586" s="42"/>
      <c r="AA586" s="36"/>
      <c r="AB586" s="50"/>
      <c r="AC586" s="56" t="str">
        <f>IF(Table1[[#This Row],[Auto Order]]=1,IF(Table1[[#This Row],[In stock]]&lt;Table1[[#This Row],[Min in stock]],1,""),"")</f>
        <v/>
      </c>
    </row>
    <row r="587" spans="1:29" x14ac:dyDescent="0.25">
      <c r="A587" s="60" t="s">
        <v>2862</v>
      </c>
      <c r="B587" s="34" t="s">
        <v>713</v>
      </c>
      <c r="C587" s="34" t="s">
        <v>352</v>
      </c>
      <c r="D587" s="34" t="s">
        <v>2863</v>
      </c>
      <c r="E587" s="34" t="s">
        <v>559</v>
      </c>
      <c r="F587" s="53">
        <v>0</v>
      </c>
      <c r="G587" s="53"/>
      <c r="H587" s="53"/>
      <c r="I58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RHM470KKCT-ND</v>
      </c>
      <c r="J58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8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87" s="34" t="s">
        <v>2861</v>
      </c>
      <c r="M587" s="42">
        <v>0.1</v>
      </c>
      <c r="N587" s="34"/>
      <c r="O587" s="42"/>
      <c r="P587" s="34"/>
      <c r="Q587" s="42"/>
      <c r="R587" s="34"/>
      <c r="S587" s="42"/>
      <c r="T587" s="34"/>
      <c r="U587" s="42"/>
      <c r="V587" s="34"/>
      <c r="W587" s="42"/>
      <c r="X587" s="34"/>
      <c r="Y587" s="42"/>
      <c r="Z587" s="42"/>
      <c r="AA587" s="36"/>
      <c r="AB587" s="50"/>
      <c r="AC587" s="56" t="str">
        <f>IF(Table1[[#This Row],[Auto Order]]=1,IF(Table1[[#This Row],[In stock]]&lt;Table1[[#This Row],[Min in stock]],1,""),"")</f>
        <v/>
      </c>
    </row>
    <row r="588" spans="1:29" x14ac:dyDescent="0.25">
      <c r="A588" s="60" t="s">
        <v>2793</v>
      </c>
      <c r="B588" s="34" t="s">
        <v>713</v>
      </c>
      <c r="C588" s="34" t="s">
        <v>352</v>
      </c>
      <c r="D588" s="34" t="s">
        <v>2794</v>
      </c>
      <c r="E588" s="34" t="s">
        <v>559</v>
      </c>
      <c r="F588" s="53">
        <v>0</v>
      </c>
      <c r="G588" s="53"/>
      <c r="H588" s="53"/>
      <c r="I58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RHM4.7MKCT-ND</v>
      </c>
      <c r="J58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8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88" s="34" t="s">
        <v>2792</v>
      </c>
      <c r="M588" s="42">
        <v>0.1</v>
      </c>
      <c r="N588" s="34"/>
      <c r="O588" s="42"/>
      <c r="P588" s="34"/>
      <c r="Q588" s="42"/>
      <c r="R588" s="34"/>
      <c r="S588" s="42"/>
      <c r="T588" s="34"/>
      <c r="U588" s="42"/>
      <c r="V588" s="34"/>
      <c r="W588" s="42"/>
      <c r="X588" s="34"/>
      <c r="Y588" s="42"/>
      <c r="Z588" s="42"/>
      <c r="AA588" s="36"/>
      <c r="AB588" s="50"/>
      <c r="AC588" s="56" t="str">
        <f>IF(Table1[[#This Row],[Auto Order]]=1,IF(Table1[[#This Row],[In stock]]&lt;Table1[[#This Row],[Min in stock]],1,""),"")</f>
        <v/>
      </c>
    </row>
    <row r="589" spans="1:29" x14ac:dyDescent="0.25">
      <c r="A589" s="60" t="s">
        <v>2589</v>
      </c>
      <c r="B589" s="34" t="s">
        <v>713</v>
      </c>
      <c r="C589" s="34" t="s">
        <v>352</v>
      </c>
      <c r="D589" s="34" t="s">
        <v>2590</v>
      </c>
      <c r="E589" s="34" t="s">
        <v>559</v>
      </c>
      <c r="F589" s="53">
        <v>0</v>
      </c>
      <c r="G589" s="53"/>
      <c r="H589" s="53"/>
      <c r="I58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RHM4.3KCT-ND</v>
      </c>
      <c r="J58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8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89" s="34" t="s">
        <v>2588</v>
      </c>
      <c r="M589" s="42">
        <v>0.1</v>
      </c>
      <c r="N589" s="34"/>
      <c r="O589" s="42"/>
      <c r="P589" s="34"/>
      <c r="Q589" s="42"/>
      <c r="R589" s="34"/>
      <c r="S589" s="42"/>
      <c r="T589" s="34"/>
      <c r="U589" s="42"/>
      <c r="V589" s="34"/>
      <c r="W589" s="42"/>
      <c r="X589" s="34"/>
      <c r="Y589" s="42"/>
      <c r="Z589" s="42"/>
      <c r="AA589" s="36"/>
      <c r="AB589" s="50"/>
      <c r="AC589" s="56" t="str">
        <f>IF(Table1[[#This Row],[Auto Order]]=1,IF(Table1[[#This Row],[In stock]]&lt;Table1[[#This Row],[Min in stock]],1,""),"")</f>
        <v/>
      </c>
    </row>
    <row r="590" spans="1:29" x14ac:dyDescent="0.25">
      <c r="A590" s="60" t="s">
        <v>1824</v>
      </c>
      <c r="B590" s="34" t="s">
        <v>713</v>
      </c>
      <c r="C590" s="34" t="s">
        <v>352</v>
      </c>
      <c r="D590" s="34" t="s">
        <v>1825</v>
      </c>
      <c r="E590" s="34" t="s">
        <v>559</v>
      </c>
      <c r="F590" s="53">
        <v>0</v>
      </c>
      <c r="G590" s="53"/>
      <c r="H590" s="53"/>
      <c r="I59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RHM4.7KCT-ND</v>
      </c>
      <c r="J59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9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90" s="34" t="s">
        <v>1823</v>
      </c>
      <c r="M590" s="42">
        <v>0.1</v>
      </c>
      <c r="N590" s="34"/>
      <c r="O590" s="42"/>
      <c r="P590" s="34"/>
      <c r="Q590" s="42"/>
      <c r="R590" s="34"/>
      <c r="S590" s="42"/>
      <c r="T590" s="34"/>
      <c r="U590" s="42"/>
      <c r="V590" s="34"/>
      <c r="W590" s="42"/>
      <c r="X590" s="34"/>
      <c r="Y590" s="42"/>
      <c r="Z590" s="42"/>
      <c r="AA590" s="36"/>
      <c r="AB590" s="50"/>
      <c r="AC590" s="56" t="str">
        <f>IF(Table1[[#This Row],[Auto Order]]=1,IF(Table1[[#This Row],[In stock]]&lt;Table1[[#This Row],[Min in stock]],1,""),"")</f>
        <v/>
      </c>
    </row>
    <row r="591" spans="1:29" x14ac:dyDescent="0.25">
      <c r="A591" s="60" t="s">
        <v>1938</v>
      </c>
      <c r="B591" s="34" t="s">
        <v>713</v>
      </c>
      <c r="C591" s="34" t="s">
        <v>352</v>
      </c>
      <c r="D591" s="34" t="s">
        <v>1939</v>
      </c>
      <c r="E591" s="34" t="s">
        <v>559</v>
      </c>
      <c r="F591" s="53">
        <v>0</v>
      </c>
      <c r="G591" s="53"/>
      <c r="H591" s="53"/>
      <c r="I59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RHM51KCT-ND</v>
      </c>
      <c r="J59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9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91" s="34" t="s">
        <v>1937</v>
      </c>
      <c r="M591" s="42">
        <v>0.1</v>
      </c>
      <c r="N591" s="34"/>
      <c r="O591" s="42"/>
      <c r="P591" s="34"/>
      <c r="Q591" s="42"/>
      <c r="R591" s="34"/>
      <c r="S591" s="42"/>
      <c r="T591" s="34"/>
      <c r="U591" s="42"/>
      <c r="V591" s="34"/>
      <c r="W591" s="42"/>
      <c r="X591" s="34"/>
      <c r="Y591" s="42"/>
      <c r="Z591" s="42"/>
      <c r="AA591" s="36"/>
      <c r="AB591" s="50"/>
      <c r="AC591" s="56" t="str">
        <f>IF(Table1[[#This Row],[Auto Order]]=1,IF(Table1[[#This Row],[In stock]]&lt;Table1[[#This Row],[Min in stock]],1,""),"")</f>
        <v/>
      </c>
    </row>
    <row r="592" spans="1:29" x14ac:dyDescent="0.25">
      <c r="A592" s="60" t="s">
        <v>2163</v>
      </c>
      <c r="B592" s="34" t="s">
        <v>713</v>
      </c>
      <c r="C592" s="34" t="s">
        <v>352</v>
      </c>
      <c r="D592" s="34" t="s">
        <v>2164</v>
      </c>
      <c r="E592" s="34" t="s">
        <v>559</v>
      </c>
      <c r="F592" s="53">
        <v>0</v>
      </c>
      <c r="G592" s="53"/>
      <c r="H592" s="53"/>
      <c r="I59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RHM510KCT-ND</v>
      </c>
      <c r="J59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9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92" s="34" t="s">
        <v>2162</v>
      </c>
      <c r="M592" s="42">
        <v>0.1</v>
      </c>
      <c r="N592" s="34"/>
      <c r="O592" s="42"/>
      <c r="P592" s="34"/>
      <c r="Q592" s="42"/>
      <c r="R592" s="34"/>
      <c r="S592" s="42"/>
      <c r="T592" s="34"/>
      <c r="U592" s="42"/>
      <c r="V592" s="34"/>
      <c r="W592" s="42"/>
      <c r="X592" s="34"/>
      <c r="Y592" s="42"/>
      <c r="Z592" s="42"/>
      <c r="AA592" s="36"/>
      <c r="AB592" s="50"/>
      <c r="AC592" s="56" t="str">
        <f>IF(Table1[[#This Row],[Auto Order]]=1,IF(Table1[[#This Row],[In stock]]&lt;Table1[[#This Row],[Min in stock]],1,""),"")</f>
        <v/>
      </c>
    </row>
    <row r="593" spans="1:29" x14ac:dyDescent="0.25">
      <c r="A593" s="60" t="s">
        <v>2226</v>
      </c>
      <c r="B593" s="34" t="s">
        <v>713</v>
      </c>
      <c r="C593" s="34" t="s">
        <v>352</v>
      </c>
      <c r="D593" s="34" t="s">
        <v>2227</v>
      </c>
      <c r="E593" s="34" t="s">
        <v>559</v>
      </c>
      <c r="F593" s="53">
        <v>0</v>
      </c>
      <c r="G593" s="53"/>
      <c r="H593" s="53"/>
      <c r="I59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RHM5.1KKCT-ND</v>
      </c>
      <c r="J59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9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93" s="34" t="s">
        <v>2225</v>
      </c>
      <c r="M593" s="42">
        <v>0.1</v>
      </c>
      <c r="N593" s="34"/>
      <c r="O593" s="42"/>
      <c r="P593" s="34"/>
      <c r="Q593" s="42"/>
      <c r="R593" s="34"/>
      <c r="S593" s="42"/>
      <c r="T593" s="34"/>
      <c r="U593" s="42"/>
      <c r="V593" s="34"/>
      <c r="W593" s="42"/>
      <c r="X593" s="34"/>
      <c r="Y593" s="42"/>
      <c r="Z593" s="42"/>
      <c r="AA593" s="36"/>
      <c r="AB593" s="50"/>
      <c r="AC593" s="56" t="str">
        <f>IF(Table1[[#This Row],[Auto Order]]=1,IF(Table1[[#This Row],[In stock]]&lt;Table1[[#This Row],[Min in stock]],1,""),"")</f>
        <v/>
      </c>
    </row>
    <row r="594" spans="1:29" x14ac:dyDescent="0.25">
      <c r="A594" s="60" t="s">
        <v>2910</v>
      </c>
      <c r="B594" s="34" t="s">
        <v>713</v>
      </c>
      <c r="C594" s="34" t="s">
        <v>352</v>
      </c>
      <c r="D594" s="34" t="s">
        <v>2911</v>
      </c>
      <c r="E594" s="34" t="s">
        <v>559</v>
      </c>
      <c r="F594" s="53">
        <v>0</v>
      </c>
      <c r="G594" s="53"/>
      <c r="H594" s="53"/>
      <c r="I59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RHM510KKCT-ND</v>
      </c>
      <c r="J59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9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94" s="34" t="s">
        <v>2909</v>
      </c>
      <c r="M594" s="42">
        <v>0.1</v>
      </c>
      <c r="N594" s="34"/>
      <c r="O594" s="42"/>
      <c r="P594" s="34"/>
      <c r="Q594" s="42"/>
      <c r="R594" s="34"/>
      <c r="S594" s="42"/>
      <c r="T594" s="34"/>
      <c r="U594" s="42"/>
      <c r="V594" s="34"/>
      <c r="W594" s="42"/>
      <c r="X594" s="34"/>
      <c r="Y594" s="42"/>
      <c r="Z594" s="42"/>
      <c r="AA594" s="36"/>
      <c r="AB594" s="50"/>
      <c r="AC594" s="56" t="str">
        <f>IF(Table1[[#This Row],[Auto Order]]=1,IF(Table1[[#This Row],[In stock]]&lt;Table1[[#This Row],[Min in stock]],1,""),"")</f>
        <v/>
      </c>
    </row>
    <row r="595" spans="1:29" x14ac:dyDescent="0.25">
      <c r="A595" s="60" t="s">
        <v>2649</v>
      </c>
      <c r="B595" s="34" t="s">
        <v>713</v>
      </c>
      <c r="C595" s="34" t="s">
        <v>352</v>
      </c>
      <c r="D595" s="34" t="s">
        <v>2650</v>
      </c>
      <c r="E595" s="34" t="s">
        <v>559</v>
      </c>
      <c r="F595" s="53">
        <v>0</v>
      </c>
      <c r="G595" s="53"/>
      <c r="H595" s="53"/>
      <c r="I59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RHM5.1MKCT-ND</v>
      </c>
      <c r="J59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9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95" s="34" t="s">
        <v>2648</v>
      </c>
      <c r="M595" s="42">
        <v>0.1</v>
      </c>
      <c r="N595" s="34"/>
      <c r="O595" s="42"/>
      <c r="P595" s="34"/>
      <c r="Q595" s="42"/>
      <c r="R595" s="34"/>
      <c r="S595" s="42"/>
      <c r="T595" s="34"/>
      <c r="U595" s="42"/>
      <c r="V595" s="34"/>
      <c r="W595" s="42"/>
      <c r="X595" s="34"/>
      <c r="Y595" s="42"/>
      <c r="Z595" s="42"/>
      <c r="AA595" s="36"/>
      <c r="AB595" s="50"/>
      <c r="AC595" s="56" t="str">
        <f>IF(Table1[[#This Row],[Auto Order]]=1,IF(Table1[[#This Row],[In stock]]&lt;Table1[[#This Row],[Min in stock]],1,""),"")</f>
        <v/>
      </c>
    </row>
    <row r="596" spans="1:29" x14ac:dyDescent="0.25">
      <c r="A596" s="60" t="s">
        <v>2238</v>
      </c>
      <c r="B596" s="34" t="s">
        <v>713</v>
      </c>
      <c r="C596" s="34" t="s">
        <v>352</v>
      </c>
      <c r="D596" s="34" t="s">
        <v>2239</v>
      </c>
      <c r="E596" s="34" t="s">
        <v>559</v>
      </c>
      <c r="F596" s="53">
        <v>0</v>
      </c>
      <c r="G596" s="53"/>
      <c r="H596" s="53"/>
      <c r="I59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RHM56KCT-ND</v>
      </c>
      <c r="J59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9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96" s="34" t="s">
        <v>2237</v>
      </c>
      <c r="M596" s="42">
        <v>0.1</v>
      </c>
      <c r="N596" s="34"/>
      <c r="O596" s="42"/>
      <c r="P596" s="34"/>
      <c r="Q596" s="42"/>
      <c r="R596" s="34"/>
      <c r="S596" s="42"/>
      <c r="T596" s="34"/>
      <c r="U596" s="42"/>
      <c r="V596" s="34"/>
      <c r="W596" s="42"/>
      <c r="X596" s="34"/>
      <c r="Y596" s="42"/>
      <c r="Z596" s="42"/>
      <c r="AA596" s="36"/>
      <c r="AB596" s="50"/>
      <c r="AC596" s="56" t="str">
        <f>IF(Table1[[#This Row],[Auto Order]]=1,IF(Table1[[#This Row],[In stock]]&lt;Table1[[#This Row],[Min in stock]],1,""),"")</f>
        <v/>
      </c>
    </row>
    <row r="597" spans="1:29" x14ac:dyDescent="0.25">
      <c r="A597" s="60" t="s">
        <v>2244</v>
      </c>
      <c r="B597" s="34" t="s">
        <v>713</v>
      </c>
      <c r="C597" s="34" t="s">
        <v>352</v>
      </c>
      <c r="D597" s="34" t="s">
        <v>2245</v>
      </c>
      <c r="E597" s="34" t="s">
        <v>559</v>
      </c>
      <c r="F597" s="53">
        <v>0</v>
      </c>
      <c r="G597" s="53"/>
      <c r="H597" s="53"/>
      <c r="I59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RHM560KCT-ND</v>
      </c>
      <c r="J59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9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97" s="34" t="s">
        <v>2243</v>
      </c>
      <c r="M597" s="42">
        <v>0.1</v>
      </c>
      <c r="N597" s="34"/>
      <c r="O597" s="42"/>
      <c r="P597" s="34"/>
      <c r="Q597" s="42"/>
      <c r="R597" s="34"/>
      <c r="S597" s="42"/>
      <c r="T597" s="34"/>
      <c r="U597" s="42"/>
      <c r="V597" s="34"/>
      <c r="W597" s="42"/>
      <c r="X597" s="34"/>
      <c r="Y597" s="42"/>
      <c r="Z597" s="42"/>
      <c r="AA597" s="36"/>
      <c r="AB597" s="50"/>
      <c r="AC597" s="56" t="str">
        <f>IF(Table1[[#This Row],[Auto Order]]=1,IF(Table1[[#This Row],[In stock]]&lt;Table1[[#This Row],[Min in stock]],1,""),"")</f>
        <v/>
      </c>
    </row>
    <row r="598" spans="1:29" x14ac:dyDescent="0.25">
      <c r="A598" s="60" t="s">
        <v>2478</v>
      </c>
      <c r="B598" s="34" t="s">
        <v>713</v>
      </c>
      <c r="C598" s="34" t="s">
        <v>352</v>
      </c>
      <c r="D598" s="34" t="s">
        <v>2479</v>
      </c>
      <c r="E598" s="34" t="s">
        <v>559</v>
      </c>
      <c r="F598" s="53">
        <v>0</v>
      </c>
      <c r="G598" s="53"/>
      <c r="H598" s="53"/>
      <c r="I59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RHM5.6KKCT-ND</v>
      </c>
      <c r="J59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9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98" s="34" t="s">
        <v>2477</v>
      </c>
      <c r="M598" s="42">
        <v>0.1</v>
      </c>
      <c r="N598" s="34"/>
      <c r="O598" s="42"/>
      <c r="P598" s="34"/>
      <c r="Q598" s="42"/>
      <c r="R598" s="34"/>
      <c r="S598" s="42"/>
      <c r="T598" s="34"/>
      <c r="U598" s="42"/>
      <c r="V598" s="34"/>
      <c r="W598" s="42"/>
      <c r="X598" s="34"/>
      <c r="Y598" s="42"/>
      <c r="Z598" s="42"/>
      <c r="AA598" s="36"/>
      <c r="AB598" s="50"/>
      <c r="AC598" s="56" t="str">
        <f>IF(Table1[[#This Row],[Auto Order]]=1,IF(Table1[[#This Row],[In stock]]&lt;Table1[[#This Row],[Min in stock]],1,""),"")</f>
        <v/>
      </c>
    </row>
    <row r="599" spans="1:29" x14ac:dyDescent="0.25">
      <c r="A599" s="60" t="s">
        <v>2796</v>
      </c>
      <c r="B599" s="34" t="s">
        <v>713</v>
      </c>
      <c r="C599" s="34" t="s">
        <v>352</v>
      </c>
      <c r="D599" s="34" t="s">
        <v>2797</v>
      </c>
      <c r="E599" s="34" t="s">
        <v>559</v>
      </c>
      <c r="F599" s="53">
        <v>0</v>
      </c>
      <c r="G599" s="53"/>
      <c r="H599" s="53"/>
      <c r="I59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RHM56KKCT-ND</v>
      </c>
      <c r="J59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9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99" s="34" t="s">
        <v>2795</v>
      </c>
      <c r="M599" s="42">
        <v>0.1</v>
      </c>
      <c r="N599" s="34"/>
      <c r="O599" s="42"/>
      <c r="P599" s="34"/>
      <c r="Q599" s="42"/>
      <c r="R599" s="34"/>
      <c r="S599" s="42"/>
      <c r="T599" s="34"/>
      <c r="U599" s="42"/>
      <c r="V599" s="34"/>
      <c r="W599" s="42"/>
      <c r="X599" s="34"/>
      <c r="Y599" s="42"/>
      <c r="Z599" s="42"/>
      <c r="AA599" s="36"/>
      <c r="AB599" s="50"/>
      <c r="AC599" s="56" t="str">
        <f>IF(Table1[[#This Row],[Auto Order]]=1,IF(Table1[[#This Row],[In stock]]&lt;Table1[[#This Row],[Min in stock]],1,""),"")</f>
        <v/>
      </c>
    </row>
    <row r="600" spans="1:29" x14ac:dyDescent="0.25">
      <c r="A600" s="60" t="s">
        <v>2604</v>
      </c>
      <c r="B600" s="34" t="s">
        <v>713</v>
      </c>
      <c r="C600" s="34" t="s">
        <v>352</v>
      </c>
      <c r="D600" s="34" t="s">
        <v>2605</v>
      </c>
      <c r="E600" s="34" t="s">
        <v>559</v>
      </c>
      <c r="F600" s="53">
        <v>0</v>
      </c>
      <c r="G600" s="53"/>
      <c r="H600" s="53"/>
      <c r="I60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RHM560KKCT-ND</v>
      </c>
      <c r="J60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0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00" s="34" t="s">
        <v>2603</v>
      </c>
      <c r="M600" s="42">
        <v>0.1</v>
      </c>
      <c r="N600" s="34"/>
      <c r="O600" s="42"/>
      <c r="P600" s="34"/>
      <c r="Q600" s="42"/>
      <c r="R600" s="34"/>
      <c r="S600" s="42"/>
      <c r="T600" s="34"/>
      <c r="U600" s="42"/>
      <c r="V600" s="34"/>
      <c r="W600" s="42"/>
      <c r="X600" s="34"/>
      <c r="Y600" s="42"/>
      <c r="Z600" s="42"/>
      <c r="AA600" s="36"/>
      <c r="AB600" s="50"/>
      <c r="AC600" s="56" t="str">
        <f>IF(Table1[[#This Row],[Auto Order]]=1,IF(Table1[[#This Row],[In stock]]&lt;Table1[[#This Row],[Min in stock]],1,""),"")</f>
        <v/>
      </c>
    </row>
    <row r="601" spans="1:29" x14ac:dyDescent="0.25">
      <c r="A601" s="60" t="s">
        <v>2652</v>
      </c>
      <c r="B601" s="34" t="s">
        <v>713</v>
      </c>
      <c r="C601" s="34" t="s">
        <v>352</v>
      </c>
      <c r="D601" s="34" t="s">
        <v>2653</v>
      </c>
      <c r="E601" s="34" t="s">
        <v>559</v>
      </c>
      <c r="F601" s="53">
        <v>0</v>
      </c>
      <c r="G601" s="53"/>
      <c r="H601" s="53"/>
      <c r="I60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RHM5.6MKCT-ND</v>
      </c>
      <c r="J60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0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01" s="34" t="s">
        <v>2651</v>
      </c>
      <c r="M601" s="42">
        <v>0.1</v>
      </c>
      <c r="N601" s="34"/>
      <c r="O601" s="42"/>
      <c r="P601" s="34"/>
      <c r="Q601" s="42"/>
      <c r="R601" s="34"/>
      <c r="S601" s="42"/>
      <c r="T601" s="34"/>
      <c r="U601" s="42"/>
      <c r="V601" s="34"/>
      <c r="W601" s="42"/>
      <c r="X601" s="34"/>
      <c r="Y601" s="42"/>
      <c r="Z601" s="42"/>
      <c r="AA601" s="36"/>
      <c r="AB601" s="50"/>
      <c r="AC601" s="56" t="str">
        <f>IF(Table1[[#This Row],[Auto Order]]=1,IF(Table1[[#This Row],[In stock]]&lt;Table1[[#This Row],[Min in stock]],1,""),"")</f>
        <v/>
      </c>
    </row>
    <row r="602" spans="1:29" x14ac:dyDescent="0.25">
      <c r="A602" s="60" t="s">
        <v>1863</v>
      </c>
      <c r="B602" s="34" t="s">
        <v>713</v>
      </c>
      <c r="C602" s="34" t="s">
        <v>352</v>
      </c>
      <c r="D602" s="34" t="s">
        <v>1864</v>
      </c>
      <c r="E602" s="34" t="s">
        <v>559</v>
      </c>
      <c r="F602" s="53">
        <v>0</v>
      </c>
      <c r="G602" s="53"/>
      <c r="H602" s="53"/>
      <c r="I60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RHM5.1KCT-ND</v>
      </c>
      <c r="J60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0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02" s="34" t="s">
        <v>1862</v>
      </c>
      <c r="M602" s="42">
        <v>0.1</v>
      </c>
      <c r="N602" s="34"/>
      <c r="O602" s="42"/>
      <c r="P602" s="34"/>
      <c r="Q602" s="42"/>
      <c r="R602" s="34"/>
      <c r="S602" s="42"/>
      <c r="T602" s="34"/>
      <c r="U602" s="42"/>
      <c r="V602" s="34"/>
      <c r="W602" s="42"/>
      <c r="X602" s="34"/>
      <c r="Y602" s="42"/>
      <c r="Z602" s="42"/>
      <c r="AA602" s="36"/>
      <c r="AB602" s="50"/>
      <c r="AC602" s="56" t="str">
        <f>IF(Table1[[#This Row],[Auto Order]]=1,IF(Table1[[#This Row],[In stock]]&lt;Table1[[#This Row],[Min in stock]],1,""),"")</f>
        <v/>
      </c>
    </row>
    <row r="603" spans="1:29" x14ac:dyDescent="0.25">
      <c r="A603" s="60" t="s">
        <v>2481</v>
      </c>
      <c r="B603" s="34" t="s">
        <v>713</v>
      </c>
      <c r="C603" s="34" t="s">
        <v>352</v>
      </c>
      <c r="D603" s="34" t="s">
        <v>2482</v>
      </c>
      <c r="E603" s="34" t="s">
        <v>559</v>
      </c>
      <c r="F603" s="53">
        <v>0</v>
      </c>
      <c r="G603" s="53"/>
      <c r="H603" s="53"/>
      <c r="I60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RHM5.6KCT-ND</v>
      </c>
      <c r="J60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0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03" s="34" t="s">
        <v>2480</v>
      </c>
      <c r="M603" s="42">
        <v>0.1</v>
      </c>
      <c r="N603" s="34"/>
      <c r="O603" s="42"/>
      <c r="P603" s="34"/>
      <c r="Q603" s="42"/>
      <c r="R603" s="34"/>
      <c r="S603" s="42"/>
      <c r="T603" s="34"/>
      <c r="U603" s="42"/>
      <c r="V603" s="34"/>
      <c r="W603" s="42"/>
      <c r="X603" s="34"/>
      <c r="Y603" s="42"/>
      <c r="Z603" s="42"/>
      <c r="AA603" s="36"/>
      <c r="AB603" s="50"/>
      <c r="AC603" s="56" t="str">
        <f>IF(Table1[[#This Row],[Auto Order]]=1,IF(Table1[[#This Row],[In stock]]&lt;Table1[[#This Row],[Min in stock]],1,""),"")</f>
        <v/>
      </c>
    </row>
    <row r="604" spans="1:29" x14ac:dyDescent="0.25">
      <c r="A604" s="60" t="s">
        <v>2901</v>
      </c>
      <c r="B604" s="34" t="s">
        <v>713</v>
      </c>
      <c r="C604" s="34" t="s">
        <v>352</v>
      </c>
      <c r="D604" s="34" t="s">
        <v>2902</v>
      </c>
      <c r="E604" s="34" t="s">
        <v>559</v>
      </c>
      <c r="F604" s="53">
        <v>0</v>
      </c>
      <c r="G604" s="53"/>
      <c r="H604" s="53"/>
      <c r="I60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RHM62KCT-ND</v>
      </c>
      <c r="J60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0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04" s="34" t="s">
        <v>2900</v>
      </c>
      <c r="M604" s="42">
        <v>0.1</v>
      </c>
      <c r="N604" s="34"/>
      <c r="O604" s="42"/>
      <c r="P604" s="34"/>
      <c r="Q604" s="42"/>
      <c r="R604" s="34"/>
      <c r="S604" s="42"/>
      <c r="T604" s="34"/>
      <c r="U604" s="42"/>
      <c r="V604" s="34"/>
      <c r="W604" s="42"/>
      <c r="X604" s="34"/>
      <c r="Y604" s="42"/>
      <c r="Z604" s="42"/>
      <c r="AA604" s="36"/>
      <c r="AB604" s="50"/>
      <c r="AC604" s="56" t="str">
        <f>IF(Table1[[#This Row],[Auto Order]]=1,IF(Table1[[#This Row],[In stock]]&lt;Table1[[#This Row],[Min in stock]],1,""),"")</f>
        <v/>
      </c>
    </row>
    <row r="605" spans="1:29" x14ac:dyDescent="0.25">
      <c r="A605" s="60" t="s">
        <v>2433</v>
      </c>
      <c r="B605" s="34" t="s">
        <v>713</v>
      </c>
      <c r="C605" s="34" t="s">
        <v>352</v>
      </c>
      <c r="D605" s="34" t="s">
        <v>2434</v>
      </c>
      <c r="E605" s="34" t="s">
        <v>559</v>
      </c>
      <c r="F605" s="53">
        <v>0</v>
      </c>
      <c r="G605" s="53"/>
      <c r="H605" s="53"/>
      <c r="I60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RHM620KCT-ND</v>
      </c>
      <c r="J60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0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05" s="34" t="s">
        <v>2432</v>
      </c>
      <c r="M605" s="42">
        <v>0.1</v>
      </c>
      <c r="N605" s="34"/>
      <c r="O605" s="42"/>
      <c r="P605" s="34"/>
      <c r="Q605" s="42"/>
      <c r="R605" s="34"/>
      <c r="S605" s="42"/>
      <c r="T605" s="34"/>
      <c r="U605" s="42"/>
      <c r="V605" s="34"/>
      <c r="W605" s="42"/>
      <c r="X605" s="34"/>
      <c r="Y605" s="42"/>
      <c r="Z605" s="42"/>
      <c r="AA605" s="36"/>
      <c r="AB605" s="50"/>
      <c r="AC605" s="56" t="str">
        <f>IF(Table1[[#This Row],[Auto Order]]=1,IF(Table1[[#This Row],[In stock]]&lt;Table1[[#This Row],[Min in stock]],1,""),"")</f>
        <v/>
      </c>
    </row>
    <row r="606" spans="1:29" x14ac:dyDescent="0.25">
      <c r="A606" s="60" t="s">
        <v>2592</v>
      </c>
      <c r="B606" s="34" t="s">
        <v>713</v>
      </c>
      <c r="C606" s="34" t="s">
        <v>352</v>
      </c>
      <c r="D606" s="34" t="s">
        <v>2593</v>
      </c>
      <c r="E606" s="34" t="s">
        <v>559</v>
      </c>
      <c r="F606" s="53">
        <v>0</v>
      </c>
      <c r="G606" s="53"/>
      <c r="H606" s="53"/>
      <c r="I60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RHM6.2KKCT-ND</v>
      </c>
      <c r="J60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0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06" s="34" t="s">
        <v>2591</v>
      </c>
      <c r="M606" s="42">
        <v>0.1</v>
      </c>
      <c r="N606" s="34"/>
      <c r="O606" s="42"/>
      <c r="P606" s="34"/>
      <c r="Q606" s="42"/>
      <c r="R606" s="34"/>
      <c r="S606" s="42"/>
      <c r="T606" s="34"/>
      <c r="U606" s="42"/>
      <c r="V606" s="34"/>
      <c r="W606" s="42"/>
      <c r="X606" s="34"/>
      <c r="Y606" s="42"/>
      <c r="Z606" s="42"/>
      <c r="AA606" s="36"/>
      <c r="AB606" s="50"/>
      <c r="AC606" s="56" t="str">
        <f>IF(Table1[[#This Row],[Auto Order]]=1,IF(Table1[[#This Row],[In stock]]&lt;Table1[[#This Row],[Min in stock]],1,""),"")</f>
        <v/>
      </c>
    </row>
    <row r="607" spans="1:29" x14ac:dyDescent="0.25">
      <c r="A607" s="60" t="s">
        <v>2655</v>
      </c>
      <c r="B607" s="34" t="s">
        <v>713</v>
      </c>
      <c r="C607" s="34" t="s">
        <v>352</v>
      </c>
      <c r="D607" s="34" t="s">
        <v>2656</v>
      </c>
      <c r="E607" s="34" t="s">
        <v>559</v>
      </c>
      <c r="F607" s="53">
        <v>0</v>
      </c>
      <c r="G607" s="53"/>
      <c r="H607" s="53"/>
      <c r="I60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RHM6.2MKCT-ND</v>
      </c>
      <c r="J60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0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07" s="34" t="s">
        <v>2654</v>
      </c>
      <c r="M607" s="42">
        <v>0.1</v>
      </c>
      <c r="N607" s="34"/>
      <c r="O607" s="42"/>
      <c r="P607" s="34"/>
      <c r="Q607" s="42"/>
      <c r="R607" s="34"/>
      <c r="S607" s="42"/>
      <c r="T607" s="34"/>
      <c r="U607" s="42"/>
      <c r="V607" s="34"/>
      <c r="W607" s="42"/>
      <c r="X607" s="34"/>
      <c r="Y607" s="42"/>
      <c r="Z607" s="42"/>
      <c r="AA607" s="36"/>
      <c r="AB607" s="50"/>
      <c r="AC607" s="56" t="str">
        <f>IF(Table1[[#This Row],[Auto Order]]=1,IF(Table1[[#This Row],[In stock]]&lt;Table1[[#This Row],[Min in stock]],1,""),"")</f>
        <v/>
      </c>
    </row>
    <row r="608" spans="1:29" x14ac:dyDescent="0.25">
      <c r="A608" s="60" t="s">
        <v>2895</v>
      </c>
      <c r="B608" s="34" t="s">
        <v>713</v>
      </c>
      <c r="C608" s="34" t="s">
        <v>352</v>
      </c>
      <c r="D608" s="34" t="s">
        <v>2896</v>
      </c>
      <c r="E608" s="34" t="s">
        <v>559</v>
      </c>
      <c r="F608" s="53">
        <v>0</v>
      </c>
      <c r="G608" s="53"/>
      <c r="H608" s="53"/>
      <c r="I60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RHM68KCT-ND</v>
      </c>
      <c r="J60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0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08" s="34" t="s">
        <v>2894</v>
      </c>
      <c r="M608" s="42">
        <v>0.1</v>
      </c>
      <c r="N608" s="34"/>
      <c r="O608" s="42"/>
      <c r="P608" s="34"/>
      <c r="Q608" s="42"/>
      <c r="R608" s="34"/>
      <c r="S608" s="42"/>
      <c r="T608" s="34"/>
      <c r="U608" s="42"/>
      <c r="V608" s="34"/>
      <c r="W608" s="42"/>
      <c r="X608" s="34"/>
      <c r="Y608" s="42"/>
      <c r="Z608" s="42"/>
      <c r="AA608" s="36"/>
      <c r="AB608" s="50"/>
      <c r="AC608" s="56" t="str">
        <f>IF(Table1[[#This Row],[Auto Order]]=1,IF(Table1[[#This Row],[In stock]]&lt;Table1[[#This Row],[Min in stock]],1,""),"")</f>
        <v/>
      </c>
    </row>
    <row r="609" spans="1:29" x14ac:dyDescent="0.25">
      <c r="A609" s="60" t="s">
        <v>2931</v>
      </c>
      <c r="B609" s="34" t="s">
        <v>713</v>
      </c>
      <c r="C609" s="34" t="s">
        <v>352</v>
      </c>
      <c r="D609" s="34" t="s">
        <v>2932</v>
      </c>
      <c r="E609" s="34" t="s">
        <v>559</v>
      </c>
      <c r="F609" s="53">
        <v>0</v>
      </c>
      <c r="G609" s="53"/>
      <c r="H609" s="53"/>
      <c r="I60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RHM680KCT-ND</v>
      </c>
      <c r="J60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0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09" s="34" t="s">
        <v>2930</v>
      </c>
      <c r="M609" s="42">
        <v>0.1</v>
      </c>
      <c r="N609" s="34"/>
      <c r="O609" s="42"/>
      <c r="P609" s="34"/>
      <c r="Q609" s="42"/>
      <c r="R609" s="34"/>
      <c r="S609" s="42"/>
      <c r="T609" s="34"/>
      <c r="U609" s="42"/>
      <c r="V609" s="34"/>
      <c r="W609" s="42"/>
      <c r="X609" s="34"/>
      <c r="Y609" s="42"/>
      <c r="Z609" s="42"/>
      <c r="AA609" s="36"/>
      <c r="AB609" s="50"/>
      <c r="AC609" s="56" t="str">
        <f>IF(Table1[[#This Row],[Auto Order]]=1,IF(Table1[[#This Row],[In stock]]&lt;Table1[[#This Row],[Min in stock]],1,""),"")</f>
        <v/>
      </c>
    </row>
    <row r="610" spans="1:29" x14ac:dyDescent="0.25">
      <c r="A610" s="60" t="s">
        <v>2766</v>
      </c>
      <c r="B610" s="34" t="s">
        <v>713</v>
      </c>
      <c r="C610" s="34" t="s">
        <v>352</v>
      </c>
      <c r="D610" s="34" t="s">
        <v>2767</v>
      </c>
      <c r="E610" s="34" t="s">
        <v>559</v>
      </c>
      <c r="F610" s="53">
        <v>0</v>
      </c>
      <c r="G610" s="53"/>
      <c r="H610" s="53"/>
      <c r="I61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RHM68KKCT-ND</v>
      </c>
      <c r="J61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1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10" s="34" t="s">
        <v>2765</v>
      </c>
      <c r="M610" s="42">
        <v>0.1</v>
      </c>
      <c r="N610" s="34"/>
      <c r="O610" s="42"/>
      <c r="P610" s="34"/>
      <c r="Q610" s="42"/>
      <c r="R610" s="34"/>
      <c r="S610" s="42"/>
      <c r="T610" s="34"/>
      <c r="U610" s="42"/>
      <c r="V610" s="34"/>
      <c r="W610" s="42"/>
      <c r="X610" s="34"/>
      <c r="Y610" s="42"/>
      <c r="Z610" s="42"/>
      <c r="AA610" s="36"/>
      <c r="AB610" s="50"/>
      <c r="AC610" s="56" t="str">
        <f>IF(Table1[[#This Row],[Auto Order]]=1,IF(Table1[[#This Row],[In stock]]&lt;Table1[[#This Row],[Min in stock]],1,""),"")</f>
        <v/>
      </c>
    </row>
    <row r="611" spans="1:29" x14ac:dyDescent="0.25">
      <c r="A611" s="60" t="s">
        <v>2658</v>
      </c>
      <c r="B611" s="34" t="s">
        <v>713</v>
      </c>
      <c r="C611" s="34" t="s">
        <v>352</v>
      </c>
      <c r="D611" s="34" t="s">
        <v>2659</v>
      </c>
      <c r="E611" s="34" t="s">
        <v>559</v>
      </c>
      <c r="F611" s="53">
        <v>0</v>
      </c>
      <c r="G611" s="53"/>
      <c r="H611" s="53"/>
      <c r="I61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RHM680KKCT-ND</v>
      </c>
      <c r="J61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1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11" s="34" t="s">
        <v>2657</v>
      </c>
      <c r="M611" s="42">
        <v>0.1</v>
      </c>
      <c r="N611" s="34"/>
      <c r="O611" s="42"/>
      <c r="P611" s="34"/>
      <c r="Q611" s="42"/>
      <c r="R611" s="34"/>
      <c r="S611" s="42"/>
      <c r="T611" s="34"/>
      <c r="U611" s="42"/>
      <c r="V611" s="34"/>
      <c r="W611" s="42"/>
      <c r="X611" s="34"/>
      <c r="Y611" s="42"/>
      <c r="Z611" s="42"/>
      <c r="AA611" s="36"/>
      <c r="AB611" s="50"/>
      <c r="AC611" s="56" t="str">
        <f>IF(Table1[[#This Row],[Auto Order]]=1,IF(Table1[[#This Row],[In stock]]&lt;Table1[[#This Row],[Min in stock]],1,""),"")</f>
        <v/>
      </c>
    </row>
    <row r="612" spans="1:29" x14ac:dyDescent="0.25">
      <c r="A612" s="60" t="s">
        <v>2757</v>
      </c>
      <c r="B612" s="34" t="s">
        <v>713</v>
      </c>
      <c r="C612" s="34" t="s">
        <v>352</v>
      </c>
      <c r="D612" s="34" t="s">
        <v>2758</v>
      </c>
      <c r="E612" s="34" t="s">
        <v>559</v>
      </c>
      <c r="F612" s="53">
        <v>0</v>
      </c>
      <c r="G612" s="53"/>
      <c r="H612" s="53"/>
      <c r="I61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RHM6.8MKCT-ND</v>
      </c>
      <c r="J61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1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12" s="34" t="s">
        <v>2756</v>
      </c>
      <c r="M612" s="42">
        <v>0.1</v>
      </c>
      <c r="N612" s="34"/>
      <c r="O612" s="42"/>
      <c r="P612" s="34"/>
      <c r="Q612" s="42"/>
      <c r="R612" s="34"/>
      <c r="S612" s="42"/>
      <c r="T612" s="34"/>
      <c r="U612" s="42"/>
      <c r="V612" s="34"/>
      <c r="W612" s="42"/>
      <c r="X612" s="34"/>
      <c r="Y612" s="42"/>
      <c r="Z612" s="42"/>
      <c r="AA612" s="36"/>
      <c r="AB612" s="50"/>
      <c r="AC612" s="56" t="str">
        <f>IF(Table1[[#This Row],[Auto Order]]=1,IF(Table1[[#This Row],[In stock]]&lt;Table1[[#This Row],[Min in stock]],1,""),"")</f>
        <v/>
      </c>
    </row>
    <row r="613" spans="1:29" x14ac:dyDescent="0.25">
      <c r="A613" s="60" t="s">
        <v>2205</v>
      </c>
      <c r="B613" s="34" t="s">
        <v>713</v>
      </c>
      <c r="C613" s="34" t="s">
        <v>352</v>
      </c>
      <c r="D613" s="34" t="s">
        <v>2206</v>
      </c>
      <c r="E613" s="34" t="s">
        <v>559</v>
      </c>
      <c r="F613" s="53">
        <v>0</v>
      </c>
      <c r="G613" s="53"/>
      <c r="H613" s="53"/>
      <c r="I61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RHM6.2KCT-ND</v>
      </c>
      <c r="J61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1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13" s="34" t="s">
        <v>2204</v>
      </c>
      <c r="M613" s="42">
        <v>0.1</v>
      </c>
      <c r="N613" s="34"/>
      <c r="O613" s="42"/>
      <c r="P613" s="34"/>
      <c r="Q613" s="42"/>
      <c r="R613" s="34"/>
      <c r="S613" s="42"/>
      <c r="T613" s="34"/>
      <c r="U613" s="42"/>
      <c r="V613" s="34"/>
      <c r="W613" s="42"/>
      <c r="X613" s="34"/>
      <c r="Y613" s="42"/>
      <c r="Z613" s="42"/>
      <c r="AA613" s="36"/>
      <c r="AB613" s="50"/>
      <c r="AC613" s="56" t="str">
        <f>IF(Table1[[#This Row],[Auto Order]]=1,IF(Table1[[#This Row],[In stock]]&lt;Table1[[#This Row],[Min in stock]],1,""),"")</f>
        <v/>
      </c>
    </row>
    <row r="614" spans="1:29" x14ac:dyDescent="0.25">
      <c r="A614" s="60" t="s">
        <v>2220</v>
      </c>
      <c r="B614" s="34" t="s">
        <v>713</v>
      </c>
      <c r="C614" s="34" t="s">
        <v>352</v>
      </c>
      <c r="D614" s="34" t="s">
        <v>2221</v>
      </c>
      <c r="E614" s="34" t="s">
        <v>559</v>
      </c>
      <c r="F614" s="53">
        <v>0</v>
      </c>
      <c r="G614" s="53"/>
      <c r="H614" s="53"/>
      <c r="I61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RHM6.8KCT-ND</v>
      </c>
      <c r="J61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1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14" s="34" t="s">
        <v>2219</v>
      </c>
      <c r="M614" s="42">
        <v>0.1</v>
      </c>
      <c r="N614" s="34"/>
      <c r="O614" s="42"/>
      <c r="P614" s="34"/>
      <c r="Q614" s="42"/>
      <c r="R614" s="34"/>
      <c r="S614" s="42"/>
      <c r="T614" s="34"/>
      <c r="U614" s="42"/>
      <c r="V614" s="34"/>
      <c r="W614" s="42"/>
      <c r="X614" s="34"/>
      <c r="Y614" s="42"/>
      <c r="Z614" s="42"/>
      <c r="AA614" s="36"/>
      <c r="AB614" s="50"/>
      <c r="AC614" s="56" t="str">
        <f>IF(Table1[[#This Row],[Auto Order]]=1,IF(Table1[[#This Row],[In stock]]&lt;Table1[[#This Row],[Min in stock]],1,""),"")</f>
        <v/>
      </c>
    </row>
    <row r="615" spans="1:29" x14ac:dyDescent="0.25">
      <c r="A615" s="60" t="s">
        <v>2367</v>
      </c>
      <c r="B615" s="34" t="s">
        <v>713</v>
      </c>
      <c r="C615" s="34" t="s">
        <v>352</v>
      </c>
      <c r="D615" s="34" t="s">
        <v>2368</v>
      </c>
      <c r="E615" s="34" t="s">
        <v>559</v>
      </c>
      <c r="F615" s="53">
        <v>0</v>
      </c>
      <c r="G615" s="53"/>
      <c r="H615" s="53"/>
      <c r="I61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RHM75KCT-ND</v>
      </c>
      <c r="J61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1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15" s="34" t="s">
        <v>2366</v>
      </c>
      <c r="M615" s="42">
        <v>0.1</v>
      </c>
      <c r="N615" s="34"/>
      <c r="O615" s="42"/>
      <c r="P615" s="34"/>
      <c r="Q615" s="42"/>
      <c r="R615" s="34"/>
      <c r="S615" s="42"/>
      <c r="T615" s="34"/>
      <c r="U615" s="42"/>
      <c r="V615" s="34"/>
      <c r="W615" s="42"/>
      <c r="X615" s="34"/>
      <c r="Y615" s="42"/>
      <c r="Z615" s="42"/>
      <c r="AA615" s="36"/>
      <c r="AB615" s="50"/>
      <c r="AC615" s="56" t="str">
        <f>IF(Table1[[#This Row],[Auto Order]]=1,IF(Table1[[#This Row],[In stock]]&lt;Table1[[#This Row],[Min in stock]],1,""),"")</f>
        <v/>
      </c>
    </row>
    <row r="616" spans="1:29" x14ac:dyDescent="0.25">
      <c r="A616" s="60" t="s">
        <v>1956</v>
      </c>
      <c r="B616" s="34" t="s">
        <v>713</v>
      </c>
      <c r="C616" s="34" t="s">
        <v>352</v>
      </c>
      <c r="D616" s="34" t="s">
        <v>1957</v>
      </c>
      <c r="E616" s="34" t="s">
        <v>559</v>
      </c>
      <c r="F616" s="53">
        <v>0</v>
      </c>
      <c r="G616" s="53"/>
      <c r="H616" s="53"/>
      <c r="I61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RHM750KCT-ND</v>
      </c>
      <c r="J61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1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16" s="34" t="s">
        <v>1955</v>
      </c>
      <c r="M616" s="42">
        <v>0.1</v>
      </c>
      <c r="N616" s="34"/>
      <c r="O616" s="42"/>
      <c r="P616" s="34"/>
      <c r="Q616" s="42"/>
      <c r="R616" s="34"/>
      <c r="S616" s="42"/>
      <c r="T616" s="34"/>
      <c r="U616" s="42"/>
      <c r="V616" s="34"/>
      <c r="W616" s="42"/>
      <c r="X616" s="34"/>
      <c r="Y616" s="42"/>
      <c r="Z616" s="42"/>
      <c r="AA616" s="36"/>
      <c r="AB616" s="50"/>
      <c r="AC616" s="56" t="str">
        <f>IF(Table1[[#This Row],[Auto Order]]=1,IF(Table1[[#This Row],[In stock]]&lt;Table1[[#This Row],[Min in stock]],1,""),"")</f>
        <v/>
      </c>
    </row>
    <row r="617" spans="1:29" x14ac:dyDescent="0.25">
      <c r="A617" s="60" t="s">
        <v>2100</v>
      </c>
      <c r="B617" s="34" t="s">
        <v>713</v>
      </c>
      <c r="C617" s="34" t="s">
        <v>352</v>
      </c>
      <c r="D617" s="34" t="s">
        <v>2101</v>
      </c>
      <c r="E617" s="34" t="s">
        <v>559</v>
      </c>
      <c r="F617" s="53">
        <v>0</v>
      </c>
      <c r="G617" s="53"/>
      <c r="H617" s="53"/>
      <c r="I61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RHM7.5KKCT-ND</v>
      </c>
      <c r="J61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1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17" s="34" t="s">
        <v>2099</v>
      </c>
      <c r="M617" s="42">
        <v>0.1</v>
      </c>
      <c r="N617" s="34"/>
      <c r="O617" s="42"/>
      <c r="P617" s="34"/>
      <c r="Q617" s="42"/>
      <c r="R617" s="34"/>
      <c r="S617" s="42"/>
      <c r="T617" s="34"/>
      <c r="U617" s="42"/>
      <c r="V617" s="34"/>
      <c r="W617" s="42"/>
      <c r="X617" s="34"/>
      <c r="Y617" s="42"/>
      <c r="Z617" s="42"/>
      <c r="AA617" s="36"/>
      <c r="AB617" s="50"/>
      <c r="AC617" s="56" t="str">
        <f>IF(Table1[[#This Row],[Auto Order]]=1,IF(Table1[[#This Row],[In stock]]&lt;Table1[[#This Row],[Min in stock]],1,""),"")</f>
        <v/>
      </c>
    </row>
    <row r="618" spans="1:29" x14ac:dyDescent="0.25">
      <c r="A618" s="60" t="s">
        <v>2790</v>
      </c>
      <c r="B618" s="34" t="s">
        <v>713</v>
      </c>
      <c r="C618" s="34" t="s">
        <v>352</v>
      </c>
      <c r="D618" s="34" t="s">
        <v>2791</v>
      </c>
      <c r="E618" s="34" t="s">
        <v>559</v>
      </c>
      <c r="F618" s="53">
        <v>0</v>
      </c>
      <c r="G618" s="53"/>
      <c r="H618" s="53"/>
      <c r="I61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RHM75KKCT-ND</v>
      </c>
      <c r="J61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1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18" s="34" t="s">
        <v>2789</v>
      </c>
      <c r="M618" s="42">
        <v>0.1</v>
      </c>
      <c r="N618" s="34"/>
      <c r="O618" s="42"/>
      <c r="P618" s="34"/>
      <c r="Q618" s="42"/>
      <c r="R618" s="34"/>
      <c r="S618" s="42"/>
      <c r="T618" s="34"/>
      <c r="U618" s="42"/>
      <c r="V618" s="34"/>
      <c r="W618" s="42"/>
      <c r="X618" s="34"/>
      <c r="Y618" s="42"/>
      <c r="Z618" s="42"/>
      <c r="AA618" s="36"/>
      <c r="AB618" s="50"/>
      <c r="AC618" s="56" t="str">
        <f>IF(Table1[[#This Row],[Auto Order]]=1,IF(Table1[[#This Row],[In stock]]&lt;Table1[[#This Row],[Min in stock]],1,""),"")</f>
        <v/>
      </c>
    </row>
    <row r="619" spans="1:29" x14ac:dyDescent="0.25">
      <c r="A619" s="60" t="s">
        <v>2661</v>
      </c>
      <c r="B619" s="34" t="s">
        <v>713</v>
      </c>
      <c r="C619" s="34" t="s">
        <v>352</v>
      </c>
      <c r="D619" s="34" t="s">
        <v>2662</v>
      </c>
      <c r="E619" s="34" t="s">
        <v>559</v>
      </c>
      <c r="F619" s="53">
        <v>0</v>
      </c>
      <c r="G619" s="53"/>
      <c r="H619" s="53"/>
      <c r="I61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RHM7.5MKCT-ND</v>
      </c>
      <c r="J61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1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19" s="34" t="s">
        <v>2660</v>
      </c>
      <c r="M619" s="42">
        <v>0.1</v>
      </c>
      <c r="N619" s="34"/>
      <c r="O619" s="42"/>
      <c r="P619" s="34"/>
      <c r="Q619" s="42"/>
      <c r="R619" s="34"/>
      <c r="S619" s="42"/>
      <c r="T619" s="34"/>
      <c r="U619" s="42"/>
      <c r="V619" s="34"/>
      <c r="W619" s="42"/>
      <c r="X619" s="34"/>
      <c r="Y619" s="42"/>
      <c r="Z619" s="42"/>
      <c r="AA619" s="36"/>
      <c r="AB619" s="50"/>
      <c r="AC619" s="56" t="str">
        <f>IF(Table1[[#This Row],[Auto Order]]=1,IF(Table1[[#This Row],[In stock]]&lt;Table1[[#This Row],[Min in stock]],1,""),"")</f>
        <v/>
      </c>
    </row>
    <row r="620" spans="1:29" x14ac:dyDescent="0.25">
      <c r="A620" s="60" t="s">
        <v>2787</v>
      </c>
      <c r="B620" s="34" t="s">
        <v>713</v>
      </c>
      <c r="C620" s="34" t="s">
        <v>352</v>
      </c>
      <c r="D620" s="34" t="s">
        <v>2788</v>
      </c>
      <c r="E620" s="34" t="s">
        <v>559</v>
      </c>
      <c r="F620" s="53">
        <v>0</v>
      </c>
      <c r="G620" s="53"/>
      <c r="H620" s="53"/>
      <c r="I62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RHM7.5KCT-ND</v>
      </c>
      <c r="J62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2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20" s="34" t="s">
        <v>2786</v>
      </c>
      <c r="M620" s="42">
        <v>0.1</v>
      </c>
      <c r="N620" s="34"/>
      <c r="O620" s="42"/>
      <c r="P620" s="34"/>
      <c r="Q620" s="42"/>
      <c r="R620" s="34"/>
      <c r="S620" s="42"/>
      <c r="T620" s="34"/>
      <c r="U620" s="42"/>
      <c r="V620" s="34"/>
      <c r="W620" s="42"/>
      <c r="X620" s="34"/>
      <c r="Y620" s="42"/>
      <c r="Z620" s="42"/>
      <c r="AA620" s="36"/>
      <c r="AB620" s="50"/>
      <c r="AC620" s="56" t="str">
        <f>IF(Table1[[#This Row],[Auto Order]]=1,IF(Table1[[#This Row],[In stock]]&lt;Table1[[#This Row],[Min in stock]],1,""),"")</f>
        <v/>
      </c>
    </row>
    <row r="621" spans="1:29" x14ac:dyDescent="0.25">
      <c r="A621" s="60" t="s">
        <v>1830</v>
      </c>
      <c r="B621" s="34" t="s">
        <v>713</v>
      </c>
      <c r="C621" s="34" t="s">
        <v>352</v>
      </c>
      <c r="D621" s="34" t="s">
        <v>1831</v>
      </c>
      <c r="E621" s="34" t="s">
        <v>559</v>
      </c>
      <c r="F621" s="53">
        <v>0</v>
      </c>
      <c r="G621" s="53"/>
      <c r="H621" s="53"/>
      <c r="I62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RHM82KCT-ND</v>
      </c>
      <c r="J62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2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21" s="34" t="s">
        <v>1829</v>
      </c>
      <c r="M621" s="42">
        <v>0.1</v>
      </c>
      <c r="N621" s="34"/>
      <c r="O621" s="42"/>
      <c r="P621" s="34"/>
      <c r="Q621" s="42"/>
      <c r="R621" s="34"/>
      <c r="S621" s="42"/>
      <c r="T621" s="34"/>
      <c r="U621" s="42"/>
      <c r="V621" s="34"/>
      <c r="W621" s="42"/>
      <c r="X621" s="34"/>
      <c r="Y621" s="42"/>
      <c r="Z621" s="42"/>
      <c r="AA621" s="36"/>
      <c r="AB621" s="50"/>
      <c r="AC621" s="56" t="str">
        <f>IF(Table1[[#This Row],[Auto Order]]=1,IF(Table1[[#This Row],[In stock]]&lt;Table1[[#This Row],[Min in stock]],1,""),"")</f>
        <v/>
      </c>
    </row>
    <row r="622" spans="1:29" x14ac:dyDescent="0.25">
      <c r="A622" s="60" t="s">
        <v>2484</v>
      </c>
      <c r="B622" s="34" t="s">
        <v>713</v>
      </c>
      <c r="C622" s="34" t="s">
        <v>352</v>
      </c>
      <c r="D622" s="34" t="s">
        <v>2485</v>
      </c>
      <c r="E622" s="34" t="s">
        <v>559</v>
      </c>
      <c r="F622" s="53">
        <v>0</v>
      </c>
      <c r="G622" s="53"/>
      <c r="H622" s="53"/>
      <c r="I62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RHM820KCT-ND</v>
      </c>
      <c r="J62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2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22" s="34" t="s">
        <v>2483</v>
      </c>
      <c r="M622" s="42">
        <v>0.1</v>
      </c>
      <c r="N622" s="34"/>
      <c r="O622" s="42"/>
      <c r="P622" s="34"/>
      <c r="Q622" s="42"/>
      <c r="R622" s="34"/>
      <c r="S622" s="42"/>
      <c r="T622" s="34"/>
      <c r="U622" s="42"/>
      <c r="V622" s="34"/>
      <c r="W622" s="42"/>
      <c r="X622" s="34"/>
      <c r="Y622" s="42"/>
      <c r="Z622" s="42"/>
      <c r="AA622" s="36"/>
      <c r="AB622" s="50"/>
      <c r="AC622" s="56" t="str">
        <f>IF(Table1[[#This Row],[Auto Order]]=1,IF(Table1[[#This Row],[In stock]]&lt;Table1[[#This Row],[Min in stock]],1,""),"")</f>
        <v/>
      </c>
    </row>
    <row r="623" spans="1:29" x14ac:dyDescent="0.25">
      <c r="A623" s="60" t="s">
        <v>2694</v>
      </c>
      <c r="B623" s="34" t="s">
        <v>713</v>
      </c>
      <c r="C623" s="34" t="s">
        <v>352</v>
      </c>
      <c r="D623" s="34" t="s">
        <v>2695</v>
      </c>
      <c r="E623" s="34" t="s">
        <v>559</v>
      </c>
      <c r="F623" s="53">
        <v>0</v>
      </c>
      <c r="G623" s="53"/>
      <c r="H623" s="53"/>
      <c r="I62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RHM82KKCT-ND</v>
      </c>
      <c r="J62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2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23" s="34" t="s">
        <v>2693</v>
      </c>
      <c r="M623" s="42">
        <v>0.1</v>
      </c>
      <c r="N623" s="34"/>
      <c r="O623" s="42"/>
      <c r="P623" s="34"/>
      <c r="Q623" s="42"/>
      <c r="R623" s="34"/>
      <c r="S623" s="42"/>
      <c r="T623" s="34"/>
      <c r="U623" s="42"/>
      <c r="V623" s="34"/>
      <c r="W623" s="42"/>
      <c r="X623" s="34"/>
      <c r="Y623" s="42"/>
      <c r="Z623" s="42"/>
      <c r="AA623" s="36"/>
      <c r="AB623" s="50"/>
      <c r="AC623" s="56" t="str">
        <f>IF(Table1[[#This Row],[Auto Order]]=1,IF(Table1[[#This Row],[In stock]]&lt;Table1[[#This Row],[Min in stock]],1,""),"")</f>
        <v/>
      </c>
    </row>
    <row r="624" spans="1:29" x14ac:dyDescent="0.25">
      <c r="A624" s="60" t="s">
        <v>2664</v>
      </c>
      <c r="B624" s="34" t="s">
        <v>713</v>
      </c>
      <c r="C624" s="34" t="s">
        <v>352</v>
      </c>
      <c r="D624" s="34" t="s">
        <v>2665</v>
      </c>
      <c r="E624" s="34" t="s">
        <v>559</v>
      </c>
      <c r="F624" s="53">
        <v>0</v>
      </c>
      <c r="G624" s="53"/>
      <c r="H624" s="53"/>
      <c r="I62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RHM8.2MKCT-ND</v>
      </c>
      <c r="J62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2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24" s="34" t="s">
        <v>2663</v>
      </c>
      <c r="M624" s="42">
        <v>0.1</v>
      </c>
      <c r="N624" s="34"/>
      <c r="O624" s="42"/>
      <c r="P624" s="34"/>
      <c r="Q624" s="42"/>
      <c r="R624" s="34"/>
      <c r="S624" s="42"/>
      <c r="T624" s="34"/>
      <c r="U624" s="42"/>
      <c r="V624" s="34"/>
      <c r="W624" s="42"/>
      <c r="X624" s="34"/>
      <c r="Y624" s="42"/>
      <c r="Z624" s="42"/>
      <c r="AA624" s="36"/>
      <c r="AB624" s="50"/>
      <c r="AC624" s="56" t="str">
        <f>IF(Table1[[#This Row],[Auto Order]]=1,IF(Table1[[#This Row],[In stock]]&lt;Table1[[#This Row],[Min in stock]],1,""),"")</f>
        <v/>
      </c>
    </row>
    <row r="625" spans="1:29" x14ac:dyDescent="0.25">
      <c r="A625" s="60" t="s">
        <v>2487</v>
      </c>
      <c r="B625" s="34" t="s">
        <v>713</v>
      </c>
      <c r="C625" s="34" t="s">
        <v>352</v>
      </c>
      <c r="D625" s="34" t="s">
        <v>2488</v>
      </c>
      <c r="E625" s="34" t="s">
        <v>559</v>
      </c>
      <c r="F625" s="53">
        <v>0</v>
      </c>
      <c r="G625" s="53"/>
      <c r="H625" s="53"/>
      <c r="I62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RHM8.2KCT-ND</v>
      </c>
      <c r="J62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2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25" s="34" t="s">
        <v>2486</v>
      </c>
      <c r="M625" s="42">
        <v>0.1</v>
      </c>
      <c r="N625" s="34"/>
      <c r="O625" s="42"/>
      <c r="P625" s="34"/>
      <c r="Q625" s="42"/>
      <c r="R625" s="34"/>
      <c r="S625" s="42"/>
      <c r="T625" s="34"/>
      <c r="U625" s="42"/>
      <c r="V625" s="34"/>
      <c r="W625" s="42"/>
      <c r="X625" s="34"/>
      <c r="Y625" s="42"/>
      <c r="Z625" s="42"/>
      <c r="AA625" s="36"/>
      <c r="AB625" s="50"/>
      <c r="AC625" s="56" t="str">
        <f>IF(Table1[[#This Row],[Auto Order]]=1,IF(Table1[[#This Row],[In stock]]&lt;Table1[[#This Row],[Min in stock]],1,""),"")</f>
        <v/>
      </c>
    </row>
    <row r="626" spans="1:29" x14ac:dyDescent="0.25">
      <c r="A626" s="60" t="s">
        <v>2490</v>
      </c>
      <c r="B626" s="34" t="s">
        <v>713</v>
      </c>
      <c r="C626" s="34" t="s">
        <v>352</v>
      </c>
      <c r="D626" s="34" t="s">
        <v>2491</v>
      </c>
      <c r="E626" s="34" t="s">
        <v>559</v>
      </c>
      <c r="F626" s="53">
        <v>0</v>
      </c>
      <c r="G626" s="53"/>
      <c r="H626" s="53"/>
      <c r="I62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RHM91KCT-ND</v>
      </c>
      <c r="J62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2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26" s="34" t="s">
        <v>2489</v>
      </c>
      <c r="M626" s="42">
        <v>0.1</v>
      </c>
      <c r="N626" s="34"/>
      <c r="O626" s="42"/>
      <c r="P626" s="34"/>
      <c r="Q626" s="42"/>
      <c r="R626" s="34"/>
      <c r="S626" s="42"/>
      <c r="T626" s="34"/>
      <c r="U626" s="42"/>
      <c r="V626" s="34"/>
      <c r="W626" s="42"/>
      <c r="X626" s="34"/>
      <c r="Y626" s="42"/>
      <c r="Z626" s="42"/>
      <c r="AA626" s="36"/>
      <c r="AB626" s="50"/>
      <c r="AC626" s="56" t="str">
        <f>IF(Table1[[#This Row],[Auto Order]]=1,IF(Table1[[#This Row],[In stock]]&lt;Table1[[#This Row],[Min in stock]],1,""),"")</f>
        <v/>
      </c>
    </row>
    <row r="627" spans="1:29" x14ac:dyDescent="0.25">
      <c r="A627" s="60" t="s">
        <v>2814</v>
      </c>
      <c r="B627" s="34" t="s">
        <v>713</v>
      </c>
      <c r="C627" s="34" t="s">
        <v>352</v>
      </c>
      <c r="D627" s="34" t="s">
        <v>2815</v>
      </c>
      <c r="E627" s="34" t="s">
        <v>559</v>
      </c>
      <c r="F627" s="53">
        <v>0</v>
      </c>
      <c r="G627" s="53"/>
      <c r="H627" s="53"/>
      <c r="I62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RHM910KCT-ND</v>
      </c>
      <c r="J62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2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27" s="34" t="s">
        <v>2813</v>
      </c>
      <c r="M627" s="42">
        <v>0.1</v>
      </c>
      <c r="N627" s="34"/>
      <c r="O627" s="42"/>
      <c r="P627" s="34"/>
      <c r="Q627" s="42"/>
      <c r="R627" s="34"/>
      <c r="S627" s="42"/>
      <c r="T627" s="34"/>
      <c r="U627" s="42"/>
      <c r="V627" s="34"/>
      <c r="W627" s="42"/>
      <c r="X627" s="34"/>
      <c r="Y627" s="42"/>
      <c r="Z627" s="42"/>
      <c r="AA627" s="36"/>
      <c r="AB627" s="50"/>
      <c r="AC627" s="56" t="str">
        <f>IF(Table1[[#This Row],[Auto Order]]=1,IF(Table1[[#This Row],[In stock]]&lt;Table1[[#This Row],[Min in stock]],1,""),"")</f>
        <v/>
      </c>
    </row>
    <row r="628" spans="1:29" x14ac:dyDescent="0.25">
      <c r="A628" s="60" t="s">
        <v>2493</v>
      </c>
      <c r="B628" s="34" t="s">
        <v>713</v>
      </c>
      <c r="C628" s="34" t="s">
        <v>352</v>
      </c>
      <c r="D628" s="34" t="s">
        <v>2494</v>
      </c>
      <c r="E628" s="34" t="s">
        <v>559</v>
      </c>
      <c r="F628" s="53">
        <v>0</v>
      </c>
      <c r="G628" s="53"/>
      <c r="H628" s="53"/>
      <c r="I62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RHM9.1KKCT-ND</v>
      </c>
      <c r="J62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2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28" s="34" t="s">
        <v>2492</v>
      </c>
      <c r="M628" s="42">
        <v>0.1</v>
      </c>
      <c r="N628" s="34"/>
      <c r="O628" s="42"/>
      <c r="P628" s="34"/>
      <c r="Q628" s="42"/>
      <c r="R628" s="34"/>
      <c r="S628" s="42"/>
      <c r="T628" s="34"/>
      <c r="U628" s="42"/>
      <c r="V628" s="34"/>
      <c r="W628" s="42"/>
      <c r="X628" s="34"/>
      <c r="Y628" s="42"/>
      <c r="Z628" s="42"/>
      <c r="AA628" s="36"/>
      <c r="AB628" s="50"/>
      <c r="AC628" s="56" t="str">
        <f>IF(Table1[[#This Row],[Auto Order]]=1,IF(Table1[[#This Row],[In stock]]&lt;Table1[[#This Row],[Min in stock]],1,""),"")</f>
        <v/>
      </c>
    </row>
    <row r="629" spans="1:29" x14ac:dyDescent="0.25">
      <c r="A629" s="60" t="s">
        <v>2496</v>
      </c>
      <c r="B629" s="34" t="s">
        <v>713</v>
      </c>
      <c r="C629" s="34" t="s">
        <v>352</v>
      </c>
      <c r="D629" s="34" t="s">
        <v>2497</v>
      </c>
      <c r="E629" s="34" t="s">
        <v>559</v>
      </c>
      <c r="F629" s="53">
        <v>0</v>
      </c>
      <c r="G629" s="53"/>
      <c r="H629" s="53"/>
      <c r="I62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RHM91KKCT-ND</v>
      </c>
      <c r="J62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2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29" s="34" t="s">
        <v>2495</v>
      </c>
      <c r="M629" s="42">
        <v>0.1</v>
      </c>
      <c r="N629" s="34"/>
      <c r="O629" s="42"/>
      <c r="P629" s="34"/>
      <c r="Q629" s="42"/>
      <c r="R629" s="34"/>
      <c r="S629" s="42"/>
      <c r="T629" s="34"/>
      <c r="U629" s="42"/>
      <c r="V629" s="34"/>
      <c r="W629" s="42"/>
      <c r="X629" s="34"/>
      <c r="Y629" s="42"/>
      <c r="Z629" s="42"/>
      <c r="AA629" s="36"/>
      <c r="AB629" s="50"/>
      <c r="AC629" s="56" t="str">
        <f>IF(Table1[[#This Row],[Auto Order]]=1,IF(Table1[[#This Row],[In stock]]&lt;Table1[[#This Row],[Min in stock]],1,""),"")</f>
        <v/>
      </c>
    </row>
    <row r="630" spans="1:29" x14ac:dyDescent="0.25">
      <c r="A630" s="60" t="s">
        <v>2763</v>
      </c>
      <c r="B630" s="34" t="s">
        <v>713</v>
      </c>
      <c r="C630" s="34" t="s">
        <v>352</v>
      </c>
      <c r="D630" s="34" t="s">
        <v>2764</v>
      </c>
      <c r="E630" s="34" t="s">
        <v>559</v>
      </c>
      <c r="F630" s="53">
        <v>0</v>
      </c>
      <c r="G630" s="53"/>
      <c r="H630" s="53"/>
      <c r="I63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RHM9.1KCT-ND</v>
      </c>
      <c r="J63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3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30" s="34" t="s">
        <v>2762</v>
      </c>
      <c r="M630" s="42">
        <v>0.1</v>
      </c>
      <c r="N630" s="34"/>
      <c r="O630" s="42"/>
      <c r="P630" s="34"/>
      <c r="Q630" s="42"/>
      <c r="R630" s="34"/>
      <c r="S630" s="42"/>
      <c r="T630" s="34"/>
      <c r="U630" s="42"/>
      <c r="V630" s="34"/>
      <c r="W630" s="42"/>
      <c r="X630" s="34"/>
      <c r="Y630" s="42"/>
      <c r="Z630" s="42"/>
      <c r="AA630" s="36"/>
      <c r="AB630" s="50"/>
      <c r="AC630" s="56" t="str">
        <f>IF(Table1[[#This Row],[Auto Order]]=1,IF(Table1[[#This Row],[In stock]]&lt;Table1[[#This Row],[Min in stock]],1,""),"")</f>
        <v/>
      </c>
    </row>
    <row r="631" spans="1:29" x14ac:dyDescent="0.25">
      <c r="A631" s="60" t="s">
        <v>1487</v>
      </c>
      <c r="B631" s="34" t="s">
        <v>713</v>
      </c>
      <c r="C631" s="34" t="s">
        <v>352</v>
      </c>
      <c r="D631" s="34" t="s">
        <v>252</v>
      </c>
      <c r="E631" s="34" t="s">
        <v>559</v>
      </c>
      <c r="F631" s="53">
        <v>0</v>
      </c>
      <c r="G631" s="53"/>
      <c r="H631" s="53"/>
      <c r="I63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RHM100AHCT-ND</v>
      </c>
      <c r="J63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3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31" s="34" t="s">
        <v>1486</v>
      </c>
      <c r="M631" s="42">
        <v>0.18</v>
      </c>
      <c r="N631" s="34"/>
      <c r="O631" s="42"/>
      <c r="P631" s="34"/>
      <c r="Q631" s="42"/>
      <c r="R631" s="34"/>
      <c r="S631" s="42"/>
      <c r="T631" s="34"/>
      <c r="U631" s="42"/>
      <c r="V631" s="34"/>
      <c r="W631" s="42"/>
      <c r="X631" s="34"/>
      <c r="Y631" s="42"/>
      <c r="Z631" s="42"/>
      <c r="AA631" s="36"/>
      <c r="AB631" s="50"/>
      <c r="AC631" s="56" t="str">
        <f>IF(Table1[[#This Row],[Auto Order]]=1,IF(Table1[[#This Row],[In stock]]&lt;Table1[[#This Row],[Min in stock]],1,""),"")</f>
        <v/>
      </c>
    </row>
    <row r="632" spans="1:29" x14ac:dyDescent="0.25">
      <c r="A632" s="60" t="s">
        <v>1282</v>
      </c>
      <c r="B632" s="34" t="s">
        <v>713</v>
      </c>
      <c r="C632" s="34" t="s">
        <v>352</v>
      </c>
      <c r="D632" s="34" t="s">
        <v>648</v>
      </c>
      <c r="E632" s="34" t="s">
        <v>559</v>
      </c>
      <c r="F632" s="53">
        <v>0</v>
      </c>
      <c r="G632" s="53"/>
      <c r="H632" s="53"/>
      <c r="I63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RHM1.00KAHCT-ND</v>
      </c>
      <c r="J63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3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32" s="34" t="s">
        <v>1281</v>
      </c>
      <c r="M632" s="42">
        <v>0.18</v>
      </c>
      <c r="N632" s="34"/>
      <c r="O632" s="42"/>
      <c r="P632" s="34"/>
      <c r="Q632" s="42"/>
      <c r="R632" s="34"/>
      <c r="S632" s="42"/>
      <c r="T632" s="34"/>
      <c r="U632" s="42"/>
      <c r="V632" s="34"/>
      <c r="W632" s="42"/>
      <c r="X632" s="34"/>
      <c r="Y632" s="42"/>
      <c r="Z632" s="42"/>
      <c r="AA632" s="36"/>
      <c r="AB632" s="50"/>
      <c r="AC632" s="56" t="str">
        <f>IF(Table1[[#This Row],[Auto Order]]=1,IF(Table1[[#This Row],[In stock]]&lt;Table1[[#This Row],[Min in stock]],1,""),"")</f>
        <v/>
      </c>
    </row>
    <row r="633" spans="1:29" x14ac:dyDescent="0.25">
      <c r="A633" s="60" t="s">
        <v>718</v>
      </c>
      <c r="B633" s="34" t="s">
        <v>713</v>
      </c>
      <c r="C633" s="34" t="s">
        <v>352</v>
      </c>
      <c r="D633" s="34" t="s">
        <v>597</v>
      </c>
      <c r="E633" s="34" t="s">
        <v>559</v>
      </c>
      <c r="F633" s="53">
        <v>0</v>
      </c>
      <c r="G633" s="53"/>
      <c r="H633" s="53"/>
      <c r="I63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RHM10.0KAHCT-ND</v>
      </c>
      <c r="J63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3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33" s="34" t="s">
        <v>717</v>
      </c>
      <c r="M633" s="42">
        <v>0.18</v>
      </c>
      <c r="N633" s="34"/>
      <c r="O633" s="42"/>
      <c r="P633" s="34"/>
      <c r="Q633" s="42"/>
      <c r="R633" s="34"/>
      <c r="S633" s="42"/>
      <c r="T633" s="34"/>
      <c r="U633" s="42"/>
      <c r="V633" s="34"/>
      <c r="W633" s="42"/>
      <c r="X633" s="34"/>
      <c r="Y633" s="42"/>
      <c r="Z633" s="42"/>
      <c r="AA633" s="36"/>
      <c r="AB633" s="50"/>
      <c r="AC633" s="56" t="str">
        <f>IF(Table1[[#This Row],[Auto Order]]=1,IF(Table1[[#This Row],[In stock]]&lt;Table1[[#This Row],[Min in stock]],1,""),"")</f>
        <v/>
      </c>
    </row>
    <row r="634" spans="1:29" x14ac:dyDescent="0.25">
      <c r="A634" s="60" t="s">
        <v>722</v>
      </c>
      <c r="B634" s="34" t="s">
        <v>713</v>
      </c>
      <c r="C634" s="34" t="s">
        <v>352</v>
      </c>
      <c r="D634" s="34" t="s">
        <v>690</v>
      </c>
      <c r="E634" s="34" t="s">
        <v>559</v>
      </c>
      <c r="F634" s="53">
        <v>0</v>
      </c>
      <c r="G634" s="53"/>
      <c r="H634" s="53"/>
      <c r="I63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RHM100KAHCT-ND</v>
      </c>
      <c r="J63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3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34" s="34" t="s">
        <v>721</v>
      </c>
      <c r="M634" s="42">
        <v>0.18</v>
      </c>
      <c r="N634" s="34"/>
      <c r="O634" s="42"/>
      <c r="P634" s="34"/>
      <c r="Q634" s="42"/>
      <c r="R634" s="34"/>
      <c r="S634" s="42"/>
      <c r="T634" s="34"/>
      <c r="U634" s="42"/>
      <c r="V634" s="34"/>
      <c r="W634" s="42"/>
      <c r="X634" s="34"/>
      <c r="Y634" s="42"/>
      <c r="Z634" s="42"/>
      <c r="AA634" s="36"/>
      <c r="AB634" s="50"/>
      <c r="AC634" s="56" t="str">
        <f>IF(Table1[[#This Row],[Auto Order]]=1,IF(Table1[[#This Row],[In stock]]&lt;Table1[[#This Row],[Min in stock]],1,""),"")</f>
        <v/>
      </c>
    </row>
    <row r="635" spans="1:29" x14ac:dyDescent="0.25">
      <c r="A635" s="60" t="s">
        <v>727</v>
      </c>
      <c r="B635" s="34" t="s">
        <v>713</v>
      </c>
      <c r="C635" s="34" t="s">
        <v>352</v>
      </c>
      <c r="D635" s="34" t="s">
        <v>699</v>
      </c>
      <c r="E635" s="34" t="s">
        <v>559</v>
      </c>
      <c r="F635" s="53">
        <v>0</v>
      </c>
      <c r="G635" s="53"/>
      <c r="H635" s="53"/>
      <c r="I63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RHM1.00MAHCT-ND</v>
      </c>
      <c r="J63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3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35" s="34" t="s">
        <v>726</v>
      </c>
      <c r="M635" s="42">
        <v>0.18</v>
      </c>
      <c r="N635" s="34"/>
      <c r="O635" s="42"/>
      <c r="P635" s="34"/>
      <c r="Q635" s="42"/>
      <c r="R635" s="34"/>
      <c r="S635" s="42"/>
      <c r="T635" s="34"/>
      <c r="U635" s="42"/>
      <c r="V635" s="34"/>
      <c r="W635" s="42"/>
      <c r="X635" s="34"/>
      <c r="Y635" s="42"/>
      <c r="Z635" s="42"/>
      <c r="AA635" s="36"/>
      <c r="AB635" s="50"/>
      <c r="AC635" s="56" t="str">
        <f>IF(Table1[[#This Row],[Auto Order]]=1,IF(Table1[[#This Row],[In stock]]&lt;Table1[[#This Row],[Min in stock]],1,""),"")</f>
        <v/>
      </c>
    </row>
    <row r="636" spans="1:29" x14ac:dyDescent="0.25">
      <c r="A636" s="60" t="s">
        <v>1769</v>
      </c>
      <c r="B636" s="34" t="s">
        <v>713</v>
      </c>
      <c r="C636" s="34" t="s">
        <v>352</v>
      </c>
      <c r="D636" s="34" t="s">
        <v>1770</v>
      </c>
      <c r="E636" s="34" t="s">
        <v>559</v>
      </c>
      <c r="F636" s="53">
        <v>0</v>
      </c>
      <c r="G636" s="53"/>
      <c r="H636" s="53"/>
      <c r="I63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RHM10.0MAHCT-ND</v>
      </c>
      <c r="J63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3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36" s="34" t="s">
        <v>1768</v>
      </c>
      <c r="M636" s="42">
        <v>0.18</v>
      </c>
      <c r="N636" s="34"/>
      <c r="O636" s="42"/>
      <c r="P636" s="34"/>
      <c r="Q636" s="42"/>
      <c r="R636" s="34"/>
      <c r="S636" s="42"/>
      <c r="T636" s="34"/>
      <c r="U636" s="42"/>
      <c r="V636" s="34"/>
      <c r="W636" s="42"/>
      <c r="X636" s="34"/>
      <c r="Y636" s="42"/>
      <c r="Z636" s="42"/>
      <c r="AA636" s="36"/>
      <c r="AB636" s="50"/>
      <c r="AC636" s="56" t="str">
        <f>IF(Table1[[#This Row],[Auto Order]]=1,IF(Table1[[#This Row],[In stock]]&lt;Table1[[#This Row],[Min in stock]],1,""),"")</f>
        <v/>
      </c>
    </row>
    <row r="637" spans="1:29" x14ac:dyDescent="0.25">
      <c r="A637" s="60" t="s">
        <v>1287</v>
      </c>
      <c r="B637" s="34" t="s">
        <v>713</v>
      </c>
      <c r="C637" s="34" t="s">
        <v>352</v>
      </c>
      <c r="D637" s="34" t="s">
        <v>1288</v>
      </c>
      <c r="E637" s="34" t="s">
        <v>559</v>
      </c>
      <c r="F637" s="53">
        <v>0</v>
      </c>
      <c r="G637" s="53"/>
      <c r="H637" s="53"/>
      <c r="I63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RHM10.2KAHCT-ND</v>
      </c>
      <c r="J63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3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37" s="34" t="s">
        <v>1286</v>
      </c>
      <c r="M637" s="42">
        <v>0.18</v>
      </c>
      <c r="N637" s="34"/>
      <c r="O637" s="42"/>
      <c r="P637" s="34"/>
      <c r="Q637" s="42"/>
      <c r="R637" s="34"/>
      <c r="S637" s="42"/>
      <c r="T637" s="34"/>
      <c r="U637" s="42"/>
      <c r="V637" s="34"/>
      <c r="W637" s="42"/>
      <c r="X637" s="34"/>
      <c r="Y637" s="42"/>
      <c r="Z637" s="42"/>
      <c r="AA637" s="36"/>
      <c r="AB637" s="50"/>
      <c r="AC637" s="56" t="str">
        <f>IF(Table1[[#This Row],[Auto Order]]=1,IF(Table1[[#This Row],[In stock]]&lt;Table1[[#This Row],[Min in stock]],1,""),"")</f>
        <v/>
      </c>
    </row>
    <row r="638" spans="1:29" x14ac:dyDescent="0.25">
      <c r="A638" s="60" t="s">
        <v>1550</v>
      </c>
      <c r="B638" s="34" t="s">
        <v>713</v>
      </c>
      <c r="C638" s="34" t="s">
        <v>352</v>
      </c>
      <c r="D638" s="34" t="s">
        <v>1551</v>
      </c>
      <c r="E638" s="34" t="s">
        <v>559</v>
      </c>
      <c r="F638" s="53">
        <v>0</v>
      </c>
      <c r="G638" s="53"/>
      <c r="H638" s="53"/>
      <c r="I63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RHM102KAHCT-ND</v>
      </c>
      <c r="J63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3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38" s="34" t="s">
        <v>1549</v>
      </c>
      <c r="M638" s="42">
        <v>0.18</v>
      </c>
      <c r="N638" s="34"/>
      <c r="O638" s="42"/>
      <c r="P638" s="34"/>
      <c r="Q638" s="42"/>
      <c r="R638" s="34"/>
      <c r="S638" s="42"/>
      <c r="T638" s="34"/>
      <c r="U638" s="42"/>
      <c r="V638" s="34"/>
      <c r="W638" s="42"/>
      <c r="X638" s="34"/>
      <c r="Y638" s="42"/>
      <c r="Z638" s="42"/>
      <c r="AA638" s="36"/>
      <c r="AB638" s="50"/>
      <c r="AC638" s="56" t="str">
        <f>IF(Table1[[#This Row],[Auto Order]]=1,IF(Table1[[#This Row],[In stock]]&lt;Table1[[#This Row],[Min in stock]],1,""),"")</f>
        <v/>
      </c>
    </row>
    <row r="639" spans="1:29" x14ac:dyDescent="0.25">
      <c r="A639" s="60" t="s">
        <v>1199</v>
      </c>
      <c r="B639" s="34" t="s">
        <v>713</v>
      </c>
      <c r="C639" s="34" t="s">
        <v>352</v>
      </c>
      <c r="D639" s="34" t="s">
        <v>1200</v>
      </c>
      <c r="E639" s="34" t="s">
        <v>559</v>
      </c>
      <c r="F639" s="53">
        <v>0</v>
      </c>
      <c r="G639" s="53"/>
      <c r="H639" s="53"/>
      <c r="I63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RHM1.07KAHCT-ND</v>
      </c>
      <c r="J63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3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39" s="34" t="s">
        <v>1198</v>
      </c>
      <c r="M639" s="42">
        <v>0.18</v>
      </c>
      <c r="N639" s="34"/>
      <c r="O639" s="42"/>
      <c r="P639" s="34"/>
      <c r="Q639" s="42"/>
      <c r="R639" s="34"/>
      <c r="S639" s="42"/>
      <c r="T639" s="34"/>
      <c r="U639" s="42"/>
      <c r="V639" s="34"/>
      <c r="W639" s="42"/>
      <c r="X639" s="34"/>
      <c r="Y639" s="42"/>
      <c r="Z639" s="42"/>
      <c r="AA639" s="36"/>
      <c r="AB639" s="50"/>
      <c r="AC639" s="56" t="str">
        <f>IF(Table1[[#This Row],[Auto Order]]=1,IF(Table1[[#This Row],[In stock]]&lt;Table1[[#This Row],[Min in stock]],1,""),"")</f>
        <v/>
      </c>
    </row>
    <row r="640" spans="1:29" x14ac:dyDescent="0.25">
      <c r="A640" s="60" t="s">
        <v>934</v>
      </c>
      <c r="B640" s="34" t="s">
        <v>713</v>
      </c>
      <c r="C640" s="34" t="s">
        <v>352</v>
      </c>
      <c r="D640" s="34" t="s">
        <v>935</v>
      </c>
      <c r="E640" s="34" t="s">
        <v>559</v>
      </c>
      <c r="F640" s="53">
        <v>0</v>
      </c>
      <c r="G640" s="53"/>
      <c r="H640" s="53"/>
      <c r="I64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RHM10.7KAHCT-ND</v>
      </c>
      <c r="J64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4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40" s="34" t="s">
        <v>933</v>
      </c>
      <c r="M640" s="42">
        <v>0.18</v>
      </c>
      <c r="N640" s="34"/>
      <c r="O640" s="42"/>
      <c r="P640" s="34"/>
      <c r="Q640" s="42"/>
      <c r="R640" s="34"/>
      <c r="S640" s="42"/>
      <c r="T640" s="34"/>
      <c r="U640" s="42"/>
      <c r="V640" s="34"/>
      <c r="W640" s="42"/>
      <c r="X640" s="34"/>
      <c r="Y640" s="42"/>
      <c r="Z640" s="42"/>
      <c r="AA640" s="36"/>
      <c r="AB640" s="50"/>
      <c r="AC640" s="56" t="str">
        <f>IF(Table1[[#This Row],[Auto Order]]=1,IF(Table1[[#This Row],[In stock]]&lt;Table1[[#This Row],[Min in stock]],1,""),"")</f>
        <v/>
      </c>
    </row>
    <row r="641" spans="1:29" x14ac:dyDescent="0.25">
      <c r="A641" s="60" t="s">
        <v>758</v>
      </c>
      <c r="B641" s="34" t="s">
        <v>713</v>
      </c>
      <c r="C641" s="34" t="s">
        <v>352</v>
      </c>
      <c r="D641" s="34" t="s">
        <v>615</v>
      </c>
      <c r="E641" s="34" t="s">
        <v>559</v>
      </c>
      <c r="F641" s="53">
        <v>0</v>
      </c>
      <c r="G641" s="53"/>
      <c r="H641" s="53"/>
      <c r="I64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RHM10AHCT-ND</v>
      </c>
      <c r="J64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4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41" s="34" t="s">
        <v>757</v>
      </c>
      <c r="M641" s="42">
        <v>0.18</v>
      </c>
      <c r="N641" s="34"/>
      <c r="O641" s="42"/>
      <c r="P641" s="34"/>
      <c r="Q641" s="42"/>
      <c r="R641" s="34"/>
      <c r="S641" s="42"/>
      <c r="T641" s="34"/>
      <c r="U641" s="42"/>
      <c r="V641" s="34"/>
      <c r="W641" s="42"/>
      <c r="X641" s="34"/>
      <c r="Y641" s="42"/>
      <c r="Z641" s="42"/>
      <c r="AA641" s="36"/>
      <c r="AB641" s="50"/>
      <c r="AC641" s="56" t="str">
        <f>IF(Table1[[#This Row],[Auto Order]]=1,IF(Table1[[#This Row],[In stock]]&lt;Table1[[#This Row],[Min in stock]],1,""),"")</f>
        <v/>
      </c>
    </row>
    <row r="642" spans="1:29" x14ac:dyDescent="0.25">
      <c r="A642" s="60" t="s">
        <v>1691</v>
      </c>
      <c r="B642" s="34" t="s">
        <v>713</v>
      </c>
      <c r="C642" s="34" t="s">
        <v>352</v>
      </c>
      <c r="D642" s="34" t="s">
        <v>1692</v>
      </c>
      <c r="E642" s="34" t="s">
        <v>559</v>
      </c>
      <c r="F642" s="53">
        <v>0</v>
      </c>
      <c r="G642" s="53"/>
      <c r="H642" s="53"/>
      <c r="I64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RHM110AHCT-ND</v>
      </c>
      <c r="J64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4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42" s="34" t="s">
        <v>1690</v>
      </c>
      <c r="M642" s="42">
        <v>0.18</v>
      </c>
      <c r="N642" s="34"/>
      <c r="O642" s="42"/>
      <c r="P642" s="34"/>
      <c r="Q642" s="42"/>
      <c r="R642" s="34"/>
      <c r="S642" s="42"/>
      <c r="T642" s="34"/>
      <c r="U642" s="42"/>
      <c r="V642" s="34"/>
      <c r="W642" s="42"/>
      <c r="X642" s="34"/>
      <c r="Y642" s="42"/>
      <c r="Z642" s="42"/>
      <c r="AA642" s="36"/>
      <c r="AB642" s="50"/>
      <c r="AC642" s="56" t="str">
        <f>IF(Table1[[#This Row],[Auto Order]]=1,IF(Table1[[#This Row],[In stock]]&lt;Table1[[#This Row],[Min in stock]],1,""),"")</f>
        <v/>
      </c>
    </row>
    <row r="643" spans="1:29" x14ac:dyDescent="0.25">
      <c r="A643" s="60" t="s">
        <v>1311</v>
      </c>
      <c r="B643" s="34" t="s">
        <v>713</v>
      </c>
      <c r="C643" s="34" t="s">
        <v>352</v>
      </c>
      <c r="D643" s="34" t="s">
        <v>1312</v>
      </c>
      <c r="E643" s="34" t="s">
        <v>559</v>
      </c>
      <c r="F643" s="53">
        <v>0</v>
      </c>
      <c r="G643" s="53"/>
      <c r="H643" s="53"/>
      <c r="I64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RHM1.1KAHCT-ND</v>
      </c>
      <c r="J64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4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43" s="34" t="s">
        <v>1310</v>
      </c>
      <c r="M643" s="42">
        <v>0.18</v>
      </c>
      <c r="N643" s="34"/>
      <c r="O643" s="42"/>
      <c r="P643" s="34"/>
      <c r="Q643" s="42"/>
      <c r="R643" s="34"/>
      <c r="S643" s="42"/>
      <c r="T643" s="34"/>
      <c r="U643" s="42"/>
      <c r="V643" s="34"/>
      <c r="W643" s="42"/>
      <c r="X643" s="34"/>
      <c r="Y643" s="42"/>
      <c r="Z643" s="42"/>
      <c r="AA643" s="36"/>
      <c r="AB643" s="50"/>
      <c r="AC643" s="56" t="str">
        <f>IF(Table1[[#This Row],[Auto Order]]=1,IF(Table1[[#This Row],[In stock]]&lt;Table1[[#This Row],[Min in stock]],1,""),"")</f>
        <v/>
      </c>
    </row>
    <row r="644" spans="1:29" x14ac:dyDescent="0.25">
      <c r="A644" s="60" t="s">
        <v>841</v>
      </c>
      <c r="B644" s="34" t="s">
        <v>713</v>
      </c>
      <c r="C644" s="34" t="s">
        <v>352</v>
      </c>
      <c r="D644" s="34" t="s">
        <v>842</v>
      </c>
      <c r="E644" s="34" t="s">
        <v>559</v>
      </c>
      <c r="F644" s="53">
        <v>0</v>
      </c>
      <c r="G644" s="53"/>
      <c r="H644" s="53"/>
      <c r="I64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RHM11KAHCT-ND</v>
      </c>
      <c r="J64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4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44" s="34" t="s">
        <v>840</v>
      </c>
      <c r="M644" s="42">
        <v>0.18</v>
      </c>
      <c r="N644" s="34"/>
      <c r="O644" s="42"/>
      <c r="P644" s="34"/>
      <c r="Q644" s="42"/>
      <c r="R644" s="34"/>
      <c r="S644" s="42"/>
      <c r="T644" s="34"/>
      <c r="U644" s="42"/>
      <c r="V644" s="34"/>
      <c r="W644" s="42"/>
      <c r="X644" s="34"/>
      <c r="Y644" s="42"/>
      <c r="Z644" s="42"/>
      <c r="AA644" s="36"/>
      <c r="AB644" s="50"/>
      <c r="AC644" s="56" t="str">
        <f>IF(Table1[[#This Row],[Auto Order]]=1,IF(Table1[[#This Row],[In stock]]&lt;Table1[[#This Row],[Min in stock]],1,""),"")</f>
        <v/>
      </c>
    </row>
    <row r="645" spans="1:29" x14ac:dyDescent="0.25">
      <c r="A645" s="60" t="s">
        <v>1365</v>
      </c>
      <c r="B645" s="34" t="s">
        <v>713</v>
      </c>
      <c r="C645" s="34" t="s">
        <v>352</v>
      </c>
      <c r="D645" s="34" t="s">
        <v>1366</v>
      </c>
      <c r="E645" s="34" t="s">
        <v>559</v>
      </c>
      <c r="F645" s="53">
        <v>0</v>
      </c>
      <c r="G645" s="53"/>
      <c r="H645" s="53"/>
      <c r="I64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RHM110KAHCT-ND</v>
      </c>
      <c r="J64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4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45" s="34" t="s">
        <v>1364</v>
      </c>
      <c r="M645" s="42">
        <v>0.18</v>
      </c>
      <c r="N645" s="34"/>
      <c r="O645" s="42"/>
      <c r="P645" s="34"/>
      <c r="Q645" s="42"/>
      <c r="R645" s="34"/>
      <c r="S645" s="42"/>
      <c r="T645" s="34"/>
      <c r="U645" s="42"/>
      <c r="V645" s="34"/>
      <c r="W645" s="42"/>
      <c r="X645" s="34"/>
      <c r="Y645" s="42"/>
      <c r="Z645" s="42"/>
      <c r="AA645" s="36"/>
      <c r="AB645" s="50"/>
      <c r="AC645" s="56" t="str">
        <f>IF(Table1[[#This Row],[Auto Order]]=1,IF(Table1[[#This Row],[In stock]]&lt;Table1[[#This Row],[Min in stock]],1,""),"")</f>
        <v/>
      </c>
    </row>
    <row r="646" spans="1:29" x14ac:dyDescent="0.25">
      <c r="A646" s="60" t="s">
        <v>1308</v>
      </c>
      <c r="B646" s="34" t="s">
        <v>713</v>
      </c>
      <c r="C646" s="34" t="s">
        <v>352</v>
      </c>
      <c r="D646" s="34" t="s">
        <v>1309</v>
      </c>
      <c r="E646" s="34" t="s">
        <v>559</v>
      </c>
      <c r="F646" s="53">
        <v>0</v>
      </c>
      <c r="G646" s="53"/>
      <c r="H646" s="53"/>
      <c r="I64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RHM1.10MAHCT-ND</v>
      </c>
      <c r="J64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4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46" s="34" t="s">
        <v>1307</v>
      </c>
      <c r="M646" s="42">
        <v>0.18</v>
      </c>
      <c r="N646" s="34"/>
      <c r="O646" s="42"/>
      <c r="P646" s="34"/>
      <c r="Q646" s="42"/>
      <c r="R646" s="34"/>
      <c r="S646" s="42"/>
      <c r="T646" s="34"/>
      <c r="U646" s="42"/>
      <c r="V646" s="34"/>
      <c r="W646" s="42"/>
      <c r="X646" s="34"/>
      <c r="Y646" s="42"/>
      <c r="Z646" s="42"/>
      <c r="AA646" s="36"/>
      <c r="AB646" s="50"/>
      <c r="AC646" s="56" t="str">
        <f>IF(Table1[[#This Row],[Auto Order]]=1,IF(Table1[[#This Row],[In stock]]&lt;Table1[[#This Row],[Min in stock]],1,""),"")</f>
        <v/>
      </c>
    </row>
    <row r="647" spans="1:29" x14ac:dyDescent="0.25">
      <c r="A647" s="60" t="s">
        <v>1178</v>
      </c>
      <c r="B647" s="34" t="s">
        <v>713</v>
      </c>
      <c r="C647" s="34" t="s">
        <v>352</v>
      </c>
      <c r="D647" s="34" t="s">
        <v>1179</v>
      </c>
      <c r="E647" s="34" t="s">
        <v>559</v>
      </c>
      <c r="F647" s="53">
        <v>0</v>
      </c>
      <c r="G647" s="53"/>
      <c r="H647" s="53"/>
      <c r="I64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RHM11.5KAHCT-ND</v>
      </c>
      <c r="J64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4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47" s="34" t="s">
        <v>1177</v>
      </c>
      <c r="M647" s="42">
        <v>0.18</v>
      </c>
      <c r="N647" s="34"/>
      <c r="O647" s="42"/>
      <c r="P647" s="34"/>
      <c r="Q647" s="42"/>
      <c r="R647" s="34"/>
      <c r="S647" s="42"/>
      <c r="T647" s="34"/>
      <c r="U647" s="42"/>
      <c r="V647" s="34"/>
      <c r="W647" s="42"/>
      <c r="X647" s="34"/>
      <c r="Y647" s="42"/>
      <c r="Z647" s="42"/>
      <c r="AA647" s="36"/>
      <c r="AB647" s="50"/>
      <c r="AC647" s="56" t="str">
        <f>IF(Table1[[#This Row],[Auto Order]]=1,IF(Table1[[#This Row],[In stock]]&lt;Table1[[#This Row],[Min in stock]],1,""),"")</f>
        <v/>
      </c>
    </row>
    <row r="648" spans="1:29" x14ac:dyDescent="0.25">
      <c r="A648" s="60" t="s">
        <v>1157</v>
      </c>
      <c r="B648" s="34" t="s">
        <v>713</v>
      </c>
      <c r="C648" s="34" t="s">
        <v>352</v>
      </c>
      <c r="D648" s="34" t="s">
        <v>1158</v>
      </c>
      <c r="E648" s="34" t="s">
        <v>559</v>
      </c>
      <c r="F648" s="53">
        <v>0</v>
      </c>
      <c r="G648" s="53"/>
      <c r="H648" s="53"/>
      <c r="I64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RHM115KAHCT-ND</v>
      </c>
      <c r="J64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4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48" s="34" t="s">
        <v>1156</v>
      </c>
      <c r="M648" s="42">
        <v>0.18</v>
      </c>
      <c r="N648" s="34"/>
      <c r="O648" s="42"/>
      <c r="P648" s="34"/>
      <c r="Q648" s="42"/>
      <c r="R648" s="34"/>
      <c r="S648" s="42"/>
      <c r="T648" s="34"/>
      <c r="U648" s="42"/>
      <c r="V648" s="34"/>
      <c r="W648" s="42"/>
      <c r="X648" s="34"/>
      <c r="Y648" s="42"/>
      <c r="Z648" s="42"/>
      <c r="AA648" s="36"/>
      <c r="AB648" s="50"/>
      <c r="AC648" s="56" t="str">
        <f>IF(Table1[[#This Row],[Auto Order]]=1,IF(Table1[[#This Row],[In stock]]&lt;Table1[[#This Row],[Min in stock]],1,""),"")</f>
        <v/>
      </c>
    </row>
    <row r="649" spans="1:29" x14ac:dyDescent="0.25">
      <c r="A649" s="60" t="s">
        <v>1553</v>
      </c>
      <c r="B649" s="34" t="s">
        <v>713</v>
      </c>
      <c r="C649" s="34" t="s">
        <v>352</v>
      </c>
      <c r="D649" s="34" t="s">
        <v>1554</v>
      </c>
      <c r="E649" s="34" t="s">
        <v>559</v>
      </c>
      <c r="F649" s="53">
        <v>0</v>
      </c>
      <c r="G649" s="53"/>
      <c r="H649" s="53"/>
      <c r="I64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RHM118KAHCT-ND</v>
      </c>
      <c r="J64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4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49" s="34" t="s">
        <v>1552</v>
      </c>
      <c r="M649" s="42">
        <v>0.18</v>
      </c>
      <c r="N649" s="34"/>
      <c r="O649" s="42"/>
      <c r="P649" s="34"/>
      <c r="Q649" s="42"/>
      <c r="R649" s="34"/>
      <c r="S649" s="42"/>
      <c r="T649" s="34"/>
      <c r="U649" s="42"/>
      <c r="V649" s="34"/>
      <c r="W649" s="42"/>
      <c r="X649" s="34"/>
      <c r="Y649" s="42"/>
      <c r="Z649" s="42"/>
      <c r="AA649" s="36"/>
      <c r="AB649" s="50"/>
      <c r="AC649" s="56" t="str">
        <f>IF(Table1[[#This Row],[Auto Order]]=1,IF(Table1[[#This Row],[In stock]]&lt;Table1[[#This Row],[Min in stock]],1,""),"")</f>
        <v/>
      </c>
    </row>
    <row r="650" spans="1:29" x14ac:dyDescent="0.25">
      <c r="A650" s="60" t="s">
        <v>1556</v>
      </c>
      <c r="B650" s="34" t="s">
        <v>713</v>
      </c>
      <c r="C650" s="34" t="s">
        <v>352</v>
      </c>
      <c r="D650" s="34" t="s">
        <v>1557</v>
      </c>
      <c r="E650" s="34" t="s">
        <v>559</v>
      </c>
      <c r="F650" s="53">
        <v>0</v>
      </c>
      <c r="G650" s="53"/>
      <c r="H650" s="53"/>
      <c r="I65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RHM11AHCT-ND</v>
      </c>
      <c r="J65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5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50" s="34" t="s">
        <v>1555</v>
      </c>
      <c r="M650" s="42">
        <v>0.18</v>
      </c>
      <c r="N650" s="34"/>
      <c r="O650" s="42"/>
      <c r="P650" s="34"/>
      <c r="Q650" s="42"/>
      <c r="R650" s="34"/>
      <c r="S650" s="42"/>
      <c r="T650" s="34"/>
      <c r="U650" s="42"/>
      <c r="V650" s="34"/>
      <c r="W650" s="42"/>
      <c r="X650" s="34"/>
      <c r="Y650" s="42"/>
      <c r="Z650" s="42"/>
      <c r="AA650" s="36"/>
      <c r="AB650" s="50"/>
      <c r="AC650" s="56" t="str">
        <f>IF(Table1[[#This Row],[Auto Order]]=1,IF(Table1[[#This Row],[In stock]]&lt;Table1[[#This Row],[Min in stock]],1,""),"")</f>
        <v/>
      </c>
    </row>
    <row r="651" spans="1:29" x14ac:dyDescent="0.25">
      <c r="A651" s="60" t="s">
        <v>1442</v>
      </c>
      <c r="B651" s="34" t="s">
        <v>713</v>
      </c>
      <c r="C651" s="34" t="s">
        <v>352</v>
      </c>
      <c r="D651" s="34" t="s">
        <v>1443</v>
      </c>
      <c r="E651" s="34" t="s">
        <v>559</v>
      </c>
      <c r="F651" s="53">
        <v>0</v>
      </c>
      <c r="G651" s="53"/>
      <c r="H651" s="53"/>
      <c r="I65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RHM120AHCT-ND</v>
      </c>
      <c r="J65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5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51" s="34" t="s">
        <v>1441</v>
      </c>
      <c r="M651" s="42">
        <v>0.18</v>
      </c>
      <c r="N651" s="34"/>
      <c r="O651" s="42"/>
      <c r="P651" s="34"/>
      <c r="Q651" s="42"/>
      <c r="R651" s="34"/>
      <c r="S651" s="42"/>
      <c r="T651" s="34"/>
      <c r="U651" s="42"/>
      <c r="V651" s="34"/>
      <c r="W651" s="42"/>
      <c r="X651" s="34"/>
      <c r="Y651" s="42"/>
      <c r="Z651" s="42"/>
      <c r="AA651" s="36"/>
      <c r="AB651" s="50"/>
      <c r="AC651" s="56" t="str">
        <f>IF(Table1[[#This Row],[Auto Order]]=1,IF(Table1[[#This Row],[In stock]]&lt;Table1[[#This Row],[Min in stock]],1,""),"")</f>
        <v/>
      </c>
    </row>
    <row r="652" spans="1:29" x14ac:dyDescent="0.25">
      <c r="A652" s="60" t="s">
        <v>793</v>
      </c>
      <c r="B652" s="34" t="s">
        <v>713</v>
      </c>
      <c r="C652" s="34" t="s">
        <v>352</v>
      </c>
      <c r="D652" s="34" t="s">
        <v>794</v>
      </c>
      <c r="E652" s="34" t="s">
        <v>559</v>
      </c>
      <c r="F652" s="53">
        <v>0</v>
      </c>
      <c r="G652" s="53"/>
      <c r="H652" s="53"/>
      <c r="I65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RHM1.2KAHCT-ND</v>
      </c>
      <c r="J65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5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52" s="34" t="s">
        <v>792</v>
      </c>
      <c r="M652" s="42">
        <v>0.18</v>
      </c>
      <c r="N652" s="34"/>
      <c r="O652" s="42"/>
      <c r="P652" s="34"/>
      <c r="Q652" s="42"/>
      <c r="R652" s="34"/>
      <c r="S652" s="42"/>
      <c r="T652" s="34"/>
      <c r="U652" s="42"/>
      <c r="V652" s="34"/>
      <c r="W652" s="42"/>
      <c r="X652" s="34"/>
      <c r="Y652" s="42"/>
      <c r="Z652" s="42"/>
      <c r="AA652" s="36"/>
      <c r="AB652" s="50"/>
      <c r="AC652" s="56" t="str">
        <f>IF(Table1[[#This Row],[Auto Order]]=1,IF(Table1[[#This Row],[In stock]]&lt;Table1[[#This Row],[Min in stock]],1,""),"")</f>
        <v/>
      </c>
    </row>
    <row r="653" spans="1:29" x14ac:dyDescent="0.25">
      <c r="A653" s="60" t="s">
        <v>1745</v>
      </c>
      <c r="B653" s="34" t="s">
        <v>713</v>
      </c>
      <c r="C653" s="34" t="s">
        <v>352</v>
      </c>
      <c r="D653" s="34" t="s">
        <v>1746</v>
      </c>
      <c r="E653" s="34" t="s">
        <v>559</v>
      </c>
      <c r="F653" s="53">
        <v>0</v>
      </c>
      <c r="G653" s="53"/>
      <c r="H653" s="53"/>
      <c r="I65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RHM12KAHCT-ND</v>
      </c>
      <c r="J65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5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53" s="34" t="s">
        <v>1744</v>
      </c>
      <c r="M653" s="42">
        <v>0.18</v>
      </c>
      <c r="N653" s="34"/>
      <c r="O653" s="42"/>
      <c r="P653" s="34"/>
      <c r="Q653" s="42"/>
      <c r="R653" s="34"/>
      <c r="S653" s="42"/>
      <c r="T653" s="34"/>
      <c r="U653" s="42"/>
      <c r="V653" s="34"/>
      <c r="W653" s="42"/>
      <c r="X653" s="34"/>
      <c r="Y653" s="42"/>
      <c r="Z653" s="42"/>
      <c r="AA653" s="36"/>
      <c r="AB653" s="50"/>
      <c r="AC653" s="56" t="str">
        <f>IF(Table1[[#This Row],[Auto Order]]=1,IF(Table1[[#This Row],[In stock]]&lt;Table1[[#This Row],[Min in stock]],1,""),"")</f>
        <v/>
      </c>
    </row>
    <row r="654" spans="1:29" x14ac:dyDescent="0.25">
      <c r="A654" s="60" t="s">
        <v>778</v>
      </c>
      <c r="B654" s="34" t="s">
        <v>713</v>
      </c>
      <c r="C654" s="34" t="s">
        <v>352</v>
      </c>
      <c r="D654" s="34" t="s">
        <v>779</v>
      </c>
      <c r="E654" s="34" t="s">
        <v>559</v>
      </c>
      <c r="F654" s="53">
        <v>0</v>
      </c>
      <c r="G654" s="53"/>
      <c r="H654" s="53"/>
      <c r="I65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RHM120KAHCT-ND</v>
      </c>
      <c r="J65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5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54" s="34" t="s">
        <v>777</v>
      </c>
      <c r="M654" s="42">
        <v>0.18</v>
      </c>
      <c r="N654" s="34"/>
      <c r="O654" s="42"/>
      <c r="P654" s="34"/>
      <c r="Q654" s="42"/>
      <c r="R654" s="34"/>
      <c r="S654" s="42"/>
      <c r="T654" s="34"/>
      <c r="U654" s="42"/>
      <c r="V654" s="34"/>
      <c r="W654" s="42"/>
      <c r="X654" s="34"/>
      <c r="Y654" s="42"/>
      <c r="Z654" s="42"/>
      <c r="AA654" s="36"/>
      <c r="AB654" s="50"/>
      <c r="AC654" s="56" t="str">
        <f>IF(Table1[[#This Row],[Auto Order]]=1,IF(Table1[[#This Row],[In stock]]&lt;Table1[[#This Row],[Min in stock]],1,""),"")</f>
        <v/>
      </c>
    </row>
    <row r="655" spans="1:29" x14ac:dyDescent="0.25">
      <c r="A655" s="60" t="s">
        <v>1394</v>
      </c>
      <c r="B655" s="34" t="s">
        <v>713</v>
      </c>
      <c r="C655" s="34" t="s">
        <v>352</v>
      </c>
      <c r="D655" s="34" t="s">
        <v>1395</v>
      </c>
      <c r="E655" s="34" t="s">
        <v>559</v>
      </c>
      <c r="F655" s="53">
        <v>0</v>
      </c>
      <c r="G655" s="53"/>
      <c r="H655" s="53"/>
      <c r="I65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RHM1.20MAHCT-ND</v>
      </c>
      <c r="J65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5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55" s="34" t="s">
        <v>1393</v>
      </c>
      <c r="M655" s="42">
        <v>0.18</v>
      </c>
      <c r="N655" s="34"/>
      <c r="O655" s="42"/>
      <c r="P655" s="34"/>
      <c r="Q655" s="42"/>
      <c r="R655" s="34"/>
      <c r="S655" s="42"/>
      <c r="T655" s="34"/>
      <c r="U655" s="42"/>
      <c r="V655" s="34"/>
      <c r="W655" s="42"/>
      <c r="X655" s="34"/>
      <c r="Y655" s="42"/>
      <c r="Z655" s="42"/>
      <c r="AA655" s="36"/>
      <c r="AB655" s="50"/>
      <c r="AC655" s="56" t="str">
        <f>IF(Table1[[#This Row],[Auto Order]]=1,IF(Table1[[#This Row],[In stock]]&lt;Table1[[#This Row],[Min in stock]],1,""),"")</f>
        <v/>
      </c>
    </row>
    <row r="656" spans="1:29" x14ac:dyDescent="0.25">
      <c r="A656" s="60" t="s">
        <v>1127</v>
      </c>
      <c r="B656" s="34" t="s">
        <v>713</v>
      </c>
      <c r="C656" s="34" t="s">
        <v>352</v>
      </c>
      <c r="D656" s="34" t="s">
        <v>1128</v>
      </c>
      <c r="E656" s="34" t="s">
        <v>559</v>
      </c>
      <c r="F656" s="53">
        <v>0</v>
      </c>
      <c r="G656" s="53"/>
      <c r="H656" s="53"/>
      <c r="I65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RHM121AHCT-ND</v>
      </c>
      <c r="J65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5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56" s="34" t="s">
        <v>1126</v>
      </c>
      <c r="M656" s="42">
        <v>0.18</v>
      </c>
      <c r="N656" s="34"/>
      <c r="O656" s="42"/>
      <c r="P656" s="34"/>
      <c r="Q656" s="42"/>
      <c r="R656" s="34"/>
      <c r="S656" s="42"/>
      <c r="T656" s="34"/>
      <c r="U656" s="42"/>
      <c r="V656" s="34"/>
      <c r="W656" s="42"/>
      <c r="X656" s="34"/>
      <c r="Y656" s="42"/>
      <c r="Z656" s="42"/>
      <c r="AA656" s="36"/>
      <c r="AB656" s="50"/>
      <c r="AC656" s="56" t="str">
        <f>IF(Table1[[#This Row],[Auto Order]]=1,IF(Table1[[#This Row],[In stock]]&lt;Table1[[#This Row],[Min in stock]],1,""),"")</f>
        <v/>
      </c>
    </row>
    <row r="657" spans="1:29" x14ac:dyDescent="0.25">
      <c r="A657" s="60" t="s">
        <v>937</v>
      </c>
      <c r="B657" s="34" t="s">
        <v>713</v>
      </c>
      <c r="C657" s="34" t="s">
        <v>352</v>
      </c>
      <c r="D657" s="34" t="s">
        <v>938</v>
      </c>
      <c r="E657" s="34" t="s">
        <v>559</v>
      </c>
      <c r="F657" s="53">
        <v>0</v>
      </c>
      <c r="G657" s="53"/>
      <c r="H657" s="53"/>
      <c r="I65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RHM121KAHCT-ND</v>
      </c>
      <c r="J65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5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57" s="34" t="s">
        <v>936</v>
      </c>
      <c r="M657" s="42">
        <v>0.18</v>
      </c>
      <c r="N657" s="34"/>
      <c r="O657" s="42"/>
      <c r="P657" s="34"/>
      <c r="Q657" s="42"/>
      <c r="R657" s="34"/>
      <c r="S657" s="42"/>
      <c r="T657" s="34"/>
      <c r="U657" s="42"/>
      <c r="V657" s="34"/>
      <c r="W657" s="42"/>
      <c r="X657" s="34"/>
      <c r="Y657" s="42"/>
      <c r="Z657" s="42"/>
      <c r="AA657" s="36"/>
      <c r="AB657" s="50"/>
      <c r="AC657" s="56" t="str">
        <f>IF(Table1[[#This Row],[Auto Order]]=1,IF(Table1[[#This Row],[In stock]]&lt;Table1[[#This Row],[Min in stock]],1,""),"")</f>
        <v/>
      </c>
    </row>
    <row r="658" spans="1:29" x14ac:dyDescent="0.25">
      <c r="A658" s="60" t="s">
        <v>1512</v>
      </c>
      <c r="B658" s="34" t="s">
        <v>713</v>
      </c>
      <c r="C658" s="34" t="s">
        <v>352</v>
      </c>
      <c r="D658" s="34" t="s">
        <v>1513</v>
      </c>
      <c r="E658" s="34" t="s">
        <v>559</v>
      </c>
      <c r="F658" s="53">
        <v>0</v>
      </c>
      <c r="G658" s="53"/>
      <c r="H658" s="53"/>
      <c r="I65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RHM12.4KAHCT-ND</v>
      </c>
      <c r="J65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5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58" s="34" t="s">
        <v>1511</v>
      </c>
      <c r="M658" s="42">
        <v>0.18</v>
      </c>
      <c r="N658" s="34"/>
      <c r="O658" s="42"/>
      <c r="P658" s="34"/>
      <c r="Q658" s="42"/>
      <c r="R658" s="34"/>
      <c r="S658" s="42"/>
      <c r="T658" s="34"/>
      <c r="U658" s="42"/>
      <c r="V658" s="34"/>
      <c r="W658" s="42"/>
      <c r="X658" s="34"/>
      <c r="Y658" s="42"/>
      <c r="Z658" s="42"/>
      <c r="AA658" s="36"/>
      <c r="AB658" s="50"/>
      <c r="AC658" s="56" t="str">
        <f>IF(Table1[[#This Row],[Auto Order]]=1,IF(Table1[[#This Row],[In stock]]&lt;Table1[[#This Row],[Min in stock]],1,""),"")</f>
        <v/>
      </c>
    </row>
    <row r="659" spans="1:29" x14ac:dyDescent="0.25">
      <c r="A659" s="60" t="s">
        <v>844</v>
      </c>
      <c r="B659" s="34" t="s">
        <v>713</v>
      </c>
      <c r="C659" s="34" t="s">
        <v>352</v>
      </c>
      <c r="D659" s="34" t="s">
        <v>845</v>
      </c>
      <c r="E659" s="34" t="s">
        <v>559</v>
      </c>
      <c r="F659" s="53">
        <v>0</v>
      </c>
      <c r="G659" s="53"/>
      <c r="H659" s="53"/>
      <c r="I65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RHM124KAHCT-ND</v>
      </c>
      <c r="J65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5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59" s="34" t="s">
        <v>843</v>
      </c>
      <c r="M659" s="42">
        <v>0.18</v>
      </c>
      <c r="N659" s="34"/>
      <c r="O659" s="42"/>
      <c r="P659" s="34"/>
      <c r="Q659" s="42"/>
      <c r="R659" s="34"/>
      <c r="S659" s="42"/>
      <c r="T659" s="34"/>
      <c r="U659" s="42"/>
      <c r="V659" s="34"/>
      <c r="W659" s="42"/>
      <c r="X659" s="34"/>
      <c r="Y659" s="42"/>
      <c r="Z659" s="42"/>
      <c r="AA659" s="36"/>
      <c r="AB659" s="50"/>
      <c r="AC659" s="56" t="str">
        <f>IF(Table1[[#This Row],[Auto Order]]=1,IF(Table1[[#This Row],[In stock]]&lt;Table1[[#This Row],[Min in stock]],1,""),"")</f>
        <v/>
      </c>
    </row>
    <row r="660" spans="1:29" x14ac:dyDescent="0.25">
      <c r="A660" s="60" t="s">
        <v>1088</v>
      </c>
      <c r="B660" s="34" t="s">
        <v>713</v>
      </c>
      <c r="C660" s="34" t="s">
        <v>352</v>
      </c>
      <c r="D660" s="34" t="s">
        <v>1089</v>
      </c>
      <c r="E660" s="34" t="s">
        <v>559</v>
      </c>
      <c r="F660" s="53">
        <v>0</v>
      </c>
      <c r="G660" s="53"/>
      <c r="H660" s="53"/>
      <c r="I66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RHM1.27KAHCT-ND</v>
      </c>
      <c r="J66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6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60" s="34" t="s">
        <v>1087</v>
      </c>
      <c r="M660" s="42">
        <v>0.18</v>
      </c>
      <c r="N660" s="34"/>
      <c r="O660" s="42"/>
      <c r="P660" s="34"/>
      <c r="Q660" s="42"/>
      <c r="R660" s="34"/>
      <c r="S660" s="42"/>
      <c r="T660" s="34"/>
      <c r="U660" s="42"/>
      <c r="V660" s="34"/>
      <c r="W660" s="42"/>
      <c r="X660" s="34"/>
      <c r="Y660" s="42"/>
      <c r="Z660" s="42"/>
      <c r="AA660" s="36"/>
      <c r="AB660" s="50"/>
      <c r="AC660" s="56" t="str">
        <f>IF(Table1[[#This Row],[Auto Order]]=1,IF(Table1[[#This Row],[In stock]]&lt;Table1[[#This Row],[Min in stock]],1,""),"")</f>
        <v/>
      </c>
    </row>
    <row r="661" spans="1:29" x14ac:dyDescent="0.25">
      <c r="A661" s="60" t="s">
        <v>847</v>
      </c>
      <c r="B661" s="34" t="s">
        <v>713</v>
      </c>
      <c r="C661" s="34" t="s">
        <v>352</v>
      </c>
      <c r="D661" s="34" t="s">
        <v>848</v>
      </c>
      <c r="E661" s="34" t="s">
        <v>559</v>
      </c>
      <c r="F661" s="53">
        <v>0</v>
      </c>
      <c r="G661" s="53"/>
      <c r="H661" s="53"/>
      <c r="I66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RHM12.7KAHCT-ND</v>
      </c>
      <c r="J66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6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61" s="34" t="s">
        <v>846</v>
      </c>
      <c r="M661" s="42">
        <v>0.18</v>
      </c>
      <c r="N661" s="34"/>
      <c r="O661" s="42"/>
      <c r="P661" s="34"/>
      <c r="Q661" s="42"/>
      <c r="R661" s="34"/>
      <c r="S661" s="42"/>
      <c r="T661" s="34"/>
      <c r="U661" s="42"/>
      <c r="V661" s="34"/>
      <c r="W661" s="42"/>
      <c r="X661" s="34"/>
      <c r="Y661" s="42"/>
      <c r="Z661" s="42"/>
      <c r="AA661" s="36"/>
      <c r="AB661" s="50"/>
      <c r="AC661" s="56" t="str">
        <f>IF(Table1[[#This Row],[Auto Order]]=1,IF(Table1[[#This Row],[In stock]]&lt;Table1[[#This Row],[Min in stock]],1,""),"")</f>
        <v/>
      </c>
    </row>
    <row r="662" spans="1:29" x14ac:dyDescent="0.25">
      <c r="A662" s="60" t="s">
        <v>1256</v>
      </c>
      <c r="B662" s="34" t="s">
        <v>713</v>
      </c>
      <c r="C662" s="34" t="s">
        <v>352</v>
      </c>
      <c r="D662" s="34" t="s">
        <v>1257</v>
      </c>
      <c r="E662" s="34" t="s">
        <v>559</v>
      </c>
      <c r="F662" s="53">
        <v>0</v>
      </c>
      <c r="G662" s="53"/>
      <c r="H662" s="53"/>
      <c r="I66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RHM127KAHCT-ND</v>
      </c>
      <c r="J66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6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62" s="34" t="s">
        <v>1255</v>
      </c>
      <c r="M662" s="42">
        <v>0.18</v>
      </c>
      <c r="N662" s="34"/>
      <c r="O662" s="42"/>
      <c r="P662" s="34"/>
      <c r="Q662" s="42"/>
      <c r="R662" s="34"/>
      <c r="S662" s="42"/>
      <c r="T662" s="34"/>
      <c r="U662" s="42"/>
      <c r="V662" s="34"/>
      <c r="W662" s="42"/>
      <c r="X662" s="34"/>
      <c r="Y662" s="42"/>
      <c r="Z662" s="42"/>
      <c r="AA662" s="36"/>
      <c r="AB662" s="50"/>
      <c r="AC662" s="56" t="str">
        <f>IF(Table1[[#This Row],[Auto Order]]=1,IF(Table1[[#This Row],[In stock]]&lt;Table1[[#This Row],[Min in stock]],1,""),"")</f>
        <v/>
      </c>
    </row>
    <row r="663" spans="1:29" x14ac:dyDescent="0.25">
      <c r="A663" s="60" t="s">
        <v>1217</v>
      </c>
      <c r="B663" s="34" t="s">
        <v>713</v>
      </c>
      <c r="C663" s="34" t="s">
        <v>352</v>
      </c>
      <c r="D663" s="34" t="s">
        <v>1218</v>
      </c>
      <c r="E663" s="34" t="s">
        <v>559</v>
      </c>
      <c r="F663" s="53">
        <v>0</v>
      </c>
      <c r="G663" s="53"/>
      <c r="H663" s="53"/>
      <c r="I66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RHM12AHCT-ND</v>
      </c>
      <c r="J66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6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63" s="34" t="s">
        <v>1216</v>
      </c>
      <c r="M663" s="42">
        <v>0.18</v>
      </c>
      <c r="N663" s="34"/>
      <c r="O663" s="42"/>
      <c r="P663" s="34"/>
      <c r="Q663" s="42"/>
      <c r="R663" s="34"/>
      <c r="S663" s="42"/>
      <c r="T663" s="34"/>
      <c r="U663" s="42"/>
      <c r="V663" s="34"/>
      <c r="W663" s="42"/>
      <c r="X663" s="34"/>
      <c r="Y663" s="42"/>
      <c r="Z663" s="42"/>
      <c r="AA663" s="36"/>
      <c r="AB663" s="50"/>
      <c r="AC663" s="56" t="str">
        <f>IF(Table1[[#This Row],[Auto Order]]=1,IF(Table1[[#This Row],[In stock]]&lt;Table1[[#This Row],[Min in stock]],1,""),"")</f>
        <v/>
      </c>
    </row>
    <row r="664" spans="1:29" x14ac:dyDescent="0.25">
      <c r="A664" s="60" t="s">
        <v>1724</v>
      </c>
      <c r="B664" s="34" t="s">
        <v>713</v>
      </c>
      <c r="C664" s="34" t="s">
        <v>352</v>
      </c>
      <c r="D664" s="34" t="s">
        <v>1725</v>
      </c>
      <c r="E664" s="34" t="s">
        <v>559</v>
      </c>
      <c r="F664" s="53">
        <v>0</v>
      </c>
      <c r="G664" s="53"/>
      <c r="H664" s="53"/>
      <c r="I66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RHM130AHCT-ND</v>
      </c>
      <c r="J66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6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64" s="34" t="s">
        <v>1723</v>
      </c>
      <c r="M664" s="42">
        <v>0.18</v>
      </c>
      <c r="N664" s="34"/>
      <c r="O664" s="42"/>
      <c r="P664" s="34"/>
      <c r="Q664" s="42"/>
      <c r="R664" s="34"/>
      <c r="S664" s="42"/>
      <c r="T664" s="34"/>
      <c r="U664" s="42"/>
      <c r="V664" s="34"/>
      <c r="W664" s="42"/>
      <c r="X664" s="34"/>
      <c r="Y664" s="42"/>
      <c r="Z664" s="42"/>
      <c r="AA664" s="36"/>
      <c r="AB664" s="50"/>
      <c r="AC664" s="56" t="str">
        <f>IF(Table1[[#This Row],[Auto Order]]=1,IF(Table1[[#This Row],[In stock]]&lt;Table1[[#This Row],[Min in stock]],1,""),"")</f>
        <v/>
      </c>
    </row>
    <row r="665" spans="1:29" x14ac:dyDescent="0.25">
      <c r="A665" s="60" t="s">
        <v>850</v>
      </c>
      <c r="B665" s="34" t="s">
        <v>713</v>
      </c>
      <c r="C665" s="34" t="s">
        <v>352</v>
      </c>
      <c r="D665" s="34" t="s">
        <v>851</v>
      </c>
      <c r="E665" s="34" t="s">
        <v>559</v>
      </c>
      <c r="F665" s="53">
        <v>0</v>
      </c>
      <c r="G665" s="53"/>
      <c r="H665" s="53"/>
      <c r="I66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RHM1.3KAHCT-ND</v>
      </c>
      <c r="J66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6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65" s="34" t="s">
        <v>849</v>
      </c>
      <c r="M665" s="42">
        <v>0.18</v>
      </c>
      <c r="N665" s="34"/>
      <c r="O665" s="42"/>
      <c r="P665" s="34"/>
      <c r="Q665" s="42"/>
      <c r="R665" s="34"/>
      <c r="S665" s="42"/>
      <c r="T665" s="34"/>
      <c r="U665" s="42"/>
      <c r="V665" s="34"/>
      <c r="W665" s="42"/>
      <c r="X665" s="34"/>
      <c r="Y665" s="42"/>
      <c r="Z665" s="42"/>
      <c r="AA665" s="36"/>
      <c r="AB665" s="50"/>
      <c r="AC665" s="56" t="str">
        <f>IF(Table1[[#This Row],[Auto Order]]=1,IF(Table1[[#This Row],[In stock]]&lt;Table1[[#This Row],[Min in stock]],1,""),"")</f>
        <v/>
      </c>
    </row>
    <row r="666" spans="1:29" x14ac:dyDescent="0.25">
      <c r="A666" s="60" t="s">
        <v>1470</v>
      </c>
      <c r="B666" s="34" t="s">
        <v>713</v>
      </c>
      <c r="C666" s="34" t="s">
        <v>352</v>
      </c>
      <c r="D666" s="34" t="s">
        <v>1471</v>
      </c>
      <c r="E666" s="34" t="s">
        <v>559</v>
      </c>
      <c r="F666" s="53">
        <v>0</v>
      </c>
      <c r="G666" s="53"/>
      <c r="H666" s="53"/>
      <c r="I66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RHM130KAHCT-ND</v>
      </c>
      <c r="J66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6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66" s="34" t="s">
        <v>1469</v>
      </c>
      <c r="M666" s="42">
        <v>0.18</v>
      </c>
      <c r="N666" s="34"/>
      <c r="O666" s="42"/>
      <c r="P666" s="34"/>
      <c r="Q666" s="42"/>
      <c r="R666" s="34"/>
      <c r="S666" s="42"/>
      <c r="T666" s="34"/>
      <c r="U666" s="42"/>
      <c r="V666" s="34"/>
      <c r="W666" s="42"/>
      <c r="X666" s="34"/>
      <c r="Y666" s="42"/>
      <c r="Z666" s="42"/>
      <c r="AA666" s="36"/>
      <c r="AB666" s="50"/>
      <c r="AC666" s="56" t="str">
        <f>IF(Table1[[#This Row],[Auto Order]]=1,IF(Table1[[#This Row],[In stock]]&lt;Table1[[#This Row],[Min in stock]],1,""),"")</f>
        <v/>
      </c>
    </row>
    <row r="667" spans="1:29" x14ac:dyDescent="0.25">
      <c r="A667" s="60" t="s">
        <v>796</v>
      </c>
      <c r="B667" s="34" t="s">
        <v>713</v>
      </c>
      <c r="C667" s="34" t="s">
        <v>352</v>
      </c>
      <c r="D667" s="34" t="s">
        <v>797</v>
      </c>
      <c r="E667" s="34" t="s">
        <v>559</v>
      </c>
      <c r="F667" s="53">
        <v>0</v>
      </c>
      <c r="G667" s="53"/>
      <c r="H667" s="53"/>
      <c r="I66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RHM1.3MAHCT-ND</v>
      </c>
      <c r="J66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6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67" s="34" t="s">
        <v>795</v>
      </c>
      <c r="M667" s="42">
        <v>0.18</v>
      </c>
      <c r="N667" s="34"/>
      <c r="O667" s="42"/>
      <c r="P667" s="34"/>
      <c r="Q667" s="42"/>
      <c r="R667" s="34"/>
      <c r="S667" s="42"/>
      <c r="T667" s="34"/>
      <c r="U667" s="42"/>
      <c r="V667" s="34"/>
      <c r="W667" s="42"/>
      <c r="X667" s="34"/>
      <c r="Y667" s="42"/>
      <c r="Z667" s="42"/>
      <c r="AA667" s="36"/>
      <c r="AB667" s="50"/>
      <c r="AC667" s="56" t="str">
        <f>IF(Table1[[#This Row],[Auto Order]]=1,IF(Table1[[#This Row],[In stock]]&lt;Table1[[#This Row],[Min in stock]],1,""),"")</f>
        <v/>
      </c>
    </row>
    <row r="668" spans="1:29" x14ac:dyDescent="0.25">
      <c r="A668" s="60" t="s">
        <v>1187</v>
      </c>
      <c r="B668" s="34" t="s">
        <v>713</v>
      </c>
      <c r="C668" s="34" t="s">
        <v>352</v>
      </c>
      <c r="D668" s="34" t="s">
        <v>1188</v>
      </c>
      <c r="E668" s="34" t="s">
        <v>559</v>
      </c>
      <c r="F668" s="53">
        <v>0</v>
      </c>
      <c r="G668" s="53"/>
      <c r="H668" s="53"/>
      <c r="I66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RHM1.33KAHCT-ND</v>
      </c>
      <c r="J66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6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68" s="34" t="s">
        <v>1186</v>
      </c>
      <c r="M668" s="42">
        <v>0.18</v>
      </c>
      <c r="N668" s="34"/>
      <c r="O668" s="42"/>
      <c r="P668" s="34"/>
      <c r="Q668" s="42"/>
      <c r="R668" s="34"/>
      <c r="S668" s="42"/>
      <c r="T668" s="34"/>
      <c r="U668" s="42"/>
      <c r="V668" s="34"/>
      <c r="W668" s="42"/>
      <c r="X668" s="34"/>
      <c r="Y668" s="42"/>
      <c r="Z668" s="42"/>
      <c r="AA668" s="36"/>
      <c r="AB668" s="50"/>
      <c r="AC668" s="56" t="str">
        <f>IF(Table1[[#This Row],[Auto Order]]=1,IF(Table1[[#This Row],[In stock]]&lt;Table1[[#This Row],[Min in stock]],1,""),"")</f>
        <v/>
      </c>
    </row>
    <row r="669" spans="1:29" x14ac:dyDescent="0.25">
      <c r="A669" s="60" t="s">
        <v>1559</v>
      </c>
      <c r="B669" s="34" t="s">
        <v>713</v>
      </c>
      <c r="C669" s="34" t="s">
        <v>352</v>
      </c>
      <c r="D669" s="34" t="s">
        <v>1560</v>
      </c>
      <c r="E669" s="34" t="s">
        <v>559</v>
      </c>
      <c r="F669" s="53">
        <v>0</v>
      </c>
      <c r="G669" s="53"/>
      <c r="H669" s="53"/>
      <c r="I66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RHM13.3KAHCT-ND</v>
      </c>
      <c r="J66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6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69" s="34" t="s">
        <v>1558</v>
      </c>
      <c r="M669" s="42">
        <v>0.18</v>
      </c>
      <c r="N669" s="34"/>
      <c r="O669" s="42"/>
      <c r="P669" s="34"/>
      <c r="Q669" s="42"/>
      <c r="R669" s="34"/>
      <c r="S669" s="42"/>
      <c r="T669" s="34"/>
      <c r="U669" s="42"/>
      <c r="V669" s="34"/>
      <c r="W669" s="42"/>
      <c r="X669" s="34"/>
      <c r="Y669" s="42"/>
      <c r="Z669" s="42"/>
      <c r="AA669" s="36"/>
      <c r="AB669" s="50"/>
      <c r="AC669" s="56" t="str">
        <f>IF(Table1[[#This Row],[Auto Order]]=1,IF(Table1[[#This Row],[In stock]]&lt;Table1[[#This Row],[Min in stock]],1,""),"")</f>
        <v/>
      </c>
    </row>
    <row r="670" spans="1:29" x14ac:dyDescent="0.25">
      <c r="A670" s="60" t="s">
        <v>1562</v>
      </c>
      <c r="B670" s="34" t="s">
        <v>713</v>
      </c>
      <c r="C670" s="34" t="s">
        <v>352</v>
      </c>
      <c r="D670" s="34" t="s">
        <v>1563</v>
      </c>
      <c r="E670" s="34" t="s">
        <v>559</v>
      </c>
      <c r="F670" s="53">
        <v>0</v>
      </c>
      <c r="G670" s="53"/>
      <c r="H670" s="53"/>
      <c r="I67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RHM133KAHCT-ND</v>
      </c>
      <c r="J67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7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70" s="34" t="s">
        <v>1561</v>
      </c>
      <c r="M670" s="42">
        <v>0.18</v>
      </c>
      <c r="N670" s="34"/>
      <c r="O670" s="42"/>
      <c r="P670" s="34"/>
      <c r="Q670" s="42"/>
      <c r="R670" s="34"/>
      <c r="S670" s="42"/>
      <c r="T670" s="34"/>
      <c r="U670" s="42"/>
      <c r="V670" s="34"/>
      <c r="W670" s="42"/>
      <c r="X670" s="34"/>
      <c r="Y670" s="42"/>
      <c r="Z670" s="42"/>
      <c r="AA670" s="36"/>
      <c r="AB670" s="50"/>
      <c r="AC670" s="56" t="str">
        <f>IF(Table1[[#This Row],[Auto Order]]=1,IF(Table1[[#This Row],[In stock]]&lt;Table1[[#This Row],[Min in stock]],1,""),"")</f>
        <v/>
      </c>
    </row>
    <row r="671" spans="1:29" x14ac:dyDescent="0.25">
      <c r="A671" s="60" t="s">
        <v>1091</v>
      </c>
      <c r="B671" s="34" t="s">
        <v>713</v>
      </c>
      <c r="C671" s="34" t="s">
        <v>352</v>
      </c>
      <c r="D671" s="34" t="s">
        <v>1092</v>
      </c>
      <c r="E671" s="34" t="s">
        <v>559</v>
      </c>
      <c r="F671" s="53">
        <v>0</v>
      </c>
      <c r="G671" s="53"/>
      <c r="H671" s="53"/>
      <c r="I67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RHM1.33MAHCT-ND</v>
      </c>
      <c r="J67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7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71" s="34" t="s">
        <v>1090</v>
      </c>
      <c r="M671" s="42">
        <v>0.18</v>
      </c>
      <c r="N671" s="34"/>
      <c r="O671" s="42"/>
      <c r="P671" s="34"/>
      <c r="Q671" s="42"/>
      <c r="R671" s="34"/>
      <c r="S671" s="42"/>
      <c r="T671" s="34"/>
      <c r="U671" s="42"/>
      <c r="V671" s="34"/>
      <c r="W671" s="42"/>
      <c r="X671" s="34"/>
      <c r="Y671" s="42"/>
      <c r="Z671" s="42"/>
      <c r="AA671" s="36"/>
      <c r="AB671" s="50"/>
      <c r="AC671" s="56" t="str">
        <f>IF(Table1[[#This Row],[Auto Order]]=1,IF(Table1[[#This Row],[In stock]]&lt;Table1[[#This Row],[Min in stock]],1,""),"")</f>
        <v/>
      </c>
    </row>
    <row r="672" spans="1:29" x14ac:dyDescent="0.25">
      <c r="A672" s="60" t="s">
        <v>940</v>
      </c>
      <c r="B672" s="34" t="s">
        <v>713</v>
      </c>
      <c r="C672" s="34" t="s">
        <v>352</v>
      </c>
      <c r="D672" s="34" t="s">
        <v>941</v>
      </c>
      <c r="E672" s="34" t="s">
        <v>559</v>
      </c>
      <c r="F672" s="53">
        <v>0</v>
      </c>
      <c r="G672" s="53"/>
      <c r="H672" s="53"/>
      <c r="I67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RHM1.37KAHCT-ND</v>
      </c>
      <c r="J67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7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72" s="34" t="s">
        <v>939</v>
      </c>
      <c r="M672" s="42">
        <v>0.18</v>
      </c>
      <c r="N672" s="34"/>
      <c r="O672" s="42"/>
      <c r="P672" s="34"/>
      <c r="Q672" s="42"/>
      <c r="R672" s="34"/>
      <c r="S672" s="42"/>
      <c r="T672" s="34"/>
      <c r="U672" s="42"/>
      <c r="V672" s="34"/>
      <c r="W672" s="42"/>
      <c r="X672" s="34"/>
      <c r="Y672" s="42"/>
      <c r="Z672" s="42"/>
      <c r="AA672" s="36"/>
      <c r="AB672" s="50"/>
      <c r="AC672" s="56" t="str">
        <f>IF(Table1[[#This Row],[Auto Order]]=1,IF(Table1[[#This Row],[In stock]]&lt;Table1[[#This Row],[Min in stock]],1,""),"")</f>
        <v/>
      </c>
    </row>
    <row r="673" spans="1:29" x14ac:dyDescent="0.25">
      <c r="A673" s="60" t="s">
        <v>1515</v>
      </c>
      <c r="B673" s="34" t="s">
        <v>713</v>
      </c>
      <c r="C673" s="34" t="s">
        <v>352</v>
      </c>
      <c r="D673" s="34" t="s">
        <v>1516</v>
      </c>
      <c r="E673" s="34" t="s">
        <v>559</v>
      </c>
      <c r="F673" s="53">
        <v>0</v>
      </c>
      <c r="G673" s="53"/>
      <c r="H673" s="53"/>
      <c r="I67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RHM13.7KAHCT-ND</v>
      </c>
      <c r="J67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7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73" s="34" t="s">
        <v>1514</v>
      </c>
      <c r="M673" s="42">
        <v>0.18</v>
      </c>
      <c r="N673" s="34"/>
      <c r="O673" s="42"/>
      <c r="P673" s="34"/>
      <c r="Q673" s="42"/>
      <c r="R673" s="34"/>
      <c r="S673" s="42"/>
      <c r="T673" s="34"/>
      <c r="U673" s="42"/>
      <c r="V673" s="34"/>
      <c r="W673" s="42"/>
      <c r="X673" s="34"/>
      <c r="Y673" s="42"/>
      <c r="Z673" s="42"/>
      <c r="AA673" s="36"/>
      <c r="AB673" s="50"/>
      <c r="AC673" s="56" t="str">
        <f>IF(Table1[[#This Row],[Auto Order]]=1,IF(Table1[[#This Row],[In stock]]&lt;Table1[[#This Row],[Min in stock]],1,""),"")</f>
        <v/>
      </c>
    </row>
    <row r="674" spans="1:29" x14ac:dyDescent="0.25">
      <c r="A674" s="60" t="s">
        <v>1565</v>
      </c>
      <c r="B674" s="34" t="s">
        <v>713</v>
      </c>
      <c r="C674" s="34" t="s">
        <v>352</v>
      </c>
      <c r="D674" s="34" t="s">
        <v>1566</v>
      </c>
      <c r="E674" s="34" t="s">
        <v>559</v>
      </c>
      <c r="F674" s="53">
        <v>0</v>
      </c>
      <c r="G674" s="53"/>
      <c r="H674" s="53"/>
      <c r="I67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RHM137KAHCT-ND</v>
      </c>
      <c r="J67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7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74" s="34" t="s">
        <v>1564</v>
      </c>
      <c r="M674" s="42">
        <v>0.18</v>
      </c>
      <c r="N674" s="34"/>
      <c r="O674" s="42"/>
      <c r="P674" s="34"/>
      <c r="Q674" s="42"/>
      <c r="R674" s="34"/>
      <c r="S674" s="42"/>
      <c r="T674" s="34"/>
      <c r="U674" s="42"/>
      <c r="V674" s="34"/>
      <c r="W674" s="42"/>
      <c r="X674" s="34"/>
      <c r="Y674" s="42"/>
      <c r="Z674" s="42"/>
      <c r="AA674" s="36"/>
      <c r="AB674" s="50"/>
      <c r="AC674" s="56" t="str">
        <f>IF(Table1[[#This Row],[Auto Order]]=1,IF(Table1[[#This Row],[In stock]]&lt;Table1[[#This Row],[Min in stock]],1,""),"")</f>
        <v/>
      </c>
    </row>
    <row r="675" spans="1:29" x14ac:dyDescent="0.25">
      <c r="A675" s="60" t="s">
        <v>1232</v>
      </c>
      <c r="B675" s="34" t="s">
        <v>713</v>
      </c>
      <c r="C675" s="34" t="s">
        <v>352</v>
      </c>
      <c r="D675" s="34" t="s">
        <v>1233</v>
      </c>
      <c r="E675" s="34" t="s">
        <v>559</v>
      </c>
      <c r="F675" s="53">
        <v>0</v>
      </c>
      <c r="G675" s="53"/>
      <c r="H675" s="53"/>
      <c r="I67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RHM13.3AHCT-ND</v>
      </c>
      <c r="J67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7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75" s="34" t="s">
        <v>1231</v>
      </c>
      <c r="M675" s="42">
        <v>0.18</v>
      </c>
      <c r="N675" s="34"/>
      <c r="O675" s="42"/>
      <c r="P675" s="34"/>
      <c r="Q675" s="42"/>
      <c r="R675" s="34"/>
      <c r="S675" s="42"/>
      <c r="T675" s="34"/>
      <c r="U675" s="42"/>
      <c r="V675" s="34"/>
      <c r="W675" s="42"/>
      <c r="X675" s="34"/>
      <c r="Y675" s="42"/>
      <c r="Z675" s="42"/>
      <c r="AA675" s="36"/>
      <c r="AB675" s="50"/>
      <c r="AC675" s="56" t="str">
        <f>IF(Table1[[#This Row],[Auto Order]]=1,IF(Table1[[#This Row],[In stock]]&lt;Table1[[#This Row],[Min in stock]],1,""),"")</f>
        <v/>
      </c>
    </row>
    <row r="676" spans="1:29" x14ac:dyDescent="0.25">
      <c r="A676" s="60" t="s">
        <v>1568</v>
      </c>
      <c r="B676" s="34" t="s">
        <v>713</v>
      </c>
      <c r="C676" s="34" t="s">
        <v>352</v>
      </c>
      <c r="D676" s="34" t="s">
        <v>1569</v>
      </c>
      <c r="E676" s="34" t="s">
        <v>559</v>
      </c>
      <c r="F676" s="53">
        <v>0</v>
      </c>
      <c r="G676" s="53"/>
      <c r="H676" s="53"/>
      <c r="I67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RHM140AHCT-ND</v>
      </c>
      <c r="J67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7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76" s="34" t="s">
        <v>1567</v>
      </c>
      <c r="M676" s="42">
        <v>0.18</v>
      </c>
      <c r="N676" s="34"/>
      <c r="O676" s="42"/>
      <c r="P676" s="34"/>
      <c r="Q676" s="42"/>
      <c r="R676" s="34"/>
      <c r="S676" s="42"/>
      <c r="T676" s="34"/>
      <c r="U676" s="42"/>
      <c r="V676" s="34"/>
      <c r="W676" s="42"/>
      <c r="X676" s="34"/>
      <c r="Y676" s="42"/>
      <c r="Z676" s="42"/>
      <c r="AA676" s="36"/>
      <c r="AB676" s="50"/>
      <c r="AC676" s="56" t="str">
        <f>IF(Table1[[#This Row],[Auto Order]]=1,IF(Table1[[#This Row],[In stock]]&lt;Table1[[#This Row],[Min in stock]],1,""),"")</f>
        <v/>
      </c>
    </row>
    <row r="677" spans="1:29" x14ac:dyDescent="0.25">
      <c r="A677" s="60" t="s">
        <v>1124</v>
      </c>
      <c r="B677" s="34" t="s">
        <v>713</v>
      </c>
      <c r="C677" s="34" t="s">
        <v>352</v>
      </c>
      <c r="D677" s="34" t="s">
        <v>1125</v>
      </c>
      <c r="E677" s="34" t="s">
        <v>559</v>
      </c>
      <c r="F677" s="53">
        <v>0</v>
      </c>
      <c r="G677" s="53"/>
      <c r="H677" s="53"/>
      <c r="I67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RHM1.4KAHCT-ND</v>
      </c>
      <c r="J67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7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77" s="34" t="s">
        <v>1123</v>
      </c>
      <c r="M677" s="42">
        <v>0.18</v>
      </c>
      <c r="N677" s="34"/>
      <c r="O677" s="42"/>
      <c r="P677" s="34"/>
      <c r="Q677" s="42"/>
      <c r="R677" s="34"/>
      <c r="S677" s="42"/>
      <c r="T677" s="34"/>
      <c r="U677" s="42"/>
      <c r="V677" s="34"/>
      <c r="W677" s="42"/>
      <c r="X677" s="34"/>
      <c r="Y677" s="42"/>
      <c r="Z677" s="42"/>
      <c r="AA677" s="36"/>
      <c r="AB677" s="50"/>
      <c r="AC677" s="56" t="str">
        <f>IF(Table1[[#This Row],[Auto Order]]=1,IF(Table1[[#This Row],[In stock]]&lt;Table1[[#This Row],[Min in stock]],1,""),"")</f>
        <v/>
      </c>
    </row>
    <row r="678" spans="1:29" x14ac:dyDescent="0.25">
      <c r="A678" s="60" t="s">
        <v>853</v>
      </c>
      <c r="B678" s="34" t="s">
        <v>713</v>
      </c>
      <c r="C678" s="34" t="s">
        <v>352</v>
      </c>
      <c r="D678" s="34" t="s">
        <v>854</v>
      </c>
      <c r="E678" s="34" t="s">
        <v>559</v>
      </c>
      <c r="F678" s="53">
        <v>0</v>
      </c>
      <c r="G678" s="53"/>
      <c r="H678" s="53"/>
      <c r="I67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RHM14KAHCT-ND</v>
      </c>
      <c r="J67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7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78" s="34" t="s">
        <v>852</v>
      </c>
      <c r="M678" s="42">
        <v>0.18</v>
      </c>
      <c r="N678" s="34"/>
      <c r="O678" s="42"/>
      <c r="P678" s="34"/>
      <c r="Q678" s="42"/>
      <c r="R678" s="34"/>
      <c r="S678" s="42"/>
      <c r="T678" s="34"/>
      <c r="U678" s="42"/>
      <c r="V678" s="34"/>
      <c r="W678" s="42"/>
      <c r="X678" s="34"/>
      <c r="Y678" s="42"/>
      <c r="Z678" s="42"/>
      <c r="AA678" s="36"/>
      <c r="AB678" s="50"/>
      <c r="AC678" s="56" t="str">
        <f>IF(Table1[[#This Row],[Auto Order]]=1,IF(Table1[[#This Row],[In stock]]&lt;Table1[[#This Row],[Min in stock]],1,""),"")</f>
        <v/>
      </c>
    </row>
    <row r="679" spans="1:29" x14ac:dyDescent="0.25">
      <c r="A679" s="60" t="s">
        <v>1428</v>
      </c>
      <c r="B679" s="34" t="s">
        <v>713</v>
      </c>
      <c r="C679" s="34" t="s">
        <v>352</v>
      </c>
      <c r="D679" s="34" t="s">
        <v>1429</v>
      </c>
      <c r="E679" s="34" t="s">
        <v>559</v>
      </c>
      <c r="F679" s="53">
        <v>0</v>
      </c>
      <c r="G679" s="53"/>
      <c r="H679" s="53"/>
      <c r="I67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RHM140KAHCT-ND</v>
      </c>
      <c r="J67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7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79" s="34" t="s">
        <v>1427</v>
      </c>
      <c r="M679" s="42">
        <v>0.18</v>
      </c>
      <c r="N679" s="34"/>
      <c r="O679" s="42"/>
      <c r="P679" s="34"/>
      <c r="Q679" s="42"/>
      <c r="R679" s="34"/>
      <c r="S679" s="42"/>
      <c r="T679" s="34"/>
      <c r="U679" s="42"/>
      <c r="V679" s="34"/>
      <c r="W679" s="42"/>
      <c r="X679" s="34"/>
      <c r="Y679" s="42"/>
      <c r="Z679" s="42"/>
      <c r="AA679" s="36"/>
      <c r="AB679" s="50"/>
      <c r="AC679" s="56" t="str">
        <f>IF(Table1[[#This Row],[Auto Order]]=1,IF(Table1[[#This Row],[In stock]]&lt;Table1[[#This Row],[Min in stock]],1,""),"")</f>
        <v/>
      </c>
    </row>
    <row r="680" spans="1:29" x14ac:dyDescent="0.25">
      <c r="A680" s="60" t="s">
        <v>1133</v>
      </c>
      <c r="B680" s="34" t="s">
        <v>713</v>
      </c>
      <c r="C680" s="34" t="s">
        <v>352</v>
      </c>
      <c r="D680" s="34" t="s">
        <v>1134</v>
      </c>
      <c r="E680" s="34" t="s">
        <v>559</v>
      </c>
      <c r="F680" s="53">
        <v>0</v>
      </c>
      <c r="G680" s="53"/>
      <c r="H680" s="53"/>
      <c r="I68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RHM1.4MAHCT-ND</v>
      </c>
      <c r="J68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8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80" s="34" t="s">
        <v>1132</v>
      </c>
      <c r="M680" s="42">
        <v>0.18</v>
      </c>
      <c r="N680" s="34"/>
      <c r="O680" s="42"/>
      <c r="P680" s="34"/>
      <c r="Q680" s="42"/>
      <c r="R680" s="34"/>
      <c r="S680" s="42"/>
      <c r="T680" s="34"/>
      <c r="U680" s="42"/>
      <c r="V680" s="34"/>
      <c r="W680" s="42"/>
      <c r="X680" s="34"/>
      <c r="Y680" s="42"/>
      <c r="Z680" s="42"/>
      <c r="AA680" s="36"/>
      <c r="AB680" s="50"/>
      <c r="AC680" s="56" t="str">
        <f>IF(Table1[[#This Row],[Auto Order]]=1,IF(Table1[[#This Row],[In stock]]&lt;Table1[[#This Row],[Min in stock]],1,""),"")</f>
        <v/>
      </c>
    </row>
    <row r="681" spans="1:29" x14ac:dyDescent="0.25">
      <c r="A681" s="60" t="s">
        <v>943</v>
      </c>
      <c r="B681" s="34" t="s">
        <v>713</v>
      </c>
      <c r="C681" s="34" t="s">
        <v>352</v>
      </c>
      <c r="D681" s="34" t="s">
        <v>944</v>
      </c>
      <c r="E681" s="34" t="s">
        <v>559</v>
      </c>
      <c r="F681" s="53">
        <v>0</v>
      </c>
      <c r="G681" s="53"/>
      <c r="H681" s="53"/>
      <c r="I68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RHM14.3KAHCT-ND</v>
      </c>
      <c r="J68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8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81" s="34" t="s">
        <v>942</v>
      </c>
      <c r="M681" s="42">
        <v>0.18</v>
      </c>
      <c r="N681" s="34"/>
      <c r="O681" s="42"/>
      <c r="P681" s="34"/>
      <c r="Q681" s="42"/>
      <c r="R681" s="34"/>
      <c r="S681" s="42"/>
      <c r="T681" s="34"/>
      <c r="U681" s="42"/>
      <c r="V681" s="34"/>
      <c r="W681" s="42"/>
      <c r="X681" s="34"/>
      <c r="Y681" s="42"/>
      <c r="Z681" s="42"/>
      <c r="AA681" s="36"/>
      <c r="AB681" s="50"/>
      <c r="AC681" s="56" t="str">
        <f>IF(Table1[[#This Row],[Auto Order]]=1,IF(Table1[[#This Row],[In stock]]&lt;Table1[[#This Row],[Min in stock]],1,""),"")</f>
        <v/>
      </c>
    </row>
    <row r="682" spans="1:29" x14ac:dyDescent="0.25">
      <c r="A682" s="60" t="s">
        <v>1190</v>
      </c>
      <c r="B682" s="34" t="s">
        <v>713</v>
      </c>
      <c r="C682" s="34" t="s">
        <v>352</v>
      </c>
      <c r="D682" s="34" t="s">
        <v>1191</v>
      </c>
      <c r="E682" s="34" t="s">
        <v>559</v>
      </c>
      <c r="F682" s="53">
        <v>0</v>
      </c>
      <c r="G682" s="53"/>
      <c r="H682" s="53"/>
      <c r="I68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RHM1.47KAHCT-ND</v>
      </c>
      <c r="J68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8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82" s="34" t="s">
        <v>1189</v>
      </c>
      <c r="M682" s="42">
        <v>0.18</v>
      </c>
      <c r="N682" s="34"/>
      <c r="O682" s="42"/>
      <c r="P682" s="34"/>
      <c r="Q682" s="42"/>
      <c r="R682" s="34"/>
      <c r="S682" s="42"/>
      <c r="T682" s="34"/>
      <c r="U682" s="42"/>
      <c r="V682" s="34"/>
      <c r="W682" s="42"/>
      <c r="X682" s="34"/>
      <c r="Y682" s="42"/>
      <c r="Z682" s="42"/>
      <c r="AA682" s="36"/>
      <c r="AB682" s="50"/>
      <c r="AC682" s="56" t="str">
        <f>IF(Table1[[#This Row],[Auto Order]]=1,IF(Table1[[#This Row],[In stock]]&lt;Table1[[#This Row],[Min in stock]],1,""),"")</f>
        <v/>
      </c>
    </row>
    <row r="683" spans="1:29" x14ac:dyDescent="0.25">
      <c r="A683" s="60" t="s">
        <v>1571</v>
      </c>
      <c r="B683" s="34" t="s">
        <v>713</v>
      </c>
      <c r="C683" s="34" t="s">
        <v>352</v>
      </c>
      <c r="D683" s="34" t="s">
        <v>1572</v>
      </c>
      <c r="E683" s="34" t="s">
        <v>559</v>
      </c>
      <c r="F683" s="53">
        <v>0</v>
      </c>
      <c r="G683" s="53"/>
      <c r="H683" s="53"/>
      <c r="I68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RHM14.7KAHCT-ND</v>
      </c>
      <c r="J68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8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83" s="34" t="s">
        <v>1570</v>
      </c>
      <c r="M683" s="42">
        <v>0.18</v>
      </c>
      <c r="N683" s="34"/>
      <c r="O683" s="42"/>
      <c r="P683" s="34"/>
      <c r="Q683" s="42"/>
      <c r="R683" s="34"/>
      <c r="S683" s="42"/>
      <c r="T683" s="34"/>
      <c r="U683" s="42"/>
      <c r="V683" s="34"/>
      <c r="W683" s="42"/>
      <c r="X683" s="34"/>
      <c r="Y683" s="42"/>
      <c r="Z683" s="42"/>
      <c r="AA683" s="36"/>
      <c r="AB683" s="50"/>
      <c r="AC683" s="56" t="str">
        <f>IF(Table1[[#This Row],[Auto Order]]=1,IF(Table1[[#This Row],[In stock]]&lt;Table1[[#This Row],[Min in stock]],1,""),"")</f>
        <v/>
      </c>
    </row>
    <row r="684" spans="1:29" x14ac:dyDescent="0.25">
      <c r="A684" s="60" t="s">
        <v>1459</v>
      </c>
      <c r="B684" s="34" t="s">
        <v>713</v>
      </c>
      <c r="C684" s="34" t="s">
        <v>352</v>
      </c>
      <c r="D684" s="34" t="s">
        <v>248</v>
      </c>
      <c r="E684" s="34" t="s">
        <v>559</v>
      </c>
      <c r="F684" s="53">
        <v>0</v>
      </c>
      <c r="G684" s="53"/>
      <c r="H684" s="53"/>
      <c r="I68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RHM150AHCT-ND</v>
      </c>
      <c r="J68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8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84" s="34" t="s">
        <v>1458</v>
      </c>
      <c r="M684" s="42">
        <v>0.18</v>
      </c>
      <c r="N684" s="34"/>
      <c r="O684" s="42"/>
      <c r="P684" s="34"/>
      <c r="Q684" s="42"/>
      <c r="R684" s="34"/>
      <c r="S684" s="42"/>
      <c r="T684" s="34"/>
      <c r="U684" s="42"/>
      <c r="V684" s="34"/>
      <c r="W684" s="42"/>
      <c r="X684" s="34"/>
      <c r="Y684" s="42"/>
      <c r="Z684" s="42"/>
      <c r="AA684" s="36"/>
      <c r="AB684" s="50"/>
      <c r="AC684" s="56" t="str">
        <f>IF(Table1[[#This Row],[Auto Order]]=1,IF(Table1[[#This Row],[In stock]]&lt;Table1[[#This Row],[Min in stock]],1,""),"")</f>
        <v/>
      </c>
    </row>
    <row r="685" spans="1:29" x14ac:dyDescent="0.25">
      <c r="A685" s="60" t="s">
        <v>1448</v>
      </c>
      <c r="B685" s="34" t="s">
        <v>713</v>
      </c>
      <c r="C685" s="34" t="s">
        <v>352</v>
      </c>
      <c r="D685" s="34" t="s">
        <v>651</v>
      </c>
      <c r="E685" s="34" t="s">
        <v>559</v>
      </c>
      <c r="F685" s="53">
        <v>0</v>
      </c>
      <c r="G685" s="53"/>
      <c r="H685" s="53"/>
      <c r="I68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RHM1.5KAHCT-ND</v>
      </c>
      <c r="J68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8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85" s="34" t="s">
        <v>1447</v>
      </c>
      <c r="M685" s="42">
        <v>0.18</v>
      </c>
      <c r="N685" s="34"/>
      <c r="O685" s="42"/>
      <c r="P685" s="34"/>
      <c r="Q685" s="42"/>
      <c r="R685" s="34"/>
      <c r="S685" s="42"/>
      <c r="T685" s="34"/>
      <c r="U685" s="42"/>
      <c r="V685" s="34"/>
      <c r="W685" s="42"/>
      <c r="X685" s="34"/>
      <c r="Y685" s="42"/>
      <c r="Z685" s="42"/>
      <c r="AA685" s="36"/>
      <c r="AB685" s="50"/>
      <c r="AC685" s="56" t="str">
        <f>IF(Table1[[#This Row],[Auto Order]]=1,IF(Table1[[#This Row],[In stock]]&lt;Table1[[#This Row],[Min in stock]],1,""),"")</f>
        <v/>
      </c>
    </row>
    <row r="686" spans="1:29" x14ac:dyDescent="0.25">
      <c r="A686" s="60" t="s">
        <v>1461</v>
      </c>
      <c r="B686" s="34" t="s">
        <v>713</v>
      </c>
      <c r="C686" s="34" t="s">
        <v>352</v>
      </c>
      <c r="D686" s="34" t="s">
        <v>672</v>
      </c>
      <c r="E686" s="34" t="s">
        <v>559</v>
      </c>
      <c r="F686" s="53">
        <v>0</v>
      </c>
      <c r="G686" s="53"/>
      <c r="H686" s="53"/>
      <c r="I68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RHM15KAHCT-ND</v>
      </c>
      <c r="J68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8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86" s="34" t="s">
        <v>1460</v>
      </c>
      <c r="M686" s="42">
        <v>0.18</v>
      </c>
      <c r="N686" s="34"/>
      <c r="O686" s="42"/>
      <c r="P686" s="34"/>
      <c r="Q686" s="42"/>
      <c r="R686" s="34"/>
      <c r="S686" s="42"/>
      <c r="T686" s="34"/>
      <c r="U686" s="42"/>
      <c r="V686" s="34"/>
      <c r="W686" s="42"/>
      <c r="X686" s="34"/>
      <c r="Y686" s="42"/>
      <c r="Z686" s="42"/>
      <c r="AA686" s="36"/>
      <c r="AB686" s="50"/>
      <c r="AC686" s="56" t="str">
        <f>IF(Table1[[#This Row],[Auto Order]]=1,IF(Table1[[#This Row],[In stock]]&lt;Table1[[#This Row],[Min in stock]],1,""),"")</f>
        <v/>
      </c>
    </row>
    <row r="687" spans="1:29" x14ac:dyDescent="0.25">
      <c r="A687" s="60" t="s">
        <v>781</v>
      </c>
      <c r="B687" s="34" t="s">
        <v>713</v>
      </c>
      <c r="C687" s="34" t="s">
        <v>352</v>
      </c>
      <c r="D687" s="34" t="s">
        <v>782</v>
      </c>
      <c r="E687" s="34" t="s">
        <v>559</v>
      </c>
      <c r="F687" s="53">
        <v>0</v>
      </c>
      <c r="G687" s="53"/>
      <c r="H687" s="53"/>
      <c r="I68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RHM150KAHCT-ND</v>
      </c>
      <c r="J68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8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87" s="34" t="s">
        <v>780</v>
      </c>
      <c r="M687" s="42">
        <v>0.18</v>
      </c>
      <c r="N687" s="34"/>
      <c r="O687" s="42"/>
      <c r="P687" s="34"/>
      <c r="Q687" s="42"/>
      <c r="R687" s="34"/>
      <c r="S687" s="42"/>
      <c r="T687" s="34"/>
      <c r="U687" s="42"/>
      <c r="V687" s="34"/>
      <c r="W687" s="42"/>
      <c r="X687" s="34"/>
      <c r="Y687" s="42"/>
      <c r="Z687" s="42"/>
      <c r="AA687" s="36"/>
      <c r="AB687" s="50"/>
      <c r="AC687" s="56" t="str">
        <f>IF(Table1[[#This Row],[Auto Order]]=1,IF(Table1[[#This Row],[In stock]]&lt;Table1[[#This Row],[Min in stock]],1,""),"")</f>
        <v/>
      </c>
    </row>
    <row r="688" spans="1:29" x14ac:dyDescent="0.25">
      <c r="A688" s="60" t="s">
        <v>826</v>
      </c>
      <c r="B688" s="34" t="s">
        <v>713</v>
      </c>
      <c r="C688" s="34" t="s">
        <v>352</v>
      </c>
      <c r="D688" s="34" t="s">
        <v>827</v>
      </c>
      <c r="E688" s="34" t="s">
        <v>559</v>
      </c>
      <c r="F688" s="53">
        <v>0</v>
      </c>
      <c r="G688" s="53"/>
      <c r="H688" s="53"/>
      <c r="I68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RHM1.50MAHCT-ND</v>
      </c>
      <c r="J68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8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88" s="34" t="s">
        <v>825</v>
      </c>
      <c r="M688" s="42">
        <v>0.18</v>
      </c>
      <c r="N688" s="34"/>
      <c r="O688" s="42"/>
      <c r="P688" s="34"/>
      <c r="Q688" s="42"/>
      <c r="R688" s="34"/>
      <c r="S688" s="42"/>
      <c r="T688" s="34"/>
      <c r="U688" s="42"/>
      <c r="V688" s="34"/>
      <c r="W688" s="42"/>
      <c r="X688" s="34"/>
      <c r="Y688" s="42"/>
      <c r="Z688" s="42"/>
      <c r="AA688" s="36"/>
      <c r="AB688" s="50"/>
      <c r="AC688" s="56" t="str">
        <f>IF(Table1[[#This Row],[Auto Order]]=1,IF(Table1[[#This Row],[In stock]]&lt;Table1[[#This Row],[Min in stock]],1,""),"")</f>
        <v/>
      </c>
    </row>
    <row r="689" spans="1:29" x14ac:dyDescent="0.25">
      <c r="A689" s="60" t="s">
        <v>946</v>
      </c>
      <c r="B689" s="34" t="s">
        <v>713</v>
      </c>
      <c r="C689" s="34" t="s">
        <v>352</v>
      </c>
      <c r="D689" s="34" t="s">
        <v>947</v>
      </c>
      <c r="E689" s="34" t="s">
        <v>559</v>
      </c>
      <c r="F689" s="53">
        <v>0</v>
      </c>
      <c r="G689" s="53"/>
      <c r="H689" s="53"/>
      <c r="I68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RHM1.54KAHCT-ND</v>
      </c>
      <c r="J68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8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89" s="34" t="s">
        <v>945</v>
      </c>
      <c r="M689" s="42">
        <v>0.18</v>
      </c>
      <c r="N689" s="34"/>
      <c r="O689" s="42"/>
      <c r="P689" s="34"/>
      <c r="Q689" s="42"/>
      <c r="R689" s="34"/>
      <c r="S689" s="42"/>
      <c r="T689" s="34"/>
      <c r="U689" s="42"/>
      <c r="V689" s="34"/>
      <c r="W689" s="42"/>
      <c r="X689" s="34"/>
      <c r="Y689" s="42"/>
      <c r="Z689" s="42"/>
      <c r="AA689" s="36"/>
      <c r="AB689" s="50"/>
      <c r="AC689" s="56" t="str">
        <f>IF(Table1[[#This Row],[Auto Order]]=1,IF(Table1[[#This Row],[In stock]]&lt;Table1[[#This Row],[Min in stock]],1,""),"")</f>
        <v/>
      </c>
    </row>
    <row r="690" spans="1:29" x14ac:dyDescent="0.25">
      <c r="A690" s="60" t="s">
        <v>1574</v>
      </c>
      <c r="B690" s="34" t="s">
        <v>713</v>
      </c>
      <c r="C690" s="34" t="s">
        <v>352</v>
      </c>
      <c r="D690" s="34" t="s">
        <v>1575</v>
      </c>
      <c r="E690" s="34" t="s">
        <v>559</v>
      </c>
      <c r="F690" s="53">
        <v>0</v>
      </c>
      <c r="G690" s="53"/>
      <c r="H690" s="53"/>
      <c r="I69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RHM15.4KAHCT-ND</v>
      </c>
      <c r="J69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9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90" s="34" t="s">
        <v>1573</v>
      </c>
      <c r="M690" s="42">
        <v>0.18</v>
      </c>
      <c r="N690" s="34"/>
      <c r="O690" s="42"/>
      <c r="P690" s="34"/>
      <c r="Q690" s="42"/>
      <c r="R690" s="34"/>
      <c r="S690" s="42"/>
      <c r="T690" s="34"/>
      <c r="U690" s="42"/>
      <c r="V690" s="34"/>
      <c r="W690" s="42"/>
      <c r="X690" s="34"/>
      <c r="Y690" s="42"/>
      <c r="Z690" s="42"/>
      <c r="AA690" s="36"/>
      <c r="AB690" s="50"/>
      <c r="AC690" s="56" t="str">
        <f>IF(Table1[[#This Row],[Auto Order]]=1,IF(Table1[[#This Row],[In stock]]&lt;Table1[[#This Row],[Min in stock]],1,""),"")</f>
        <v/>
      </c>
    </row>
    <row r="691" spans="1:29" x14ac:dyDescent="0.25">
      <c r="A691" s="60" t="s">
        <v>1577</v>
      </c>
      <c r="B691" s="34" t="s">
        <v>713</v>
      </c>
      <c r="C691" s="34" t="s">
        <v>352</v>
      </c>
      <c r="D691" s="34" t="s">
        <v>1578</v>
      </c>
      <c r="E691" s="34" t="s">
        <v>559</v>
      </c>
      <c r="F691" s="53">
        <v>0</v>
      </c>
      <c r="G691" s="53"/>
      <c r="H691" s="53"/>
      <c r="I69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RHM154KAHCT-ND</v>
      </c>
      <c r="J69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9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91" s="34" t="s">
        <v>1576</v>
      </c>
      <c r="M691" s="42">
        <v>0.18</v>
      </c>
      <c r="N691" s="34"/>
      <c r="O691" s="42"/>
      <c r="P691" s="34"/>
      <c r="Q691" s="42"/>
      <c r="R691" s="34"/>
      <c r="S691" s="42"/>
      <c r="T691" s="34"/>
      <c r="U691" s="42"/>
      <c r="V691" s="34"/>
      <c r="W691" s="42"/>
      <c r="X691" s="34"/>
      <c r="Y691" s="42"/>
      <c r="Z691" s="42"/>
      <c r="AA691" s="36"/>
      <c r="AB691" s="50"/>
      <c r="AC691" s="56" t="str">
        <f>IF(Table1[[#This Row],[Auto Order]]=1,IF(Table1[[#This Row],[In stock]]&lt;Table1[[#This Row],[Min in stock]],1,""),"")</f>
        <v/>
      </c>
    </row>
    <row r="692" spans="1:29" x14ac:dyDescent="0.25">
      <c r="A692" s="60" t="s">
        <v>1100</v>
      </c>
      <c r="B692" s="34" t="s">
        <v>713</v>
      </c>
      <c r="C692" s="34" t="s">
        <v>352</v>
      </c>
      <c r="D692" s="34" t="s">
        <v>1101</v>
      </c>
      <c r="E692" s="34" t="s">
        <v>559</v>
      </c>
      <c r="F692" s="53">
        <v>0</v>
      </c>
      <c r="G692" s="53"/>
      <c r="H692" s="53"/>
      <c r="I69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RHM1.54MAHCT-ND</v>
      </c>
      <c r="J69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9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92" s="34" t="s">
        <v>1099</v>
      </c>
      <c r="M692" s="42">
        <v>0.18</v>
      </c>
      <c r="N692" s="34"/>
      <c r="O692" s="42"/>
      <c r="P692" s="34"/>
      <c r="Q692" s="42"/>
      <c r="R692" s="34"/>
      <c r="S692" s="42"/>
      <c r="T692" s="34"/>
      <c r="U692" s="42"/>
      <c r="V692" s="34"/>
      <c r="W692" s="42"/>
      <c r="X692" s="34"/>
      <c r="Y692" s="42"/>
      <c r="Z692" s="42"/>
      <c r="AA692" s="36"/>
      <c r="AB692" s="50"/>
      <c r="AC692" s="56" t="str">
        <f>IF(Table1[[#This Row],[Auto Order]]=1,IF(Table1[[#This Row],[In stock]]&lt;Table1[[#This Row],[Min in stock]],1,""),"")</f>
        <v/>
      </c>
    </row>
    <row r="693" spans="1:29" x14ac:dyDescent="0.25">
      <c r="A693" s="60" t="s">
        <v>949</v>
      </c>
      <c r="B693" s="34" t="s">
        <v>713</v>
      </c>
      <c r="C693" s="34" t="s">
        <v>352</v>
      </c>
      <c r="D693" s="34" t="s">
        <v>950</v>
      </c>
      <c r="E693" s="34" t="s">
        <v>559</v>
      </c>
      <c r="F693" s="53">
        <v>0</v>
      </c>
      <c r="G693" s="53"/>
      <c r="H693" s="53"/>
      <c r="I69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RHM1.58KAHCT-ND</v>
      </c>
      <c r="J69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9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93" s="34" t="s">
        <v>948</v>
      </c>
      <c r="M693" s="42">
        <v>0.18</v>
      </c>
      <c r="N693" s="34"/>
      <c r="O693" s="42"/>
      <c r="P693" s="34"/>
      <c r="Q693" s="42"/>
      <c r="R693" s="34"/>
      <c r="S693" s="42"/>
      <c r="T693" s="34"/>
      <c r="U693" s="42"/>
      <c r="V693" s="34"/>
      <c r="W693" s="42"/>
      <c r="X693" s="34"/>
      <c r="Y693" s="42"/>
      <c r="Z693" s="42"/>
      <c r="AA693" s="36"/>
      <c r="AB693" s="50"/>
      <c r="AC693" s="56" t="str">
        <f>IF(Table1[[#This Row],[Auto Order]]=1,IF(Table1[[#This Row],[In stock]]&lt;Table1[[#This Row],[Min in stock]],1,""),"")</f>
        <v/>
      </c>
    </row>
    <row r="694" spans="1:29" x14ac:dyDescent="0.25">
      <c r="A694" s="60" t="s">
        <v>1151</v>
      </c>
      <c r="B694" s="34" t="s">
        <v>713</v>
      </c>
      <c r="C694" s="34" t="s">
        <v>352</v>
      </c>
      <c r="D694" s="34" t="s">
        <v>1152</v>
      </c>
      <c r="E694" s="34" t="s">
        <v>559</v>
      </c>
      <c r="F694" s="53">
        <v>0</v>
      </c>
      <c r="G694" s="53"/>
      <c r="H694" s="53"/>
      <c r="I69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RHM15.8KAHCT-ND</v>
      </c>
      <c r="J69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9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94" s="34" t="s">
        <v>1150</v>
      </c>
      <c r="M694" s="42">
        <v>0.18</v>
      </c>
      <c r="N694" s="34"/>
      <c r="O694" s="42"/>
      <c r="P694" s="34"/>
      <c r="Q694" s="42"/>
      <c r="R694" s="34"/>
      <c r="S694" s="42"/>
      <c r="T694" s="34"/>
      <c r="U694" s="42"/>
      <c r="V694" s="34"/>
      <c r="W694" s="42"/>
      <c r="X694" s="34"/>
      <c r="Y694" s="42"/>
      <c r="Z694" s="42"/>
      <c r="AA694" s="36"/>
      <c r="AB694" s="50"/>
      <c r="AC694" s="56" t="str">
        <f>IF(Table1[[#This Row],[Auto Order]]=1,IF(Table1[[#This Row],[In stock]]&lt;Table1[[#This Row],[Min in stock]],1,""),"")</f>
        <v/>
      </c>
    </row>
    <row r="695" spans="1:29" x14ac:dyDescent="0.25">
      <c r="A695" s="60" t="s">
        <v>1109</v>
      </c>
      <c r="B695" s="34" t="s">
        <v>713</v>
      </c>
      <c r="C695" s="34" t="s">
        <v>352</v>
      </c>
      <c r="D695" s="34" t="s">
        <v>1110</v>
      </c>
      <c r="E695" s="34" t="s">
        <v>559</v>
      </c>
      <c r="F695" s="53">
        <v>0</v>
      </c>
      <c r="G695" s="53"/>
      <c r="H695" s="53"/>
      <c r="I69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RHM1.58MAHCT-ND</v>
      </c>
      <c r="J69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9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95" s="34" t="s">
        <v>1108</v>
      </c>
      <c r="M695" s="42">
        <v>0.18</v>
      </c>
      <c r="N695" s="34"/>
      <c r="O695" s="42"/>
      <c r="P695" s="34"/>
      <c r="Q695" s="42"/>
      <c r="R695" s="34"/>
      <c r="S695" s="42"/>
      <c r="T695" s="34"/>
      <c r="U695" s="42"/>
      <c r="V695" s="34"/>
      <c r="W695" s="42"/>
      <c r="X695" s="34"/>
      <c r="Y695" s="42"/>
      <c r="Z695" s="42"/>
      <c r="AA695" s="36"/>
      <c r="AB695" s="50"/>
      <c r="AC695" s="56" t="str">
        <f>IF(Table1[[#This Row],[Auto Order]]=1,IF(Table1[[#This Row],[In stock]]&lt;Table1[[#This Row],[Min in stock]],1,""),"")</f>
        <v/>
      </c>
    </row>
    <row r="696" spans="1:29" x14ac:dyDescent="0.25">
      <c r="A696" s="60" t="s">
        <v>1753</v>
      </c>
      <c r="B696" s="34" t="s">
        <v>713</v>
      </c>
      <c r="C696" s="34" t="s">
        <v>352</v>
      </c>
      <c r="D696" s="34" t="s">
        <v>1754</v>
      </c>
      <c r="E696" s="34" t="s">
        <v>559</v>
      </c>
      <c r="F696" s="53">
        <v>0</v>
      </c>
      <c r="G696" s="53"/>
      <c r="H696" s="53"/>
      <c r="I69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RHM15AHCT-ND</v>
      </c>
      <c r="J69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9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96" s="34" t="s">
        <v>1752</v>
      </c>
      <c r="M696" s="42">
        <v>0.18</v>
      </c>
      <c r="N696" s="34"/>
      <c r="O696" s="42"/>
      <c r="P696" s="34"/>
      <c r="Q696" s="42"/>
      <c r="R696" s="34"/>
      <c r="S696" s="42"/>
      <c r="T696" s="34"/>
      <c r="U696" s="42"/>
      <c r="V696" s="34"/>
      <c r="W696" s="42"/>
      <c r="X696" s="34"/>
      <c r="Y696" s="42"/>
      <c r="Z696" s="42"/>
      <c r="AA696" s="36"/>
      <c r="AB696" s="50"/>
      <c r="AC696" s="56" t="str">
        <f>IF(Table1[[#This Row],[Auto Order]]=1,IF(Table1[[#This Row],[In stock]]&lt;Table1[[#This Row],[Min in stock]],1,""),"")</f>
        <v/>
      </c>
    </row>
    <row r="697" spans="1:29" x14ac:dyDescent="0.25">
      <c r="A697" s="60" t="s">
        <v>952</v>
      </c>
      <c r="B697" s="34" t="s">
        <v>713</v>
      </c>
      <c r="C697" s="34" t="s">
        <v>352</v>
      </c>
      <c r="D697" s="34" t="s">
        <v>953</v>
      </c>
      <c r="E697" s="34" t="s">
        <v>559</v>
      </c>
      <c r="F697" s="53">
        <v>0</v>
      </c>
      <c r="G697" s="53"/>
      <c r="H697" s="53"/>
      <c r="I69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RHM1.6KAHCT-ND</v>
      </c>
      <c r="J69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9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97" s="34" t="s">
        <v>951</v>
      </c>
      <c r="M697" s="42">
        <v>0.18</v>
      </c>
      <c r="N697" s="34"/>
      <c r="O697" s="42"/>
      <c r="P697" s="34"/>
      <c r="Q697" s="42"/>
      <c r="R697" s="34"/>
      <c r="S697" s="42"/>
      <c r="T697" s="34"/>
      <c r="U697" s="42"/>
      <c r="V697" s="34"/>
      <c r="W697" s="42"/>
      <c r="X697" s="34"/>
      <c r="Y697" s="42"/>
      <c r="Z697" s="42"/>
      <c r="AA697" s="36"/>
      <c r="AB697" s="50"/>
      <c r="AC697" s="56" t="str">
        <f>IF(Table1[[#This Row],[Auto Order]]=1,IF(Table1[[#This Row],[In stock]]&lt;Table1[[#This Row],[Min in stock]],1,""),"")</f>
        <v/>
      </c>
    </row>
    <row r="698" spans="1:29" x14ac:dyDescent="0.25">
      <c r="A698" s="60" t="s">
        <v>775</v>
      </c>
      <c r="B698" s="34" t="s">
        <v>713</v>
      </c>
      <c r="C698" s="34" t="s">
        <v>352</v>
      </c>
      <c r="D698" s="34" t="s">
        <v>776</v>
      </c>
      <c r="E698" s="34" t="s">
        <v>559</v>
      </c>
      <c r="F698" s="53">
        <v>0</v>
      </c>
      <c r="G698" s="53"/>
      <c r="H698" s="53"/>
      <c r="I69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RHM160KAHCT-ND</v>
      </c>
      <c r="J69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9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98" s="34" t="s">
        <v>774</v>
      </c>
      <c r="M698" s="42">
        <v>0.18</v>
      </c>
      <c r="N698" s="34"/>
      <c r="O698" s="42"/>
      <c r="P698" s="34"/>
      <c r="Q698" s="42"/>
      <c r="R698" s="34"/>
      <c r="S698" s="42"/>
      <c r="T698" s="34"/>
      <c r="U698" s="42"/>
      <c r="V698" s="34"/>
      <c r="W698" s="42"/>
      <c r="X698" s="34"/>
      <c r="Y698" s="42"/>
      <c r="Z698" s="42"/>
      <c r="AA698" s="36"/>
      <c r="AB698" s="50"/>
      <c r="AC698" s="56" t="str">
        <f>IF(Table1[[#This Row],[Auto Order]]=1,IF(Table1[[#This Row],[In stock]]&lt;Table1[[#This Row],[Min in stock]],1,""),"")</f>
        <v/>
      </c>
    </row>
    <row r="699" spans="1:29" x14ac:dyDescent="0.25">
      <c r="A699" s="60" t="s">
        <v>1742</v>
      </c>
      <c r="B699" s="34" t="s">
        <v>713</v>
      </c>
      <c r="C699" s="34" t="s">
        <v>352</v>
      </c>
      <c r="D699" s="34" t="s">
        <v>1743</v>
      </c>
      <c r="E699" s="34" t="s">
        <v>559</v>
      </c>
      <c r="F699" s="53">
        <v>0</v>
      </c>
      <c r="G699" s="53"/>
      <c r="H699" s="53"/>
      <c r="I69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RHM1.60MAHCT-ND</v>
      </c>
      <c r="J69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9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99" s="34" t="s">
        <v>1741</v>
      </c>
      <c r="M699" s="42">
        <v>0.18</v>
      </c>
      <c r="N699" s="34"/>
      <c r="O699" s="42"/>
      <c r="P699" s="34"/>
      <c r="Q699" s="42"/>
      <c r="R699" s="34"/>
      <c r="S699" s="42"/>
      <c r="T699" s="34"/>
      <c r="U699" s="42"/>
      <c r="V699" s="34"/>
      <c r="W699" s="42"/>
      <c r="X699" s="34"/>
      <c r="Y699" s="42"/>
      <c r="Z699" s="42"/>
      <c r="AA699" s="36"/>
      <c r="AB699" s="50"/>
      <c r="AC699" s="56" t="str">
        <f>IF(Table1[[#This Row],[Auto Order]]=1,IF(Table1[[#This Row],[In stock]]&lt;Table1[[#This Row],[Min in stock]],1,""),"")</f>
        <v/>
      </c>
    </row>
    <row r="700" spans="1:29" x14ac:dyDescent="0.25">
      <c r="A700" s="60" t="s">
        <v>1580</v>
      </c>
      <c r="B700" s="34" t="s">
        <v>713</v>
      </c>
      <c r="C700" s="34" t="s">
        <v>352</v>
      </c>
      <c r="D700" s="34" t="s">
        <v>1581</v>
      </c>
      <c r="E700" s="34" t="s">
        <v>559</v>
      </c>
      <c r="F700" s="53">
        <v>0</v>
      </c>
      <c r="G700" s="53"/>
      <c r="H700" s="53"/>
      <c r="I70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RHM1.62KAHCT-ND</v>
      </c>
      <c r="J70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0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00" s="34" t="s">
        <v>1579</v>
      </c>
      <c r="M700" s="42">
        <v>0.18</v>
      </c>
      <c r="N700" s="34"/>
      <c r="O700" s="42"/>
      <c r="P700" s="34"/>
      <c r="Q700" s="42"/>
      <c r="R700" s="34"/>
      <c r="S700" s="42"/>
      <c r="T700" s="34"/>
      <c r="U700" s="42"/>
      <c r="V700" s="34"/>
      <c r="W700" s="42"/>
      <c r="X700" s="34"/>
      <c r="Y700" s="42"/>
      <c r="Z700" s="42"/>
      <c r="AA700" s="36"/>
      <c r="AB700" s="50"/>
      <c r="AC700" s="56" t="str">
        <f>IF(Table1[[#This Row],[Auto Order]]=1,IF(Table1[[#This Row],[In stock]]&lt;Table1[[#This Row],[Min in stock]],1,""),"")</f>
        <v/>
      </c>
    </row>
    <row r="701" spans="1:29" x14ac:dyDescent="0.25">
      <c r="A701" s="60" t="s">
        <v>1415</v>
      </c>
      <c r="B701" s="34" t="s">
        <v>713</v>
      </c>
      <c r="C701" s="34" t="s">
        <v>352</v>
      </c>
      <c r="D701" s="34" t="s">
        <v>1416</v>
      </c>
      <c r="E701" s="34" t="s">
        <v>559</v>
      </c>
      <c r="F701" s="53">
        <v>0</v>
      </c>
      <c r="G701" s="53"/>
      <c r="H701" s="53"/>
      <c r="I70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RHM165AHCT-ND</v>
      </c>
      <c r="J70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0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01" s="34" t="s">
        <v>1414</v>
      </c>
      <c r="M701" s="42">
        <v>0.18</v>
      </c>
      <c r="N701" s="34"/>
      <c r="O701" s="42"/>
      <c r="P701" s="34"/>
      <c r="Q701" s="42"/>
      <c r="R701" s="34"/>
      <c r="S701" s="42"/>
      <c r="T701" s="34"/>
      <c r="U701" s="42"/>
      <c r="V701" s="34"/>
      <c r="W701" s="42"/>
      <c r="X701" s="34"/>
      <c r="Y701" s="42"/>
      <c r="Z701" s="42"/>
      <c r="AA701" s="36"/>
      <c r="AB701" s="50"/>
      <c r="AC701" s="56" t="str">
        <f>IF(Table1[[#This Row],[Auto Order]]=1,IF(Table1[[#This Row],[In stock]]&lt;Table1[[#This Row],[Min in stock]],1,""),"")</f>
        <v/>
      </c>
    </row>
    <row r="702" spans="1:29" x14ac:dyDescent="0.25">
      <c r="A702" s="60" t="s">
        <v>1160</v>
      </c>
      <c r="B702" s="34" t="s">
        <v>713</v>
      </c>
      <c r="C702" s="34" t="s">
        <v>352</v>
      </c>
      <c r="D702" s="34" t="s">
        <v>1161</v>
      </c>
      <c r="E702" s="34" t="s">
        <v>559</v>
      </c>
      <c r="F702" s="53">
        <v>0</v>
      </c>
      <c r="G702" s="53"/>
      <c r="H702" s="53"/>
      <c r="I70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RHM1.65KAHCT-ND</v>
      </c>
      <c r="J70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0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02" s="34" t="s">
        <v>1159</v>
      </c>
      <c r="M702" s="42">
        <v>0.18</v>
      </c>
      <c r="N702" s="34"/>
      <c r="O702" s="42"/>
      <c r="P702" s="34"/>
      <c r="Q702" s="42"/>
      <c r="R702" s="34"/>
      <c r="S702" s="42"/>
      <c r="T702" s="34"/>
      <c r="U702" s="42"/>
      <c r="V702" s="34"/>
      <c r="W702" s="42"/>
      <c r="X702" s="34"/>
      <c r="Y702" s="42"/>
      <c r="Z702" s="42"/>
      <c r="AA702" s="36"/>
      <c r="AB702" s="50"/>
      <c r="AC702" s="56" t="str">
        <f>IF(Table1[[#This Row],[Auto Order]]=1,IF(Table1[[#This Row],[In stock]]&lt;Table1[[#This Row],[Min in stock]],1,""),"")</f>
        <v/>
      </c>
    </row>
    <row r="703" spans="1:29" x14ac:dyDescent="0.25">
      <c r="A703" s="60" t="s">
        <v>1382</v>
      </c>
      <c r="B703" s="34" t="s">
        <v>713</v>
      </c>
      <c r="C703" s="34" t="s">
        <v>352</v>
      </c>
      <c r="D703" s="34" t="s">
        <v>1383</v>
      </c>
      <c r="E703" s="34" t="s">
        <v>559</v>
      </c>
      <c r="F703" s="53">
        <v>0</v>
      </c>
      <c r="G703" s="53"/>
      <c r="H703" s="53"/>
      <c r="I70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RHM16.5KAHCT-ND</v>
      </c>
      <c r="J70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0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03" s="34" t="s">
        <v>1381</v>
      </c>
      <c r="M703" s="42">
        <v>0.18</v>
      </c>
      <c r="N703" s="34"/>
      <c r="O703" s="42"/>
      <c r="P703" s="34"/>
      <c r="Q703" s="42"/>
      <c r="R703" s="34"/>
      <c r="S703" s="42"/>
      <c r="T703" s="34"/>
      <c r="U703" s="42"/>
      <c r="V703" s="34"/>
      <c r="W703" s="42"/>
      <c r="X703" s="34"/>
      <c r="Y703" s="42"/>
      <c r="Z703" s="42"/>
      <c r="AA703" s="36"/>
      <c r="AB703" s="50"/>
      <c r="AC703" s="56" t="str">
        <f>IF(Table1[[#This Row],[Auto Order]]=1,IF(Table1[[#This Row],[In stock]]&lt;Table1[[#This Row],[Min in stock]],1,""),"")</f>
        <v/>
      </c>
    </row>
    <row r="704" spans="1:29" x14ac:dyDescent="0.25">
      <c r="A704" s="60" t="s">
        <v>1700</v>
      </c>
      <c r="B704" s="34" t="s">
        <v>713</v>
      </c>
      <c r="C704" s="34" t="s">
        <v>352</v>
      </c>
      <c r="D704" s="34" t="s">
        <v>1701</v>
      </c>
      <c r="E704" s="34" t="s">
        <v>559</v>
      </c>
      <c r="F704" s="53">
        <v>0</v>
      </c>
      <c r="G704" s="53"/>
      <c r="H704" s="53"/>
      <c r="I70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RHM165KAHCT-ND</v>
      </c>
      <c r="J70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0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04" s="34" t="s">
        <v>1699</v>
      </c>
      <c r="M704" s="42">
        <v>0.18</v>
      </c>
      <c r="N704" s="34"/>
      <c r="O704" s="42"/>
      <c r="P704" s="34"/>
      <c r="Q704" s="42"/>
      <c r="R704" s="34"/>
      <c r="S704" s="42"/>
      <c r="T704" s="34"/>
      <c r="U704" s="42"/>
      <c r="V704" s="34"/>
      <c r="W704" s="42"/>
      <c r="X704" s="34"/>
      <c r="Y704" s="42"/>
      <c r="Z704" s="42"/>
      <c r="AA704" s="36"/>
      <c r="AB704" s="50"/>
      <c r="AC704" s="56" t="str">
        <f>IF(Table1[[#This Row],[Auto Order]]=1,IF(Table1[[#This Row],[In stock]]&lt;Table1[[#This Row],[Min in stock]],1,""),"")</f>
        <v/>
      </c>
    </row>
    <row r="705" spans="1:29" x14ac:dyDescent="0.25">
      <c r="A705" s="60" t="s">
        <v>1267</v>
      </c>
      <c r="B705" s="34" t="s">
        <v>713</v>
      </c>
      <c r="C705" s="34" t="s">
        <v>352</v>
      </c>
      <c r="D705" s="34" t="s">
        <v>1268</v>
      </c>
      <c r="E705" s="34" t="s">
        <v>559</v>
      </c>
      <c r="F705" s="53">
        <v>0</v>
      </c>
      <c r="G705" s="53"/>
      <c r="H705" s="53"/>
      <c r="I70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RHM169AHCT-ND</v>
      </c>
      <c r="J70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0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05" s="34" t="s">
        <v>1266</v>
      </c>
      <c r="M705" s="42">
        <v>0.18</v>
      </c>
      <c r="N705" s="34"/>
      <c r="O705" s="42"/>
      <c r="P705" s="34"/>
      <c r="Q705" s="42"/>
      <c r="R705" s="34"/>
      <c r="S705" s="42"/>
      <c r="T705" s="34"/>
      <c r="U705" s="42"/>
      <c r="V705" s="34"/>
      <c r="W705" s="42"/>
      <c r="X705" s="34"/>
      <c r="Y705" s="42"/>
      <c r="Z705" s="42"/>
      <c r="AA705" s="36"/>
      <c r="AB705" s="50"/>
      <c r="AC705" s="56" t="str">
        <f>IF(Table1[[#This Row],[Auto Order]]=1,IF(Table1[[#This Row],[In stock]]&lt;Table1[[#This Row],[Min in stock]],1,""),"")</f>
        <v/>
      </c>
    </row>
    <row r="706" spans="1:29" x14ac:dyDescent="0.25">
      <c r="A706" s="60" t="s">
        <v>955</v>
      </c>
      <c r="B706" s="34" t="s">
        <v>713</v>
      </c>
      <c r="C706" s="34" t="s">
        <v>352</v>
      </c>
      <c r="D706" s="34" t="s">
        <v>956</v>
      </c>
      <c r="E706" s="34" t="s">
        <v>559</v>
      </c>
      <c r="F706" s="53">
        <v>0</v>
      </c>
      <c r="G706" s="53"/>
      <c r="H706" s="53"/>
      <c r="I70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RHM1.69KAHCT-ND</v>
      </c>
      <c r="J70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0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06" s="34" t="s">
        <v>954</v>
      </c>
      <c r="M706" s="42">
        <v>0.18</v>
      </c>
      <c r="N706" s="34"/>
      <c r="O706" s="42"/>
      <c r="P706" s="34"/>
      <c r="Q706" s="42"/>
      <c r="R706" s="34"/>
      <c r="S706" s="42"/>
      <c r="T706" s="34"/>
      <c r="U706" s="42"/>
      <c r="V706" s="34"/>
      <c r="W706" s="42"/>
      <c r="X706" s="34"/>
      <c r="Y706" s="42"/>
      <c r="Z706" s="42"/>
      <c r="AA706" s="36"/>
      <c r="AB706" s="50"/>
      <c r="AC706" s="56" t="str">
        <f>IF(Table1[[#This Row],[Auto Order]]=1,IF(Table1[[#This Row],[In stock]]&lt;Table1[[#This Row],[Min in stock]],1,""),"")</f>
        <v/>
      </c>
    </row>
    <row r="707" spans="1:29" x14ac:dyDescent="0.25">
      <c r="A707" s="60" t="s">
        <v>1775</v>
      </c>
      <c r="B707" s="34" t="s">
        <v>713</v>
      </c>
      <c r="C707" s="34" t="s">
        <v>352</v>
      </c>
      <c r="D707" s="34" t="s">
        <v>1776</v>
      </c>
      <c r="E707" s="34" t="s">
        <v>559</v>
      </c>
      <c r="F707" s="53">
        <v>0</v>
      </c>
      <c r="G707" s="53"/>
      <c r="H707" s="53"/>
      <c r="I70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RHM16.9KAHCT-ND</v>
      </c>
      <c r="J70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0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07" s="34" t="s">
        <v>1774</v>
      </c>
      <c r="M707" s="42">
        <v>0.18</v>
      </c>
      <c r="N707" s="34"/>
      <c r="O707" s="42"/>
      <c r="P707" s="34"/>
      <c r="Q707" s="42"/>
      <c r="R707" s="34"/>
      <c r="S707" s="42"/>
      <c r="T707" s="34"/>
      <c r="U707" s="42"/>
      <c r="V707" s="34"/>
      <c r="W707" s="42"/>
      <c r="X707" s="34"/>
      <c r="Y707" s="42"/>
      <c r="Z707" s="42"/>
      <c r="AA707" s="36"/>
      <c r="AB707" s="50"/>
      <c r="AC707" s="56" t="str">
        <f>IF(Table1[[#This Row],[Auto Order]]=1,IF(Table1[[#This Row],[In stock]]&lt;Table1[[#This Row],[Min in stock]],1,""),"")</f>
        <v/>
      </c>
    </row>
    <row r="708" spans="1:29" x14ac:dyDescent="0.25">
      <c r="A708" s="60" t="s">
        <v>1070</v>
      </c>
      <c r="B708" s="34" t="s">
        <v>713</v>
      </c>
      <c r="C708" s="34" t="s">
        <v>352</v>
      </c>
      <c r="D708" s="34" t="s">
        <v>1071</v>
      </c>
      <c r="E708" s="34" t="s">
        <v>559</v>
      </c>
      <c r="F708" s="53">
        <v>0</v>
      </c>
      <c r="G708" s="53"/>
      <c r="H708" s="53"/>
      <c r="I70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RHM1.69MAHCT-ND</v>
      </c>
      <c r="J70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0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08" s="34" t="s">
        <v>1069</v>
      </c>
      <c r="M708" s="42">
        <v>0.18</v>
      </c>
      <c r="N708" s="34"/>
      <c r="O708" s="42"/>
      <c r="P708" s="34"/>
      <c r="Q708" s="42"/>
      <c r="R708" s="34"/>
      <c r="S708" s="42"/>
      <c r="T708" s="34"/>
      <c r="U708" s="42"/>
      <c r="V708" s="34"/>
      <c r="W708" s="42"/>
      <c r="X708" s="34"/>
      <c r="Y708" s="42"/>
      <c r="Z708" s="42"/>
      <c r="AA708" s="36"/>
      <c r="AB708" s="50"/>
      <c r="AC708" s="56" t="str">
        <f>IF(Table1[[#This Row],[Auto Order]]=1,IF(Table1[[#This Row],[In stock]]&lt;Table1[[#This Row],[Min in stock]],1,""),"")</f>
        <v/>
      </c>
    </row>
    <row r="709" spans="1:29" x14ac:dyDescent="0.25">
      <c r="A709" s="60" t="s">
        <v>1293</v>
      </c>
      <c r="B709" s="34" t="s">
        <v>713</v>
      </c>
      <c r="C709" s="34" t="s">
        <v>352</v>
      </c>
      <c r="D709" s="34" t="s">
        <v>1294</v>
      </c>
      <c r="E709" s="34" t="s">
        <v>559</v>
      </c>
      <c r="F709" s="53">
        <v>0</v>
      </c>
      <c r="G709" s="53"/>
      <c r="H709" s="53"/>
      <c r="I70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RHM1.74KAHCT-ND</v>
      </c>
      <c r="J70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0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09" s="34" t="s">
        <v>1292</v>
      </c>
      <c r="M709" s="42">
        <v>0.18</v>
      </c>
      <c r="N709" s="34"/>
      <c r="O709" s="42"/>
      <c r="P709" s="34"/>
      <c r="Q709" s="42"/>
      <c r="R709" s="34"/>
      <c r="S709" s="42"/>
      <c r="T709" s="34"/>
      <c r="U709" s="42"/>
      <c r="V709" s="34"/>
      <c r="W709" s="42"/>
      <c r="X709" s="34"/>
      <c r="Y709" s="42"/>
      <c r="Z709" s="42"/>
      <c r="AA709" s="36"/>
      <c r="AB709" s="50"/>
      <c r="AC709" s="56" t="str">
        <f>IF(Table1[[#This Row],[Auto Order]]=1,IF(Table1[[#This Row],[In stock]]&lt;Table1[[#This Row],[Min in stock]],1,""),"")</f>
        <v/>
      </c>
    </row>
    <row r="710" spans="1:29" x14ac:dyDescent="0.25">
      <c r="A710" s="60" t="s">
        <v>1076</v>
      </c>
      <c r="B710" s="34" t="s">
        <v>713</v>
      </c>
      <c r="C710" s="34" t="s">
        <v>352</v>
      </c>
      <c r="D710" s="34" t="s">
        <v>1077</v>
      </c>
      <c r="E710" s="34" t="s">
        <v>559</v>
      </c>
      <c r="F710" s="53">
        <v>0</v>
      </c>
      <c r="G710" s="53"/>
      <c r="H710" s="53"/>
      <c r="I71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RHM17.4KAHCT-ND</v>
      </c>
      <c r="J71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1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10" s="34" t="s">
        <v>1075</v>
      </c>
      <c r="M710" s="42">
        <v>0.18</v>
      </c>
      <c r="N710" s="34"/>
      <c r="O710" s="42"/>
      <c r="P710" s="34"/>
      <c r="Q710" s="42"/>
      <c r="R710" s="34"/>
      <c r="S710" s="42"/>
      <c r="T710" s="34"/>
      <c r="U710" s="42"/>
      <c r="V710" s="34"/>
      <c r="W710" s="42"/>
      <c r="X710" s="34"/>
      <c r="Y710" s="42"/>
      <c r="Z710" s="42"/>
      <c r="AA710" s="36"/>
      <c r="AB710" s="50"/>
      <c r="AC710" s="56" t="str">
        <f>IF(Table1[[#This Row],[Auto Order]]=1,IF(Table1[[#This Row],[In stock]]&lt;Table1[[#This Row],[Min in stock]],1,""),"")</f>
        <v/>
      </c>
    </row>
    <row r="711" spans="1:29" x14ac:dyDescent="0.25">
      <c r="A711" s="60" t="s">
        <v>1299</v>
      </c>
      <c r="B711" s="34" t="s">
        <v>713</v>
      </c>
      <c r="C711" s="34" t="s">
        <v>352</v>
      </c>
      <c r="D711" s="34" t="s">
        <v>1300</v>
      </c>
      <c r="E711" s="34" t="s">
        <v>559</v>
      </c>
      <c r="F711" s="53">
        <v>0</v>
      </c>
      <c r="G711" s="53"/>
      <c r="H711" s="53"/>
      <c r="I71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RHM174KAHCT-ND</v>
      </c>
      <c r="J71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1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11" s="34" t="s">
        <v>1298</v>
      </c>
      <c r="M711" s="42">
        <v>0.18</v>
      </c>
      <c r="N711" s="34"/>
      <c r="O711" s="42"/>
      <c r="P711" s="34"/>
      <c r="Q711" s="42"/>
      <c r="R711" s="34"/>
      <c r="S711" s="42"/>
      <c r="T711" s="34"/>
      <c r="U711" s="42"/>
      <c r="V711" s="34"/>
      <c r="W711" s="42"/>
      <c r="X711" s="34"/>
      <c r="Y711" s="42"/>
      <c r="Z711" s="42"/>
      <c r="AA711" s="36"/>
      <c r="AB711" s="50"/>
      <c r="AC711" s="56" t="str">
        <f>IF(Table1[[#This Row],[Auto Order]]=1,IF(Table1[[#This Row],[In stock]]&lt;Table1[[#This Row],[Min in stock]],1,""),"")</f>
        <v/>
      </c>
    </row>
    <row r="712" spans="1:29" x14ac:dyDescent="0.25">
      <c r="A712" s="60" t="s">
        <v>1145</v>
      </c>
      <c r="B712" s="34" t="s">
        <v>713</v>
      </c>
      <c r="C712" s="34" t="s">
        <v>352</v>
      </c>
      <c r="D712" s="34" t="s">
        <v>1146</v>
      </c>
      <c r="E712" s="34" t="s">
        <v>559</v>
      </c>
      <c r="F712" s="53">
        <v>0</v>
      </c>
      <c r="G712" s="53"/>
      <c r="H712" s="53"/>
      <c r="I71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RHM17.8AHCT-ND</v>
      </c>
      <c r="J71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1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12" s="34" t="s">
        <v>1144</v>
      </c>
      <c r="M712" s="42">
        <v>0.18</v>
      </c>
      <c r="N712" s="34"/>
      <c r="O712" s="42"/>
      <c r="P712" s="34"/>
      <c r="Q712" s="42"/>
      <c r="R712" s="34"/>
      <c r="S712" s="42"/>
      <c r="T712" s="34"/>
      <c r="U712" s="42"/>
      <c r="V712" s="34"/>
      <c r="W712" s="42"/>
      <c r="X712" s="34"/>
      <c r="Y712" s="42"/>
      <c r="Z712" s="42"/>
      <c r="AA712" s="36"/>
      <c r="AB712" s="50"/>
      <c r="AC712" s="56" t="str">
        <f>IF(Table1[[#This Row],[Auto Order]]=1,IF(Table1[[#This Row],[In stock]]&lt;Table1[[#This Row],[Min in stock]],1,""),"")</f>
        <v/>
      </c>
    </row>
    <row r="713" spans="1:29" x14ac:dyDescent="0.25">
      <c r="A713" s="60" t="s">
        <v>958</v>
      </c>
      <c r="B713" s="34" t="s">
        <v>713</v>
      </c>
      <c r="C713" s="34" t="s">
        <v>352</v>
      </c>
      <c r="D713" s="34" t="s">
        <v>959</v>
      </c>
      <c r="E713" s="34" t="s">
        <v>559</v>
      </c>
      <c r="F713" s="53">
        <v>0</v>
      </c>
      <c r="G713" s="53"/>
      <c r="H713" s="53"/>
      <c r="I71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RHM180AHCT-ND</v>
      </c>
      <c r="J71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1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13" s="34" t="s">
        <v>957</v>
      </c>
      <c r="M713" s="42">
        <v>0.18</v>
      </c>
      <c r="N713" s="34"/>
      <c r="O713" s="42"/>
      <c r="P713" s="34"/>
      <c r="Q713" s="42"/>
      <c r="R713" s="34"/>
      <c r="S713" s="42"/>
      <c r="T713" s="34"/>
      <c r="U713" s="42"/>
      <c r="V713" s="34"/>
      <c r="W713" s="42"/>
      <c r="X713" s="34"/>
      <c r="Y713" s="42"/>
      <c r="Z713" s="42"/>
      <c r="AA713" s="36"/>
      <c r="AB713" s="50"/>
      <c r="AC713" s="56" t="str">
        <f>IF(Table1[[#This Row],[Auto Order]]=1,IF(Table1[[#This Row],[In stock]]&lt;Table1[[#This Row],[Min in stock]],1,""),"")</f>
        <v/>
      </c>
    </row>
    <row r="714" spans="1:29" x14ac:dyDescent="0.25">
      <c r="A714" s="60" t="s">
        <v>856</v>
      </c>
      <c r="B714" s="34" t="s">
        <v>713</v>
      </c>
      <c r="C714" s="34" t="s">
        <v>352</v>
      </c>
      <c r="D714" s="34" t="s">
        <v>857</v>
      </c>
      <c r="E714" s="34" t="s">
        <v>559</v>
      </c>
      <c r="F714" s="53">
        <v>0</v>
      </c>
      <c r="G714" s="53"/>
      <c r="H714" s="53"/>
      <c r="I71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RHM1.8KAHCT-ND</v>
      </c>
      <c r="J71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1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14" s="34" t="s">
        <v>855</v>
      </c>
      <c r="M714" s="42">
        <v>0.18</v>
      </c>
      <c r="N714" s="34"/>
      <c r="O714" s="42"/>
      <c r="P714" s="34"/>
      <c r="Q714" s="42"/>
      <c r="R714" s="34"/>
      <c r="S714" s="42"/>
      <c r="T714" s="34"/>
      <c r="U714" s="42"/>
      <c r="V714" s="34"/>
      <c r="W714" s="42"/>
      <c r="X714" s="34"/>
      <c r="Y714" s="42"/>
      <c r="Z714" s="42"/>
      <c r="AA714" s="36"/>
      <c r="AB714" s="50"/>
      <c r="AC714" s="56" t="str">
        <f>IF(Table1[[#This Row],[Auto Order]]=1,IF(Table1[[#This Row],[In stock]]&lt;Table1[[#This Row],[Min in stock]],1,""),"")</f>
        <v/>
      </c>
    </row>
    <row r="715" spans="1:29" x14ac:dyDescent="0.25">
      <c r="A715" s="60" t="s">
        <v>1344</v>
      </c>
      <c r="B715" s="34" t="s">
        <v>713</v>
      </c>
      <c r="C715" s="34" t="s">
        <v>352</v>
      </c>
      <c r="D715" s="34" t="s">
        <v>1345</v>
      </c>
      <c r="E715" s="34" t="s">
        <v>559</v>
      </c>
      <c r="F715" s="53">
        <v>0</v>
      </c>
      <c r="G715" s="53"/>
      <c r="H715" s="53"/>
      <c r="I71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RHM18KAHCT-ND</v>
      </c>
      <c r="J71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1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15" s="34" t="s">
        <v>1343</v>
      </c>
      <c r="M715" s="42">
        <v>0.18</v>
      </c>
      <c r="N715" s="34"/>
      <c r="O715" s="42"/>
      <c r="P715" s="34"/>
      <c r="Q715" s="42"/>
      <c r="R715" s="34"/>
      <c r="S715" s="42"/>
      <c r="T715" s="34"/>
      <c r="U715" s="42"/>
      <c r="V715" s="34"/>
      <c r="W715" s="42"/>
      <c r="X715" s="34"/>
      <c r="Y715" s="42"/>
      <c r="Z715" s="42"/>
      <c r="AA715" s="36"/>
      <c r="AB715" s="50"/>
      <c r="AC715" s="56" t="str">
        <f>IF(Table1[[#This Row],[Auto Order]]=1,IF(Table1[[#This Row],[In stock]]&lt;Table1[[#This Row],[Min in stock]],1,""),"")</f>
        <v/>
      </c>
    </row>
    <row r="716" spans="1:29" x14ac:dyDescent="0.25">
      <c r="A716" s="60" t="s">
        <v>1759</v>
      </c>
      <c r="B716" s="34" t="s">
        <v>713</v>
      </c>
      <c r="C716" s="34" t="s">
        <v>352</v>
      </c>
      <c r="D716" s="34" t="s">
        <v>1760</v>
      </c>
      <c r="E716" s="34" t="s">
        <v>559</v>
      </c>
      <c r="F716" s="53">
        <v>0</v>
      </c>
      <c r="G716" s="53"/>
      <c r="H716" s="53"/>
      <c r="I71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RHM180KAHCT-ND</v>
      </c>
      <c r="J71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1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16" s="34" t="s">
        <v>1758</v>
      </c>
      <c r="M716" s="42">
        <v>0.18</v>
      </c>
      <c r="N716" s="34"/>
      <c r="O716" s="42"/>
      <c r="P716" s="34"/>
      <c r="Q716" s="42"/>
      <c r="R716" s="34"/>
      <c r="S716" s="42"/>
      <c r="T716" s="34"/>
      <c r="U716" s="42"/>
      <c r="V716" s="34"/>
      <c r="W716" s="42"/>
      <c r="X716" s="34"/>
      <c r="Y716" s="42"/>
      <c r="Z716" s="42"/>
      <c r="AA716" s="36"/>
      <c r="AB716" s="50"/>
      <c r="AC716" s="56" t="str">
        <f>IF(Table1[[#This Row],[Auto Order]]=1,IF(Table1[[#This Row],[In stock]]&lt;Table1[[#This Row],[Min in stock]],1,""),"")</f>
        <v/>
      </c>
    </row>
    <row r="717" spans="1:29" x14ac:dyDescent="0.25">
      <c r="A717" s="60" t="s">
        <v>1400</v>
      </c>
      <c r="B717" s="34" t="s">
        <v>713</v>
      </c>
      <c r="C717" s="34" t="s">
        <v>352</v>
      </c>
      <c r="D717" s="34" t="s">
        <v>1401</v>
      </c>
      <c r="E717" s="34" t="s">
        <v>559</v>
      </c>
      <c r="F717" s="53">
        <v>0</v>
      </c>
      <c r="G717" s="53"/>
      <c r="H717" s="53"/>
      <c r="I71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RHM1.80MAHCT-ND</v>
      </c>
      <c r="J71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1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17" s="34" t="s">
        <v>1399</v>
      </c>
      <c r="M717" s="42">
        <v>0.18</v>
      </c>
      <c r="N717" s="34"/>
      <c r="O717" s="42"/>
      <c r="P717" s="34"/>
      <c r="Q717" s="42"/>
      <c r="R717" s="34"/>
      <c r="S717" s="42"/>
      <c r="T717" s="34"/>
      <c r="U717" s="42"/>
      <c r="V717" s="34"/>
      <c r="W717" s="42"/>
      <c r="X717" s="34"/>
      <c r="Y717" s="42"/>
      <c r="Z717" s="42"/>
      <c r="AA717" s="36"/>
      <c r="AB717" s="50"/>
      <c r="AC717" s="56" t="str">
        <f>IF(Table1[[#This Row],[Auto Order]]=1,IF(Table1[[#This Row],[In stock]]&lt;Table1[[#This Row],[Min in stock]],1,""),"")</f>
        <v/>
      </c>
    </row>
    <row r="718" spans="1:29" x14ac:dyDescent="0.25">
      <c r="A718" s="60" t="s">
        <v>1302</v>
      </c>
      <c r="B718" s="34" t="s">
        <v>713</v>
      </c>
      <c r="C718" s="34" t="s">
        <v>352</v>
      </c>
      <c r="D718" s="34" t="s">
        <v>1303</v>
      </c>
      <c r="E718" s="34" t="s">
        <v>559</v>
      </c>
      <c r="F718" s="53">
        <v>0</v>
      </c>
      <c r="G718" s="53"/>
      <c r="H718" s="53"/>
      <c r="I71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RHM18.2KAHCT-ND</v>
      </c>
      <c r="J71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1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18" s="34" t="s">
        <v>1301</v>
      </c>
      <c r="M718" s="42">
        <v>0.18</v>
      </c>
      <c r="N718" s="34"/>
      <c r="O718" s="42"/>
      <c r="P718" s="34"/>
      <c r="Q718" s="42"/>
      <c r="R718" s="34"/>
      <c r="S718" s="42"/>
      <c r="T718" s="34"/>
      <c r="U718" s="42"/>
      <c r="V718" s="34"/>
      <c r="W718" s="42"/>
      <c r="X718" s="34"/>
      <c r="Y718" s="42"/>
      <c r="Z718" s="42"/>
      <c r="AA718" s="36"/>
      <c r="AB718" s="50"/>
      <c r="AC718" s="56" t="str">
        <f>IF(Table1[[#This Row],[Auto Order]]=1,IF(Table1[[#This Row],[In stock]]&lt;Table1[[#This Row],[Min in stock]],1,""),"")</f>
        <v/>
      </c>
    </row>
    <row r="719" spans="1:29" x14ac:dyDescent="0.25">
      <c r="A719" s="60" t="s">
        <v>1205</v>
      </c>
      <c r="B719" s="34" t="s">
        <v>713</v>
      </c>
      <c r="C719" s="34" t="s">
        <v>352</v>
      </c>
      <c r="D719" s="34" t="s">
        <v>1206</v>
      </c>
      <c r="E719" s="34" t="s">
        <v>559</v>
      </c>
      <c r="F719" s="53">
        <v>0</v>
      </c>
      <c r="G719" s="53"/>
      <c r="H719" s="53"/>
      <c r="I71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RHM187AHCT-ND</v>
      </c>
      <c r="J71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1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19" s="34" t="s">
        <v>1204</v>
      </c>
      <c r="M719" s="42">
        <v>0.18</v>
      </c>
      <c r="N719" s="34"/>
      <c r="O719" s="42"/>
      <c r="P719" s="34"/>
      <c r="Q719" s="42"/>
      <c r="R719" s="34"/>
      <c r="S719" s="42"/>
      <c r="T719" s="34"/>
      <c r="U719" s="42"/>
      <c r="V719" s="34"/>
      <c r="W719" s="42"/>
      <c r="X719" s="34"/>
      <c r="Y719" s="42"/>
      <c r="Z719" s="42"/>
      <c r="AA719" s="36"/>
      <c r="AB719" s="50"/>
      <c r="AC719" s="56" t="str">
        <f>IF(Table1[[#This Row],[Auto Order]]=1,IF(Table1[[#This Row],[In stock]]&lt;Table1[[#This Row],[Min in stock]],1,""),"")</f>
        <v/>
      </c>
    </row>
    <row r="720" spans="1:29" x14ac:dyDescent="0.25">
      <c r="A720" s="60" t="s">
        <v>1335</v>
      </c>
      <c r="B720" s="34" t="s">
        <v>713</v>
      </c>
      <c r="C720" s="34" t="s">
        <v>352</v>
      </c>
      <c r="D720" s="34" t="s">
        <v>1336</v>
      </c>
      <c r="E720" s="34" t="s">
        <v>559</v>
      </c>
      <c r="F720" s="53">
        <v>0</v>
      </c>
      <c r="G720" s="53"/>
      <c r="H720" s="53"/>
      <c r="I72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RHM18.7KAHCT-ND</v>
      </c>
      <c r="J72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2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20" s="34" t="s">
        <v>1334</v>
      </c>
      <c r="M720" s="42">
        <v>0.18</v>
      </c>
      <c r="N720" s="34"/>
      <c r="O720" s="42"/>
      <c r="P720" s="34"/>
      <c r="Q720" s="42"/>
      <c r="R720" s="34"/>
      <c r="S720" s="42"/>
      <c r="T720" s="34"/>
      <c r="U720" s="42"/>
      <c r="V720" s="34"/>
      <c r="W720" s="42"/>
      <c r="X720" s="34"/>
      <c r="Y720" s="42"/>
      <c r="Z720" s="42"/>
      <c r="AA720" s="36"/>
      <c r="AB720" s="50"/>
      <c r="AC720" s="56" t="str">
        <f>IF(Table1[[#This Row],[Auto Order]]=1,IF(Table1[[#This Row],[In stock]]&lt;Table1[[#This Row],[Min in stock]],1,""),"")</f>
        <v/>
      </c>
    </row>
    <row r="721" spans="1:29" x14ac:dyDescent="0.25">
      <c r="A721" s="60" t="s">
        <v>1583</v>
      </c>
      <c r="B721" s="34" t="s">
        <v>713</v>
      </c>
      <c r="C721" s="34" t="s">
        <v>352</v>
      </c>
      <c r="D721" s="34" t="s">
        <v>1584</v>
      </c>
      <c r="E721" s="34" t="s">
        <v>559</v>
      </c>
      <c r="F721" s="53">
        <v>0</v>
      </c>
      <c r="G721" s="53"/>
      <c r="H721" s="53"/>
      <c r="I72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RHM187KAHCT-ND</v>
      </c>
      <c r="J72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2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21" s="34" t="s">
        <v>1582</v>
      </c>
      <c r="M721" s="42">
        <v>0.18</v>
      </c>
      <c r="N721" s="34"/>
      <c r="O721" s="42"/>
      <c r="P721" s="34"/>
      <c r="Q721" s="42"/>
      <c r="R721" s="34"/>
      <c r="S721" s="42"/>
      <c r="T721" s="34"/>
      <c r="U721" s="42"/>
      <c r="V721" s="34"/>
      <c r="W721" s="42"/>
      <c r="X721" s="34"/>
      <c r="Y721" s="42"/>
      <c r="Z721" s="42"/>
      <c r="AA721" s="36"/>
      <c r="AB721" s="50"/>
      <c r="AC721" s="56" t="str">
        <f>IF(Table1[[#This Row],[Auto Order]]=1,IF(Table1[[#This Row],[In stock]]&lt;Table1[[#This Row],[Min in stock]],1,""),"")</f>
        <v/>
      </c>
    </row>
    <row r="722" spans="1:29" x14ac:dyDescent="0.25">
      <c r="A722" s="60" t="s">
        <v>1409</v>
      </c>
      <c r="B722" s="34" t="s">
        <v>713</v>
      </c>
      <c r="C722" s="34" t="s">
        <v>352</v>
      </c>
      <c r="D722" s="34" t="s">
        <v>1410</v>
      </c>
      <c r="E722" s="34" t="s">
        <v>559</v>
      </c>
      <c r="F722" s="53">
        <v>0</v>
      </c>
      <c r="G722" s="53"/>
      <c r="H722" s="53"/>
      <c r="I72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RHM1.91KAHCT-ND</v>
      </c>
      <c r="J72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2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22" s="34" t="s">
        <v>1408</v>
      </c>
      <c r="M722" s="42">
        <v>0.18</v>
      </c>
      <c r="N722" s="34"/>
      <c r="O722" s="42"/>
      <c r="P722" s="34"/>
      <c r="Q722" s="42"/>
      <c r="R722" s="34"/>
      <c r="S722" s="42"/>
      <c r="T722" s="34"/>
      <c r="U722" s="42"/>
      <c r="V722" s="34"/>
      <c r="W722" s="42"/>
      <c r="X722" s="34"/>
      <c r="Y722" s="42"/>
      <c r="Z722" s="42"/>
      <c r="AA722" s="36"/>
      <c r="AB722" s="50"/>
      <c r="AC722" s="56" t="str">
        <f>IF(Table1[[#This Row],[Auto Order]]=1,IF(Table1[[#This Row],[In stock]]&lt;Table1[[#This Row],[Min in stock]],1,""),"")</f>
        <v/>
      </c>
    </row>
    <row r="723" spans="1:29" x14ac:dyDescent="0.25">
      <c r="A723" s="60" t="s">
        <v>1244</v>
      </c>
      <c r="B723" s="34" t="s">
        <v>713</v>
      </c>
      <c r="C723" s="34" t="s">
        <v>352</v>
      </c>
      <c r="D723" s="34" t="s">
        <v>1245</v>
      </c>
      <c r="E723" s="34" t="s">
        <v>559</v>
      </c>
      <c r="F723" s="53">
        <v>0</v>
      </c>
      <c r="G723" s="53"/>
      <c r="H723" s="53"/>
      <c r="I72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RHM19.1KAHCT-ND</v>
      </c>
      <c r="J72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2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23" s="34" t="s">
        <v>1243</v>
      </c>
      <c r="M723" s="42">
        <v>0.18</v>
      </c>
      <c r="N723" s="34"/>
      <c r="O723" s="42"/>
      <c r="P723" s="34"/>
      <c r="Q723" s="42"/>
      <c r="R723" s="34"/>
      <c r="S723" s="42"/>
      <c r="T723" s="34"/>
      <c r="U723" s="42"/>
      <c r="V723" s="34"/>
      <c r="W723" s="42"/>
      <c r="X723" s="34"/>
      <c r="Y723" s="42"/>
      <c r="Z723" s="42"/>
      <c r="AA723" s="36"/>
      <c r="AB723" s="50"/>
      <c r="AC723" s="56" t="str">
        <f>IF(Table1[[#This Row],[Auto Order]]=1,IF(Table1[[#This Row],[In stock]]&lt;Table1[[#This Row],[Min in stock]],1,""),"")</f>
        <v/>
      </c>
    </row>
    <row r="724" spans="1:29" x14ac:dyDescent="0.25">
      <c r="A724" s="60" t="s">
        <v>1718</v>
      </c>
      <c r="B724" s="34" t="s">
        <v>713</v>
      </c>
      <c r="C724" s="34" t="s">
        <v>352</v>
      </c>
      <c r="D724" s="34" t="s">
        <v>1719</v>
      </c>
      <c r="E724" s="34" t="s">
        <v>559</v>
      </c>
      <c r="F724" s="53">
        <v>0</v>
      </c>
      <c r="G724" s="53"/>
      <c r="H724" s="53"/>
      <c r="I72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RHM19.6KAHCT-ND</v>
      </c>
      <c r="J72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2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24" s="34" t="s">
        <v>1717</v>
      </c>
      <c r="M724" s="42">
        <v>0.18</v>
      </c>
      <c r="N724" s="34"/>
      <c r="O724" s="42"/>
      <c r="P724" s="34"/>
      <c r="Q724" s="42"/>
      <c r="R724" s="34"/>
      <c r="S724" s="42"/>
      <c r="T724" s="34"/>
      <c r="U724" s="42"/>
      <c r="V724" s="34"/>
      <c r="W724" s="42"/>
      <c r="X724" s="34"/>
      <c r="Y724" s="42"/>
      <c r="Z724" s="42"/>
      <c r="AA724" s="36"/>
      <c r="AB724" s="50"/>
      <c r="AC724" s="56" t="str">
        <f>IF(Table1[[#This Row],[Auto Order]]=1,IF(Table1[[#This Row],[In stock]]&lt;Table1[[#This Row],[Min in stock]],1,""),"")</f>
        <v/>
      </c>
    </row>
    <row r="725" spans="1:29" x14ac:dyDescent="0.25">
      <c r="A725" s="60" t="s">
        <v>1466</v>
      </c>
      <c r="B725" s="34" t="s">
        <v>713</v>
      </c>
      <c r="C725" s="34" t="s">
        <v>352</v>
      </c>
      <c r="D725" s="34" t="s">
        <v>600</v>
      </c>
      <c r="E725" s="34" t="s">
        <v>559</v>
      </c>
      <c r="F725" s="53">
        <v>0</v>
      </c>
      <c r="G725" s="53"/>
      <c r="H725" s="53"/>
      <c r="I72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RHM1MAHCT-ND</v>
      </c>
      <c r="J72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2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25" s="34" t="s">
        <v>1465</v>
      </c>
      <c r="M725" s="42">
        <v>0.18</v>
      </c>
      <c r="N725" s="34"/>
      <c r="O725" s="42"/>
      <c r="P725" s="34"/>
      <c r="Q725" s="42"/>
      <c r="R725" s="34"/>
      <c r="S725" s="42"/>
      <c r="T725" s="34"/>
      <c r="U725" s="42"/>
      <c r="V725" s="34"/>
      <c r="W725" s="42"/>
      <c r="X725" s="34"/>
      <c r="Y725" s="42"/>
      <c r="Z725" s="42"/>
      <c r="AA725" s="36"/>
      <c r="AB725" s="50"/>
      <c r="AC725" s="56" t="str">
        <f>IF(Table1[[#This Row],[Auto Order]]=1,IF(Table1[[#This Row],[In stock]]&lt;Table1[[#This Row],[Min in stock]],1,""),"")</f>
        <v/>
      </c>
    </row>
    <row r="726" spans="1:29" x14ac:dyDescent="0.25">
      <c r="A726" s="60" t="s">
        <v>1468</v>
      </c>
      <c r="B726" s="34" t="s">
        <v>713</v>
      </c>
      <c r="C726" s="34" t="s">
        <v>352</v>
      </c>
      <c r="D726" s="34" t="s">
        <v>633</v>
      </c>
      <c r="E726" s="34" t="s">
        <v>559</v>
      </c>
      <c r="F726" s="53">
        <v>0</v>
      </c>
      <c r="G726" s="53"/>
      <c r="H726" s="53"/>
      <c r="I72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RHM200AHCT-ND</v>
      </c>
      <c r="J72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2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26" s="34" t="s">
        <v>1467</v>
      </c>
      <c r="M726" s="42">
        <v>0.18</v>
      </c>
      <c r="N726" s="34"/>
      <c r="O726" s="42"/>
      <c r="P726" s="34"/>
      <c r="Q726" s="42"/>
      <c r="R726" s="34"/>
      <c r="S726" s="42"/>
      <c r="T726" s="34"/>
      <c r="U726" s="42"/>
      <c r="V726" s="34"/>
      <c r="W726" s="42"/>
      <c r="X726" s="34"/>
      <c r="Y726" s="42"/>
      <c r="Z726" s="42"/>
      <c r="AA726" s="36"/>
      <c r="AB726" s="50"/>
      <c r="AC726" s="56" t="str">
        <f>IF(Table1[[#This Row],[Auto Order]]=1,IF(Table1[[#This Row],[In stock]]&lt;Table1[[#This Row],[Min in stock]],1,""),"")</f>
        <v/>
      </c>
    </row>
    <row r="727" spans="1:29" x14ac:dyDescent="0.25">
      <c r="A727" s="60" t="s">
        <v>1371</v>
      </c>
      <c r="B727" s="34" t="s">
        <v>713</v>
      </c>
      <c r="C727" s="34" t="s">
        <v>352</v>
      </c>
      <c r="D727" s="34" t="s">
        <v>654</v>
      </c>
      <c r="E727" s="34" t="s">
        <v>559</v>
      </c>
      <c r="F727" s="53">
        <v>0</v>
      </c>
      <c r="G727" s="53"/>
      <c r="H727" s="53"/>
      <c r="I72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RHM2KAHCT-ND</v>
      </c>
      <c r="J72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2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27" s="34" t="s">
        <v>1370</v>
      </c>
      <c r="M727" s="42">
        <v>0.18</v>
      </c>
      <c r="N727" s="34"/>
      <c r="O727" s="42"/>
      <c r="P727" s="34"/>
      <c r="Q727" s="42"/>
      <c r="R727" s="34"/>
      <c r="S727" s="42"/>
      <c r="T727" s="34"/>
      <c r="U727" s="42"/>
      <c r="V727" s="34"/>
      <c r="W727" s="42"/>
      <c r="X727" s="34"/>
      <c r="Y727" s="42"/>
      <c r="Z727" s="42"/>
      <c r="AA727" s="36"/>
      <c r="AB727" s="50"/>
      <c r="AC727" s="56" t="str">
        <f>IF(Table1[[#This Row],[Auto Order]]=1,IF(Table1[[#This Row],[In stock]]&lt;Table1[[#This Row],[Min in stock]],1,""),"")</f>
        <v/>
      </c>
    </row>
    <row r="728" spans="1:29" x14ac:dyDescent="0.25">
      <c r="A728" s="60" t="s">
        <v>1480</v>
      </c>
      <c r="B728" s="34" t="s">
        <v>713</v>
      </c>
      <c r="C728" s="34" t="s">
        <v>352</v>
      </c>
      <c r="D728" s="34" t="s">
        <v>675</v>
      </c>
      <c r="E728" s="34" t="s">
        <v>559</v>
      </c>
      <c r="F728" s="53">
        <v>0</v>
      </c>
      <c r="G728" s="53"/>
      <c r="H728" s="53"/>
      <c r="I72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RHM20.0KAHCT-ND</v>
      </c>
      <c r="J72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2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28" s="34" t="s">
        <v>1479</v>
      </c>
      <c r="M728" s="42">
        <v>0.18</v>
      </c>
      <c r="N728" s="34"/>
      <c r="O728" s="42"/>
      <c r="P728" s="34"/>
      <c r="Q728" s="42"/>
      <c r="R728" s="34"/>
      <c r="S728" s="42"/>
      <c r="T728" s="34"/>
      <c r="U728" s="42"/>
      <c r="V728" s="34"/>
      <c r="W728" s="42"/>
      <c r="X728" s="34"/>
      <c r="Y728" s="42"/>
      <c r="Z728" s="42"/>
      <c r="AA728" s="36"/>
      <c r="AB728" s="50"/>
      <c r="AC728" s="56" t="str">
        <f>IF(Table1[[#This Row],[Auto Order]]=1,IF(Table1[[#This Row],[In stock]]&lt;Table1[[#This Row],[Min in stock]],1,""),"")</f>
        <v/>
      </c>
    </row>
    <row r="729" spans="1:29" x14ac:dyDescent="0.25">
      <c r="A729" s="60" t="s">
        <v>720</v>
      </c>
      <c r="B729" s="34" t="s">
        <v>713</v>
      </c>
      <c r="C729" s="34" t="s">
        <v>352</v>
      </c>
      <c r="D729" s="34" t="s">
        <v>693</v>
      </c>
      <c r="E729" s="34" t="s">
        <v>559</v>
      </c>
      <c r="F729" s="53">
        <v>0</v>
      </c>
      <c r="G729" s="53"/>
      <c r="H729" s="53"/>
      <c r="I72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RHM200KAHCT-ND</v>
      </c>
      <c r="J72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2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29" s="34" t="s">
        <v>719</v>
      </c>
      <c r="M729" s="42">
        <v>0.18</v>
      </c>
      <c r="N729" s="34"/>
      <c r="O729" s="42"/>
      <c r="P729" s="34"/>
      <c r="Q729" s="42"/>
      <c r="R729" s="34"/>
      <c r="S729" s="42"/>
      <c r="T729" s="34"/>
      <c r="U729" s="42"/>
      <c r="V729" s="34"/>
      <c r="W729" s="42"/>
      <c r="X729" s="34"/>
      <c r="Y729" s="42"/>
      <c r="Z729" s="42"/>
      <c r="AA729" s="36"/>
      <c r="AB729" s="50"/>
      <c r="AC729" s="56" t="str">
        <f>IF(Table1[[#This Row],[Auto Order]]=1,IF(Table1[[#This Row],[In stock]]&lt;Table1[[#This Row],[Min in stock]],1,""),"")</f>
        <v/>
      </c>
    </row>
    <row r="730" spans="1:29" x14ac:dyDescent="0.25">
      <c r="A730" s="60" t="s">
        <v>737</v>
      </c>
      <c r="B730" s="34" t="s">
        <v>713</v>
      </c>
      <c r="C730" s="34" t="s">
        <v>352</v>
      </c>
      <c r="D730" s="34" t="s">
        <v>702</v>
      </c>
      <c r="E730" s="34" t="s">
        <v>559</v>
      </c>
      <c r="F730" s="53">
        <v>0</v>
      </c>
      <c r="G730" s="53"/>
      <c r="H730" s="53"/>
      <c r="I73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RHM2.00MAHCT-ND</v>
      </c>
      <c r="J73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3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30" s="34" t="s">
        <v>736</v>
      </c>
      <c r="M730" s="42">
        <v>0.18</v>
      </c>
      <c r="N730" s="34"/>
      <c r="O730" s="42"/>
      <c r="P730" s="34"/>
      <c r="Q730" s="42"/>
      <c r="R730" s="34"/>
      <c r="S730" s="42"/>
      <c r="T730" s="34"/>
      <c r="U730" s="42"/>
      <c r="V730" s="34"/>
      <c r="W730" s="42"/>
      <c r="X730" s="34"/>
      <c r="Y730" s="42"/>
      <c r="Z730" s="42"/>
      <c r="AA730" s="36"/>
      <c r="AB730" s="50"/>
      <c r="AC730" s="56" t="str">
        <f>IF(Table1[[#This Row],[Auto Order]]=1,IF(Table1[[#This Row],[In stock]]&lt;Table1[[#This Row],[Min in stock]],1,""),"")</f>
        <v/>
      </c>
    </row>
    <row r="731" spans="1:29" x14ac:dyDescent="0.25">
      <c r="A731" s="60" t="s">
        <v>1103</v>
      </c>
      <c r="B731" s="34" t="s">
        <v>713</v>
      </c>
      <c r="C731" s="34" t="s">
        <v>352</v>
      </c>
      <c r="D731" s="34" t="s">
        <v>1104</v>
      </c>
      <c r="E731" s="34" t="s">
        <v>559</v>
      </c>
      <c r="F731" s="53">
        <v>0</v>
      </c>
      <c r="G731" s="53"/>
      <c r="H731" s="53"/>
      <c r="I73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RHM205AHCT-ND</v>
      </c>
      <c r="J73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3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31" s="34" t="s">
        <v>1102</v>
      </c>
      <c r="M731" s="42">
        <v>0.18</v>
      </c>
      <c r="N731" s="34"/>
      <c r="O731" s="42"/>
      <c r="P731" s="34"/>
      <c r="Q731" s="42"/>
      <c r="R731" s="34"/>
      <c r="S731" s="42"/>
      <c r="T731" s="34"/>
      <c r="U731" s="42"/>
      <c r="V731" s="34"/>
      <c r="W731" s="42"/>
      <c r="X731" s="34"/>
      <c r="Y731" s="42"/>
      <c r="Z731" s="42"/>
      <c r="AA731" s="36"/>
      <c r="AB731" s="50"/>
      <c r="AC731" s="56" t="str">
        <f>IF(Table1[[#This Row],[Auto Order]]=1,IF(Table1[[#This Row],[In stock]]&lt;Table1[[#This Row],[Min in stock]],1,""),"")</f>
        <v/>
      </c>
    </row>
    <row r="732" spans="1:29" x14ac:dyDescent="0.25">
      <c r="A732" s="60" t="s">
        <v>1586</v>
      </c>
      <c r="B732" s="34" t="s">
        <v>713</v>
      </c>
      <c r="C732" s="34" t="s">
        <v>352</v>
      </c>
      <c r="D732" s="34" t="s">
        <v>1587</v>
      </c>
      <c r="E732" s="34" t="s">
        <v>559</v>
      </c>
      <c r="F732" s="53">
        <v>0</v>
      </c>
      <c r="G732" s="53"/>
      <c r="H732" s="53"/>
      <c r="I73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RHM20.5KAHCT-ND</v>
      </c>
      <c r="J73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3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32" s="34" t="s">
        <v>1585</v>
      </c>
      <c r="M732" s="42">
        <v>0.18</v>
      </c>
      <c r="N732" s="34"/>
      <c r="O732" s="42"/>
      <c r="P732" s="34"/>
      <c r="Q732" s="42"/>
      <c r="R732" s="34"/>
      <c r="S732" s="42"/>
      <c r="T732" s="34"/>
      <c r="U732" s="42"/>
      <c r="V732" s="34"/>
      <c r="W732" s="42"/>
      <c r="X732" s="34"/>
      <c r="Y732" s="42"/>
      <c r="Z732" s="42"/>
      <c r="AA732" s="36"/>
      <c r="AB732" s="50"/>
      <c r="AC732" s="56" t="str">
        <f>IF(Table1[[#This Row],[Auto Order]]=1,IF(Table1[[#This Row],[In stock]]&lt;Table1[[#This Row],[Min in stock]],1,""),"")</f>
        <v/>
      </c>
    </row>
    <row r="733" spans="1:29" x14ac:dyDescent="0.25">
      <c r="A733" s="60" t="s">
        <v>1181</v>
      </c>
      <c r="B733" s="34" t="s">
        <v>713</v>
      </c>
      <c r="C733" s="34" t="s">
        <v>352</v>
      </c>
      <c r="D733" s="34" t="s">
        <v>1182</v>
      </c>
      <c r="E733" s="34" t="s">
        <v>559</v>
      </c>
      <c r="F733" s="53">
        <v>0</v>
      </c>
      <c r="G733" s="53"/>
      <c r="H733" s="53"/>
      <c r="I73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RHM205KAHCT-ND</v>
      </c>
      <c r="J73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3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33" s="34" t="s">
        <v>1180</v>
      </c>
      <c r="M733" s="42">
        <v>0.18</v>
      </c>
      <c r="N733" s="34"/>
      <c r="O733" s="42"/>
      <c r="P733" s="34"/>
      <c r="Q733" s="42"/>
      <c r="R733" s="34"/>
      <c r="S733" s="42"/>
      <c r="T733" s="34"/>
      <c r="U733" s="42"/>
      <c r="V733" s="34"/>
      <c r="W733" s="42"/>
      <c r="X733" s="34"/>
      <c r="Y733" s="42"/>
      <c r="Z733" s="42"/>
      <c r="AA733" s="36"/>
      <c r="AB733" s="50"/>
      <c r="AC733" s="56" t="str">
        <f>IF(Table1[[#This Row],[Auto Order]]=1,IF(Table1[[#This Row],[In stock]]&lt;Table1[[#This Row],[Min in stock]],1,""),"")</f>
        <v/>
      </c>
    </row>
    <row r="734" spans="1:29" x14ac:dyDescent="0.25">
      <c r="A734" s="60" t="s">
        <v>1518</v>
      </c>
      <c r="B734" s="34" t="s">
        <v>713</v>
      </c>
      <c r="C734" s="34" t="s">
        <v>352</v>
      </c>
      <c r="D734" s="34" t="s">
        <v>618</v>
      </c>
      <c r="E734" s="34" t="s">
        <v>559</v>
      </c>
      <c r="F734" s="53">
        <v>0</v>
      </c>
      <c r="G734" s="53"/>
      <c r="H734" s="53"/>
      <c r="I73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RHM20AHCT-ND</v>
      </c>
      <c r="J73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3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34" s="34" t="s">
        <v>1517</v>
      </c>
      <c r="M734" s="42">
        <v>0.18</v>
      </c>
      <c r="N734" s="34"/>
      <c r="O734" s="42"/>
      <c r="P734" s="34"/>
      <c r="Q734" s="42"/>
      <c r="R734" s="34"/>
      <c r="S734" s="42"/>
      <c r="T734" s="34"/>
      <c r="U734" s="42"/>
      <c r="V734" s="34"/>
      <c r="W734" s="42"/>
      <c r="X734" s="34"/>
      <c r="Y734" s="42"/>
      <c r="Z734" s="42"/>
      <c r="AA734" s="36"/>
      <c r="AB734" s="50"/>
      <c r="AC734" s="56" t="str">
        <f>IF(Table1[[#This Row],[Auto Order]]=1,IF(Table1[[#This Row],[In stock]]&lt;Table1[[#This Row],[Min in stock]],1,""),"")</f>
        <v/>
      </c>
    </row>
    <row r="735" spans="1:29" x14ac:dyDescent="0.25">
      <c r="A735" s="60" t="s">
        <v>1589</v>
      </c>
      <c r="B735" s="34" t="s">
        <v>713</v>
      </c>
      <c r="C735" s="34" t="s">
        <v>352</v>
      </c>
      <c r="D735" s="34" t="s">
        <v>1590</v>
      </c>
      <c r="E735" s="34" t="s">
        <v>559</v>
      </c>
      <c r="F735" s="53">
        <v>0</v>
      </c>
      <c r="G735" s="53"/>
      <c r="H735" s="53"/>
      <c r="I73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RHM210AHCT-ND</v>
      </c>
      <c r="J73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3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35" s="34" t="s">
        <v>1588</v>
      </c>
      <c r="M735" s="42">
        <v>0.18</v>
      </c>
      <c r="N735" s="34"/>
      <c r="O735" s="42"/>
      <c r="P735" s="34"/>
      <c r="Q735" s="42"/>
      <c r="R735" s="34"/>
      <c r="S735" s="42"/>
      <c r="T735" s="34"/>
      <c r="U735" s="42"/>
      <c r="V735" s="34"/>
      <c r="W735" s="42"/>
      <c r="X735" s="34"/>
      <c r="Y735" s="42"/>
      <c r="Z735" s="42"/>
      <c r="AA735" s="36"/>
      <c r="AB735" s="50"/>
      <c r="AC735" s="56" t="str">
        <f>IF(Table1[[#This Row],[Auto Order]]=1,IF(Table1[[#This Row],[In stock]]&lt;Table1[[#This Row],[Min in stock]],1,""),"")</f>
        <v/>
      </c>
    </row>
    <row r="736" spans="1:29" x14ac:dyDescent="0.25">
      <c r="A736" s="60" t="s">
        <v>1592</v>
      </c>
      <c r="B736" s="34" t="s">
        <v>713</v>
      </c>
      <c r="C736" s="34" t="s">
        <v>352</v>
      </c>
      <c r="D736" s="34" t="s">
        <v>1593</v>
      </c>
      <c r="E736" s="34" t="s">
        <v>559</v>
      </c>
      <c r="F736" s="53">
        <v>0</v>
      </c>
      <c r="G736" s="53"/>
      <c r="H736" s="53"/>
      <c r="I73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RHM21KAHCT-ND</v>
      </c>
      <c r="J73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3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36" s="34" t="s">
        <v>1591</v>
      </c>
      <c r="M736" s="42">
        <v>0.18</v>
      </c>
      <c r="N736" s="34"/>
      <c r="O736" s="42"/>
      <c r="P736" s="34"/>
      <c r="Q736" s="42"/>
      <c r="R736" s="34"/>
      <c r="S736" s="42"/>
      <c r="T736" s="34"/>
      <c r="U736" s="42"/>
      <c r="V736" s="34"/>
      <c r="W736" s="42"/>
      <c r="X736" s="34"/>
      <c r="Y736" s="42"/>
      <c r="Z736" s="42"/>
      <c r="AA736" s="36"/>
      <c r="AB736" s="50"/>
      <c r="AC736" s="56" t="str">
        <f>IF(Table1[[#This Row],[Auto Order]]=1,IF(Table1[[#This Row],[In stock]]&lt;Table1[[#This Row],[Min in stock]],1,""),"")</f>
        <v/>
      </c>
    </row>
    <row r="737" spans="1:29" x14ac:dyDescent="0.25">
      <c r="A737" s="60" t="s">
        <v>1595</v>
      </c>
      <c r="B737" s="34" t="s">
        <v>713</v>
      </c>
      <c r="C737" s="34" t="s">
        <v>352</v>
      </c>
      <c r="D737" s="34" t="s">
        <v>1596</v>
      </c>
      <c r="E737" s="34" t="s">
        <v>559</v>
      </c>
      <c r="F737" s="53">
        <v>0</v>
      </c>
      <c r="G737" s="53"/>
      <c r="H737" s="53"/>
      <c r="I73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RHM210KAHCT-ND</v>
      </c>
      <c r="J73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3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37" s="34" t="s">
        <v>1594</v>
      </c>
      <c r="M737" s="42">
        <v>0.18</v>
      </c>
      <c r="N737" s="34"/>
      <c r="O737" s="42"/>
      <c r="P737" s="34"/>
      <c r="Q737" s="42"/>
      <c r="R737" s="34"/>
      <c r="S737" s="42"/>
      <c r="T737" s="34"/>
      <c r="U737" s="42"/>
      <c r="V737" s="34"/>
      <c r="W737" s="42"/>
      <c r="X737" s="34"/>
      <c r="Y737" s="42"/>
      <c r="Z737" s="42"/>
      <c r="AA737" s="36"/>
      <c r="AB737" s="50"/>
      <c r="AC737" s="56" t="str">
        <f>IF(Table1[[#This Row],[Auto Order]]=1,IF(Table1[[#This Row],[In stock]]&lt;Table1[[#This Row],[Min in stock]],1,""),"")</f>
        <v/>
      </c>
    </row>
    <row r="738" spans="1:29" x14ac:dyDescent="0.25">
      <c r="A738" s="60" t="s">
        <v>1273</v>
      </c>
      <c r="B738" s="34" t="s">
        <v>713</v>
      </c>
      <c r="C738" s="34" t="s">
        <v>352</v>
      </c>
      <c r="D738" s="34" t="s">
        <v>1274</v>
      </c>
      <c r="E738" s="34" t="s">
        <v>559</v>
      </c>
      <c r="F738" s="53">
        <v>0</v>
      </c>
      <c r="G738" s="53"/>
      <c r="H738" s="53"/>
      <c r="I73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RHM215AHCT-ND</v>
      </c>
      <c r="J73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3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38" s="34" t="s">
        <v>1272</v>
      </c>
      <c r="M738" s="42">
        <v>0.18</v>
      </c>
      <c r="N738" s="34"/>
      <c r="O738" s="42"/>
      <c r="P738" s="34"/>
      <c r="Q738" s="42"/>
      <c r="R738" s="34"/>
      <c r="S738" s="42"/>
      <c r="T738" s="34"/>
      <c r="U738" s="42"/>
      <c r="V738" s="34"/>
      <c r="W738" s="42"/>
      <c r="X738" s="34"/>
      <c r="Y738" s="42"/>
      <c r="Z738" s="42"/>
      <c r="AA738" s="36"/>
      <c r="AB738" s="50"/>
      <c r="AC738" s="56" t="str">
        <f>IF(Table1[[#This Row],[Auto Order]]=1,IF(Table1[[#This Row],[In stock]]&lt;Table1[[#This Row],[Min in stock]],1,""),"")</f>
        <v/>
      </c>
    </row>
    <row r="739" spans="1:29" x14ac:dyDescent="0.25">
      <c r="A739" s="60" t="s">
        <v>961</v>
      </c>
      <c r="B739" s="34" t="s">
        <v>713</v>
      </c>
      <c r="C739" s="34" t="s">
        <v>352</v>
      </c>
      <c r="D739" s="34" t="s">
        <v>962</v>
      </c>
      <c r="E739" s="34" t="s">
        <v>559</v>
      </c>
      <c r="F739" s="53">
        <v>0</v>
      </c>
      <c r="G739" s="53"/>
      <c r="H739" s="53"/>
      <c r="I73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RHM21.5KAHCT-ND</v>
      </c>
      <c r="J73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3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39" s="34" t="s">
        <v>960</v>
      </c>
      <c r="M739" s="42">
        <v>0.18</v>
      </c>
      <c r="N739" s="34"/>
      <c r="O739" s="42"/>
      <c r="P739" s="34"/>
      <c r="Q739" s="42"/>
      <c r="R739" s="34"/>
      <c r="S739" s="42"/>
      <c r="T739" s="34"/>
      <c r="U739" s="42"/>
      <c r="V739" s="34"/>
      <c r="W739" s="42"/>
      <c r="X739" s="34"/>
      <c r="Y739" s="42"/>
      <c r="Z739" s="42"/>
      <c r="AA739" s="36"/>
      <c r="AB739" s="50"/>
      <c r="AC739" s="56" t="str">
        <f>IF(Table1[[#This Row],[Auto Order]]=1,IF(Table1[[#This Row],[In stock]]&lt;Table1[[#This Row],[Min in stock]],1,""),"")</f>
        <v/>
      </c>
    </row>
    <row r="740" spans="1:29" x14ac:dyDescent="0.25">
      <c r="A740" s="60" t="s">
        <v>1598</v>
      </c>
      <c r="B740" s="34" t="s">
        <v>713</v>
      </c>
      <c r="C740" s="34" t="s">
        <v>352</v>
      </c>
      <c r="D740" s="34" t="s">
        <v>1599</v>
      </c>
      <c r="E740" s="34" t="s">
        <v>559</v>
      </c>
      <c r="F740" s="53">
        <v>0</v>
      </c>
      <c r="G740" s="53"/>
      <c r="H740" s="53"/>
      <c r="I74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RHM21AHCT-ND</v>
      </c>
      <c r="J74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4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40" s="34" t="s">
        <v>1597</v>
      </c>
      <c r="M740" s="42">
        <v>0.18</v>
      </c>
      <c r="N740" s="34"/>
      <c r="O740" s="42"/>
      <c r="P740" s="34"/>
      <c r="Q740" s="42"/>
      <c r="R740" s="34"/>
      <c r="S740" s="42"/>
      <c r="T740" s="34"/>
      <c r="U740" s="42"/>
      <c r="V740" s="34"/>
      <c r="W740" s="42"/>
      <c r="X740" s="34"/>
      <c r="Y740" s="42"/>
      <c r="Z740" s="42"/>
      <c r="AA740" s="36"/>
      <c r="AB740" s="50"/>
      <c r="AC740" s="56" t="str">
        <f>IF(Table1[[#This Row],[Auto Order]]=1,IF(Table1[[#This Row],[In stock]]&lt;Table1[[#This Row],[Min in stock]],1,""),"")</f>
        <v/>
      </c>
    </row>
    <row r="741" spans="1:29" x14ac:dyDescent="0.25">
      <c r="A741" s="60" t="s">
        <v>1765</v>
      </c>
      <c r="B741" s="34" t="s">
        <v>713</v>
      </c>
      <c r="C741" s="34" t="s">
        <v>352</v>
      </c>
      <c r="D741" s="34" t="s">
        <v>636</v>
      </c>
      <c r="E741" s="34" t="s">
        <v>559</v>
      </c>
      <c r="F741" s="53">
        <v>0</v>
      </c>
      <c r="G741" s="53"/>
      <c r="H741" s="53"/>
      <c r="I74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RHM220AHCT-ND</v>
      </c>
      <c r="J74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4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41" s="34" t="s">
        <v>1764</v>
      </c>
      <c r="M741" s="42">
        <v>0.18</v>
      </c>
      <c r="N741" s="34"/>
      <c r="O741" s="42"/>
      <c r="P741" s="34"/>
      <c r="Q741" s="42"/>
      <c r="R741" s="34"/>
      <c r="S741" s="42"/>
      <c r="T741" s="34"/>
      <c r="U741" s="42"/>
      <c r="V741" s="34"/>
      <c r="W741" s="42"/>
      <c r="X741" s="34"/>
      <c r="Y741" s="42"/>
      <c r="Z741" s="42"/>
      <c r="AA741" s="36"/>
      <c r="AB741" s="50"/>
      <c r="AC741" s="56" t="str">
        <f>IF(Table1[[#This Row],[Auto Order]]=1,IF(Table1[[#This Row],[In stock]]&lt;Table1[[#This Row],[Min in stock]],1,""),"")</f>
        <v/>
      </c>
    </row>
    <row r="742" spans="1:29" x14ac:dyDescent="0.25">
      <c r="A742" s="60" t="s">
        <v>1492</v>
      </c>
      <c r="B742" s="34" t="s">
        <v>713</v>
      </c>
      <c r="C742" s="34" t="s">
        <v>352</v>
      </c>
      <c r="D742" s="34" t="s">
        <v>657</v>
      </c>
      <c r="E742" s="34" t="s">
        <v>559</v>
      </c>
      <c r="F742" s="53">
        <v>0</v>
      </c>
      <c r="G742" s="53"/>
      <c r="H742" s="53"/>
      <c r="I74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RHM2.2KAHCT-ND</v>
      </c>
      <c r="J74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4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42" s="34" t="s">
        <v>1491</v>
      </c>
      <c r="M742" s="42">
        <v>0.18</v>
      </c>
      <c r="N742" s="34"/>
      <c r="O742" s="42"/>
      <c r="P742" s="34"/>
      <c r="Q742" s="42"/>
      <c r="R742" s="34"/>
      <c r="S742" s="42"/>
      <c r="T742" s="34"/>
      <c r="U742" s="42"/>
      <c r="V742" s="34"/>
      <c r="W742" s="42"/>
      <c r="X742" s="34"/>
      <c r="Y742" s="42"/>
      <c r="Z742" s="42"/>
      <c r="AA742" s="36"/>
      <c r="AB742" s="50"/>
      <c r="AC742" s="56" t="str">
        <f>IF(Table1[[#This Row],[Auto Order]]=1,IF(Table1[[#This Row],[In stock]]&lt;Table1[[#This Row],[Min in stock]],1,""),"")</f>
        <v/>
      </c>
    </row>
    <row r="743" spans="1:29" x14ac:dyDescent="0.25">
      <c r="A743" s="60" t="s">
        <v>751</v>
      </c>
      <c r="B743" s="34" t="s">
        <v>713</v>
      </c>
      <c r="C743" s="34" t="s">
        <v>352</v>
      </c>
      <c r="D743" s="34" t="s">
        <v>678</v>
      </c>
      <c r="E743" s="34" t="s">
        <v>559</v>
      </c>
      <c r="F743" s="53">
        <v>0</v>
      </c>
      <c r="G743" s="53"/>
      <c r="H743" s="53"/>
      <c r="I74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RHM22KAHCT-ND</v>
      </c>
      <c r="J74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4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43" s="34" t="s">
        <v>750</v>
      </c>
      <c r="M743" s="42">
        <v>0.18</v>
      </c>
      <c r="N743" s="34"/>
      <c r="O743" s="42"/>
      <c r="P743" s="34"/>
      <c r="Q743" s="42"/>
      <c r="R743" s="34"/>
      <c r="S743" s="42"/>
      <c r="T743" s="34"/>
      <c r="U743" s="42"/>
      <c r="V743" s="34"/>
      <c r="W743" s="42"/>
      <c r="X743" s="34"/>
      <c r="Y743" s="42"/>
      <c r="Z743" s="42"/>
      <c r="AA743" s="36"/>
      <c r="AB743" s="50"/>
      <c r="AC743" s="56" t="str">
        <f>IF(Table1[[#This Row],[Auto Order]]=1,IF(Table1[[#This Row],[In stock]]&lt;Table1[[#This Row],[Min in stock]],1,""),"")</f>
        <v/>
      </c>
    </row>
    <row r="744" spans="1:29" x14ac:dyDescent="0.25">
      <c r="A744" s="60" t="s">
        <v>724</v>
      </c>
      <c r="B744" s="34" t="s">
        <v>713</v>
      </c>
      <c r="C744" s="34" t="s">
        <v>352</v>
      </c>
      <c r="D744" s="34" t="s">
        <v>725</v>
      </c>
      <c r="E744" s="34" t="s">
        <v>559</v>
      </c>
      <c r="F744" s="53">
        <v>0</v>
      </c>
      <c r="G744" s="53"/>
      <c r="H744" s="53"/>
      <c r="I74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RHM220KAHCT-ND</v>
      </c>
      <c r="J74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4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44" s="34" t="s">
        <v>723</v>
      </c>
      <c r="M744" s="42">
        <v>0.18</v>
      </c>
      <c r="N744" s="34"/>
      <c r="O744" s="42"/>
      <c r="P744" s="34"/>
      <c r="Q744" s="42"/>
      <c r="R744" s="34"/>
      <c r="S744" s="42"/>
      <c r="T744" s="34"/>
      <c r="U744" s="42"/>
      <c r="V744" s="34"/>
      <c r="W744" s="42"/>
      <c r="X744" s="34"/>
      <c r="Y744" s="42"/>
      <c r="Z744" s="42"/>
      <c r="AA744" s="36"/>
      <c r="AB744" s="50"/>
      <c r="AC744" s="56" t="str">
        <f>IF(Table1[[#This Row],[Auto Order]]=1,IF(Table1[[#This Row],[In stock]]&lt;Table1[[#This Row],[Min in stock]],1,""),"")</f>
        <v/>
      </c>
    </row>
    <row r="745" spans="1:29" x14ac:dyDescent="0.25">
      <c r="A745" s="60" t="s">
        <v>742</v>
      </c>
      <c r="B745" s="34" t="s">
        <v>713</v>
      </c>
      <c r="C745" s="34" t="s">
        <v>352</v>
      </c>
      <c r="D745" s="34" t="s">
        <v>743</v>
      </c>
      <c r="E745" s="34" t="s">
        <v>559</v>
      </c>
      <c r="F745" s="53">
        <v>0</v>
      </c>
      <c r="G745" s="53"/>
      <c r="H745" s="53"/>
      <c r="I74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RHM2.20MAHCT-ND</v>
      </c>
      <c r="J74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4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45" s="34" t="s">
        <v>741</v>
      </c>
      <c r="M745" s="42">
        <v>0.18</v>
      </c>
      <c r="N745" s="34"/>
      <c r="O745" s="42"/>
      <c r="P745" s="34"/>
      <c r="Q745" s="42"/>
      <c r="R745" s="34"/>
      <c r="S745" s="42"/>
      <c r="T745" s="34"/>
      <c r="U745" s="42"/>
      <c r="V745" s="34"/>
      <c r="W745" s="42"/>
      <c r="X745" s="34"/>
      <c r="Y745" s="42"/>
      <c r="Z745" s="42"/>
      <c r="AA745" s="36"/>
      <c r="AB745" s="50"/>
      <c r="AC745" s="56" t="str">
        <f>IF(Table1[[#This Row],[Auto Order]]=1,IF(Table1[[#This Row],[In stock]]&lt;Table1[[#This Row],[Min in stock]],1,""),"")</f>
        <v/>
      </c>
    </row>
    <row r="746" spans="1:29" x14ac:dyDescent="0.25">
      <c r="A746" s="60" t="s">
        <v>1290</v>
      </c>
      <c r="B746" s="34" t="s">
        <v>713</v>
      </c>
      <c r="C746" s="34" t="s">
        <v>352</v>
      </c>
      <c r="D746" s="34" t="s">
        <v>1291</v>
      </c>
      <c r="E746" s="34" t="s">
        <v>559</v>
      </c>
      <c r="F746" s="53">
        <v>0</v>
      </c>
      <c r="G746" s="53"/>
      <c r="H746" s="53"/>
      <c r="I74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RHM221AHCT-ND</v>
      </c>
      <c r="J74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4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46" s="34" t="s">
        <v>1289</v>
      </c>
      <c r="M746" s="42">
        <v>0.18</v>
      </c>
      <c r="N746" s="34"/>
      <c r="O746" s="42"/>
      <c r="P746" s="34"/>
      <c r="Q746" s="42"/>
      <c r="R746" s="34"/>
      <c r="S746" s="42"/>
      <c r="T746" s="34"/>
      <c r="U746" s="42"/>
      <c r="V746" s="34"/>
      <c r="W746" s="42"/>
      <c r="X746" s="34"/>
      <c r="Y746" s="42"/>
      <c r="Z746" s="42"/>
      <c r="AA746" s="36"/>
      <c r="AB746" s="50"/>
      <c r="AC746" s="56" t="str">
        <f>IF(Table1[[#This Row],[Auto Order]]=1,IF(Table1[[#This Row],[In stock]]&lt;Table1[[#This Row],[Min in stock]],1,""),"")</f>
        <v/>
      </c>
    </row>
    <row r="747" spans="1:29" x14ac:dyDescent="0.25">
      <c r="A747" s="60" t="s">
        <v>1450</v>
      </c>
      <c r="B747" s="34" t="s">
        <v>713</v>
      </c>
      <c r="C747" s="34" t="s">
        <v>352</v>
      </c>
      <c r="D747" s="34" t="s">
        <v>1451</v>
      </c>
      <c r="E747" s="34" t="s">
        <v>559</v>
      </c>
      <c r="F747" s="53">
        <v>0</v>
      </c>
      <c r="G747" s="53"/>
      <c r="H747" s="53"/>
      <c r="I74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RHM22.1KAHCT-ND</v>
      </c>
      <c r="J74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4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47" s="34" t="s">
        <v>1449</v>
      </c>
      <c r="M747" s="42">
        <v>0.18</v>
      </c>
      <c r="N747" s="34"/>
      <c r="O747" s="42"/>
      <c r="P747" s="34"/>
      <c r="Q747" s="42"/>
      <c r="R747" s="34"/>
      <c r="S747" s="42"/>
      <c r="T747" s="34"/>
      <c r="U747" s="42"/>
      <c r="V747" s="34"/>
      <c r="W747" s="42"/>
      <c r="X747" s="34"/>
      <c r="Y747" s="42"/>
      <c r="Z747" s="42"/>
      <c r="AA747" s="36"/>
      <c r="AB747" s="50"/>
      <c r="AC747" s="56" t="str">
        <f>IF(Table1[[#This Row],[Auto Order]]=1,IF(Table1[[#This Row],[In stock]]&lt;Table1[[#This Row],[Min in stock]],1,""),"")</f>
        <v/>
      </c>
    </row>
    <row r="748" spans="1:29" x14ac:dyDescent="0.25">
      <c r="A748" s="60" t="s">
        <v>1356</v>
      </c>
      <c r="B748" s="34" t="s">
        <v>713</v>
      </c>
      <c r="C748" s="34" t="s">
        <v>352</v>
      </c>
      <c r="D748" s="34" t="s">
        <v>1357</v>
      </c>
      <c r="E748" s="34" t="s">
        <v>559</v>
      </c>
      <c r="F748" s="53">
        <v>0</v>
      </c>
      <c r="G748" s="53"/>
      <c r="H748" s="53"/>
      <c r="I74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RHM221KAHCT-ND</v>
      </c>
      <c r="J74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4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48" s="34" t="s">
        <v>1355</v>
      </c>
      <c r="M748" s="42">
        <v>0.18</v>
      </c>
      <c r="N748" s="34"/>
      <c r="O748" s="42"/>
      <c r="P748" s="34"/>
      <c r="Q748" s="42"/>
      <c r="R748" s="34"/>
      <c r="S748" s="42"/>
      <c r="T748" s="34"/>
      <c r="U748" s="42"/>
      <c r="V748" s="34"/>
      <c r="W748" s="42"/>
      <c r="X748" s="34"/>
      <c r="Y748" s="42"/>
      <c r="Z748" s="42"/>
      <c r="AA748" s="36"/>
      <c r="AB748" s="50"/>
      <c r="AC748" s="56" t="str">
        <f>IF(Table1[[#This Row],[Auto Order]]=1,IF(Table1[[#This Row],[In stock]]&lt;Table1[[#This Row],[Min in stock]],1,""),"")</f>
        <v/>
      </c>
    </row>
    <row r="749" spans="1:29" x14ac:dyDescent="0.25">
      <c r="A749" s="60" t="s">
        <v>1317</v>
      </c>
      <c r="B749" s="34" t="s">
        <v>713</v>
      </c>
      <c r="C749" s="34" t="s">
        <v>352</v>
      </c>
      <c r="D749" s="34" t="s">
        <v>1318</v>
      </c>
      <c r="E749" s="34" t="s">
        <v>559</v>
      </c>
      <c r="F749" s="53">
        <v>0</v>
      </c>
      <c r="G749" s="53"/>
      <c r="H749" s="53"/>
      <c r="I74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RHM2.26KAHCT-ND</v>
      </c>
      <c r="J74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4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49" s="34" t="s">
        <v>1316</v>
      </c>
      <c r="M749" s="42">
        <v>0.18</v>
      </c>
      <c r="N749" s="34"/>
      <c r="O749" s="42"/>
      <c r="P749" s="34"/>
      <c r="Q749" s="42"/>
      <c r="R749" s="34"/>
      <c r="S749" s="42"/>
      <c r="T749" s="34"/>
      <c r="U749" s="42"/>
      <c r="V749" s="34"/>
      <c r="W749" s="42"/>
      <c r="X749" s="34"/>
      <c r="Y749" s="42"/>
      <c r="Z749" s="42"/>
      <c r="AA749" s="36"/>
      <c r="AB749" s="50"/>
      <c r="AC749" s="56" t="str">
        <f>IF(Table1[[#This Row],[Auto Order]]=1,IF(Table1[[#This Row],[In stock]]&lt;Table1[[#This Row],[Min in stock]],1,""),"")</f>
        <v/>
      </c>
    </row>
    <row r="750" spans="1:29" x14ac:dyDescent="0.25">
      <c r="A750" s="60" t="s">
        <v>1106</v>
      </c>
      <c r="B750" s="34" t="s">
        <v>713</v>
      </c>
      <c r="C750" s="34" t="s">
        <v>352</v>
      </c>
      <c r="D750" s="34" t="s">
        <v>1107</v>
      </c>
      <c r="E750" s="34" t="s">
        <v>559</v>
      </c>
      <c r="F750" s="53">
        <v>0</v>
      </c>
      <c r="G750" s="53"/>
      <c r="H750" s="53"/>
      <c r="I75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RHM22.6KAHCT-ND</v>
      </c>
      <c r="J75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5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50" s="34" t="s">
        <v>1105</v>
      </c>
      <c r="M750" s="42">
        <v>0.18</v>
      </c>
      <c r="N750" s="34"/>
      <c r="O750" s="42"/>
      <c r="P750" s="34"/>
      <c r="Q750" s="42"/>
      <c r="R750" s="34"/>
      <c r="S750" s="42"/>
      <c r="T750" s="34"/>
      <c r="U750" s="42"/>
      <c r="V750" s="34"/>
      <c r="W750" s="42"/>
      <c r="X750" s="34"/>
      <c r="Y750" s="42"/>
      <c r="Z750" s="42"/>
      <c r="AA750" s="36"/>
      <c r="AB750" s="50"/>
      <c r="AC750" s="56" t="str">
        <f>IF(Table1[[#This Row],[Auto Order]]=1,IF(Table1[[#This Row],[In stock]]&lt;Table1[[#This Row],[Min in stock]],1,""),"")</f>
        <v/>
      </c>
    </row>
    <row r="751" spans="1:29" x14ac:dyDescent="0.25">
      <c r="A751" s="60" t="s">
        <v>1421</v>
      </c>
      <c r="B751" s="34" t="s">
        <v>713</v>
      </c>
      <c r="C751" s="34" t="s">
        <v>352</v>
      </c>
      <c r="D751" s="34" t="s">
        <v>621</v>
      </c>
      <c r="E751" s="34" t="s">
        <v>559</v>
      </c>
      <c r="F751" s="53">
        <v>0</v>
      </c>
      <c r="G751" s="53"/>
      <c r="H751" s="53"/>
      <c r="I75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RHM22AHCT-ND</v>
      </c>
      <c r="J75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5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51" s="34" t="s">
        <v>1420</v>
      </c>
      <c r="M751" s="42">
        <v>0.18</v>
      </c>
      <c r="N751" s="34"/>
      <c r="O751" s="42"/>
      <c r="P751" s="34"/>
      <c r="Q751" s="42"/>
      <c r="R751" s="34"/>
      <c r="S751" s="42"/>
      <c r="T751" s="34"/>
      <c r="U751" s="42"/>
      <c r="V751" s="34"/>
      <c r="W751" s="42"/>
      <c r="X751" s="34"/>
      <c r="Y751" s="42"/>
      <c r="Z751" s="42"/>
      <c r="AA751" s="36"/>
      <c r="AB751" s="50"/>
      <c r="AC751" s="56" t="str">
        <f>IF(Table1[[#This Row],[Auto Order]]=1,IF(Table1[[#This Row],[In stock]]&lt;Table1[[#This Row],[Min in stock]],1,""),"")</f>
        <v/>
      </c>
    </row>
    <row r="752" spans="1:29" x14ac:dyDescent="0.25">
      <c r="A752" s="60" t="s">
        <v>964</v>
      </c>
      <c r="B752" s="34" t="s">
        <v>713</v>
      </c>
      <c r="C752" s="34" t="s">
        <v>352</v>
      </c>
      <c r="D752" s="34" t="s">
        <v>965</v>
      </c>
      <c r="E752" s="34" t="s">
        <v>559</v>
      </c>
      <c r="F752" s="53">
        <v>0</v>
      </c>
      <c r="G752" s="53"/>
      <c r="H752" s="53"/>
      <c r="I75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RHM232KAHCT-ND</v>
      </c>
      <c r="J75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5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52" s="34" t="s">
        <v>963</v>
      </c>
      <c r="M752" s="42">
        <v>0.18</v>
      </c>
      <c r="N752" s="34"/>
      <c r="O752" s="42"/>
      <c r="P752" s="34"/>
      <c r="Q752" s="42"/>
      <c r="R752" s="34"/>
      <c r="S752" s="42"/>
      <c r="T752" s="34"/>
      <c r="U752" s="42"/>
      <c r="V752" s="34"/>
      <c r="W752" s="42"/>
      <c r="X752" s="34"/>
      <c r="Y752" s="42"/>
      <c r="Z752" s="42"/>
      <c r="AA752" s="36"/>
      <c r="AB752" s="50"/>
      <c r="AC752" s="56" t="str">
        <f>IF(Table1[[#This Row],[Auto Order]]=1,IF(Table1[[#This Row],[In stock]]&lt;Table1[[#This Row],[Min in stock]],1,""),"")</f>
        <v/>
      </c>
    </row>
    <row r="753" spans="1:29" x14ac:dyDescent="0.25">
      <c r="A753" s="60" t="s">
        <v>1412</v>
      </c>
      <c r="B753" s="34" t="s">
        <v>713</v>
      </c>
      <c r="C753" s="34" t="s">
        <v>352</v>
      </c>
      <c r="D753" s="34" t="s">
        <v>1413</v>
      </c>
      <c r="E753" s="34" t="s">
        <v>559</v>
      </c>
      <c r="F753" s="53">
        <v>0</v>
      </c>
      <c r="G753" s="53"/>
      <c r="H753" s="53"/>
      <c r="I75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RHM23.7KAHCT-ND</v>
      </c>
      <c r="J75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5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53" s="34" t="s">
        <v>1411</v>
      </c>
      <c r="M753" s="42">
        <v>0.18</v>
      </c>
      <c r="N753" s="34"/>
      <c r="O753" s="42"/>
      <c r="P753" s="34"/>
      <c r="Q753" s="42"/>
      <c r="R753" s="34"/>
      <c r="S753" s="42"/>
      <c r="T753" s="34"/>
      <c r="U753" s="42"/>
      <c r="V753" s="34"/>
      <c r="W753" s="42"/>
      <c r="X753" s="34"/>
      <c r="Y753" s="42"/>
      <c r="Z753" s="42"/>
      <c r="AA753" s="36"/>
      <c r="AB753" s="50"/>
      <c r="AC753" s="56" t="str">
        <f>IF(Table1[[#This Row],[Auto Order]]=1,IF(Table1[[#This Row],[In stock]]&lt;Table1[[#This Row],[Min in stock]],1,""),"")</f>
        <v/>
      </c>
    </row>
    <row r="754" spans="1:29" x14ac:dyDescent="0.25">
      <c r="A754" s="60" t="s">
        <v>859</v>
      </c>
      <c r="B754" s="34" t="s">
        <v>713</v>
      </c>
      <c r="C754" s="34" t="s">
        <v>352</v>
      </c>
      <c r="D754" s="34" t="s">
        <v>860</v>
      </c>
      <c r="E754" s="34" t="s">
        <v>559</v>
      </c>
      <c r="F754" s="53">
        <v>0</v>
      </c>
      <c r="G754" s="53"/>
      <c r="H754" s="53"/>
      <c r="I75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RHM237KAHCT-ND</v>
      </c>
      <c r="J75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5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54" s="34" t="s">
        <v>858</v>
      </c>
      <c r="M754" s="42">
        <v>0.18</v>
      </c>
      <c r="N754" s="34"/>
      <c r="O754" s="42"/>
      <c r="P754" s="34"/>
      <c r="Q754" s="42"/>
      <c r="R754" s="34"/>
      <c r="S754" s="42"/>
      <c r="T754" s="34"/>
      <c r="U754" s="42"/>
      <c r="V754" s="34"/>
      <c r="W754" s="42"/>
      <c r="X754" s="34"/>
      <c r="Y754" s="42"/>
      <c r="Z754" s="42"/>
      <c r="AA754" s="36"/>
      <c r="AB754" s="50"/>
      <c r="AC754" s="56" t="str">
        <f>IF(Table1[[#This Row],[Auto Order]]=1,IF(Table1[[#This Row],[In stock]]&lt;Table1[[#This Row],[Min in stock]],1,""),"")</f>
        <v/>
      </c>
    </row>
    <row r="755" spans="1:29" x14ac:dyDescent="0.25">
      <c r="A755" s="60" t="s">
        <v>967</v>
      </c>
      <c r="B755" s="34" t="s">
        <v>713</v>
      </c>
      <c r="C755" s="34" t="s">
        <v>352</v>
      </c>
      <c r="D755" s="34" t="s">
        <v>968</v>
      </c>
      <c r="E755" s="34" t="s">
        <v>559</v>
      </c>
      <c r="F755" s="53">
        <v>0</v>
      </c>
      <c r="G755" s="53"/>
      <c r="H755" s="53"/>
      <c r="I75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RHM23.7AHCT-ND</v>
      </c>
      <c r="J75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5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55" s="34" t="s">
        <v>966</v>
      </c>
      <c r="M755" s="42">
        <v>0.18</v>
      </c>
      <c r="N755" s="34"/>
      <c r="O755" s="42"/>
      <c r="P755" s="34"/>
      <c r="Q755" s="42"/>
      <c r="R755" s="34"/>
      <c r="S755" s="42"/>
      <c r="T755" s="34"/>
      <c r="U755" s="42"/>
      <c r="V755" s="34"/>
      <c r="W755" s="42"/>
      <c r="X755" s="34"/>
      <c r="Y755" s="42"/>
      <c r="Z755" s="42"/>
      <c r="AA755" s="36"/>
      <c r="AB755" s="50"/>
      <c r="AC755" s="56" t="str">
        <f>IF(Table1[[#This Row],[Auto Order]]=1,IF(Table1[[#This Row],[In stock]]&lt;Table1[[#This Row],[Min in stock]],1,""),"")</f>
        <v/>
      </c>
    </row>
    <row r="756" spans="1:29" x14ac:dyDescent="0.25">
      <c r="A756" s="60" t="s">
        <v>1520</v>
      </c>
      <c r="B756" s="34" t="s">
        <v>713</v>
      </c>
      <c r="C756" s="34" t="s">
        <v>352</v>
      </c>
      <c r="D756" s="34" t="s">
        <v>1521</v>
      </c>
      <c r="E756" s="34" t="s">
        <v>559</v>
      </c>
      <c r="F756" s="53">
        <v>0</v>
      </c>
      <c r="G756" s="53"/>
      <c r="H756" s="53"/>
      <c r="I75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RHM240AHCT-ND</v>
      </c>
      <c r="J75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5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56" s="34" t="s">
        <v>1519</v>
      </c>
      <c r="M756" s="42">
        <v>0.18</v>
      </c>
      <c r="N756" s="34"/>
      <c r="O756" s="42"/>
      <c r="P756" s="34"/>
      <c r="Q756" s="42"/>
      <c r="R756" s="34"/>
      <c r="S756" s="42"/>
      <c r="T756" s="34"/>
      <c r="U756" s="42"/>
      <c r="V756" s="34"/>
      <c r="W756" s="42"/>
      <c r="X756" s="34"/>
      <c r="Y756" s="42"/>
      <c r="Z756" s="42"/>
      <c r="AA756" s="36"/>
      <c r="AB756" s="50"/>
      <c r="AC756" s="56" t="str">
        <f>IF(Table1[[#This Row],[Auto Order]]=1,IF(Table1[[#This Row],[In stock]]&lt;Table1[[#This Row],[Min in stock]],1,""),"")</f>
        <v/>
      </c>
    </row>
    <row r="757" spans="1:29" x14ac:dyDescent="0.25">
      <c r="A757" s="60" t="s">
        <v>862</v>
      </c>
      <c r="B757" s="34" t="s">
        <v>713</v>
      </c>
      <c r="C757" s="34" t="s">
        <v>352</v>
      </c>
      <c r="D757" s="34" t="s">
        <v>863</v>
      </c>
      <c r="E757" s="34" t="s">
        <v>559</v>
      </c>
      <c r="F757" s="53">
        <v>0</v>
      </c>
      <c r="G757" s="53"/>
      <c r="H757" s="53"/>
      <c r="I75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RHM2.4KAHCT-ND</v>
      </c>
      <c r="J75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5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57" s="34" t="s">
        <v>861</v>
      </c>
      <c r="M757" s="42">
        <v>0.18</v>
      </c>
      <c r="N757" s="34"/>
      <c r="O757" s="42"/>
      <c r="P757" s="34"/>
      <c r="Q757" s="42"/>
      <c r="R757" s="34"/>
      <c r="S757" s="42"/>
      <c r="T757" s="34"/>
      <c r="U757" s="42"/>
      <c r="V757" s="34"/>
      <c r="W757" s="42"/>
      <c r="X757" s="34"/>
      <c r="Y757" s="42"/>
      <c r="Z757" s="42"/>
      <c r="AA757" s="36"/>
      <c r="AB757" s="50"/>
      <c r="AC757" s="56" t="str">
        <f>IF(Table1[[#This Row],[Auto Order]]=1,IF(Table1[[#This Row],[In stock]]&lt;Table1[[#This Row],[Min in stock]],1,""),"")</f>
        <v/>
      </c>
    </row>
    <row r="758" spans="1:29" x14ac:dyDescent="0.25">
      <c r="A758" s="60" t="s">
        <v>1523</v>
      </c>
      <c r="B758" s="34" t="s">
        <v>713</v>
      </c>
      <c r="C758" s="34" t="s">
        <v>352</v>
      </c>
      <c r="D758" s="34" t="s">
        <v>1524</v>
      </c>
      <c r="E758" s="34" t="s">
        <v>559</v>
      </c>
      <c r="F758" s="53">
        <v>0</v>
      </c>
      <c r="G758" s="53"/>
      <c r="H758" s="53"/>
      <c r="I75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RHM24KAHCT-ND</v>
      </c>
      <c r="J75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5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58" s="34" t="s">
        <v>1522</v>
      </c>
      <c r="M758" s="42">
        <v>0.18</v>
      </c>
      <c r="N758" s="34"/>
      <c r="O758" s="42"/>
      <c r="P758" s="34"/>
      <c r="Q758" s="42"/>
      <c r="R758" s="34"/>
      <c r="S758" s="42"/>
      <c r="T758" s="34"/>
      <c r="U758" s="42"/>
      <c r="V758" s="34"/>
      <c r="W758" s="42"/>
      <c r="X758" s="34"/>
      <c r="Y758" s="42"/>
      <c r="Z758" s="42"/>
      <c r="AA758" s="36"/>
      <c r="AB758" s="50"/>
      <c r="AC758" s="56" t="str">
        <f>IF(Table1[[#This Row],[Auto Order]]=1,IF(Table1[[#This Row],[In stock]]&lt;Table1[[#This Row],[Min in stock]],1,""),"")</f>
        <v/>
      </c>
    </row>
    <row r="759" spans="1:29" x14ac:dyDescent="0.25">
      <c r="A759" s="60" t="s">
        <v>1601</v>
      </c>
      <c r="B759" s="34" t="s">
        <v>713</v>
      </c>
      <c r="C759" s="34" t="s">
        <v>352</v>
      </c>
      <c r="D759" s="34" t="s">
        <v>1602</v>
      </c>
      <c r="E759" s="34" t="s">
        <v>559</v>
      </c>
      <c r="F759" s="53">
        <v>0</v>
      </c>
      <c r="G759" s="53"/>
      <c r="H759" s="53"/>
      <c r="I75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RHM243AHCT-ND</v>
      </c>
      <c r="J75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5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59" s="34" t="s">
        <v>1600</v>
      </c>
      <c r="M759" s="42">
        <v>0.18</v>
      </c>
      <c r="N759" s="34"/>
      <c r="O759" s="42"/>
      <c r="P759" s="34"/>
      <c r="Q759" s="42"/>
      <c r="R759" s="34"/>
      <c r="S759" s="42"/>
      <c r="T759" s="34"/>
      <c r="U759" s="42"/>
      <c r="V759" s="34"/>
      <c r="W759" s="42"/>
      <c r="X759" s="34"/>
      <c r="Y759" s="42"/>
      <c r="Z759" s="42"/>
      <c r="AA759" s="36"/>
      <c r="AB759" s="50"/>
      <c r="AC759" s="56" t="str">
        <f>IF(Table1[[#This Row],[Auto Order]]=1,IF(Table1[[#This Row],[In stock]]&lt;Table1[[#This Row],[Min in stock]],1,""),"")</f>
        <v/>
      </c>
    </row>
    <row r="760" spans="1:29" x14ac:dyDescent="0.25">
      <c r="A760" s="60" t="s">
        <v>919</v>
      </c>
      <c r="B760" s="34" t="s">
        <v>713</v>
      </c>
      <c r="C760" s="34" t="s">
        <v>352</v>
      </c>
      <c r="D760" s="34" t="s">
        <v>920</v>
      </c>
      <c r="E760" s="34" t="s">
        <v>559</v>
      </c>
      <c r="F760" s="53">
        <v>0</v>
      </c>
      <c r="G760" s="53"/>
      <c r="H760" s="53"/>
      <c r="I76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RHM2.43KAHCT-ND</v>
      </c>
      <c r="J76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6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60" s="34" t="s">
        <v>918</v>
      </c>
      <c r="M760" s="42">
        <v>0.18</v>
      </c>
      <c r="N760" s="34"/>
      <c r="O760" s="42"/>
      <c r="P760" s="34"/>
      <c r="Q760" s="42"/>
      <c r="R760" s="34"/>
      <c r="S760" s="42"/>
      <c r="T760" s="34"/>
      <c r="U760" s="42"/>
      <c r="V760" s="34"/>
      <c r="W760" s="42"/>
      <c r="X760" s="34"/>
      <c r="Y760" s="42"/>
      <c r="Z760" s="42"/>
      <c r="AA760" s="36"/>
      <c r="AB760" s="50"/>
      <c r="AC760" s="56" t="str">
        <f>IF(Table1[[#This Row],[Auto Order]]=1,IF(Table1[[#This Row],[In stock]]&lt;Table1[[#This Row],[Min in stock]],1,""),"")</f>
        <v/>
      </c>
    </row>
    <row r="761" spans="1:29" x14ac:dyDescent="0.25">
      <c r="A761" s="60" t="s">
        <v>970</v>
      </c>
      <c r="B761" s="34" t="s">
        <v>713</v>
      </c>
      <c r="C761" s="34" t="s">
        <v>352</v>
      </c>
      <c r="D761" s="34" t="s">
        <v>971</v>
      </c>
      <c r="E761" s="34" t="s">
        <v>559</v>
      </c>
      <c r="F761" s="53">
        <v>0</v>
      </c>
      <c r="G761" s="53"/>
      <c r="H761" s="53"/>
      <c r="I76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RHM24.3KAHCT-ND</v>
      </c>
      <c r="J76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6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61" s="34" t="s">
        <v>969</v>
      </c>
      <c r="M761" s="42">
        <v>0.18</v>
      </c>
      <c r="N761" s="34"/>
      <c r="O761" s="42"/>
      <c r="P761" s="34"/>
      <c r="Q761" s="42"/>
      <c r="R761" s="34"/>
      <c r="S761" s="42"/>
      <c r="T761" s="34"/>
      <c r="U761" s="42"/>
      <c r="V761" s="34"/>
      <c r="W761" s="42"/>
      <c r="X761" s="34"/>
      <c r="Y761" s="42"/>
      <c r="Z761" s="42"/>
      <c r="AA761" s="36"/>
      <c r="AB761" s="50"/>
      <c r="AC761" s="56" t="str">
        <f>IF(Table1[[#This Row],[Auto Order]]=1,IF(Table1[[#This Row],[In stock]]&lt;Table1[[#This Row],[Min in stock]],1,""),"")</f>
        <v/>
      </c>
    </row>
    <row r="762" spans="1:29" x14ac:dyDescent="0.25">
      <c r="A762" s="60" t="s">
        <v>1706</v>
      </c>
      <c r="B762" s="34" t="s">
        <v>713</v>
      </c>
      <c r="C762" s="34" t="s">
        <v>352</v>
      </c>
      <c r="D762" s="34" t="s">
        <v>1707</v>
      </c>
      <c r="E762" s="34" t="s">
        <v>559</v>
      </c>
      <c r="F762" s="53">
        <v>0</v>
      </c>
      <c r="G762" s="53"/>
      <c r="H762" s="53"/>
      <c r="I76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RHM249AHCT-ND</v>
      </c>
      <c r="J76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6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62" s="34" t="s">
        <v>1705</v>
      </c>
      <c r="M762" s="42">
        <v>0.18</v>
      </c>
      <c r="N762" s="34"/>
      <c r="O762" s="42"/>
      <c r="P762" s="34"/>
      <c r="Q762" s="42"/>
      <c r="R762" s="34"/>
      <c r="S762" s="42"/>
      <c r="T762" s="34"/>
      <c r="U762" s="42"/>
      <c r="V762" s="34"/>
      <c r="W762" s="42"/>
      <c r="X762" s="34"/>
      <c r="Y762" s="42"/>
      <c r="Z762" s="42"/>
      <c r="AA762" s="36"/>
      <c r="AB762" s="50"/>
      <c r="AC762" s="56" t="str">
        <f>IF(Table1[[#This Row],[Auto Order]]=1,IF(Table1[[#This Row],[In stock]]&lt;Table1[[#This Row],[Min in stock]],1,""),"")</f>
        <v/>
      </c>
    </row>
    <row r="763" spans="1:29" x14ac:dyDescent="0.25">
      <c r="A763" s="60" t="s">
        <v>1730</v>
      </c>
      <c r="B763" s="34" t="s">
        <v>713</v>
      </c>
      <c r="C763" s="34" t="s">
        <v>352</v>
      </c>
      <c r="D763" s="34" t="s">
        <v>1731</v>
      </c>
      <c r="E763" s="34" t="s">
        <v>559</v>
      </c>
      <c r="F763" s="53">
        <v>0</v>
      </c>
      <c r="G763" s="53"/>
      <c r="H763" s="53"/>
      <c r="I76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RHM2.49KAHCT-ND</v>
      </c>
      <c r="J76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6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63" s="34" t="s">
        <v>1729</v>
      </c>
      <c r="M763" s="42">
        <v>0.18</v>
      </c>
      <c r="N763" s="34"/>
      <c r="O763" s="42"/>
      <c r="P763" s="34"/>
      <c r="Q763" s="42"/>
      <c r="R763" s="34"/>
      <c r="S763" s="42"/>
      <c r="T763" s="34"/>
      <c r="U763" s="42"/>
      <c r="V763" s="34"/>
      <c r="W763" s="42"/>
      <c r="X763" s="34"/>
      <c r="Y763" s="42"/>
      <c r="Z763" s="42"/>
      <c r="AA763" s="36"/>
      <c r="AB763" s="50"/>
      <c r="AC763" s="56" t="str">
        <f>IF(Table1[[#This Row],[Auto Order]]=1,IF(Table1[[#This Row],[In stock]]&lt;Table1[[#This Row],[Min in stock]],1,""),"")</f>
        <v/>
      </c>
    </row>
    <row r="764" spans="1:29" x14ac:dyDescent="0.25">
      <c r="A764" s="60" t="s">
        <v>1397</v>
      </c>
      <c r="B764" s="34" t="s">
        <v>713</v>
      </c>
      <c r="C764" s="34" t="s">
        <v>352</v>
      </c>
      <c r="D764" s="34" t="s">
        <v>1398</v>
      </c>
      <c r="E764" s="34" t="s">
        <v>559</v>
      </c>
      <c r="F764" s="53">
        <v>0</v>
      </c>
      <c r="G764" s="53"/>
      <c r="H764" s="53"/>
      <c r="I76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RHM24.9KAHCT-ND</v>
      </c>
      <c r="J76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6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64" s="34" t="s">
        <v>1396</v>
      </c>
      <c r="M764" s="42">
        <v>0.18</v>
      </c>
      <c r="N764" s="34"/>
      <c r="O764" s="42"/>
      <c r="P764" s="34"/>
      <c r="Q764" s="42"/>
      <c r="R764" s="34"/>
      <c r="S764" s="42"/>
      <c r="T764" s="34"/>
      <c r="U764" s="42"/>
      <c r="V764" s="34"/>
      <c r="W764" s="42"/>
      <c r="X764" s="34"/>
      <c r="Y764" s="42"/>
      <c r="Z764" s="42"/>
      <c r="AA764" s="36"/>
      <c r="AB764" s="50"/>
      <c r="AC764" s="56" t="str">
        <f>IF(Table1[[#This Row],[Auto Order]]=1,IF(Table1[[#This Row],[In stock]]&lt;Table1[[#This Row],[Min in stock]],1,""),"")</f>
        <v/>
      </c>
    </row>
    <row r="765" spans="1:29" x14ac:dyDescent="0.25">
      <c r="A765" s="60" t="s">
        <v>865</v>
      </c>
      <c r="B765" s="34" t="s">
        <v>713</v>
      </c>
      <c r="C765" s="34" t="s">
        <v>352</v>
      </c>
      <c r="D765" s="34" t="s">
        <v>696</v>
      </c>
      <c r="E765" s="34" t="s">
        <v>559</v>
      </c>
      <c r="F765" s="53">
        <v>0</v>
      </c>
      <c r="G765" s="53"/>
      <c r="H765" s="53"/>
      <c r="I76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RHM249KAHCT-ND</v>
      </c>
      <c r="J76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6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65" s="34" t="s">
        <v>864</v>
      </c>
      <c r="M765" s="42">
        <v>0.18</v>
      </c>
      <c r="N765" s="34"/>
      <c r="O765" s="42"/>
      <c r="P765" s="34"/>
      <c r="Q765" s="42"/>
      <c r="R765" s="34"/>
      <c r="S765" s="42"/>
      <c r="T765" s="34"/>
      <c r="U765" s="42"/>
      <c r="V765" s="34"/>
      <c r="W765" s="42"/>
      <c r="X765" s="34"/>
      <c r="Y765" s="42"/>
      <c r="Z765" s="42"/>
      <c r="AA765" s="36"/>
      <c r="AB765" s="50"/>
      <c r="AC765" s="56" t="str">
        <f>IF(Table1[[#This Row],[Auto Order]]=1,IF(Table1[[#This Row],[In stock]]&lt;Table1[[#This Row],[Min in stock]],1,""),"")</f>
        <v/>
      </c>
    </row>
    <row r="766" spans="1:29" x14ac:dyDescent="0.25">
      <c r="A766" s="60" t="s">
        <v>1604</v>
      </c>
      <c r="B766" s="34" t="s">
        <v>713</v>
      </c>
      <c r="C766" s="34" t="s">
        <v>352</v>
      </c>
      <c r="D766" s="34" t="s">
        <v>1605</v>
      </c>
      <c r="E766" s="34" t="s">
        <v>559</v>
      </c>
      <c r="F766" s="53">
        <v>0</v>
      </c>
      <c r="G766" s="53"/>
      <c r="H766" s="53"/>
      <c r="I76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RHM24AHCT-ND</v>
      </c>
      <c r="J76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6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66" s="34" t="s">
        <v>1603</v>
      </c>
      <c r="M766" s="42">
        <v>0.18</v>
      </c>
      <c r="N766" s="34"/>
      <c r="O766" s="42"/>
      <c r="P766" s="34"/>
      <c r="Q766" s="42"/>
      <c r="R766" s="34"/>
      <c r="S766" s="42"/>
      <c r="T766" s="34"/>
      <c r="U766" s="42"/>
      <c r="V766" s="34"/>
      <c r="W766" s="42"/>
      <c r="X766" s="34"/>
      <c r="Y766" s="42"/>
      <c r="Z766" s="42"/>
      <c r="AA766" s="36"/>
      <c r="AB766" s="50"/>
      <c r="AC766" s="56" t="str">
        <f>IF(Table1[[#This Row],[Auto Order]]=1,IF(Table1[[#This Row],[In stock]]&lt;Table1[[#This Row],[Min in stock]],1,""),"")</f>
        <v/>
      </c>
    </row>
    <row r="767" spans="1:29" x14ac:dyDescent="0.25">
      <c r="A767" s="60" t="s">
        <v>1526</v>
      </c>
      <c r="B767" s="34" t="s">
        <v>713</v>
      </c>
      <c r="C767" s="34" t="s">
        <v>352</v>
      </c>
      <c r="D767" s="34" t="s">
        <v>1527</v>
      </c>
      <c r="E767" s="34" t="s">
        <v>559</v>
      </c>
      <c r="F767" s="53">
        <v>0</v>
      </c>
      <c r="G767" s="53"/>
      <c r="H767" s="53"/>
      <c r="I76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RHM24.9AHCT-ND</v>
      </c>
      <c r="J76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6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67" s="34" t="s">
        <v>1525</v>
      </c>
      <c r="M767" s="42">
        <v>0.18</v>
      </c>
      <c r="N767" s="34"/>
      <c r="O767" s="42"/>
      <c r="P767" s="34"/>
      <c r="Q767" s="42"/>
      <c r="R767" s="34"/>
      <c r="S767" s="42"/>
      <c r="T767" s="34"/>
      <c r="U767" s="42"/>
      <c r="V767" s="34"/>
      <c r="W767" s="42"/>
      <c r="X767" s="34"/>
      <c r="Y767" s="42"/>
      <c r="Z767" s="42"/>
      <c r="AA767" s="36"/>
      <c r="AB767" s="50"/>
      <c r="AC767" s="56" t="str">
        <f>IF(Table1[[#This Row],[Auto Order]]=1,IF(Table1[[#This Row],[In stock]]&lt;Table1[[#This Row],[Min in stock]],1,""),"")</f>
        <v/>
      </c>
    </row>
    <row r="768" spans="1:29" x14ac:dyDescent="0.25">
      <c r="A768" s="60" t="s">
        <v>1229</v>
      </c>
      <c r="B768" s="34" t="s">
        <v>713</v>
      </c>
      <c r="C768" s="34" t="s">
        <v>352</v>
      </c>
      <c r="D768" s="34" t="s">
        <v>1230</v>
      </c>
      <c r="E768" s="34" t="s">
        <v>559</v>
      </c>
      <c r="F768" s="53">
        <v>0</v>
      </c>
      <c r="G768" s="53"/>
      <c r="H768" s="53"/>
      <c r="I76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RHM255AHCT-ND</v>
      </c>
      <c r="J76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6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68" s="34" t="s">
        <v>1228</v>
      </c>
      <c r="M768" s="42">
        <v>0.18</v>
      </c>
      <c r="N768" s="34"/>
      <c r="O768" s="42"/>
      <c r="P768" s="34"/>
      <c r="Q768" s="42"/>
      <c r="R768" s="34"/>
      <c r="S768" s="42"/>
      <c r="T768" s="34"/>
      <c r="U768" s="42"/>
      <c r="V768" s="34"/>
      <c r="W768" s="42"/>
      <c r="X768" s="34"/>
      <c r="Y768" s="42"/>
      <c r="Z768" s="42"/>
      <c r="AA768" s="36"/>
      <c r="AB768" s="50"/>
      <c r="AC768" s="56" t="str">
        <f>IF(Table1[[#This Row],[Auto Order]]=1,IF(Table1[[#This Row],[In stock]]&lt;Table1[[#This Row],[Min in stock]],1,""),"")</f>
        <v/>
      </c>
    </row>
    <row r="769" spans="1:29" x14ac:dyDescent="0.25">
      <c r="A769" s="60" t="s">
        <v>1118</v>
      </c>
      <c r="B769" s="34" t="s">
        <v>713</v>
      </c>
      <c r="C769" s="34" t="s">
        <v>352</v>
      </c>
      <c r="D769" s="34" t="s">
        <v>1119</v>
      </c>
      <c r="E769" s="34" t="s">
        <v>559</v>
      </c>
      <c r="F769" s="53">
        <v>0</v>
      </c>
      <c r="G769" s="53"/>
      <c r="H769" s="53"/>
      <c r="I76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RHM2.55KAHCT-ND</v>
      </c>
      <c r="J76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6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69" s="34" t="s">
        <v>1117</v>
      </c>
      <c r="M769" s="42">
        <v>0.18</v>
      </c>
      <c r="N769" s="34"/>
      <c r="O769" s="42"/>
      <c r="P769" s="34"/>
      <c r="Q769" s="42"/>
      <c r="R769" s="34"/>
      <c r="S769" s="42"/>
      <c r="T769" s="34"/>
      <c r="U769" s="42"/>
      <c r="V769" s="34"/>
      <c r="W769" s="42"/>
      <c r="X769" s="34"/>
      <c r="Y769" s="42"/>
      <c r="Z769" s="42"/>
      <c r="AA769" s="36"/>
      <c r="AB769" s="50"/>
      <c r="AC769" s="56" t="str">
        <f>IF(Table1[[#This Row],[Auto Order]]=1,IF(Table1[[#This Row],[In stock]]&lt;Table1[[#This Row],[Min in stock]],1,""),"")</f>
        <v/>
      </c>
    </row>
    <row r="770" spans="1:29" x14ac:dyDescent="0.25">
      <c r="A770" s="60" t="s">
        <v>829</v>
      </c>
      <c r="B770" s="34" t="s">
        <v>713</v>
      </c>
      <c r="C770" s="34" t="s">
        <v>352</v>
      </c>
      <c r="D770" s="34" t="s">
        <v>830</v>
      </c>
      <c r="E770" s="34" t="s">
        <v>559</v>
      </c>
      <c r="F770" s="53">
        <v>0</v>
      </c>
      <c r="G770" s="53"/>
      <c r="H770" s="53"/>
      <c r="I77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RHM255KAHCT-ND</v>
      </c>
      <c r="J77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7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70" s="34" t="s">
        <v>828</v>
      </c>
      <c r="M770" s="42">
        <v>0.18</v>
      </c>
      <c r="N770" s="34"/>
      <c r="O770" s="42"/>
      <c r="P770" s="34"/>
      <c r="Q770" s="42"/>
      <c r="R770" s="34"/>
      <c r="S770" s="42"/>
      <c r="T770" s="34"/>
      <c r="U770" s="42"/>
      <c r="V770" s="34"/>
      <c r="W770" s="42"/>
      <c r="X770" s="34"/>
      <c r="Y770" s="42"/>
      <c r="Z770" s="42"/>
      <c r="AA770" s="36"/>
      <c r="AB770" s="50"/>
      <c r="AC770" s="56" t="str">
        <f>IF(Table1[[#This Row],[Auto Order]]=1,IF(Table1[[#This Row],[In stock]]&lt;Table1[[#This Row],[Min in stock]],1,""),"")</f>
        <v/>
      </c>
    </row>
    <row r="771" spans="1:29" x14ac:dyDescent="0.25">
      <c r="A771" s="60" t="s">
        <v>1061</v>
      </c>
      <c r="B771" s="34" t="s">
        <v>713</v>
      </c>
      <c r="C771" s="34" t="s">
        <v>352</v>
      </c>
      <c r="D771" s="34" t="s">
        <v>1062</v>
      </c>
      <c r="E771" s="34" t="s">
        <v>559</v>
      </c>
      <c r="F771" s="53">
        <v>0</v>
      </c>
      <c r="G771" s="53"/>
      <c r="H771" s="53"/>
      <c r="I77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RHM261AHCT-ND</v>
      </c>
      <c r="J77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7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71" s="34" t="s">
        <v>1060</v>
      </c>
      <c r="M771" s="42">
        <v>0.18</v>
      </c>
      <c r="N771" s="34"/>
      <c r="O771" s="42"/>
      <c r="P771" s="34"/>
      <c r="Q771" s="42"/>
      <c r="R771" s="34"/>
      <c r="S771" s="42"/>
      <c r="T771" s="34"/>
      <c r="U771" s="42"/>
      <c r="V771" s="34"/>
      <c r="W771" s="42"/>
      <c r="X771" s="34"/>
      <c r="Y771" s="42"/>
      <c r="Z771" s="42"/>
      <c r="AA771" s="36"/>
      <c r="AB771" s="50"/>
      <c r="AC771" s="56" t="str">
        <f>IF(Table1[[#This Row],[Auto Order]]=1,IF(Table1[[#This Row],[In stock]]&lt;Table1[[#This Row],[Min in stock]],1,""),"")</f>
        <v/>
      </c>
    </row>
    <row r="772" spans="1:29" x14ac:dyDescent="0.25">
      <c r="A772" s="60" t="s">
        <v>1241</v>
      </c>
      <c r="B772" s="34" t="s">
        <v>713</v>
      </c>
      <c r="C772" s="34" t="s">
        <v>352</v>
      </c>
      <c r="D772" s="34" t="s">
        <v>1242</v>
      </c>
      <c r="E772" s="34" t="s">
        <v>559</v>
      </c>
      <c r="F772" s="53">
        <v>0</v>
      </c>
      <c r="G772" s="53"/>
      <c r="H772" s="53"/>
      <c r="I77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RHM26.1KAHCT-ND</v>
      </c>
      <c r="J77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7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72" s="34" t="s">
        <v>1240</v>
      </c>
      <c r="M772" s="42">
        <v>0.18</v>
      </c>
      <c r="N772" s="34"/>
      <c r="O772" s="42"/>
      <c r="P772" s="34"/>
      <c r="Q772" s="42"/>
      <c r="R772" s="34"/>
      <c r="S772" s="42"/>
      <c r="T772" s="34"/>
      <c r="U772" s="42"/>
      <c r="V772" s="34"/>
      <c r="W772" s="42"/>
      <c r="X772" s="34"/>
      <c r="Y772" s="42"/>
      <c r="Z772" s="42"/>
      <c r="AA772" s="36"/>
      <c r="AB772" s="50"/>
      <c r="AC772" s="56" t="str">
        <f>IF(Table1[[#This Row],[Auto Order]]=1,IF(Table1[[#This Row],[In stock]]&lt;Table1[[#This Row],[Min in stock]],1,""),"")</f>
        <v/>
      </c>
    </row>
    <row r="773" spans="1:29" x14ac:dyDescent="0.25">
      <c r="A773" s="60" t="s">
        <v>1607</v>
      </c>
      <c r="B773" s="34" t="s">
        <v>713</v>
      </c>
      <c r="C773" s="34" t="s">
        <v>352</v>
      </c>
      <c r="D773" s="34" t="s">
        <v>1608</v>
      </c>
      <c r="E773" s="34" t="s">
        <v>559</v>
      </c>
      <c r="F773" s="53">
        <v>0</v>
      </c>
      <c r="G773" s="53"/>
      <c r="H773" s="53"/>
      <c r="I77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RHM2.67KAHCT-ND</v>
      </c>
      <c r="J77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7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73" s="34" t="s">
        <v>1606</v>
      </c>
      <c r="M773" s="42">
        <v>0.18</v>
      </c>
      <c r="N773" s="34"/>
      <c r="O773" s="42"/>
      <c r="P773" s="34"/>
      <c r="Q773" s="42"/>
      <c r="R773" s="34"/>
      <c r="S773" s="42"/>
      <c r="T773" s="34"/>
      <c r="U773" s="42"/>
      <c r="V773" s="34"/>
      <c r="W773" s="42"/>
      <c r="X773" s="34"/>
      <c r="Y773" s="42"/>
      <c r="Z773" s="42"/>
      <c r="AA773" s="36"/>
      <c r="AB773" s="50"/>
      <c r="AC773" s="56" t="str">
        <f>IF(Table1[[#This Row],[Auto Order]]=1,IF(Table1[[#This Row],[In stock]]&lt;Table1[[#This Row],[Min in stock]],1,""),"")</f>
        <v/>
      </c>
    </row>
    <row r="774" spans="1:29" x14ac:dyDescent="0.25">
      <c r="A774" s="60" t="s">
        <v>973</v>
      </c>
      <c r="B774" s="34" t="s">
        <v>713</v>
      </c>
      <c r="C774" s="34" t="s">
        <v>352</v>
      </c>
      <c r="D774" s="34" t="s">
        <v>974</v>
      </c>
      <c r="E774" s="34" t="s">
        <v>559</v>
      </c>
      <c r="F774" s="53">
        <v>0</v>
      </c>
      <c r="G774" s="53"/>
      <c r="H774" s="53"/>
      <c r="I77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RHM26.7KAHCT-ND</v>
      </c>
      <c r="J77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7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74" s="34" t="s">
        <v>972</v>
      </c>
      <c r="M774" s="42">
        <v>0.18</v>
      </c>
      <c r="N774" s="34"/>
      <c r="O774" s="42"/>
      <c r="P774" s="34"/>
      <c r="Q774" s="42"/>
      <c r="R774" s="34"/>
      <c r="S774" s="42"/>
      <c r="T774" s="34"/>
      <c r="U774" s="42"/>
      <c r="V774" s="34"/>
      <c r="W774" s="42"/>
      <c r="X774" s="34"/>
      <c r="Y774" s="42"/>
      <c r="Z774" s="42"/>
      <c r="AA774" s="36"/>
      <c r="AB774" s="50"/>
      <c r="AC774" s="56" t="str">
        <f>IF(Table1[[#This Row],[Auto Order]]=1,IF(Table1[[#This Row],[In stock]]&lt;Table1[[#This Row],[Min in stock]],1,""),"")</f>
        <v/>
      </c>
    </row>
    <row r="775" spans="1:29" x14ac:dyDescent="0.25">
      <c r="A775" s="60" t="s">
        <v>867</v>
      </c>
      <c r="B775" s="34" t="s">
        <v>713</v>
      </c>
      <c r="C775" s="34" t="s">
        <v>352</v>
      </c>
      <c r="D775" s="34" t="s">
        <v>868</v>
      </c>
      <c r="E775" s="34" t="s">
        <v>559</v>
      </c>
      <c r="F775" s="53">
        <v>0</v>
      </c>
      <c r="G775" s="53"/>
      <c r="H775" s="53"/>
      <c r="I77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RHM270AHCT-ND</v>
      </c>
      <c r="J77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7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75" s="34" t="s">
        <v>866</v>
      </c>
      <c r="M775" s="42">
        <v>0.18</v>
      </c>
      <c r="N775" s="34"/>
      <c r="O775" s="42"/>
      <c r="P775" s="34"/>
      <c r="Q775" s="42"/>
      <c r="R775" s="34"/>
      <c r="S775" s="42"/>
      <c r="T775" s="34"/>
      <c r="U775" s="42"/>
      <c r="V775" s="34"/>
      <c r="W775" s="42"/>
      <c r="X775" s="34"/>
      <c r="Y775" s="42"/>
      <c r="Z775" s="42"/>
      <c r="AA775" s="36"/>
      <c r="AB775" s="50"/>
      <c r="AC775" s="56" t="str">
        <f>IF(Table1[[#This Row],[Auto Order]]=1,IF(Table1[[#This Row],[In stock]]&lt;Table1[[#This Row],[Min in stock]],1,""),"")</f>
        <v/>
      </c>
    </row>
    <row r="776" spans="1:29" x14ac:dyDescent="0.25">
      <c r="A776" s="60" t="s">
        <v>870</v>
      </c>
      <c r="B776" s="34" t="s">
        <v>713</v>
      </c>
      <c r="C776" s="34" t="s">
        <v>352</v>
      </c>
      <c r="D776" s="34" t="s">
        <v>871</v>
      </c>
      <c r="E776" s="34" t="s">
        <v>559</v>
      </c>
      <c r="F776" s="53">
        <v>0</v>
      </c>
      <c r="G776" s="53"/>
      <c r="H776" s="53"/>
      <c r="I77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RHM27KAHCT-ND</v>
      </c>
      <c r="J77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7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76" s="34" t="s">
        <v>869</v>
      </c>
      <c r="M776" s="42">
        <v>0.18</v>
      </c>
      <c r="N776" s="34"/>
      <c r="O776" s="42"/>
      <c r="P776" s="34"/>
      <c r="Q776" s="42"/>
      <c r="R776" s="34"/>
      <c r="S776" s="42"/>
      <c r="T776" s="34"/>
      <c r="U776" s="42"/>
      <c r="V776" s="34"/>
      <c r="W776" s="42"/>
      <c r="X776" s="34"/>
      <c r="Y776" s="42"/>
      <c r="Z776" s="42"/>
      <c r="AA776" s="36"/>
      <c r="AB776" s="50"/>
      <c r="AC776" s="56" t="str">
        <f>IF(Table1[[#This Row],[Auto Order]]=1,IF(Table1[[#This Row],[In stock]]&lt;Table1[[#This Row],[Min in stock]],1,""),"")</f>
        <v/>
      </c>
    </row>
    <row r="777" spans="1:29" x14ac:dyDescent="0.25">
      <c r="A777" s="60" t="s">
        <v>729</v>
      </c>
      <c r="B777" s="34" t="s">
        <v>713</v>
      </c>
      <c r="C777" s="34" t="s">
        <v>352</v>
      </c>
      <c r="D777" s="34" t="s">
        <v>730</v>
      </c>
      <c r="E777" s="34" t="s">
        <v>559</v>
      </c>
      <c r="F777" s="53">
        <v>0</v>
      </c>
      <c r="G777" s="53"/>
      <c r="H777" s="53"/>
      <c r="I77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RHM270KAHCT-ND</v>
      </c>
      <c r="J77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7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77" s="34" t="s">
        <v>728</v>
      </c>
      <c r="M777" s="42">
        <v>0.18</v>
      </c>
      <c r="N777" s="34"/>
      <c r="O777" s="42"/>
      <c r="P777" s="34"/>
      <c r="Q777" s="42"/>
      <c r="R777" s="34"/>
      <c r="S777" s="42"/>
      <c r="T777" s="34"/>
      <c r="U777" s="42"/>
      <c r="V777" s="34"/>
      <c r="W777" s="42"/>
      <c r="X777" s="34"/>
      <c r="Y777" s="42"/>
      <c r="Z777" s="42"/>
      <c r="AA777" s="36"/>
      <c r="AB777" s="50"/>
      <c r="AC777" s="56" t="str">
        <f>IF(Table1[[#This Row],[Auto Order]]=1,IF(Table1[[#This Row],[In stock]]&lt;Table1[[#This Row],[Min in stock]],1,""),"")</f>
        <v/>
      </c>
    </row>
    <row r="778" spans="1:29" x14ac:dyDescent="0.25">
      <c r="A778" s="60" t="s">
        <v>1247</v>
      </c>
      <c r="B778" s="34" t="s">
        <v>713</v>
      </c>
      <c r="C778" s="34" t="s">
        <v>352</v>
      </c>
      <c r="D778" s="34" t="s">
        <v>1248</v>
      </c>
      <c r="E778" s="34" t="s">
        <v>559</v>
      </c>
      <c r="F778" s="53">
        <v>0</v>
      </c>
      <c r="G778" s="53"/>
      <c r="H778" s="53"/>
      <c r="I77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RHM274AHCT-ND</v>
      </c>
      <c r="J77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7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78" s="34" t="s">
        <v>1246</v>
      </c>
      <c r="M778" s="42">
        <v>0.18</v>
      </c>
      <c r="N778" s="34"/>
      <c r="O778" s="42"/>
      <c r="P778" s="34"/>
      <c r="Q778" s="42"/>
      <c r="R778" s="34"/>
      <c r="S778" s="42"/>
      <c r="T778" s="34"/>
      <c r="U778" s="42"/>
      <c r="V778" s="34"/>
      <c r="W778" s="42"/>
      <c r="X778" s="34"/>
      <c r="Y778" s="42"/>
      <c r="Z778" s="42"/>
      <c r="AA778" s="36"/>
      <c r="AB778" s="50"/>
      <c r="AC778" s="56" t="str">
        <f>IF(Table1[[#This Row],[Auto Order]]=1,IF(Table1[[#This Row],[In stock]]&lt;Table1[[#This Row],[Min in stock]],1,""),"")</f>
        <v/>
      </c>
    </row>
    <row r="779" spans="1:29" x14ac:dyDescent="0.25">
      <c r="A779" s="60" t="s">
        <v>1208</v>
      </c>
      <c r="B779" s="34" t="s">
        <v>713</v>
      </c>
      <c r="C779" s="34" t="s">
        <v>352</v>
      </c>
      <c r="D779" s="34" t="s">
        <v>1209</v>
      </c>
      <c r="E779" s="34" t="s">
        <v>559</v>
      </c>
      <c r="F779" s="53">
        <v>0</v>
      </c>
      <c r="G779" s="53"/>
      <c r="H779" s="53"/>
      <c r="I77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RHM27.4KAHCT-ND</v>
      </c>
      <c r="J77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7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79" s="34" t="s">
        <v>1207</v>
      </c>
      <c r="M779" s="42">
        <v>0.18</v>
      </c>
      <c r="N779" s="34"/>
      <c r="O779" s="42"/>
      <c r="P779" s="34"/>
      <c r="Q779" s="42"/>
      <c r="R779" s="34"/>
      <c r="S779" s="42"/>
      <c r="T779" s="34"/>
      <c r="U779" s="42"/>
      <c r="V779" s="34"/>
      <c r="W779" s="42"/>
      <c r="X779" s="34"/>
      <c r="Y779" s="42"/>
      <c r="Z779" s="42"/>
      <c r="AA779" s="36"/>
      <c r="AB779" s="50"/>
      <c r="AC779" s="56" t="str">
        <f>IF(Table1[[#This Row],[Auto Order]]=1,IF(Table1[[#This Row],[In stock]]&lt;Table1[[#This Row],[Min in stock]],1,""),"")</f>
        <v/>
      </c>
    </row>
    <row r="780" spans="1:29" x14ac:dyDescent="0.25">
      <c r="A780" s="60" t="s">
        <v>1688</v>
      </c>
      <c r="B780" s="34" t="s">
        <v>713</v>
      </c>
      <c r="C780" s="34" t="s">
        <v>352</v>
      </c>
      <c r="D780" s="34" t="s">
        <v>1689</v>
      </c>
      <c r="E780" s="34" t="s">
        <v>559</v>
      </c>
      <c r="F780" s="53">
        <v>0</v>
      </c>
      <c r="G780" s="53"/>
      <c r="H780" s="53"/>
      <c r="I78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RHM280AHCT-ND</v>
      </c>
      <c r="J78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8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80" s="34" t="s">
        <v>1687</v>
      </c>
      <c r="M780" s="42">
        <v>0.18</v>
      </c>
      <c r="N780" s="34"/>
      <c r="O780" s="42"/>
      <c r="P780" s="34"/>
      <c r="Q780" s="42"/>
      <c r="R780" s="34"/>
      <c r="S780" s="42"/>
      <c r="T780" s="34"/>
      <c r="U780" s="42"/>
      <c r="V780" s="34"/>
      <c r="W780" s="42"/>
      <c r="X780" s="34"/>
      <c r="Y780" s="42"/>
      <c r="Z780" s="42"/>
      <c r="AA780" s="36"/>
      <c r="AB780" s="50"/>
      <c r="AC780" s="56" t="str">
        <f>IF(Table1[[#This Row],[Auto Order]]=1,IF(Table1[[#This Row],[In stock]]&lt;Table1[[#This Row],[Min in stock]],1,""),"")</f>
        <v/>
      </c>
    </row>
    <row r="781" spans="1:29" x14ac:dyDescent="0.25">
      <c r="A781" s="60" t="s">
        <v>976</v>
      </c>
      <c r="B781" s="34" t="s">
        <v>713</v>
      </c>
      <c r="C781" s="34" t="s">
        <v>352</v>
      </c>
      <c r="D781" s="34" t="s">
        <v>977</v>
      </c>
      <c r="E781" s="34" t="s">
        <v>559</v>
      </c>
      <c r="F781" s="53">
        <v>0</v>
      </c>
      <c r="G781" s="53"/>
      <c r="H781" s="53"/>
      <c r="I78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RHM2.8KAHCT-ND</v>
      </c>
      <c r="J78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8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81" s="34" t="s">
        <v>975</v>
      </c>
      <c r="M781" s="42">
        <v>0.18</v>
      </c>
      <c r="N781" s="34"/>
      <c r="O781" s="42"/>
      <c r="P781" s="34"/>
      <c r="Q781" s="42"/>
      <c r="R781" s="34"/>
      <c r="S781" s="42"/>
      <c r="T781" s="34"/>
      <c r="U781" s="42"/>
      <c r="V781" s="34"/>
      <c r="W781" s="42"/>
      <c r="X781" s="34"/>
      <c r="Y781" s="42"/>
      <c r="Z781" s="42"/>
      <c r="AA781" s="36"/>
      <c r="AB781" s="50"/>
      <c r="AC781" s="56" t="str">
        <f>IF(Table1[[#This Row],[Auto Order]]=1,IF(Table1[[#This Row],[In stock]]&lt;Table1[[#This Row],[Min in stock]],1,""),"")</f>
        <v/>
      </c>
    </row>
    <row r="782" spans="1:29" x14ac:dyDescent="0.25">
      <c r="A782" s="60" t="s">
        <v>979</v>
      </c>
      <c r="B782" s="34" t="s">
        <v>713</v>
      </c>
      <c r="C782" s="34" t="s">
        <v>352</v>
      </c>
      <c r="D782" s="34" t="s">
        <v>980</v>
      </c>
      <c r="E782" s="34" t="s">
        <v>559</v>
      </c>
      <c r="F782" s="53">
        <v>0</v>
      </c>
      <c r="G782" s="53"/>
      <c r="H782" s="53"/>
      <c r="I78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RHM28KAHCT-ND</v>
      </c>
      <c r="J78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8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82" s="34" t="s">
        <v>978</v>
      </c>
      <c r="M782" s="42">
        <v>0.18</v>
      </c>
      <c r="N782" s="34"/>
      <c r="O782" s="42"/>
      <c r="P782" s="34"/>
      <c r="Q782" s="42"/>
      <c r="R782" s="34"/>
      <c r="S782" s="42"/>
      <c r="T782" s="34"/>
      <c r="U782" s="42"/>
      <c r="V782" s="34"/>
      <c r="W782" s="42"/>
      <c r="X782" s="34"/>
      <c r="Y782" s="42"/>
      <c r="Z782" s="42"/>
      <c r="AA782" s="36"/>
      <c r="AB782" s="50"/>
      <c r="AC782" s="56" t="str">
        <f>IF(Table1[[#This Row],[Auto Order]]=1,IF(Table1[[#This Row],[In stock]]&lt;Table1[[#This Row],[Min in stock]],1,""),"")</f>
        <v/>
      </c>
    </row>
    <row r="783" spans="1:29" x14ac:dyDescent="0.25">
      <c r="A783" s="60" t="s">
        <v>1733</v>
      </c>
      <c r="B783" s="34" t="s">
        <v>713</v>
      </c>
      <c r="C783" s="34" t="s">
        <v>352</v>
      </c>
      <c r="D783" s="34" t="s">
        <v>1734</v>
      </c>
      <c r="E783" s="34" t="s">
        <v>559</v>
      </c>
      <c r="F783" s="53">
        <v>0</v>
      </c>
      <c r="G783" s="53"/>
      <c r="H783" s="53"/>
      <c r="I78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RHM280KAHCT-ND</v>
      </c>
      <c r="J78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8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83" s="34" t="s">
        <v>1732</v>
      </c>
      <c r="M783" s="42">
        <v>0.18</v>
      </c>
      <c r="N783" s="34"/>
      <c r="O783" s="42"/>
      <c r="P783" s="34"/>
      <c r="Q783" s="42"/>
      <c r="R783" s="34"/>
      <c r="S783" s="42"/>
      <c r="T783" s="34"/>
      <c r="U783" s="42"/>
      <c r="V783" s="34"/>
      <c r="W783" s="42"/>
      <c r="X783" s="34"/>
      <c r="Y783" s="42"/>
      <c r="Z783" s="42"/>
      <c r="AA783" s="36"/>
      <c r="AB783" s="50"/>
      <c r="AC783" s="56" t="str">
        <f>IF(Table1[[#This Row],[Auto Order]]=1,IF(Table1[[#This Row],[In stock]]&lt;Table1[[#This Row],[Min in stock]],1,""),"")</f>
        <v/>
      </c>
    </row>
    <row r="784" spans="1:29" x14ac:dyDescent="0.25">
      <c r="A784" s="60" t="s">
        <v>1067</v>
      </c>
      <c r="B784" s="34" t="s">
        <v>713</v>
      </c>
      <c r="C784" s="34" t="s">
        <v>352</v>
      </c>
      <c r="D784" s="34" t="s">
        <v>1068</v>
      </c>
      <c r="E784" s="34" t="s">
        <v>559</v>
      </c>
      <c r="F784" s="53">
        <v>0</v>
      </c>
      <c r="G784" s="53"/>
      <c r="H784" s="53"/>
      <c r="I78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RHM287AHCT-ND</v>
      </c>
      <c r="J78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8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84" s="34" t="s">
        <v>1066</v>
      </c>
      <c r="M784" s="42">
        <v>0.18</v>
      </c>
      <c r="N784" s="34"/>
      <c r="O784" s="42"/>
      <c r="P784" s="34"/>
      <c r="Q784" s="42"/>
      <c r="R784" s="34"/>
      <c r="S784" s="42"/>
      <c r="T784" s="34"/>
      <c r="U784" s="42"/>
      <c r="V784" s="34"/>
      <c r="W784" s="42"/>
      <c r="X784" s="34"/>
      <c r="Y784" s="42"/>
      <c r="Z784" s="42"/>
      <c r="AA784" s="36"/>
      <c r="AB784" s="50"/>
      <c r="AC784" s="56" t="str">
        <f>IF(Table1[[#This Row],[Auto Order]]=1,IF(Table1[[#This Row],[In stock]]&lt;Table1[[#This Row],[Min in stock]],1,""),"")</f>
        <v/>
      </c>
    </row>
    <row r="785" spans="1:29" x14ac:dyDescent="0.25">
      <c r="A785" s="60" t="s">
        <v>1284</v>
      </c>
      <c r="B785" s="34" t="s">
        <v>713</v>
      </c>
      <c r="C785" s="34" t="s">
        <v>352</v>
      </c>
      <c r="D785" s="34" t="s">
        <v>1285</v>
      </c>
      <c r="E785" s="34" t="s">
        <v>559</v>
      </c>
      <c r="F785" s="53">
        <v>0</v>
      </c>
      <c r="G785" s="53"/>
      <c r="H785" s="53"/>
      <c r="I78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RHM28.7KAHCT-ND</v>
      </c>
      <c r="J78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8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85" s="34" t="s">
        <v>1283</v>
      </c>
      <c r="M785" s="42">
        <v>0.18</v>
      </c>
      <c r="N785" s="34"/>
      <c r="O785" s="42"/>
      <c r="P785" s="34"/>
      <c r="Q785" s="42"/>
      <c r="R785" s="34"/>
      <c r="S785" s="42"/>
      <c r="T785" s="34"/>
      <c r="U785" s="42"/>
      <c r="V785" s="34"/>
      <c r="W785" s="42"/>
      <c r="X785" s="34"/>
      <c r="Y785" s="42"/>
      <c r="Z785" s="42"/>
      <c r="AA785" s="36"/>
      <c r="AB785" s="50"/>
      <c r="AC785" s="56" t="str">
        <f>IF(Table1[[#This Row],[Auto Order]]=1,IF(Table1[[#This Row],[In stock]]&lt;Table1[[#This Row],[Min in stock]],1,""),"")</f>
        <v/>
      </c>
    </row>
    <row r="786" spans="1:29" x14ac:dyDescent="0.25">
      <c r="A786" s="60" t="s">
        <v>1139</v>
      </c>
      <c r="B786" s="34" t="s">
        <v>713</v>
      </c>
      <c r="C786" s="34" t="s">
        <v>352</v>
      </c>
      <c r="D786" s="34" t="s">
        <v>1140</v>
      </c>
      <c r="E786" s="34" t="s">
        <v>559</v>
      </c>
      <c r="F786" s="53">
        <v>0</v>
      </c>
      <c r="G786" s="53"/>
      <c r="H786" s="53"/>
      <c r="I78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RHM28AHCT-ND</v>
      </c>
      <c r="J78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8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86" s="34" t="s">
        <v>1138</v>
      </c>
      <c r="M786" s="42">
        <v>0.18</v>
      </c>
      <c r="N786" s="34"/>
      <c r="O786" s="42"/>
      <c r="P786" s="34"/>
      <c r="Q786" s="42"/>
      <c r="R786" s="34"/>
      <c r="S786" s="42"/>
      <c r="T786" s="34"/>
      <c r="U786" s="42"/>
      <c r="V786" s="34"/>
      <c r="W786" s="42"/>
      <c r="X786" s="34"/>
      <c r="Y786" s="42"/>
      <c r="Z786" s="42"/>
      <c r="AA786" s="36"/>
      <c r="AB786" s="50"/>
      <c r="AC786" s="56" t="str">
        <f>IF(Table1[[#This Row],[Auto Order]]=1,IF(Table1[[#This Row],[In stock]]&lt;Table1[[#This Row],[Min in stock]],1,""),"")</f>
        <v/>
      </c>
    </row>
    <row r="787" spans="1:29" x14ac:dyDescent="0.25">
      <c r="A787" s="60" t="s">
        <v>1262</v>
      </c>
      <c r="B787" s="34" t="s">
        <v>713</v>
      </c>
      <c r="C787" s="34" t="s">
        <v>352</v>
      </c>
      <c r="D787" s="34" t="s">
        <v>1263</v>
      </c>
      <c r="E787" s="34" t="s">
        <v>559</v>
      </c>
      <c r="F787" s="53">
        <v>0</v>
      </c>
      <c r="G787" s="53"/>
      <c r="H787" s="53"/>
      <c r="I78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RHM28.7AHCT-ND</v>
      </c>
      <c r="J78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8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87" s="34" t="s">
        <v>1261</v>
      </c>
      <c r="M787" s="42">
        <v>0.18</v>
      </c>
      <c r="N787" s="34"/>
      <c r="O787" s="42"/>
      <c r="P787" s="34"/>
      <c r="Q787" s="42"/>
      <c r="R787" s="34"/>
      <c r="S787" s="42"/>
      <c r="T787" s="34"/>
      <c r="U787" s="42"/>
      <c r="V787" s="34"/>
      <c r="W787" s="42"/>
      <c r="X787" s="34"/>
      <c r="Y787" s="42"/>
      <c r="Z787" s="42"/>
      <c r="AA787" s="36"/>
      <c r="AB787" s="50"/>
      <c r="AC787" s="56" t="str">
        <f>IF(Table1[[#This Row],[Auto Order]]=1,IF(Table1[[#This Row],[In stock]]&lt;Table1[[#This Row],[Min in stock]],1,""),"")</f>
        <v/>
      </c>
    </row>
    <row r="788" spans="1:29" x14ac:dyDescent="0.25">
      <c r="A788" s="60" t="s">
        <v>1610</v>
      </c>
      <c r="B788" s="34" t="s">
        <v>713</v>
      </c>
      <c r="C788" s="34" t="s">
        <v>352</v>
      </c>
      <c r="D788" s="34" t="s">
        <v>1611</v>
      </c>
      <c r="E788" s="34" t="s">
        <v>559</v>
      </c>
      <c r="F788" s="53">
        <v>0</v>
      </c>
      <c r="G788" s="53"/>
      <c r="H788" s="53"/>
      <c r="I78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RHM294AHCT-ND</v>
      </c>
      <c r="J78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8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88" s="34" t="s">
        <v>1609</v>
      </c>
      <c r="M788" s="42">
        <v>0.18</v>
      </c>
      <c r="N788" s="34"/>
      <c r="O788" s="42"/>
      <c r="P788" s="34"/>
      <c r="Q788" s="42"/>
      <c r="R788" s="34"/>
      <c r="S788" s="42"/>
      <c r="T788" s="34"/>
      <c r="U788" s="42"/>
      <c r="V788" s="34"/>
      <c r="W788" s="42"/>
      <c r="X788" s="34"/>
      <c r="Y788" s="42"/>
      <c r="Z788" s="42"/>
      <c r="AA788" s="36"/>
      <c r="AB788" s="50"/>
      <c r="AC788" s="56" t="str">
        <f>IF(Table1[[#This Row],[Auto Order]]=1,IF(Table1[[#This Row],[In stock]]&lt;Table1[[#This Row],[Min in stock]],1,""),"")</f>
        <v/>
      </c>
    </row>
    <row r="789" spans="1:29" x14ac:dyDescent="0.25">
      <c r="A789" s="60" t="s">
        <v>1613</v>
      </c>
      <c r="B789" s="34" t="s">
        <v>713</v>
      </c>
      <c r="C789" s="34" t="s">
        <v>352</v>
      </c>
      <c r="D789" s="34" t="s">
        <v>1614</v>
      </c>
      <c r="E789" s="34" t="s">
        <v>559</v>
      </c>
      <c r="F789" s="53">
        <v>0</v>
      </c>
      <c r="G789" s="53"/>
      <c r="H789" s="53"/>
      <c r="I78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RHM294KAHCT-ND</v>
      </c>
      <c r="J78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8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89" s="34" t="s">
        <v>1612</v>
      </c>
      <c r="M789" s="42">
        <v>0.18</v>
      </c>
      <c r="N789" s="34"/>
      <c r="O789" s="42"/>
      <c r="P789" s="34"/>
      <c r="Q789" s="42"/>
      <c r="R789" s="34"/>
      <c r="S789" s="42"/>
      <c r="T789" s="34"/>
      <c r="U789" s="42"/>
      <c r="V789" s="34"/>
      <c r="W789" s="42"/>
      <c r="X789" s="34"/>
      <c r="Y789" s="42"/>
      <c r="Z789" s="42"/>
      <c r="AA789" s="36"/>
      <c r="AB789" s="50"/>
      <c r="AC789" s="56" t="str">
        <f>IF(Table1[[#This Row],[Auto Order]]=1,IF(Table1[[#This Row],[In stock]]&lt;Table1[[#This Row],[Min in stock]],1,""),"")</f>
        <v/>
      </c>
    </row>
    <row r="790" spans="1:29" x14ac:dyDescent="0.25">
      <c r="A790" s="60" t="s">
        <v>1712</v>
      </c>
      <c r="B790" s="34" t="s">
        <v>713</v>
      </c>
      <c r="C790" s="34" t="s">
        <v>352</v>
      </c>
      <c r="D790" s="34" t="s">
        <v>1713</v>
      </c>
      <c r="E790" s="34" t="s">
        <v>559</v>
      </c>
      <c r="F790" s="53">
        <v>0</v>
      </c>
      <c r="G790" s="53"/>
      <c r="H790" s="53"/>
      <c r="I79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RHM300AHCT-ND</v>
      </c>
      <c r="J79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9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90" s="34" t="s">
        <v>1711</v>
      </c>
      <c r="M790" s="42">
        <v>0.18</v>
      </c>
      <c r="N790" s="34"/>
      <c r="O790" s="42"/>
      <c r="P790" s="34"/>
      <c r="Q790" s="42"/>
      <c r="R790" s="34"/>
      <c r="S790" s="42"/>
      <c r="T790" s="34"/>
      <c r="U790" s="42"/>
      <c r="V790" s="34"/>
      <c r="W790" s="42"/>
      <c r="X790" s="34"/>
      <c r="Y790" s="42"/>
      <c r="Z790" s="42"/>
      <c r="AA790" s="36"/>
      <c r="AB790" s="50"/>
      <c r="AC790" s="56" t="str">
        <f>IF(Table1[[#This Row],[Auto Order]]=1,IF(Table1[[#This Row],[In stock]]&lt;Table1[[#This Row],[Min in stock]],1,""),"")</f>
        <v/>
      </c>
    </row>
    <row r="791" spans="1:29" x14ac:dyDescent="0.25">
      <c r="A791" s="60" t="s">
        <v>1436</v>
      </c>
      <c r="B791" s="34" t="s">
        <v>713</v>
      </c>
      <c r="C791" s="34" t="s">
        <v>352</v>
      </c>
      <c r="D791" s="34" t="s">
        <v>1437</v>
      </c>
      <c r="E791" s="34" t="s">
        <v>559</v>
      </c>
      <c r="F791" s="53">
        <v>0</v>
      </c>
      <c r="G791" s="53"/>
      <c r="H791" s="53"/>
      <c r="I79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RHM3KAHCT-ND</v>
      </c>
      <c r="J79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9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91" s="34" t="s">
        <v>1435</v>
      </c>
      <c r="M791" s="42">
        <v>0.18</v>
      </c>
      <c r="N791" s="34"/>
      <c r="O791" s="42"/>
      <c r="P791" s="34"/>
      <c r="Q791" s="42"/>
      <c r="R791" s="34"/>
      <c r="S791" s="42"/>
      <c r="T791" s="34"/>
      <c r="U791" s="42"/>
      <c r="V791" s="34"/>
      <c r="W791" s="42"/>
      <c r="X791" s="34"/>
      <c r="Y791" s="42"/>
      <c r="Z791" s="42"/>
      <c r="AA791" s="36"/>
      <c r="AB791" s="50"/>
      <c r="AC791" s="56" t="str">
        <f>IF(Table1[[#This Row],[Auto Order]]=1,IF(Table1[[#This Row],[In stock]]&lt;Table1[[#This Row],[Min in stock]],1,""),"")</f>
        <v/>
      </c>
    </row>
    <row r="792" spans="1:29" x14ac:dyDescent="0.25">
      <c r="A792" s="60" t="s">
        <v>1406</v>
      </c>
      <c r="B792" s="34" t="s">
        <v>713</v>
      </c>
      <c r="C792" s="34" t="s">
        <v>352</v>
      </c>
      <c r="D792" s="34" t="s">
        <v>1407</v>
      </c>
      <c r="E792" s="34" t="s">
        <v>559</v>
      </c>
      <c r="F792" s="53">
        <v>0</v>
      </c>
      <c r="G792" s="53"/>
      <c r="H792" s="53"/>
      <c r="I79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RHM30KAHCT-ND</v>
      </c>
      <c r="J79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9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92" s="34" t="s">
        <v>1405</v>
      </c>
      <c r="M792" s="42">
        <v>0.18</v>
      </c>
      <c r="N792" s="34"/>
      <c r="O792" s="42"/>
      <c r="P792" s="34"/>
      <c r="Q792" s="42"/>
      <c r="R792" s="34"/>
      <c r="S792" s="42"/>
      <c r="T792" s="34"/>
      <c r="U792" s="42"/>
      <c r="V792" s="34"/>
      <c r="W792" s="42"/>
      <c r="X792" s="34"/>
      <c r="Y792" s="42"/>
      <c r="Z792" s="42"/>
      <c r="AA792" s="36"/>
      <c r="AB792" s="50"/>
      <c r="AC792" s="56" t="str">
        <f>IF(Table1[[#This Row],[Auto Order]]=1,IF(Table1[[#This Row],[In stock]]&lt;Table1[[#This Row],[Min in stock]],1,""),"")</f>
        <v/>
      </c>
    </row>
    <row r="793" spans="1:29" x14ac:dyDescent="0.25">
      <c r="A793" s="60" t="s">
        <v>1715</v>
      </c>
      <c r="B793" s="34" t="s">
        <v>713</v>
      </c>
      <c r="C793" s="34" t="s">
        <v>352</v>
      </c>
      <c r="D793" s="34" t="s">
        <v>1716</v>
      </c>
      <c r="E793" s="34" t="s">
        <v>559</v>
      </c>
      <c r="F793" s="53">
        <v>0</v>
      </c>
      <c r="G793" s="53"/>
      <c r="H793" s="53"/>
      <c r="I79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RHM300KAHCT-ND</v>
      </c>
      <c r="J79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9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93" s="34" t="s">
        <v>1714</v>
      </c>
      <c r="M793" s="42">
        <v>0.18</v>
      </c>
      <c r="N793" s="34"/>
      <c r="O793" s="42"/>
      <c r="P793" s="34"/>
      <c r="Q793" s="42"/>
      <c r="R793" s="34"/>
      <c r="S793" s="42"/>
      <c r="T793" s="34"/>
      <c r="U793" s="42"/>
      <c r="V793" s="34"/>
      <c r="W793" s="42"/>
      <c r="X793" s="34"/>
      <c r="Y793" s="42"/>
      <c r="Z793" s="42"/>
      <c r="AA793" s="36"/>
      <c r="AB793" s="50"/>
      <c r="AC793" s="56" t="str">
        <f>IF(Table1[[#This Row],[Auto Order]]=1,IF(Table1[[#This Row],[In stock]]&lt;Table1[[#This Row],[Min in stock]],1,""),"")</f>
        <v/>
      </c>
    </row>
    <row r="794" spans="1:29" x14ac:dyDescent="0.25">
      <c r="A794" s="60" t="s">
        <v>745</v>
      </c>
      <c r="B794" s="34" t="s">
        <v>713</v>
      </c>
      <c r="C794" s="34" t="s">
        <v>352</v>
      </c>
      <c r="D794" s="34" t="s">
        <v>746</v>
      </c>
      <c r="E794" s="34" t="s">
        <v>559</v>
      </c>
      <c r="F794" s="53">
        <v>0</v>
      </c>
      <c r="G794" s="53"/>
      <c r="H794" s="53"/>
      <c r="I79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RHM3.00MAHCT-ND</v>
      </c>
      <c r="J79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9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94" s="34" t="s">
        <v>744</v>
      </c>
      <c r="M794" s="42">
        <v>0.18</v>
      </c>
      <c r="N794" s="34"/>
      <c r="O794" s="42"/>
      <c r="P794" s="34"/>
      <c r="Q794" s="42"/>
      <c r="R794" s="34"/>
      <c r="S794" s="42"/>
      <c r="T794" s="34"/>
      <c r="U794" s="42"/>
      <c r="V794" s="34"/>
      <c r="W794" s="42"/>
      <c r="X794" s="34"/>
      <c r="Y794" s="42"/>
      <c r="Z794" s="42"/>
      <c r="AA794" s="36"/>
      <c r="AB794" s="50"/>
      <c r="AC794" s="56" t="str">
        <f>IF(Table1[[#This Row],[Auto Order]]=1,IF(Table1[[#This Row],[In stock]]&lt;Table1[[#This Row],[Min in stock]],1,""),"")</f>
        <v/>
      </c>
    </row>
    <row r="795" spans="1:29" x14ac:dyDescent="0.25">
      <c r="A795" s="60" t="s">
        <v>1727</v>
      </c>
      <c r="B795" s="34" t="s">
        <v>713</v>
      </c>
      <c r="C795" s="34" t="s">
        <v>352</v>
      </c>
      <c r="D795" s="34" t="s">
        <v>1728</v>
      </c>
      <c r="E795" s="34" t="s">
        <v>559</v>
      </c>
      <c r="F795" s="53">
        <v>0</v>
      </c>
      <c r="G795" s="53"/>
      <c r="H795" s="53"/>
      <c r="I79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RHM301AHCT-ND</v>
      </c>
      <c r="J79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9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95" s="34" t="s">
        <v>1726</v>
      </c>
      <c r="M795" s="42">
        <v>0.18</v>
      </c>
      <c r="N795" s="34"/>
      <c r="O795" s="42"/>
      <c r="P795" s="34"/>
      <c r="Q795" s="42"/>
      <c r="R795" s="34"/>
      <c r="S795" s="42"/>
      <c r="T795" s="34"/>
      <c r="U795" s="42"/>
      <c r="V795" s="34"/>
      <c r="W795" s="42"/>
      <c r="X795" s="34"/>
      <c r="Y795" s="42"/>
      <c r="Z795" s="42"/>
      <c r="AA795" s="36"/>
      <c r="AB795" s="50"/>
      <c r="AC795" s="56" t="str">
        <f>IF(Table1[[#This Row],[Auto Order]]=1,IF(Table1[[#This Row],[In stock]]&lt;Table1[[#This Row],[Min in stock]],1,""),"")</f>
        <v/>
      </c>
    </row>
    <row r="796" spans="1:29" x14ac:dyDescent="0.25">
      <c r="A796" s="60" t="s">
        <v>873</v>
      </c>
      <c r="B796" s="34" t="s">
        <v>713</v>
      </c>
      <c r="C796" s="34" t="s">
        <v>352</v>
      </c>
      <c r="D796" s="34" t="s">
        <v>874</v>
      </c>
      <c r="E796" s="34" t="s">
        <v>559</v>
      </c>
      <c r="F796" s="53">
        <v>0</v>
      </c>
      <c r="G796" s="53"/>
      <c r="H796" s="53"/>
      <c r="I79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RHM3.01KAHCT-ND</v>
      </c>
      <c r="J79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9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96" s="34" t="s">
        <v>872</v>
      </c>
      <c r="M796" s="42">
        <v>0.18</v>
      </c>
      <c r="N796" s="34"/>
      <c r="O796" s="42"/>
      <c r="P796" s="34"/>
      <c r="Q796" s="42"/>
      <c r="R796" s="34"/>
      <c r="S796" s="42"/>
      <c r="T796" s="34"/>
      <c r="U796" s="42"/>
      <c r="V796" s="34"/>
      <c r="W796" s="42"/>
      <c r="X796" s="34"/>
      <c r="Y796" s="42"/>
      <c r="Z796" s="42"/>
      <c r="AA796" s="36"/>
      <c r="AB796" s="50"/>
      <c r="AC796" s="56" t="str">
        <f>IF(Table1[[#This Row],[Auto Order]]=1,IF(Table1[[#This Row],[In stock]]&lt;Table1[[#This Row],[Min in stock]],1,""),"")</f>
        <v/>
      </c>
    </row>
    <row r="797" spans="1:29" x14ac:dyDescent="0.25">
      <c r="A797" s="60" t="s">
        <v>1463</v>
      </c>
      <c r="B797" s="34" t="s">
        <v>713</v>
      </c>
      <c r="C797" s="34" t="s">
        <v>352</v>
      </c>
      <c r="D797" s="34" t="s">
        <v>1464</v>
      </c>
      <c r="E797" s="34" t="s">
        <v>559</v>
      </c>
      <c r="F797" s="53">
        <v>0</v>
      </c>
      <c r="G797" s="53"/>
      <c r="H797" s="53"/>
      <c r="I79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RHM30.1KAHCT-ND</v>
      </c>
      <c r="J79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9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97" s="34" t="s">
        <v>1462</v>
      </c>
      <c r="M797" s="42">
        <v>0.18</v>
      </c>
      <c r="N797" s="34"/>
      <c r="O797" s="42"/>
      <c r="P797" s="34"/>
      <c r="Q797" s="42"/>
      <c r="R797" s="34"/>
      <c r="S797" s="42"/>
      <c r="T797" s="34"/>
      <c r="U797" s="42"/>
      <c r="V797" s="34"/>
      <c r="W797" s="42"/>
      <c r="X797" s="34"/>
      <c r="Y797" s="42"/>
      <c r="Z797" s="42"/>
      <c r="AA797" s="36"/>
      <c r="AB797" s="50"/>
      <c r="AC797" s="56" t="str">
        <f>IF(Table1[[#This Row],[Auto Order]]=1,IF(Table1[[#This Row],[In stock]]&lt;Table1[[#This Row],[Min in stock]],1,""),"")</f>
        <v/>
      </c>
    </row>
    <row r="798" spans="1:29" x14ac:dyDescent="0.25">
      <c r="A798" s="60" t="s">
        <v>982</v>
      </c>
      <c r="B798" s="34" t="s">
        <v>713</v>
      </c>
      <c r="C798" s="34" t="s">
        <v>352</v>
      </c>
      <c r="D798" s="34" t="s">
        <v>983</v>
      </c>
      <c r="E798" s="34" t="s">
        <v>559</v>
      </c>
      <c r="F798" s="53">
        <v>0</v>
      </c>
      <c r="G798" s="53"/>
      <c r="H798" s="53"/>
      <c r="I79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RHM309KAHCT-ND</v>
      </c>
      <c r="J79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9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98" s="34" t="s">
        <v>981</v>
      </c>
      <c r="M798" s="42">
        <v>0.18</v>
      </c>
      <c r="N798" s="34"/>
      <c r="O798" s="42"/>
      <c r="P798" s="34"/>
      <c r="Q798" s="42"/>
      <c r="R798" s="34"/>
      <c r="S798" s="42"/>
      <c r="T798" s="34"/>
      <c r="U798" s="42"/>
      <c r="V798" s="34"/>
      <c r="W798" s="42"/>
      <c r="X798" s="34"/>
      <c r="Y798" s="42"/>
      <c r="Z798" s="42"/>
      <c r="AA798" s="36"/>
      <c r="AB798" s="50"/>
      <c r="AC798" s="56" t="str">
        <f>IF(Table1[[#This Row],[Auto Order]]=1,IF(Table1[[#This Row],[In stock]]&lt;Table1[[#This Row],[Min in stock]],1,""),"")</f>
        <v/>
      </c>
    </row>
    <row r="799" spans="1:29" x14ac:dyDescent="0.25">
      <c r="A799" s="60" t="s">
        <v>1703</v>
      </c>
      <c r="B799" s="34" t="s">
        <v>713</v>
      </c>
      <c r="C799" s="34" t="s">
        <v>352</v>
      </c>
      <c r="D799" s="34" t="s">
        <v>1704</v>
      </c>
      <c r="E799" s="34" t="s">
        <v>559</v>
      </c>
      <c r="F799" s="53">
        <v>0</v>
      </c>
      <c r="G799" s="53"/>
      <c r="H799" s="53"/>
      <c r="I79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RHM30.1AHCT-ND</v>
      </c>
      <c r="J79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9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99" s="34" t="s">
        <v>1702</v>
      </c>
      <c r="M799" s="42">
        <v>0.18</v>
      </c>
      <c r="N799" s="34"/>
      <c r="O799" s="42"/>
      <c r="P799" s="34"/>
      <c r="Q799" s="42"/>
      <c r="R799" s="34"/>
      <c r="S799" s="42"/>
      <c r="T799" s="34"/>
      <c r="U799" s="42"/>
      <c r="V799" s="34"/>
      <c r="W799" s="42"/>
      <c r="X799" s="34"/>
      <c r="Y799" s="42"/>
      <c r="Z799" s="42"/>
      <c r="AA799" s="36"/>
      <c r="AB799" s="50"/>
      <c r="AC799" s="56" t="str">
        <f>IF(Table1[[#This Row],[Auto Order]]=1,IF(Table1[[#This Row],[In stock]]&lt;Table1[[#This Row],[Min in stock]],1,""),"")</f>
        <v/>
      </c>
    </row>
    <row r="800" spans="1:29" x14ac:dyDescent="0.25">
      <c r="A800" s="60" t="s">
        <v>1094</v>
      </c>
      <c r="B800" s="34" t="s">
        <v>713</v>
      </c>
      <c r="C800" s="34" t="s">
        <v>352</v>
      </c>
      <c r="D800" s="34" t="s">
        <v>1095</v>
      </c>
      <c r="E800" s="34" t="s">
        <v>559</v>
      </c>
      <c r="F800" s="53">
        <v>0</v>
      </c>
      <c r="G800" s="53"/>
      <c r="H800" s="53"/>
      <c r="I80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RHM316AHCT-ND</v>
      </c>
      <c r="J80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0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00" s="34" t="s">
        <v>1093</v>
      </c>
      <c r="M800" s="42">
        <v>0.18</v>
      </c>
      <c r="N800" s="34"/>
      <c r="O800" s="42"/>
      <c r="P800" s="34"/>
      <c r="Q800" s="42"/>
      <c r="R800" s="34"/>
      <c r="S800" s="42"/>
      <c r="T800" s="34"/>
      <c r="U800" s="42"/>
      <c r="V800" s="34"/>
      <c r="W800" s="42"/>
      <c r="X800" s="34"/>
      <c r="Y800" s="42"/>
      <c r="Z800" s="42"/>
      <c r="AA800" s="36"/>
      <c r="AB800" s="50"/>
      <c r="AC800" s="56" t="str">
        <f>IF(Table1[[#This Row],[Auto Order]]=1,IF(Table1[[#This Row],[In stock]]&lt;Table1[[#This Row],[Min in stock]],1,""),"")</f>
        <v/>
      </c>
    </row>
    <row r="801" spans="1:29" x14ac:dyDescent="0.25">
      <c r="A801" s="60" t="s">
        <v>1739</v>
      </c>
      <c r="B801" s="34" t="s">
        <v>713</v>
      </c>
      <c r="C801" s="34" t="s">
        <v>352</v>
      </c>
      <c r="D801" s="34" t="s">
        <v>1740</v>
      </c>
      <c r="E801" s="34" t="s">
        <v>559</v>
      </c>
      <c r="F801" s="53">
        <v>0</v>
      </c>
      <c r="G801" s="53"/>
      <c r="H801" s="53"/>
      <c r="I80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RHM3.16KAHCT-ND</v>
      </c>
      <c r="J80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0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01" s="34" t="s">
        <v>1738</v>
      </c>
      <c r="M801" s="42">
        <v>0.18</v>
      </c>
      <c r="N801" s="34"/>
      <c r="O801" s="42"/>
      <c r="P801" s="34"/>
      <c r="Q801" s="42"/>
      <c r="R801" s="34"/>
      <c r="S801" s="42"/>
      <c r="T801" s="34"/>
      <c r="U801" s="42"/>
      <c r="V801" s="34"/>
      <c r="W801" s="42"/>
      <c r="X801" s="34"/>
      <c r="Y801" s="42"/>
      <c r="Z801" s="42"/>
      <c r="AA801" s="36"/>
      <c r="AB801" s="50"/>
      <c r="AC801" s="56" t="str">
        <f>IF(Table1[[#This Row],[Auto Order]]=1,IF(Table1[[#This Row],[In stock]]&lt;Table1[[#This Row],[Min in stock]],1,""),"")</f>
        <v/>
      </c>
    </row>
    <row r="802" spans="1:29" x14ac:dyDescent="0.25">
      <c r="A802" s="60" t="s">
        <v>1529</v>
      </c>
      <c r="B802" s="34" t="s">
        <v>713</v>
      </c>
      <c r="C802" s="34" t="s">
        <v>352</v>
      </c>
      <c r="D802" s="34" t="s">
        <v>1530</v>
      </c>
      <c r="E802" s="34" t="s">
        <v>559</v>
      </c>
      <c r="F802" s="53">
        <v>0</v>
      </c>
      <c r="G802" s="53"/>
      <c r="H802" s="53"/>
      <c r="I80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RHM31.6KAHCT-ND</v>
      </c>
      <c r="J80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0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02" s="34" t="s">
        <v>1528</v>
      </c>
      <c r="M802" s="42">
        <v>0.18</v>
      </c>
      <c r="N802" s="34"/>
      <c r="O802" s="42"/>
      <c r="P802" s="34"/>
      <c r="Q802" s="42"/>
      <c r="R802" s="34"/>
      <c r="S802" s="42"/>
      <c r="T802" s="34"/>
      <c r="U802" s="42"/>
      <c r="V802" s="34"/>
      <c r="W802" s="42"/>
      <c r="X802" s="34"/>
      <c r="Y802" s="42"/>
      <c r="Z802" s="42"/>
      <c r="AA802" s="36"/>
      <c r="AB802" s="50"/>
      <c r="AC802" s="56" t="str">
        <f>IF(Table1[[#This Row],[Auto Order]]=1,IF(Table1[[#This Row],[In stock]]&lt;Table1[[#This Row],[Min in stock]],1,""),"")</f>
        <v/>
      </c>
    </row>
    <row r="803" spans="1:29" x14ac:dyDescent="0.25">
      <c r="A803" s="60" t="s">
        <v>1616</v>
      </c>
      <c r="B803" s="34" t="s">
        <v>713</v>
      </c>
      <c r="C803" s="34" t="s">
        <v>352</v>
      </c>
      <c r="D803" s="34" t="s">
        <v>1617</v>
      </c>
      <c r="E803" s="34" t="s">
        <v>559</v>
      </c>
      <c r="F803" s="53">
        <v>0</v>
      </c>
      <c r="G803" s="53"/>
      <c r="H803" s="53"/>
      <c r="I80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RHM31.6AHCT-ND</v>
      </c>
      <c r="J80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0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03" s="34" t="s">
        <v>1615</v>
      </c>
      <c r="M803" s="42">
        <v>0.18</v>
      </c>
      <c r="N803" s="34"/>
      <c r="O803" s="42"/>
      <c r="P803" s="34"/>
      <c r="Q803" s="42"/>
      <c r="R803" s="34"/>
      <c r="S803" s="42"/>
      <c r="T803" s="34"/>
      <c r="U803" s="42"/>
      <c r="V803" s="34"/>
      <c r="W803" s="42"/>
      <c r="X803" s="34"/>
      <c r="Y803" s="42"/>
      <c r="Z803" s="42"/>
      <c r="AA803" s="36"/>
      <c r="AB803" s="50"/>
      <c r="AC803" s="56" t="str">
        <f>IF(Table1[[#This Row],[Auto Order]]=1,IF(Table1[[#This Row],[In stock]]&lt;Table1[[#This Row],[Min in stock]],1,""),"")</f>
        <v/>
      </c>
    </row>
    <row r="804" spans="1:29" x14ac:dyDescent="0.25">
      <c r="A804" s="60" t="s">
        <v>1154</v>
      </c>
      <c r="B804" s="34" t="s">
        <v>713</v>
      </c>
      <c r="C804" s="34" t="s">
        <v>352</v>
      </c>
      <c r="D804" s="34" t="s">
        <v>1155</v>
      </c>
      <c r="E804" s="34" t="s">
        <v>559</v>
      </c>
      <c r="F804" s="53">
        <v>0</v>
      </c>
      <c r="G804" s="53"/>
      <c r="H804" s="53"/>
      <c r="I80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RHM324AHCT-ND</v>
      </c>
      <c r="J80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0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04" s="34" t="s">
        <v>1153</v>
      </c>
      <c r="M804" s="42">
        <v>0.18</v>
      </c>
      <c r="N804" s="34"/>
      <c r="O804" s="42"/>
      <c r="P804" s="34"/>
      <c r="Q804" s="42"/>
      <c r="R804" s="34"/>
      <c r="S804" s="42"/>
      <c r="T804" s="34"/>
      <c r="U804" s="42"/>
      <c r="V804" s="34"/>
      <c r="W804" s="42"/>
      <c r="X804" s="34"/>
      <c r="Y804" s="42"/>
      <c r="Z804" s="42"/>
      <c r="AA804" s="36"/>
      <c r="AB804" s="50"/>
      <c r="AC804" s="56" t="str">
        <f>IF(Table1[[#This Row],[Auto Order]]=1,IF(Table1[[#This Row],[In stock]]&lt;Table1[[#This Row],[Min in stock]],1,""),"")</f>
        <v/>
      </c>
    </row>
    <row r="805" spans="1:29" x14ac:dyDescent="0.25">
      <c r="A805" s="60" t="s">
        <v>985</v>
      </c>
      <c r="B805" s="34" t="s">
        <v>713</v>
      </c>
      <c r="C805" s="34" t="s">
        <v>352</v>
      </c>
      <c r="D805" s="34" t="s">
        <v>986</v>
      </c>
      <c r="E805" s="34" t="s">
        <v>559</v>
      </c>
      <c r="F805" s="53">
        <v>0</v>
      </c>
      <c r="G805" s="53"/>
      <c r="H805" s="53"/>
      <c r="I80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RHM32.4KAHCT-ND</v>
      </c>
      <c r="J80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0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05" s="34" t="s">
        <v>984</v>
      </c>
      <c r="M805" s="42">
        <v>0.18</v>
      </c>
      <c r="N805" s="34"/>
      <c r="O805" s="42"/>
      <c r="P805" s="34"/>
      <c r="Q805" s="42"/>
      <c r="R805" s="34"/>
      <c r="S805" s="42"/>
      <c r="T805" s="34"/>
      <c r="U805" s="42"/>
      <c r="V805" s="34"/>
      <c r="W805" s="42"/>
      <c r="X805" s="34"/>
      <c r="Y805" s="42"/>
      <c r="Z805" s="42"/>
      <c r="AA805" s="36"/>
      <c r="AB805" s="50"/>
      <c r="AC805" s="56" t="str">
        <f>IF(Table1[[#This Row],[Auto Order]]=1,IF(Table1[[#This Row],[In stock]]&lt;Table1[[#This Row],[Min in stock]],1,""),"")</f>
        <v/>
      </c>
    </row>
    <row r="806" spans="1:29" x14ac:dyDescent="0.25">
      <c r="A806" s="60" t="s">
        <v>1767</v>
      </c>
      <c r="B806" s="34" t="s">
        <v>713</v>
      </c>
      <c r="C806" s="34" t="s">
        <v>352</v>
      </c>
      <c r="D806" s="34" t="s">
        <v>639</v>
      </c>
      <c r="E806" s="34" t="s">
        <v>559</v>
      </c>
      <c r="F806" s="53">
        <v>0</v>
      </c>
      <c r="G806" s="53"/>
      <c r="H806" s="53"/>
      <c r="I80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RHM330AHCT-ND</v>
      </c>
      <c r="J80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0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06" s="34" t="s">
        <v>1766</v>
      </c>
      <c r="M806" s="42">
        <v>0.18</v>
      </c>
      <c r="N806" s="34"/>
      <c r="O806" s="42"/>
      <c r="P806" s="34"/>
      <c r="Q806" s="42"/>
      <c r="R806" s="34"/>
      <c r="S806" s="42"/>
      <c r="T806" s="34"/>
      <c r="U806" s="42"/>
      <c r="V806" s="34"/>
      <c r="W806" s="42"/>
      <c r="X806" s="34"/>
      <c r="Y806" s="42"/>
      <c r="Z806" s="42"/>
      <c r="AA806" s="36"/>
      <c r="AB806" s="50"/>
      <c r="AC806" s="56" t="str">
        <f>IF(Table1[[#This Row],[Auto Order]]=1,IF(Table1[[#This Row],[In stock]]&lt;Table1[[#This Row],[Min in stock]],1,""),"")</f>
        <v/>
      </c>
    </row>
    <row r="807" spans="1:29" x14ac:dyDescent="0.25">
      <c r="A807" s="60" t="s">
        <v>1751</v>
      </c>
      <c r="B807" s="34" t="s">
        <v>713</v>
      </c>
      <c r="C807" s="34" t="s">
        <v>352</v>
      </c>
      <c r="D807" s="34" t="s">
        <v>660</v>
      </c>
      <c r="E807" s="34" t="s">
        <v>559</v>
      </c>
      <c r="F807" s="53">
        <v>0</v>
      </c>
      <c r="G807" s="53"/>
      <c r="H807" s="53"/>
      <c r="I80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RHM3.3KAHCT-ND</v>
      </c>
      <c r="J80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0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07" s="34" t="s">
        <v>1750</v>
      </c>
      <c r="M807" s="42">
        <v>0.18</v>
      </c>
      <c r="N807" s="34"/>
      <c r="O807" s="42"/>
      <c r="P807" s="34"/>
      <c r="Q807" s="42"/>
      <c r="R807" s="34"/>
      <c r="S807" s="42"/>
      <c r="T807" s="34"/>
      <c r="U807" s="42"/>
      <c r="V807" s="34"/>
      <c r="W807" s="42"/>
      <c r="X807" s="34"/>
      <c r="Y807" s="42"/>
      <c r="Z807" s="42"/>
      <c r="AA807" s="36"/>
      <c r="AB807" s="50"/>
      <c r="AC807" s="56" t="str">
        <f>IF(Table1[[#This Row],[Auto Order]]=1,IF(Table1[[#This Row],[In stock]]&lt;Table1[[#This Row],[Min in stock]],1,""),"")</f>
        <v/>
      </c>
    </row>
    <row r="808" spans="1:29" x14ac:dyDescent="0.25">
      <c r="A808" s="60" t="s">
        <v>799</v>
      </c>
      <c r="B808" s="34" t="s">
        <v>713</v>
      </c>
      <c r="C808" s="34" t="s">
        <v>352</v>
      </c>
      <c r="D808" s="34" t="s">
        <v>800</v>
      </c>
      <c r="E808" s="34" t="s">
        <v>559</v>
      </c>
      <c r="F808" s="53">
        <v>0</v>
      </c>
      <c r="G808" s="53"/>
      <c r="H808" s="53"/>
      <c r="I80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RHM33KAHCT-ND</v>
      </c>
      <c r="J80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0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08" s="34" t="s">
        <v>798</v>
      </c>
      <c r="M808" s="42">
        <v>0.18</v>
      </c>
      <c r="N808" s="34"/>
      <c r="O808" s="42"/>
      <c r="P808" s="34"/>
      <c r="Q808" s="42"/>
      <c r="R808" s="34"/>
      <c r="S808" s="42"/>
      <c r="T808" s="34"/>
      <c r="U808" s="42"/>
      <c r="V808" s="34"/>
      <c r="W808" s="42"/>
      <c r="X808" s="34"/>
      <c r="Y808" s="42"/>
      <c r="Z808" s="42"/>
      <c r="AA808" s="36"/>
      <c r="AB808" s="50"/>
      <c r="AC808" s="56" t="str">
        <f>IF(Table1[[#This Row],[Auto Order]]=1,IF(Table1[[#This Row],[In stock]]&lt;Table1[[#This Row],[Min in stock]],1,""),"")</f>
        <v/>
      </c>
    </row>
    <row r="809" spans="1:29" x14ac:dyDescent="0.25">
      <c r="A809" s="60" t="s">
        <v>753</v>
      </c>
      <c r="B809" s="34" t="s">
        <v>713</v>
      </c>
      <c r="C809" s="34" t="s">
        <v>352</v>
      </c>
      <c r="D809" s="34" t="s">
        <v>754</v>
      </c>
      <c r="E809" s="34" t="s">
        <v>559</v>
      </c>
      <c r="F809" s="53">
        <v>0</v>
      </c>
      <c r="G809" s="53"/>
      <c r="H809" s="53"/>
      <c r="I80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RHM3.30MAHCT-ND</v>
      </c>
      <c r="J80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0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09" s="34" t="s">
        <v>752</v>
      </c>
      <c r="M809" s="42">
        <v>0.18</v>
      </c>
      <c r="N809" s="34"/>
      <c r="O809" s="42"/>
      <c r="P809" s="34"/>
      <c r="Q809" s="42"/>
      <c r="R809" s="34"/>
      <c r="S809" s="42"/>
      <c r="T809" s="34"/>
      <c r="U809" s="42"/>
      <c r="V809" s="34"/>
      <c r="W809" s="42"/>
      <c r="X809" s="34"/>
      <c r="Y809" s="42"/>
      <c r="Z809" s="42"/>
      <c r="AA809" s="36"/>
      <c r="AB809" s="50"/>
      <c r="AC809" s="56" t="str">
        <f>IF(Table1[[#This Row],[Auto Order]]=1,IF(Table1[[#This Row],[In stock]]&lt;Table1[[#This Row],[Min in stock]],1,""),"")</f>
        <v/>
      </c>
    </row>
    <row r="810" spans="1:29" x14ac:dyDescent="0.25">
      <c r="A810" s="60" t="s">
        <v>876</v>
      </c>
      <c r="B810" s="34" t="s">
        <v>713</v>
      </c>
      <c r="C810" s="34" t="s">
        <v>352</v>
      </c>
      <c r="D810" s="34" t="s">
        <v>877</v>
      </c>
      <c r="E810" s="34" t="s">
        <v>559</v>
      </c>
      <c r="F810" s="53">
        <v>0</v>
      </c>
      <c r="G810" s="53"/>
      <c r="H810" s="53"/>
      <c r="I81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RHM3.32KAHCT-ND</v>
      </c>
      <c r="J81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1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10" s="34" t="s">
        <v>875</v>
      </c>
      <c r="M810" s="42">
        <v>0.18</v>
      </c>
      <c r="N810" s="34"/>
      <c r="O810" s="42"/>
      <c r="P810" s="34"/>
      <c r="Q810" s="42"/>
      <c r="R810" s="34"/>
      <c r="S810" s="42"/>
      <c r="T810" s="34"/>
      <c r="U810" s="42"/>
      <c r="V810" s="34"/>
      <c r="W810" s="42"/>
      <c r="X810" s="34"/>
      <c r="Y810" s="42"/>
      <c r="Z810" s="42"/>
      <c r="AA810" s="36"/>
      <c r="AB810" s="50"/>
      <c r="AC810" s="56" t="str">
        <f>IF(Table1[[#This Row],[Auto Order]]=1,IF(Table1[[#This Row],[In stock]]&lt;Table1[[#This Row],[Min in stock]],1,""),"")</f>
        <v/>
      </c>
    </row>
    <row r="811" spans="1:29" x14ac:dyDescent="0.25">
      <c r="A811" s="60" t="s">
        <v>1376</v>
      </c>
      <c r="B811" s="34" t="s">
        <v>713</v>
      </c>
      <c r="C811" s="34" t="s">
        <v>352</v>
      </c>
      <c r="D811" s="34" t="s">
        <v>1377</v>
      </c>
      <c r="E811" s="34" t="s">
        <v>559</v>
      </c>
      <c r="F811" s="53">
        <v>0</v>
      </c>
      <c r="G811" s="53"/>
      <c r="H811" s="53"/>
      <c r="I81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RHM33.2KAHCT-ND</v>
      </c>
      <c r="J81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1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11" s="34" t="s">
        <v>1375</v>
      </c>
      <c r="M811" s="42">
        <v>0.18</v>
      </c>
      <c r="N811" s="34"/>
      <c r="O811" s="42"/>
      <c r="P811" s="34"/>
      <c r="Q811" s="42"/>
      <c r="R811" s="34"/>
      <c r="S811" s="42"/>
      <c r="T811" s="34"/>
      <c r="U811" s="42"/>
      <c r="V811" s="34"/>
      <c r="W811" s="42"/>
      <c r="X811" s="34"/>
      <c r="Y811" s="42"/>
      <c r="Z811" s="42"/>
      <c r="AA811" s="36"/>
      <c r="AB811" s="50"/>
      <c r="AC811" s="56" t="str">
        <f>IF(Table1[[#This Row],[Auto Order]]=1,IF(Table1[[#This Row],[In stock]]&lt;Table1[[#This Row],[Min in stock]],1,""),"")</f>
        <v/>
      </c>
    </row>
    <row r="812" spans="1:29" x14ac:dyDescent="0.25">
      <c r="A812" s="60" t="s">
        <v>832</v>
      </c>
      <c r="B812" s="34" t="s">
        <v>713</v>
      </c>
      <c r="C812" s="34" t="s">
        <v>352</v>
      </c>
      <c r="D812" s="34" t="s">
        <v>833</v>
      </c>
      <c r="E812" s="34" t="s">
        <v>559</v>
      </c>
      <c r="F812" s="53">
        <v>0</v>
      </c>
      <c r="G812" s="53"/>
      <c r="H812" s="53"/>
      <c r="I81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RHM332KAHCT-ND</v>
      </c>
      <c r="J81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1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12" s="34" t="s">
        <v>831</v>
      </c>
      <c r="M812" s="42">
        <v>0.18</v>
      </c>
      <c r="N812" s="34"/>
      <c r="O812" s="42"/>
      <c r="P812" s="34"/>
      <c r="Q812" s="42"/>
      <c r="R812" s="34"/>
      <c r="S812" s="42"/>
      <c r="T812" s="34"/>
      <c r="U812" s="42"/>
      <c r="V812" s="34"/>
      <c r="W812" s="42"/>
      <c r="X812" s="34"/>
      <c r="Y812" s="42"/>
      <c r="Z812" s="42"/>
      <c r="AA812" s="36"/>
      <c r="AB812" s="50"/>
      <c r="AC812" s="56" t="str">
        <f>IF(Table1[[#This Row],[Auto Order]]=1,IF(Table1[[#This Row],[In stock]]&lt;Table1[[#This Row],[Min in stock]],1,""),"")</f>
        <v/>
      </c>
    </row>
    <row r="813" spans="1:29" x14ac:dyDescent="0.25">
      <c r="A813" s="60" t="s">
        <v>879</v>
      </c>
      <c r="B813" s="34" t="s">
        <v>713</v>
      </c>
      <c r="C813" s="34" t="s">
        <v>352</v>
      </c>
      <c r="D813" s="34" t="s">
        <v>627</v>
      </c>
      <c r="E813" s="34" t="s">
        <v>559</v>
      </c>
      <c r="F813" s="53">
        <v>0</v>
      </c>
      <c r="G813" s="53"/>
      <c r="H813" s="53"/>
      <c r="I81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RHM33AHCT-ND</v>
      </c>
      <c r="J81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1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13" s="34" t="s">
        <v>878</v>
      </c>
      <c r="M813" s="42">
        <v>0.18</v>
      </c>
      <c r="N813" s="34"/>
      <c r="O813" s="42"/>
      <c r="P813" s="34"/>
      <c r="Q813" s="42"/>
      <c r="R813" s="34"/>
      <c r="S813" s="42"/>
      <c r="T813" s="34"/>
      <c r="U813" s="42"/>
      <c r="V813" s="34"/>
      <c r="W813" s="42"/>
      <c r="X813" s="34"/>
      <c r="Y813" s="42"/>
      <c r="Z813" s="42"/>
      <c r="AA813" s="36"/>
      <c r="AB813" s="50"/>
      <c r="AC813" s="56" t="str">
        <f>IF(Table1[[#This Row],[Auto Order]]=1,IF(Table1[[#This Row],[In stock]]&lt;Table1[[#This Row],[Min in stock]],1,""),"")</f>
        <v/>
      </c>
    </row>
    <row r="814" spans="1:29" x14ac:dyDescent="0.25">
      <c r="A814" s="60" t="s">
        <v>988</v>
      </c>
      <c r="B814" s="34" t="s">
        <v>713</v>
      </c>
      <c r="C814" s="34" t="s">
        <v>352</v>
      </c>
      <c r="D814" s="34" t="s">
        <v>989</v>
      </c>
      <c r="E814" s="34" t="s">
        <v>559</v>
      </c>
      <c r="F814" s="53">
        <v>0</v>
      </c>
      <c r="G814" s="53"/>
      <c r="H814" s="53"/>
      <c r="I81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RHM33.2AHCT-ND</v>
      </c>
      <c r="J81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1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14" s="34" t="s">
        <v>987</v>
      </c>
      <c r="M814" s="42">
        <v>0.18</v>
      </c>
      <c r="N814" s="34"/>
      <c r="O814" s="42"/>
      <c r="P814" s="34"/>
      <c r="Q814" s="42"/>
      <c r="R814" s="34"/>
      <c r="S814" s="42"/>
      <c r="T814" s="34"/>
      <c r="U814" s="42"/>
      <c r="V814" s="34"/>
      <c r="W814" s="42"/>
      <c r="X814" s="34"/>
      <c r="Y814" s="42"/>
      <c r="Z814" s="42"/>
      <c r="AA814" s="36"/>
      <c r="AB814" s="50"/>
      <c r="AC814" s="56" t="str">
        <f>IF(Table1[[#This Row],[Auto Order]]=1,IF(Table1[[#This Row],[In stock]]&lt;Table1[[#This Row],[Min in stock]],1,""),"")</f>
        <v/>
      </c>
    </row>
    <row r="815" spans="1:29" x14ac:dyDescent="0.25">
      <c r="A815" s="60" t="s">
        <v>1235</v>
      </c>
      <c r="B815" s="34" t="s">
        <v>713</v>
      </c>
      <c r="C815" s="34" t="s">
        <v>352</v>
      </c>
      <c r="D815" s="34" t="s">
        <v>1236</v>
      </c>
      <c r="E815" s="34" t="s">
        <v>559</v>
      </c>
      <c r="F815" s="53">
        <v>0</v>
      </c>
      <c r="G815" s="53"/>
      <c r="H815" s="53"/>
      <c r="I81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RHM340AHCT-ND</v>
      </c>
      <c r="J81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1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15" s="34" t="s">
        <v>1234</v>
      </c>
      <c r="M815" s="42">
        <v>0.18</v>
      </c>
      <c r="N815" s="34"/>
      <c r="O815" s="42"/>
      <c r="P815" s="34"/>
      <c r="Q815" s="42"/>
      <c r="R815" s="34"/>
      <c r="S815" s="42"/>
      <c r="T815" s="34"/>
      <c r="U815" s="42"/>
      <c r="V815" s="34"/>
      <c r="W815" s="42"/>
      <c r="X815" s="34"/>
      <c r="Y815" s="42"/>
      <c r="Z815" s="42"/>
      <c r="AA815" s="36"/>
      <c r="AB815" s="50"/>
      <c r="AC815" s="56" t="str">
        <f>IF(Table1[[#This Row],[Auto Order]]=1,IF(Table1[[#This Row],[In stock]]&lt;Table1[[#This Row],[Min in stock]],1,""),"")</f>
        <v/>
      </c>
    </row>
    <row r="816" spans="1:29" x14ac:dyDescent="0.25">
      <c r="A816" s="60" t="s">
        <v>1296</v>
      </c>
      <c r="B816" s="34" t="s">
        <v>713</v>
      </c>
      <c r="C816" s="34" t="s">
        <v>352</v>
      </c>
      <c r="D816" s="34" t="s">
        <v>1297</v>
      </c>
      <c r="E816" s="34" t="s">
        <v>559</v>
      </c>
      <c r="F816" s="53">
        <v>0</v>
      </c>
      <c r="G816" s="53"/>
      <c r="H816" s="53"/>
      <c r="I81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RHM3.4KAHCT-ND</v>
      </c>
      <c r="J81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1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16" s="34" t="s">
        <v>1295</v>
      </c>
      <c r="M816" s="42">
        <v>0.18</v>
      </c>
      <c r="N816" s="34"/>
      <c r="O816" s="42"/>
      <c r="P816" s="34"/>
      <c r="Q816" s="42"/>
      <c r="R816" s="34"/>
      <c r="S816" s="42"/>
      <c r="T816" s="34"/>
      <c r="U816" s="42"/>
      <c r="V816" s="34"/>
      <c r="W816" s="42"/>
      <c r="X816" s="34"/>
      <c r="Y816" s="42"/>
      <c r="Z816" s="42"/>
      <c r="AA816" s="36"/>
      <c r="AB816" s="50"/>
      <c r="AC816" s="56" t="str">
        <f>IF(Table1[[#This Row],[Auto Order]]=1,IF(Table1[[#This Row],[In stock]]&lt;Table1[[#This Row],[Min in stock]],1,""),"")</f>
        <v/>
      </c>
    </row>
    <row r="817" spans="1:29" x14ac:dyDescent="0.25">
      <c r="A817" s="60" t="s">
        <v>1619</v>
      </c>
      <c r="B817" s="34" t="s">
        <v>713</v>
      </c>
      <c r="C817" s="34" t="s">
        <v>352</v>
      </c>
      <c r="D817" s="34" t="s">
        <v>1620</v>
      </c>
      <c r="E817" s="34" t="s">
        <v>559</v>
      </c>
      <c r="F817" s="53">
        <v>0</v>
      </c>
      <c r="G817" s="53"/>
      <c r="H817" s="53"/>
      <c r="I81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RHM340KAHCT-ND</v>
      </c>
      <c r="J81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1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17" s="34" t="s">
        <v>1618</v>
      </c>
      <c r="M817" s="42">
        <v>0.18</v>
      </c>
      <c r="N817" s="34"/>
      <c r="O817" s="42"/>
      <c r="P817" s="34"/>
      <c r="Q817" s="42"/>
      <c r="R817" s="34"/>
      <c r="S817" s="42"/>
      <c r="T817" s="34"/>
      <c r="U817" s="42"/>
      <c r="V817" s="34"/>
      <c r="W817" s="42"/>
      <c r="X817" s="34"/>
      <c r="Y817" s="42"/>
      <c r="Z817" s="42"/>
      <c r="AA817" s="36"/>
      <c r="AB817" s="50"/>
      <c r="AC817" s="56" t="str">
        <f>IF(Table1[[#This Row],[Auto Order]]=1,IF(Table1[[#This Row],[In stock]]&lt;Table1[[#This Row],[Min in stock]],1,""),"")</f>
        <v/>
      </c>
    </row>
    <row r="818" spans="1:29" x14ac:dyDescent="0.25">
      <c r="A818" s="60" t="s">
        <v>1175</v>
      </c>
      <c r="B818" s="34" t="s">
        <v>713</v>
      </c>
      <c r="C818" s="34" t="s">
        <v>352</v>
      </c>
      <c r="D818" s="34" t="s">
        <v>1176</v>
      </c>
      <c r="E818" s="34" t="s">
        <v>559</v>
      </c>
      <c r="F818" s="53">
        <v>0</v>
      </c>
      <c r="G818" s="53"/>
      <c r="H818" s="53"/>
      <c r="I81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RHM34.8KAHCT-ND</v>
      </c>
      <c r="J81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1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18" s="34" t="s">
        <v>1174</v>
      </c>
      <c r="M818" s="42">
        <v>0.18</v>
      </c>
      <c r="N818" s="34"/>
      <c r="O818" s="42"/>
      <c r="P818" s="34"/>
      <c r="Q818" s="42"/>
      <c r="R818" s="34"/>
      <c r="S818" s="42"/>
      <c r="T818" s="34"/>
      <c r="U818" s="42"/>
      <c r="V818" s="34"/>
      <c r="W818" s="42"/>
      <c r="X818" s="34"/>
      <c r="Y818" s="42"/>
      <c r="Z818" s="42"/>
      <c r="AA818" s="36"/>
      <c r="AB818" s="50"/>
      <c r="AC818" s="56" t="str">
        <f>IF(Table1[[#This Row],[Auto Order]]=1,IF(Table1[[#This Row],[In stock]]&lt;Table1[[#This Row],[Min in stock]],1,""),"")</f>
        <v/>
      </c>
    </row>
    <row r="819" spans="1:29" x14ac:dyDescent="0.25">
      <c r="A819" s="60" t="s">
        <v>1058</v>
      </c>
      <c r="B819" s="34" t="s">
        <v>713</v>
      </c>
      <c r="C819" s="34" t="s">
        <v>352</v>
      </c>
      <c r="D819" s="34" t="s">
        <v>1059</v>
      </c>
      <c r="E819" s="34" t="s">
        <v>559</v>
      </c>
      <c r="F819" s="53">
        <v>0</v>
      </c>
      <c r="G819" s="53"/>
      <c r="H819" s="53"/>
      <c r="I81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RHM348KAHCT-ND</v>
      </c>
      <c r="J81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1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19" s="34" t="s">
        <v>1057</v>
      </c>
      <c r="M819" s="42">
        <v>0.18</v>
      </c>
      <c r="N819" s="34"/>
      <c r="O819" s="42"/>
      <c r="P819" s="34"/>
      <c r="Q819" s="42"/>
      <c r="R819" s="34"/>
      <c r="S819" s="42"/>
      <c r="T819" s="34"/>
      <c r="U819" s="42"/>
      <c r="V819" s="34"/>
      <c r="W819" s="42"/>
      <c r="X819" s="34"/>
      <c r="Y819" s="42"/>
      <c r="Z819" s="42"/>
      <c r="AA819" s="36"/>
      <c r="AB819" s="50"/>
      <c r="AC819" s="56" t="str">
        <f>IF(Table1[[#This Row],[Auto Order]]=1,IF(Table1[[#This Row],[In stock]]&lt;Table1[[#This Row],[Min in stock]],1,""),"")</f>
        <v/>
      </c>
    </row>
    <row r="820" spans="1:29" x14ac:dyDescent="0.25">
      <c r="A820" s="60" t="s">
        <v>1622</v>
      </c>
      <c r="B820" s="34" t="s">
        <v>713</v>
      </c>
      <c r="C820" s="34" t="s">
        <v>352</v>
      </c>
      <c r="D820" s="34" t="s">
        <v>1623</v>
      </c>
      <c r="E820" s="34" t="s">
        <v>559</v>
      </c>
      <c r="F820" s="53">
        <v>0</v>
      </c>
      <c r="G820" s="53"/>
      <c r="H820" s="53"/>
      <c r="I82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RHM357AHCT-ND</v>
      </c>
      <c r="J82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2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20" s="34" t="s">
        <v>1621</v>
      </c>
      <c r="M820" s="42">
        <v>0.18</v>
      </c>
      <c r="N820" s="34"/>
      <c r="O820" s="42"/>
      <c r="P820" s="34"/>
      <c r="Q820" s="42"/>
      <c r="R820" s="34"/>
      <c r="S820" s="42"/>
      <c r="T820" s="34"/>
      <c r="U820" s="42"/>
      <c r="V820" s="34"/>
      <c r="W820" s="42"/>
      <c r="X820" s="34"/>
      <c r="Y820" s="42"/>
      <c r="Z820" s="42"/>
      <c r="AA820" s="36"/>
      <c r="AB820" s="50"/>
      <c r="AC820" s="56" t="str">
        <f>IF(Table1[[#This Row],[Auto Order]]=1,IF(Table1[[#This Row],[In stock]]&lt;Table1[[#This Row],[Min in stock]],1,""),"")</f>
        <v/>
      </c>
    </row>
    <row r="821" spans="1:29" x14ac:dyDescent="0.25">
      <c r="A821" s="60" t="s">
        <v>1064</v>
      </c>
      <c r="B821" s="34" t="s">
        <v>713</v>
      </c>
      <c r="C821" s="34" t="s">
        <v>352</v>
      </c>
      <c r="D821" s="34" t="s">
        <v>1065</v>
      </c>
      <c r="E821" s="34" t="s">
        <v>559</v>
      </c>
      <c r="F821" s="53">
        <v>0</v>
      </c>
      <c r="G821" s="53"/>
      <c r="H821" s="53"/>
      <c r="I82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RHM35.7AHCT-ND</v>
      </c>
      <c r="J82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2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21" s="34" t="s">
        <v>1063</v>
      </c>
      <c r="M821" s="42">
        <v>0.18</v>
      </c>
      <c r="N821" s="34"/>
      <c r="O821" s="42"/>
      <c r="P821" s="34"/>
      <c r="Q821" s="42"/>
      <c r="R821" s="34"/>
      <c r="S821" s="42"/>
      <c r="T821" s="34"/>
      <c r="U821" s="42"/>
      <c r="V821" s="34"/>
      <c r="W821" s="42"/>
      <c r="X821" s="34"/>
      <c r="Y821" s="42"/>
      <c r="Z821" s="42"/>
      <c r="AA821" s="36"/>
      <c r="AB821" s="50"/>
      <c r="AC821" s="56" t="str">
        <f>IF(Table1[[#This Row],[Auto Order]]=1,IF(Table1[[#This Row],[In stock]]&lt;Table1[[#This Row],[Min in stock]],1,""),"")</f>
        <v/>
      </c>
    </row>
    <row r="822" spans="1:29" x14ac:dyDescent="0.25">
      <c r="A822" s="60" t="s">
        <v>1253</v>
      </c>
      <c r="B822" s="34" t="s">
        <v>713</v>
      </c>
      <c r="C822" s="34" t="s">
        <v>352</v>
      </c>
      <c r="D822" s="34" t="s">
        <v>1254</v>
      </c>
      <c r="E822" s="34" t="s">
        <v>559</v>
      </c>
      <c r="F822" s="53">
        <v>0</v>
      </c>
      <c r="G822" s="53"/>
      <c r="H822" s="53"/>
      <c r="I82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RHM360AHCT-ND</v>
      </c>
      <c r="J82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2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22" s="34" t="s">
        <v>1252</v>
      </c>
      <c r="M822" s="42">
        <v>0.18</v>
      </c>
      <c r="N822" s="34"/>
      <c r="O822" s="42"/>
      <c r="P822" s="34"/>
      <c r="Q822" s="42"/>
      <c r="R822" s="34"/>
      <c r="S822" s="42"/>
      <c r="T822" s="34"/>
      <c r="U822" s="42"/>
      <c r="V822" s="34"/>
      <c r="W822" s="42"/>
      <c r="X822" s="34"/>
      <c r="Y822" s="42"/>
      <c r="Z822" s="42"/>
      <c r="AA822" s="36"/>
      <c r="AB822" s="50"/>
      <c r="AC822" s="56" t="str">
        <f>IF(Table1[[#This Row],[Auto Order]]=1,IF(Table1[[#This Row],[In stock]]&lt;Table1[[#This Row],[Min in stock]],1,""),"")</f>
        <v/>
      </c>
    </row>
    <row r="823" spans="1:29" x14ac:dyDescent="0.25">
      <c r="A823" s="60" t="s">
        <v>925</v>
      </c>
      <c r="B823" s="34" t="s">
        <v>713</v>
      </c>
      <c r="C823" s="34" t="s">
        <v>352</v>
      </c>
      <c r="D823" s="34" t="s">
        <v>926</v>
      </c>
      <c r="E823" s="34" t="s">
        <v>559</v>
      </c>
      <c r="F823" s="53">
        <v>0</v>
      </c>
      <c r="G823" s="53"/>
      <c r="H823" s="53"/>
      <c r="I82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RHM36.0KAHCT-ND</v>
      </c>
      <c r="J82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2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23" s="34" t="s">
        <v>924</v>
      </c>
      <c r="M823" s="42">
        <v>0.18</v>
      </c>
      <c r="N823" s="34"/>
      <c r="O823" s="42"/>
      <c r="P823" s="34"/>
      <c r="Q823" s="42"/>
      <c r="R823" s="34"/>
      <c r="S823" s="42"/>
      <c r="T823" s="34"/>
      <c r="U823" s="42"/>
      <c r="V823" s="34"/>
      <c r="W823" s="42"/>
      <c r="X823" s="34"/>
      <c r="Y823" s="42"/>
      <c r="Z823" s="42"/>
      <c r="AA823" s="36"/>
      <c r="AB823" s="50"/>
      <c r="AC823" s="56" t="str">
        <f>IF(Table1[[#This Row],[Auto Order]]=1,IF(Table1[[#This Row],[In stock]]&lt;Table1[[#This Row],[Min in stock]],1,""),"")</f>
        <v/>
      </c>
    </row>
    <row r="824" spans="1:29" x14ac:dyDescent="0.25">
      <c r="A824" s="60" t="s">
        <v>1279</v>
      </c>
      <c r="B824" s="34" t="s">
        <v>713</v>
      </c>
      <c r="C824" s="34" t="s">
        <v>352</v>
      </c>
      <c r="D824" s="34" t="s">
        <v>1280</v>
      </c>
      <c r="E824" s="34" t="s">
        <v>559</v>
      </c>
      <c r="F824" s="53">
        <v>0</v>
      </c>
      <c r="G824" s="53"/>
      <c r="H824" s="53"/>
      <c r="I82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RHM3.65KAHCT-ND</v>
      </c>
      <c r="J82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2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24" s="34" t="s">
        <v>1278</v>
      </c>
      <c r="M824" s="42">
        <v>0.18</v>
      </c>
      <c r="N824" s="34"/>
      <c r="O824" s="42"/>
      <c r="P824" s="34"/>
      <c r="Q824" s="42"/>
      <c r="R824" s="34"/>
      <c r="S824" s="42"/>
      <c r="T824" s="34"/>
      <c r="U824" s="42"/>
      <c r="V824" s="34"/>
      <c r="W824" s="42"/>
      <c r="X824" s="34"/>
      <c r="Y824" s="42"/>
      <c r="Z824" s="42"/>
      <c r="AA824" s="36"/>
      <c r="AB824" s="50"/>
      <c r="AC824" s="56" t="str">
        <f>IF(Table1[[#This Row],[Auto Order]]=1,IF(Table1[[#This Row],[In stock]]&lt;Table1[[#This Row],[Min in stock]],1,""),"")</f>
        <v/>
      </c>
    </row>
    <row r="825" spans="1:29" x14ac:dyDescent="0.25">
      <c r="A825" s="60" t="s">
        <v>1736</v>
      </c>
      <c r="B825" s="34" t="s">
        <v>713</v>
      </c>
      <c r="C825" s="34" t="s">
        <v>352</v>
      </c>
      <c r="D825" s="34" t="s">
        <v>1737</v>
      </c>
      <c r="E825" s="34" t="s">
        <v>559</v>
      </c>
      <c r="F825" s="53">
        <v>0</v>
      </c>
      <c r="G825" s="53"/>
      <c r="H825" s="53"/>
      <c r="I82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RHM365KAHCT-ND</v>
      </c>
      <c r="J82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2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25" s="34" t="s">
        <v>1735</v>
      </c>
      <c r="M825" s="42">
        <v>0.18</v>
      </c>
      <c r="N825" s="34"/>
      <c r="O825" s="42"/>
      <c r="P825" s="34"/>
      <c r="Q825" s="42"/>
      <c r="R825" s="34"/>
      <c r="S825" s="42"/>
      <c r="T825" s="34"/>
      <c r="U825" s="42"/>
      <c r="V825" s="34"/>
      <c r="W825" s="42"/>
      <c r="X825" s="34"/>
      <c r="Y825" s="42"/>
      <c r="Z825" s="42"/>
      <c r="AA825" s="36"/>
      <c r="AB825" s="50"/>
      <c r="AC825" s="56" t="str">
        <f>IF(Table1[[#This Row],[Auto Order]]=1,IF(Table1[[#This Row],[In stock]]&lt;Table1[[#This Row],[Min in stock]],1,""),"")</f>
        <v/>
      </c>
    </row>
    <row r="826" spans="1:29" x14ac:dyDescent="0.25">
      <c r="A826" s="60" t="s">
        <v>1270</v>
      </c>
      <c r="B826" s="34" t="s">
        <v>713</v>
      </c>
      <c r="C826" s="34" t="s">
        <v>352</v>
      </c>
      <c r="D826" s="34" t="s">
        <v>1271</v>
      </c>
      <c r="E826" s="34" t="s">
        <v>559</v>
      </c>
      <c r="F826" s="53">
        <v>0</v>
      </c>
      <c r="G826" s="53"/>
      <c r="H826" s="53"/>
      <c r="I82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RHM3.74KAHCT-ND</v>
      </c>
      <c r="J82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2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26" s="34" t="s">
        <v>1269</v>
      </c>
      <c r="M826" s="42">
        <v>0.18</v>
      </c>
      <c r="N826" s="34"/>
      <c r="O826" s="42"/>
      <c r="P826" s="34"/>
      <c r="Q826" s="42"/>
      <c r="R826" s="34"/>
      <c r="S826" s="42"/>
      <c r="T826" s="34"/>
      <c r="U826" s="42"/>
      <c r="V826" s="34"/>
      <c r="W826" s="42"/>
      <c r="X826" s="34"/>
      <c r="Y826" s="42"/>
      <c r="Z826" s="42"/>
      <c r="AA826" s="36"/>
      <c r="AB826" s="50"/>
      <c r="AC826" s="56" t="str">
        <f>IF(Table1[[#This Row],[Auto Order]]=1,IF(Table1[[#This Row],[In stock]]&lt;Table1[[#This Row],[Min in stock]],1,""),"")</f>
        <v/>
      </c>
    </row>
    <row r="827" spans="1:29" x14ac:dyDescent="0.25">
      <c r="A827" s="60" t="s">
        <v>1709</v>
      </c>
      <c r="B827" s="34" t="s">
        <v>713</v>
      </c>
      <c r="C827" s="34" t="s">
        <v>352</v>
      </c>
      <c r="D827" s="34" t="s">
        <v>1710</v>
      </c>
      <c r="E827" s="34" t="s">
        <v>559</v>
      </c>
      <c r="F827" s="53">
        <v>0</v>
      </c>
      <c r="G827" s="53"/>
      <c r="H827" s="53"/>
      <c r="I82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RHM37.4KAHCT-ND</v>
      </c>
      <c r="J82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2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27" s="34" t="s">
        <v>1708</v>
      </c>
      <c r="M827" s="42">
        <v>0.18</v>
      </c>
      <c r="N827" s="34"/>
      <c r="O827" s="42"/>
      <c r="P827" s="34"/>
      <c r="Q827" s="42"/>
      <c r="R827" s="34"/>
      <c r="S827" s="42"/>
      <c r="T827" s="34"/>
      <c r="U827" s="42"/>
      <c r="V827" s="34"/>
      <c r="W827" s="42"/>
      <c r="X827" s="34"/>
      <c r="Y827" s="42"/>
      <c r="Z827" s="42"/>
      <c r="AA827" s="36"/>
      <c r="AB827" s="50"/>
      <c r="AC827" s="56" t="str">
        <f>IF(Table1[[#This Row],[Auto Order]]=1,IF(Table1[[#This Row],[In stock]]&lt;Table1[[#This Row],[Min in stock]],1,""),"")</f>
        <v/>
      </c>
    </row>
    <row r="828" spans="1:29" x14ac:dyDescent="0.25">
      <c r="A828" s="60" t="s">
        <v>1625</v>
      </c>
      <c r="B828" s="34" t="s">
        <v>713</v>
      </c>
      <c r="C828" s="34" t="s">
        <v>352</v>
      </c>
      <c r="D828" s="34" t="s">
        <v>1626</v>
      </c>
      <c r="E828" s="34" t="s">
        <v>559</v>
      </c>
      <c r="F828" s="53">
        <v>0</v>
      </c>
      <c r="G828" s="53"/>
      <c r="H828" s="53"/>
      <c r="I82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RHM383KAHCT-ND</v>
      </c>
      <c r="J82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2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28" s="34" t="s">
        <v>1624</v>
      </c>
      <c r="M828" s="42">
        <v>0.18</v>
      </c>
      <c r="N828" s="34"/>
      <c r="O828" s="42"/>
      <c r="P828" s="34"/>
      <c r="Q828" s="42"/>
      <c r="R828" s="34"/>
      <c r="S828" s="42"/>
      <c r="T828" s="34"/>
      <c r="U828" s="42"/>
      <c r="V828" s="34"/>
      <c r="W828" s="42"/>
      <c r="X828" s="34"/>
      <c r="Y828" s="42"/>
      <c r="Z828" s="42"/>
      <c r="AA828" s="36"/>
      <c r="AB828" s="50"/>
      <c r="AC828" s="56" t="str">
        <f>IF(Table1[[#This Row],[Auto Order]]=1,IF(Table1[[#This Row],[In stock]]&lt;Table1[[#This Row],[Min in stock]],1,""),"")</f>
        <v/>
      </c>
    </row>
    <row r="829" spans="1:29" x14ac:dyDescent="0.25">
      <c r="A829" s="60" t="s">
        <v>1368</v>
      </c>
      <c r="B829" s="34" t="s">
        <v>713</v>
      </c>
      <c r="C829" s="34" t="s">
        <v>352</v>
      </c>
      <c r="D829" s="34" t="s">
        <v>1369</v>
      </c>
      <c r="E829" s="34" t="s">
        <v>559</v>
      </c>
      <c r="F829" s="53">
        <v>0</v>
      </c>
      <c r="G829" s="53"/>
      <c r="H829" s="53"/>
      <c r="I82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RHM390AHCT-ND</v>
      </c>
      <c r="J82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2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29" s="34" t="s">
        <v>1367</v>
      </c>
      <c r="M829" s="42">
        <v>0.18</v>
      </c>
      <c r="N829" s="34"/>
      <c r="O829" s="42"/>
      <c r="P829" s="34"/>
      <c r="Q829" s="42"/>
      <c r="R829" s="34"/>
      <c r="S829" s="42"/>
      <c r="T829" s="34"/>
      <c r="U829" s="42"/>
      <c r="V829" s="34"/>
      <c r="W829" s="42"/>
      <c r="X829" s="34"/>
      <c r="Y829" s="42"/>
      <c r="Z829" s="42"/>
      <c r="AA829" s="36"/>
      <c r="AB829" s="50"/>
      <c r="AC829" s="56" t="str">
        <f>IF(Table1[[#This Row],[Auto Order]]=1,IF(Table1[[#This Row],[In stock]]&lt;Table1[[#This Row],[Min in stock]],1,""),"")</f>
        <v/>
      </c>
    </row>
    <row r="830" spans="1:29" x14ac:dyDescent="0.25">
      <c r="A830" s="60" t="s">
        <v>881</v>
      </c>
      <c r="B830" s="34" t="s">
        <v>713</v>
      </c>
      <c r="C830" s="34" t="s">
        <v>352</v>
      </c>
      <c r="D830" s="34" t="s">
        <v>882</v>
      </c>
      <c r="E830" s="34" t="s">
        <v>559</v>
      </c>
      <c r="F830" s="53">
        <v>0</v>
      </c>
      <c r="G830" s="53"/>
      <c r="H830" s="53"/>
      <c r="I83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RHM3.9KAHCT-ND</v>
      </c>
      <c r="J83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3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30" s="34" t="s">
        <v>880</v>
      </c>
      <c r="M830" s="42">
        <v>0.18</v>
      </c>
      <c r="N830" s="34"/>
      <c r="O830" s="42"/>
      <c r="P830" s="34"/>
      <c r="Q830" s="42"/>
      <c r="R830" s="34"/>
      <c r="S830" s="42"/>
      <c r="T830" s="34"/>
      <c r="U830" s="42"/>
      <c r="V830" s="34"/>
      <c r="W830" s="42"/>
      <c r="X830" s="34"/>
      <c r="Y830" s="42"/>
      <c r="Z830" s="42"/>
      <c r="AA830" s="36"/>
      <c r="AB830" s="50"/>
      <c r="AC830" s="56" t="str">
        <f>IF(Table1[[#This Row],[Auto Order]]=1,IF(Table1[[#This Row],[In stock]]&lt;Table1[[#This Row],[Min in stock]],1,""),"")</f>
        <v/>
      </c>
    </row>
    <row r="831" spans="1:29" x14ac:dyDescent="0.25">
      <c r="A831" s="60" t="s">
        <v>1477</v>
      </c>
      <c r="B831" s="34" t="s">
        <v>713</v>
      </c>
      <c r="C831" s="34" t="s">
        <v>352</v>
      </c>
      <c r="D831" s="34" t="s">
        <v>1478</v>
      </c>
      <c r="E831" s="34" t="s">
        <v>559</v>
      </c>
      <c r="F831" s="53">
        <v>0</v>
      </c>
      <c r="G831" s="53"/>
      <c r="H831" s="53"/>
      <c r="I83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RHM39KAHCT-ND</v>
      </c>
      <c r="J83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3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31" s="34" t="s">
        <v>1476</v>
      </c>
      <c r="M831" s="42">
        <v>0.18</v>
      </c>
      <c r="N831" s="34"/>
      <c r="O831" s="42"/>
      <c r="P831" s="34"/>
      <c r="Q831" s="42"/>
      <c r="R831" s="34"/>
      <c r="S831" s="42"/>
      <c r="T831" s="34"/>
      <c r="U831" s="42"/>
      <c r="V831" s="34"/>
      <c r="W831" s="42"/>
      <c r="X831" s="34"/>
      <c r="Y831" s="42"/>
      <c r="Z831" s="42"/>
      <c r="AA831" s="36"/>
      <c r="AB831" s="50"/>
      <c r="AC831" s="56" t="str">
        <f>IF(Table1[[#This Row],[Auto Order]]=1,IF(Table1[[#This Row],[In stock]]&lt;Table1[[#This Row],[Min in stock]],1,""),"")</f>
        <v/>
      </c>
    </row>
    <row r="832" spans="1:29" x14ac:dyDescent="0.25">
      <c r="A832" s="60" t="s">
        <v>739</v>
      </c>
      <c r="B832" s="34" t="s">
        <v>713</v>
      </c>
      <c r="C832" s="34" t="s">
        <v>352</v>
      </c>
      <c r="D832" s="34" t="s">
        <v>740</v>
      </c>
      <c r="E832" s="34" t="s">
        <v>559</v>
      </c>
      <c r="F832" s="53">
        <v>0</v>
      </c>
      <c r="G832" s="53"/>
      <c r="H832" s="53"/>
      <c r="I83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RHM390KAHCT-ND</v>
      </c>
      <c r="J83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3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32" s="34" t="s">
        <v>738</v>
      </c>
      <c r="M832" s="42">
        <v>0.18</v>
      </c>
      <c r="N832" s="34"/>
      <c r="O832" s="42"/>
      <c r="P832" s="34"/>
      <c r="Q832" s="42"/>
      <c r="R832" s="34"/>
      <c r="S832" s="42"/>
      <c r="T832" s="34"/>
      <c r="U832" s="42"/>
      <c r="V832" s="34"/>
      <c r="W832" s="42"/>
      <c r="X832" s="34"/>
      <c r="Y832" s="42"/>
      <c r="Z832" s="42"/>
      <c r="AA832" s="36"/>
      <c r="AB832" s="50"/>
      <c r="AC832" s="56" t="str">
        <f>IF(Table1[[#This Row],[Auto Order]]=1,IF(Table1[[#This Row],[In stock]]&lt;Table1[[#This Row],[Min in stock]],1,""),"")</f>
        <v/>
      </c>
    </row>
    <row r="833" spans="1:29" x14ac:dyDescent="0.25">
      <c r="A833" s="60" t="s">
        <v>884</v>
      </c>
      <c r="B833" s="34" t="s">
        <v>713</v>
      </c>
      <c r="C833" s="34" t="s">
        <v>352</v>
      </c>
      <c r="D833" s="34" t="s">
        <v>885</v>
      </c>
      <c r="E833" s="34" t="s">
        <v>559</v>
      </c>
      <c r="F833" s="53">
        <v>0</v>
      </c>
      <c r="G833" s="53"/>
      <c r="H833" s="53"/>
      <c r="I83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RHM3.9MAHCT-ND</v>
      </c>
      <c r="J83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3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33" s="34" t="s">
        <v>883</v>
      </c>
      <c r="M833" s="42">
        <v>0.18</v>
      </c>
      <c r="N833" s="34"/>
      <c r="O833" s="42"/>
      <c r="P833" s="34"/>
      <c r="Q833" s="42"/>
      <c r="R833" s="34"/>
      <c r="S833" s="42"/>
      <c r="T833" s="34"/>
      <c r="U833" s="42"/>
      <c r="V833" s="34"/>
      <c r="W833" s="42"/>
      <c r="X833" s="34"/>
      <c r="Y833" s="42"/>
      <c r="Z833" s="42"/>
      <c r="AA833" s="36"/>
      <c r="AB833" s="50"/>
      <c r="AC833" s="56" t="str">
        <f>IF(Table1[[#This Row],[Auto Order]]=1,IF(Table1[[#This Row],[In stock]]&lt;Table1[[#This Row],[Min in stock]],1,""),"")</f>
        <v/>
      </c>
    </row>
    <row r="834" spans="1:29" x14ac:dyDescent="0.25">
      <c r="A834" s="60" t="s">
        <v>1353</v>
      </c>
      <c r="B834" s="34" t="s">
        <v>713</v>
      </c>
      <c r="C834" s="34" t="s">
        <v>352</v>
      </c>
      <c r="D834" s="34" t="s">
        <v>1354</v>
      </c>
      <c r="E834" s="34" t="s">
        <v>559</v>
      </c>
      <c r="F834" s="53">
        <v>0</v>
      </c>
      <c r="G834" s="53"/>
      <c r="H834" s="53"/>
      <c r="I83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RHM392AHCT-ND</v>
      </c>
      <c r="J83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3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34" s="34" t="s">
        <v>1352</v>
      </c>
      <c r="M834" s="42">
        <v>0.18</v>
      </c>
      <c r="N834" s="34"/>
      <c r="O834" s="42"/>
      <c r="P834" s="34"/>
      <c r="Q834" s="42"/>
      <c r="R834" s="34"/>
      <c r="S834" s="42"/>
      <c r="T834" s="34"/>
      <c r="U834" s="42"/>
      <c r="V834" s="34"/>
      <c r="W834" s="42"/>
      <c r="X834" s="34"/>
      <c r="Y834" s="42"/>
      <c r="Z834" s="42"/>
      <c r="AA834" s="36"/>
      <c r="AB834" s="50"/>
      <c r="AC834" s="56" t="str">
        <f>IF(Table1[[#This Row],[Auto Order]]=1,IF(Table1[[#This Row],[In stock]]&lt;Table1[[#This Row],[Min in stock]],1,""),"")</f>
        <v/>
      </c>
    </row>
    <row r="835" spans="1:29" x14ac:dyDescent="0.25">
      <c r="A835" s="60" t="s">
        <v>1142</v>
      </c>
      <c r="B835" s="34" t="s">
        <v>713</v>
      </c>
      <c r="C835" s="34" t="s">
        <v>352</v>
      </c>
      <c r="D835" s="34" t="s">
        <v>1143</v>
      </c>
      <c r="E835" s="34" t="s">
        <v>559</v>
      </c>
      <c r="F835" s="53">
        <v>0</v>
      </c>
      <c r="G835" s="53"/>
      <c r="H835" s="53"/>
      <c r="I83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RHM3.92KAHCT-ND</v>
      </c>
      <c r="J83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3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35" s="34" t="s">
        <v>1141</v>
      </c>
      <c r="M835" s="42">
        <v>0.18</v>
      </c>
      <c r="N835" s="34"/>
      <c r="O835" s="42"/>
      <c r="P835" s="34"/>
      <c r="Q835" s="42"/>
      <c r="R835" s="34"/>
      <c r="S835" s="42"/>
      <c r="T835" s="34"/>
      <c r="U835" s="42"/>
      <c r="V835" s="34"/>
      <c r="W835" s="42"/>
      <c r="X835" s="34"/>
      <c r="Y835" s="42"/>
      <c r="Z835" s="42"/>
      <c r="AA835" s="36"/>
      <c r="AB835" s="50"/>
      <c r="AC835" s="56" t="str">
        <f>IF(Table1[[#This Row],[Auto Order]]=1,IF(Table1[[#This Row],[In stock]]&lt;Table1[[#This Row],[Min in stock]],1,""),"")</f>
        <v/>
      </c>
    </row>
    <row r="836" spans="1:29" x14ac:dyDescent="0.25">
      <c r="A836" s="60" t="s">
        <v>1193</v>
      </c>
      <c r="B836" s="34" t="s">
        <v>713</v>
      </c>
      <c r="C836" s="34" t="s">
        <v>352</v>
      </c>
      <c r="D836" s="34" t="s">
        <v>1194</v>
      </c>
      <c r="E836" s="34" t="s">
        <v>559</v>
      </c>
      <c r="F836" s="53">
        <v>0</v>
      </c>
      <c r="G836" s="53"/>
      <c r="H836" s="53"/>
      <c r="I83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RHM39.2KAHCT-ND</v>
      </c>
      <c r="J83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3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36" s="34" t="s">
        <v>1192</v>
      </c>
      <c r="M836" s="42">
        <v>0.18</v>
      </c>
      <c r="N836" s="34"/>
      <c r="O836" s="42"/>
      <c r="P836" s="34"/>
      <c r="Q836" s="42"/>
      <c r="R836" s="34"/>
      <c r="S836" s="42"/>
      <c r="T836" s="34"/>
      <c r="U836" s="42"/>
      <c r="V836" s="34"/>
      <c r="W836" s="42"/>
      <c r="X836" s="34"/>
      <c r="Y836" s="42"/>
      <c r="Z836" s="42"/>
      <c r="AA836" s="36"/>
      <c r="AB836" s="50"/>
      <c r="AC836" s="56" t="str">
        <f>IF(Table1[[#This Row],[Auto Order]]=1,IF(Table1[[#This Row],[In stock]]&lt;Table1[[#This Row],[Min in stock]],1,""),"")</f>
        <v/>
      </c>
    </row>
    <row r="837" spans="1:29" x14ac:dyDescent="0.25">
      <c r="A837" s="60" t="s">
        <v>1359</v>
      </c>
      <c r="B837" s="34" t="s">
        <v>713</v>
      </c>
      <c r="C837" s="34" t="s">
        <v>352</v>
      </c>
      <c r="D837" s="34" t="s">
        <v>1360</v>
      </c>
      <c r="E837" s="34" t="s">
        <v>559</v>
      </c>
      <c r="F837" s="53">
        <v>0</v>
      </c>
      <c r="G837" s="53"/>
      <c r="H837" s="53"/>
      <c r="I83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RHM392KAHCT-ND</v>
      </c>
      <c r="J83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3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37" s="34" t="s">
        <v>1358</v>
      </c>
      <c r="M837" s="42">
        <v>0.18</v>
      </c>
      <c r="N837" s="34"/>
      <c r="O837" s="42"/>
      <c r="P837" s="34"/>
      <c r="Q837" s="42"/>
      <c r="R837" s="34"/>
      <c r="S837" s="42"/>
      <c r="T837" s="34"/>
      <c r="U837" s="42"/>
      <c r="V837" s="34"/>
      <c r="W837" s="42"/>
      <c r="X837" s="34"/>
      <c r="Y837" s="42"/>
      <c r="Z837" s="42"/>
      <c r="AA837" s="36"/>
      <c r="AB837" s="50"/>
      <c r="AC837" s="56" t="str">
        <f>IF(Table1[[#This Row],[Auto Order]]=1,IF(Table1[[#This Row],[In stock]]&lt;Table1[[#This Row],[Min in stock]],1,""),"")</f>
        <v/>
      </c>
    </row>
    <row r="838" spans="1:29" x14ac:dyDescent="0.25">
      <c r="A838" s="60" t="s">
        <v>802</v>
      </c>
      <c r="B838" s="34" t="s">
        <v>713</v>
      </c>
      <c r="C838" s="34" t="s">
        <v>352</v>
      </c>
      <c r="D838" s="34" t="s">
        <v>803</v>
      </c>
      <c r="E838" s="34" t="s">
        <v>559</v>
      </c>
      <c r="F838" s="53">
        <v>0</v>
      </c>
      <c r="G838" s="53"/>
      <c r="H838" s="53"/>
      <c r="I83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RHM39AHCT-ND</v>
      </c>
      <c r="J83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3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38" s="34" t="s">
        <v>801</v>
      </c>
      <c r="M838" s="42">
        <v>0.18</v>
      </c>
      <c r="N838" s="34"/>
      <c r="O838" s="42"/>
      <c r="P838" s="34"/>
      <c r="Q838" s="42"/>
      <c r="R838" s="34"/>
      <c r="S838" s="42"/>
      <c r="T838" s="34"/>
      <c r="U838" s="42"/>
      <c r="V838" s="34"/>
      <c r="W838" s="42"/>
      <c r="X838" s="34"/>
      <c r="Y838" s="42"/>
      <c r="Z838" s="42"/>
      <c r="AA838" s="36"/>
      <c r="AB838" s="50"/>
      <c r="AC838" s="56" t="str">
        <f>IF(Table1[[#This Row],[Auto Order]]=1,IF(Table1[[#This Row],[In stock]]&lt;Table1[[#This Row],[Min in stock]],1,""),"")</f>
        <v/>
      </c>
    </row>
    <row r="839" spans="1:29" x14ac:dyDescent="0.25">
      <c r="A839" s="60" t="s">
        <v>887</v>
      </c>
      <c r="B839" s="34" t="s">
        <v>713</v>
      </c>
      <c r="C839" s="34" t="s">
        <v>352</v>
      </c>
      <c r="D839" s="34" t="s">
        <v>888</v>
      </c>
      <c r="E839" s="34" t="s">
        <v>559</v>
      </c>
      <c r="F839" s="53">
        <v>0</v>
      </c>
      <c r="G839" s="53"/>
      <c r="H839" s="53"/>
      <c r="I83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RHM402AHCT-ND</v>
      </c>
      <c r="J83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3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39" s="34" t="s">
        <v>886</v>
      </c>
      <c r="M839" s="42">
        <v>0.18</v>
      </c>
      <c r="N839" s="34"/>
      <c r="O839" s="42"/>
      <c r="P839" s="34"/>
      <c r="Q839" s="42"/>
      <c r="R839" s="34"/>
      <c r="S839" s="42"/>
      <c r="T839" s="34"/>
      <c r="U839" s="42"/>
      <c r="V839" s="34"/>
      <c r="W839" s="42"/>
      <c r="X839" s="34"/>
      <c r="Y839" s="42"/>
      <c r="Z839" s="42"/>
      <c r="AA839" s="36"/>
      <c r="AB839" s="50"/>
      <c r="AC839" s="56" t="str">
        <f>IF(Table1[[#This Row],[Auto Order]]=1,IF(Table1[[#This Row],[In stock]]&lt;Table1[[#This Row],[Min in stock]],1,""),"")</f>
        <v/>
      </c>
    </row>
    <row r="840" spans="1:29" x14ac:dyDescent="0.25">
      <c r="A840" s="60" t="s">
        <v>1433</v>
      </c>
      <c r="B840" s="34" t="s">
        <v>713</v>
      </c>
      <c r="C840" s="34" t="s">
        <v>352</v>
      </c>
      <c r="D840" s="34" t="s">
        <v>1434</v>
      </c>
      <c r="E840" s="34" t="s">
        <v>559</v>
      </c>
      <c r="F840" s="53">
        <v>0</v>
      </c>
      <c r="G840" s="53"/>
      <c r="H840" s="53"/>
      <c r="I84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RHM4.02KAHCT-ND</v>
      </c>
      <c r="J84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4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40" s="34" t="s">
        <v>1432</v>
      </c>
      <c r="M840" s="42">
        <v>0.18</v>
      </c>
      <c r="N840" s="34"/>
      <c r="O840" s="42"/>
      <c r="P840" s="34"/>
      <c r="Q840" s="42"/>
      <c r="R840" s="34"/>
      <c r="S840" s="42"/>
      <c r="T840" s="34"/>
      <c r="U840" s="42"/>
      <c r="V840" s="34"/>
      <c r="W840" s="42"/>
      <c r="X840" s="34"/>
      <c r="Y840" s="42"/>
      <c r="Z840" s="42"/>
      <c r="AA840" s="36"/>
      <c r="AB840" s="50"/>
      <c r="AC840" s="56" t="str">
        <f>IF(Table1[[#This Row],[Auto Order]]=1,IF(Table1[[#This Row],[In stock]]&lt;Table1[[#This Row],[Min in stock]],1,""),"")</f>
        <v/>
      </c>
    </row>
    <row r="841" spans="1:29" x14ac:dyDescent="0.25">
      <c r="A841" s="60" t="s">
        <v>805</v>
      </c>
      <c r="B841" s="34" t="s">
        <v>713</v>
      </c>
      <c r="C841" s="34" t="s">
        <v>352</v>
      </c>
      <c r="D841" s="34" t="s">
        <v>806</v>
      </c>
      <c r="E841" s="34" t="s">
        <v>559</v>
      </c>
      <c r="F841" s="53">
        <v>0</v>
      </c>
      <c r="G841" s="53"/>
      <c r="H841" s="53"/>
      <c r="I84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RHM40.2KAHCT-ND</v>
      </c>
      <c r="J84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4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41" s="34" t="s">
        <v>804</v>
      </c>
      <c r="M841" s="42">
        <v>0.18</v>
      </c>
      <c r="N841" s="34"/>
      <c r="O841" s="42"/>
      <c r="P841" s="34"/>
      <c r="Q841" s="42"/>
      <c r="R841" s="34"/>
      <c r="S841" s="42"/>
      <c r="T841" s="34"/>
      <c r="U841" s="42"/>
      <c r="V841" s="34"/>
      <c r="W841" s="42"/>
      <c r="X841" s="34"/>
      <c r="Y841" s="42"/>
      <c r="Z841" s="42"/>
      <c r="AA841" s="36"/>
      <c r="AB841" s="50"/>
      <c r="AC841" s="56" t="str">
        <f>IF(Table1[[#This Row],[Auto Order]]=1,IF(Table1[[#This Row],[In stock]]&lt;Table1[[#This Row],[Min in stock]],1,""),"")</f>
        <v/>
      </c>
    </row>
    <row r="842" spans="1:29" x14ac:dyDescent="0.25">
      <c r="A842" s="60" t="s">
        <v>1509</v>
      </c>
      <c r="B842" s="34" t="s">
        <v>713</v>
      </c>
      <c r="C842" s="34" t="s">
        <v>352</v>
      </c>
      <c r="D842" s="34" t="s">
        <v>1510</v>
      </c>
      <c r="E842" s="34" t="s">
        <v>559</v>
      </c>
      <c r="F842" s="53">
        <v>0</v>
      </c>
      <c r="G842" s="53"/>
      <c r="H842" s="53"/>
      <c r="I84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RHM402KAHCT-ND</v>
      </c>
      <c r="J84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4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42" s="34" t="s">
        <v>1508</v>
      </c>
      <c r="M842" s="42">
        <v>0.18</v>
      </c>
      <c r="N842" s="34"/>
      <c r="O842" s="42"/>
      <c r="P842" s="34"/>
      <c r="Q842" s="42"/>
      <c r="R842" s="34"/>
      <c r="S842" s="42"/>
      <c r="T842" s="34"/>
      <c r="U842" s="42"/>
      <c r="V842" s="34"/>
      <c r="W842" s="42"/>
      <c r="X842" s="34"/>
      <c r="Y842" s="42"/>
      <c r="Z842" s="42"/>
      <c r="AA842" s="36"/>
      <c r="AB842" s="50"/>
      <c r="AC842" s="56" t="str">
        <f>IF(Table1[[#This Row],[Auto Order]]=1,IF(Table1[[#This Row],[In stock]]&lt;Table1[[#This Row],[Min in stock]],1,""),"")</f>
        <v/>
      </c>
    </row>
    <row r="843" spans="1:29" x14ac:dyDescent="0.25">
      <c r="A843" s="60" t="s">
        <v>991</v>
      </c>
      <c r="B843" s="34" t="s">
        <v>713</v>
      </c>
      <c r="C843" s="34" t="s">
        <v>352</v>
      </c>
      <c r="D843" s="34" t="s">
        <v>992</v>
      </c>
      <c r="E843" s="34" t="s">
        <v>559</v>
      </c>
      <c r="F843" s="53">
        <v>0</v>
      </c>
      <c r="G843" s="53"/>
      <c r="H843" s="53"/>
      <c r="I84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RHM40.2AHCT-ND</v>
      </c>
      <c r="J84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4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43" s="34" t="s">
        <v>990</v>
      </c>
      <c r="M843" s="42">
        <v>0.18</v>
      </c>
      <c r="N843" s="34"/>
      <c r="O843" s="42"/>
      <c r="P843" s="34"/>
      <c r="Q843" s="42"/>
      <c r="R843" s="34"/>
      <c r="S843" s="42"/>
      <c r="T843" s="34"/>
      <c r="U843" s="42"/>
      <c r="V843" s="34"/>
      <c r="W843" s="42"/>
      <c r="X843" s="34"/>
      <c r="Y843" s="42"/>
      <c r="Z843" s="42"/>
      <c r="AA843" s="36"/>
      <c r="AB843" s="50"/>
      <c r="AC843" s="56" t="str">
        <f>IF(Table1[[#This Row],[Auto Order]]=1,IF(Table1[[#This Row],[In stock]]&lt;Table1[[#This Row],[Min in stock]],1,""),"")</f>
        <v/>
      </c>
    </row>
    <row r="844" spans="1:29" x14ac:dyDescent="0.25">
      <c r="A844" s="60" t="s">
        <v>1628</v>
      </c>
      <c r="B844" s="34" t="s">
        <v>713</v>
      </c>
      <c r="C844" s="34" t="s">
        <v>352</v>
      </c>
      <c r="D844" s="34" t="s">
        <v>1629</v>
      </c>
      <c r="E844" s="34" t="s">
        <v>559</v>
      </c>
      <c r="F844" s="53">
        <v>0</v>
      </c>
      <c r="G844" s="53"/>
      <c r="H844" s="53"/>
      <c r="I84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RHM41.2KAHCT-ND</v>
      </c>
      <c r="J84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4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44" s="34" t="s">
        <v>1627</v>
      </c>
      <c r="M844" s="42">
        <v>0.18</v>
      </c>
      <c r="N844" s="34"/>
      <c r="O844" s="42"/>
      <c r="P844" s="34"/>
      <c r="Q844" s="42"/>
      <c r="R844" s="34"/>
      <c r="S844" s="42"/>
      <c r="T844" s="34"/>
      <c r="U844" s="42"/>
      <c r="V844" s="34"/>
      <c r="W844" s="42"/>
      <c r="X844" s="34"/>
      <c r="Y844" s="42"/>
      <c r="Z844" s="42"/>
      <c r="AA844" s="36"/>
      <c r="AB844" s="50"/>
      <c r="AC844" s="56" t="str">
        <f>IF(Table1[[#This Row],[Auto Order]]=1,IF(Table1[[#This Row],[In stock]]&lt;Table1[[#This Row],[Min in stock]],1,""),"")</f>
        <v/>
      </c>
    </row>
    <row r="845" spans="1:29" x14ac:dyDescent="0.25">
      <c r="A845" s="60" t="s">
        <v>1697</v>
      </c>
      <c r="B845" s="34" t="s">
        <v>713</v>
      </c>
      <c r="C845" s="34" t="s">
        <v>352</v>
      </c>
      <c r="D845" s="34" t="s">
        <v>1698</v>
      </c>
      <c r="E845" s="34" t="s">
        <v>559</v>
      </c>
      <c r="F845" s="53">
        <v>0</v>
      </c>
      <c r="G845" s="53"/>
      <c r="H845" s="53"/>
      <c r="I84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RHM412KAHCT-ND</v>
      </c>
      <c r="J84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4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45" s="34" t="s">
        <v>1696</v>
      </c>
      <c r="M845" s="42">
        <v>0.18</v>
      </c>
      <c r="N845" s="34"/>
      <c r="O845" s="42"/>
      <c r="P845" s="34"/>
      <c r="Q845" s="42"/>
      <c r="R845" s="34"/>
      <c r="S845" s="42"/>
      <c r="T845" s="34"/>
      <c r="U845" s="42"/>
      <c r="V845" s="34"/>
      <c r="W845" s="42"/>
      <c r="X845" s="34"/>
      <c r="Y845" s="42"/>
      <c r="Z845" s="42"/>
      <c r="AA845" s="36"/>
      <c r="AB845" s="50"/>
      <c r="AC845" s="56" t="str">
        <f>IF(Table1[[#This Row],[Auto Order]]=1,IF(Table1[[#This Row],[In stock]]&lt;Table1[[#This Row],[Min in stock]],1,""),"")</f>
        <v/>
      </c>
    </row>
    <row r="846" spans="1:29" x14ac:dyDescent="0.25">
      <c r="A846" s="60" t="s">
        <v>1445</v>
      </c>
      <c r="B846" s="34" t="s">
        <v>713</v>
      </c>
      <c r="C846" s="34" t="s">
        <v>352</v>
      </c>
      <c r="D846" s="34" t="s">
        <v>1446</v>
      </c>
      <c r="E846" s="34" t="s">
        <v>559</v>
      </c>
      <c r="F846" s="53">
        <v>0</v>
      </c>
      <c r="G846" s="53"/>
      <c r="H846" s="53"/>
      <c r="I84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RHM4.22KAHCT-ND</v>
      </c>
      <c r="J84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4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46" s="34" t="s">
        <v>1444</v>
      </c>
      <c r="M846" s="42">
        <v>0.18</v>
      </c>
      <c r="N846" s="34"/>
      <c r="O846" s="42"/>
      <c r="P846" s="34"/>
      <c r="Q846" s="42"/>
      <c r="R846" s="34"/>
      <c r="S846" s="42"/>
      <c r="T846" s="34"/>
      <c r="U846" s="42"/>
      <c r="V846" s="34"/>
      <c r="W846" s="42"/>
      <c r="X846" s="34"/>
      <c r="Y846" s="42"/>
      <c r="Z846" s="42"/>
      <c r="AA846" s="36"/>
      <c r="AB846" s="50"/>
      <c r="AC846" s="56" t="str">
        <f>IF(Table1[[#This Row],[Auto Order]]=1,IF(Table1[[#This Row],[In stock]]&lt;Table1[[#This Row],[Min in stock]],1,""),"")</f>
        <v/>
      </c>
    </row>
    <row r="847" spans="1:29" x14ac:dyDescent="0.25">
      <c r="A847" s="60" t="s">
        <v>1056</v>
      </c>
      <c r="B847" s="34" t="s">
        <v>713</v>
      </c>
      <c r="C847" s="34" t="s">
        <v>352</v>
      </c>
      <c r="D847" s="34" t="s">
        <v>681</v>
      </c>
      <c r="E847" s="34" t="s">
        <v>559</v>
      </c>
      <c r="F847" s="53">
        <v>0</v>
      </c>
      <c r="G847" s="53"/>
      <c r="H847" s="53"/>
      <c r="I84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RHM42.2KAHCT-ND</v>
      </c>
      <c r="J84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4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47" s="34" t="s">
        <v>1055</v>
      </c>
      <c r="M847" s="42">
        <v>0.18</v>
      </c>
      <c r="N847" s="34"/>
      <c r="O847" s="42"/>
      <c r="P847" s="34"/>
      <c r="Q847" s="42"/>
      <c r="R847" s="34"/>
      <c r="S847" s="42"/>
      <c r="T847" s="34"/>
      <c r="U847" s="42"/>
      <c r="V847" s="34"/>
      <c r="W847" s="42"/>
      <c r="X847" s="34"/>
      <c r="Y847" s="42"/>
      <c r="Z847" s="42"/>
      <c r="AA847" s="36"/>
      <c r="AB847" s="50"/>
      <c r="AC847" s="56" t="str">
        <f>IF(Table1[[#This Row],[Auto Order]]=1,IF(Table1[[#This Row],[In stock]]&lt;Table1[[#This Row],[Min in stock]],1,""),"")</f>
        <v/>
      </c>
    </row>
    <row r="848" spans="1:29" x14ac:dyDescent="0.25">
      <c r="A848" s="60" t="s">
        <v>1762</v>
      </c>
      <c r="B848" s="34" t="s">
        <v>713</v>
      </c>
      <c r="C848" s="34" t="s">
        <v>352</v>
      </c>
      <c r="D848" s="34" t="s">
        <v>1763</v>
      </c>
      <c r="E848" s="34" t="s">
        <v>559</v>
      </c>
      <c r="F848" s="53">
        <v>0</v>
      </c>
      <c r="G848" s="53"/>
      <c r="H848" s="53"/>
      <c r="I84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RHM430AHCT-ND</v>
      </c>
      <c r="J84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4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48" s="34" t="s">
        <v>1761</v>
      </c>
      <c r="M848" s="42">
        <v>0.18</v>
      </c>
      <c r="N848" s="34"/>
      <c r="O848" s="42"/>
      <c r="P848" s="34"/>
      <c r="Q848" s="42"/>
      <c r="R848" s="34"/>
      <c r="S848" s="42"/>
      <c r="T848" s="34"/>
      <c r="U848" s="42"/>
      <c r="V848" s="34"/>
      <c r="W848" s="42"/>
      <c r="X848" s="34"/>
      <c r="Y848" s="42"/>
      <c r="Z848" s="42"/>
      <c r="AA848" s="36"/>
      <c r="AB848" s="50"/>
      <c r="AC848" s="56" t="str">
        <f>IF(Table1[[#This Row],[Auto Order]]=1,IF(Table1[[#This Row],[In stock]]&lt;Table1[[#This Row],[Min in stock]],1,""),"")</f>
        <v/>
      </c>
    </row>
    <row r="849" spans="1:29" x14ac:dyDescent="0.25">
      <c r="A849" s="60" t="s">
        <v>890</v>
      </c>
      <c r="B849" s="34" t="s">
        <v>713</v>
      </c>
      <c r="C849" s="34" t="s">
        <v>352</v>
      </c>
      <c r="D849" s="34" t="s">
        <v>891</v>
      </c>
      <c r="E849" s="34" t="s">
        <v>559</v>
      </c>
      <c r="F849" s="53">
        <v>0</v>
      </c>
      <c r="G849" s="53"/>
      <c r="H849" s="53"/>
      <c r="I84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RHM430KAHCT-ND</v>
      </c>
      <c r="J84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4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49" s="34" t="s">
        <v>889</v>
      </c>
      <c r="M849" s="42">
        <v>0.18</v>
      </c>
      <c r="N849" s="34"/>
      <c r="O849" s="42"/>
      <c r="P849" s="34"/>
      <c r="Q849" s="42"/>
      <c r="R849" s="34"/>
      <c r="S849" s="42"/>
      <c r="T849" s="34"/>
      <c r="U849" s="42"/>
      <c r="V849" s="34"/>
      <c r="W849" s="42"/>
      <c r="X849" s="34"/>
      <c r="Y849" s="42"/>
      <c r="Z849" s="42"/>
      <c r="AA849" s="36"/>
      <c r="AB849" s="50"/>
      <c r="AC849" s="56" t="str">
        <f>IF(Table1[[#This Row],[Auto Order]]=1,IF(Table1[[#This Row],[In stock]]&lt;Table1[[#This Row],[Min in stock]],1,""),"")</f>
        <v/>
      </c>
    </row>
    <row r="850" spans="1:29" x14ac:dyDescent="0.25">
      <c r="A850" s="60" t="s">
        <v>928</v>
      </c>
      <c r="B850" s="34" t="s">
        <v>713</v>
      </c>
      <c r="C850" s="34" t="s">
        <v>352</v>
      </c>
      <c r="D850" s="34" t="s">
        <v>929</v>
      </c>
      <c r="E850" s="34" t="s">
        <v>559</v>
      </c>
      <c r="F850" s="53">
        <v>0</v>
      </c>
      <c r="G850" s="53"/>
      <c r="H850" s="53"/>
      <c r="I85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RHM4.30MAHCT-ND</v>
      </c>
      <c r="J85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5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50" s="34" t="s">
        <v>927</v>
      </c>
      <c r="M850" s="42">
        <v>0.18</v>
      </c>
      <c r="N850" s="34"/>
      <c r="O850" s="42"/>
      <c r="P850" s="34"/>
      <c r="Q850" s="42"/>
      <c r="R850" s="34"/>
      <c r="S850" s="42"/>
      <c r="T850" s="34"/>
      <c r="U850" s="42"/>
      <c r="V850" s="34"/>
      <c r="W850" s="42"/>
      <c r="X850" s="34"/>
      <c r="Y850" s="42"/>
      <c r="Z850" s="42"/>
      <c r="AA850" s="36"/>
      <c r="AB850" s="50"/>
      <c r="AC850" s="56" t="str">
        <f>IF(Table1[[#This Row],[Auto Order]]=1,IF(Table1[[#This Row],[In stock]]&lt;Table1[[#This Row],[Min in stock]],1,""),"")</f>
        <v/>
      </c>
    </row>
    <row r="851" spans="1:29" x14ac:dyDescent="0.25">
      <c r="A851" s="60" t="s">
        <v>1079</v>
      </c>
      <c r="B851" s="34" t="s">
        <v>713</v>
      </c>
      <c r="C851" s="34" t="s">
        <v>352</v>
      </c>
      <c r="D851" s="34" t="s">
        <v>1080</v>
      </c>
      <c r="E851" s="34" t="s">
        <v>559</v>
      </c>
      <c r="F851" s="53">
        <v>0</v>
      </c>
      <c r="G851" s="53"/>
      <c r="H851" s="53"/>
      <c r="I85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RHM432AHCT-ND</v>
      </c>
      <c r="J85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5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51" s="34" t="s">
        <v>1078</v>
      </c>
      <c r="M851" s="42">
        <v>0.18</v>
      </c>
      <c r="N851" s="34"/>
      <c r="O851" s="42"/>
      <c r="P851" s="34"/>
      <c r="Q851" s="42"/>
      <c r="R851" s="34"/>
      <c r="S851" s="42"/>
      <c r="T851" s="34"/>
      <c r="U851" s="42"/>
      <c r="V851" s="34"/>
      <c r="W851" s="42"/>
      <c r="X851" s="34"/>
      <c r="Y851" s="42"/>
      <c r="Z851" s="42"/>
      <c r="AA851" s="36"/>
      <c r="AB851" s="50"/>
      <c r="AC851" s="56" t="str">
        <f>IF(Table1[[#This Row],[Auto Order]]=1,IF(Table1[[#This Row],[In stock]]&lt;Table1[[#This Row],[Min in stock]],1,""),"")</f>
        <v/>
      </c>
    </row>
    <row r="852" spans="1:29" x14ac:dyDescent="0.25">
      <c r="A852" s="60" t="s">
        <v>1238</v>
      </c>
      <c r="B852" s="34" t="s">
        <v>713</v>
      </c>
      <c r="C852" s="34" t="s">
        <v>352</v>
      </c>
      <c r="D852" s="34" t="s">
        <v>1239</v>
      </c>
      <c r="E852" s="34" t="s">
        <v>559</v>
      </c>
      <c r="F852" s="53">
        <v>0</v>
      </c>
      <c r="G852" s="53"/>
      <c r="H852" s="53"/>
      <c r="I85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RHM4.32KAHCT-ND</v>
      </c>
      <c r="J85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5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52" s="34" t="s">
        <v>1237</v>
      </c>
      <c r="M852" s="42">
        <v>0.18</v>
      </c>
      <c r="N852" s="34"/>
      <c r="O852" s="42"/>
      <c r="P852" s="34"/>
      <c r="Q852" s="42"/>
      <c r="R852" s="34"/>
      <c r="S852" s="42"/>
      <c r="T852" s="34"/>
      <c r="U852" s="42"/>
      <c r="V852" s="34"/>
      <c r="W852" s="42"/>
      <c r="X852" s="34"/>
      <c r="Y852" s="42"/>
      <c r="Z852" s="42"/>
      <c r="AA852" s="36"/>
      <c r="AB852" s="50"/>
      <c r="AC852" s="56" t="str">
        <f>IF(Table1[[#This Row],[Auto Order]]=1,IF(Table1[[#This Row],[In stock]]&lt;Table1[[#This Row],[Min in stock]],1,""),"")</f>
        <v/>
      </c>
    </row>
    <row r="853" spans="1:29" x14ac:dyDescent="0.25">
      <c r="A853" s="60" t="s">
        <v>1631</v>
      </c>
      <c r="B853" s="34" t="s">
        <v>713</v>
      </c>
      <c r="C853" s="34" t="s">
        <v>352</v>
      </c>
      <c r="D853" s="34" t="s">
        <v>1632</v>
      </c>
      <c r="E853" s="34" t="s">
        <v>559</v>
      </c>
      <c r="F853" s="53">
        <v>0</v>
      </c>
      <c r="G853" s="53"/>
      <c r="H853" s="53"/>
      <c r="I85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RHM43.2KAHCT-ND</v>
      </c>
      <c r="J85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5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53" s="34" t="s">
        <v>1630</v>
      </c>
      <c r="M853" s="42">
        <v>0.18</v>
      </c>
      <c r="N853" s="34"/>
      <c r="O853" s="42"/>
      <c r="P853" s="34"/>
      <c r="Q853" s="42"/>
      <c r="R853" s="34"/>
      <c r="S853" s="42"/>
      <c r="T853" s="34"/>
      <c r="U853" s="42"/>
      <c r="V853" s="34"/>
      <c r="W853" s="42"/>
      <c r="X853" s="34"/>
      <c r="Y853" s="42"/>
      <c r="Z853" s="42"/>
      <c r="AA853" s="36"/>
      <c r="AB853" s="50"/>
      <c r="AC853" s="56" t="str">
        <f>IF(Table1[[#This Row],[Auto Order]]=1,IF(Table1[[#This Row],[In stock]]&lt;Table1[[#This Row],[Min in stock]],1,""),"")</f>
        <v/>
      </c>
    </row>
    <row r="854" spans="1:29" x14ac:dyDescent="0.25">
      <c r="A854" s="60" t="s">
        <v>1532</v>
      </c>
      <c r="B854" s="34" t="s">
        <v>713</v>
      </c>
      <c r="C854" s="34" t="s">
        <v>352</v>
      </c>
      <c r="D854" s="34" t="s">
        <v>1533</v>
      </c>
      <c r="E854" s="34" t="s">
        <v>559</v>
      </c>
      <c r="F854" s="53">
        <v>0</v>
      </c>
      <c r="G854" s="53"/>
      <c r="H854" s="53"/>
      <c r="I85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RHM442AHCT-ND</v>
      </c>
      <c r="J85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5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54" s="34" t="s">
        <v>1531</v>
      </c>
      <c r="M854" s="42">
        <v>0.18</v>
      </c>
      <c r="N854" s="34"/>
      <c r="O854" s="42"/>
      <c r="P854" s="34"/>
      <c r="Q854" s="42"/>
      <c r="R854" s="34"/>
      <c r="S854" s="42"/>
      <c r="T854" s="34"/>
      <c r="U854" s="42"/>
      <c r="V854" s="34"/>
      <c r="W854" s="42"/>
      <c r="X854" s="34"/>
      <c r="Y854" s="42"/>
      <c r="Z854" s="42"/>
      <c r="AA854" s="36"/>
      <c r="AB854" s="50"/>
      <c r="AC854" s="56" t="str">
        <f>IF(Table1[[#This Row],[Auto Order]]=1,IF(Table1[[#This Row],[In stock]]&lt;Table1[[#This Row],[Min in stock]],1,""),"")</f>
        <v/>
      </c>
    </row>
    <row r="855" spans="1:29" x14ac:dyDescent="0.25">
      <c r="A855" s="60" t="s">
        <v>784</v>
      </c>
      <c r="B855" s="34" t="s">
        <v>713</v>
      </c>
      <c r="C855" s="34" t="s">
        <v>352</v>
      </c>
      <c r="D855" s="34" t="s">
        <v>785</v>
      </c>
      <c r="E855" s="34" t="s">
        <v>559</v>
      </c>
      <c r="F855" s="53">
        <v>0</v>
      </c>
      <c r="G855" s="53"/>
      <c r="H855" s="53"/>
      <c r="I85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RHM4.42KAHCT-ND</v>
      </c>
      <c r="J85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5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55" s="34" t="s">
        <v>783</v>
      </c>
      <c r="M855" s="42">
        <v>0.18</v>
      </c>
      <c r="N855" s="34"/>
      <c r="O855" s="42"/>
      <c r="P855" s="34"/>
      <c r="Q855" s="42"/>
      <c r="R855" s="34"/>
      <c r="S855" s="42"/>
      <c r="T855" s="34"/>
      <c r="U855" s="42"/>
      <c r="V855" s="34"/>
      <c r="W855" s="42"/>
      <c r="X855" s="34"/>
      <c r="Y855" s="42"/>
      <c r="Z855" s="42"/>
      <c r="AA855" s="36"/>
      <c r="AB855" s="50"/>
      <c r="AC855" s="56" t="str">
        <f>IF(Table1[[#This Row],[Auto Order]]=1,IF(Table1[[#This Row],[In stock]]&lt;Table1[[#This Row],[Min in stock]],1,""),"")</f>
        <v/>
      </c>
    </row>
    <row r="856" spans="1:29" x14ac:dyDescent="0.25">
      <c r="A856" s="60" t="s">
        <v>1073</v>
      </c>
      <c r="B856" s="34" t="s">
        <v>713</v>
      </c>
      <c r="C856" s="34" t="s">
        <v>352</v>
      </c>
      <c r="D856" s="34" t="s">
        <v>1074</v>
      </c>
      <c r="E856" s="34" t="s">
        <v>559</v>
      </c>
      <c r="F856" s="53">
        <v>0</v>
      </c>
      <c r="G856" s="53"/>
      <c r="H856" s="53"/>
      <c r="I85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RHM44.2KAHCT-ND</v>
      </c>
      <c r="J85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5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56" s="34" t="s">
        <v>1072</v>
      </c>
      <c r="M856" s="42">
        <v>0.18</v>
      </c>
      <c r="N856" s="34"/>
      <c r="O856" s="42"/>
      <c r="P856" s="34"/>
      <c r="Q856" s="42"/>
      <c r="R856" s="34"/>
      <c r="S856" s="42"/>
      <c r="T856" s="34"/>
      <c r="U856" s="42"/>
      <c r="V856" s="34"/>
      <c r="W856" s="42"/>
      <c r="X856" s="34"/>
      <c r="Y856" s="42"/>
      <c r="Z856" s="42"/>
      <c r="AA856" s="36"/>
      <c r="AB856" s="50"/>
      <c r="AC856" s="56" t="str">
        <f>IF(Table1[[#This Row],[Auto Order]]=1,IF(Table1[[#This Row],[In stock]]&lt;Table1[[#This Row],[Min in stock]],1,""),"")</f>
        <v/>
      </c>
    </row>
    <row r="857" spans="1:29" x14ac:dyDescent="0.25">
      <c r="A857" s="60" t="s">
        <v>994</v>
      </c>
      <c r="B857" s="34" t="s">
        <v>713</v>
      </c>
      <c r="C857" s="34" t="s">
        <v>352</v>
      </c>
      <c r="D857" s="34" t="s">
        <v>995</v>
      </c>
      <c r="E857" s="34" t="s">
        <v>559</v>
      </c>
      <c r="F857" s="53">
        <v>0</v>
      </c>
      <c r="G857" s="53"/>
      <c r="H857" s="53"/>
      <c r="I85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RHM442KAHCT-ND</v>
      </c>
      <c r="J85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5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57" s="34" t="s">
        <v>993</v>
      </c>
      <c r="M857" s="42">
        <v>0.18</v>
      </c>
      <c r="N857" s="34"/>
      <c r="O857" s="42"/>
      <c r="P857" s="34"/>
      <c r="Q857" s="42"/>
      <c r="R857" s="34"/>
      <c r="S857" s="42"/>
      <c r="T857" s="34"/>
      <c r="U857" s="42"/>
      <c r="V857" s="34"/>
      <c r="W857" s="42"/>
      <c r="X857" s="34"/>
      <c r="Y857" s="42"/>
      <c r="Z857" s="42"/>
      <c r="AA857" s="36"/>
      <c r="AB857" s="50"/>
      <c r="AC857" s="56" t="str">
        <f>IF(Table1[[#This Row],[Auto Order]]=1,IF(Table1[[#This Row],[In stock]]&lt;Table1[[#This Row],[Min in stock]],1,""),"")</f>
        <v/>
      </c>
    </row>
    <row r="858" spans="1:29" x14ac:dyDescent="0.25">
      <c r="A858" s="60" t="s">
        <v>1314</v>
      </c>
      <c r="B858" s="34" t="s">
        <v>713</v>
      </c>
      <c r="C858" s="34" t="s">
        <v>352</v>
      </c>
      <c r="D858" s="34" t="s">
        <v>1315</v>
      </c>
      <c r="E858" s="34" t="s">
        <v>559</v>
      </c>
      <c r="F858" s="53">
        <v>0</v>
      </c>
      <c r="G858" s="53"/>
      <c r="H858" s="53"/>
      <c r="I85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RHM453KAHCT-ND</v>
      </c>
      <c r="J85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5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58" s="34" t="s">
        <v>1313</v>
      </c>
      <c r="M858" s="42">
        <v>0.18</v>
      </c>
      <c r="N858" s="34"/>
      <c r="O858" s="42"/>
      <c r="P858" s="34"/>
      <c r="Q858" s="42"/>
      <c r="R858" s="34"/>
      <c r="S858" s="42"/>
      <c r="T858" s="34"/>
      <c r="U858" s="42"/>
      <c r="V858" s="34"/>
      <c r="W858" s="42"/>
      <c r="X858" s="34"/>
      <c r="Y858" s="42"/>
      <c r="Z858" s="42"/>
      <c r="AA858" s="36"/>
      <c r="AB858" s="50"/>
      <c r="AC858" s="56" t="str">
        <f>IF(Table1[[#This Row],[Auto Order]]=1,IF(Table1[[#This Row],[In stock]]&lt;Table1[[#This Row],[Min in stock]],1,""),"")</f>
        <v/>
      </c>
    </row>
    <row r="859" spans="1:29" x14ac:dyDescent="0.25">
      <c r="A859" s="60" t="s">
        <v>1634</v>
      </c>
      <c r="B859" s="34" t="s">
        <v>713</v>
      </c>
      <c r="C859" s="34" t="s">
        <v>352</v>
      </c>
      <c r="D859" s="34" t="s">
        <v>1635</v>
      </c>
      <c r="E859" s="34" t="s">
        <v>559</v>
      </c>
      <c r="F859" s="53">
        <v>0</v>
      </c>
      <c r="G859" s="53"/>
      <c r="H859" s="53"/>
      <c r="I85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RHM464AHCT-ND</v>
      </c>
      <c r="J85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5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59" s="34" t="s">
        <v>1633</v>
      </c>
      <c r="M859" s="42">
        <v>0.18</v>
      </c>
      <c r="N859" s="34"/>
      <c r="O859" s="42"/>
      <c r="P859" s="34"/>
      <c r="Q859" s="42"/>
      <c r="R859" s="34"/>
      <c r="S859" s="42"/>
      <c r="T859" s="34"/>
      <c r="U859" s="42"/>
      <c r="V859" s="34"/>
      <c r="W859" s="42"/>
      <c r="X859" s="34"/>
      <c r="Y859" s="42"/>
      <c r="Z859" s="42"/>
      <c r="AA859" s="36"/>
      <c r="AB859" s="50"/>
      <c r="AC859" s="56" t="str">
        <f>IF(Table1[[#This Row],[Auto Order]]=1,IF(Table1[[#This Row],[In stock]]&lt;Table1[[#This Row],[Min in stock]],1,""),"")</f>
        <v/>
      </c>
    </row>
    <row r="860" spans="1:29" x14ac:dyDescent="0.25">
      <c r="A860" s="60" t="s">
        <v>1373</v>
      </c>
      <c r="B860" s="34" t="s">
        <v>713</v>
      </c>
      <c r="C860" s="34" t="s">
        <v>352</v>
      </c>
      <c r="D860" s="34" t="s">
        <v>1374</v>
      </c>
      <c r="E860" s="34" t="s">
        <v>559</v>
      </c>
      <c r="F860" s="53">
        <v>0</v>
      </c>
      <c r="G860" s="53"/>
      <c r="H860" s="53"/>
      <c r="I86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RHM4.64KAHCT-ND</v>
      </c>
      <c r="J86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6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60" s="34" t="s">
        <v>1372</v>
      </c>
      <c r="M860" s="42">
        <v>0.18</v>
      </c>
      <c r="N860" s="34"/>
      <c r="O860" s="42"/>
      <c r="P860" s="34"/>
      <c r="Q860" s="42"/>
      <c r="R860" s="34"/>
      <c r="S860" s="42"/>
      <c r="T860" s="34"/>
      <c r="U860" s="42"/>
      <c r="V860" s="34"/>
      <c r="W860" s="42"/>
      <c r="X860" s="34"/>
      <c r="Y860" s="42"/>
      <c r="Z860" s="42"/>
      <c r="AA860" s="36"/>
      <c r="AB860" s="50"/>
      <c r="AC860" s="56" t="str">
        <f>IF(Table1[[#This Row],[Auto Order]]=1,IF(Table1[[#This Row],[In stock]]&lt;Table1[[#This Row],[Min in stock]],1,""),"")</f>
        <v/>
      </c>
    </row>
    <row r="861" spans="1:29" x14ac:dyDescent="0.25">
      <c r="A861" s="60" t="s">
        <v>997</v>
      </c>
      <c r="B861" s="34" t="s">
        <v>713</v>
      </c>
      <c r="C861" s="34" t="s">
        <v>352</v>
      </c>
      <c r="D861" s="34" t="s">
        <v>998</v>
      </c>
      <c r="E861" s="34" t="s">
        <v>559</v>
      </c>
      <c r="F861" s="53">
        <v>0</v>
      </c>
      <c r="G861" s="53"/>
      <c r="H861" s="53"/>
      <c r="I86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RHM46.4KAHCT-ND</v>
      </c>
      <c r="J86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6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61" s="34" t="s">
        <v>996</v>
      </c>
      <c r="M861" s="42">
        <v>0.18</v>
      </c>
      <c r="N861" s="34"/>
      <c r="O861" s="42"/>
      <c r="P861" s="34"/>
      <c r="Q861" s="42"/>
      <c r="R861" s="34"/>
      <c r="S861" s="42"/>
      <c r="T861" s="34"/>
      <c r="U861" s="42"/>
      <c r="V861" s="34"/>
      <c r="W861" s="42"/>
      <c r="X861" s="34"/>
      <c r="Y861" s="42"/>
      <c r="Z861" s="42"/>
      <c r="AA861" s="36"/>
      <c r="AB861" s="50"/>
      <c r="AC861" s="56" t="str">
        <f>IF(Table1[[#This Row],[Auto Order]]=1,IF(Table1[[#This Row],[In stock]]&lt;Table1[[#This Row],[Min in stock]],1,""),"")</f>
        <v/>
      </c>
    </row>
    <row r="862" spans="1:29" x14ac:dyDescent="0.25">
      <c r="A862" s="60" t="s">
        <v>916</v>
      </c>
      <c r="B862" s="34" t="s">
        <v>713</v>
      </c>
      <c r="C862" s="34" t="s">
        <v>352</v>
      </c>
      <c r="D862" s="34" t="s">
        <v>917</v>
      </c>
      <c r="E862" s="34" t="s">
        <v>559</v>
      </c>
      <c r="F862" s="53">
        <v>0</v>
      </c>
      <c r="G862" s="53"/>
      <c r="H862" s="53"/>
      <c r="I86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RHM464KAHCT-ND</v>
      </c>
      <c r="J86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6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62" s="34" t="s">
        <v>915</v>
      </c>
      <c r="M862" s="42">
        <v>0.18</v>
      </c>
      <c r="N862" s="34"/>
      <c r="O862" s="42"/>
      <c r="P862" s="34"/>
      <c r="Q862" s="42"/>
      <c r="R862" s="34"/>
      <c r="S862" s="42"/>
      <c r="T862" s="34"/>
      <c r="U862" s="42"/>
      <c r="V862" s="34"/>
      <c r="W862" s="42"/>
      <c r="X862" s="34"/>
      <c r="Y862" s="42"/>
      <c r="Z862" s="42"/>
      <c r="AA862" s="36"/>
      <c r="AB862" s="50"/>
      <c r="AC862" s="56" t="str">
        <f>IF(Table1[[#This Row],[Auto Order]]=1,IF(Table1[[#This Row],[In stock]]&lt;Table1[[#This Row],[Min in stock]],1,""),"")</f>
        <v/>
      </c>
    </row>
    <row r="863" spans="1:29" x14ac:dyDescent="0.25">
      <c r="A863" s="60" t="s">
        <v>1482</v>
      </c>
      <c r="B863" s="34" t="s">
        <v>713</v>
      </c>
      <c r="C863" s="34" t="s">
        <v>352</v>
      </c>
      <c r="D863" s="34" t="s">
        <v>642</v>
      </c>
      <c r="E863" s="34" t="s">
        <v>559</v>
      </c>
      <c r="F863" s="53">
        <v>0</v>
      </c>
      <c r="G863" s="53"/>
      <c r="H863" s="53"/>
      <c r="I86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RHM470AHCT-ND</v>
      </c>
      <c r="J86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6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63" s="34" t="s">
        <v>1481</v>
      </c>
      <c r="M863" s="42">
        <v>0.18</v>
      </c>
      <c r="N863" s="34"/>
      <c r="O863" s="42"/>
      <c r="P863" s="34"/>
      <c r="Q863" s="42"/>
      <c r="R863" s="34"/>
      <c r="S863" s="42"/>
      <c r="T863" s="34"/>
      <c r="U863" s="42"/>
      <c r="V863" s="34"/>
      <c r="W863" s="42"/>
      <c r="X863" s="34"/>
      <c r="Y863" s="42"/>
      <c r="Z863" s="42"/>
      <c r="AA863" s="36"/>
      <c r="AB863" s="50"/>
      <c r="AC863" s="56" t="str">
        <f>IF(Table1[[#This Row],[Auto Order]]=1,IF(Table1[[#This Row],[In stock]]&lt;Table1[[#This Row],[Min in stock]],1,""),"")</f>
        <v/>
      </c>
    </row>
    <row r="864" spans="1:29" x14ac:dyDescent="0.25">
      <c r="A864" s="60" t="s">
        <v>1473</v>
      </c>
      <c r="B864" s="34" t="s">
        <v>713</v>
      </c>
      <c r="C864" s="34" t="s">
        <v>352</v>
      </c>
      <c r="D864" s="34" t="s">
        <v>189</v>
      </c>
      <c r="E864" s="34" t="s">
        <v>559</v>
      </c>
      <c r="F864" s="53">
        <v>0</v>
      </c>
      <c r="G864" s="53"/>
      <c r="H864" s="53"/>
      <c r="I86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RHM4.70KAHCT-ND</v>
      </c>
      <c r="J86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6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64" s="34" t="s">
        <v>1472</v>
      </c>
      <c r="M864" s="42">
        <v>0.18</v>
      </c>
      <c r="N864" s="34"/>
      <c r="O864" s="42"/>
      <c r="P864" s="34"/>
      <c r="Q864" s="42"/>
      <c r="R864" s="34"/>
      <c r="S864" s="42"/>
      <c r="T864" s="34"/>
      <c r="U864" s="42"/>
      <c r="V864" s="34"/>
      <c r="W864" s="42"/>
      <c r="X864" s="34"/>
      <c r="Y864" s="42"/>
      <c r="Z864" s="42"/>
      <c r="AA864" s="36"/>
      <c r="AB864" s="50"/>
      <c r="AC864" s="56" t="str">
        <f>IF(Table1[[#This Row],[Auto Order]]=1,IF(Table1[[#This Row],[In stock]]&lt;Table1[[#This Row],[Min in stock]],1,""),"")</f>
        <v/>
      </c>
    </row>
    <row r="865" spans="1:29" x14ac:dyDescent="0.25">
      <c r="A865" s="60" t="s">
        <v>756</v>
      </c>
      <c r="B865" s="34" t="s">
        <v>713</v>
      </c>
      <c r="C865" s="34" t="s">
        <v>352</v>
      </c>
      <c r="D865" s="34" t="s">
        <v>684</v>
      </c>
      <c r="E865" s="34" t="s">
        <v>559</v>
      </c>
      <c r="F865" s="53">
        <v>0</v>
      </c>
      <c r="G865" s="53"/>
      <c r="H865" s="53"/>
      <c r="I86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RHM47.0KAHCT-ND</v>
      </c>
      <c r="J86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6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65" s="34" t="s">
        <v>755</v>
      </c>
      <c r="M865" s="42">
        <v>0.18</v>
      </c>
      <c r="N865" s="34"/>
      <c r="O865" s="42"/>
      <c r="P865" s="34"/>
      <c r="Q865" s="42"/>
      <c r="R865" s="34"/>
      <c r="S865" s="42"/>
      <c r="T865" s="34"/>
      <c r="U865" s="42"/>
      <c r="V865" s="34"/>
      <c r="W865" s="42"/>
      <c r="X865" s="34"/>
      <c r="Y865" s="42"/>
      <c r="Z865" s="42"/>
      <c r="AA865" s="36"/>
      <c r="AB865" s="50"/>
      <c r="AC865" s="56" t="str">
        <f>IF(Table1[[#This Row],[Auto Order]]=1,IF(Table1[[#This Row],[In stock]]&lt;Table1[[#This Row],[Min in stock]],1,""),"")</f>
        <v/>
      </c>
    </row>
    <row r="866" spans="1:29" x14ac:dyDescent="0.25">
      <c r="A866" s="60" t="s">
        <v>1388</v>
      </c>
      <c r="B866" s="34" t="s">
        <v>713</v>
      </c>
      <c r="C866" s="34" t="s">
        <v>352</v>
      </c>
      <c r="D866" s="34" t="s">
        <v>1389</v>
      </c>
      <c r="E866" s="34" t="s">
        <v>559</v>
      </c>
      <c r="F866" s="53">
        <v>0</v>
      </c>
      <c r="G866" s="53"/>
      <c r="H866" s="53"/>
      <c r="I86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RHM470KAHCT-ND</v>
      </c>
      <c r="J86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6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66" s="34" t="s">
        <v>1387</v>
      </c>
      <c r="M866" s="42">
        <v>0.18</v>
      </c>
      <c r="N866" s="34"/>
      <c r="O866" s="42"/>
      <c r="P866" s="34"/>
      <c r="Q866" s="42"/>
      <c r="R866" s="34"/>
      <c r="S866" s="42"/>
      <c r="T866" s="34"/>
      <c r="U866" s="42"/>
      <c r="V866" s="34"/>
      <c r="W866" s="42"/>
      <c r="X866" s="34"/>
      <c r="Y866" s="42"/>
      <c r="Z866" s="42"/>
      <c r="AA866" s="36"/>
      <c r="AB866" s="50"/>
      <c r="AC866" s="56" t="str">
        <f>IF(Table1[[#This Row],[Auto Order]]=1,IF(Table1[[#This Row],[In stock]]&lt;Table1[[#This Row],[Min in stock]],1,""),"")</f>
        <v/>
      </c>
    </row>
    <row r="867" spans="1:29" x14ac:dyDescent="0.25">
      <c r="A867" s="60" t="s">
        <v>748</v>
      </c>
      <c r="B867" s="34" t="s">
        <v>713</v>
      </c>
      <c r="C867" s="34" t="s">
        <v>352</v>
      </c>
      <c r="D867" s="34" t="s">
        <v>749</v>
      </c>
      <c r="E867" s="34" t="s">
        <v>559</v>
      </c>
      <c r="F867" s="53">
        <v>0</v>
      </c>
      <c r="G867" s="53"/>
      <c r="H867" s="53"/>
      <c r="I86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RHM4.70MAHCT-ND</v>
      </c>
      <c r="J86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6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67" s="34" t="s">
        <v>747</v>
      </c>
      <c r="M867" s="42">
        <v>0.18</v>
      </c>
      <c r="N867" s="34"/>
      <c r="O867" s="42"/>
      <c r="P867" s="34"/>
      <c r="Q867" s="42"/>
      <c r="R867" s="34"/>
      <c r="S867" s="42"/>
      <c r="T867" s="34"/>
      <c r="U867" s="42"/>
      <c r="V867" s="34"/>
      <c r="W867" s="42"/>
      <c r="X867" s="34"/>
      <c r="Y867" s="42"/>
      <c r="Z867" s="42"/>
      <c r="AA867" s="36"/>
      <c r="AB867" s="50"/>
      <c r="AC867" s="56" t="str">
        <f>IF(Table1[[#This Row],[Auto Order]]=1,IF(Table1[[#This Row],[In stock]]&lt;Table1[[#This Row],[Min in stock]],1,""),"")</f>
        <v/>
      </c>
    </row>
    <row r="868" spans="1:29" x14ac:dyDescent="0.25">
      <c r="A868" s="60" t="s">
        <v>893</v>
      </c>
      <c r="B868" s="34" t="s">
        <v>713</v>
      </c>
      <c r="C868" s="34" t="s">
        <v>352</v>
      </c>
      <c r="D868" s="34" t="s">
        <v>894</v>
      </c>
      <c r="E868" s="34" t="s">
        <v>559</v>
      </c>
      <c r="F868" s="53">
        <v>0</v>
      </c>
      <c r="G868" s="53"/>
      <c r="H868" s="53"/>
      <c r="I86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RHM4.75KAHCT-ND</v>
      </c>
      <c r="J86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6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68" s="34" t="s">
        <v>892</v>
      </c>
      <c r="M868" s="42">
        <v>0.18</v>
      </c>
      <c r="N868" s="34"/>
      <c r="O868" s="42"/>
      <c r="P868" s="34"/>
      <c r="Q868" s="42"/>
      <c r="R868" s="34"/>
      <c r="S868" s="42"/>
      <c r="T868" s="34"/>
      <c r="U868" s="42"/>
      <c r="V868" s="34"/>
      <c r="W868" s="42"/>
      <c r="X868" s="34"/>
      <c r="Y868" s="42"/>
      <c r="Z868" s="42"/>
      <c r="AA868" s="36"/>
      <c r="AB868" s="50"/>
      <c r="AC868" s="56" t="str">
        <f>IF(Table1[[#This Row],[Auto Order]]=1,IF(Table1[[#This Row],[In stock]]&lt;Table1[[#This Row],[Min in stock]],1,""),"")</f>
        <v/>
      </c>
    </row>
    <row r="869" spans="1:29" x14ac:dyDescent="0.25">
      <c r="A869" s="60" t="s">
        <v>1362</v>
      </c>
      <c r="B869" s="34" t="s">
        <v>713</v>
      </c>
      <c r="C869" s="34" t="s">
        <v>352</v>
      </c>
      <c r="D869" s="34" t="s">
        <v>1363</v>
      </c>
      <c r="E869" s="34" t="s">
        <v>559</v>
      </c>
      <c r="F869" s="53">
        <v>0</v>
      </c>
      <c r="G869" s="53"/>
      <c r="H869" s="53"/>
      <c r="I86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RHM47.5KAHCT-ND</v>
      </c>
      <c r="J86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6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69" s="34" t="s">
        <v>1361</v>
      </c>
      <c r="M869" s="42">
        <v>0.18</v>
      </c>
      <c r="N869" s="34"/>
      <c r="O869" s="42"/>
      <c r="P869" s="34"/>
      <c r="Q869" s="42"/>
      <c r="R869" s="34"/>
      <c r="S869" s="42"/>
      <c r="T869" s="34"/>
      <c r="U869" s="42"/>
      <c r="V869" s="34"/>
      <c r="W869" s="42"/>
      <c r="X869" s="34"/>
      <c r="Y869" s="42"/>
      <c r="Z869" s="42"/>
      <c r="AA869" s="36"/>
      <c r="AB869" s="50"/>
      <c r="AC869" s="56" t="str">
        <f>IF(Table1[[#This Row],[Auto Order]]=1,IF(Table1[[#This Row],[In stock]]&lt;Table1[[#This Row],[Min in stock]],1,""),"")</f>
        <v/>
      </c>
    </row>
    <row r="870" spans="1:29" x14ac:dyDescent="0.25">
      <c r="A870" s="60" t="s">
        <v>1000</v>
      </c>
      <c r="B870" s="34" t="s">
        <v>713</v>
      </c>
      <c r="C870" s="34" t="s">
        <v>352</v>
      </c>
      <c r="D870" s="34" t="s">
        <v>1001</v>
      </c>
      <c r="E870" s="34" t="s">
        <v>559</v>
      </c>
      <c r="F870" s="53">
        <v>0</v>
      </c>
      <c r="G870" s="53"/>
      <c r="H870" s="53"/>
      <c r="I87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RHM475KAHCT-ND</v>
      </c>
      <c r="J87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7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70" s="34" t="s">
        <v>999</v>
      </c>
      <c r="M870" s="42">
        <v>0.18</v>
      </c>
      <c r="N870" s="34"/>
      <c r="O870" s="42"/>
      <c r="P870" s="34"/>
      <c r="Q870" s="42"/>
      <c r="R870" s="34"/>
      <c r="S870" s="42"/>
      <c r="T870" s="34"/>
      <c r="U870" s="42"/>
      <c r="V870" s="34"/>
      <c r="W870" s="42"/>
      <c r="X870" s="34"/>
      <c r="Y870" s="42"/>
      <c r="Z870" s="42"/>
      <c r="AA870" s="36"/>
      <c r="AB870" s="50"/>
      <c r="AC870" s="56" t="str">
        <f>IF(Table1[[#This Row],[Auto Order]]=1,IF(Table1[[#This Row],[In stock]]&lt;Table1[[#This Row],[Min in stock]],1,""),"")</f>
        <v/>
      </c>
    </row>
    <row r="871" spans="1:29" x14ac:dyDescent="0.25">
      <c r="A871" s="60" t="s">
        <v>808</v>
      </c>
      <c r="B871" s="34" t="s">
        <v>713</v>
      </c>
      <c r="C871" s="34" t="s">
        <v>352</v>
      </c>
      <c r="D871" s="34" t="s">
        <v>809</v>
      </c>
      <c r="E871" s="34" t="s">
        <v>559</v>
      </c>
      <c r="F871" s="53">
        <v>0</v>
      </c>
      <c r="G871" s="53"/>
      <c r="H871" s="53"/>
      <c r="I87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RHM47AHCT-ND</v>
      </c>
      <c r="J87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7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71" s="34" t="s">
        <v>807</v>
      </c>
      <c r="M871" s="42">
        <v>0.18</v>
      </c>
      <c r="N871" s="34"/>
      <c r="O871" s="42"/>
      <c r="P871" s="34"/>
      <c r="Q871" s="42"/>
      <c r="R871" s="34"/>
      <c r="S871" s="42"/>
      <c r="T871" s="34"/>
      <c r="U871" s="42"/>
      <c r="V871" s="34"/>
      <c r="W871" s="42"/>
      <c r="X871" s="34"/>
      <c r="Y871" s="42"/>
      <c r="Z871" s="42"/>
      <c r="AA871" s="36"/>
      <c r="AB871" s="50"/>
      <c r="AC871" s="56" t="str">
        <f>IF(Table1[[#This Row],[Auto Order]]=1,IF(Table1[[#This Row],[In stock]]&lt;Table1[[#This Row],[Min in stock]],1,""),"")</f>
        <v/>
      </c>
    </row>
    <row r="872" spans="1:29" x14ac:dyDescent="0.25">
      <c r="A872" s="60" t="s">
        <v>760</v>
      </c>
      <c r="B872" s="34" t="s">
        <v>713</v>
      </c>
      <c r="C872" s="34" t="s">
        <v>352</v>
      </c>
      <c r="D872" s="34" t="s">
        <v>761</v>
      </c>
      <c r="E872" s="34" t="s">
        <v>559</v>
      </c>
      <c r="F872" s="53">
        <v>0</v>
      </c>
      <c r="G872" s="53"/>
      <c r="H872" s="53"/>
      <c r="I87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RHM499AHCT-ND</v>
      </c>
      <c r="J87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7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72" s="34" t="s">
        <v>759</v>
      </c>
      <c r="M872" s="42">
        <v>0.18</v>
      </c>
      <c r="N872" s="34"/>
      <c r="O872" s="42"/>
      <c r="P872" s="34"/>
      <c r="Q872" s="42"/>
      <c r="R872" s="34"/>
      <c r="S872" s="42"/>
      <c r="T872" s="34"/>
      <c r="U872" s="42"/>
      <c r="V872" s="34"/>
      <c r="W872" s="42"/>
      <c r="X872" s="34"/>
      <c r="Y872" s="42"/>
      <c r="Z872" s="42"/>
      <c r="AA872" s="36"/>
      <c r="AB872" s="50"/>
      <c r="AC872" s="56" t="str">
        <f>IF(Table1[[#This Row],[Auto Order]]=1,IF(Table1[[#This Row],[In stock]]&lt;Table1[[#This Row],[Min in stock]],1,""),"")</f>
        <v/>
      </c>
    </row>
    <row r="873" spans="1:29" x14ac:dyDescent="0.25">
      <c r="A873" s="60" t="s">
        <v>1475</v>
      </c>
      <c r="B873" s="34" t="s">
        <v>713</v>
      </c>
      <c r="C873" s="34" t="s">
        <v>352</v>
      </c>
      <c r="D873" s="34" t="s">
        <v>663</v>
      </c>
      <c r="E873" s="34" t="s">
        <v>559</v>
      </c>
      <c r="F873" s="53">
        <v>0</v>
      </c>
      <c r="G873" s="53"/>
      <c r="H873" s="53"/>
      <c r="I87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RHM4.99KAHCT-ND</v>
      </c>
      <c r="J87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7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73" s="34" t="s">
        <v>1474</v>
      </c>
      <c r="M873" s="42">
        <v>0.18</v>
      </c>
      <c r="N873" s="34"/>
      <c r="O873" s="42"/>
      <c r="P873" s="34"/>
      <c r="Q873" s="42"/>
      <c r="R873" s="34"/>
      <c r="S873" s="42"/>
      <c r="T873" s="34"/>
      <c r="U873" s="42"/>
      <c r="V873" s="34"/>
      <c r="W873" s="42"/>
      <c r="X873" s="34"/>
      <c r="Y873" s="42"/>
      <c r="Z873" s="42"/>
      <c r="AA873" s="36"/>
      <c r="AB873" s="50"/>
      <c r="AC873" s="56" t="str">
        <f>IF(Table1[[#This Row],[Auto Order]]=1,IF(Table1[[#This Row],[In stock]]&lt;Table1[[#This Row],[Min in stock]],1,""),"")</f>
        <v/>
      </c>
    </row>
    <row r="874" spans="1:29" x14ac:dyDescent="0.25">
      <c r="A874" s="60" t="s">
        <v>1426</v>
      </c>
      <c r="B874" s="34" t="s">
        <v>713</v>
      </c>
      <c r="C874" s="34" t="s">
        <v>352</v>
      </c>
      <c r="D874" s="34" t="s">
        <v>687</v>
      </c>
      <c r="E874" s="34" t="s">
        <v>559</v>
      </c>
      <c r="F874" s="53">
        <v>0</v>
      </c>
      <c r="G874" s="53"/>
      <c r="H874" s="53"/>
      <c r="I87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RHM49.9KAHCT-ND</v>
      </c>
      <c r="J87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7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74" s="34" t="s">
        <v>1425</v>
      </c>
      <c r="M874" s="42">
        <v>0.18</v>
      </c>
      <c r="N874" s="34"/>
      <c r="O874" s="42"/>
      <c r="P874" s="34"/>
      <c r="Q874" s="42"/>
      <c r="R874" s="34"/>
      <c r="S874" s="42"/>
      <c r="T874" s="34"/>
      <c r="U874" s="42"/>
      <c r="V874" s="34"/>
      <c r="W874" s="42"/>
      <c r="X874" s="34"/>
      <c r="Y874" s="42"/>
      <c r="Z874" s="42"/>
      <c r="AA874" s="36"/>
      <c r="AB874" s="50"/>
      <c r="AC874" s="56" t="str">
        <f>IF(Table1[[#This Row],[Auto Order]]=1,IF(Table1[[#This Row],[In stock]]&lt;Table1[[#This Row],[Min in stock]],1,""),"")</f>
        <v/>
      </c>
    </row>
    <row r="875" spans="1:29" x14ac:dyDescent="0.25">
      <c r="A875" s="60" t="s">
        <v>1453</v>
      </c>
      <c r="B875" s="34" t="s">
        <v>713</v>
      </c>
      <c r="C875" s="34" t="s">
        <v>352</v>
      </c>
      <c r="D875" s="34" t="s">
        <v>1454</v>
      </c>
      <c r="E875" s="34" t="s">
        <v>559</v>
      </c>
      <c r="F875" s="53">
        <v>0</v>
      </c>
      <c r="G875" s="53"/>
      <c r="H875" s="53"/>
      <c r="I87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RHM499KAHCT-ND</v>
      </c>
      <c r="J87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7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75" s="34" t="s">
        <v>1452</v>
      </c>
      <c r="M875" s="42">
        <v>0.18</v>
      </c>
      <c r="N875" s="34"/>
      <c r="O875" s="42"/>
      <c r="P875" s="34"/>
      <c r="Q875" s="42"/>
      <c r="R875" s="34"/>
      <c r="S875" s="42"/>
      <c r="T875" s="34"/>
      <c r="U875" s="42"/>
      <c r="V875" s="34"/>
      <c r="W875" s="42"/>
      <c r="X875" s="34"/>
      <c r="Y875" s="42"/>
      <c r="Z875" s="42"/>
      <c r="AA875" s="36"/>
      <c r="AB875" s="50"/>
      <c r="AC875" s="56" t="str">
        <f>IF(Table1[[#This Row],[Auto Order]]=1,IF(Table1[[#This Row],[In stock]]&lt;Table1[[#This Row],[Min in stock]],1,""),"")</f>
        <v/>
      </c>
    </row>
    <row r="876" spans="1:29" x14ac:dyDescent="0.25">
      <c r="A876" s="60" t="s">
        <v>1431</v>
      </c>
      <c r="B876" s="34" t="s">
        <v>713</v>
      </c>
      <c r="C876" s="34" t="s">
        <v>352</v>
      </c>
      <c r="D876" s="34" t="s">
        <v>630</v>
      </c>
      <c r="E876" s="34" t="s">
        <v>559</v>
      </c>
      <c r="F876" s="53">
        <v>0</v>
      </c>
      <c r="G876" s="53"/>
      <c r="H876" s="53"/>
      <c r="I87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RHM49.9AHCT-ND</v>
      </c>
      <c r="J87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7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76" s="34" t="s">
        <v>1430</v>
      </c>
      <c r="M876" s="42">
        <v>0.18</v>
      </c>
      <c r="N876" s="34"/>
      <c r="O876" s="42"/>
      <c r="P876" s="34"/>
      <c r="Q876" s="42"/>
      <c r="R876" s="34"/>
      <c r="S876" s="42"/>
      <c r="T876" s="34"/>
      <c r="U876" s="42"/>
      <c r="V876" s="34"/>
      <c r="W876" s="42"/>
      <c r="X876" s="34"/>
      <c r="Y876" s="42"/>
      <c r="Z876" s="42"/>
      <c r="AA876" s="36"/>
      <c r="AB876" s="50"/>
      <c r="AC876" s="56" t="str">
        <f>IF(Table1[[#This Row],[Auto Order]]=1,IF(Table1[[#This Row],[In stock]]&lt;Table1[[#This Row],[Min in stock]],1,""),"")</f>
        <v/>
      </c>
    </row>
    <row r="877" spans="1:29" x14ac:dyDescent="0.25">
      <c r="A877" s="60" t="s">
        <v>732</v>
      </c>
      <c r="B877" s="34" t="s">
        <v>713</v>
      </c>
      <c r="C877" s="34" t="s">
        <v>352</v>
      </c>
      <c r="D877" s="34" t="s">
        <v>609</v>
      </c>
      <c r="E877" s="34" t="s">
        <v>559</v>
      </c>
      <c r="F877" s="53">
        <v>0</v>
      </c>
      <c r="G877" s="53"/>
      <c r="H877" s="53"/>
      <c r="I87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RHM4.70AHCT-ND</v>
      </c>
      <c r="J87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7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77" s="34" t="s">
        <v>731</v>
      </c>
      <c r="M877" s="42">
        <v>0.18</v>
      </c>
      <c r="N877" s="34"/>
      <c r="O877" s="42"/>
      <c r="P877" s="34"/>
      <c r="Q877" s="42"/>
      <c r="R877" s="34"/>
      <c r="S877" s="42"/>
      <c r="T877" s="34"/>
      <c r="U877" s="42"/>
      <c r="V877" s="34"/>
      <c r="W877" s="42"/>
      <c r="X877" s="34"/>
      <c r="Y877" s="42"/>
      <c r="Z877" s="42"/>
      <c r="AA877" s="36"/>
      <c r="AB877" s="50"/>
      <c r="AC877" s="56" t="str">
        <f>IF(Table1[[#This Row],[Auto Order]]=1,IF(Table1[[#This Row],[In stock]]&lt;Table1[[#This Row],[Min in stock]],1,""),"")</f>
        <v/>
      </c>
    </row>
    <row r="878" spans="1:29" x14ac:dyDescent="0.25">
      <c r="A878" s="60" t="s">
        <v>1385</v>
      </c>
      <c r="B878" s="34" t="s">
        <v>713</v>
      </c>
      <c r="C878" s="34" t="s">
        <v>352</v>
      </c>
      <c r="D878" s="34" t="s">
        <v>1386</v>
      </c>
      <c r="E878" s="34" t="s">
        <v>559</v>
      </c>
      <c r="F878" s="53">
        <v>0</v>
      </c>
      <c r="G878" s="53"/>
      <c r="H878" s="53"/>
      <c r="I87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RHM510AHCT-ND</v>
      </c>
      <c r="J87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7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78" s="34" t="s">
        <v>1384</v>
      </c>
      <c r="M878" s="42">
        <v>0.18</v>
      </c>
      <c r="N878" s="34"/>
      <c r="O878" s="42"/>
      <c r="P878" s="34"/>
      <c r="Q878" s="42"/>
      <c r="R878" s="34"/>
      <c r="S878" s="42"/>
      <c r="T878" s="34"/>
      <c r="U878" s="42"/>
      <c r="V878" s="34"/>
      <c r="W878" s="42"/>
      <c r="X878" s="34"/>
      <c r="Y878" s="42"/>
      <c r="Z878" s="42"/>
      <c r="AA878" s="36"/>
      <c r="AB878" s="50"/>
      <c r="AC878" s="56" t="str">
        <f>IF(Table1[[#This Row],[Auto Order]]=1,IF(Table1[[#This Row],[In stock]]&lt;Table1[[#This Row],[Min in stock]],1,""),"")</f>
        <v/>
      </c>
    </row>
    <row r="879" spans="1:29" x14ac:dyDescent="0.25">
      <c r="A879" s="60" t="s">
        <v>1748</v>
      </c>
      <c r="B879" s="34" t="s">
        <v>713</v>
      </c>
      <c r="C879" s="34" t="s">
        <v>352</v>
      </c>
      <c r="D879" s="34" t="s">
        <v>1749</v>
      </c>
      <c r="E879" s="34" t="s">
        <v>559</v>
      </c>
      <c r="F879" s="53">
        <v>0</v>
      </c>
      <c r="G879" s="53"/>
      <c r="H879" s="53"/>
      <c r="I87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RHM5.1KAHCT-ND</v>
      </c>
      <c r="J87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7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79" s="34" t="s">
        <v>1747</v>
      </c>
      <c r="M879" s="42">
        <v>0.18</v>
      </c>
      <c r="N879" s="34"/>
      <c r="O879" s="42"/>
      <c r="P879" s="34"/>
      <c r="Q879" s="42"/>
      <c r="R879" s="34"/>
      <c r="S879" s="42"/>
      <c r="T879" s="34"/>
      <c r="U879" s="42"/>
      <c r="V879" s="34"/>
      <c r="W879" s="42"/>
      <c r="X879" s="34"/>
      <c r="Y879" s="42"/>
      <c r="Z879" s="42"/>
      <c r="AA879" s="36"/>
      <c r="AB879" s="50"/>
      <c r="AC879" s="56" t="str">
        <f>IF(Table1[[#This Row],[Auto Order]]=1,IF(Table1[[#This Row],[In stock]]&lt;Table1[[#This Row],[Min in stock]],1,""),"")</f>
        <v/>
      </c>
    </row>
    <row r="880" spans="1:29" x14ac:dyDescent="0.25">
      <c r="A880" s="60" t="s">
        <v>811</v>
      </c>
      <c r="B880" s="34" t="s">
        <v>713</v>
      </c>
      <c r="C880" s="34" t="s">
        <v>352</v>
      </c>
      <c r="D880" s="34" t="s">
        <v>812</v>
      </c>
      <c r="E880" s="34" t="s">
        <v>559</v>
      </c>
      <c r="F880" s="53">
        <v>0</v>
      </c>
      <c r="G880" s="53"/>
      <c r="H880" s="53"/>
      <c r="I88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RHM51KAHCT-ND</v>
      </c>
      <c r="J88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8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80" s="34" t="s">
        <v>810</v>
      </c>
      <c r="M880" s="42">
        <v>0.18</v>
      </c>
      <c r="N880" s="34"/>
      <c r="O880" s="42"/>
      <c r="P880" s="34"/>
      <c r="Q880" s="42"/>
      <c r="R880" s="34"/>
      <c r="S880" s="42"/>
      <c r="T880" s="34"/>
      <c r="U880" s="42"/>
      <c r="V880" s="34"/>
      <c r="W880" s="42"/>
      <c r="X880" s="34"/>
      <c r="Y880" s="42"/>
      <c r="Z880" s="42"/>
      <c r="AA880" s="36"/>
      <c r="AB880" s="50"/>
      <c r="AC880" s="56" t="str">
        <f>IF(Table1[[#This Row],[Auto Order]]=1,IF(Table1[[#This Row],[In stock]]&lt;Table1[[#This Row],[Min in stock]],1,""),"")</f>
        <v/>
      </c>
    </row>
    <row r="881" spans="1:29" x14ac:dyDescent="0.25">
      <c r="A881" s="60" t="s">
        <v>772</v>
      </c>
      <c r="B881" s="34" t="s">
        <v>713</v>
      </c>
      <c r="C881" s="34" t="s">
        <v>352</v>
      </c>
      <c r="D881" s="34" t="s">
        <v>773</v>
      </c>
      <c r="E881" s="34" t="s">
        <v>559</v>
      </c>
      <c r="F881" s="53">
        <v>0</v>
      </c>
      <c r="G881" s="53"/>
      <c r="H881" s="53"/>
      <c r="I88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RHM510KAHCT-ND</v>
      </c>
      <c r="J88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8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81" s="34" t="s">
        <v>771</v>
      </c>
      <c r="M881" s="42">
        <v>0.18</v>
      </c>
      <c r="N881" s="34"/>
      <c r="O881" s="42"/>
      <c r="P881" s="34"/>
      <c r="Q881" s="42"/>
      <c r="R881" s="34"/>
      <c r="S881" s="42"/>
      <c r="T881" s="34"/>
      <c r="U881" s="42"/>
      <c r="V881" s="34"/>
      <c r="W881" s="42"/>
      <c r="X881" s="34"/>
      <c r="Y881" s="42"/>
      <c r="Z881" s="42"/>
      <c r="AA881" s="36"/>
      <c r="AB881" s="50"/>
      <c r="AC881" s="56" t="str">
        <f>IF(Table1[[#This Row],[Auto Order]]=1,IF(Table1[[#This Row],[In stock]]&lt;Table1[[#This Row],[Min in stock]],1,""),"")</f>
        <v/>
      </c>
    </row>
    <row r="882" spans="1:29" x14ac:dyDescent="0.25">
      <c r="A882" s="60" t="s">
        <v>734</v>
      </c>
      <c r="B882" s="34" t="s">
        <v>713</v>
      </c>
      <c r="C882" s="34" t="s">
        <v>352</v>
      </c>
      <c r="D882" s="34" t="s">
        <v>735</v>
      </c>
      <c r="E882" s="34" t="s">
        <v>559</v>
      </c>
      <c r="F882" s="53">
        <v>0</v>
      </c>
      <c r="G882" s="53"/>
      <c r="H882" s="53"/>
      <c r="I88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RHM5.10MAHCT-ND</v>
      </c>
      <c r="J88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8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82" s="34" t="s">
        <v>733</v>
      </c>
      <c r="M882" s="42">
        <v>0.18</v>
      </c>
      <c r="N882" s="34"/>
      <c r="O882" s="42"/>
      <c r="P882" s="34"/>
      <c r="Q882" s="42"/>
      <c r="R882" s="34"/>
      <c r="S882" s="42"/>
      <c r="T882" s="34"/>
      <c r="U882" s="42"/>
      <c r="V882" s="34"/>
      <c r="W882" s="42"/>
      <c r="X882" s="34"/>
      <c r="Y882" s="42"/>
      <c r="Z882" s="42"/>
      <c r="AA882" s="36"/>
      <c r="AB882" s="50"/>
      <c r="AC882" s="56" t="str">
        <f>IF(Table1[[#This Row],[Auto Order]]=1,IF(Table1[[#This Row],[In stock]]&lt;Table1[[#This Row],[Min in stock]],1,""),"")</f>
        <v/>
      </c>
    </row>
    <row r="883" spans="1:29" x14ac:dyDescent="0.25">
      <c r="A883" s="60" t="s">
        <v>1003</v>
      </c>
      <c r="B883" s="34" t="s">
        <v>713</v>
      </c>
      <c r="C883" s="34" t="s">
        <v>352</v>
      </c>
      <c r="D883" s="34" t="s">
        <v>666</v>
      </c>
      <c r="E883" s="34" t="s">
        <v>559</v>
      </c>
      <c r="F883" s="53">
        <v>0</v>
      </c>
      <c r="G883" s="53"/>
      <c r="H883" s="53"/>
      <c r="I88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RHM5.11KAHCT-ND</v>
      </c>
      <c r="J88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8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83" s="34" t="s">
        <v>1002</v>
      </c>
      <c r="M883" s="42">
        <v>0.18</v>
      </c>
      <c r="N883" s="34"/>
      <c r="O883" s="42"/>
      <c r="P883" s="34"/>
      <c r="Q883" s="42"/>
      <c r="R883" s="34"/>
      <c r="S883" s="42"/>
      <c r="T883" s="34"/>
      <c r="U883" s="42"/>
      <c r="V883" s="34"/>
      <c r="W883" s="42"/>
      <c r="X883" s="34"/>
      <c r="Y883" s="42"/>
      <c r="Z883" s="42"/>
      <c r="AA883" s="36"/>
      <c r="AB883" s="50"/>
      <c r="AC883" s="56" t="str">
        <f>IF(Table1[[#This Row],[Auto Order]]=1,IF(Table1[[#This Row],[In stock]]&lt;Table1[[#This Row],[Min in stock]],1,""),"")</f>
        <v/>
      </c>
    </row>
    <row r="884" spans="1:29" x14ac:dyDescent="0.25">
      <c r="A884" s="60" t="s">
        <v>1005</v>
      </c>
      <c r="B884" s="34" t="s">
        <v>713</v>
      </c>
      <c r="C884" s="34" t="s">
        <v>352</v>
      </c>
      <c r="D884" s="34" t="s">
        <v>1006</v>
      </c>
      <c r="E884" s="34" t="s">
        <v>559</v>
      </c>
      <c r="F884" s="53">
        <v>0</v>
      </c>
      <c r="G884" s="53"/>
      <c r="H884" s="53"/>
      <c r="I88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RHM511KAHCT-ND</v>
      </c>
      <c r="J88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8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84" s="34" t="s">
        <v>1004</v>
      </c>
      <c r="M884" s="42">
        <v>0.18</v>
      </c>
      <c r="N884" s="34"/>
      <c r="O884" s="42"/>
      <c r="P884" s="34"/>
      <c r="Q884" s="42"/>
      <c r="R884" s="34"/>
      <c r="S884" s="42"/>
      <c r="T884" s="34"/>
      <c r="U884" s="42"/>
      <c r="V884" s="34"/>
      <c r="W884" s="42"/>
      <c r="X884" s="34"/>
      <c r="Y884" s="42"/>
      <c r="Z884" s="42"/>
      <c r="AA884" s="36"/>
      <c r="AB884" s="50"/>
      <c r="AC884" s="56" t="str">
        <f>IF(Table1[[#This Row],[Auto Order]]=1,IF(Table1[[#This Row],[In stock]]&lt;Table1[[#This Row],[Min in stock]],1,""),"")</f>
        <v/>
      </c>
    </row>
    <row r="885" spans="1:29" x14ac:dyDescent="0.25">
      <c r="A885" s="60" t="s">
        <v>1423</v>
      </c>
      <c r="B885" s="34" t="s">
        <v>713</v>
      </c>
      <c r="C885" s="34" t="s">
        <v>352</v>
      </c>
      <c r="D885" s="34" t="s">
        <v>1424</v>
      </c>
      <c r="E885" s="34" t="s">
        <v>559</v>
      </c>
      <c r="F885" s="53">
        <v>0</v>
      </c>
      <c r="G885" s="53"/>
      <c r="H885" s="53"/>
      <c r="I88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RHM51.0AHCT-ND</v>
      </c>
      <c r="J88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8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85" s="34" t="s">
        <v>1422</v>
      </c>
      <c r="M885" s="42">
        <v>0.18</v>
      </c>
      <c r="N885" s="34"/>
      <c r="O885" s="42"/>
      <c r="P885" s="34"/>
      <c r="Q885" s="42"/>
      <c r="R885" s="34"/>
      <c r="S885" s="42"/>
      <c r="T885" s="34"/>
      <c r="U885" s="42"/>
      <c r="V885" s="34"/>
      <c r="W885" s="42"/>
      <c r="X885" s="34"/>
      <c r="Y885" s="42"/>
      <c r="Z885" s="42"/>
      <c r="AA885" s="36"/>
      <c r="AB885" s="50"/>
      <c r="AC885" s="56" t="str">
        <f>IF(Table1[[#This Row],[Auto Order]]=1,IF(Table1[[#This Row],[In stock]]&lt;Table1[[#This Row],[Min in stock]],1,""),"")</f>
        <v/>
      </c>
    </row>
    <row r="886" spans="1:29" x14ac:dyDescent="0.25">
      <c r="A886" s="60" t="s">
        <v>1130</v>
      </c>
      <c r="B886" s="34" t="s">
        <v>713</v>
      </c>
      <c r="C886" s="34" t="s">
        <v>352</v>
      </c>
      <c r="D886" s="34" t="s">
        <v>1131</v>
      </c>
      <c r="E886" s="34" t="s">
        <v>559</v>
      </c>
      <c r="F886" s="53">
        <v>0</v>
      </c>
      <c r="G886" s="53"/>
      <c r="H886" s="53"/>
      <c r="I88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RHM51.1AHCT-ND</v>
      </c>
      <c r="J88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8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86" s="34" t="s">
        <v>1129</v>
      </c>
      <c r="M886" s="42">
        <v>0.18</v>
      </c>
      <c r="N886" s="34"/>
      <c r="O886" s="42"/>
      <c r="P886" s="34"/>
      <c r="Q886" s="42"/>
      <c r="R886" s="34"/>
      <c r="S886" s="42"/>
      <c r="T886" s="34"/>
      <c r="U886" s="42"/>
      <c r="V886" s="34"/>
      <c r="W886" s="42"/>
      <c r="X886" s="34"/>
      <c r="Y886" s="42"/>
      <c r="Z886" s="42"/>
      <c r="AA886" s="36"/>
      <c r="AB886" s="50"/>
      <c r="AC886" s="56" t="str">
        <f>IF(Table1[[#This Row],[Auto Order]]=1,IF(Table1[[#This Row],[In stock]]&lt;Table1[[#This Row],[Min in stock]],1,""),"")</f>
        <v/>
      </c>
    </row>
    <row r="887" spans="1:29" x14ac:dyDescent="0.25">
      <c r="A887" s="60" t="s">
        <v>1403</v>
      </c>
      <c r="B887" s="34" t="s">
        <v>713</v>
      </c>
      <c r="C887" s="34" t="s">
        <v>352</v>
      </c>
      <c r="D887" s="34" t="s">
        <v>1404</v>
      </c>
      <c r="E887" s="34" t="s">
        <v>559</v>
      </c>
      <c r="F887" s="53">
        <v>0</v>
      </c>
      <c r="G887" s="53"/>
      <c r="H887" s="53"/>
      <c r="I88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RHM523AHCT-ND</v>
      </c>
      <c r="J88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8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87" s="34" t="s">
        <v>1402</v>
      </c>
      <c r="M887" s="42">
        <v>0.18</v>
      </c>
      <c r="N887" s="34"/>
      <c r="O887" s="42"/>
      <c r="P887" s="34"/>
      <c r="Q887" s="42"/>
      <c r="R887" s="34"/>
      <c r="S887" s="42"/>
      <c r="T887" s="34"/>
      <c r="U887" s="42"/>
      <c r="V887" s="34"/>
      <c r="W887" s="42"/>
      <c r="X887" s="34"/>
      <c r="Y887" s="42"/>
      <c r="Z887" s="42"/>
      <c r="AA887" s="36"/>
      <c r="AB887" s="50"/>
      <c r="AC887" s="56" t="str">
        <f>IF(Table1[[#This Row],[Auto Order]]=1,IF(Table1[[#This Row],[In stock]]&lt;Table1[[#This Row],[Min in stock]],1,""),"")</f>
        <v/>
      </c>
    </row>
    <row r="888" spans="1:29" x14ac:dyDescent="0.25">
      <c r="A888" s="60" t="s">
        <v>1259</v>
      </c>
      <c r="B888" s="34" t="s">
        <v>713</v>
      </c>
      <c r="C888" s="34" t="s">
        <v>352</v>
      </c>
      <c r="D888" s="34" t="s">
        <v>1260</v>
      </c>
      <c r="E888" s="34" t="s">
        <v>559</v>
      </c>
      <c r="F888" s="53">
        <v>0</v>
      </c>
      <c r="G888" s="53"/>
      <c r="H888" s="53"/>
      <c r="I88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RHM5.23KAHCT-ND</v>
      </c>
      <c r="J88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8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88" s="34" t="s">
        <v>1258</v>
      </c>
      <c r="M888" s="42">
        <v>0.18</v>
      </c>
      <c r="N888" s="34"/>
      <c r="O888" s="42"/>
      <c r="P888" s="34"/>
      <c r="Q888" s="42"/>
      <c r="R888" s="34"/>
      <c r="S888" s="42"/>
      <c r="T888" s="34"/>
      <c r="U888" s="42"/>
      <c r="V888" s="34"/>
      <c r="W888" s="42"/>
      <c r="X888" s="34"/>
      <c r="Y888" s="42"/>
      <c r="Z888" s="42"/>
      <c r="AA888" s="36"/>
      <c r="AB888" s="50"/>
      <c r="AC888" s="56" t="str">
        <f>IF(Table1[[#This Row],[Auto Order]]=1,IF(Table1[[#This Row],[In stock]]&lt;Table1[[#This Row],[Min in stock]],1,""),"")</f>
        <v/>
      </c>
    </row>
    <row r="889" spans="1:29" x14ac:dyDescent="0.25">
      <c r="A889" s="60" t="s">
        <v>1008</v>
      </c>
      <c r="B889" s="34" t="s">
        <v>713</v>
      </c>
      <c r="C889" s="34" t="s">
        <v>352</v>
      </c>
      <c r="D889" s="34" t="s">
        <v>1009</v>
      </c>
      <c r="E889" s="34" t="s">
        <v>559</v>
      </c>
      <c r="F889" s="53">
        <v>0</v>
      </c>
      <c r="G889" s="53"/>
      <c r="H889" s="53"/>
      <c r="I88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RHM536AHCT-ND</v>
      </c>
      <c r="J88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8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89" s="34" t="s">
        <v>1007</v>
      </c>
      <c r="M889" s="42">
        <v>0.18</v>
      </c>
      <c r="N889" s="34"/>
      <c r="O889" s="42"/>
      <c r="P889" s="34"/>
      <c r="Q889" s="42"/>
      <c r="R889" s="34"/>
      <c r="S889" s="42"/>
      <c r="T889" s="34"/>
      <c r="U889" s="42"/>
      <c r="V889" s="34"/>
      <c r="W889" s="42"/>
      <c r="X889" s="34"/>
      <c r="Y889" s="42"/>
      <c r="Z889" s="42"/>
      <c r="AA889" s="36"/>
      <c r="AB889" s="50"/>
      <c r="AC889" s="56" t="str">
        <f>IF(Table1[[#This Row],[Auto Order]]=1,IF(Table1[[#This Row],[In stock]]&lt;Table1[[#This Row],[Min in stock]],1,""),"")</f>
        <v/>
      </c>
    </row>
    <row r="890" spans="1:29" x14ac:dyDescent="0.25">
      <c r="A890" s="60" t="s">
        <v>1214</v>
      </c>
      <c r="B890" s="34" t="s">
        <v>713</v>
      </c>
      <c r="C890" s="34" t="s">
        <v>352</v>
      </c>
      <c r="D890" s="34" t="s">
        <v>1215</v>
      </c>
      <c r="E890" s="34" t="s">
        <v>559</v>
      </c>
      <c r="F890" s="53">
        <v>0</v>
      </c>
      <c r="G890" s="53"/>
      <c r="H890" s="53"/>
      <c r="I89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RHM53.6KAHCT-ND</v>
      </c>
      <c r="J89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9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90" s="34" t="s">
        <v>1213</v>
      </c>
      <c r="M890" s="42">
        <v>0.18</v>
      </c>
      <c r="N890" s="34"/>
      <c r="O890" s="42"/>
      <c r="P890" s="34"/>
      <c r="Q890" s="42"/>
      <c r="R890" s="34"/>
      <c r="S890" s="42"/>
      <c r="T890" s="34"/>
      <c r="U890" s="42"/>
      <c r="V890" s="34"/>
      <c r="W890" s="42"/>
      <c r="X890" s="34"/>
      <c r="Y890" s="42"/>
      <c r="Z890" s="42"/>
      <c r="AA890" s="36"/>
      <c r="AB890" s="50"/>
      <c r="AC890" s="56" t="str">
        <f>IF(Table1[[#This Row],[Auto Order]]=1,IF(Table1[[#This Row],[In stock]]&lt;Table1[[#This Row],[Min in stock]],1,""),"")</f>
        <v/>
      </c>
    </row>
    <row r="891" spans="1:29" x14ac:dyDescent="0.25">
      <c r="A891" s="60" t="s">
        <v>1494</v>
      </c>
      <c r="B891" s="34" t="s">
        <v>713</v>
      </c>
      <c r="C891" s="34" t="s">
        <v>352</v>
      </c>
      <c r="D891" s="34" t="s">
        <v>1495</v>
      </c>
      <c r="E891" s="34" t="s">
        <v>559</v>
      </c>
      <c r="F891" s="53">
        <v>0</v>
      </c>
      <c r="G891" s="53"/>
      <c r="H891" s="53"/>
      <c r="I89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RHM536KAHCT-ND</v>
      </c>
      <c r="J89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9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91" s="34" t="s">
        <v>1493</v>
      </c>
      <c r="M891" s="42">
        <v>0.18</v>
      </c>
      <c r="N891" s="34"/>
      <c r="O891" s="42"/>
      <c r="P891" s="34"/>
      <c r="Q891" s="42"/>
      <c r="R891" s="34"/>
      <c r="S891" s="42"/>
      <c r="T891" s="34"/>
      <c r="U891" s="42"/>
      <c r="V891" s="34"/>
      <c r="W891" s="42"/>
      <c r="X891" s="34"/>
      <c r="Y891" s="42"/>
      <c r="Z891" s="42"/>
      <c r="AA891" s="36"/>
      <c r="AB891" s="50"/>
      <c r="AC891" s="56" t="str">
        <f>IF(Table1[[#This Row],[Auto Order]]=1,IF(Table1[[#This Row],[In stock]]&lt;Table1[[#This Row],[Min in stock]],1,""),"")</f>
        <v/>
      </c>
    </row>
    <row r="892" spans="1:29" x14ac:dyDescent="0.25">
      <c r="A892" s="60" t="s">
        <v>1011</v>
      </c>
      <c r="B892" s="34" t="s">
        <v>713</v>
      </c>
      <c r="C892" s="34" t="s">
        <v>352</v>
      </c>
      <c r="D892" s="34" t="s">
        <v>1012</v>
      </c>
      <c r="E892" s="34" t="s">
        <v>559</v>
      </c>
      <c r="F892" s="53">
        <v>0</v>
      </c>
      <c r="G892" s="53"/>
      <c r="H892" s="53"/>
      <c r="I89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RHM54.9KAHCT-ND</v>
      </c>
      <c r="J89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9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92" s="34" t="s">
        <v>1010</v>
      </c>
      <c r="M892" s="42">
        <v>0.18</v>
      </c>
      <c r="N892" s="34"/>
      <c r="O892" s="42"/>
      <c r="P892" s="34"/>
      <c r="Q892" s="42"/>
      <c r="R892" s="34"/>
      <c r="S892" s="42"/>
      <c r="T892" s="34"/>
      <c r="U892" s="42"/>
      <c r="V892" s="34"/>
      <c r="W892" s="42"/>
      <c r="X892" s="34"/>
      <c r="Y892" s="42"/>
      <c r="Z892" s="42"/>
      <c r="AA892" s="36"/>
      <c r="AB892" s="50"/>
      <c r="AC892" s="56" t="str">
        <f>IF(Table1[[#This Row],[Auto Order]]=1,IF(Table1[[#This Row],[In stock]]&lt;Table1[[#This Row],[Min in stock]],1,""),"")</f>
        <v/>
      </c>
    </row>
    <row r="893" spans="1:29" x14ac:dyDescent="0.25">
      <c r="A893" s="60" t="s">
        <v>769</v>
      </c>
      <c r="B893" s="34" t="s">
        <v>713</v>
      </c>
      <c r="C893" s="34" t="s">
        <v>352</v>
      </c>
      <c r="D893" s="34" t="s">
        <v>770</v>
      </c>
      <c r="E893" s="34" t="s">
        <v>559</v>
      </c>
      <c r="F893" s="53">
        <v>0</v>
      </c>
      <c r="G893" s="53"/>
      <c r="H893" s="53"/>
      <c r="I89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RHM549KAHCT-ND</v>
      </c>
      <c r="J89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9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93" s="34" t="s">
        <v>768</v>
      </c>
      <c r="M893" s="42">
        <v>0.18</v>
      </c>
      <c r="N893" s="34"/>
      <c r="O893" s="42"/>
      <c r="P893" s="34"/>
      <c r="Q893" s="42"/>
      <c r="R893" s="34"/>
      <c r="S893" s="42"/>
      <c r="T893" s="34"/>
      <c r="U893" s="42"/>
      <c r="V893" s="34"/>
      <c r="W893" s="42"/>
      <c r="X893" s="34"/>
      <c r="Y893" s="42"/>
      <c r="Z893" s="42"/>
      <c r="AA893" s="36"/>
      <c r="AB893" s="50"/>
      <c r="AC893" s="56" t="str">
        <f>IF(Table1[[#This Row],[Auto Order]]=1,IF(Table1[[#This Row],[In stock]]&lt;Table1[[#This Row],[Min in stock]],1,""),"")</f>
        <v/>
      </c>
    </row>
    <row r="894" spans="1:29" x14ac:dyDescent="0.25">
      <c r="A894" s="60" t="s">
        <v>1772</v>
      </c>
      <c r="B894" s="34" t="s">
        <v>713</v>
      </c>
      <c r="C894" s="34" t="s">
        <v>352</v>
      </c>
      <c r="D894" s="34" t="s">
        <v>1773</v>
      </c>
      <c r="E894" s="34" t="s">
        <v>559</v>
      </c>
      <c r="F894" s="53">
        <v>0</v>
      </c>
      <c r="G894" s="53"/>
      <c r="H894" s="53"/>
      <c r="I89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RHM5.6KAHCT-ND</v>
      </c>
      <c r="J89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9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94" s="34" t="s">
        <v>1771</v>
      </c>
      <c r="M894" s="42">
        <v>0.18</v>
      </c>
      <c r="N894" s="34"/>
      <c r="O894" s="42"/>
      <c r="P894" s="34"/>
      <c r="Q894" s="42"/>
      <c r="R894" s="34"/>
      <c r="S894" s="42"/>
      <c r="T894" s="34"/>
      <c r="U894" s="42"/>
      <c r="V894" s="34"/>
      <c r="W894" s="42"/>
      <c r="X894" s="34"/>
      <c r="Y894" s="42"/>
      <c r="Z894" s="42"/>
      <c r="AA894" s="36"/>
      <c r="AB894" s="50"/>
      <c r="AC894" s="56" t="str">
        <f>IF(Table1[[#This Row],[Auto Order]]=1,IF(Table1[[#This Row],[In stock]]&lt;Table1[[#This Row],[Min in stock]],1,""),"")</f>
        <v/>
      </c>
    </row>
    <row r="895" spans="1:29" x14ac:dyDescent="0.25">
      <c r="A895" s="60" t="s">
        <v>896</v>
      </c>
      <c r="B895" s="34" t="s">
        <v>713</v>
      </c>
      <c r="C895" s="34" t="s">
        <v>352</v>
      </c>
      <c r="D895" s="34" t="s">
        <v>897</v>
      </c>
      <c r="E895" s="34" t="s">
        <v>559</v>
      </c>
      <c r="F895" s="53">
        <v>0</v>
      </c>
      <c r="G895" s="53"/>
      <c r="H895" s="53"/>
      <c r="I89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RHM56KAHCT-ND</v>
      </c>
      <c r="J89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9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95" s="34" t="s">
        <v>895</v>
      </c>
      <c r="M895" s="42">
        <v>0.18</v>
      </c>
      <c r="N895" s="34"/>
      <c r="O895" s="42"/>
      <c r="P895" s="34"/>
      <c r="Q895" s="42"/>
      <c r="R895" s="34"/>
      <c r="S895" s="42"/>
      <c r="T895" s="34"/>
      <c r="U895" s="42"/>
      <c r="V895" s="34"/>
      <c r="W895" s="42"/>
      <c r="X895" s="34"/>
      <c r="Y895" s="42"/>
      <c r="Z895" s="42"/>
      <c r="AA895" s="36"/>
      <c r="AB895" s="50"/>
      <c r="AC895" s="56" t="str">
        <f>IF(Table1[[#This Row],[Auto Order]]=1,IF(Table1[[#This Row],[In stock]]&lt;Table1[[#This Row],[Min in stock]],1,""),"")</f>
        <v/>
      </c>
    </row>
    <row r="896" spans="1:29" x14ac:dyDescent="0.25">
      <c r="A896" s="60" t="s">
        <v>787</v>
      </c>
      <c r="B896" s="34" t="s">
        <v>713</v>
      </c>
      <c r="C896" s="34" t="s">
        <v>352</v>
      </c>
      <c r="D896" s="34" t="s">
        <v>788</v>
      </c>
      <c r="E896" s="34" t="s">
        <v>559</v>
      </c>
      <c r="F896" s="53">
        <v>0</v>
      </c>
      <c r="G896" s="53"/>
      <c r="H896" s="53"/>
      <c r="I89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RHM560KAHCT-ND</v>
      </c>
      <c r="J89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9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96" s="34" t="s">
        <v>786</v>
      </c>
      <c r="M896" s="42">
        <v>0.18</v>
      </c>
      <c r="N896" s="34"/>
      <c r="O896" s="42"/>
      <c r="P896" s="34"/>
      <c r="Q896" s="42"/>
      <c r="R896" s="34"/>
      <c r="S896" s="42"/>
      <c r="T896" s="34"/>
      <c r="U896" s="42"/>
      <c r="V896" s="34"/>
      <c r="W896" s="42"/>
      <c r="X896" s="34"/>
      <c r="Y896" s="42"/>
      <c r="Z896" s="42"/>
      <c r="AA896" s="36"/>
      <c r="AB896" s="50"/>
      <c r="AC896" s="56" t="str">
        <f>IF(Table1[[#This Row],[Auto Order]]=1,IF(Table1[[#This Row],[In stock]]&lt;Table1[[#This Row],[Min in stock]],1,""),"")</f>
        <v/>
      </c>
    </row>
    <row r="897" spans="1:29" x14ac:dyDescent="0.25">
      <c r="A897" s="60" t="s">
        <v>814</v>
      </c>
      <c r="B897" s="34" t="s">
        <v>713</v>
      </c>
      <c r="C897" s="34" t="s">
        <v>352</v>
      </c>
      <c r="D897" s="34" t="s">
        <v>815</v>
      </c>
      <c r="E897" s="34" t="s">
        <v>559</v>
      </c>
      <c r="F897" s="53">
        <v>0</v>
      </c>
      <c r="G897" s="53"/>
      <c r="H897" s="53"/>
      <c r="I89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RHM5.6MAHCT-ND</v>
      </c>
      <c r="J89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9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97" s="34" t="s">
        <v>813</v>
      </c>
      <c r="M897" s="42">
        <v>0.18</v>
      </c>
      <c r="N897" s="34"/>
      <c r="O897" s="42"/>
      <c r="P897" s="34"/>
      <c r="Q897" s="42"/>
      <c r="R897" s="34"/>
      <c r="S897" s="42"/>
      <c r="T897" s="34"/>
      <c r="U897" s="42"/>
      <c r="V897" s="34"/>
      <c r="W897" s="42"/>
      <c r="X897" s="34"/>
      <c r="Y897" s="42"/>
      <c r="Z897" s="42"/>
      <c r="AA897" s="36"/>
      <c r="AB897" s="50"/>
      <c r="AC897" s="56" t="str">
        <f>IF(Table1[[#This Row],[Auto Order]]=1,IF(Table1[[#This Row],[In stock]]&lt;Table1[[#This Row],[Min in stock]],1,""),"")</f>
        <v/>
      </c>
    </row>
    <row r="898" spans="1:29" x14ac:dyDescent="0.25">
      <c r="A898" s="60" t="s">
        <v>1637</v>
      </c>
      <c r="B898" s="34" t="s">
        <v>713</v>
      </c>
      <c r="C898" s="34" t="s">
        <v>352</v>
      </c>
      <c r="D898" s="34" t="s">
        <v>1638</v>
      </c>
      <c r="E898" s="34" t="s">
        <v>559</v>
      </c>
      <c r="F898" s="53">
        <v>0</v>
      </c>
      <c r="G898" s="53"/>
      <c r="H898" s="53"/>
      <c r="I89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RHM56.2KAHCT-ND</v>
      </c>
      <c r="J89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9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98" s="34" t="s">
        <v>1636</v>
      </c>
      <c r="M898" s="42">
        <v>0.18</v>
      </c>
      <c r="N898" s="34"/>
      <c r="O898" s="42"/>
      <c r="P898" s="34"/>
      <c r="Q898" s="42"/>
      <c r="R898" s="34"/>
      <c r="S898" s="42"/>
      <c r="T898" s="34"/>
      <c r="U898" s="42"/>
      <c r="V898" s="34"/>
      <c r="W898" s="42"/>
      <c r="X898" s="34"/>
      <c r="Y898" s="42"/>
      <c r="Z898" s="42"/>
      <c r="AA898" s="36"/>
      <c r="AB898" s="50"/>
      <c r="AC898" s="56" t="str">
        <f>IF(Table1[[#This Row],[Auto Order]]=1,IF(Table1[[#This Row],[In stock]]&lt;Table1[[#This Row],[Min in stock]],1,""),"")</f>
        <v/>
      </c>
    </row>
    <row r="899" spans="1:29" x14ac:dyDescent="0.25">
      <c r="A899" s="60" t="s">
        <v>899</v>
      </c>
      <c r="B899" s="34" t="s">
        <v>713</v>
      </c>
      <c r="C899" s="34" t="s">
        <v>352</v>
      </c>
      <c r="D899" s="34" t="s">
        <v>900</v>
      </c>
      <c r="E899" s="34" t="s">
        <v>559</v>
      </c>
      <c r="F899" s="53">
        <v>0</v>
      </c>
      <c r="G899" s="53"/>
      <c r="H899" s="53"/>
      <c r="I89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RHM56AHCT-ND</v>
      </c>
      <c r="J89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9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99" s="34" t="s">
        <v>898</v>
      </c>
      <c r="M899" s="42">
        <v>0.18</v>
      </c>
      <c r="N899" s="34"/>
      <c r="O899" s="42"/>
      <c r="P899" s="34"/>
      <c r="Q899" s="42"/>
      <c r="R899" s="34"/>
      <c r="S899" s="42"/>
      <c r="T899" s="34"/>
      <c r="U899" s="42"/>
      <c r="V899" s="34"/>
      <c r="W899" s="42"/>
      <c r="X899" s="34"/>
      <c r="Y899" s="42"/>
      <c r="Z899" s="42"/>
      <c r="AA899" s="36"/>
      <c r="AB899" s="50"/>
      <c r="AC899" s="56" t="str">
        <f>IF(Table1[[#This Row],[Auto Order]]=1,IF(Table1[[#This Row],[In stock]]&lt;Table1[[#This Row],[Min in stock]],1,""),"")</f>
        <v/>
      </c>
    </row>
    <row r="900" spans="1:29" x14ac:dyDescent="0.25">
      <c r="A900" s="60" t="s">
        <v>1014</v>
      </c>
      <c r="B900" s="34" t="s">
        <v>713</v>
      </c>
      <c r="C900" s="34" t="s">
        <v>352</v>
      </c>
      <c r="D900" s="34" t="s">
        <v>1015</v>
      </c>
      <c r="E900" s="34" t="s">
        <v>559</v>
      </c>
      <c r="F900" s="53">
        <v>0</v>
      </c>
      <c r="G900" s="53"/>
      <c r="H900" s="53"/>
      <c r="I90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RHM5.76KAHCT-ND</v>
      </c>
      <c r="J90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0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00" s="34" t="s">
        <v>1013</v>
      </c>
      <c r="M900" s="42">
        <v>0.18</v>
      </c>
      <c r="N900" s="34"/>
      <c r="O900" s="42"/>
      <c r="P900" s="34"/>
      <c r="Q900" s="42"/>
      <c r="R900" s="34"/>
      <c r="S900" s="42"/>
      <c r="T900" s="34"/>
      <c r="U900" s="42"/>
      <c r="V900" s="34"/>
      <c r="W900" s="42"/>
      <c r="X900" s="34"/>
      <c r="Y900" s="42"/>
      <c r="Z900" s="42"/>
      <c r="AA900" s="36"/>
      <c r="AB900" s="50"/>
      <c r="AC900" s="56" t="str">
        <f>IF(Table1[[#This Row],[Auto Order]]=1,IF(Table1[[#This Row],[In stock]]&lt;Table1[[#This Row],[Min in stock]],1,""),"")</f>
        <v/>
      </c>
    </row>
    <row r="901" spans="1:29" x14ac:dyDescent="0.25">
      <c r="A901" s="60" t="s">
        <v>1184</v>
      </c>
      <c r="B901" s="34" t="s">
        <v>713</v>
      </c>
      <c r="C901" s="34" t="s">
        <v>352</v>
      </c>
      <c r="D901" s="34" t="s">
        <v>1185</v>
      </c>
      <c r="E901" s="34" t="s">
        <v>559</v>
      </c>
      <c r="F901" s="53">
        <v>0</v>
      </c>
      <c r="G901" s="53"/>
      <c r="H901" s="53"/>
      <c r="I90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RHM576KAHCT-ND</v>
      </c>
      <c r="J90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0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01" s="34" t="s">
        <v>1183</v>
      </c>
      <c r="M901" s="42">
        <v>0.18</v>
      </c>
      <c r="N901" s="34"/>
      <c r="O901" s="42"/>
      <c r="P901" s="34"/>
      <c r="Q901" s="42"/>
      <c r="R901" s="34"/>
      <c r="S901" s="42"/>
      <c r="T901" s="34"/>
      <c r="U901" s="42"/>
      <c r="V901" s="34"/>
      <c r="W901" s="42"/>
      <c r="X901" s="34"/>
      <c r="Y901" s="42"/>
      <c r="Z901" s="42"/>
      <c r="AA901" s="36"/>
      <c r="AB901" s="50"/>
      <c r="AC901" s="56" t="str">
        <f>IF(Table1[[#This Row],[Auto Order]]=1,IF(Table1[[#This Row],[In stock]]&lt;Table1[[#This Row],[Min in stock]],1,""),"")</f>
        <v/>
      </c>
    </row>
    <row r="902" spans="1:29" x14ac:dyDescent="0.25">
      <c r="A902" s="60" t="s">
        <v>1535</v>
      </c>
      <c r="B902" s="34" t="s">
        <v>713</v>
      </c>
      <c r="C902" s="34" t="s">
        <v>352</v>
      </c>
      <c r="D902" s="34" t="s">
        <v>1536</v>
      </c>
      <c r="E902" s="34" t="s">
        <v>559</v>
      </c>
      <c r="F902" s="53">
        <v>0</v>
      </c>
      <c r="G902" s="53"/>
      <c r="H902" s="53"/>
      <c r="I90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RHM590AHCT-ND</v>
      </c>
      <c r="J90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0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02" s="34" t="s">
        <v>1534</v>
      </c>
      <c r="M902" s="42">
        <v>0.18</v>
      </c>
      <c r="N902" s="34"/>
      <c r="O902" s="42"/>
      <c r="P902" s="34"/>
      <c r="Q902" s="42"/>
      <c r="R902" s="34"/>
      <c r="S902" s="42"/>
      <c r="T902" s="34"/>
      <c r="U902" s="42"/>
      <c r="V902" s="34"/>
      <c r="W902" s="42"/>
      <c r="X902" s="34"/>
      <c r="Y902" s="42"/>
      <c r="Z902" s="42"/>
      <c r="AA902" s="36"/>
      <c r="AB902" s="50"/>
      <c r="AC902" s="56" t="str">
        <f>IF(Table1[[#This Row],[Auto Order]]=1,IF(Table1[[#This Row],[In stock]]&lt;Table1[[#This Row],[Min in stock]],1,""),"")</f>
        <v/>
      </c>
    </row>
    <row r="903" spans="1:29" x14ac:dyDescent="0.25">
      <c r="A903" s="60" t="s">
        <v>1017</v>
      </c>
      <c r="B903" s="34" t="s">
        <v>713</v>
      </c>
      <c r="C903" s="34" t="s">
        <v>352</v>
      </c>
      <c r="D903" s="34" t="s">
        <v>1018</v>
      </c>
      <c r="E903" s="34" t="s">
        <v>559</v>
      </c>
      <c r="F903" s="53">
        <v>0</v>
      </c>
      <c r="G903" s="53"/>
      <c r="H903" s="53"/>
      <c r="I90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RHM59KAHCT-ND</v>
      </c>
      <c r="J90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0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03" s="34" t="s">
        <v>1016</v>
      </c>
      <c r="M903" s="42">
        <v>0.18</v>
      </c>
      <c r="N903" s="34"/>
      <c r="O903" s="42"/>
      <c r="P903" s="34"/>
      <c r="Q903" s="42"/>
      <c r="R903" s="34"/>
      <c r="S903" s="42"/>
      <c r="T903" s="34"/>
      <c r="U903" s="42"/>
      <c r="V903" s="34"/>
      <c r="W903" s="42"/>
      <c r="X903" s="34"/>
      <c r="Y903" s="42"/>
      <c r="Z903" s="42"/>
      <c r="AA903" s="36"/>
      <c r="AB903" s="50"/>
      <c r="AC903" s="56" t="str">
        <f>IF(Table1[[#This Row],[Auto Order]]=1,IF(Table1[[#This Row],[In stock]]&lt;Table1[[#This Row],[Min in stock]],1,""),"")</f>
        <v/>
      </c>
    </row>
    <row r="904" spans="1:29" x14ac:dyDescent="0.25">
      <c r="A904" s="60" t="s">
        <v>1020</v>
      </c>
      <c r="B904" s="34" t="s">
        <v>713</v>
      </c>
      <c r="C904" s="34" t="s">
        <v>352</v>
      </c>
      <c r="D904" s="34" t="s">
        <v>1021</v>
      </c>
      <c r="E904" s="34" t="s">
        <v>559</v>
      </c>
      <c r="F904" s="53">
        <v>0</v>
      </c>
      <c r="G904" s="53"/>
      <c r="H904" s="53"/>
      <c r="I90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RHM590KAHCT-ND</v>
      </c>
      <c r="J90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0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04" s="34" t="s">
        <v>1019</v>
      </c>
      <c r="M904" s="42">
        <v>0.18</v>
      </c>
      <c r="N904" s="34"/>
      <c r="O904" s="42"/>
      <c r="P904" s="34"/>
      <c r="Q904" s="42"/>
      <c r="R904" s="34"/>
      <c r="S904" s="42"/>
      <c r="T904" s="34"/>
      <c r="U904" s="42"/>
      <c r="V904" s="34"/>
      <c r="W904" s="42"/>
      <c r="X904" s="34"/>
      <c r="Y904" s="42"/>
      <c r="Z904" s="42"/>
      <c r="AA904" s="36"/>
      <c r="AB904" s="50"/>
      <c r="AC904" s="56" t="str">
        <f>IF(Table1[[#This Row],[Auto Order]]=1,IF(Table1[[#This Row],[In stock]]&lt;Table1[[#This Row],[Min in stock]],1,""),"")</f>
        <v/>
      </c>
    </row>
    <row r="905" spans="1:29" x14ac:dyDescent="0.25">
      <c r="A905" s="60" t="s">
        <v>1489</v>
      </c>
      <c r="B905" s="34" t="s">
        <v>713</v>
      </c>
      <c r="C905" s="34" t="s">
        <v>352</v>
      </c>
      <c r="D905" s="34" t="s">
        <v>1490</v>
      </c>
      <c r="E905" s="34" t="s">
        <v>559</v>
      </c>
      <c r="F905" s="53">
        <v>0</v>
      </c>
      <c r="G905" s="53"/>
      <c r="H905" s="53"/>
      <c r="I90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RHM5.10AHCT-ND</v>
      </c>
      <c r="J90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0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05" s="34" t="s">
        <v>1488</v>
      </c>
      <c r="M905" s="42">
        <v>0.18</v>
      </c>
      <c r="N905" s="34"/>
      <c r="O905" s="42"/>
      <c r="P905" s="34"/>
      <c r="Q905" s="42"/>
      <c r="R905" s="34"/>
      <c r="S905" s="42"/>
      <c r="T905" s="34"/>
      <c r="U905" s="42"/>
      <c r="V905" s="34"/>
      <c r="W905" s="42"/>
      <c r="X905" s="34"/>
      <c r="Y905" s="42"/>
      <c r="Z905" s="42"/>
      <c r="AA905" s="36"/>
      <c r="AB905" s="50"/>
      <c r="AC905" s="56" t="str">
        <f>IF(Table1[[#This Row],[Auto Order]]=1,IF(Table1[[#This Row],[In stock]]&lt;Table1[[#This Row],[Min in stock]],1,""),"")</f>
        <v/>
      </c>
    </row>
    <row r="906" spans="1:29" x14ac:dyDescent="0.25">
      <c r="A906" s="60" t="s">
        <v>1418</v>
      </c>
      <c r="B906" s="34" t="s">
        <v>713</v>
      </c>
      <c r="C906" s="34" t="s">
        <v>352</v>
      </c>
      <c r="D906" s="34" t="s">
        <v>1419</v>
      </c>
      <c r="E906" s="34" t="s">
        <v>559</v>
      </c>
      <c r="F906" s="53">
        <v>0</v>
      </c>
      <c r="G906" s="53"/>
      <c r="H906" s="53"/>
      <c r="I90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RHM604AHCT-ND</v>
      </c>
      <c r="J90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0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06" s="34" t="s">
        <v>1417</v>
      </c>
      <c r="M906" s="42">
        <v>0.18</v>
      </c>
      <c r="N906" s="34"/>
      <c r="O906" s="42"/>
      <c r="P906" s="34"/>
      <c r="Q906" s="42"/>
      <c r="R906" s="34"/>
      <c r="S906" s="42"/>
      <c r="T906" s="34"/>
      <c r="U906" s="42"/>
      <c r="V906" s="34"/>
      <c r="W906" s="42"/>
      <c r="X906" s="34"/>
      <c r="Y906" s="42"/>
      <c r="Z906" s="42"/>
      <c r="AA906" s="36"/>
      <c r="AB906" s="50"/>
      <c r="AC906" s="56" t="str">
        <f>IF(Table1[[#This Row],[Auto Order]]=1,IF(Table1[[#This Row],[In stock]]&lt;Table1[[#This Row],[Min in stock]],1,""),"")</f>
        <v/>
      </c>
    </row>
    <row r="907" spans="1:29" x14ac:dyDescent="0.25">
      <c r="A907" s="60" t="s">
        <v>1640</v>
      </c>
      <c r="B907" s="34" t="s">
        <v>713</v>
      </c>
      <c r="C907" s="34" t="s">
        <v>352</v>
      </c>
      <c r="D907" s="34" t="s">
        <v>1641</v>
      </c>
      <c r="E907" s="34" t="s">
        <v>559</v>
      </c>
      <c r="F907" s="53">
        <v>0</v>
      </c>
      <c r="G907" s="53"/>
      <c r="H907" s="53"/>
      <c r="I90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RHM6.04KAHCT-ND</v>
      </c>
      <c r="J90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0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07" s="34" t="s">
        <v>1639</v>
      </c>
      <c r="M907" s="42">
        <v>0.18</v>
      </c>
      <c r="N907" s="34"/>
      <c r="O907" s="42"/>
      <c r="P907" s="34"/>
      <c r="Q907" s="42"/>
      <c r="R907" s="34"/>
      <c r="S907" s="42"/>
      <c r="T907" s="34"/>
      <c r="U907" s="42"/>
      <c r="V907" s="34"/>
      <c r="W907" s="42"/>
      <c r="X907" s="34"/>
      <c r="Y907" s="42"/>
      <c r="Z907" s="42"/>
      <c r="AA907" s="36"/>
      <c r="AB907" s="50"/>
      <c r="AC907" s="56" t="str">
        <f>IF(Table1[[#This Row],[Auto Order]]=1,IF(Table1[[#This Row],[In stock]]&lt;Table1[[#This Row],[Min in stock]],1,""),"")</f>
        <v/>
      </c>
    </row>
    <row r="908" spans="1:29" x14ac:dyDescent="0.25">
      <c r="A908" s="60" t="s">
        <v>1097</v>
      </c>
      <c r="B908" s="34" t="s">
        <v>713</v>
      </c>
      <c r="C908" s="34" t="s">
        <v>352</v>
      </c>
      <c r="D908" s="34" t="s">
        <v>1098</v>
      </c>
      <c r="E908" s="34" t="s">
        <v>559</v>
      </c>
      <c r="F908" s="53">
        <v>0</v>
      </c>
      <c r="G908" s="53"/>
      <c r="H908" s="53"/>
      <c r="I90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RHM60.4KAHCT-ND</v>
      </c>
      <c r="J90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0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08" s="34" t="s">
        <v>1096</v>
      </c>
      <c r="M908" s="42">
        <v>0.18</v>
      </c>
      <c r="N908" s="34"/>
      <c r="O908" s="42"/>
      <c r="P908" s="34"/>
      <c r="Q908" s="42"/>
      <c r="R908" s="34"/>
      <c r="S908" s="42"/>
      <c r="T908" s="34"/>
      <c r="U908" s="42"/>
      <c r="V908" s="34"/>
      <c r="W908" s="42"/>
      <c r="X908" s="34"/>
      <c r="Y908" s="42"/>
      <c r="Z908" s="42"/>
      <c r="AA908" s="36"/>
      <c r="AB908" s="50"/>
      <c r="AC908" s="56" t="str">
        <f>IF(Table1[[#This Row],[Auto Order]]=1,IF(Table1[[#This Row],[In stock]]&lt;Table1[[#This Row],[Min in stock]],1,""),"")</f>
        <v/>
      </c>
    </row>
    <row r="909" spans="1:29" x14ac:dyDescent="0.25">
      <c r="A909" s="60" t="s">
        <v>1196</v>
      </c>
      <c r="B909" s="34" t="s">
        <v>713</v>
      </c>
      <c r="C909" s="34" t="s">
        <v>352</v>
      </c>
      <c r="D909" s="34" t="s">
        <v>1197</v>
      </c>
      <c r="E909" s="34" t="s">
        <v>559</v>
      </c>
      <c r="F909" s="53">
        <v>0</v>
      </c>
      <c r="G909" s="53"/>
      <c r="H909" s="53"/>
      <c r="I90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RHM604KAHCT-ND</v>
      </c>
      <c r="J90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0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09" s="34" t="s">
        <v>1195</v>
      </c>
      <c r="M909" s="42">
        <v>0.18</v>
      </c>
      <c r="N909" s="34"/>
      <c r="O909" s="42"/>
      <c r="P909" s="34"/>
      <c r="Q909" s="42"/>
      <c r="R909" s="34"/>
      <c r="S909" s="42"/>
      <c r="T909" s="34"/>
      <c r="U909" s="42"/>
      <c r="V909" s="34"/>
      <c r="W909" s="42"/>
      <c r="X909" s="34"/>
      <c r="Y909" s="42"/>
      <c r="Z909" s="42"/>
      <c r="AA909" s="36"/>
      <c r="AB909" s="50"/>
      <c r="AC909" s="56" t="str">
        <f>IF(Table1[[#This Row],[Auto Order]]=1,IF(Table1[[#This Row],[In stock]]&lt;Table1[[#This Row],[Min in stock]],1,""),"")</f>
        <v/>
      </c>
    </row>
    <row r="910" spans="1:29" x14ac:dyDescent="0.25">
      <c r="A910" s="60" t="s">
        <v>1538</v>
      </c>
      <c r="B910" s="34" t="s">
        <v>713</v>
      </c>
      <c r="C910" s="34" t="s">
        <v>352</v>
      </c>
      <c r="D910" s="34" t="s">
        <v>1539</v>
      </c>
      <c r="E910" s="34" t="s">
        <v>559</v>
      </c>
      <c r="F910" s="53">
        <v>0</v>
      </c>
      <c r="G910" s="53"/>
      <c r="H910" s="53"/>
      <c r="I91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RHM60.4AHCT-ND</v>
      </c>
      <c r="J91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1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10" s="34" t="s">
        <v>1537</v>
      </c>
      <c r="M910" s="42">
        <v>0.18</v>
      </c>
      <c r="N910" s="34"/>
      <c r="O910" s="42"/>
      <c r="P910" s="34"/>
      <c r="Q910" s="42"/>
      <c r="R910" s="34"/>
      <c r="S910" s="42"/>
      <c r="T910" s="34"/>
      <c r="U910" s="42"/>
      <c r="V910" s="34"/>
      <c r="W910" s="42"/>
      <c r="X910" s="34"/>
      <c r="Y910" s="42"/>
      <c r="Z910" s="42"/>
      <c r="AA910" s="36"/>
      <c r="AB910" s="50"/>
      <c r="AC910" s="56" t="str">
        <f>IF(Table1[[#This Row],[Auto Order]]=1,IF(Table1[[#This Row],[In stock]]&lt;Table1[[#This Row],[Min in stock]],1,""),"")</f>
        <v/>
      </c>
    </row>
    <row r="911" spans="1:29" x14ac:dyDescent="0.25">
      <c r="A911" s="60" t="s">
        <v>922</v>
      </c>
      <c r="B911" s="34" t="s">
        <v>713</v>
      </c>
      <c r="C911" s="34" t="s">
        <v>352</v>
      </c>
      <c r="D911" s="34" t="s">
        <v>923</v>
      </c>
      <c r="E911" s="34" t="s">
        <v>559</v>
      </c>
      <c r="F911" s="53">
        <v>0</v>
      </c>
      <c r="G911" s="53"/>
      <c r="H911" s="53"/>
      <c r="I91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RHM619KAHCT-ND</v>
      </c>
      <c r="J91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1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11" s="34" t="s">
        <v>921</v>
      </c>
      <c r="M911" s="42">
        <v>0.18</v>
      </c>
      <c r="N911" s="34"/>
      <c r="O911" s="42"/>
      <c r="P911" s="34"/>
      <c r="Q911" s="42"/>
      <c r="R911" s="34"/>
      <c r="S911" s="42"/>
      <c r="T911" s="34"/>
      <c r="U911" s="42"/>
      <c r="V911" s="34"/>
      <c r="W911" s="42"/>
      <c r="X911" s="34"/>
      <c r="Y911" s="42"/>
      <c r="Z911" s="42"/>
      <c r="AA911" s="36"/>
      <c r="AB911" s="50"/>
      <c r="AC911" s="56" t="str">
        <f>IF(Table1[[#This Row],[Auto Order]]=1,IF(Table1[[#This Row],[In stock]]&lt;Table1[[#This Row],[Min in stock]],1,""),"")</f>
        <v/>
      </c>
    </row>
    <row r="912" spans="1:29" x14ac:dyDescent="0.25">
      <c r="A912" s="60" t="s">
        <v>1721</v>
      </c>
      <c r="B912" s="34" t="s">
        <v>713</v>
      </c>
      <c r="C912" s="34" t="s">
        <v>352</v>
      </c>
      <c r="D912" s="34" t="s">
        <v>1722</v>
      </c>
      <c r="E912" s="34" t="s">
        <v>559</v>
      </c>
      <c r="F912" s="53">
        <v>0</v>
      </c>
      <c r="G912" s="53"/>
      <c r="H912" s="53"/>
      <c r="I91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RHM620AHCT-ND</v>
      </c>
      <c r="J91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1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12" s="34" t="s">
        <v>1720</v>
      </c>
      <c r="M912" s="42">
        <v>0.18</v>
      </c>
      <c r="N912" s="34"/>
      <c r="O912" s="42"/>
      <c r="P912" s="34"/>
      <c r="Q912" s="42"/>
      <c r="R912" s="34"/>
      <c r="S912" s="42"/>
      <c r="T912" s="34"/>
      <c r="U912" s="42"/>
      <c r="V912" s="34"/>
      <c r="W912" s="42"/>
      <c r="X912" s="34"/>
      <c r="Y912" s="42"/>
      <c r="Z912" s="42"/>
      <c r="AA912" s="36"/>
      <c r="AB912" s="50"/>
      <c r="AC912" s="56" t="str">
        <f>IF(Table1[[#This Row],[Auto Order]]=1,IF(Table1[[#This Row],[In stock]]&lt;Table1[[#This Row],[Min in stock]],1,""),"")</f>
        <v/>
      </c>
    </row>
    <row r="913" spans="1:29" x14ac:dyDescent="0.25">
      <c r="A913" s="60" t="s">
        <v>902</v>
      </c>
      <c r="B913" s="34" t="s">
        <v>713</v>
      </c>
      <c r="C913" s="34" t="s">
        <v>352</v>
      </c>
      <c r="D913" s="34" t="s">
        <v>903</v>
      </c>
      <c r="E913" s="34" t="s">
        <v>559</v>
      </c>
      <c r="F913" s="53">
        <v>0</v>
      </c>
      <c r="G913" s="53"/>
      <c r="H913" s="53"/>
      <c r="I91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RHM6.2KAHCT-ND</v>
      </c>
      <c r="J91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1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13" s="34" t="s">
        <v>901</v>
      </c>
      <c r="M913" s="42">
        <v>0.18</v>
      </c>
      <c r="N913" s="34"/>
      <c r="O913" s="42"/>
      <c r="P913" s="34"/>
      <c r="Q913" s="42"/>
      <c r="R913" s="34"/>
      <c r="S913" s="42"/>
      <c r="T913" s="34"/>
      <c r="U913" s="42"/>
      <c r="V913" s="34"/>
      <c r="W913" s="42"/>
      <c r="X913" s="34"/>
      <c r="Y913" s="42"/>
      <c r="Z913" s="42"/>
      <c r="AA913" s="36"/>
      <c r="AB913" s="50"/>
      <c r="AC913" s="56" t="str">
        <f>IF(Table1[[#This Row],[Auto Order]]=1,IF(Table1[[#This Row],[In stock]]&lt;Table1[[#This Row],[Min in stock]],1,""),"")</f>
        <v/>
      </c>
    </row>
    <row r="914" spans="1:29" x14ac:dyDescent="0.25">
      <c r="A914" s="60" t="s">
        <v>1347</v>
      </c>
      <c r="B914" s="34" t="s">
        <v>713</v>
      </c>
      <c r="C914" s="34" t="s">
        <v>352</v>
      </c>
      <c r="D914" s="34" t="s">
        <v>1348</v>
      </c>
      <c r="E914" s="34" t="s">
        <v>559</v>
      </c>
      <c r="F914" s="53">
        <v>0</v>
      </c>
      <c r="G914" s="53"/>
      <c r="H914" s="53"/>
      <c r="I91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RHM62KAHCT-ND</v>
      </c>
      <c r="J91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1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14" s="34" t="s">
        <v>1346</v>
      </c>
      <c r="M914" s="42">
        <v>0.18</v>
      </c>
      <c r="N914" s="34"/>
      <c r="O914" s="42"/>
      <c r="P914" s="34"/>
      <c r="Q914" s="42"/>
      <c r="R914" s="34"/>
      <c r="S914" s="42"/>
      <c r="T914" s="34"/>
      <c r="U914" s="42"/>
      <c r="V914" s="34"/>
      <c r="W914" s="42"/>
      <c r="X914" s="34"/>
      <c r="Y914" s="42"/>
      <c r="Z914" s="42"/>
      <c r="AA914" s="36"/>
      <c r="AB914" s="50"/>
      <c r="AC914" s="56" t="str">
        <f>IF(Table1[[#This Row],[Auto Order]]=1,IF(Table1[[#This Row],[In stock]]&lt;Table1[[#This Row],[Min in stock]],1,""),"")</f>
        <v/>
      </c>
    </row>
    <row r="915" spans="1:29" x14ac:dyDescent="0.25">
      <c r="A915" s="60" t="s">
        <v>835</v>
      </c>
      <c r="B915" s="34" t="s">
        <v>713</v>
      </c>
      <c r="C915" s="34" t="s">
        <v>352</v>
      </c>
      <c r="D915" s="34" t="s">
        <v>836</v>
      </c>
      <c r="E915" s="34" t="s">
        <v>559</v>
      </c>
      <c r="F915" s="53">
        <v>0</v>
      </c>
      <c r="G915" s="53"/>
      <c r="H915" s="53"/>
      <c r="I91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RHM6.20MAHCT-ND</v>
      </c>
      <c r="J91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1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15" s="34" t="s">
        <v>834</v>
      </c>
      <c r="M915" s="42">
        <v>0.18</v>
      </c>
      <c r="N915" s="34"/>
      <c r="O915" s="42"/>
      <c r="P915" s="34"/>
      <c r="Q915" s="42"/>
      <c r="R915" s="34"/>
      <c r="S915" s="42"/>
      <c r="T915" s="34"/>
      <c r="U915" s="42"/>
      <c r="V915" s="34"/>
      <c r="W915" s="42"/>
      <c r="X915" s="34"/>
      <c r="Y915" s="42"/>
      <c r="Z915" s="42"/>
      <c r="AA915" s="36"/>
      <c r="AB915" s="50"/>
      <c r="AC915" s="56" t="str">
        <f>IF(Table1[[#This Row],[Auto Order]]=1,IF(Table1[[#This Row],[In stock]]&lt;Table1[[#This Row],[Min in stock]],1,""),"")</f>
        <v/>
      </c>
    </row>
    <row r="916" spans="1:29" x14ac:dyDescent="0.25">
      <c r="A916" s="60" t="s">
        <v>817</v>
      </c>
      <c r="B916" s="34" t="s">
        <v>713</v>
      </c>
      <c r="C916" s="34" t="s">
        <v>352</v>
      </c>
      <c r="D916" s="34" t="s">
        <v>818</v>
      </c>
      <c r="E916" s="34" t="s">
        <v>559</v>
      </c>
      <c r="F916" s="53">
        <v>0</v>
      </c>
      <c r="G916" s="53"/>
      <c r="H916" s="53"/>
      <c r="I91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RHM62AHCT-ND</v>
      </c>
      <c r="J91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1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16" s="34" t="s">
        <v>816</v>
      </c>
      <c r="M916" s="42">
        <v>0.18</v>
      </c>
      <c r="N916" s="34"/>
      <c r="O916" s="42"/>
      <c r="P916" s="34"/>
      <c r="Q916" s="42"/>
      <c r="R916" s="34"/>
      <c r="S916" s="42"/>
      <c r="T916" s="34"/>
      <c r="U916" s="42"/>
      <c r="V916" s="34"/>
      <c r="W916" s="42"/>
      <c r="X916" s="34"/>
      <c r="Y916" s="42"/>
      <c r="Z916" s="42"/>
      <c r="AA916" s="36"/>
      <c r="AB916" s="50"/>
      <c r="AC916" s="56" t="str">
        <f>IF(Table1[[#This Row],[Auto Order]]=1,IF(Table1[[#This Row],[In stock]]&lt;Table1[[#This Row],[Min in stock]],1,""),"")</f>
        <v/>
      </c>
    </row>
    <row r="917" spans="1:29" x14ac:dyDescent="0.25">
      <c r="A917" s="60" t="s">
        <v>1326</v>
      </c>
      <c r="B917" s="34" t="s">
        <v>713</v>
      </c>
      <c r="C917" s="34" t="s">
        <v>352</v>
      </c>
      <c r="D917" s="34" t="s">
        <v>1327</v>
      </c>
      <c r="E917" s="34" t="s">
        <v>559</v>
      </c>
      <c r="F917" s="53">
        <v>0</v>
      </c>
      <c r="G917" s="53"/>
      <c r="H917" s="53"/>
      <c r="I91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RHM63.4KAHCT-ND</v>
      </c>
      <c r="J91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1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17" s="34" t="s">
        <v>1325</v>
      </c>
      <c r="M917" s="42">
        <v>0.18</v>
      </c>
      <c r="N917" s="34"/>
      <c r="O917" s="42"/>
      <c r="P917" s="34"/>
      <c r="Q917" s="42"/>
      <c r="R917" s="34"/>
      <c r="S917" s="42"/>
      <c r="T917" s="34"/>
      <c r="U917" s="42"/>
      <c r="V917" s="34"/>
      <c r="W917" s="42"/>
      <c r="X917" s="34"/>
      <c r="Y917" s="42"/>
      <c r="Z917" s="42"/>
      <c r="AA917" s="36"/>
      <c r="AB917" s="50"/>
      <c r="AC917" s="56" t="str">
        <f>IF(Table1[[#This Row],[Auto Order]]=1,IF(Table1[[#This Row],[In stock]]&lt;Table1[[#This Row],[Min in stock]],1,""),"")</f>
        <v/>
      </c>
    </row>
    <row r="918" spans="1:29" x14ac:dyDescent="0.25">
      <c r="A918" s="60" t="s">
        <v>1202</v>
      </c>
      <c r="B918" s="34" t="s">
        <v>713</v>
      </c>
      <c r="C918" s="34" t="s">
        <v>352</v>
      </c>
      <c r="D918" s="34" t="s">
        <v>1203</v>
      </c>
      <c r="E918" s="34" t="s">
        <v>559</v>
      </c>
      <c r="F918" s="53">
        <v>0</v>
      </c>
      <c r="G918" s="53"/>
      <c r="H918" s="53"/>
      <c r="I91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RHM6.49KAHCT-ND</v>
      </c>
      <c r="J91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1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18" s="34" t="s">
        <v>1201</v>
      </c>
      <c r="M918" s="42">
        <v>0.18</v>
      </c>
      <c r="N918" s="34"/>
      <c r="O918" s="42"/>
      <c r="P918" s="34"/>
      <c r="Q918" s="42"/>
      <c r="R918" s="34"/>
      <c r="S918" s="42"/>
      <c r="T918" s="34"/>
      <c r="U918" s="42"/>
      <c r="V918" s="34"/>
      <c r="W918" s="42"/>
      <c r="X918" s="34"/>
      <c r="Y918" s="42"/>
      <c r="Z918" s="42"/>
      <c r="AA918" s="36"/>
      <c r="AB918" s="50"/>
      <c r="AC918" s="56" t="str">
        <f>IF(Table1[[#This Row],[Auto Order]]=1,IF(Table1[[#This Row],[In stock]]&lt;Table1[[#This Row],[Min in stock]],1,""),"")</f>
        <v/>
      </c>
    </row>
    <row r="919" spans="1:29" x14ac:dyDescent="0.25">
      <c r="A919" s="60" t="s">
        <v>1643</v>
      </c>
      <c r="B919" s="34" t="s">
        <v>713</v>
      </c>
      <c r="C919" s="34" t="s">
        <v>352</v>
      </c>
      <c r="D919" s="34" t="s">
        <v>1644</v>
      </c>
      <c r="E919" s="34" t="s">
        <v>559</v>
      </c>
      <c r="F919" s="53">
        <v>0</v>
      </c>
      <c r="G919" s="53"/>
      <c r="H919" s="53"/>
      <c r="I91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RHM649KAHCT-ND</v>
      </c>
      <c r="J91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1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19" s="34" t="s">
        <v>1642</v>
      </c>
      <c r="M919" s="42">
        <v>0.18</v>
      </c>
      <c r="N919" s="34"/>
      <c r="O919" s="42"/>
      <c r="P919" s="34"/>
      <c r="Q919" s="42"/>
      <c r="R919" s="34"/>
      <c r="S919" s="42"/>
      <c r="T919" s="34"/>
      <c r="U919" s="42"/>
      <c r="V919" s="34"/>
      <c r="W919" s="42"/>
      <c r="X919" s="34"/>
      <c r="Y919" s="42"/>
      <c r="Z919" s="42"/>
      <c r="AA919" s="36"/>
      <c r="AB919" s="50"/>
      <c r="AC919" s="56" t="str">
        <f>IF(Table1[[#This Row],[Auto Order]]=1,IF(Table1[[#This Row],[In stock]]&lt;Table1[[#This Row],[Min in stock]],1,""),"")</f>
        <v/>
      </c>
    </row>
    <row r="920" spans="1:29" x14ac:dyDescent="0.25">
      <c r="A920" s="60" t="s">
        <v>1163</v>
      </c>
      <c r="B920" s="34" t="s">
        <v>713</v>
      </c>
      <c r="C920" s="34" t="s">
        <v>352</v>
      </c>
      <c r="D920" s="34" t="s">
        <v>1164</v>
      </c>
      <c r="E920" s="34" t="s">
        <v>559</v>
      </c>
      <c r="F920" s="53">
        <v>0</v>
      </c>
      <c r="G920" s="53"/>
      <c r="H920" s="53"/>
      <c r="I92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RHM64.9AHCT-ND</v>
      </c>
      <c r="J92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2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20" s="34" t="s">
        <v>1162</v>
      </c>
      <c r="M920" s="42">
        <v>0.18</v>
      </c>
      <c r="N920" s="34"/>
      <c r="O920" s="42"/>
      <c r="P920" s="34"/>
      <c r="Q920" s="42"/>
      <c r="R920" s="34"/>
      <c r="S920" s="42"/>
      <c r="T920" s="34"/>
      <c r="U920" s="42"/>
      <c r="V920" s="34"/>
      <c r="W920" s="42"/>
      <c r="X920" s="34"/>
      <c r="Y920" s="42"/>
      <c r="Z920" s="42"/>
      <c r="AA920" s="36"/>
      <c r="AB920" s="50"/>
      <c r="AC920" s="56" t="str">
        <f>IF(Table1[[#This Row],[Auto Order]]=1,IF(Table1[[#This Row],[In stock]]&lt;Table1[[#This Row],[Min in stock]],1,""),"")</f>
        <v/>
      </c>
    </row>
    <row r="921" spans="1:29" x14ac:dyDescent="0.25">
      <c r="A921" s="60" t="s">
        <v>1226</v>
      </c>
      <c r="B921" s="34" t="s">
        <v>713</v>
      </c>
      <c r="C921" s="34" t="s">
        <v>352</v>
      </c>
      <c r="D921" s="34" t="s">
        <v>1227</v>
      </c>
      <c r="E921" s="34" t="s">
        <v>559</v>
      </c>
      <c r="F921" s="53">
        <v>0</v>
      </c>
      <c r="G921" s="53"/>
      <c r="H921" s="53"/>
      <c r="I92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RHM665AHCT-ND</v>
      </c>
      <c r="J92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2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21" s="34" t="s">
        <v>1225</v>
      </c>
      <c r="M921" s="42">
        <v>0.18</v>
      </c>
      <c r="N921" s="34"/>
      <c r="O921" s="42"/>
      <c r="P921" s="34"/>
      <c r="Q921" s="42"/>
      <c r="R921" s="34"/>
      <c r="S921" s="42"/>
      <c r="T921" s="34"/>
      <c r="U921" s="42"/>
      <c r="V921" s="34"/>
      <c r="W921" s="42"/>
      <c r="X921" s="34"/>
      <c r="Y921" s="42"/>
      <c r="Z921" s="42"/>
      <c r="AA921" s="36"/>
      <c r="AB921" s="50"/>
      <c r="AC921" s="56" t="str">
        <f>IF(Table1[[#This Row],[Auto Order]]=1,IF(Table1[[#This Row],[In stock]]&lt;Table1[[#This Row],[Min in stock]],1,""),"")</f>
        <v/>
      </c>
    </row>
    <row r="922" spans="1:29" x14ac:dyDescent="0.25">
      <c r="A922" s="60" t="s">
        <v>1223</v>
      </c>
      <c r="B922" s="34" t="s">
        <v>713</v>
      </c>
      <c r="C922" s="34" t="s">
        <v>352</v>
      </c>
      <c r="D922" s="34" t="s">
        <v>1224</v>
      </c>
      <c r="E922" s="34" t="s">
        <v>559</v>
      </c>
      <c r="F922" s="53">
        <v>0</v>
      </c>
      <c r="G922" s="53"/>
      <c r="H922" s="53"/>
      <c r="I92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RHM6.65KAHCT-ND</v>
      </c>
      <c r="J92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2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22" s="34" t="s">
        <v>1222</v>
      </c>
      <c r="M922" s="42">
        <v>0.18</v>
      </c>
      <c r="N922" s="34"/>
      <c r="O922" s="42"/>
      <c r="P922" s="34"/>
      <c r="Q922" s="42"/>
      <c r="R922" s="34"/>
      <c r="S922" s="42"/>
      <c r="T922" s="34"/>
      <c r="U922" s="42"/>
      <c r="V922" s="34"/>
      <c r="W922" s="42"/>
      <c r="X922" s="34"/>
      <c r="Y922" s="42"/>
      <c r="Z922" s="42"/>
      <c r="AA922" s="36"/>
      <c r="AB922" s="50"/>
      <c r="AC922" s="56" t="str">
        <f>IF(Table1[[#This Row],[Auto Order]]=1,IF(Table1[[#This Row],[In stock]]&lt;Table1[[#This Row],[Min in stock]],1,""),"")</f>
        <v/>
      </c>
    </row>
    <row r="923" spans="1:29" x14ac:dyDescent="0.25">
      <c r="A923" s="60" t="s">
        <v>820</v>
      </c>
      <c r="B923" s="34" t="s">
        <v>713</v>
      </c>
      <c r="C923" s="34" t="s">
        <v>352</v>
      </c>
      <c r="D923" s="34" t="s">
        <v>821</v>
      </c>
      <c r="E923" s="34" t="s">
        <v>559</v>
      </c>
      <c r="F923" s="53">
        <v>0</v>
      </c>
      <c r="G923" s="53"/>
      <c r="H923" s="53"/>
      <c r="I92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RHM66.5KAHCT-ND</v>
      </c>
      <c r="J92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2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23" s="34" t="s">
        <v>819</v>
      </c>
      <c r="M923" s="42">
        <v>0.18</v>
      </c>
      <c r="N923" s="34"/>
      <c r="O923" s="42"/>
      <c r="P923" s="34"/>
      <c r="Q923" s="42"/>
      <c r="R923" s="34"/>
      <c r="S923" s="42"/>
      <c r="T923" s="34"/>
      <c r="U923" s="42"/>
      <c r="V923" s="34"/>
      <c r="W923" s="42"/>
      <c r="X923" s="34"/>
      <c r="Y923" s="42"/>
      <c r="Z923" s="42"/>
      <c r="AA923" s="36"/>
      <c r="AB923" s="50"/>
      <c r="AC923" s="56" t="str">
        <f>IF(Table1[[#This Row],[Auto Order]]=1,IF(Table1[[#This Row],[In stock]]&lt;Table1[[#This Row],[Min in stock]],1,""),"")</f>
        <v/>
      </c>
    </row>
    <row r="924" spans="1:29" x14ac:dyDescent="0.25">
      <c r="A924" s="60" t="s">
        <v>1379</v>
      </c>
      <c r="B924" s="34" t="s">
        <v>713</v>
      </c>
      <c r="C924" s="34" t="s">
        <v>352</v>
      </c>
      <c r="D924" s="34" t="s">
        <v>1380</v>
      </c>
      <c r="E924" s="34" t="s">
        <v>559</v>
      </c>
      <c r="F924" s="53">
        <v>0</v>
      </c>
      <c r="G924" s="53"/>
      <c r="H924" s="53"/>
      <c r="I92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RHM665KAHCT-ND</v>
      </c>
      <c r="J92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2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24" s="34" t="s">
        <v>1378</v>
      </c>
      <c r="M924" s="42">
        <v>0.18</v>
      </c>
      <c r="N924" s="34"/>
      <c r="O924" s="42"/>
      <c r="P924" s="34"/>
      <c r="Q924" s="42"/>
      <c r="R924" s="34"/>
      <c r="S924" s="42"/>
      <c r="T924" s="34"/>
      <c r="U924" s="42"/>
      <c r="V924" s="34"/>
      <c r="W924" s="42"/>
      <c r="X924" s="34"/>
      <c r="Y924" s="42"/>
      <c r="Z924" s="42"/>
      <c r="AA924" s="36"/>
      <c r="AB924" s="50"/>
      <c r="AC924" s="56" t="str">
        <f>IF(Table1[[#This Row],[Auto Order]]=1,IF(Table1[[#This Row],[In stock]]&lt;Table1[[#This Row],[Min in stock]],1,""),"")</f>
        <v/>
      </c>
    </row>
    <row r="925" spans="1:29" x14ac:dyDescent="0.25">
      <c r="A925" s="60" t="s">
        <v>763</v>
      </c>
      <c r="B925" s="34" t="s">
        <v>713</v>
      </c>
      <c r="C925" s="34" t="s">
        <v>352</v>
      </c>
      <c r="D925" s="34" t="s">
        <v>764</v>
      </c>
      <c r="E925" s="34" t="s">
        <v>559</v>
      </c>
      <c r="F925" s="53">
        <v>0</v>
      </c>
      <c r="G925" s="53"/>
      <c r="H925" s="53"/>
      <c r="I92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RHM680AHCT-ND</v>
      </c>
      <c r="J92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2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25" s="34" t="s">
        <v>762</v>
      </c>
      <c r="M925" s="42">
        <v>0.18</v>
      </c>
      <c r="N925" s="34"/>
      <c r="O925" s="42"/>
      <c r="P925" s="34"/>
      <c r="Q925" s="42"/>
      <c r="R925" s="34"/>
      <c r="S925" s="42"/>
      <c r="T925" s="34"/>
      <c r="U925" s="42"/>
      <c r="V925" s="34"/>
      <c r="W925" s="42"/>
      <c r="X925" s="34"/>
      <c r="Y925" s="42"/>
      <c r="Z925" s="42"/>
      <c r="AA925" s="36"/>
      <c r="AB925" s="50"/>
      <c r="AC925" s="56" t="str">
        <f>IF(Table1[[#This Row],[Auto Order]]=1,IF(Table1[[#This Row],[In stock]]&lt;Table1[[#This Row],[Min in stock]],1,""),"")</f>
        <v/>
      </c>
    </row>
    <row r="926" spans="1:29" x14ac:dyDescent="0.25">
      <c r="A926" s="60" t="s">
        <v>1456</v>
      </c>
      <c r="B926" s="34" t="s">
        <v>713</v>
      </c>
      <c r="C926" s="34" t="s">
        <v>352</v>
      </c>
      <c r="D926" s="34" t="s">
        <v>1457</v>
      </c>
      <c r="E926" s="34" t="s">
        <v>559</v>
      </c>
      <c r="F926" s="53">
        <v>0</v>
      </c>
      <c r="G926" s="53"/>
      <c r="H926" s="53"/>
      <c r="I92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RHM6.8KAHCT-ND</v>
      </c>
      <c r="J92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2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26" s="34" t="s">
        <v>1455</v>
      </c>
      <c r="M926" s="42">
        <v>0.18</v>
      </c>
      <c r="N926" s="34"/>
      <c r="O926" s="42"/>
      <c r="P926" s="34"/>
      <c r="Q926" s="42"/>
      <c r="R926" s="34"/>
      <c r="S926" s="42"/>
      <c r="T926" s="34"/>
      <c r="U926" s="42"/>
      <c r="V926" s="34"/>
      <c r="W926" s="42"/>
      <c r="X926" s="34"/>
      <c r="Y926" s="42"/>
      <c r="Z926" s="42"/>
      <c r="AA926" s="36"/>
      <c r="AB926" s="50"/>
      <c r="AC926" s="56" t="str">
        <f>IF(Table1[[#This Row],[Auto Order]]=1,IF(Table1[[#This Row],[In stock]]&lt;Table1[[#This Row],[Min in stock]],1,""),"")</f>
        <v/>
      </c>
    </row>
    <row r="927" spans="1:29" x14ac:dyDescent="0.25">
      <c r="A927" s="60" t="s">
        <v>931</v>
      </c>
      <c r="B927" s="34" t="s">
        <v>713</v>
      </c>
      <c r="C927" s="34" t="s">
        <v>352</v>
      </c>
      <c r="D927" s="34" t="s">
        <v>932</v>
      </c>
      <c r="E927" s="34" t="s">
        <v>559</v>
      </c>
      <c r="F927" s="53">
        <v>0</v>
      </c>
      <c r="G927" s="53"/>
      <c r="H927" s="53"/>
      <c r="I92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RHM680KAHCT-ND</v>
      </c>
      <c r="J92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2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27" s="34" t="s">
        <v>930</v>
      </c>
      <c r="M927" s="42">
        <v>0.18</v>
      </c>
      <c r="N927" s="34"/>
      <c r="O927" s="42"/>
      <c r="P927" s="34"/>
      <c r="Q927" s="42"/>
      <c r="R927" s="34"/>
      <c r="S927" s="42"/>
      <c r="T927" s="34"/>
      <c r="U927" s="42"/>
      <c r="V927" s="34"/>
      <c r="W927" s="42"/>
      <c r="X927" s="34"/>
      <c r="Y927" s="42"/>
      <c r="Z927" s="42"/>
      <c r="AA927" s="36"/>
      <c r="AB927" s="50"/>
      <c r="AC927" s="56" t="str">
        <f>IF(Table1[[#This Row],[Auto Order]]=1,IF(Table1[[#This Row],[In stock]]&lt;Table1[[#This Row],[Min in stock]],1,""),"")</f>
        <v/>
      </c>
    </row>
    <row r="928" spans="1:29" x14ac:dyDescent="0.25">
      <c r="A928" s="60" t="s">
        <v>1320</v>
      </c>
      <c r="B928" s="34" t="s">
        <v>713</v>
      </c>
      <c r="C928" s="34" t="s">
        <v>352</v>
      </c>
      <c r="D928" s="34" t="s">
        <v>1321</v>
      </c>
      <c r="E928" s="34" t="s">
        <v>559</v>
      </c>
      <c r="F928" s="53">
        <v>0</v>
      </c>
      <c r="G928" s="53"/>
      <c r="H928" s="53"/>
      <c r="I92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RHM681AHCT-ND</v>
      </c>
      <c r="J92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2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28" s="34" t="s">
        <v>1319</v>
      </c>
      <c r="M928" s="42">
        <v>0.18</v>
      </c>
      <c r="N928" s="34"/>
      <c r="O928" s="42"/>
      <c r="P928" s="34"/>
      <c r="Q928" s="42"/>
      <c r="R928" s="34"/>
      <c r="S928" s="42"/>
      <c r="T928" s="34"/>
      <c r="U928" s="42"/>
      <c r="V928" s="34"/>
      <c r="W928" s="42"/>
      <c r="X928" s="34"/>
      <c r="Y928" s="42"/>
      <c r="Z928" s="42"/>
      <c r="AA928" s="36"/>
      <c r="AB928" s="50"/>
      <c r="AC928" s="56" t="str">
        <f>IF(Table1[[#This Row],[Auto Order]]=1,IF(Table1[[#This Row],[In stock]]&lt;Table1[[#This Row],[Min in stock]],1,""),"")</f>
        <v/>
      </c>
    </row>
    <row r="929" spans="1:29" x14ac:dyDescent="0.25">
      <c r="A929" s="60" t="s">
        <v>1023</v>
      </c>
      <c r="B929" s="34" t="s">
        <v>713</v>
      </c>
      <c r="C929" s="34" t="s">
        <v>352</v>
      </c>
      <c r="D929" s="34" t="s">
        <v>1024</v>
      </c>
      <c r="E929" s="34" t="s">
        <v>559</v>
      </c>
      <c r="F929" s="53">
        <v>0</v>
      </c>
      <c r="G929" s="53"/>
      <c r="H929" s="53"/>
      <c r="I92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RHM6.81KAHCT-ND</v>
      </c>
      <c r="J92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2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29" s="34" t="s">
        <v>1022</v>
      </c>
      <c r="M929" s="42">
        <v>0.18</v>
      </c>
      <c r="N929" s="34"/>
      <c r="O929" s="42"/>
      <c r="P929" s="34"/>
      <c r="Q929" s="42"/>
      <c r="R929" s="34"/>
      <c r="S929" s="42"/>
      <c r="T929" s="34"/>
      <c r="U929" s="42"/>
      <c r="V929" s="34"/>
      <c r="W929" s="42"/>
      <c r="X929" s="34"/>
      <c r="Y929" s="42"/>
      <c r="Z929" s="42"/>
      <c r="AA929" s="36"/>
      <c r="AB929" s="50"/>
      <c r="AC929" s="56" t="str">
        <f>IF(Table1[[#This Row],[Auto Order]]=1,IF(Table1[[#This Row],[In stock]]&lt;Table1[[#This Row],[Min in stock]],1,""),"")</f>
        <v/>
      </c>
    </row>
    <row r="930" spans="1:29" x14ac:dyDescent="0.25">
      <c r="A930" s="60" t="s">
        <v>905</v>
      </c>
      <c r="B930" s="34" t="s">
        <v>713</v>
      </c>
      <c r="C930" s="34" t="s">
        <v>352</v>
      </c>
      <c r="D930" s="34" t="s">
        <v>906</v>
      </c>
      <c r="E930" s="34" t="s">
        <v>559</v>
      </c>
      <c r="F930" s="53">
        <v>0</v>
      </c>
      <c r="G930" s="53"/>
      <c r="H930" s="53"/>
      <c r="I93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RHM68AHCT-ND</v>
      </c>
      <c r="J93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3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30" s="34" t="s">
        <v>904</v>
      </c>
      <c r="M930" s="42">
        <v>0.18</v>
      </c>
      <c r="N930" s="34"/>
      <c r="O930" s="42"/>
      <c r="P930" s="34"/>
      <c r="Q930" s="42"/>
      <c r="R930" s="34"/>
      <c r="S930" s="42"/>
      <c r="T930" s="34"/>
      <c r="U930" s="42"/>
      <c r="V930" s="34"/>
      <c r="W930" s="42"/>
      <c r="X930" s="34"/>
      <c r="Y930" s="42"/>
      <c r="Z930" s="42"/>
      <c r="AA930" s="36"/>
      <c r="AB930" s="50"/>
      <c r="AC930" s="56" t="str">
        <f>IF(Table1[[#This Row],[Auto Order]]=1,IF(Table1[[#This Row],[In stock]]&lt;Table1[[#This Row],[Min in stock]],1,""),"")</f>
        <v/>
      </c>
    </row>
    <row r="931" spans="1:29" x14ac:dyDescent="0.25">
      <c r="A931" s="60" t="s">
        <v>1694</v>
      </c>
      <c r="B931" s="34" t="s">
        <v>713</v>
      </c>
      <c r="C931" s="34" t="s">
        <v>352</v>
      </c>
      <c r="D931" s="34" t="s">
        <v>1695</v>
      </c>
      <c r="E931" s="34" t="s">
        <v>559</v>
      </c>
      <c r="F931" s="53">
        <v>0</v>
      </c>
      <c r="G931" s="53"/>
      <c r="H931" s="53"/>
      <c r="I93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RHM698AHCT-ND</v>
      </c>
      <c r="J93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3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31" s="34" t="s">
        <v>1693</v>
      </c>
      <c r="M931" s="42">
        <v>0.18</v>
      </c>
      <c r="N931" s="34"/>
      <c r="O931" s="42"/>
      <c r="P931" s="34"/>
      <c r="Q931" s="42"/>
      <c r="R931" s="34"/>
      <c r="S931" s="42"/>
      <c r="T931" s="34"/>
      <c r="U931" s="42"/>
      <c r="V931" s="34"/>
      <c r="W931" s="42"/>
      <c r="X931" s="34"/>
      <c r="Y931" s="42"/>
      <c r="Z931" s="42"/>
      <c r="AA931" s="36"/>
      <c r="AB931" s="50"/>
      <c r="AC931" s="56" t="str">
        <f>IF(Table1[[#This Row],[Auto Order]]=1,IF(Table1[[#This Row],[In stock]]&lt;Table1[[#This Row],[Min in stock]],1,""),"")</f>
        <v/>
      </c>
    </row>
    <row r="932" spans="1:29" x14ac:dyDescent="0.25">
      <c r="A932" s="60" t="s">
        <v>1646</v>
      </c>
      <c r="B932" s="34" t="s">
        <v>713</v>
      </c>
      <c r="C932" s="34" t="s">
        <v>352</v>
      </c>
      <c r="D932" s="34" t="s">
        <v>1647</v>
      </c>
      <c r="E932" s="34" t="s">
        <v>559</v>
      </c>
      <c r="F932" s="53">
        <v>0</v>
      </c>
      <c r="G932" s="53"/>
      <c r="H932" s="53"/>
      <c r="I93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RHM69.8AHCT-ND</v>
      </c>
      <c r="J93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3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32" s="34" t="s">
        <v>1645</v>
      </c>
      <c r="M932" s="42">
        <v>0.18</v>
      </c>
      <c r="N932" s="34"/>
      <c r="O932" s="42"/>
      <c r="P932" s="34"/>
      <c r="Q932" s="42"/>
      <c r="R932" s="34"/>
      <c r="S932" s="42"/>
      <c r="T932" s="34"/>
      <c r="U932" s="42"/>
      <c r="V932" s="34"/>
      <c r="W932" s="42"/>
      <c r="X932" s="34"/>
      <c r="Y932" s="42"/>
      <c r="Z932" s="42"/>
      <c r="AA932" s="36"/>
      <c r="AB932" s="50"/>
      <c r="AC932" s="56" t="str">
        <f>IF(Table1[[#This Row],[Auto Order]]=1,IF(Table1[[#This Row],[In stock]]&lt;Table1[[#This Row],[Min in stock]],1,""),"")</f>
        <v/>
      </c>
    </row>
    <row r="933" spans="1:29" x14ac:dyDescent="0.25">
      <c r="A933" s="60" t="s">
        <v>1341</v>
      </c>
      <c r="B933" s="34" t="s">
        <v>713</v>
      </c>
      <c r="C933" s="34" t="s">
        <v>352</v>
      </c>
      <c r="D933" s="34" t="s">
        <v>1342</v>
      </c>
      <c r="E933" s="34" t="s">
        <v>559</v>
      </c>
      <c r="F933" s="53">
        <v>0</v>
      </c>
      <c r="G933" s="53"/>
      <c r="H933" s="53"/>
      <c r="I93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RHM7.15KAHCT-ND</v>
      </c>
      <c r="J93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3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33" s="34" t="s">
        <v>1340</v>
      </c>
      <c r="M933" s="42">
        <v>0.18</v>
      </c>
      <c r="N933" s="34"/>
      <c r="O933" s="42"/>
      <c r="P933" s="34"/>
      <c r="Q933" s="42"/>
      <c r="R933" s="34"/>
      <c r="S933" s="42"/>
      <c r="T933" s="34"/>
      <c r="U933" s="42"/>
      <c r="V933" s="34"/>
      <c r="W933" s="42"/>
      <c r="X933" s="34"/>
      <c r="Y933" s="42"/>
      <c r="Z933" s="42"/>
      <c r="AA933" s="36"/>
      <c r="AB933" s="50"/>
      <c r="AC933" s="56" t="str">
        <f>IF(Table1[[#This Row],[Auto Order]]=1,IF(Table1[[#This Row],[In stock]]&lt;Table1[[#This Row],[Min in stock]],1,""),"")</f>
        <v/>
      </c>
    </row>
    <row r="934" spans="1:29" x14ac:dyDescent="0.25">
      <c r="A934" s="60" t="s">
        <v>1026</v>
      </c>
      <c r="B934" s="34" t="s">
        <v>713</v>
      </c>
      <c r="C934" s="34" t="s">
        <v>352</v>
      </c>
      <c r="D934" s="34" t="s">
        <v>1027</v>
      </c>
      <c r="E934" s="34" t="s">
        <v>559</v>
      </c>
      <c r="F934" s="53">
        <v>0</v>
      </c>
      <c r="G934" s="53"/>
      <c r="H934" s="53"/>
      <c r="I93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RHM715KAHCT-ND</v>
      </c>
      <c r="J93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3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34" s="34" t="s">
        <v>1025</v>
      </c>
      <c r="M934" s="42">
        <v>0.18</v>
      </c>
      <c r="N934" s="34"/>
      <c r="O934" s="42"/>
      <c r="P934" s="34"/>
      <c r="Q934" s="42"/>
      <c r="R934" s="34"/>
      <c r="S934" s="42"/>
      <c r="T934" s="34"/>
      <c r="U934" s="42"/>
      <c r="V934" s="34"/>
      <c r="W934" s="42"/>
      <c r="X934" s="34"/>
      <c r="Y934" s="42"/>
      <c r="Z934" s="42"/>
      <c r="AA934" s="36"/>
      <c r="AB934" s="50"/>
      <c r="AC934" s="56" t="str">
        <f>IF(Table1[[#This Row],[Auto Order]]=1,IF(Table1[[#This Row],[In stock]]&lt;Table1[[#This Row],[Min in stock]],1,""),"")</f>
        <v/>
      </c>
    </row>
    <row r="935" spans="1:29" x14ac:dyDescent="0.25">
      <c r="A935" s="60" t="s">
        <v>1121</v>
      </c>
      <c r="B935" s="34" t="s">
        <v>713</v>
      </c>
      <c r="C935" s="34" t="s">
        <v>352</v>
      </c>
      <c r="D935" s="34" t="s">
        <v>1122</v>
      </c>
      <c r="E935" s="34" t="s">
        <v>559</v>
      </c>
      <c r="F935" s="53">
        <v>0</v>
      </c>
      <c r="G935" s="53"/>
      <c r="H935" s="53"/>
      <c r="I93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RHM71.5AHCT-ND</v>
      </c>
      <c r="J93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3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35" s="34" t="s">
        <v>1120</v>
      </c>
      <c r="M935" s="42">
        <v>0.18</v>
      </c>
      <c r="N935" s="34"/>
      <c r="O935" s="42"/>
      <c r="P935" s="34"/>
      <c r="Q935" s="42"/>
      <c r="R935" s="34"/>
      <c r="S935" s="42"/>
      <c r="T935" s="34"/>
      <c r="U935" s="42"/>
      <c r="V935" s="34"/>
      <c r="W935" s="42"/>
      <c r="X935" s="34"/>
      <c r="Y935" s="42"/>
      <c r="Z935" s="42"/>
      <c r="AA935" s="36"/>
      <c r="AB935" s="50"/>
      <c r="AC935" s="56" t="str">
        <f>IF(Table1[[#This Row],[Auto Order]]=1,IF(Table1[[#This Row],[In stock]]&lt;Table1[[#This Row],[Min in stock]],1,""),"")</f>
        <v/>
      </c>
    </row>
    <row r="936" spans="1:29" x14ac:dyDescent="0.25">
      <c r="A936" s="60" t="s">
        <v>1329</v>
      </c>
      <c r="B936" s="34" t="s">
        <v>713</v>
      </c>
      <c r="C936" s="34" t="s">
        <v>352</v>
      </c>
      <c r="D936" s="34" t="s">
        <v>1330</v>
      </c>
      <c r="E936" s="34" t="s">
        <v>559</v>
      </c>
      <c r="F936" s="53">
        <v>0</v>
      </c>
      <c r="G936" s="53"/>
      <c r="H936" s="53"/>
      <c r="I93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RHM732AHCT-ND</v>
      </c>
      <c r="J93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3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36" s="34" t="s">
        <v>1328</v>
      </c>
      <c r="M936" s="42">
        <v>0.18</v>
      </c>
      <c r="N936" s="34"/>
      <c r="O936" s="42"/>
      <c r="P936" s="34"/>
      <c r="Q936" s="42"/>
      <c r="R936" s="34"/>
      <c r="S936" s="42"/>
      <c r="T936" s="34"/>
      <c r="U936" s="42"/>
      <c r="V936" s="34"/>
      <c r="W936" s="42"/>
      <c r="X936" s="34"/>
      <c r="Y936" s="42"/>
      <c r="Z936" s="42"/>
      <c r="AA936" s="36"/>
      <c r="AB936" s="50"/>
      <c r="AC936" s="56" t="str">
        <f>IF(Table1[[#This Row],[Auto Order]]=1,IF(Table1[[#This Row],[In stock]]&lt;Table1[[#This Row],[Min in stock]],1,""),"")</f>
        <v/>
      </c>
    </row>
    <row r="937" spans="1:29" x14ac:dyDescent="0.25">
      <c r="A937" s="60" t="s">
        <v>1029</v>
      </c>
      <c r="B937" s="34" t="s">
        <v>713</v>
      </c>
      <c r="C937" s="34" t="s">
        <v>352</v>
      </c>
      <c r="D937" s="34" t="s">
        <v>1030</v>
      </c>
      <c r="E937" s="34" t="s">
        <v>559</v>
      </c>
      <c r="F937" s="53">
        <v>0</v>
      </c>
      <c r="G937" s="53"/>
      <c r="H937" s="53"/>
      <c r="I93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RHM732KAHCT-ND</v>
      </c>
      <c r="J93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3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37" s="34" t="s">
        <v>1028</v>
      </c>
      <c r="M937" s="42">
        <v>0.18</v>
      </c>
      <c r="N937" s="34"/>
      <c r="O937" s="42"/>
      <c r="P937" s="34"/>
      <c r="Q937" s="42"/>
      <c r="R937" s="34"/>
      <c r="S937" s="42"/>
      <c r="T937" s="34"/>
      <c r="U937" s="42"/>
      <c r="V937" s="34"/>
      <c r="W937" s="42"/>
      <c r="X937" s="34"/>
      <c r="Y937" s="42"/>
      <c r="Z937" s="42"/>
      <c r="AA937" s="36"/>
      <c r="AB937" s="50"/>
      <c r="AC937" s="56" t="str">
        <f>IF(Table1[[#This Row],[Auto Order]]=1,IF(Table1[[#This Row],[In stock]]&lt;Table1[[#This Row],[Min in stock]],1,""),"")</f>
        <v/>
      </c>
    </row>
    <row r="938" spans="1:29" x14ac:dyDescent="0.25">
      <c r="A938" s="60" t="s">
        <v>1649</v>
      </c>
      <c r="B938" s="34" t="s">
        <v>713</v>
      </c>
      <c r="C938" s="34" t="s">
        <v>352</v>
      </c>
      <c r="D938" s="34" t="s">
        <v>1650</v>
      </c>
      <c r="E938" s="34" t="s">
        <v>559</v>
      </c>
      <c r="F938" s="53">
        <v>0</v>
      </c>
      <c r="G938" s="53"/>
      <c r="H938" s="53"/>
      <c r="I93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RHM7.5KAHCT-ND</v>
      </c>
      <c r="J93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3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38" s="34" t="s">
        <v>1648</v>
      </c>
      <c r="M938" s="42">
        <v>0.18</v>
      </c>
      <c r="N938" s="34"/>
      <c r="O938" s="42"/>
      <c r="P938" s="34"/>
      <c r="Q938" s="42"/>
      <c r="R938" s="34"/>
      <c r="S938" s="42"/>
      <c r="T938" s="34"/>
      <c r="U938" s="42"/>
      <c r="V938" s="34"/>
      <c r="W938" s="42"/>
      <c r="X938" s="34"/>
      <c r="Y938" s="42"/>
      <c r="Z938" s="42"/>
      <c r="AA938" s="36"/>
      <c r="AB938" s="50"/>
      <c r="AC938" s="56" t="str">
        <f>IF(Table1[[#This Row],[Auto Order]]=1,IF(Table1[[#This Row],[In stock]]&lt;Table1[[#This Row],[Min in stock]],1,""),"")</f>
        <v/>
      </c>
    </row>
    <row r="939" spans="1:29" x14ac:dyDescent="0.25">
      <c r="A939" s="60" t="s">
        <v>908</v>
      </c>
      <c r="B939" s="34" t="s">
        <v>713</v>
      </c>
      <c r="C939" s="34" t="s">
        <v>352</v>
      </c>
      <c r="D939" s="34" t="s">
        <v>909</v>
      </c>
      <c r="E939" s="34" t="s">
        <v>559</v>
      </c>
      <c r="F939" s="53">
        <v>0</v>
      </c>
      <c r="G939" s="53"/>
      <c r="H939" s="53"/>
      <c r="I93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RHM75KAHCT-ND</v>
      </c>
      <c r="J93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3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39" s="34" t="s">
        <v>907</v>
      </c>
      <c r="M939" s="42">
        <v>0.18</v>
      </c>
      <c r="N939" s="34"/>
      <c r="O939" s="42"/>
      <c r="P939" s="34"/>
      <c r="Q939" s="42"/>
      <c r="R939" s="34"/>
      <c r="S939" s="42"/>
      <c r="T939" s="34"/>
      <c r="U939" s="42"/>
      <c r="V939" s="34"/>
      <c r="W939" s="42"/>
      <c r="X939" s="34"/>
      <c r="Y939" s="42"/>
      <c r="Z939" s="42"/>
      <c r="AA939" s="36"/>
      <c r="AB939" s="50"/>
      <c r="AC939" s="56" t="str">
        <f>IF(Table1[[#This Row],[Auto Order]]=1,IF(Table1[[#This Row],[In stock]]&lt;Table1[[#This Row],[Min in stock]],1,""),"")</f>
        <v/>
      </c>
    </row>
    <row r="940" spans="1:29" x14ac:dyDescent="0.25">
      <c r="A940" s="60" t="s">
        <v>911</v>
      </c>
      <c r="B940" s="34" t="s">
        <v>713</v>
      </c>
      <c r="C940" s="34" t="s">
        <v>352</v>
      </c>
      <c r="D940" s="34" t="s">
        <v>912</v>
      </c>
      <c r="E940" s="34" t="s">
        <v>559</v>
      </c>
      <c r="F940" s="53">
        <v>0</v>
      </c>
      <c r="G940" s="53"/>
      <c r="H940" s="53"/>
      <c r="I94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RHM750KAHCT-ND</v>
      </c>
      <c r="J94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4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40" s="34" t="s">
        <v>910</v>
      </c>
      <c r="M940" s="42">
        <v>0.18</v>
      </c>
      <c r="N940" s="34"/>
      <c r="O940" s="42"/>
      <c r="P940" s="34"/>
      <c r="Q940" s="42"/>
      <c r="R940" s="34"/>
      <c r="S940" s="42"/>
      <c r="T940" s="34"/>
      <c r="U940" s="42"/>
      <c r="V940" s="34"/>
      <c r="W940" s="42"/>
      <c r="X940" s="34"/>
      <c r="Y940" s="42"/>
      <c r="Z940" s="42"/>
      <c r="AA940" s="36"/>
      <c r="AB940" s="50"/>
      <c r="AC940" s="56" t="str">
        <f>IF(Table1[[#This Row],[Auto Order]]=1,IF(Table1[[#This Row],[In stock]]&lt;Table1[[#This Row],[Min in stock]],1,""),"")</f>
        <v/>
      </c>
    </row>
    <row r="941" spans="1:29" x14ac:dyDescent="0.25">
      <c r="A941" s="60" t="s">
        <v>1756</v>
      </c>
      <c r="B941" s="34" t="s">
        <v>713</v>
      </c>
      <c r="C941" s="34" t="s">
        <v>352</v>
      </c>
      <c r="D941" s="34" t="s">
        <v>1757</v>
      </c>
      <c r="E941" s="34" t="s">
        <v>559</v>
      </c>
      <c r="F941" s="53">
        <v>0</v>
      </c>
      <c r="G941" s="53"/>
      <c r="H941" s="53"/>
      <c r="I94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RHM7.5MAHCT-ND</v>
      </c>
      <c r="J94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4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41" s="34" t="s">
        <v>1755</v>
      </c>
      <c r="M941" s="42">
        <v>0.18</v>
      </c>
      <c r="N941" s="34"/>
      <c r="O941" s="42"/>
      <c r="P941" s="34"/>
      <c r="Q941" s="42"/>
      <c r="R941" s="34"/>
      <c r="S941" s="42"/>
      <c r="T941" s="34"/>
      <c r="U941" s="42"/>
      <c r="V941" s="34"/>
      <c r="W941" s="42"/>
      <c r="X941" s="34"/>
      <c r="Y941" s="42"/>
      <c r="Z941" s="42"/>
      <c r="AA941" s="36"/>
      <c r="AB941" s="50"/>
      <c r="AC941" s="56" t="str">
        <f>IF(Table1[[#This Row],[Auto Order]]=1,IF(Table1[[#This Row],[In stock]]&lt;Table1[[#This Row],[Min in stock]],1,""),"")</f>
        <v/>
      </c>
    </row>
    <row r="942" spans="1:29" x14ac:dyDescent="0.25">
      <c r="A942" s="60" t="s">
        <v>1032</v>
      </c>
      <c r="B942" s="34" t="s">
        <v>713</v>
      </c>
      <c r="C942" s="34" t="s">
        <v>352</v>
      </c>
      <c r="D942" s="34" t="s">
        <v>1033</v>
      </c>
      <c r="E942" s="34" t="s">
        <v>559</v>
      </c>
      <c r="F942" s="53">
        <v>0</v>
      </c>
      <c r="G942" s="53"/>
      <c r="H942" s="53"/>
      <c r="I94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RHM75AHCT-ND</v>
      </c>
      <c r="J94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4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42" s="34" t="s">
        <v>1031</v>
      </c>
      <c r="M942" s="42">
        <v>0.18</v>
      </c>
      <c r="N942" s="34"/>
      <c r="O942" s="42"/>
      <c r="P942" s="34"/>
      <c r="Q942" s="42"/>
      <c r="R942" s="34"/>
      <c r="S942" s="42"/>
      <c r="T942" s="34"/>
      <c r="U942" s="42"/>
      <c r="V942" s="34"/>
      <c r="W942" s="42"/>
      <c r="X942" s="34"/>
      <c r="Y942" s="42"/>
      <c r="Z942" s="42"/>
      <c r="AA942" s="36"/>
      <c r="AB942" s="50"/>
      <c r="AC942" s="56" t="str">
        <f>IF(Table1[[#This Row],[Auto Order]]=1,IF(Table1[[#This Row],[In stock]]&lt;Table1[[#This Row],[Min in stock]],1,""),"")</f>
        <v/>
      </c>
    </row>
    <row r="943" spans="1:29" x14ac:dyDescent="0.25">
      <c r="A943" s="60" t="s">
        <v>1035</v>
      </c>
      <c r="B943" s="34" t="s">
        <v>713</v>
      </c>
      <c r="C943" s="34" t="s">
        <v>352</v>
      </c>
      <c r="D943" s="34" t="s">
        <v>1036</v>
      </c>
      <c r="E943" s="34" t="s">
        <v>559</v>
      </c>
      <c r="F943" s="53">
        <v>0</v>
      </c>
      <c r="G943" s="53"/>
      <c r="H943" s="53"/>
      <c r="I94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RHM7.87KAHCT-ND</v>
      </c>
      <c r="J94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4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43" s="34" t="s">
        <v>1034</v>
      </c>
      <c r="M943" s="42">
        <v>0.18</v>
      </c>
      <c r="N943" s="34"/>
      <c r="O943" s="42"/>
      <c r="P943" s="34"/>
      <c r="Q943" s="42"/>
      <c r="R943" s="34"/>
      <c r="S943" s="42"/>
      <c r="T943" s="34"/>
      <c r="U943" s="42"/>
      <c r="V943" s="34"/>
      <c r="W943" s="42"/>
      <c r="X943" s="34"/>
      <c r="Y943" s="42"/>
      <c r="Z943" s="42"/>
      <c r="AA943" s="36"/>
      <c r="AB943" s="50"/>
      <c r="AC943" s="56" t="str">
        <f>IF(Table1[[#This Row],[Auto Order]]=1,IF(Table1[[#This Row],[In stock]]&lt;Table1[[#This Row],[Min in stock]],1,""),"")</f>
        <v/>
      </c>
    </row>
    <row r="944" spans="1:29" x14ac:dyDescent="0.25">
      <c r="A944" s="60" t="s">
        <v>1652</v>
      </c>
      <c r="B944" s="34" t="s">
        <v>713</v>
      </c>
      <c r="C944" s="34" t="s">
        <v>352</v>
      </c>
      <c r="D944" s="34" t="s">
        <v>1653</v>
      </c>
      <c r="E944" s="34" t="s">
        <v>559</v>
      </c>
      <c r="F944" s="53">
        <v>0</v>
      </c>
      <c r="G944" s="53"/>
      <c r="H944" s="53"/>
      <c r="I94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RHM78.7KAHCT-ND</v>
      </c>
      <c r="J94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4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44" s="34" t="s">
        <v>1651</v>
      </c>
      <c r="M944" s="42">
        <v>0.18</v>
      </c>
      <c r="N944" s="34"/>
      <c r="O944" s="42"/>
      <c r="P944" s="34"/>
      <c r="Q944" s="42"/>
      <c r="R944" s="34"/>
      <c r="S944" s="42"/>
      <c r="T944" s="34"/>
      <c r="U944" s="42"/>
      <c r="V944" s="34"/>
      <c r="W944" s="42"/>
      <c r="X944" s="34"/>
      <c r="Y944" s="42"/>
      <c r="Z944" s="42"/>
      <c r="AA944" s="36"/>
      <c r="AB944" s="50"/>
      <c r="AC944" s="56" t="str">
        <f>IF(Table1[[#This Row],[Auto Order]]=1,IF(Table1[[#This Row],[In stock]]&lt;Table1[[#This Row],[Min in stock]],1,""),"")</f>
        <v/>
      </c>
    </row>
    <row r="945" spans="1:29" x14ac:dyDescent="0.25">
      <c r="A945" s="60" t="s">
        <v>1305</v>
      </c>
      <c r="B945" s="34" t="s">
        <v>713</v>
      </c>
      <c r="C945" s="34" t="s">
        <v>352</v>
      </c>
      <c r="D945" s="34" t="s">
        <v>1306</v>
      </c>
      <c r="E945" s="34" t="s">
        <v>559</v>
      </c>
      <c r="F945" s="53">
        <v>0</v>
      </c>
      <c r="G945" s="53"/>
      <c r="H945" s="53"/>
      <c r="I94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RHM787KAHCT-ND</v>
      </c>
      <c r="J94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4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45" s="34" t="s">
        <v>1304</v>
      </c>
      <c r="M945" s="42">
        <v>0.18</v>
      </c>
      <c r="N945" s="34"/>
      <c r="O945" s="42"/>
      <c r="P945" s="34"/>
      <c r="Q945" s="42"/>
      <c r="R945" s="34"/>
      <c r="S945" s="42"/>
      <c r="T945" s="34"/>
      <c r="U945" s="42"/>
      <c r="V945" s="34"/>
      <c r="W945" s="42"/>
      <c r="X945" s="34"/>
      <c r="Y945" s="42"/>
      <c r="Z945" s="42"/>
      <c r="AA945" s="36"/>
      <c r="AB945" s="50"/>
      <c r="AC945" s="56" t="str">
        <f>IF(Table1[[#This Row],[Auto Order]]=1,IF(Table1[[#This Row],[In stock]]&lt;Table1[[#This Row],[Min in stock]],1,""),"")</f>
        <v/>
      </c>
    </row>
    <row r="946" spans="1:29" x14ac:dyDescent="0.25">
      <c r="A946" s="60" t="s">
        <v>1115</v>
      </c>
      <c r="B946" s="34" t="s">
        <v>713</v>
      </c>
      <c r="C946" s="34" t="s">
        <v>352</v>
      </c>
      <c r="D946" s="34" t="s">
        <v>1116</v>
      </c>
      <c r="E946" s="34" t="s">
        <v>559</v>
      </c>
      <c r="F946" s="53">
        <v>0</v>
      </c>
      <c r="G946" s="53"/>
      <c r="H946" s="53"/>
      <c r="I94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RHM806AHCT-ND</v>
      </c>
      <c r="J94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4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46" s="34" t="s">
        <v>1114</v>
      </c>
      <c r="M946" s="42">
        <v>0.18</v>
      </c>
      <c r="N946" s="34"/>
      <c r="O946" s="42"/>
      <c r="P946" s="34"/>
      <c r="Q946" s="42"/>
      <c r="R946" s="34"/>
      <c r="S946" s="42"/>
      <c r="T946" s="34"/>
      <c r="U946" s="42"/>
      <c r="V946" s="34"/>
      <c r="W946" s="42"/>
      <c r="X946" s="34"/>
      <c r="Y946" s="42"/>
      <c r="Z946" s="42"/>
      <c r="AA946" s="36"/>
      <c r="AB946" s="50"/>
      <c r="AC946" s="56" t="str">
        <f>IF(Table1[[#This Row],[Auto Order]]=1,IF(Table1[[#This Row],[In stock]]&lt;Table1[[#This Row],[Min in stock]],1,""),"")</f>
        <v/>
      </c>
    </row>
    <row r="947" spans="1:29" x14ac:dyDescent="0.25">
      <c r="A947" s="60" t="s">
        <v>1655</v>
      </c>
      <c r="B947" s="34" t="s">
        <v>713</v>
      </c>
      <c r="C947" s="34" t="s">
        <v>352</v>
      </c>
      <c r="D947" s="34" t="s">
        <v>1656</v>
      </c>
      <c r="E947" s="34" t="s">
        <v>559</v>
      </c>
      <c r="F947" s="53">
        <v>0</v>
      </c>
      <c r="G947" s="53"/>
      <c r="H947" s="53"/>
      <c r="I94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RHM8.06KAHCT-ND</v>
      </c>
      <c r="J94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4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47" s="34" t="s">
        <v>1654</v>
      </c>
      <c r="M947" s="42">
        <v>0.18</v>
      </c>
      <c r="N947" s="34"/>
      <c r="O947" s="42"/>
      <c r="P947" s="34"/>
      <c r="Q947" s="42"/>
      <c r="R947" s="34"/>
      <c r="S947" s="42"/>
      <c r="T947" s="34"/>
      <c r="U947" s="42"/>
      <c r="V947" s="34"/>
      <c r="W947" s="42"/>
      <c r="X947" s="34"/>
      <c r="Y947" s="42"/>
      <c r="Z947" s="42"/>
      <c r="AA947" s="36"/>
      <c r="AB947" s="50"/>
      <c r="AC947" s="56" t="str">
        <f>IF(Table1[[#This Row],[Auto Order]]=1,IF(Table1[[#This Row],[In stock]]&lt;Table1[[#This Row],[Min in stock]],1,""),"")</f>
        <v/>
      </c>
    </row>
    <row r="948" spans="1:29" x14ac:dyDescent="0.25">
      <c r="A948" s="60" t="s">
        <v>1038</v>
      </c>
      <c r="B948" s="34" t="s">
        <v>713</v>
      </c>
      <c r="C948" s="34" t="s">
        <v>352</v>
      </c>
      <c r="D948" s="34" t="s">
        <v>1039</v>
      </c>
      <c r="E948" s="34" t="s">
        <v>559</v>
      </c>
      <c r="F948" s="53">
        <v>0</v>
      </c>
      <c r="G948" s="53"/>
      <c r="H948" s="53"/>
      <c r="I94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RHM80.6KAHCT-ND</v>
      </c>
      <c r="J94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4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48" s="34" t="s">
        <v>1037</v>
      </c>
      <c r="M948" s="42">
        <v>0.18</v>
      </c>
      <c r="N948" s="34"/>
      <c r="O948" s="42"/>
      <c r="P948" s="34"/>
      <c r="Q948" s="42"/>
      <c r="R948" s="34"/>
      <c r="S948" s="42"/>
      <c r="T948" s="34"/>
      <c r="U948" s="42"/>
      <c r="V948" s="34"/>
      <c r="W948" s="42"/>
      <c r="X948" s="34"/>
      <c r="Y948" s="42"/>
      <c r="Z948" s="42"/>
      <c r="AA948" s="36"/>
      <c r="AB948" s="50"/>
      <c r="AC948" s="56" t="str">
        <f>IF(Table1[[#This Row],[Auto Order]]=1,IF(Table1[[#This Row],[In stock]]&lt;Table1[[#This Row],[Min in stock]],1,""),"")</f>
        <v/>
      </c>
    </row>
    <row r="949" spans="1:29" x14ac:dyDescent="0.25">
      <c r="A949" s="60" t="s">
        <v>1041</v>
      </c>
      <c r="B949" s="34" t="s">
        <v>713</v>
      </c>
      <c r="C949" s="34" t="s">
        <v>352</v>
      </c>
      <c r="D949" s="34" t="s">
        <v>1042</v>
      </c>
      <c r="E949" s="34" t="s">
        <v>559</v>
      </c>
      <c r="F949" s="53">
        <v>0</v>
      </c>
      <c r="G949" s="53"/>
      <c r="H949" s="53"/>
      <c r="I94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RHM806KAHCT-ND</v>
      </c>
      <c r="J94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4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49" s="34" t="s">
        <v>1040</v>
      </c>
      <c r="M949" s="42">
        <v>0.18</v>
      </c>
      <c r="N949" s="34"/>
      <c r="O949" s="42"/>
      <c r="P949" s="34"/>
      <c r="Q949" s="42"/>
      <c r="R949" s="34"/>
      <c r="S949" s="42"/>
      <c r="T949" s="34"/>
      <c r="U949" s="42"/>
      <c r="V949" s="34"/>
      <c r="W949" s="42"/>
      <c r="X949" s="34"/>
      <c r="Y949" s="42"/>
      <c r="Z949" s="42"/>
      <c r="AA949" s="36"/>
      <c r="AB949" s="50"/>
      <c r="AC949" s="56" t="str">
        <f>IF(Table1[[#This Row],[Auto Order]]=1,IF(Table1[[#This Row],[In stock]]&lt;Table1[[#This Row],[Min in stock]],1,""),"")</f>
        <v/>
      </c>
    </row>
    <row r="950" spans="1:29" x14ac:dyDescent="0.25">
      <c r="A950" s="60" t="s">
        <v>1148</v>
      </c>
      <c r="B950" s="34" t="s">
        <v>713</v>
      </c>
      <c r="C950" s="34" t="s">
        <v>352</v>
      </c>
      <c r="D950" s="34" t="s">
        <v>1149</v>
      </c>
      <c r="E950" s="34" t="s">
        <v>559</v>
      </c>
      <c r="F950" s="53">
        <v>0</v>
      </c>
      <c r="G950" s="53"/>
      <c r="H950" s="53"/>
      <c r="I95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RHM80.6AHCT-ND</v>
      </c>
      <c r="J95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5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50" s="34" t="s">
        <v>1147</v>
      </c>
      <c r="M950" s="42">
        <v>0.18</v>
      </c>
      <c r="N950" s="34"/>
      <c r="O950" s="42"/>
      <c r="P950" s="34"/>
      <c r="Q950" s="42"/>
      <c r="R950" s="34"/>
      <c r="S950" s="42"/>
      <c r="T950" s="34"/>
      <c r="U950" s="42"/>
      <c r="V950" s="34"/>
      <c r="W950" s="42"/>
      <c r="X950" s="34"/>
      <c r="Y950" s="42"/>
      <c r="Z950" s="42"/>
      <c r="AA950" s="36"/>
      <c r="AB950" s="50"/>
      <c r="AC950" s="56" t="str">
        <f>IF(Table1[[#This Row],[Auto Order]]=1,IF(Table1[[#This Row],[In stock]]&lt;Table1[[#This Row],[Min in stock]],1,""),"")</f>
        <v/>
      </c>
    </row>
    <row r="951" spans="1:29" x14ac:dyDescent="0.25">
      <c r="A951" s="60" t="s">
        <v>914</v>
      </c>
      <c r="B951" s="34" t="s">
        <v>713</v>
      </c>
      <c r="C951" s="34" t="s">
        <v>352</v>
      </c>
      <c r="D951" s="34" t="s">
        <v>645</v>
      </c>
      <c r="E951" s="34" t="s">
        <v>559</v>
      </c>
      <c r="F951" s="53">
        <v>0</v>
      </c>
      <c r="G951" s="53"/>
      <c r="H951" s="53"/>
      <c r="I95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RHM820AHCT-ND</v>
      </c>
      <c r="J95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5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51" s="34" t="s">
        <v>913</v>
      </c>
      <c r="M951" s="42">
        <v>0.18</v>
      </c>
      <c r="N951" s="34"/>
      <c r="O951" s="42"/>
      <c r="P951" s="34"/>
      <c r="Q951" s="42"/>
      <c r="R951" s="34"/>
      <c r="S951" s="42"/>
      <c r="T951" s="34"/>
      <c r="U951" s="42"/>
      <c r="V951" s="34"/>
      <c r="W951" s="42"/>
      <c r="X951" s="34"/>
      <c r="Y951" s="42"/>
      <c r="Z951" s="42"/>
      <c r="AA951" s="36"/>
      <c r="AB951" s="50"/>
      <c r="AC951" s="56" t="str">
        <f>IF(Table1[[#This Row],[Auto Order]]=1,IF(Table1[[#This Row],[In stock]]&lt;Table1[[#This Row],[Min in stock]],1,""),"")</f>
        <v/>
      </c>
    </row>
    <row r="952" spans="1:29" x14ac:dyDescent="0.25">
      <c r="A952" s="60" t="s">
        <v>1658</v>
      </c>
      <c r="B952" s="34" t="s">
        <v>713</v>
      </c>
      <c r="C952" s="34" t="s">
        <v>352</v>
      </c>
      <c r="D952" s="34" t="s">
        <v>1659</v>
      </c>
      <c r="E952" s="34" t="s">
        <v>559</v>
      </c>
      <c r="F952" s="53">
        <v>0</v>
      </c>
      <c r="G952" s="53"/>
      <c r="H952" s="53"/>
      <c r="I95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RHM82KAHCT-ND</v>
      </c>
      <c r="J95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5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52" s="34" t="s">
        <v>1657</v>
      </c>
      <c r="M952" s="42">
        <v>0.18</v>
      </c>
      <c r="N952" s="34"/>
      <c r="O952" s="42"/>
      <c r="P952" s="34"/>
      <c r="Q952" s="42"/>
      <c r="R952" s="34"/>
      <c r="S952" s="42"/>
      <c r="T952" s="34"/>
      <c r="U952" s="42"/>
      <c r="V952" s="34"/>
      <c r="W952" s="42"/>
      <c r="X952" s="34"/>
      <c r="Y952" s="42"/>
      <c r="Z952" s="42"/>
      <c r="AA952" s="36"/>
      <c r="AB952" s="50"/>
      <c r="AC952" s="56" t="str">
        <f>IF(Table1[[#This Row],[Auto Order]]=1,IF(Table1[[#This Row],[In stock]]&lt;Table1[[#This Row],[Min in stock]],1,""),"")</f>
        <v/>
      </c>
    </row>
    <row r="953" spans="1:29" x14ac:dyDescent="0.25">
      <c r="A953" s="60" t="s">
        <v>790</v>
      </c>
      <c r="B953" s="34" t="s">
        <v>713</v>
      </c>
      <c r="C953" s="34" t="s">
        <v>352</v>
      </c>
      <c r="D953" s="34" t="s">
        <v>791</v>
      </c>
      <c r="E953" s="34" t="s">
        <v>559</v>
      </c>
      <c r="F953" s="53">
        <v>0</v>
      </c>
      <c r="G953" s="53"/>
      <c r="H953" s="53"/>
      <c r="I95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RHM820KAHCT-ND</v>
      </c>
      <c r="J95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5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53" s="34" t="s">
        <v>789</v>
      </c>
      <c r="M953" s="42">
        <v>0.18</v>
      </c>
      <c r="N953" s="34"/>
      <c r="O953" s="42"/>
      <c r="P953" s="34"/>
      <c r="Q953" s="42"/>
      <c r="R953" s="34"/>
      <c r="S953" s="42"/>
      <c r="T953" s="34"/>
      <c r="U953" s="42"/>
      <c r="V953" s="34"/>
      <c r="W953" s="42"/>
      <c r="X953" s="34"/>
      <c r="Y953" s="42"/>
      <c r="Z953" s="42"/>
      <c r="AA953" s="36"/>
      <c r="AB953" s="50"/>
      <c r="AC953" s="56" t="str">
        <f>IF(Table1[[#This Row],[Auto Order]]=1,IF(Table1[[#This Row],[In stock]]&lt;Table1[[#This Row],[Min in stock]],1,""),"")</f>
        <v/>
      </c>
    </row>
    <row r="954" spans="1:29" x14ac:dyDescent="0.25">
      <c r="A954" s="60" t="s">
        <v>1265</v>
      </c>
      <c r="B954" s="34" t="s">
        <v>713</v>
      </c>
      <c r="C954" s="34" t="s">
        <v>352</v>
      </c>
      <c r="D954" s="34" t="s">
        <v>669</v>
      </c>
      <c r="E954" s="34" t="s">
        <v>559</v>
      </c>
      <c r="F954" s="53">
        <v>0</v>
      </c>
      <c r="G954" s="53"/>
      <c r="H954" s="53"/>
      <c r="I95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RHM8.25KAHCT-ND</v>
      </c>
      <c r="J95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5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54" s="34" t="s">
        <v>1264</v>
      </c>
      <c r="M954" s="42">
        <v>0.18</v>
      </c>
      <c r="N954" s="34"/>
      <c r="O954" s="42"/>
      <c r="P954" s="34"/>
      <c r="Q954" s="42"/>
      <c r="R954" s="34"/>
      <c r="S954" s="42"/>
      <c r="T954" s="34"/>
      <c r="U954" s="42"/>
      <c r="V954" s="34"/>
      <c r="W954" s="42"/>
      <c r="X954" s="34"/>
      <c r="Y954" s="42"/>
      <c r="Z954" s="42"/>
      <c r="AA954" s="36"/>
      <c r="AB954" s="50"/>
      <c r="AC954" s="56" t="str">
        <f>IF(Table1[[#This Row],[Auto Order]]=1,IF(Table1[[#This Row],[In stock]]&lt;Table1[[#This Row],[Min in stock]],1,""),"")</f>
        <v/>
      </c>
    </row>
    <row r="955" spans="1:29" x14ac:dyDescent="0.25">
      <c r="A955" s="60" t="s">
        <v>1136</v>
      </c>
      <c r="B955" s="34" t="s">
        <v>713</v>
      </c>
      <c r="C955" s="34" t="s">
        <v>352</v>
      </c>
      <c r="D955" s="34" t="s">
        <v>1137</v>
      </c>
      <c r="E955" s="34" t="s">
        <v>559</v>
      </c>
      <c r="F955" s="53">
        <v>0</v>
      </c>
      <c r="G955" s="53"/>
      <c r="H955" s="53"/>
      <c r="I95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RHM82.5KAHCT-ND</v>
      </c>
      <c r="J95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5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55" s="34" t="s">
        <v>1135</v>
      </c>
      <c r="M955" s="42">
        <v>0.18</v>
      </c>
      <c r="N955" s="34"/>
      <c r="O955" s="42"/>
      <c r="P955" s="34"/>
      <c r="Q955" s="42"/>
      <c r="R955" s="34"/>
      <c r="S955" s="42"/>
      <c r="T955" s="34"/>
      <c r="U955" s="42"/>
      <c r="V955" s="34"/>
      <c r="W955" s="42"/>
      <c r="X955" s="34"/>
      <c r="Y955" s="42"/>
      <c r="Z955" s="42"/>
      <c r="AA955" s="36"/>
      <c r="AB955" s="50"/>
      <c r="AC955" s="56" t="str">
        <f>IF(Table1[[#This Row],[Auto Order]]=1,IF(Table1[[#This Row],[In stock]]&lt;Table1[[#This Row],[Min in stock]],1,""),"")</f>
        <v/>
      </c>
    </row>
    <row r="956" spans="1:29" x14ac:dyDescent="0.25">
      <c r="A956" s="60" t="s">
        <v>1085</v>
      </c>
      <c r="B956" s="34" t="s">
        <v>713</v>
      </c>
      <c r="C956" s="34" t="s">
        <v>352</v>
      </c>
      <c r="D956" s="34" t="s">
        <v>1086</v>
      </c>
      <c r="E956" s="34" t="s">
        <v>559</v>
      </c>
      <c r="F956" s="53">
        <v>0</v>
      </c>
      <c r="G956" s="53"/>
      <c r="H956" s="53"/>
      <c r="I95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RHM825KAHCT-ND</v>
      </c>
      <c r="J95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5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56" s="34" t="s">
        <v>1084</v>
      </c>
      <c r="M956" s="42">
        <v>0.18</v>
      </c>
      <c r="N956" s="34"/>
      <c r="O956" s="42"/>
      <c r="P956" s="34"/>
      <c r="Q956" s="42"/>
      <c r="R956" s="34"/>
      <c r="S956" s="42"/>
      <c r="T956" s="34"/>
      <c r="U956" s="42"/>
      <c r="V956" s="34"/>
      <c r="W956" s="42"/>
      <c r="X956" s="34"/>
      <c r="Y956" s="42"/>
      <c r="Z956" s="42"/>
      <c r="AA956" s="36"/>
      <c r="AB956" s="50"/>
      <c r="AC956" s="56" t="str">
        <f>IF(Table1[[#This Row],[Auto Order]]=1,IF(Table1[[#This Row],[In stock]]&lt;Table1[[#This Row],[Min in stock]],1,""),"")</f>
        <v/>
      </c>
    </row>
    <row r="957" spans="1:29" x14ac:dyDescent="0.25">
      <c r="A957" s="60" t="s">
        <v>823</v>
      </c>
      <c r="B957" s="34" t="s">
        <v>713</v>
      </c>
      <c r="C957" s="34" t="s">
        <v>352</v>
      </c>
      <c r="D957" s="34" t="s">
        <v>824</v>
      </c>
      <c r="E957" s="34" t="s">
        <v>559</v>
      </c>
      <c r="F957" s="53">
        <v>0</v>
      </c>
      <c r="G957" s="53"/>
      <c r="H957" s="53"/>
      <c r="I95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RHM82AHCT-ND</v>
      </c>
      <c r="J95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5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57" s="34" t="s">
        <v>822</v>
      </c>
      <c r="M957" s="42">
        <v>0.18</v>
      </c>
      <c r="N957" s="34"/>
      <c r="O957" s="42"/>
      <c r="P957" s="34"/>
      <c r="Q957" s="42"/>
      <c r="R957" s="34"/>
      <c r="S957" s="42"/>
      <c r="T957" s="34"/>
      <c r="U957" s="42"/>
      <c r="V957" s="34"/>
      <c r="W957" s="42"/>
      <c r="X957" s="34"/>
      <c r="Y957" s="42"/>
      <c r="Z957" s="42"/>
      <c r="AA957" s="36"/>
      <c r="AB957" s="50"/>
      <c r="AC957" s="56" t="str">
        <f>IF(Table1[[#This Row],[Auto Order]]=1,IF(Table1[[#This Row],[In stock]]&lt;Table1[[#This Row],[Min in stock]],1,""),"")</f>
        <v/>
      </c>
    </row>
    <row r="958" spans="1:29" x14ac:dyDescent="0.25">
      <c r="A958" s="60" t="s">
        <v>1661</v>
      </c>
      <c r="B958" s="34" t="s">
        <v>713</v>
      </c>
      <c r="C958" s="34" t="s">
        <v>352</v>
      </c>
      <c r="D958" s="34" t="s">
        <v>1662</v>
      </c>
      <c r="E958" s="34" t="s">
        <v>559</v>
      </c>
      <c r="F958" s="53">
        <v>0</v>
      </c>
      <c r="G958" s="53"/>
      <c r="H958" s="53"/>
      <c r="I95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RHM82.5AHCT-ND</v>
      </c>
      <c r="J95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5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58" s="34" t="s">
        <v>1660</v>
      </c>
      <c r="M958" s="42">
        <v>0.18</v>
      </c>
      <c r="N958" s="34"/>
      <c r="O958" s="42"/>
      <c r="P958" s="34"/>
      <c r="Q958" s="42"/>
      <c r="R958" s="34"/>
      <c r="S958" s="42"/>
      <c r="T958" s="34"/>
      <c r="U958" s="42"/>
      <c r="V958" s="34"/>
      <c r="W958" s="42"/>
      <c r="X958" s="34"/>
      <c r="Y958" s="42"/>
      <c r="Z958" s="42"/>
      <c r="AA958" s="36"/>
      <c r="AB958" s="50"/>
      <c r="AC958" s="56" t="str">
        <f>IF(Table1[[#This Row],[Auto Order]]=1,IF(Table1[[#This Row],[In stock]]&lt;Table1[[#This Row],[Min in stock]],1,""),"")</f>
        <v/>
      </c>
    </row>
    <row r="959" spans="1:29" x14ac:dyDescent="0.25">
      <c r="A959" s="60" t="s">
        <v>1664</v>
      </c>
      <c r="B959" s="34" t="s">
        <v>713</v>
      </c>
      <c r="C959" s="34" t="s">
        <v>352</v>
      </c>
      <c r="D959" s="34" t="s">
        <v>1665</v>
      </c>
      <c r="E959" s="34" t="s">
        <v>559</v>
      </c>
      <c r="F959" s="53">
        <v>0</v>
      </c>
      <c r="G959" s="53"/>
      <c r="H959" s="53"/>
      <c r="I95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RHM8.45KAHCT-ND</v>
      </c>
      <c r="J95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5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59" s="34" t="s">
        <v>1663</v>
      </c>
      <c r="M959" s="42">
        <v>0.18</v>
      </c>
      <c r="N959" s="34"/>
      <c r="O959" s="42"/>
      <c r="P959" s="34"/>
      <c r="Q959" s="42"/>
      <c r="R959" s="34"/>
      <c r="S959" s="42"/>
      <c r="T959" s="34"/>
      <c r="U959" s="42"/>
      <c r="V959" s="34"/>
      <c r="W959" s="42"/>
      <c r="X959" s="34"/>
      <c r="Y959" s="42"/>
      <c r="Z959" s="42"/>
      <c r="AA959" s="36"/>
      <c r="AB959" s="50"/>
      <c r="AC959" s="56" t="str">
        <f>IF(Table1[[#This Row],[Auto Order]]=1,IF(Table1[[#This Row],[In stock]]&lt;Table1[[#This Row],[Min in stock]],1,""),"")</f>
        <v/>
      </c>
    </row>
    <row r="960" spans="1:29" x14ac:dyDescent="0.25">
      <c r="A960" s="60" t="s">
        <v>1044</v>
      </c>
      <c r="B960" s="34" t="s">
        <v>713</v>
      </c>
      <c r="C960" s="34" t="s">
        <v>352</v>
      </c>
      <c r="D960" s="34" t="s">
        <v>1045</v>
      </c>
      <c r="E960" s="34" t="s">
        <v>559</v>
      </c>
      <c r="F960" s="53">
        <v>0</v>
      </c>
      <c r="G960" s="53"/>
      <c r="H960" s="53"/>
      <c r="I96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RHM84.5KAHCT-ND</v>
      </c>
      <c r="J96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6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60" s="34" t="s">
        <v>1043</v>
      </c>
      <c r="M960" s="42">
        <v>0.18</v>
      </c>
      <c r="N960" s="34"/>
      <c r="O960" s="42"/>
      <c r="P960" s="34"/>
      <c r="Q960" s="42"/>
      <c r="R960" s="34"/>
      <c r="S960" s="42"/>
      <c r="T960" s="34"/>
      <c r="U960" s="42"/>
      <c r="V960" s="34"/>
      <c r="W960" s="42"/>
      <c r="X960" s="34"/>
      <c r="Y960" s="42"/>
      <c r="Z960" s="42"/>
      <c r="AA960" s="36"/>
      <c r="AB960" s="50"/>
      <c r="AC960" s="56" t="str">
        <f>IF(Table1[[#This Row],[Auto Order]]=1,IF(Table1[[#This Row],[In stock]]&lt;Table1[[#This Row],[Min in stock]],1,""),"")</f>
        <v/>
      </c>
    </row>
    <row r="961" spans="1:29" x14ac:dyDescent="0.25">
      <c r="A961" s="60" t="s">
        <v>1082</v>
      </c>
      <c r="B961" s="34" t="s">
        <v>713</v>
      </c>
      <c r="C961" s="34" t="s">
        <v>352</v>
      </c>
      <c r="D961" s="34" t="s">
        <v>1083</v>
      </c>
      <c r="E961" s="34" t="s">
        <v>559</v>
      </c>
      <c r="F961" s="53">
        <v>0</v>
      </c>
      <c r="G961" s="53"/>
      <c r="H961" s="53"/>
      <c r="I96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RHM845KAHCT-ND</v>
      </c>
      <c r="J96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6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61" s="34" t="s">
        <v>1081</v>
      </c>
      <c r="M961" s="42">
        <v>0.18</v>
      </c>
      <c r="N961" s="34"/>
      <c r="O961" s="42"/>
      <c r="P961" s="34"/>
      <c r="Q961" s="42"/>
      <c r="R961" s="34"/>
      <c r="S961" s="42"/>
      <c r="T961" s="34"/>
      <c r="U961" s="42"/>
      <c r="V961" s="34"/>
      <c r="W961" s="42"/>
      <c r="X961" s="34"/>
      <c r="Y961" s="42"/>
      <c r="Z961" s="42"/>
      <c r="AA961" s="36"/>
      <c r="AB961" s="50"/>
      <c r="AC961" s="56" t="str">
        <f>IF(Table1[[#This Row],[Auto Order]]=1,IF(Table1[[#This Row],[In stock]]&lt;Table1[[#This Row],[Min in stock]],1,""),"")</f>
        <v/>
      </c>
    </row>
    <row r="962" spans="1:29" x14ac:dyDescent="0.25">
      <c r="A962" s="60" t="s">
        <v>1250</v>
      </c>
      <c r="B962" s="34" t="s">
        <v>713</v>
      </c>
      <c r="C962" s="34" t="s">
        <v>352</v>
      </c>
      <c r="D962" s="34" t="s">
        <v>1251</v>
      </c>
      <c r="E962" s="34" t="s">
        <v>559</v>
      </c>
      <c r="F962" s="53">
        <v>0</v>
      </c>
      <c r="G962" s="53"/>
      <c r="H962" s="53"/>
      <c r="I96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RHM866AHCT-ND</v>
      </c>
      <c r="J96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6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62" s="34" t="s">
        <v>1249</v>
      </c>
      <c r="M962" s="42">
        <v>0.18</v>
      </c>
      <c r="N962" s="34"/>
      <c r="O962" s="42"/>
      <c r="P962" s="34"/>
      <c r="Q962" s="42"/>
      <c r="R962" s="34"/>
      <c r="S962" s="42"/>
      <c r="T962" s="34"/>
      <c r="U962" s="42"/>
      <c r="V962" s="34"/>
      <c r="W962" s="42"/>
      <c r="X962" s="34"/>
      <c r="Y962" s="42"/>
      <c r="Z962" s="42"/>
      <c r="AA962" s="36"/>
      <c r="AB962" s="50"/>
      <c r="AC962" s="56" t="str">
        <f>IF(Table1[[#This Row],[Auto Order]]=1,IF(Table1[[#This Row],[In stock]]&lt;Table1[[#This Row],[Min in stock]],1,""),"")</f>
        <v/>
      </c>
    </row>
    <row r="963" spans="1:29" x14ac:dyDescent="0.25">
      <c r="A963" s="60" t="s">
        <v>1667</v>
      </c>
      <c r="B963" s="34" t="s">
        <v>713</v>
      </c>
      <c r="C963" s="34" t="s">
        <v>352</v>
      </c>
      <c r="D963" s="34" t="s">
        <v>1668</v>
      </c>
      <c r="E963" s="34" t="s">
        <v>559</v>
      </c>
      <c r="F963" s="53">
        <v>0</v>
      </c>
      <c r="G963" s="53"/>
      <c r="H963" s="53"/>
      <c r="I96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RHM8.66KAHCT-ND</v>
      </c>
      <c r="J96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6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63" s="34" t="s">
        <v>1666</v>
      </c>
      <c r="M963" s="42">
        <v>0.18</v>
      </c>
      <c r="N963" s="34"/>
      <c r="O963" s="42"/>
      <c r="P963" s="34"/>
      <c r="Q963" s="42"/>
      <c r="R963" s="34"/>
      <c r="S963" s="42"/>
      <c r="T963" s="34"/>
      <c r="U963" s="42"/>
      <c r="V963" s="34"/>
      <c r="W963" s="42"/>
      <c r="X963" s="34"/>
      <c r="Y963" s="42"/>
      <c r="Z963" s="42"/>
      <c r="AA963" s="36"/>
      <c r="AB963" s="50"/>
      <c r="AC963" s="56" t="str">
        <f>IF(Table1[[#This Row],[Auto Order]]=1,IF(Table1[[#This Row],[In stock]]&lt;Table1[[#This Row],[Min in stock]],1,""),"")</f>
        <v/>
      </c>
    </row>
    <row r="964" spans="1:29" x14ac:dyDescent="0.25">
      <c r="A964" s="60" t="s">
        <v>1541</v>
      </c>
      <c r="B964" s="34" t="s">
        <v>713</v>
      </c>
      <c r="C964" s="34" t="s">
        <v>352</v>
      </c>
      <c r="D964" s="34" t="s">
        <v>1542</v>
      </c>
      <c r="E964" s="34" t="s">
        <v>559</v>
      </c>
      <c r="F964" s="53">
        <v>0</v>
      </c>
      <c r="G964" s="53"/>
      <c r="H964" s="53"/>
      <c r="I96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RHM86.6KAHCT-ND</v>
      </c>
      <c r="J96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6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64" s="34" t="s">
        <v>1540</v>
      </c>
      <c r="M964" s="42">
        <v>0.18</v>
      </c>
      <c r="N964" s="34"/>
      <c r="O964" s="42"/>
      <c r="P964" s="34"/>
      <c r="Q964" s="42"/>
      <c r="R964" s="34"/>
      <c r="S964" s="42"/>
      <c r="T964" s="34"/>
      <c r="U964" s="42"/>
      <c r="V964" s="34"/>
      <c r="W964" s="42"/>
      <c r="X964" s="34"/>
      <c r="Y964" s="42"/>
      <c r="Z964" s="42"/>
      <c r="AA964" s="36"/>
      <c r="AB964" s="50"/>
      <c r="AC964" s="56" t="str">
        <f>IF(Table1[[#This Row],[Auto Order]]=1,IF(Table1[[#This Row],[In stock]]&lt;Table1[[#This Row],[Min in stock]],1,""),"")</f>
        <v/>
      </c>
    </row>
    <row r="965" spans="1:29" x14ac:dyDescent="0.25">
      <c r="A965" s="60" t="s">
        <v>1169</v>
      </c>
      <c r="B965" s="34" t="s">
        <v>713</v>
      </c>
      <c r="C965" s="34" t="s">
        <v>352</v>
      </c>
      <c r="D965" s="34" t="s">
        <v>1170</v>
      </c>
      <c r="E965" s="34" t="s">
        <v>559</v>
      </c>
      <c r="F965" s="53">
        <v>0</v>
      </c>
      <c r="G965" s="53"/>
      <c r="H965" s="53"/>
      <c r="I96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RHM8.87KAHCT-ND</v>
      </c>
      <c r="J96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6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65" s="34" t="s">
        <v>1168</v>
      </c>
      <c r="M965" s="42">
        <v>0.18</v>
      </c>
      <c r="N965" s="34"/>
      <c r="O965" s="42"/>
      <c r="P965" s="34"/>
      <c r="Q965" s="42"/>
      <c r="R965" s="34"/>
      <c r="S965" s="42"/>
      <c r="T965" s="34"/>
      <c r="U965" s="42"/>
      <c r="V965" s="34"/>
      <c r="W965" s="42"/>
      <c r="X965" s="34"/>
      <c r="Y965" s="42"/>
      <c r="Z965" s="42"/>
      <c r="AA965" s="36"/>
      <c r="AB965" s="50"/>
      <c r="AC965" s="56" t="str">
        <f>IF(Table1[[#This Row],[Auto Order]]=1,IF(Table1[[#This Row],[In stock]]&lt;Table1[[#This Row],[Min in stock]],1,""),"")</f>
        <v/>
      </c>
    </row>
    <row r="966" spans="1:29" x14ac:dyDescent="0.25">
      <c r="A966" s="60" t="s">
        <v>1112</v>
      </c>
      <c r="B966" s="34" t="s">
        <v>713</v>
      </c>
      <c r="C966" s="34" t="s">
        <v>352</v>
      </c>
      <c r="D966" s="34" t="s">
        <v>1113</v>
      </c>
      <c r="E966" s="34" t="s">
        <v>559</v>
      </c>
      <c r="F966" s="53">
        <v>0</v>
      </c>
      <c r="G966" s="53"/>
      <c r="H966" s="53"/>
      <c r="I96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RHM887KAHCT-ND</v>
      </c>
      <c r="J96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6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66" s="34" t="s">
        <v>1111</v>
      </c>
      <c r="M966" s="42">
        <v>0.18</v>
      </c>
      <c r="N966" s="34"/>
      <c r="O966" s="42"/>
      <c r="P966" s="34"/>
      <c r="Q966" s="42"/>
      <c r="R966" s="34"/>
      <c r="S966" s="42"/>
      <c r="T966" s="34"/>
      <c r="U966" s="42"/>
      <c r="V966" s="34"/>
      <c r="W966" s="42"/>
      <c r="X966" s="34"/>
      <c r="Y966" s="42"/>
      <c r="Z966" s="42"/>
      <c r="AA966" s="36"/>
      <c r="AB966" s="50"/>
      <c r="AC966" s="56" t="str">
        <f>IF(Table1[[#This Row],[Auto Order]]=1,IF(Table1[[#This Row],[In stock]]&lt;Table1[[#This Row],[Min in stock]],1,""),"")</f>
        <v/>
      </c>
    </row>
    <row r="967" spans="1:29" x14ac:dyDescent="0.25">
      <c r="A967" s="60" t="s">
        <v>1338</v>
      </c>
      <c r="B967" s="34" t="s">
        <v>713</v>
      </c>
      <c r="C967" s="34" t="s">
        <v>352</v>
      </c>
      <c r="D967" s="34" t="s">
        <v>1339</v>
      </c>
      <c r="E967" s="34" t="s">
        <v>559</v>
      </c>
      <c r="F967" s="53">
        <v>0</v>
      </c>
      <c r="G967" s="53"/>
      <c r="H967" s="53"/>
      <c r="I96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RHM909AHCT-ND</v>
      </c>
      <c r="J96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6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67" s="34" t="s">
        <v>1337</v>
      </c>
      <c r="M967" s="42">
        <v>0.18</v>
      </c>
      <c r="N967" s="34"/>
      <c r="O967" s="42"/>
      <c r="P967" s="34"/>
      <c r="Q967" s="42"/>
      <c r="R967" s="34"/>
      <c r="S967" s="42"/>
      <c r="T967" s="34"/>
      <c r="U967" s="42"/>
      <c r="V967" s="34"/>
      <c r="W967" s="42"/>
      <c r="X967" s="34"/>
      <c r="Y967" s="42"/>
      <c r="Z967" s="42"/>
      <c r="AA967" s="36"/>
      <c r="AB967" s="50"/>
      <c r="AC967" s="56" t="str">
        <f>IF(Table1[[#This Row],[Auto Order]]=1,IF(Table1[[#This Row],[In stock]]&lt;Table1[[#This Row],[Min in stock]],1,""),"")</f>
        <v/>
      </c>
    </row>
    <row r="968" spans="1:29" x14ac:dyDescent="0.25">
      <c r="A968" s="60" t="s">
        <v>1670</v>
      </c>
      <c r="B968" s="34" t="s">
        <v>713</v>
      </c>
      <c r="C968" s="34" t="s">
        <v>352</v>
      </c>
      <c r="D968" s="34" t="s">
        <v>1671</v>
      </c>
      <c r="E968" s="34" t="s">
        <v>559</v>
      </c>
      <c r="F968" s="53">
        <v>0</v>
      </c>
      <c r="G968" s="53"/>
      <c r="H968" s="53"/>
      <c r="I96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RHM9.09KAHCT-ND</v>
      </c>
      <c r="J96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6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68" s="34" t="s">
        <v>1669</v>
      </c>
      <c r="M968" s="42">
        <v>0.18</v>
      </c>
      <c r="N968" s="34"/>
      <c r="O968" s="42"/>
      <c r="P968" s="34"/>
      <c r="Q968" s="42"/>
      <c r="R968" s="34"/>
      <c r="S968" s="42"/>
      <c r="T968" s="34"/>
      <c r="U968" s="42"/>
      <c r="V968" s="34"/>
      <c r="W968" s="42"/>
      <c r="X968" s="34"/>
      <c r="Y968" s="42"/>
      <c r="Z968" s="42"/>
      <c r="AA968" s="36"/>
      <c r="AB968" s="50"/>
      <c r="AC968" s="56" t="str">
        <f>IF(Table1[[#This Row],[Auto Order]]=1,IF(Table1[[#This Row],[In stock]]&lt;Table1[[#This Row],[Min in stock]],1,""),"")</f>
        <v/>
      </c>
    </row>
    <row r="969" spans="1:29" x14ac:dyDescent="0.25">
      <c r="A969" s="60" t="s">
        <v>1544</v>
      </c>
      <c r="B969" s="34" t="s">
        <v>713</v>
      </c>
      <c r="C969" s="34" t="s">
        <v>352</v>
      </c>
      <c r="D969" s="34" t="s">
        <v>1545</v>
      </c>
      <c r="E969" s="34" t="s">
        <v>559</v>
      </c>
      <c r="F969" s="53">
        <v>0</v>
      </c>
      <c r="G969" s="53"/>
      <c r="H969" s="53"/>
      <c r="I96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RHM90.9KAHCT-ND</v>
      </c>
      <c r="J96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6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69" s="34" t="s">
        <v>1543</v>
      </c>
      <c r="M969" s="42">
        <v>0.18</v>
      </c>
      <c r="N969" s="34"/>
      <c r="O969" s="42"/>
      <c r="P969" s="34"/>
      <c r="Q969" s="42"/>
      <c r="R969" s="34"/>
      <c r="S969" s="42"/>
      <c r="T969" s="34"/>
      <c r="U969" s="42"/>
      <c r="V969" s="34"/>
      <c r="W969" s="42"/>
      <c r="X969" s="34"/>
      <c r="Y969" s="42"/>
      <c r="Z969" s="42"/>
      <c r="AA969" s="36"/>
      <c r="AB969" s="50"/>
      <c r="AC969" s="56" t="str">
        <f>IF(Table1[[#This Row],[Auto Order]]=1,IF(Table1[[#This Row],[In stock]]&lt;Table1[[#This Row],[Min in stock]],1,""),"")</f>
        <v/>
      </c>
    </row>
    <row r="970" spans="1:29" x14ac:dyDescent="0.25">
      <c r="A970" s="60" t="s">
        <v>1391</v>
      </c>
      <c r="B970" s="34" t="s">
        <v>713</v>
      </c>
      <c r="C970" s="34" t="s">
        <v>352</v>
      </c>
      <c r="D970" s="34" t="s">
        <v>1392</v>
      </c>
      <c r="E970" s="34" t="s">
        <v>559</v>
      </c>
      <c r="F970" s="53">
        <v>0</v>
      </c>
      <c r="G970" s="53"/>
      <c r="H970" s="53"/>
      <c r="I97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RHM909KAHCT-ND</v>
      </c>
      <c r="J97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7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70" s="34" t="s">
        <v>1390</v>
      </c>
      <c r="M970" s="42">
        <v>0.18</v>
      </c>
      <c r="N970" s="34"/>
      <c r="O970" s="42"/>
      <c r="P970" s="34"/>
      <c r="Q970" s="42"/>
      <c r="R970" s="34"/>
      <c r="S970" s="42"/>
      <c r="T970" s="34"/>
      <c r="U970" s="42"/>
      <c r="V970" s="34"/>
      <c r="W970" s="42"/>
      <c r="X970" s="34"/>
      <c r="Y970" s="42"/>
      <c r="Z970" s="42"/>
      <c r="AA970" s="36"/>
      <c r="AB970" s="50"/>
      <c r="AC970" s="56" t="str">
        <f>IF(Table1[[#This Row],[Auto Order]]=1,IF(Table1[[#This Row],[In stock]]&lt;Table1[[#This Row],[Min in stock]],1,""),"")</f>
        <v/>
      </c>
    </row>
    <row r="971" spans="1:29" x14ac:dyDescent="0.25">
      <c r="A971" s="60" t="s">
        <v>1276</v>
      </c>
      <c r="B971" s="34" t="s">
        <v>713</v>
      </c>
      <c r="C971" s="34" t="s">
        <v>352</v>
      </c>
      <c r="D971" s="34" t="s">
        <v>1277</v>
      </c>
      <c r="E971" s="34" t="s">
        <v>559</v>
      </c>
      <c r="F971" s="53">
        <v>0</v>
      </c>
      <c r="G971" s="53"/>
      <c r="H971" s="53"/>
      <c r="I97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RHM90.9AHCT-ND</v>
      </c>
      <c r="J97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7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71" s="34" t="s">
        <v>1275</v>
      </c>
      <c r="M971" s="42">
        <v>0.18</v>
      </c>
      <c r="N971" s="34"/>
      <c r="O971" s="42"/>
      <c r="P971" s="34"/>
      <c r="Q971" s="42"/>
      <c r="R971" s="34"/>
      <c r="S971" s="42"/>
      <c r="T971" s="34"/>
      <c r="U971" s="42"/>
      <c r="V971" s="34"/>
      <c r="W971" s="42"/>
      <c r="X971" s="34"/>
      <c r="Y971" s="42"/>
      <c r="Z971" s="42"/>
      <c r="AA971" s="36"/>
      <c r="AB971" s="50"/>
      <c r="AC971" s="56" t="str">
        <f>IF(Table1[[#This Row],[Auto Order]]=1,IF(Table1[[#This Row],[In stock]]&lt;Table1[[#This Row],[Min in stock]],1,""),"")</f>
        <v/>
      </c>
    </row>
    <row r="972" spans="1:29" x14ac:dyDescent="0.25">
      <c r="A972" s="60" t="s">
        <v>1220</v>
      </c>
      <c r="B972" s="34" t="s">
        <v>713</v>
      </c>
      <c r="C972" s="34" t="s">
        <v>352</v>
      </c>
      <c r="D972" s="34" t="s">
        <v>1221</v>
      </c>
      <c r="E972" s="34" t="s">
        <v>559</v>
      </c>
      <c r="F972" s="53">
        <v>0</v>
      </c>
      <c r="G972" s="53"/>
      <c r="H972" s="53"/>
      <c r="I97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RHM910AHCT-ND</v>
      </c>
      <c r="J97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7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72" s="34" t="s">
        <v>1219</v>
      </c>
      <c r="M972" s="42">
        <v>0.18</v>
      </c>
      <c r="N972" s="34"/>
      <c r="O972" s="42"/>
      <c r="P972" s="34"/>
      <c r="Q972" s="42"/>
      <c r="R972" s="34"/>
      <c r="S972" s="42"/>
      <c r="T972" s="34"/>
      <c r="U972" s="42"/>
      <c r="V972" s="34"/>
      <c r="W972" s="42"/>
      <c r="X972" s="34"/>
      <c r="Y972" s="42"/>
      <c r="Z972" s="42"/>
      <c r="AA972" s="36"/>
      <c r="AB972" s="50"/>
      <c r="AC972" s="56" t="str">
        <f>IF(Table1[[#This Row],[Auto Order]]=1,IF(Table1[[#This Row],[In stock]]&lt;Table1[[#This Row],[Min in stock]],1,""),"")</f>
        <v/>
      </c>
    </row>
    <row r="973" spans="1:29" x14ac:dyDescent="0.25">
      <c r="A973" s="60" t="s">
        <v>1484</v>
      </c>
      <c r="B973" s="34" t="s">
        <v>713</v>
      </c>
      <c r="C973" s="34" t="s">
        <v>352</v>
      </c>
      <c r="D973" s="34" t="s">
        <v>1485</v>
      </c>
      <c r="E973" s="34" t="s">
        <v>559</v>
      </c>
      <c r="F973" s="53">
        <v>0</v>
      </c>
      <c r="G973" s="53"/>
      <c r="H973" s="53"/>
      <c r="I97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RHM9.1KAHCT-ND</v>
      </c>
      <c r="J97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7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73" s="34" t="s">
        <v>1483</v>
      </c>
      <c r="M973" s="42">
        <v>0.18</v>
      </c>
      <c r="N973" s="34"/>
      <c r="O973" s="42"/>
      <c r="P973" s="34"/>
      <c r="Q973" s="42"/>
      <c r="R973" s="34"/>
      <c r="S973" s="42"/>
      <c r="T973" s="34"/>
      <c r="U973" s="42"/>
      <c r="V973" s="34"/>
      <c r="W973" s="42"/>
      <c r="X973" s="34"/>
      <c r="Y973" s="42"/>
      <c r="Z973" s="42"/>
      <c r="AA973" s="36"/>
      <c r="AB973" s="50"/>
      <c r="AC973" s="56" t="str">
        <f>IF(Table1[[#This Row],[Auto Order]]=1,IF(Table1[[#This Row],[In stock]]&lt;Table1[[#This Row],[Min in stock]],1,""),"")</f>
        <v/>
      </c>
    </row>
    <row r="974" spans="1:29" x14ac:dyDescent="0.25">
      <c r="A974" s="60" t="s">
        <v>838</v>
      </c>
      <c r="B974" s="34" t="s">
        <v>713</v>
      </c>
      <c r="C974" s="34" t="s">
        <v>352</v>
      </c>
      <c r="D974" s="34" t="s">
        <v>839</v>
      </c>
      <c r="E974" s="34" t="s">
        <v>559</v>
      </c>
      <c r="F974" s="53">
        <v>0</v>
      </c>
      <c r="G974" s="53"/>
      <c r="H974" s="53"/>
      <c r="I97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RHM910KAHCT-ND</v>
      </c>
      <c r="J97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7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74" s="34" t="s">
        <v>837</v>
      </c>
      <c r="M974" s="42">
        <v>0.18</v>
      </c>
      <c r="N974" s="34"/>
      <c r="O974" s="42"/>
      <c r="P974" s="34"/>
      <c r="Q974" s="42"/>
      <c r="R974" s="34"/>
      <c r="S974" s="42"/>
      <c r="T974" s="34"/>
      <c r="U974" s="42"/>
      <c r="V974" s="34"/>
      <c r="W974" s="42"/>
      <c r="X974" s="34"/>
      <c r="Y974" s="42"/>
      <c r="Z974" s="42"/>
      <c r="AA974" s="36"/>
      <c r="AB974" s="50"/>
      <c r="AC974" s="56" t="str">
        <f>IF(Table1[[#This Row],[Auto Order]]=1,IF(Table1[[#This Row],[In stock]]&lt;Table1[[#This Row],[Min in stock]],1,""),"")</f>
        <v/>
      </c>
    </row>
    <row r="975" spans="1:29" x14ac:dyDescent="0.25">
      <c r="A975" s="60" t="s">
        <v>1332</v>
      </c>
      <c r="B975" s="34" t="s">
        <v>713</v>
      </c>
      <c r="C975" s="34" t="s">
        <v>352</v>
      </c>
      <c r="D975" s="34" t="s">
        <v>1333</v>
      </c>
      <c r="E975" s="34" t="s">
        <v>559</v>
      </c>
      <c r="F975" s="53">
        <v>0</v>
      </c>
      <c r="G975" s="53"/>
      <c r="H975" s="53"/>
      <c r="I97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RHM9.10MAHCT-ND</v>
      </c>
      <c r="J97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7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75" s="34" t="s">
        <v>1331</v>
      </c>
      <c r="M975" s="42">
        <v>0.18</v>
      </c>
      <c r="N975" s="34"/>
      <c r="O975" s="42"/>
      <c r="P975" s="34"/>
      <c r="Q975" s="42"/>
      <c r="R975" s="34"/>
      <c r="S975" s="42"/>
      <c r="T975" s="34"/>
      <c r="U975" s="42"/>
      <c r="V975" s="34"/>
      <c r="W975" s="42"/>
      <c r="X975" s="34"/>
      <c r="Y975" s="42"/>
      <c r="Z975" s="42"/>
      <c r="AA975" s="36"/>
      <c r="AB975" s="50"/>
      <c r="AC975" s="56" t="str">
        <f>IF(Table1[[#This Row],[Auto Order]]=1,IF(Table1[[#This Row],[In stock]]&lt;Table1[[#This Row],[Min in stock]],1,""),"")</f>
        <v/>
      </c>
    </row>
    <row r="976" spans="1:29" x14ac:dyDescent="0.25">
      <c r="A976" s="60" t="s">
        <v>1439</v>
      </c>
      <c r="B976" s="34" t="s">
        <v>713</v>
      </c>
      <c r="C976" s="34" t="s">
        <v>352</v>
      </c>
      <c r="D976" s="34" t="s">
        <v>1440</v>
      </c>
      <c r="E976" s="34" t="s">
        <v>559</v>
      </c>
      <c r="F976" s="53">
        <v>0</v>
      </c>
      <c r="G976" s="53"/>
      <c r="H976" s="53"/>
      <c r="I97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RHM91AHCT-ND</v>
      </c>
      <c r="J97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7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76" s="34" t="s">
        <v>1438</v>
      </c>
      <c r="M976" s="42">
        <v>0.18</v>
      </c>
      <c r="N976" s="34"/>
      <c r="O976" s="42"/>
      <c r="P976" s="34"/>
      <c r="Q976" s="42"/>
      <c r="R976" s="34"/>
      <c r="S976" s="42"/>
      <c r="T976" s="34"/>
      <c r="U976" s="42"/>
      <c r="V976" s="34"/>
      <c r="W976" s="42"/>
      <c r="X976" s="34"/>
      <c r="Y976" s="42"/>
      <c r="Z976" s="42"/>
      <c r="AA976" s="36"/>
      <c r="AB976" s="50"/>
      <c r="AC976" s="56" t="str">
        <f>IF(Table1[[#This Row],[Auto Order]]=1,IF(Table1[[#This Row],[In stock]]&lt;Table1[[#This Row],[Min in stock]],1,""),"")</f>
        <v/>
      </c>
    </row>
    <row r="977" spans="1:29" x14ac:dyDescent="0.25">
      <c r="A977" s="60" t="s">
        <v>1350</v>
      </c>
      <c r="B977" s="34" t="s">
        <v>713</v>
      </c>
      <c r="C977" s="34" t="s">
        <v>352</v>
      </c>
      <c r="D977" s="34" t="s">
        <v>1351</v>
      </c>
      <c r="E977" s="34" t="s">
        <v>559</v>
      </c>
      <c r="F977" s="53">
        <v>0</v>
      </c>
      <c r="G977" s="53"/>
      <c r="H977" s="53"/>
      <c r="I97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RHM9.31KAHCT-ND</v>
      </c>
      <c r="J97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7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77" s="34" t="s">
        <v>1349</v>
      </c>
      <c r="M977" s="42">
        <v>0.18</v>
      </c>
      <c r="N977" s="34"/>
      <c r="O977" s="42"/>
      <c r="P977" s="34"/>
      <c r="Q977" s="42"/>
      <c r="R977" s="34"/>
      <c r="S977" s="42"/>
      <c r="T977" s="34"/>
      <c r="U977" s="42"/>
      <c r="V977" s="34"/>
      <c r="W977" s="42"/>
      <c r="X977" s="34"/>
      <c r="Y977" s="42"/>
      <c r="Z977" s="42"/>
      <c r="AA977" s="36"/>
      <c r="AB977" s="50"/>
      <c r="AC977" s="56" t="str">
        <f>IF(Table1[[#This Row],[Auto Order]]=1,IF(Table1[[#This Row],[In stock]]&lt;Table1[[#This Row],[Min in stock]],1,""),"")</f>
        <v/>
      </c>
    </row>
    <row r="978" spans="1:29" x14ac:dyDescent="0.25">
      <c r="A978" s="60" t="s">
        <v>1166</v>
      </c>
      <c r="B978" s="34" t="s">
        <v>713</v>
      </c>
      <c r="C978" s="34" t="s">
        <v>352</v>
      </c>
      <c r="D978" s="34" t="s">
        <v>1167</v>
      </c>
      <c r="E978" s="34" t="s">
        <v>559</v>
      </c>
      <c r="F978" s="53">
        <v>0</v>
      </c>
      <c r="G978" s="53"/>
      <c r="H978" s="53"/>
      <c r="I97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RHM93.1KAHCT-ND</v>
      </c>
      <c r="J97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7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78" s="34" t="s">
        <v>1165</v>
      </c>
      <c r="M978" s="42">
        <v>0.18</v>
      </c>
      <c r="N978" s="34"/>
      <c r="O978" s="42"/>
      <c r="P978" s="34"/>
      <c r="Q978" s="42"/>
      <c r="R978" s="34"/>
      <c r="S978" s="42"/>
      <c r="T978" s="34"/>
      <c r="U978" s="42"/>
      <c r="V978" s="34"/>
      <c r="W978" s="42"/>
      <c r="X978" s="34"/>
      <c r="Y978" s="42"/>
      <c r="Z978" s="42"/>
      <c r="AA978" s="36"/>
      <c r="AB978" s="50"/>
      <c r="AC978" s="56" t="str">
        <f>IF(Table1[[#This Row],[Auto Order]]=1,IF(Table1[[#This Row],[In stock]]&lt;Table1[[#This Row],[Min in stock]],1,""),"")</f>
        <v/>
      </c>
    </row>
    <row r="979" spans="1:29" x14ac:dyDescent="0.25">
      <c r="A979" s="60" t="s">
        <v>1673</v>
      </c>
      <c r="B979" s="34" t="s">
        <v>713</v>
      </c>
      <c r="C979" s="34" t="s">
        <v>352</v>
      </c>
      <c r="D979" s="34" t="s">
        <v>1674</v>
      </c>
      <c r="E979" s="34" t="s">
        <v>559</v>
      </c>
      <c r="F979" s="53">
        <v>0</v>
      </c>
      <c r="G979" s="53"/>
      <c r="H979" s="53"/>
      <c r="I97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RHM9.53KAHCT-ND</v>
      </c>
      <c r="J97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7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79" s="34" t="s">
        <v>1672</v>
      </c>
      <c r="M979" s="42">
        <v>0.18</v>
      </c>
      <c r="N979" s="34"/>
      <c r="O979" s="42"/>
      <c r="P979" s="34"/>
      <c r="Q979" s="42"/>
      <c r="R979" s="34"/>
      <c r="S979" s="42"/>
      <c r="T979" s="34"/>
      <c r="U979" s="42"/>
      <c r="V979" s="34"/>
      <c r="W979" s="42"/>
      <c r="X979" s="34"/>
      <c r="Y979" s="42"/>
      <c r="Z979" s="42"/>
      <c r="AA979" s="36"/>
      <c r="AB979" s="50"/>
      <c r="AC979" s="56" t="str">
        <f>IF(Table1[[#This Row],[Auto Order]]=1,IF(Table1[[#This Row],[In stock]]&lt;Table1[[#This Row],[Min in stock]],1,""),"")</f>
        <v/>
      </c>
    </row>
    <row r="980" spans="1:29" x14ac:dyDescent="0.25">
      <c r="A980" s="60" t="s">
        <v>1323</v>
      </c>
      <c r="B980" s="34" t="s">
        <v>713</v>
      </c>
      <c r="C980" s="34" t="s">
        <v>352</v>
      </c>
      <c r="D980" s="34" t="s">
        <v>1324</v>
      </c>
      <c r="E980" s="34" t="s">
        <v>559</v>
      </c>
      <c r="F980" s="53">
        <v>0</v>
      </c>
      <c r="G980" s="53"/>
      <c r="H980" s="53"/>
      <c r="I98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RHM95.3KAHCT-ND</v>
      </c>
      <c r="J98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8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80" s="34" t="s">
        <v>1322</v>
      </c>
      <c r="M980" s="42">
        <v>0.18</v>
      </c>
      <c r="N980" s="34"/>
      <c r="O980" s="42"/>
      <c r="P980" s="34"/>
      <c r="Q980" s="42"/>
      <c r="R980" s="34"/>
      <c r="S980" s="42"/>
      <c r="T980" s="34"/>
      <c r="U980" s="42"/>
      <c r="V980" s="34"/>
      <c r="W980" s="42"/>
      <c r="X980" s="34"/>
      <c r="Y980" s="42"/>
      <c r="Z980" s="42"/>
      <c r="AA980" s="36"/>
      <c r="AB980" s="50"/>
      <c r="AC980" s="56" t="str">
        <f>IF(Table1[[#This Row],[Auto Order]]=1,IF(Table1[[#This Row],[In stock]]&lt;Table1[[#This Row],[Min in stock]],1,""),"")</f>
        <v/>
      </c>
    </row>
    <row r="981" spans="1:29" x14ac:dyDescent="0.25">
      <c r="A981" s="60" t="s">
        <v>1211</v>
      </c>
      <c r="B981" s="34" t="s">
        <v>713</v>
      </c>
      <c r="C981" s="34" t="s">
        <v>352</v>
      </c>
      <c r="D981" s="34" t="s">
        <v>1212</v>
      </c>
      <c r="E981" s="34" t="s">
        <v>559</v>
      </c>
      <c r="F981" s="53">
        <v>0</v>
      </c>
      <c r="G981" s="53"/>
      <c r="H981" s="53"/>
      <c r="I98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RHM976AHCT-ND</v>
      </c>
      <c r="J98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8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81" s="34" t="s">
        <v>1210</v>
      </c>
      <c r="M981" s="42">
        <v>0.18</v>
      </c>
      <c r="N981" s="34"/>
      <c r="O981" s="42"/>
      <c r="P981" s="34"/>
      <c r="Q981" s="42"/>
      <c r="R981" s="34"/>
      <c r="S981" s="42"/>
      <c r="T981" s="34"/>
      <c r="U981" s="42"/>
      <c r="V981" s="34"/>
      <c r="W981" s="42"/>
      <c r="X981" s="34"/>
      <c r="Y981" s="42"/>
      <c r="Z981" s="42"/>
      <c r="AA981" s="36"/>
      <c r="AB981" s="50"/>
      <c r="AC981" s="56" t="str">
        <f>IF(Table1[[#This Row],[Auto Order]]=1,IF(Table1[[#This Row],[In stock]]&lt;Table1[[#This Row],[Min in stock]],1,""),"")</f>
        <v/>
      </c>
    </row>
    <row r="982" spans="1:29" x14ac:dyDescent="0.25">
      <c r="A982" s="60" t="s">
        <v>1172</v>
      </c>
      <c r="B982" s="34" t="s">
        <v>713</v>
      </c>
      <c r="C982" s="34" t="s">
        <v>352</v>
      </c>
      <c r="D982" s="34" t="s">
        <v>1173</v>
      </c>
      <c r="E982" s="34" t="s">
        <v>559</v>
      </c>
      <c r="F982" s="53">
        <v>0</v>
      </c>
      <c r="G982" s="53"/>
      <c r="H982" s="53"/>
      <c r="I98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RHM9.76KAHCT-ND</v>
      </c>
      <c r="J98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8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82" s="34" t="s">
        <v>1171</v>
      </c>
      <c r="M982" s="42">
        <v>0.18</v>
      </c>
      <c r="N982" s="34"/>
      <c r="O982" s="42"/>
      <c r="P982" s="34"/>
      <c r="Q982" s="42"/>
      <c r="R982" s="34"/>
      <c r="S982" s="42"/>
      <c r="T982" s="34"/>
      <c r="U982" s="42"/>
      <c r="V982" s="34"/>
      <c r="W982" s="42"/>
      <c r="X982" s="34"/>
      <c r="Y982" s="42"/>
      <c r="Z982" s="42"/>
      <c r="AA982" s="36"/>
      <c r="AB982" s="50"/>
      <c r="AC982" s="56" t="str">
        <f>IF(Table1[[#This Row],[Auto Order]]=1,IF(Table1[[#This Row],[In stock]]&lt;Table1[[#This Row],[Min in stock]],1,""),"")</f>
        <v/>
      </c>
    </row>
    <row r="983" spans="1:29" x14ac:dyDescent="0.25">
      <c r="A983" s="60" t="s">
        <v>1047</v>
      </c>
      <c r="B983" s="34" t="s">
        <v>713</v>
      </c>
      <c r="C983" s="34" t="s">
        <v>352</v>
      </c>
      <c r="D983" s="34" t="s">
        <v>1048</v>
      </c>
      <c r="E983" s="34" t="s">
        <v>559</v>
      </c>
      <c r="F983" s="53">
        <v>0</v>
      </c>
      <c r="G983" s="53"/>
      <c r="H983" s="53"/>
      <c r="I98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RHM1.0KBCT-ND</v>
      </c>
      <c r="J98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</v>
      </c>
      <c r="K98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83" s="34" t="s">
        <v>1046</v>
      </c>
      <c r="M983" s="42">
        <v>0.15</v>
      </c>
      <c r="N983" s="34"/>
      <c r="O983" s="42"/>
      <c r="P983" s="34"/>
      <c r="Q983" s="42"/>
      <c r="R983" s="34"/>
      <c r="S983" s="42"/>
      <c r="T983" s="34"/>
      <c r="U983" s="42"/>
      <c r="V983" s="34"/>
      <c r="W983" s="42"/>
      <c r="X983" s="34"/>
      <c r="Y983" s="42"/>
      <c r="Z983" s="42"/>
      <c r="AA983" s="36"/>
      <c r="AB983" s="50"/>
      <c r="AC983" s="56" t="str">
        <f>IF(Table1[[#This Row],[Auto Order]]=1,IF(Table1[[#This Row],[In stock]]&lt;Table1[[#This Row],[Min in stock]],1,""),"")</f>
        <v/>
      </c>
    </row>
    <row r="984" spans="1:29" x14ac:dyDescent="0.25">
      <c r="A984" s="60" t="s">
        <v>1497</v>
      </c>
      <c r="B984" s="34" t="s">
        <v>713</v>
      </c>
      <c r="C984" s="34" t="s">
        <v>352</v>
      </c>
      <c r="D984" s="34" t="s">
        <v>1498</v>
      </c>
      <c r="E984" s="34" t="s">
        <v>559</v>
      </c>
      <c r="F984" s="53">
        <v>0</v>
      </c>
      <c r="G984" s="53"/>
      <c r="H984" s="53"/>
      <c r="I98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RHM10KBCT-ND</v>
      </c>
      <c r="J98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</v>
      </c>
      <c r="K98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84" s="34" t="s">
        <v>1496</v>
      </c>
      <c r="M984" s="42">
        <v>0.15</v>
      </c>
      <c r="N984" s="34"/>
      <c r="O984" s="42"/>
      <c r="P984" s="34"/>
      <c r="Q984" s="42"/>
      <c r="R984" s="34"/>
      <c r="S984" s="42"/>
      <c r="T984" s="34"/>
      <c r="U984" s="42"/>
      <c r="V984" s="34"/>
      <c r="W984" s="42"/>
      <c r="X984" s="34"/>
      <c r="Y984" s="42"/>
      <c r="Z984" s="42"/>
      <c r="AA984" s="36"/>
      <c r="AB984" s="50"/>
      <c r="AC984" s="56" t="str">
        <f>IF(Table1[[#This Row],[Auto Order]]=1,IF(Table1[[#This Row],[In stock]]&lt;Table1[[#This Row],[Min in stock]],1,""),"")</f>
        <v/>
      </c>
    </row>
    <row r="985" spans="1:29" x14ac:dyDescent="0.25">
      <c r="A985" s="60" t="s">
        <v>1679</v>
      </c>
      <c r="B985" s="34" t="s">
        <v>713</v>
      </c>
      <c r="C985" s="34" t="s">
        <v>352</v>
      </c>
      <c r="D985" s="34" t="s">
        <v>1680</v>
      </c>
      <c r="E985" s="34" t="s">
        <v>559</v>
      </c>
      <c r="F985" s="53">
        <v>0</v>
      </c>
      <c r="G985" s="53"/>
      <c r="H985" s="53"/>
      <c r="I98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RHM100KBCT-ND</v>
      </c>
      <c r="J98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</v>
      </c>
      <c r="K98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85" s="34" t="s">
        <v>1678</v>
      </c>
      <c r="M985" s="42">
        <v>0.15</v>
      </c>
      <c r="N985" s="34"/>
      <c r="O985" s="42"/>
      <c r="P985" s="34"/>
      <c r="Q985" s="42"/>
      <c r="R985" s="34"/>
      <c r="S985" s="42"/>
      <c r="T985" s="34"/>
      <c r="U985" s="42"/>
      <c r="V985" s="34"/>
      <c r="W985" s="42"/>
      <c r="X985" s="34"/>
      <c r="Y985" s="42"/>
      <c r="Z985" s="42"/>
      <c r="AA985" s="36"/>
      <c r="AB985" s="50"/>
      <c r="AC985" s="56" t="str">
        <f>IF(Table1[[#This Row],[Auto Order]]=1,IF(Table1[[#This Row],[In stock]]&lt;Table1[[#This Row],[Min in stock]],1,""),"")</f>
        <v/>
      </c>
    </row>
    <row r="986" spans="1:29" x14ac:dyDescent="0.25">
      <c r="A986" s="60" t="s">
        <v>1500</v>
      </c>
      <c r="B986" s="34" t="s">
        <v>713</v>
      </c>
      <c r="C986" s="34" t="s">
        <v>352</v>
      </c>
      <c r="D986" s="34" t="s">
        <v>1501</v>
      </c>
      <c r="E986" s="34" t="s">
        <v>559</v>
      </c>
      <c r="F986" s="53">
        <v>0</v>
      </c>
      <c r="G986" s="53"/>
      <c r="H986" s="53"/>
      <c r="I98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RHM1.0MBCT-ND</v>
      </c>
      <c r="J98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</v>
      </c>
      <c r="K98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86" s="34" t="s">
        <v>1499</v>
      </c>
      <c r="M986" s="42">
        <v>0.15</v>
      </c>
      <c r="N986" s="34"/>
      <c r="O986" s="42"/>
      <c r="P986" s="34"/>
      <c r="Q986" s="42"/>
      <c r="R986" s="34"/>
      <c r="S986" s="42"/>
      <c r="T986" s="34"/>
      <c r="U986" s="42"/>
      <c r="V986" s="34"/>
      <c r="W986" s="42"/>
      <c r="X986" s="34"/>
      <c r="Y986" s="42"/>
      <c r="Z986" s="42"/>
      <c r="AA986" s="36"/>
      <c r="AB986" s="50"/>
      <c r="AC986" s="56" t="str">
        <f>IF(Table1[[#This Row],[Auto Order]]=1,IF(Table1[[#This Row],[In stock]]&lt;Table1[[#This Row],[Min in stock]],1,""),"")</f>
        <v/>
      </c>
    </row>
    <row r="987" spans="1:29" x14ac:dyDescent="0.25">
      <c r="A987" s="60" t="s">
        <v>1676</v>
      </c>
      <c r="B987" s="34" t="s">
        <v>713</v>
      </c>
      <c r="C987" s="34" t="s">
        <v>352</v>
      </c>
      <c r="D987" s="34" t="s">
        <v>1677</v>
      </c>
      <c r="E987" s="34" t="s">
        <v>559</v>
      </c>
      <c r="F987" s="53">
        <v>0</v>
      </c>
      <c r="G987" s="53"/>
      <c r="H987" s="53"/>
      <c r="I98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RHM10MBCT-ND</v>
      </c>
      <c r="J98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</v>
      </c>
      <c r="K98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87" s="34" t="s">
        <v>1675</v>
      </c>
      <c r="M987" s="42">
        <v>0.15</v>
      </c>
      <c r="N987" s="34"/>
      <c r="O987" s="42"/>
      <c r="P987" s="34"/>
      <c r="Q987" s="42"/>
      <c r="R987" s="34"/>
      <c r="S987" s="42"/>
      <c r="T987" s="34"/>
      <c r="U987" s="42"/>
      <c r="V987" s="34"/>
      <c r="W987" s="42"/>
      <c r="X987" s="34"/>
      <c r="Y987" s="42"/>
      <c r="Z987" s="42"/>
      <c r="AA987" s="36"/>
      <c r="AB987" s="50"/>
      <c r="AC987" s="56" t="str">
        <f>IF(Table1[[#This Row],[Auto Order]]=1,IF(Table1[[#This Row],[In stock]]&lt;Table1[[#This Row],[Min in stock]],1,""),"")</f>
        <v/>
      </c>
    </row>
    <row r="988" spans="1:29" x14ac:dyDescent="0.25">
      <c r="A988" s="60" t="s">
        <v>1547</v>
      </c>
      <c r="B988" s="34" t="s">
        <v>713</v>
      </c>
      <c r="C988" s="34" t="s">
        <v>352</v>
      </c>
      <c r="D988" s="34" t="s">
        <v>1548</v>
      </c>
      <c r="E988" s="34" t="s">
        <v>559</v>
      </c>
      <c r="F988" s="53">
        <v>0</v>
      </c>
      <c r="G988" s="53"/>
      <c r="H988" s="53"/>
      <c r="I98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RHM2.0MBCT-ND</v>
      </c>
      <c r="J98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</v>
      </c>
      <c r="K98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88" s="34" t="s">
        <v>1546</v>
      </c>
      <c r="M988" s="42">
        <v>0.15</v>
      </c>
      <c r="N988" s="34"/>
      <c r="O988" s="42"/>
      <c r="P988" s="34"/>
      <c r="Q988" s="42"/>
      <c r="R988" s="34"/>
      <c r="S988" s="42"/>
      <c r="T988" s="34"/>
      <c r="U988" s="42"/>
      <c r="V988" s="34"/>
      <c r="W988" s="42"/>
      <c r="X988" s="34"/>
      <c r="Y988" s="42"/>
      <c r="Z988" s="42"/>
      <c r="AA988" s="36"/>
      <c r="AB988" s="50"/>
      <c r="AC988" s="56" t="str">
        <f>IF(Table1[[#This Row],[Auto Order]]=1,IF(Table1[[#This Row],[In stock]]&lt;Table1[[#This Row],[Min in stock]],1,""),"")</f>
        <v/>
      </c>
    </row>
    <row r="989" spans="1:29" x14ac:dyDescent="0.25">
      <c r="A989" s="60" t="s">
        <v>1050</v>
      </c>
      <c r="B989" s="34" t="s">
        <v>713</v>
      </c>
      <c r="C989" s="34" t="s">
        <v>352</v>
      </c>
      <c r="D989" s="34" t="s">
        <v>1051</v>
      </c>
      <c r="E989" s="34" t="s">
        <v>559</v>
      </c>
      <c r="F989" s="53">
        <v>0</v>
      </c>
      <c r="G989" s="53"/>
      <c r="H989" s="53"/>
      <c r="I98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RHM22KBCT-ND</v>
      </c>
      <c r="J98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</v>
      </c>
      <c r="K98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89" s="34" t="s">
        <v>1049</v>
      </c>
      <c r="M989" s="42">
        <v>0.15</v>
      </c>
      <c r="N989" s="34"/>
      <c r="O989" s="42"/>
      <c r="P989" s="34"/>
      <c r="Q989" s="42"/>
      <c r="R989" s="34"/>
      <c r="S989" s="42"/>
      <c r="T989" s="34"/>
      <c r="U989" s="42"/>
      <c r="V989" s="34"/>
      <c r="W989" s="42"/>
      <c r="X989" s="34"/>
      <c r="Y989" s="42"/>
      <c r="Z989" s="42"/>
      <c r="AA989" s="36"/>
      <c r="AB989" s="50"/>
      <c r="AC989" s="56" t="str">
        <f>IF(Table1[[#This Row],[Auto Order]]=1,IF(Table1[[#This Row],[In stock]]&lt;Table1[[#This Row],[Min in stock]],1,""),"")</f>
        <v/>
      </c>
    </row>
    <row r="990" spans="1:29" x14ac:dyDescent="0.25">
      <c r="A990" s="60" t="s">
        <v>1506</v>
      </c>
      <c r="B990" s="34" t="s">
        <v>713</v>
      </c>
      <c r="C990" s="34" t="s">
        <v>352</v>
      </c>
      <c r="D990" s="34" t="s">
        <v>1507</v>
      </c>
      <c r="E990" s="34" t="s">
        <v>559</v>
      </c>
      <c r="F990" s="53">
        <v>0</v>
      </c>
      <c r="G990" s="53"/>
      <c r="H990" s="53"/>
      <c r="I99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RHM2.2MBCT-ND</v>
      </c>
      <c r="J99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</v>
      </c>
      <c r="K99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90" s="34" t="s">
        <v>1505</v>
      </c>
      <c r="M990" s="42">
        <v>0.15</v>
      </c>
      <c r="N990" s="34"/>
      <c r="O990" s="42"/>
      <c r="P990" s="34"/>
      <c r="Q990" s="42"/>
      <c r="R990" s="34"/>
      <c r="S990" s="42"/>
      <c r="T990" s="34"/>
      <c r="U990" s="42"/>
      <c r="V990" s="34"/>
      <c r="W990" s="42"/>
      <c r="X990" s="34"/>
      <c r="Y990" s="42"/>
      <c r="Z990" s="42"/>
      <c r="AA990" s="36"/>
      <c r="AB990" s="50"/>
      <c r="AC990" s="56" t="str">
        <f>IF(Table1[[#This Row],[Auto Order]]=1,IF(Table1[[#This Row],[In stock]]&lt;Table1[[#This Row],[Min in stock]],1,""),"")</f>
        <v/>
      </c>
    </row>
    <row r="991" spans="1:29" x14ac:dyDescent="0.25">
      <c r="A991" s="60" t="s">
        <v>1685</v>
      </c>
      <c r="B991" s="34" t="s">
        <v>713</v>
      </c>
      <c r="C991" s="34" t="s">
        <v>352</v>
      </c>
      <c r="D991" s="34" t="s">
        <v>1686</v>
      </c>
      <c r="E991" s="34" t="s">
        <v>559</v>
      </c>
      <c r="F991" s="53">
        <v>0</v>
      </c>
      <c r="G991" s="53"/>
      <c r="H991" s="53"/>
      <c r="I99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RHM300BCT-ND</v>
      </c>
      <c r="J99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</v>
      </c>
      <c r="K99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91" s="34" t="s">
        <v>1684</v>
      </c>
      <c r="M991" s="42">
        <v>0.15</v>
      </c>
      <c r="N991" s="34"/>
      <c r="O991" s="42"/>
      <c r="P991" s="34"/>
      <c r="Q991" s="42"/>
      <c r="R991" s="34"/>
      <c r="S991" s="42"/>
      <c r="T991" s="34"/>
      <c r="U991" s="42"/>
      <c r="V991" s="34"/>
      <c r="W991" s="42"/>
      <c r="X991" s="34"/>
      <c r="Y991" s="42"/>
      <c r="Z991" s="42"/>
      <c r="AA991" s="36"/>
      <c r="AB991" s="50"/>
      <c r="AC991" s="56" t="str">
        <f>IF(Table1[[#This Row],[Auto Order]]=1,IF(Table1[[#This Row],[In stock]]&lt;Table1[[#This Row],[Min in stock]],1,""),"")</f>
        <v/>
      </c>
    </row>
    <row r="992" spans="1:29" x14ac:dyDescent="0.25">
      <c r="A992" s="60" t="s">
        <v>1503</v>
      </c>
      <c r="B992" s="34" t="s">
        <v>713</v>
      </c>
      <c r="C992" s="34" t="s">
        <v>352</v>
      </c>
      <c r="D992" s="34" t="s">
        <v>1504</v>
      </c>
      <c r="E992" s="34" t="s">
        <v>559</v>
      </c>
      <c r="F992" s="53">
        <v>0</v>
      </c>
      <c r="G992" s="53"/>
      <c r="H992" s="53"/>
      <c r="I99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RHM30MBCT-ND</v>
      </c>
      <c r="J99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</v>
      </c>
      <c r="K99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92" s="34" t="s">
        <v>1502</v>
      </c>
      <c r="M992" s="42">
        <v>0.15</v>
      </c>
      <c r="N992" s="34"/>
      <c r="O992" s="42"/>
      <c r="P992" s="34"/>
      <c r="Q992" s="42"/>
      <c r="R992" s="34"/>
      <c r="S992" s="42"/>
      <c r="T992" s="34"/>
      <c r="U992" s="42"/>
      <c r="V992" s="34"/>
      <c r="W992" s="42"/>
      <c r="X992" s="34"/>
      <c r="Y992" s="42"/>
      <c r="Z992" s="42"/>
      <c r="AA992" s="36"/>
      <c r="AB992" s="50"/>
      <c r="AC992" s="56" t="str">
        <f>IF(Table1[[#This Row],[Auto Order]]=1,IF(Table1[[#This Row],[In stock]]&lt;Table1[[#This Row],[Min in stock]],1,""),"")</f>
        <v/>
      </c>
    </row>
    <row r="993" spans="1:29" x14ac:dyDescent="0.25">
      <c r="A993" s="60" t="s">
        <v>1053</v>
      </c>
      <c r="B993" s="34" t="s">
        <v>713</v>
      </c>
      <c r="C993" s="34" t="s">
        <v>352</v>
      </c>
      <c r="D993" s="34" t="s">
        <v>1054</v>
      </c>
      <c r="E993" s="34" t="s">
        <v>559</v>
      </c>
      <c r="F993" s="53">
        <v>0</v>
      </c>
      <c r="G993" s="53"/>
      <c r="H993" s="53"/>
      <c r="I99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RHM330KBCT-ND</v>
      </c>
      <c r="J99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</v>
      </c>
      <c r="K99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93" s="34" t="s">
        <v>1052</v>
      </c>
      <c r="M993" s="42">
        <v>0.15</v>
      </c>
      <c r="N993" s="34"/>
      <c r="O993" s="42"/>
      <c r="P993" s="34"/>
      <c r="Q993" s="42"/>
      <c r="R993" s="34"/>
      <c r="S993" s="42"/>
      <c r="T993" s="34"/>
      <c r="U993" s="42"/>
      <c r="V993" s="34"/>
      <c r="W993" s="42"/>
      <c r="X993" s="34"/>
      <c r="Y993" s="42"/>
      <c r="Z993" s="42"/>
      <c r="AA993" s="36"/>
      <c r="AB993" s="50"/>
      <c r="AC993" s="56" t="str">
        <f>IF(Table1[[#This Row],[Auto Order]]=1,IF(Table1[[#This Row],[In stock]]&lt;Table1[[#This Row],[Min in stock]],1,""),"")</f>
        <v/>
      </c>
    </row>
    <row r="994" spans="1:29" x14ac:dyDescent="0.25">
      <c r="A994" s="60" t="s">
        <v>1682</v>
      </c>
      <c r="B994" s="34" t="s">
        <v>713</v>
      </c>
      <c r="C994" s="34" t="s">
        <v>352</v>
      </c>
      <c r="D994" s="34" t="s">
        <v>1683</v>
      </c>
      <c r="E994" s="34" t="s">
        <v>559</v>
      </c>
      <c r="F994" s="53">
        <v>0</v>
      </c>
      <c r="G994" s="53"/>
      <c r="H994" s="53"/>
      <c r="I99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RHM47BCT-ND</v>
      </c>
      <c r="J99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</v>
      </c>
      <c r="K99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94" s="34" t="s">
        <v>1681</v>
      </c>
      <c r="M994" s="42">
        <v>0.15</v>
      </c>
      <c r="N994" s="34"/>
      <c r="O994" s="42"/>
      <c r="P994" s="34"/>
      <c r="Q994" s="42"/>
      <c r="R994" s="34"/>
      <c r="S994" s="42"/>
      <c r="T994" s="34"/>
      <c r="U994" s="42"/>
      <c r="V994" s="34"/>
      <c r="W994" s="42"/>
      <c r="X994" s="34"/>
      <c r="Y994" s="42"/>
      <c r="Z994" s="42"/>
      <c r="AA994" s="36"/>
      <c r="AB994" s="50"/>
      <c r="AC994" s="56" t="str">
        <f>IF(Table1[[#This Row],[Auto Order]]=1,IF(Table1[[#This Row],[In stock]]&lt;Table1[[#This Row],[Min in stock]],1,""),"")</f>
        <v/>
      </c>
    </row>
    <row r="995" spans="1:29" x14ac:dyDescent="0.25">
      <c r="A995" s="60" t="s">
        <v>766</v>
      </c>
      <c r="B995" s="34" t="s">
        <v>713</v>
      </c>
      <c r="C995" s="34" t="s">
        <v>352</v>
      </c>
      <c r="D995" s="34" t="s">
        <v>767</v>
      </c>
      <c r="E995" s="34" t="s">
        <v>559</v>
      </c>
      <c r="F995" s="53">
        <v>0</v>
      </c>
      <c r="G995" s="53"/>
      <c r="H995" s="53"/>
      <c r="I99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RHM470KBCT-ND</v>
      </c>
      <c r="J99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</v>
      </c>
      <c r="K99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95" s="34" t="s">
        <v>765</v>
      </c>
      <c r="M995" s="42">
        <v>0.15</v>
      </c>
      <c r="N995" s="34"/>
      <c r="O995" s="42"/>
      <c r="P995" s="34"/>
      <c r="Q995" s="42"/>
      <c r="R995" s="34"/>
      <c r="S995" s="42"/>
      <c r="T995" s="34"/>
      <c r="U995" s="42"/>
      <c r="V995" s="34"/>
      <c r="W995" s="42"/>
      <c r="X995" s="34"/>
      <c r="Y995" s="42"/>
      <c r="Z995" s="42"/>
      <c r="AA995" s="36"/>
      <c r="AB995" s="50"/>
      <c r="AC995" s="56" t="str">
        <f>IF(Table1[[#This Row],[Auto Order]]=1,IF(Table1[[#This Row],[In stock]]&lt;Table1[[#This Row],[Min in stock]],1,""),"")</f>
        <v/>
      </c>
    </row>
    <row r="996" spans="1:29" x14ac:dyDescent="0.25">
      <c r="A996" s="60" t="s">
        <v>1881</v>
      </c>
      <c r="B996" s="34" t="s">
        <v>713</v>
      </c>
      <c r="C996" s="34" t="s">
        <v>352</v>
      </c>
      <c r="D996" s="34" t="s">
        <v>1882</v>
      </c>
      <c r="E996" s="34" t="s">
        <v>559</v>
      </c>
      <c r="F996" s="53">
        <v>0</v>
      </c>
      <c r="G996" s="53">
        <v>100</v>
      </c>
      <c r="H996" s="53">
        <f>1</f>
        <v>1</v>
      </c>
      <c r="I99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RHM4.7KDCT-ND</v>
      </c>
      <c r="J99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3.2099999999999997E-2</v>
      </c>
      <c r="K99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96" s="34" t="s">
        <v>1880</v>
      </c>
      <c r="M996" s="42">
        <v>3.2099999999999997E-2</v>
      </c>
      <c r="N996" s="34"/>
      <c r="O996" s="42"/>
      <c r="P996" s="34"/>
      <c r="Q996" s="42"/>
      <c r="R996" s="34"/>
      <c r="S996" s="42"/>
      <c r="T996" s="34"/>
      <c r="U996" s="42"/>
      <c r="V996" s="34"/>
      <c r="W996" s="42"/>
      <c r="X996" s="34"/>
      <c r="Y996" s="42"/>
      <c r="Z996" s="42"/>
      <c r="AA996" s="36"/>
      <c r="AB996" s="50"/>
      <c r="AC996" s="56">
        <f>IF(Table1[[#This Row],[Auto Order]]=1,IF(Table1[[#This Row],[In stock]]&lt;Table1[[#This Row],[Min in stock]],1,""),"")</f>
        <v>1</v>
      </c>
    </row>
    <row r="997" spans="1:29" x14ac:dyDescent="0.25">
      <c r="A997" s="52" t="s">
        <v>123</v>
      </c>
      <c r="B997" s="34" t="s">
        <v>91</v>
      </c>
      <c r="C997" s="34" t="s">
        <v>352</v>
      </c>
      <c r="D997" s="34" t="s">
        <v>122</v>
      </c>
      <c r="E997" s="34" t="s">
        <v>553</v>
      </c>
      <c r="F997" s="53">
        <v>19</v>
      </c>
      <c r="G997" s="53">
        <v>2</v>
      </c>
      <c r="H997" s="53">
        <f>1</f>
        <v>1</v>
      </c>
      <c r="I99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A120350-ND</v>
      </c>
      <c r="J99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0.28000000000000003</v>
      </c>
      <c r="K99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97" s="34" t="s">
        <v>467</v>
      </c>
      <c r="M997" s="42">
        <v>0.28000000000000003</v>
      </c>
      <c r="N997" s="34" t="s">
        <v>124</v>
      </c>
      <c r="O997" s="42">
        <v>0.191</v>
      </c>
      <c r="P997" s="34"/>
      <c r="Q997" s="42"/>
      <c r="R997" s="34"/>
      <c r="S997" s="42"/>
      <c r="T997" s="34"/>
      <c r="U997" s="42"/>
      <c r="V997" s="34"/>
      <c r="W997" s="42"/>
      <c r="X997" s="34"/>
      <c r="Y997" s="42">
        <v>0.191</v>
      </c>
      <c r="Z997" s="42"/>
      <c r="AA997" s="36"/>
      <c r="AB997" s="50"/>
      <c r="AC997" s="35" t="str">
        <f>IF(Table1[[#This Row],[Auto Order]]=1,IF(Table1[[#This Row],[In stock]]&lt;Table1[[#This Row],[Min in stock]],1,""),"")</f>
        <v/>
      </c>
    </row>
    <row r="998" spans="1:29" x14ac:dyDescent="0.25">
      <c r="A998" s="52" t="s">
        <v>133</v>
      </c>
      <c r="B998" s="34" t="s">
        <v>7</v>
      </c>
      <c r="C998" s="34" t="s">
        <v>352</v>
      </c>
      <c r="D998" s="34" t="s">
        <v>132</v>
      </c>
      <c r="E998" s="34" t="s">
        <v>553</v>
      </c>
      <c r="F998" s="53">
        <v>10</v>
      </c>
      <c r="G998" s="53">
        <v>2</v>
      </c>
      <c r="H998" s="53">
        <f>1</f>
        <v>1</v>
      </c>
      <c r="I99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3M5475-ND</v>
      </c>
      <c r="J99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0.61</v>
      </c>
      <c r="K99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98" s="34" t="s">
        <v>471</v>
      </c>
      <c r="M998" s="42">
        <v>0.61</v>
      </c>
      <c r="N998" s="34" t="s">
        <v>134</v>
      </c>
      <c r="O998" s="42">
        <v>0.34899999999999998</v>
      </c>
      <c r="P998" s="34"/>
      <c r="Q998" s="42"/>
      <c r="R998" s="34"/>
      <c r="S998" s="42"/>
      <c r="T998" s="34"/>
      <c r="U998" s="42"/>
      <c r="V998" s="34"/>
      <c r="W998" s="42"/>
      <c r="X998" s="34"/>
      <c r="Y998" s="42">
        <v>0.34899999999999998</v>
      </c>
      <c r="Z998" s="42"/>
      <c r="AA998" s="36"/>
      <c r="AB998" s="50"/>
      <c r="AC998" s="35" t="str">
        <f>IF(Table1[[#This Row],[Auto Order]]=1,IF(Table1[[#This Row],[In stock]]&lt;Table1[[#This Row],[Min in stock]],1,""),"")</f>
        <v/>
      </c>
    </row>
    <row r="999" spans="1:29" x14ac:dyDescent="0.25">
      <c r="A999" s="52" t="s">
        <v>120</v>
      </c>
      <c r="B999" s="34" t="s">
        <v>33</v>
      </c>
      <c r="C999" s="34" t="s">
        <v>352</v>
      </c>
      <c r="D999" s="34" t="s">
        <v>119</v>
      </c>
      <c r="E999" s="34" t="s">
        <v>553</v>
      </c>
      <c r="F999" s="53">
        <v>15</v>
      </c>
      <c r="G999" s="53">
        <v>2</v>
      </c>
      <c r="H999" s="53">
        <f>1</f>
        <v>1</v>
      </c>
      <c r="I99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2678574</v>
      </c>
      <c r="J99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0.26500000000000001</v>
      </c>
      <c r="K99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Farnell</v>
      </c>
      <c r="L999" s="34"/>
      <c r="M999" s="42"/>
      <c r="N999" s="34" t="s">
        <v>121</v>
      </c>
      <c r="O999" s="42">
        <v>0.26500000000000001</v>
      </c>
      <c r="P999" s="34"/>
      <c r="Q999" s="42"/>
      <c r="R999" s="34"/>
      <c r="S999" s="42"/>
      <c r="T999" s="34"/>
      <c r="U999" s="42"/>
      <c r="V999" s="34"/>
      <c r="W999" s="42"/>
      <c r="X999" s="34"/>
      <c r="Y999" s="42">
        <v>0.26500000000000001</v>
      </c>
      <c r="Z999" s="42"/>
      <c r="AA999" s="36"/>
      <c r="AB999" s="50"/>
      <c r="AC999" s="35" t="str">
        <f>IF(Table1[[#This Row],[Auto Order]]=1,IF(Table1[[#This Row],[In stock]]&lt;Table1[[#This Row],[Min in stock]],1,""),"")</f>
        <v/>
      </c>
    </row>
    <row r="1000" spans="1:29" x14ac:dyDescent="0.25">
      <c r="A1000" s="52" t="s">
        <v>238</v>
      </c>
      <c r="B1000" s="34" t="s">
        <v>239</v>
      </c>
      <c r="C1000" s="34" t="s">
        <v>352</v>
      </c>
      <c r="D1000" s="34" t="s">
        <v>240</v>
      </c>
      <c r="E1000" s="34" t="s">
        <v>548</v>
      </c>
      <c r="F1000" s="53">
        <v>4</v>
      </c>
      <c r="G1000" s="53">
        <v>2</v>
      </c>
      <c r="H1000" s="53">
        <f>1</f>
        <v>1</v>
      </c>
      <c r="I100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1-1825059-3-ND</v>
      </c>
      <c r="J100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0.85</v>
      </c>
      <c r="K100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000" s="34" t="s">
        <v>237</v>
      </c>
      <c r="M1000" s="42">
        <v>0.85</v>
      </c>
      <c r="N1000" s="34"/>
      <c r="O1000" s="42"/>
      <c r="P1000" s="34"/>
      <c r="Q1000" s="42"/>
      <c r="R1000" s="34"/>
      <c r="S1000" s="42"/>
      <c r="T1000" s="34"/>
      <c r="U1000" s="42"/>
      <c r="V1000" s="34"/>
      <c r="W1000" s="42"/>
      <c r="X1000" s="34"/>
      <c r="Y1000" s="42"/>
      <c r="Z1000" s="42"/>
      <c r="AA1000" s="36"/>
      <c r="AB1000" s="50"/>
      <c r="AC1000" s="35" t="str">
        <f>IF(Table1[[#This Row],[Auto Order]]=1,IF(Table1[[#This Row],[In stock]]&lt;Table1[[#This Row],[Min in stock]],1,""),"")</f>
        <v/>
      </c>
    </row>
    <row r="1001" spans="1:29" x14ac:dyDescent="0.25">
      <c r="A1001" s="52" t="s">
        <v>234</v>
      </c>
      <c r="B1001" s="34" t="s">
        <v>235</v>
      </c>
      <c r="C1001" s="34" t="s">
        <v>352</v>
      </c>
      <c r="D1001" s="34" t="s">
        <v>236</v>
      </c>
      <c r="E1001" s="34" t="s">
        <v>548</v>
      </c>
      <c r="F1001" s="53">
        <v>4</v>
      </c>
      <c r="G1001" s="53">
        <v>2</v>
      </c>
      <c r="H1001" s="53">
        <f>1</f>
        <v>1</v>
      </c>
      <c r="I100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679-3547-ND</v>
      </c>
      <c r="J100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1.39</v>
      </c>
      <c r="K100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001" s="34" t="s">
        <v>233</v>
      </c>
      <c r="M1001" s="42">
        <v>1.39</v>
      </c>
      <c r="N1001" s="34"/>
      <c r="O1001" s="42"/>
      <c r="P1001" s="34"/>
      <c r="Q1001" s="42"/>
      <c r="R1001" s="34"/>
      <c r="S1001" s="42"/>
      <c r="T1001" s="34"/>
      <c r="U1001" s="42"/>
      <c r="V1001" s="34"/>
      <c r="W1001" s="42"/>
      <c r="X1001" s="34"/>
      <c r="Y1001" s="42"/>
      <c r="Z1001" s="42"/>
      <c r="AA1001" s="36"/>
      <c r="AB1001" s="50"/>
      <c r="AC1001" s="35" t="str">
        <f>IF(Table1[[#This Row],[Auto Order]]=1,IF(Table1[[#This Row],[In stock]]&lt;Table1[[#This Row],[Min in stock]],1,""),"")</f>
        <v/>
      </c>
    </row>
    <row r="1002" spans="1:29" x14ac:dyDescent="0.25">
      <c r="A1002" s="52" t="s">
        <v>347</v>
      </c>
      <c r="B1002" s="34" t="s">
        <v>348</v>
      </c>
      <c r="C1002" s="34" t="s">
        <v>352</v>
      </c>
      <c r="D1002" s="34" t="s">
        <v>349</v>
      </c>
      <c r="E1002" s="34" t="s">
        <v>556</v>
      </c>
      <c r="F1002" s="53">
        <v>1</v>
      </c>
      <c r="G1002" s="53"/>
      <c r="H1002" s="53"/>
      <c r="I100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1558118 - 62</v>
      </c>
      <c r="J100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399.95</v>
      </c>
      <c r="K100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Conrad</v>
      </c>
      <c r="L1002" s="34"/>
      <c r="M1002" s="42"/>
      <c r="N1002" s="34"/>
      <c r="O1002" s="42"/>
      <c r="P1002" s="34"/>
      <c r="Q1002" s="42"/>
      <c r="R1002" s="34" t="s">
        <v>346</v>
      </c>
      <c r="S1002" s="42">
        <v>399.95</v>
      </c>
      <c r="T1002" s="34"/>
      <c r="U1002" s="42"/>
      <c r="V1002" s="34"/>
      <c r="W1002" s="42"/>
      <c r="X1002" s="34"/>
      <c r="Y1002" s="42"/>
      <c r="Z1002" s="42"/>
      <c r="AA1002" s="36"/>
      <c r="AB1002" s="50"/>
      <c r="AC1002" s="35" t="str">
        <f>IF(Table1[[#This Row],[Auto Order]]=1,IF(Table1[[#This Row],[In stock]]&lt;Table1[[#This Row],[Min in stock]],1,""),"")</f>
        <v/>
      </c>
    </row>
    <row r="1003" spans="1:29" x14ac:dyDescent="0.25">
      <c r="A1003" s="52" t="s">
        <v>329</v>
      </c>
      <c r="B1003" s="34" t="s">
        <v>330</v>
      </c>
      <c r="C1003" s="34" t="s">
        <v>352</v>
      </c>
      <c r="D1003" s="34" t="s">
        <v>331</v>
      </c>
      <c r="E1003" s="34" t="s">
        <v>556</v>
      </c>
      <c r="F1003" s="53">
        <v>0</v>
      </c>
      <c r="G1003" s="53">
        <v>1</v>
      </c>
      <c r="H1003" s="53">
        <f>1</f>
        <v>1</v>
      </c>
      <c r="I100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301-18-567</v>
      </c>
      <c r="J100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14.6</v>
      </c>
      <c r="K100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Distrelec</v>
      </c>
      <c r="L1003" s="34"/>
      <c r="M1003" s="42"/>
      <c r="N1003" s="34"/>
      <c r="O1003" s="42"/>
      <c r="P1003" s="34" t="s">
        <v>328</v>
      </c>
      <c r="Q1003" s="42">
        <v>14.6</v>
      </c>
      <c r="R1003" s="34"/>
      <c r="S1003" s="42"/>
      <c r="T1003" s="34"/>
      <c r="U1003" s="42"/>
      <c r="V1003" s="34"/>
      <c r="W1003" s="42"/>
      <c r="X1003" s="34"/>
      <c r="Y1003" s="42"/>
      <c r="Z1003" s="42"/>
      <c r="AA1003" s="36"/>
      <c r="AB1003" s="50"/>
      <c r="AC1003" s="35">
        <f>IF(Table1[[#This Row],[Auto Order]]=1,IF(Table1[[#This Row],[In stock]]&lt;Table1[[#This Row],[Min in stock]],1,""),"")</f>
        <v>1</v>
      </c>
    </row>
    <row r="1004" spans="1:29" x14ac:dyDescent="0.25">
      <c r="A1004" s="52" t="s">
        <v>38</v>
      </c>
      <c r="B1004" s="34" t="s">
        <v>92</v>
      </c>
      <c r="C1004" s="34" t="s">
        <v>352</v>
      </c>
      <c r="D1004" s="34" t="s">
        <v>37</v>
      </c>
      <c r="E1004" s="34" t="s">
        <v>555</v>
      </c>
      <c r="F1004" s="53">
        <v>2</v>
      </c>
      <c r="G1004" s="53"/>
      <c r="H1004" s="53"/>
      <c r="I100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3006P-1-100LF-ND</v>
      </c>
      <c r="J100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2.08</v>
      </c>
      <c r="K100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004" s="34" t="s">
        <v>168</v>
      </c>
      <c r="M1004" s="42">
        <v>2.08</v>
      </c>
      <c r="N1004" s="34">
        <v>9352260</v>
      </c>
      <c r="O1004" s="42">
        <v>2.76</v>
      </c>
      <c r="P1004" s="34"/>
      <c r="Q1004" s="42"/>
      <c r="R1004" s="34"/>
      <c r="S1004" s="42"/>
      <c r="T1004" s="34"/>
      <c r="U1004" s="42"/>
      <c r="V1004" s="34"/>
      <c r="W1004" s="42"/>
      <c r="X1004" s="34"/>
      <c r="Y1004" s="42">
        <v>2.76</v>
      </c>
      <c r="Z1004" s="42"/>
      <c r="AA1004" s="36"/>
      <c r="AB1004" s="50"/>
      <c r="AC1004" s="35" t="str">
        <f>IF(Table1[[#This Row],[Auto Order]]=1,IF(Table1[[#This Row],[In stock]]&lt;Table1[[#This Row],[Min in stock]],1,""),"")</f>
        <v/>
      </c>
    </row>
    <row r="1005" spans="1:29" x14ac:dyDescent="0.25">
      <c r="A1005" s="52" t="s">
        <v>49</v>
      </c>
      <c r="B1005" s="34" t="s">
        <v>48</v>
      </c>
      <c r="C1005" s="34" t="s">
        <v>352</v>
      </c>
      <c r="D1005" s="34" t="s">
        <v>47</v>
      </c>
      <c r="E1005" s="34" t="s">
        <v>555</v>
      </c>
      <c r="F1005" s="53">
        <v>1</v>
      </c>
      <c r="G1005" s="53"/>
      <c r="H1005" s="53"/>
      <c r="I100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T93XA-100K-ND</v>
      </c>
      <c r="J100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1.81</v>
      </c>
      <c r="K100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005" s="34" t="s">
        <v>478</v>
      </c>
      <c r="M1005" s="42">
        <v>1.81</v>
      </c>
      <c r="N1005" s="34">
        <v>1141380</v>
      </c>
      <c r="O1005" s="42">
        <v>1.62</v>
      </c>
      <c r="P1005" s="34"/>
      <c r="Q1005" s="42"/>
      <c r="R1005" s="34"/>
      <c r="S1005" s="42"/>
      <c r="T1005" s="34"/>
      <c r="U1005" s="42"/>
      <c r="V1005" s="34"/>
      <c r="W1005" s="42"/>
      <c r="X1005" s="34"/>
      <c r="Y1005" s="42">
        <v>1.62</v>
      </c>
      <c r="Z1005" s="42"/>
      <c r="AA1005" s="36"/>
      <c r="AB1005" s="50"/>
      <c r="AC1005" s="35" t="str">
        <f>IF(Table1[[#This Row],[Auto Order]]=1,IF(Table1[[#This Row],[In stock]]&lt;Table1[[#This Row],[Min in stock]],1,""),"")</f>
        <v/>
      </c>
    </row>
    <row r="1006" spans="1:29" x14ac:dyDescent="0.25">
      <c r="A1006" s="52" t="s">
        <v>487</v>
      </c>
      <c r="B1006" s="34" t="s">
        <v>258</v>
      </c>
      <c r="C1006" s="34" t="s">
        <v>352</v>
      </c>
      <c r="D1006" s="34" t="s">
        <v>270</v>
      </c>
      <c r="E1006" s="34" t="s">
        <v>552</v>
      </c>
      <c r="F1006" s="53">
        <v>3</v>
      </c>
      <c r="G1006" s="53"/>
      <c r="H1006" s="53"/>
      <c r="I100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495-1433-ND</v>
      </c>
      <c r="J100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00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006" s="34" t="s">
        <v>269</v>
      </c>
      <c r="M1006" s="42">
        <v>0.48</v>
      </c>
      <c r="N1006" s="34"/>
      <c r="O1006" s="42"/>
      <c r="P1006" s="34"/>
      <c r="Q1006" s="42"/>
      <c r="R1006" s="34"/>
      <c r="S1006" s="42"/>
      <c r="T1006" s="34"/>
      <c r="U1006" s="42"/>
      <c r="V1006" s="34"/>
      <c r="W1006" s="42"/>
      <c r="X1006" s="34"/>
      <c r="Y1006" s="42"/>
      <c r="Z1006" s="42"/>
      <c r="AA1006" s="36"/>
      <c r="AB1006" s="50"/>
      <c r="AC1006" s="35" t="str">
        <f>IF(Table1[[#This Row],[Auto Order]]=1,IF(Table1[[#This Row],[In stock]]&lt;Table1[[#This Row],[Min in stock]],1,""),"")</f>
        <v/>
      </c>
    </row>
    <row r="1007" spans="1:29" x14ac:dyDescent="0.25">
      <c r="A1007" s="60" t="s">
        <v>3100</v>
      </c>
      <c r="B1007" s="34" t="s">
        <v>3103</v>
      </c>
      <c r="C1007" s="34" t="s">
        <v>352</v>
      </c>
      <c r="D1007" s="34" t="s">
        <v>3101</v>
      </c>
      <c r="E1007" s="34" t="s">
        <v>568</v>
      </c>
      <c r="F1007" s="53">
        <v>0</v>
      </c>
      <c r="G1007" s="53"/>
      <c r="H1007" s="53"/>
      <c r="I100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SRB53-TCBC-ND</v>
      </c>
      <c r="J100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15.8</v>
      </c>
      <c r="K100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007" s="34" t="s">
        <v>3102</v>
      </c>
      <c r="M1007" s="42">
        <v>15.8</v>
      </c>
      <c r="N1007" s="34"/>
      <c r="O1007" s="42"/>
      <c r="P1007" s="34"/>
      <c r="Q1007" s="42"/>
      <c r="R1007" s="34"/>
      <c r="S1007" s="42"/>
      <c r="T1007" s="34"/>
      <c r="U1007" s="42"/>
      <c r="V1007" s="34"/>
      <c r="W1007" s="42"/>
      <c r="X1007" s="34"/>
      <c r="Y1007" s="42"/>
      <c r="Z1007" s="42"/>
      <c r="AA1007" s="36"/>
      <c r="AB1007" s="50"/>
      <c r="AC1007" s="56" t="str">
        <f>IF(Table1[[#This Row],[Auto Order]]=1,IF(Table1[[#This Row],[In stock]]&lt;Table1[[#This Row],[Min in stock]],1,""),"")</f>
        <v/>
      </c>
    </row>
    <row r="1008" spans="1:29" x14ac:dyDescent="0.25">
      <c r="A1008" s="60" t="s">
        <v>3104</v>
      </c>
      <c r="B1008" s="34" t="s">
        <v>3105</v>
      </c>
      <c r="C1008" s="34" t="s">
        <v>352</v>
      </c>
      <c r="D1008" s="34" t="s">
        <v>3106</v>
      </c>
      <c r="E1008" s="34" t="s">
        <v>568</v>
      </c>
      <c r="F1008" s="53">
        <v>0</v>
      </c>
      <c r="G1008" s="53"/>
      <c r="H1008" s="53"/>
      <c r="I100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HM5785-ND</v>
      </c>
      <c r="J100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9.6999999999999993</v>
      </c>
      <c r="K100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008" s="34" t="s">
        <v>3107</v>
      </c>
      <c r="M1008" s="42">
        <v>9.6999999999999993</v>
      </c>
      <c r="N1008" s="34"/>
      <c r="O1008" s="42"/>
      <c r="P1008" s="34"/>
      <c r="Q1008" s="42"/>
      <c r="R1008" s="34"/>
      <c r="S1008" s="42"/>
      <c r="T1008" s="34"/>
      <c r="U1008" s="42"/>
      <c r="V1008" s="34"/>
      <c r="W1008" s="42"/>
      <c r="X1008" s="34"/>
      <c r="Y1008" s="42"/>
      <c r="Z1008" s="42"/>
      <c r="AA1008" s="36"/>
      <c r="AB1008" s="50"/>
      <c r="AC1008" s="56" t="str">
        <f>IF(Table1[[#This Row],[Auto Order]]=1,IF(Table1[[#This Row],[In stock]]&lt;Table1[[#This Row],[Min in stock]],1,""),"")</f>
        <v/>
      </c>
    </row>
    <row r="1009" spans="1:29" x14ac:dyDescent="0.25">
      <c r="A1009" s="62" t="s">
        <v>655</v>
      </c>
      <c r="B1009" s="34" t="s">
        <v>251</v>
      </c>
      <c r="C1009" s="34" t="s">
        <v>352</v>
      </c>
      <c r="D1009" s="34" t="s">
        <v>657</v>
      </c>
      <c r="E1009" s="34" t="s">
        <v>559</v>
      </c>
      <c r="F1009" s="53">
        <v>0</v>
      </c>
      <c r="G1009" s="53"/>
      <c r="H1009" s="53"/>
      <c r="I100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541-4139-1-ND</v>
      </c>
      <c r="J100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00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009" s="34" t="s">
        <v>656</v>
      </c>
      <c r="M1009" s="42">
        <v>0.1</v>
      </c>
      <c r="N1009" s="34"/>
      <c r="O1009" s="42"/>
      <c r="P1009" s="34"/>
      <c r="Q1009" s="42"/>
      <c r="R1009" s="34"/>
      <c r="S1009" s="42"/>
      <c r="T1009" s="34"/>
      <c r="U1009" s="42"/>
      <c r="V1009" s="34"/>
      <c r="W1009" s="42"/>
      <c r="X1009" s="34"/>
      <c r="Y1009" s="42"/>
      <c r="Z1009" s="42"/>
      <c r="AA1009" s="36"/>
      <c r="AB1009" s="50"/>
      <c r="AC1009" s="56" t="str">
        <f>IF(Table1[[#This Row],[Auto Order]]=1,IF(Table1[[#This Row],[In stock]]&lt;Table1[[#This Row],[Min in stock]],1,""),"")</f>
        <v/>
      </c>
    </row>
    <row r="1010" spans="1:29" x14ac:dyDescent="0.25">
      <c r="A1010" s="62" t="s">
        <v>616</v>
      </c>
      <c r="B1010" s="34" t="s">
        <v>251</v>
      </c>
      <c r="C1010" s="34" t="s">
        <v>352</v>
      </c>
      <c r="D1010" s="34" t="s">
        <v>618</v>
      </c>
      <c r="E1010" s="34" t="s">
        <v>559</v>
      </c>
      <c r="F1010" s="53">
        <v>0</v>
      </c>
      <c r="G1010" s="53"/>
      <c r="H1010" s="53"/>
      <c r="I101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541-4148-1-ND</v>
      </c>
      <c r="J101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01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010" s="34" t="s">
        <v>617</v>
      </c>
      <c r="M1010" s="42">
        <v>0.1</v>
      </c>
      <c r="N1010" s="34"/>
      <c r="O1010" s="42"/>
      <c r="P1010" s="34"/>
      <c r="Q1010" s="42"/>
      <c r="R1010" s="34"/>
      <c r="S1010" s="42"/>
      <c r="T1010" s="34"/>
      <c r="U1010" s="42"/>
      <c r="V1010" s="34"/>
      <c r="W1010" s="42"/>
      <c r="X1010" s="34"/>
      <c r="Y1010" s="42"/>
      <c r="Z1010" s="42"/>
      <c r="AA1010" s="36"/>
      <c r="AB1010" s="50"/>
      <c r="AC1010" s="56" t="str">
        <f>IF(Table1[[#This Row],[Auto Order]]=1,IF(Table1[[#This Row],[In stock]]&lt;Table1[[#This Row],[Min in stock]],1,""),"")</f>
        <v/>
      </c>
    </row>
    <row r="1011" spans="1:29" x14ac:dyDescent="0.25">
      <c r="A1011" s="62" t="s">
        <v>631</v>
      </c>
      <c r="B1011" s="34" t="s">
        <v>251</v>
      </c>
      <c r="C1011" s="34" t="s">
        <v>352</v>
      </c>
      <c r="D1011" s="34" t="s">
        <v>633</v>
      </c>
      <c r="E1011" s="34" t="s">
        <v>559</v>
      </c>
      <c r="F1011" s="53">
        <v>0</v>
      </c>
      <c r="G1011" s="53"/>
      <c r="H1011" s="53"/>
      <c r="I101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541-4146-1-ND</v>
      </c>
      <c r="J101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01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011" s="34" t="s">
        <v>632</v>
      </c>
      <c r="M1011" s="42">
        <v>0.1</v>
      </c>
      <c r="N1011" s="34"/>
      <c r="O1011" s="42"/>
      <c r="P1011" s="34"/>
      <c r="Q1011" s="42"/>
      <c r="R1011" s="34"/>
      <c r="S1011" s="42"/>
      <c r="T1011" s="34"/>
      <c r="U1011" s="42"/>
      <c r="V1011" s="34"/>
      <c r="W1011" s="42"/>
      <c r="X1011" s="34"/>
      <c r="Y1011" s="42"/>
      <c r="Z1011" s="42"/>
      <c r="AA1011" s="36"/>
      <c r="AB1011" s="50"/>
      <c r="AC1011" s="56" t="str">
        <f>IF(Table1[[#This Row],[Auto Order]]=1,IF(Table1[[#This Row],[In stock]]&lt;Table1[[#This Row],[Min in stock]],1,""),"")</f>
        <v/>
      </c>
    </row>
    <row r="1012" spans="1:29" x14ac:dyDescent="0.25">
      <c r="A1012" s="62" t="s">
        <v>691</v>
      </c>
      <c r="B1012" s="34" t="s">
        <v>251</v>
      </c>
      <c r="C1012" s="34" t="s">
        <v>352</v>
      </c>
      <c r="D1012" s="34" t="s">
        <v>693</v>
      </c>
      <c r="E1012" s="34" t="s">
        <v>559</v>
      </c>
      <c r="F1012" s="53">
        <v>0</v>
      </c>
      <c r="G1012" s="53"/>
      <c r="H1012" s="53"/>
      <c r="I101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541-4159-1-ND</v>
      </c>
      <c r="J101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01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012" s="34" t="s">
        <v>692</v>
      </c>
      <c r="M1012" s="42">
        <v>0.1</v>
      </c>
      <c r="N1012" s="34"/>
      <c r="O1012" s="42"/>
      <c r="P1012" s="34"/>
      <c r="Q1012" s="42"/>
      <c r="R1012" s="34"/>
      <c r="S1012" s="42"/>
      <c r="T1012" s="34"/>
      <c r="U1012" s="42"/>
      <c r="V1012" s="34"/>
      <c r="W1012" s="42"/>
      <c r="X1012" s="34"/>
      <c r="Y1012" s="42"/>
      <c r="Z1012" s="42"/>
      <c r="AA1012" s="36"/>
      <c r="AB1012" s="50"/>
      <c r="AC1012" s="56" t="str">
        <f>IF(Table1[[#This Row],[Auto Order]]=1,IF(Table1[[#This Row],[In stock]]&lt;Table1[[#This Row],[Min in stock]],1,""),"")</f>
        <v/>
      </c>
    </row>
    <row r="1013" spans="1:29" x14ac:dyDescent="0.25">
      <c r="A1013" s="62" t="s">
        <v>673</v>
      </c>
      <c r="B1013" s="34" t="s">
        <v>251</v>
      </c>
      <c r="C1013" s="34" t="s">
        <v>352</v>
      </c>
      <c r="D1013" s="34" t="s">
        <v>675</v>
      </c>
      <c r="E1013" s="34" t="s">
        <v>559</v>
      </c>
      <c r="F1013" s="53">
        <v>0</v>
      </c>
      <c r="G1013" s="53"/>
      <c r="H1013" s="53"/>
      <c r="I101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541-4133-1-ND</v>
      </c>
      <c r="J101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01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013" s="34" t="s">
        <v>674</v>
      </c>
      <c r="M1013" s="42">
        <v>0.1</v>
      </c>
      <c r="N1013" s="34"/>
      <c r="O1013" s="42"/>
      <c r="P1013" s="34"/>
      <c r="Q1013" s="42"/>
      <c r="R1013" s="34"/>
      <c r="S1013" s="42"/>
      <c r="T1013" s="34"/>
      <c r="U1013" s="42"/>
      <c r="V1013" s="34"/>
      <c r="W1013" s="42"/>
      <c r="X1013" s="34"/>
      <c r="Y1013" s="42"/>
      <c r="Z1013" s="42"/>
      <c r="AA1013" s="36"/>
      <c r="AB1013" s="50"/>
      <c r="AC1013" s="56" t="str">
        <f>IF(Table1[[#This Row],[Auto Order]]=1,IF(Table1[[#This Row],[In stock]]&lt;Table1[[#This Row],[Min in stock]],1,""),"")</f>
        <v/>
      </c>
    </row>
    <row r="1014" spans="1:29" x14ac:dyDescent="0.25">
      <c r="A1014" s="62" t="s">
        <v>619</v>
      </c>
      <c r="B1014" s="34" t="s">
        <v>251</v>
      </c>
      <c r="C1014" s="34" t="s">
        <v>352</v>
      </c>
      <c r="D1014" s="34" t="s">
        <v>3099</v>
      </c>
      <c r="E1014" s="34" t="s">
        <v>559</v>
      </c>
      <c r="F1014" s="53">
        <v>0</v>
      </c>
      <c r="G1014" s="53"/>
      <c r="H1014" s="53">
        <v>0</v>
      </c>
      <c r="I101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541-4151-1-ND</v>
      </c>
      <c r="J101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01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014" s="34" t="s">
        <v>620</v>
      </c>
      <c r="M1014" s="42">
        <v>0.1</v>
      </c>
      <c r="N1014" s="34"/>
      <c r="O1014" s="42"/>
      <c r="P1014" s="34"/>
      <c r="Q1014" s="42"/>
      <c r="R1014" s="34"/>
      <c r="S1014" s="42"/>
      <c r="T1014" s="34"/>
      <c r="U1014" s="42"/>
      <c r="V1014" s="34"/>
      <c r="W1014" s="42"/>
      <c r="X1014" s="34"/>
      <c r="Y1014" s="42"/>
      <c r="Z1014" s="42"/>
      <c r="AA1014" s="36"/>
      <c r="AB1014" s="50"/>
      <c r="AC1014" s="56" t="str">
        <f>IF(Table1[[#This Row],[Auto Order]]=1,IF(Table1[[#This Row],[In stock]]&lt;Table1[[#This Row],[Min in stock]],1,""),"")</f>
        <v/>
      </c>
    </row>
    <row r="1015" spans="1:29" x14ac:dyDescent="0.25">
      <c r="A1015" s="62" t="s">
        <v>634</v>
      </c>
      <c r="B1015" s="34" t="s">
        <v>251</v>
      </c>
      <c r="C1015" s="34" t="s">
        <v>352</v>
      </c>
      <c r="D1015" s="34" t="s">
        <v>636</v>
      </c>
      <c r="E1015" s="34" t="s">
        <v>559</v>
      </c>
      <c r="F1015" s="53">
        <v>0</v>
      </c>
      <c r="G1015" s="53"/>
      <c r="H1015" s="53"/>
      <c r="I101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541-4154-1-ND</v>
      </c>
      <c r="J101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01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015" s="34" t="s">
        <v>635</v>
      </c>
      <c r="M1015" s="42">
        <v>0.1</v>
      </c>
      <c r="N1015" s="34"/>
      <c r="O1015" s="42"/>
      <c r="P1015" s="34"/>
      <c r="Q1015" s="42"/>
      <c r="R1015" s="34"/>
      <c r="S1015" s="42"/>
      <c r="T1015" s="34"/>
      <c r="U1015" s="42"/>
      <c r="V1015" s="34"/>
      <c r="W1015" s="42"/>
      <c r="X1015" s="34"/>
      <c r="Y1015" s="42"/>
      <c r="Z1015" s="42"/>
      <c r="AA1015" s="36"/>
      <c r="AB1015" s="50"/>
      <c r="AC1015" s="56" t="str">
        <f>IF(Table1[[#This Row],[Auto Order]]=1,IF(Table1[[#This Row],[In stock]]&lt;Table1[[#This Row],[Min in stock]],1,""),"")</f>
        <v/>
      </c>
    </row>
    <row r="1016" spans="1:29" x14ac:dyDescent="0.25">
      <c r="A1016" s="62" t="s">
        <v>676</v>
      </c>
      <c r="B1016" s="34" t="s">
        <v>251</v>
      </c>
      <c r="C1016" s="34" t="s">
        <v>352</v>
      </c>
      <c r="D1016" s="34" t="s">
        <v>678</v>
      </c>
      <c r="E1016" s="34" t="s">
        <v>559</v>
      </c>
      <c r="F1016" s="53">
        <v>0</v>
      </c>
      <c r="G1016" s="53"/>
      <c r="H1016" s="53"/>
      <c r="I101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541-4150-1-ND</v>
      </c>
      <c r="J101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01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016" s="34" t="s">
        <v>677</v>
      </c>
      <c r="M1016" s="42">
        <v>0.1</v>
      </c>
      <c r="N1016" s="34"/>
      <c r="O1016" s="42"/>
      <c r="P1016" s="34"/>
      <c r="Q1016" s="42"/>
      <c r="R1016" s="34"/>
      <c r="S1016" s="42"/>
      <c r="T1016" s="34"/>
      <c r="U1016" s="42"/>
      <c r="V1016" s="34"/>
      <c r="W1016" s="42"/>
      <c r="X1016" s="34"/>
      <c r="Y1016" s="42"/>
      <c r="Z1016" s="42"/>
      <c r="AA1016" s="36"/>
      <c r="AB1016" s="50"/>
      <c r="AC1016" s="56" t="str">
        <f>IF(Table1[[#This Row],[Auto Order]]=1,IF(Table1[[#This Row],[In stock]]&lt;Table1[[#This Row],[Min in stock]],1,""),"")</f>
        <v/>
      </c>
    </row>
    <row r="1017" spans="1:29" x14ac:dyDescent="0.25">
      <c r="A1017" s="62" t="s">
        <v>694</v>
      </c>
      <c r="B1017" s="34" t="s">
        <v>251</v>
      </c>
      <c r="C1017" s="34" t="s">
        <v>352</v>
      </c>
      <c r="D1017" s="34" t="s">
        <v>696</v>
      </c>
      <c r="E1017" s="34" t="s">
        <v>559</v>
      </c>
      <c r="F1017" s="53">
        <v>0</v>
      </c>
      <c r="G1017" s="53"/>
      <c r="H1017" s="53"/>
      <c r="I101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541-4128-1-ND</v>
      </c>
      <c r="J101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01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017" s="34" t="s">
        <v>695</v>
      </c>
      <c r="M1017" s="42">
        <v>0.1</v>
      </c>
      <c r="N1017" s="34"/>
      <c r="O1017" s="42"/>
      <c r="P1017" s="34"/>
      <c r="Q1017" s="42"/>
      <c r="R1017" s="34"/>
      <c r="S1017" s="42"/>
      <c r="T1017" s="34"/>
      <c r="U1017" s="42"/>
      <c r="V1017" s="34"/>
      <c r="W1017" s="42"/>
      <c r="X1017" s="34"/>
      <c r="Y1017" s="42"/>
      <c r="Z1017" s="42"/>
      <c r="AA1017" s="36"/>
      <c r="AB1017" s="50"/>
      <c r="AC1017" s="56" t="str">
        <f>IF(Table1[[#This Row],[Auto Order]]=1,IF(Table1[[#This Row],[In stock]]&lt;Table1[[#This Row],[Min in stock]],1,""),"")</f>
        <v/>
      </c>
    </row>
    <row r="1018" spans="1:29" x14ac:dyDescent="0.25">
      <c r="A1018" s="62" t="s">
        <v>652</v>
      </c>
      <c r="B1018" s="34" t="s">
        <v>251</v>
      </c>
      <c r="C1018" s="34" t="s">
        <v>352</v>
      </c>
      <c r="D1018" s="34" t="s">
        <v>654</v>
      </c>
      <c r="E1018" s="34" t="s">
        <v>559</v>
      </c>
      <c r="F1018" s="53">
        <v>0</v>
      </c>
      <c r="G1018" s="53"/>
      <c r="H1018" s="53"/>
      <c r="I101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541-4134-1-ND</v>
      </c>
      <c r="J101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01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018" s="34" t="s">
        <v>653</v>
      </c>
      <c r="M1018" s="42">
        <v>0.1</v>
      </c>
      <c r="N1018" s="34"/>
      <c r="O1018" s="42"/>
      <c r="P1018" s="34"/>
      <c r="Q1018" s="42"/>
      <c r="R1018" s="34"/>
      <c r="S1018" s="42"/>
      <c r="T1018" s="34"/>
      <c r="U1018" s="42"/>
      <c r="V1018" s="34"/>
      <c r="W1018" s="42"/>
      <c r="X1018" s="34"/>
      <c r="Y1018" s="42"/>
      <c r="Z1018" s="42"/>
      <c r="AA1018" s="36"/>
      <c r="AB1018" s="50"/>
      <c r="AC1018" s="56" t="str">
        <f>IF(Table1[[#This Row],[Auto Order]]=1,IF(Table1[[#This Row],[In stock]]&lt;Table1[[#This Row],[Min in stock]],1,""),"")</f>
        <v/>
      </c>
    </row>
    <row r="1019" spans="1:29" x14ac:dyDescent="0.25">
      <c r="A1019" s="62" t="s">
        <v>700</v>
      </c>
      <c r="B1019" s="34" t="s">
        <v>251</v>
      </c>
      <c r="C1019" s="34" t="s">
        <v>352</v>
      </c>
      <c r="D1019" s="34" t="s">
        <v>702</v>
      </c>
      <c r="E1019" s="34" t="s">
        <v>559</v>
      </c>
      <c r="F1019" s="53">
        <v>0</v>
      </c>
      <c r="G1019" s="53"/>
      <c r="H1019" s="53"/>
      <c r="I101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541-4129-1-ND</v>
      </c>
      <c r="J101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01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019" s="34" t="s">
        <v>701</v>
      </c>
      <c r="M1019" s="42">
        <v>0.1</v>
      </c>
      <c r="N1019" s="34"/>
      <c r="O1019" s="42"/>
      <c r="P1019" s="34"/>
      <c r="Q1019" s="42"/>
      <c r="R1019" s="34"/>
      <c r="S1019" s="42"/>
      <c r="T1019" s="34"/>
      <c r="U1019" s="42"/>
      <c r="V1019" s="34"/>
      <c r="W1019" s="42"/>
      <c r="X1019" s="34"/>
      <c r="Y1019" s="42"/>
      <c r="Z1019" s="42"/>
      <c r="AA1019" s="36"/>
      <c r="AB1019" s="50"/>
      <c r="AC1019" s="56" t="str">
        <f>IF(Table1[[#This Row],[Auto Order]]=1,IF(Table1[[#This Row],[In stock]]&lt;Table1[[#This Row],[Min in stock]],1,""),"")</f>
        <v/>
      </c>
    </row>
    <row r="1020" spans="1:29" x14ac:dyDescent="0.25">
      <c r="A1020" s="62" t="s">
        <v>604</v>
      </c>
      <c r="B1020" s="34" t="s">
        <v>251</v>
      </c>
      <c r="C1020" s="34" t="s">
        <v>352</v>
      </c>
      <c r="D1020" s="34" t="s">
        <v>606</v>
      </c>
      <c r="E1020" s="34" t="s">
        <v>559</v>
      </c>
      <c r="F1020" s="53">
        <v>0</v>
      </c>
      <c r="G1020" s="53"/>
      <c r="H1020" s="53"/>
      <c r="I102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541-4152-1-ND</v>
      </c>
      <c r="J102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</v>
      </c>
      <c r="K102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020" s="34" t="s">
        <v>605</v>
      </c>
      <c r="M1020" s="42">
        <v>0.2</v>
      </c>
      <c r="N1020" s="34"/>
      <c r="O1020" s="42"/>
      <c r="P1020" s="34"/>
      <c r="Q1020" s="42"/>
      <c r="R1020" s="34"/>
      <c r="S1020" s="42"/>
      <c r="T1020" s="34"/>
      <c r="U1020" s="42"/>
      <c r="V1020" s="34"/>
      <c r="W1020" s="42"/>
      <c r="X1020" s="34"/>
      <c r="Y1020" s="42"/>
      <c r="Z1020" s="42"/>
      <c r="AA1020" s="36"/>
      <c r="AB1020" s="50"/>
      <c r="AC1020" s="56" t="str">
        <f>IF(Table1[[#This Row],[Auto Order]]=1,IF(Table1[[#This Row],[In stock]]&lt;Table1[[#This Row],[Min in stock]],1,""),"")</f>
        <v/>
      </c>
    </row>
    <row r="1021" spans="1:29" x14ac:dyDescent="0.25">
      <c r="A1021" s="62" t="s">
        <v>658</v>
      </c>
      <c r="B1021" s="34" t="s">
        <v>251</v>
      </c>
      <c r="C1021" s="34" t="s">
        <v>352</v>
      </c>
      <c r="D1021" s="34" t="s">
        <v>660</v>
      </c>
      <c r="E1021" s="34" t="s">
        <v>559</v>
      </c>
      <c r="F1021" s="53">
        <v>0</v>
      </c>
      <c r="G1021" s="53"/>
      <c r="H1021" s="53"/>
      <c r="I102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541-4143-1-ND</v>
      </c>
      <c r="J102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02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021" s="34" t="s">
        <v>659</v>
      </c>
      <c r="M1021" s="42">
        <v>0.1</v>
      </c>
      <c r="N1021" s="34"/>
      <c r="O1021" s="42"/>
      <c r="P1021" s="34"/>
      <c r="Q1021" s="42"/>
      <c r="R1021" s="34"/>
      <c r="S1021" s="42"/>
      <c r="T1021" s="34"/>
      <c r="U1021" s="42"/>
      <c r="V1021" s="34"/>
      <c r="W1021" s="42"/>
      <c r="X1021" s="34"/>
      <c r="Y1021" s="42"/>
      <c r="Z1021" s="42"/>
      <c r="AA1021" s="36"/>
      <c r="AB1021" s="50"/>
      <c r="AC1021" s="56" t="str">
        <f>IF(Table1[[#This Row],[Auto Order]]=1,IF(Table1[[#This Row],[In stock]]&lt;Table1[[#This Row],[Min in stock]],1,""),"")</f>
        <v/>
      </c>
    </row>
    <row r="1022" spans="1:29" x14ac:dyDescent="0.25">
      <c r="A1022" s="62" t="s">
        <v>622</v>
      </c>
      <c r="B1022" s="34" t="s">
        <v>251</v>
      </c>
      <c r="C1022" s="34" t="s">
        <v>352</v>
      </c>
      <c r="D1022" s="34" t="s">
        <v>624</v>
      </c>
      <c r="E1022" s="34" t="s">
        <v>559</v>
      </c>
      <c r="F1022" s="53">
        <v>0</v>
      </c>
      <c r="G1022" s="53"/>
      <c r="H1022" s="53"/>
      <c r="I102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541-4153-1-ND</v>
      </c>
      <c r="J102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02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022" s="34" t="s">
        <v>623</v>
      </c>
      <c r="M1022" s="42">
        <v>0.1</v>
      </c>
      <c r="N1022" s="34"/>
      <c r="O1022" s="42"/>
      <c r="P1022" s="34"/>
      <c r="Q1022" s="42"/>
      <c r="R1022" s="34"/>
      <c r="S1022" s="42"/>
      <c r="T1022" s="34"/>
      <c r="U1022" s="42"/>
      <c r="V1022" s="34"/>
      <c r="W1022" s="42"/>
      <c r="X1022" s="34"/>
      <c r="Y1022" s="42"/>
      <c r="Z1022" s="42"/>
      <c r="AA1022" s="36"/>
      <c r="AB1022" s="50"/>
      <c r="AC1022" s="56" t="str">
        <f>IF(Table1[[#This Row],[Auto Order]]=1,IF(Table1[[#This Row],[In stock]]&lt;Table1[[#This Row],[Min in stock]],1,""),"")</f>
        <v/>
      </c>
    </row>
    <row r="1023" spans="1:29" x14ac:dyDescent="0.25">
      <c r="A1023" s="62" t="s">
        <v>625</v>
      </c>
      <c r="B1023" s="34" t="s">
        <v>251</v>
      </c>
      <c r="C1023" s="34" t="s">
        <v>352</v>
      </c>
      <c r="D1023" s="34" t="s">
        <v>627</v>
      </c>
      <c r="E1023" s="34" t="s">
        <v>559</v>
      </c>
      <c r="F1023" s="53">
        <v>0</v>
      </c>
      <c r="G1023" s="53"/>
      <c r="H1023" s="53"/>
      <c r="I102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541-4149-1-ND</v>
      </c>
      <c r="J102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02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023" s="34" t="s">
        <v>626</v>
      </c>
      <c r="M1023" s="42">
        <v>0.1</v>
      </c>
      <c r="N1023" s="34"/>
      <c r="O1023" s="42"/>
      <c r="P1023" s="34"/>
      <c r="Q1023" s="42"/>
      <c r="R1023" s="34"/>
      <c r="S1023" s="42"/>
      <c r="T1023" s="34"/>
      <c r="U1023" s="42"/>
      <c r="V1023" s="34"/>
      <c r="W1023" s="42"/>
      <c r="X1023" s="34"/>
      <c r="Y1023" s="42"/>
      <c r="Z1023" s="42"/>
      <c r="AA1023" s="36"/>
      <c r="AB1023" s="50"/>
      <c r="AC1023" s="56" t="str">
        <f>IF(Table1[[#This Row],[Auto Order]]=1,IF(Table1[[#This Row],[In stock]]&lt;Table1[[#This Row],[Min in stock]],1,""),"")</f>
        <v/>
      </c>
    </row>
    <row r="1024" spans="1:29" x14ac:dyDescent="0.25">
      <c r="A1024" s="62" t="s">
        <v>637</v>
      </c>
      <c r="B1024" s="34" t="s">
        <v>251</v>
      </c>
      <c r="C1024" s="34" t="s">
        <v>352</v>
      </c>
      <c r="D1024" s="34" t="s">
        <v>639</v>
      </c>
      <c r="E1024" s="34" t="s">
        <v>559</v>
      </c>
      <c r="F1024" s="53">
        <v>0</v>
      </c>
      <c r="G1024" s="53"/>
      <c r="H1024" s="53"/>
      <c r="I102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541-4142-1-ND</v>
      </c>
      <c r="J102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02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024" s="34" t="s">
        <v>638</v>
      </c>
      <c r="M1024" s="42">
        <v>0.1</v>
      </c>
      <c r="N1024" s="34"/>
      <c r="O1024" s="42"/>
      <c r="P1024" s="34"/>
      <c r="Q1024" s="42"/>
      <c r="R1024" s="34"/>
      <c r="S1024" s="42"/>
      <c r="T1024" s="34"/>
      <c r="U1024" s="42"/>
      <c r="V1024" s="34"/>
      <c r="W1024" s="42"/>
      <c r="X1024" s="34"/>
      <c r="Y1024" s="42"/>
      <c r="Z1024" s="42"/>
      <c r="AA1024" s="36"/>
      <c r="AB1024" s="50"/>
      <c r="AC1024" s="56" t="str">
        <f>IF(Table1[[#This Row],[Auto Order]]=1,IF(Table1[[#This Row],[In stock]]&lt;Table1[[#This Row],[Min in stock]],1,""),"")</f>
        <v/>
      </c>
    </row>
    <row r="1025" spans="1:29" x14ac:dyDescent="0.25">
      <c r="A1025" s="62" t="s">
        <v>607</v>
      </c>
      <c r="B1025" s="34" t="s">
        <v>251</v>
      </c>
      <c r="C1025" s="34" t="s">
        <v>352</v>
      </c>
      <c r="D1025" s="34" t="s">
        <v>609</v>
      </c>
      <c r="E1025" s="34" t="s">
        <v>559</v>
      </c>
      <c r="F1025" s="53">
        <v>0</v>
      </c>
      <c r="G1025" s="53"/>
      <c r="H1025" s="53"/>
      <c r="I102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541-4156-1-ND</v>
      </c>
      <c r="J102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</v>
      </c>
      <c r="K102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025" s="34" t="s">
        <v>608</v>
      </c>
      <c r="M1025" s="42">
        <v>0.2</v>
      </c>
      <c r="N1025" s="34"/>
      <c r="O1025" s="42"/>
      <c r="P1025" s="34"/>
      <c r="Q1025" s="42"/>
      <c r="R1025" s="34"/>
      <c r="S1025" s="42"/>
      <c r="T1025" s="34"/>
      <c r="U1025" s="42"/>
      <c r="V1025" s="34"/>
      <c r="W1025" s="42"/>
      <c r="X1025" s="34"/>
      <c r="Y1025" s="42"/>
      <c r="Z1025" s="42"/>
      <c r="AA1025" s="36"/>
      <c r="AB1025" s="50"/>
      <c r="AC1025" s="56" t="str">
        <f>IF(Table1[[#This Row],[Auto Order]]=1,IF(Table1[[#This Row],[In stock]]&lt;Table1[[#This Row],[Min in stock]],1,""),"")</f>
        <v/>
      </c>
    </row>
    <row r="1026" spans="1:29" x14ac:dyDescent="0.25">
      <c r="A1026" s="52" t="s">
        <v>188</v>
      </c>
      <c r="B1026" s="34" t="s">
        <v>177</v>
      </c>
      <c r="C1026" s="34" t="s">
        <v>352</v>
      </c>
      <c r="D1026" s="34" t="s">
        <v>189</v>
      </c>
      <c r="E1026" s="34" t="s">
        <v>559</v>
      </c>
      <c r="F1026" s="53">
        <v>99</v>
      </c>
      <c r="G1026" s="53"/>
      <c r="H1026" s="53"/>
      <c r="I102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541-4131-1-ND</v>
      </c>
      <c r="J102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1.95E-2</v>
      </c>
      <c r="K102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026" s="34" t="s">
        <v>187</v>
      </c>
      <c r="M1026" s="42">
        <v>1.95E-2</v>
      </c>
      <c r="N1026" s="34"/>
      <c r="O1026" s="42"/>
      <c r="P1026" s="34"/>
      <c r="Q1026" s="42"/>
      <c r="R1026" s="34"/>
      <c r="S1026" s="42"/>
      <c r="T1026" s="34"/>
      <c r="U1026" s="42"/>
      <c r="V1026" s="34"/>
      <c r="W1026" s="42"/>
      <c r="X1026" s="34"/>
      <c r="Y1026" s="42"/>
      <c r="Z1026" s="42"/>
      <c r="AA1026" s="36"/>
      <c r="AB1026" s="50"/>
      <c r="AC1026" s="35" t="str">
        <f>IF(Table1[[#This Row],[Auto Order]]=1,IF(Table1[[#This Row],[In stock]]&lt;Table1[[#This Row],[Min in stock]],1,""),"")</f>
        <v/>
      </c>
    </row>
    <row r="1027" spans="1:29" x14ac:dyDescent="0.25">
      <c r="A1027" s="62" t="s">
        <v>610</v>
      </c>
      <c r="B1027" s="34" t="s">
        <v>251</v>
      </c>
      <c r="C1027" s="34" t="s">
        <v>352</v>
      </c>
      <c r="D1027" s="34" t="s">
        <v>612</v>
      </c>
      <c r="E1027" s="34" t="s">
        <v>559</v>
      </c>
      <c r="F1027" s="53">
        <v>0</v>
      </c>
      <c r="G1027" s="53"/>
      <c r="H1027" s="53"/>
      <c r="I102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541-4145-1-ND</v>
      </c>
      <c r="J102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</v>
      </c>
      <c r="K102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027" s="34" t="s">
        <v>611</v>
      </c>
      <c r="M1027" s="42">
        <v>0.2</v>
      </c>
      <c r="N1027" s="34"/>
      <c r="O1027" s="42"/>
      <c r="P1027" s="34"/>
      <c r="Q1027" s="42"/>
      <c r="R1027" s="34"/>
      <c r="S1027" s="42"/>
      <c r="T1027" s="34"/>
      <c r="U1027" s="42"/>
      <c r="V1027" s="34"/>
      <c r="W1027" s="42"/>
      <c r="X1027" s="34"/>
      <c r="Y1027" s="42"/>
      <c r="Z1027" s="42"/>
      <c r="AA1027" s="36"/>
      <c r="AB1027" s="50"/>
      <c r="AC1027" s="56" t="str">
        <f>IF(Table1[[#This Row],[Auto Order]]=1,IF(Table1[[#This Row],[In stock]]&lt;Table1[[#This Row],[Min in stock]],1,""),"")</f>
        <v/>
      </c>
    </row>
    <row r="1028" spans="1:29" x14ac:dyDescent="0.25">
      <c r="A1028" s="62" t="s">
        <v>661</v>
      </c>
      <c r="B1028" s="34" t="s">
        <v>251</v>
      </c>
      <c r="C1028" s="34" t="s">
        <v>352</v>
      </c>
      <c r="D1028" s="34" t="s">
        <v>663</v>
      </c>
      <c r="E1028" s="34" t="s">
        <v>559</v>
      </c>
      <c r="F1028" s="53">
        <v>0</v>
      </c>
      <c r="G1028" s="53"/>
      <c r="H1028" s="53"/>
      <c r="I102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541-4138-1-ND</v>
      </c>
      <c r="J102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02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028" s="34" t="s">
        <v>662</v>
      </c>
      <c r="M1028" s="42">
        <v>0.1</v>
      </c>
      <c r="N1028" s="34"/>
      <c r="O1028" s="42"/>
      <c r="P1028" s="34"/>
      <c r="Q1028" s="42"/>
      <c r="R1028" s="34"/>
      <c r="S1028" s="42"/>
      <c r="T1028" s="34"/>
      <c r="U1028" s="42"/>
      <c r="V1028" s="34"/>
      <c r="W1028" s="42"/>
      <c r="X1028" s="34"/>
      <c r="Y1028" s="42"/>
      <c r="Z1028" s="42"/>
      <c r="AA1028" s="36"/>
      <c r="AB1028" s="50"/>
      <c r="AC1028" s="56" t="str">
        <f>IF(Table1[[#This Row],[Auto Order]]=1,IF(Table1[[#This Row],[In stock]]&lt;Table1[[#This Row],[Min in stock]],1,""),"")</f>
        <v/>
      </c>
    </row>
    <row r="1029" spans="1:29" x14ac:dyDescent="0.25">
      <c r="A1029" s="62" t="s">
        <v>679</v>
      </c>
      <c r="B1029" s="34" t="s">
        <v>251</v>
      </c>
      <c r="C1029" s="34" t="s">
        <v>352</v>
      </c>
      <c r="D1029" s="34" t="s">
        <v>681</v>
      </c>
      <c r="E1029" s="34" t="s">
        <v>559</v>
      </c>
      <c r="F1029" s="53">
        <v>0</v>
      </c>
      <c r="G1029" s="53"/>
      <c r="H1029" s="53"/>
      <c r="I102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541-4130-1-ND</v>
      </c>
      <c r="J102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02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029" s="34" t="s">
        <v>680</v>
      </c>
      <c r="M1029" s="42">
        <v>0.1</v>
      </c>
      <c r="N1029" s="34"/>
      <c r="O1029" s="42"/>
      <c r="P1029" s="34"/>
      <c r="Q1029" s="42"/>
      <c r="R1029" s="34"/>
      <c r="S1029" s="42"/>
      <c r="T1029" s="34"/>
      <c r="U1029" s="42"/>
      <c r="V1029" s="34"/>
      <c r="W1029" s="42"/>
      <c r="X1029" s="34"/>
      <c r="Y1029" s="42"/>
      <c r="Z1029" s="42"/>
      <c r="AA1029" s="36"/>
      <c r="AB1029" s="50"/>
      <c r="AC1029" s="56" t="str">
        <f>IF(Table1[[#This Row],[Auto Order]]=1,IF(Table1[[#This Row],[In stock]]&lt;Table1[[#This Row],[Min in stock]],1,""),"")</f>
        <v/>
      </c>
    </row>
    <row r="1030" spans="1:29" x14ac:dyDescent="0.25">
      <c r="A1030" s="62" t="s">
        <v>640</v>
      </c>
      <c r="B1030" s="34" t="s">
        <v>251</v>
      </c>
      <c r="C1030" s="34" t="s">
        <v>352</v>
      </c>
      <c r="D1030" s="34" t="s">
        <v>642</v>
      </c>
      <c r="E1030" s="34" t="s">
        <v>559</v>
      </c>
      <c r="F1030" s="53">
        <v>0</v>
      </c>
      <c r="G1030" s="53"/>
      <c r="H1030" s="53"/>
      <c r="I103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541-4147-1-ND</v>
      </c>
      <c r="J103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03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030" s="34" t="s">
        <v>641</v>
      </c>
      <c r="M1030" s="42">
        <v>0.1</v>
      </c>
      <c r="N1030" s="34"/>
      <c r="O1030" s="42"/>
      <c r="P1030" s="34"/>
      <c r="Q1030" s="42"/>
      <c r="R1030" s="34"/>
      <c r="S1030" s="42"/>
      <c r="T1030" s="34"/>
      <c r="U1030" s="42"/>
      <c r="V1030" s="34"/>
      <c r="W1030" s="42"/>
      <c r="X1030" s="34"/>
      <c r="Y1030" s="42"/>
      <c r="Z1030" s="42"/>
      <c r="AA1030" s="36"/>
      <c r="AB1030" s="50"/>
      <c r="AC1030" s="56" t="str">
        <f>IF(Table1[[#This Row],[Auto Order]]=1,IF(Table1[[#This Row],[In stock]]&lt;Table1[[#This Row],[Min in stock]],1,""),"")</f>
        <v/>
      </c>
    </row>
    <row r="1031" spans="1:29" x14ac:dyDescent="0.25">
      <c r="A1031" s="62" t="s">
        <v>682</v>
      </c>
      <c r="B1031" s="34" t="s">
        <v>251</v>
      </c>
      <c r="C1031" s="34" t="s">
        <v>352</v>
      </c>
      <c r="D1031" s="34" t="s">
        <v>684</v>
      </c>
      <c r="E1031" s="34" t="s">
        <v>559</v>
      </c>
      <c r="F1031" s="53">
        <v>0</v>
      </c>
      <c r="G1031" s="53"/>
      <c r="H1031" s="53"/>
      <c r="I103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541-4137-1-ND</v>
      </c>
      <c r="J103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03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031" s="34" t="s">
        <v>683</v>
      </c>
      <c r="M1031" s="42">
        <v>0.1</v>
      </c>
      <c r="N1031" s="34"/>
      <c r="O1031" s="42"/>
      <c r="P1031" s="34"/>
      <c r="Q1031" s="42"/>
      <c r="R1031" s="34"/>
      <c r="S1031" s="42"/>
      <c r="T1031" s="34"/>
      <c r="U1031" s="42"/>
      <c r="V1031" s="34"/>
      <c r="W1031" s="42"/>
      <c r="X1031" s="34"/>
      <c r="Y1031" s="42"/>
      <c r="Z1031" s="42"/>
      <c r="AA1031" s="36"/>
      <c r="AB1031" s="50"/>
      <c r="AC1031" s="56" t="str">
        <f>IF(Table1[[#This Row],[Auto Order]]=1,IF(Table1[[#This Row],[In stock]]&lt;Table1[[#This Row],[Min in stock]],1,""),"")</f>
        <v/>
      </c>
    </row>
    <row r="1032" spans="1:29" x14ac:dyDescent="0.25">
      <c r="A1032" s="62" t="s">
        <v>628</v>
      </c>
      <c r="B1032" s="34" t="s">
        <v>251</v>
      </c>
      <c r="C1032" s="34" t="s">
        <v>352</v>
      </c>
      <c r="D1032" s="34" t="s">
        <v>630</v>
      </c>
      <c r="E1032" s="34" t="s">
        <v>559</v>
      </c>
      <c r="F1032" s="53">
        <v>0</v>
      </c>
      <c r="G1032" s="53"/>
      <c r="H1032" s="53"/>
      <c r="I103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541-4144-1-ND</v>
      </c>
      <c r="J103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03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032" s="34" t="s">
        <v>629</v>
      </c>
      <c r="M1032" s="42">
        <v>0.1</v>
      </c>
      <c r="N1032" s="34"/>
      <c r="O1032" s="42"/>
      <c r="P1032" s="34"/>
      <c r="Q1032" s="42"/>
      <c r="R1032" s="34"/>
      <c r="S1032" s="42"/>
      <c r="T1032" s="34"/>
      <c r="U1032" s="42"/>
      <c r="V1032" s="34"/>
      <c r="W1032" s="42"/>
      <c r="X1032" s="34"/>
      <c r="Y1032" s="42"/>
      <c r="Z1032" s="42"/>
      <c r="AA1032" s="36"/>
      <c r="AB1032" s="50"/>
      <c r="AC1032" s="56" t="str">
        <f>IF(Table1[[#This Row],[Auto Order]]=1,IF(Table1[[#This Row],[In stock]]&lt;Table1[[#This Row],[Min in stock]],1,""),"")</f>
        <v/>
      </c>
    </row>
    <row r="1033" spans="1:29" x14ac:dyDescent="0.25">
      <c r="A1033" s="62" t="s">
        <v>685</v>
      </c>
      <c r="B1033" s="34" t="s">
        <v>251</v>
      </c>
      <c r="C1033" s="34" t="s">
        <v>352</v>
      </c>
      <c r="D1033" s="34" t="s">
        <v>687</v>
      </c>
      <c r="E1033" s="34" t="s">
        <v>559</v>
      </c>
      <c r="F1033" s="53">
        <v>0</v>
      </c>
      <c r="G1033" s="53"/>
      <c r="H1033" s="53"/>
      <c r="I103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541-4141-1-ND</v>
      </c>
      <c r="J103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03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033" s="34" t="s">
        <v>686</v>
      </c>
      <c r="M1033" s="42">
        <v>0.1</v>
      </c>
      <c r="N1033" s="34"/>
      <c r="O1033" s="42"/>
      <c r="P1033" s="34"/>
      <c r="Q1033" s="42"/>
      <c r="R1033" s="34"/>
      <c r="S1033" s="42"/>
      <c r="T1033" s="34"/>
      <c r="U1033" s="42"/>
      <c r="V1033" s="34"/>
      <c r="W1033" s="42"/>
      <c r="X1033" s="34"/>
      <c r="Y1033" s="42"/>
      <c r="Z1033" s="42"/>
      <c r="AA1033" s="36"/>
      <c r="AB1033" s="50"/>
      <c r="AC1033" s="56" t="str">
        <f>IF(Table1[[#This Row],[Auto Order]]=1,IF(Table1[[#This Row],[In stock]]&lt;Table1[[#This Row],[Min in stock]],1,""),"")</f>
        <v/>
      </c>
    </row>
    <row r="1034" spans="1:29" x14ac:dyDescent="0.25">
      <c r="A1034" s="62" t="s">
        <v>664</v>
      </c>
      <c r="B1034" s="34" t="s">
        <v>251</v>
      </c>
      <c r="C1034" s="34" t="s">
        <v>352</v>
      </c>
      <c r="D1034" s="34" t="s">
        <v>666</v>
      </c>
      <c r="E1034" s="34" t="s">
        <v>559</v>
      </c>
      <c r="F1034" s="53">
        <v>0</v>
      </c>
      <c r="G1034" s="53"/>
      <c r="H1034" s="53"/>
      <c r="I103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541-4160-1-ND</v>
      </c>
      <c r="J103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03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034" s="34" t="s">
        <v>665</v>
      </c>
      <c r="M1034" s="42">
        <v>0.1</v>
      </c>
      <c r="N1034" s="34"/>
      <c r="O1034" s="42"/>
      <c r="P1034" s="34"/>
      <c r="Q1034" s="42"/>
      <c r="R1034" s="34"/>
      <c r="S1034" s="42"/>
      <c r="T1034" s="34"/>
      <c r="U1034" s="42"/>
      <c r="V1034" s="34"/>
      <c r="W1034" s="42"/>
      <c r="X1034" s="34"/>
      <c r="Y1034" s="42"/>
      <c r="Z1034" s="42"/>
      <c r="AA1034" s="36"/>
      <c r="AB1034" s="50"/>
      <c r="AC1034" s="56" t="str">
        <f>IF(Table1[[#This Row],[Auto Order]]=1,IF(Table1[[#This Row],[In stock]]&lt;Table1[[#This Row],[Min in stock]],1,""),"")</f>
        <v/>
      </c>
    </row>
    <row r="1035" spans="1:29" x14ac:dyDescent="0.25">
      <c r="A1035" s="62" t="s">
        <v>667</v>
      </c>
      <c r="B1035" s="34" t="s">
        <v>251</v>
      </c>
      <c r="C1035" s="34" t="s">
        <v>352</v>
      </c>
      <c r="D1035" s="34" t="s">
        <v>669</v>
      </c>
      <c r="E1035" s="34" t="s">
        <v>559</v>
      </c>
      <c r="F1035" s="53">
        <v>0</v>
      </c>
      <c r="G1035" s="53"/>
      <c r="H1035" s="53"/>
      <c r="I103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541-4158-1-ND</v>
      </c>
      <c r="J103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03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035" s="34" t="s">
        <v>668</v>
      </c>
      <c r="M1035" s="42">
        <v>0.1</v>
      </c>
      <c r="N1035" s="34"/>
      <c r="O1035" s="42"/>
      <c r="P1035" s="34"/>
      <c r="Q1035" s="42"/>
      <c r="R1035" s="34"/>
      <c r="S1035" s="42"/>
      <c r="T1035" s="34"/>
      <c r="U1035" s="42"/>
      <c r="V1035" s="34"/>
      <c r="W1035" s="42"/>
      <c r="X1035" s="34"/>
      <c r="Y1035" s="42"/>
      <c r="Z1035" s="42"/>
      <c r="AA1035" s="36"/>
      <c r="AB1035" s="50"/>
      <c r="AC1035" s="56" t="str">
        <f>IF(Table1[[#This Row],[Auto Order]]=1,IF(Table1[[#This Row],[In stock]]&lt;Table1[[#This Row],[Min in stock]],1,""),"")</f>
        <v/>
      </c>
    </row>
    <row r="1036" spans="1:29" x14ac:dyDescent="0.25">
      <c r="A1036" s="62" t="s">
        <v>643</v>
      </c>
      <c r="B1036" s="34" t="s">
        <v>251</v>
      </c>
      <c r="C1036" s="34" t="s">
        <v>352</v>
      </c>
      <c r="D1036" s="34" t="s">
        <v>645</v>
      </c>
      <c r="E1036" s="34" t="s">
        <v>559</v>
      </c>
      <c r="F1036" s="53">
        <v>0</v>
      </c>
      <c r="G1036" s="53"/>
      <c r="H1036" s="53"/>
      <c r="I103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541-4157-1-ND</v>
      </c>
      <c r="J103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03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036" s="34" t="s">
        <v>644</v>
      </c>
      <c r="M1036" s="42">
        <v>0.1</v>
      </c>
      <c r="N1036" s="34"/>
      <c r="O1036" s="42"/>
      <c r="P1036" s="34"/>
      <c r="Q1036" s="42"/>
      <c r="R1036" s="34"/>
      <c r="S1036" s="42"/>
      <c r="T1036" s="34"/>
      <c r="U1036" s="42"/>
      <c r="V1036" s="34"/>
      <c r="W1036" s="42"/>
      <c r="X1036" s="34"/>
      <c r="Y1036" s="42"/>
      <c r="Z1036" s="42"/>
      <c r="AA1036" s="36"/>
      <c r="AB1036" s="50"/>
      <c r="AC1036" s="56" t="str">
        <f>IF(Table1[[#This Row],[Auto Order]]=1,IF(Table1[[#This Row],[In stock]]&lt;Table1[[#This Row],[Min in stock]],1,""),"")</f>
        <v/>
      </c>
    </row>
    <row r="1037" spans="1:29" x14ac:dyDescent="0.25">
      <c r="A1037" s="60" t="s">
        <v>3385</v>
      </c>
      <c r="B1037" s="34" t="s">
        <v>3386</v>
      </c>
      <c r="C1037" s="34" t="s">
        <v>352</v>
      </c>
      <c r="D1037" s="34" t="s">
        <v>3387</v>
      </c>
      <c r="E1037" s="34" t="s">
        <v>549</v>
      </c>
      <c r="F1037" s="53">
        <v>0</v>
      </c>
      <c r="G1037" s="53">
        <v>1</v>
      </c>
      <c r="H1037" s="53"/>
      <c r="I103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Z3622-ND</v>
      </c>
      <c r="J103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3.72</v>
      </c>
      <c r="K103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037" s="34" t="s">
        <v>3388</v>
      </c>
      <c r="M1037" s="42">
        <v>3.72</v>
      </c>
      <c r="N1037" s="34"/>
      <c r="O1037" s="42"/>
      <c r="P1037" s="34"/>
      <c r="Q1037" s="42"/>
      <c r="R1037" s="34"/>
      <c r="S1037" s="42"/>
      <c r="T1037" s="34"/>
      <c r="U1037" s="42"/>
      <c r="V1037" s="34"/>
      <c r="W1037" s="42"/>
      <c r="X1037" s="34"/>
      <c r="Y1037" s="42"/>
      <c r="Z1037" s="42"/>
      <c r="AA1037" s="36"/>
      <c r="AB1037" s="50"/>
      <c r="AC1037" s="56" t="str">
        <f>IF(Table1[[#This Row],[Auto Order]]=1,IF(Table1[[#This Row],[In stock]]&lt;Table1[[#This Row],[Min in stock]],1,""),"")</f>
        <v/>
      </c>
    </row>
    <row r="1038" spans="1:29" x14ac:dyDescent="0.25">
      <c r="A1038" s="60" t="s">
        <v>3389</v>
      </c>
      <c r="B1038" s="34" t="s">
        <v>3386</v>
      </c>
      <c r="C1038" s="34" t="s">
        <v>352</v>
      </c>
      <c r="D1038" s="34" t="s">
        <v>3387</v>
      </c>
      <c r="E1038" s="34" t="s">
        <v>549</v>
      </c>
      <c r="F1038" s="53">
        <v>0</v>
      </c>
      <c r="G1038" s="53">
        <v>1</v>
      </c>
      <c r="H1038" s="53"/>
      <c r="I103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Z3815-ND</v>
      </c>
      <c r="J103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3.89</v>
      </c>
      <c r="K103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038" s="34" t="s">
        <v>3390</v>
      </c>
      <c r="M1038" s="42">
        <v>3.89</v>
      </c>
      <c r="N1038" s="34"/>
      <c r="O1038" s="42"/>
      <c r="P1038" s="34"/>
      <c r="Q1038" s="42"/>
      <c r="R1038" s="34"/>
      <c r="S1038" s="42"/>
      <c r="T1038" s="34"/>
      <c r="U1038" s="42"/>
      <c r="V1038" s="34"/>
      <c r="W1038" s="42"/>
      <c r="X1038" s="34"/>
      <c r="Y1038" s="42"/>
      <c r="Z1038" s="42"/>
      <c r="AA1038" s="36"/>
      <c r="AB1038" s="50"/>
      <c r="AC1038" s="56" t="str">
        <f>IF(Table1[[#This Row],[Auto Order]]=1,IF(Table1[[#This Row],[In stock]]&lt;Table1[[#This Row],[Min in stock]],1,""),"")</f>
        <v/>
      </c>
    </row>
  </sheetData>
  <dataConsolidate/>
  <conditionalFormatting sqref="AC1:AC1048576">
    <cfRule type="cellIs" dxfId="16" priority="60" operator="equal">
      <formula>1</formula>
    </cfRule>
  </conditionalFormatting>
  <conditionalFormatting sqref="A1:A1048576">
    <cfRule type="duplicateValues" dxfId="15" priority="1"/>
  </conditionalFormatting>
  <conditionalFormatting sqref="F1:F1048576">
    <cfRule type="containsBlanks" priority="3" stopIfTrue="1">
      <formula>LEN(TRIM(F1))=0</formula>
    </cfRule>
    <cfRule type="cellIs" dxfId="14" priority="20" operator="lessThan">
      <formula>$G1</formula>
    </cfRule>
  </conditionalFormatting>
  <conditionalFormatting sqref="F1">
    <cfRule type="cellIs" dxfId="13" priority="9" stopIfTrue="1" operator="equal">
      <formula>"In stock"</formula>
    </cfRule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E452E8-98FA-4088-BCD0-DC7B7A67B9E6}">
  <sheetPr codeName="Sheet4">
    <tabColor rgb="FFFFC000"/>
  </sheetPr>
  <dimension ref="A1:F64"/>
  <sheetViews>
    <sheetView workbookViewId="0">
      <pane ySplit="1" topLeftCell="A38" activePane="bottomLeft" state="frozen"/>
      <selection pane="bottomLeft" activeCell="E70" sqref="E70"/>
    </sheetView>
  </sheetViews>
  <sheetFormatPr defaultRowHeight="15" x14ac:dyDescent="0.25"/>
  <cols>
    <col min="1" max="1" width="18.7109375" style="3" bestFit="1" customWidth="1"/>
    <col min="2" max="2" width="22.140625" style="3" bestFit="1" customWidth="1"/>
    <col min="3" max="3" width="38.85546875" style="4" bestFit="1" customWidth="1"/>
    <col min="4" max="4" width="10.140625" style="4" customWidth="1"/>
    <col min="5" max="5" width="80.85546875" style="4" bestFit="1" customWidth="1"/>
    <col min="6" max="6" width="11.85546875" style="5" customWidth="1"/>
  </cols>
  <sheetData>
    <row r="1" spans="1:6" ht="15.75" thickBot="1" x14ac:dyDescent="0.3">
      <c r="A1" s="1" t="s">
        <v>1</v>
      </c>
      <c r="B1" s="2" t="s">
        <v>0</v>
      </c>
      <c r="C1" s="2" t="s">
        <v>6</v>
      </c>
      <c r="D1" s="2" t="s">
        <v>4</v>
      </c>
      <c r="E1" s="2" t="s">
        <v>2</v>
      </c>
      <c r="F1" s="2" t="s">
        <v>8</v>
      </c>
    </row>
    <row r="2" spans="1:6" x14ac:dyDescent="0.25">
      <c r="A2" s="3">
        <v>90990</v>
      </c>
      <c r="B2" s="3">
        <v>90990</v>
      </c>
      <c r="C2" s="4" t="s">
        <v>65</v>
      </c>
      <c r="D2" s="4" t="s">
        <v>88</v>
      </c>
      <c r="E2" s="4" t="s">
        <v>84</v>
      </c>
      <c r="F2" s="5">
        <v>13.1</v>
      </c>
    </row>
    <row r="3" spans="1:6" x14ac:dyDescent="0.25">
      <c r="A3" s="3">
        <v>912951</v>
      </c>
      <c r="B3" s="3">
        <v>912951</v>
      </c>
      <c r="C3" s="4" t="s">
        <v>65</v>
      </c>
      <c r="D3" s="4" t="s">
        <v>88</v>
      </c>
      <c r="E3" s="4" t="s">
        <v>85</v>
      </c>
      <c r="F3" s="5">
        <v>3.43</v>
      </c>
    </row>
    <row r="4" spans="1:6" x14ac:dyDescent="0.25">
      <c r="A4" s="3">
        <v>965083</v>
      </c>
      <c r="B4" s="3">
        <v>965083</v>
      </c>
      <c r="C4" s="4" t="s">
        <v>65</v>
      </c>
      <c r="D4" s="4" t="s">
        <v>88</v>
      </c>
      <c r="E4" s="4" t="s">
        <v>87</v>
      </c>
      <c r="F4" s="5">
        <v>3.18</v>
      </c>
    </row>
    <row r="5" spans="1:6" x14ac:dyDescent="0.25">
      <c r="A5" s="3">
        <v>1004068</v>
      </c>
      <c r="B5" s="3">
        <v>1004068</v>
      </c>
      <c r="C5" s="4" t="s">
        <v>65</v>
      </c>
      <c r="D5" s="4" t="s">
        <v>88</v>
      </c>
      <c r="E5" s="4" t="s">
        <v>83</v>
      </c>
      <c r="F5" s="5">
        <v>3.49</v>
      </c>
    </row>
    <row r="6" spans="1:6" x14ac:dyDescent="0.25">
      <c r="A6" s="3">
        <v>1181876</v>
      </c>
      <c r="B6" s="3">
        <v>1181876</v>
      </c>
      <c r="C6" s="4" t="s">
        <v>65</v>
      </c>
      <c r="D6" s="4" t="s">
        <v>88</v>
      </c>
      <c r="E6" s="4" t="s">
        <v>86</v>
      </c>
      <c r="F6" s="5">
        <v>3.79</v>
      </c>
    </row>
    <row r="7" spans="1:6" x14ac:dyDescent="0.25">
      <c r="A7" s="3" t="s">
        <v>111</v>
      </c>
      <c r="B7" s="3">
        <v>61304011021</v>
      </c>
      <c r="C7" s="4" t="s">
        <v>112</v>
      </c>
      <c r="D7" s="4" t="s">
        <v>5</v>
      </c>
      <c r="E7" s="4" t="s">
        <v>110</v>
      </c>
      <c r="F7" s="5">
        <v>1.58</v>
      </c>
    </row>
    <row r="8" spans="1:6" x14ac:dyDescent="0.25">
      <c r="A8" s="3">
        <v>1162740</v>
      </c>
      <c r="B8" s="3" t="s">
        <v>117</v>
      </c>
      <c r="C8" s="4" t="s">
        <v>93</v>
      </c>
      <c r="D8" s="4" t="s">
        <v>5</v>
      </c>
      <c r="E8" s="4" t="s">
        <v>29</v>
      </c>
      <c r="F8" s="5">
        <v>0.505</v>
      </c>
    </row>
    <row r="9" spans="1:6" x14ac:dyDescent="0.25">
      <c r="A9" s="3">
        <v>1829519</v>
      </c>
      <c r="B9" s="3" t="s">
        <v>31</v>
      </c>
      <c r="C9" s="4" t="s">
        <v>93</v>
      </c>
      <c r="D9" s="4" t="s">
        <v>5</v>
      </c>
      <c r="E9" s="4" t="s">
        <v>30</v>
      </c>
      <c r="F9" s="5">
        <v>0.78900000000000003</v>
      </c>
    </row>
    <row r="10" spans="1:6" x14ac:dyDescent="0.25">
      <c r="A10" s="3" t="s">
        <v>178</v>
      </c>
      <c r="B10" s="3" t="s">
        <v>179</v>
      </c>
      <c r="C10" s="4" t="s">
        <v>177</v>
      </c>
      <c r="D10" s="4" t="s">
        <v>82</v>
      </c>
      <c r="E10" s="4" t="s">
        <v>180</v>
      </c>
      <c r="F10" s="5">
        <v>1.82</v>
      </c>
    </row>
    <row r="11" spans="1:6" x14ac:dyDescent="0.25">
      <c r="A11" s="4" t="s">
        <v>155</v>
      </c>
      <c r="B11" s="4" t="s">
        <v>156</v>
      </c>
      <c r="C11" s="4" t="s">
        <v>162</v>
      </c>
      <c r="D11" s="4" t="s">
        <v>82</v>
      </c>
      <c r="E11" s="4" t="s">
        <v>157</v>
      </c>
      <c r="F11" s="5">
        <v>0.66500000000000004</v>
      </c>
    </row>
    <row r="12" spans="1:6" x14ac:dyDescent="0.25">
      <c r="A12" s="3" t="s">
        <v>124</v>
      </c>
      <c r="B12" s="3" t="s">
        <v>123</v>
      </c>
      <c r="C12" s="4" t="s">
        <v>91</v>
      </c>
      <c r="D12" s="4" t="s">
        <v>5</v>
      </c>
      <c r="E12" s="4" t="s">
        <v>122</v>
      </c>
      <c r="F12" s="5">
        <v>0.191</v>
      </c>
    </row>
    <row r="13" spans="1:6" x14ac:dyDescent="0.25">
      <c r="A13" s="4" t="s">
        <v>67</v>
      </c>
      <c r="B13" s="4" t="s">
        <v>139</v>
      </c>
      <c r="C13" s="4" t="s">
        <v>69</v>
      </c>
      <c r="D13" s="4" t="s">
        <v>82</v>
      </c>
      <c r="E13" s="4" t="s">
        <v>68</v>
      </c>
      <c r="F13" s="5">
        <v>4.88</v>
      </c>
    </row>
    <row r="14" spans="1:6" x14ac:dyDescent="0.25">
      <c r="A14" s="4" t="s">
        <v>140</v>
      </c>
      <c r="B14" s="4" t="s">
        <v>141</v>
      </c>
      <c r="C14" s="4" t="s">
        <v>160</v>
      </c>
      <c r="D14" s="4" t="s">
        <v>82</v>
      </c>
      <c r="E14" s="4" t="s">
        <v>142</v>
      </c>
      <c r="F14" s="5">
        <v>0.45</v>
      </c>
    </row>
    <row r="15" spans="1:6" x14ac:dyDescent="0.25">
      <c r="A15" s="3" t="s">
        <v>164</v>
      </c>
      <c r="B15" s="3" t="s">
        <v>118</v>
      </c>
      <c r="C15" s="4" t="s">
        <v>91</v>
      </c>
      <c r="D15" s="4" t="s">
        <v>5</v>
      </c>
      <c r="E15" s="4" t="s">
        <v>28</v>
      </c>
      <c r="F15" s="5">
        <v>0.112</v>
      </c>
    </row>
    <row r="16" spans="1:6" x14ac:dyDescent="0.25">
      <c r="A16" s="3" t="s">
        <v>159</v>
      </c>
      <c r="B16" s="3" t="s">
        <v>97</v>
      </c>
      <c r="C16" s="4" t="s">
        <v>26</v>
      </c>
      <c r="D16" s="4" t="s">
        <v>5</v>
      </c>
      <c r="E16" s="4" t="s">
        <v>98</v>
      </c>
      <c r="F16" s="5">
        <v>5.8900000000000001E-2</v>
      </c>
    </row>
    <row r="17" spans="1:6" x14ac:dyDescent="0.25">
      <c r="A17" s="3" t="s">
        <v>114</v>
      </c>
      <c r="B17" s="3" t="s">
        <v>113</v>
      </c>
      <c r="C17" s="4" t="s">
        <v>33</v>
      </c>
      <c r="D17" s="4" t="s">
        <v>5</v>
      </c>
      <c r="E17" s="4" t="s">
        <v>116</v>
      </c>
      <c r="F17" s="5">
        <v>0.28699999999999998</v>
      </c>
    </row>
    <row r="18" spans="1:6" x14ac:dyDescent="0.25">
      <c r="A18" s="3" t="s">
        <v>109</v>
      </c>
      <c r="B18" s="3" t="s">
        <v>107</v>
      </c>
      <c r="C18" s="4" t="s">
        <v>108</v>
      </c>
      <c r="D18" s="4" t="s">
        <v>5</v>
      </c>
      <c r="E18" s="4" t="s">
        <v>115</v>
      </c>
      <c r="F18" s="5">
        <v>1.55</v>
      </c>
    </row>
    <row r="19" spans="1:6" x14ac:dyDescent="0.25">
      <c r="A19" s="3" t="s">
        <v>168</v>
      </c>
      <c r="B19" s="3" t="s">
        <v>38</v>
      </c>
      <c r="C19" s="4" t="s">
        <v>169</v>
      </c>
      <c r="D19" s="4" t="s">
        <v>82</v>
      </c>
      <c r="E19" s="4" t="s">
        <v>37</v>
      </c>
      <c r="F19" s="5">
        <v>2.08</v>
      </c>
    </row>
    <row r="20" spans="1:6" x14ac:dyDescent="0.25">
      <c r="A20" s="3">
        <v>9352260</v>
      </c>
      <c r="B20" s="3" t="s">
        <v>38</v>
      </c>
      <c r="C20" s="4" t="s">
        <v>92</v>
      </c>
      <c r="D20" s="4" t="s">
        <v>5</v>
      </c>
      <c r="E20" s="4" t="s">
        <v>37</v>
      </c>
      <c r="F20" s="5">
        <v>2.76</v>
      </c>
    </row>
    <row r="21" spans="1:6" x14ac:dyDescent="0.25">
      <c r="A21" s="3" t="s">
        <v>134</v>
      </c>
      <c r="B21" s="3" t="s">
        <v>133</v>
      </c>
      <c r="C21" s="4" t="s">
        <v>7</v>
      </c>
      <c r="D21" s="4" t="s">
        <v>5</v>
      </c>
      <c r="E21" s="4" t="s">
        <v>132</v>
      </c>
      <c r="F21" s="5">
        <v>0.34899999999999998</v>
      </c>
    </row>
    <row r="22" spans="1:6" x14ac:dyDescent="0.25">
      <c r="A22" s="3">
        <v>2112100</v>
      </c>
      <c r="B22" s="3" t="s">
        <v>34</v>
      </c>
      <c r="C22" s="4" t="s">
        <v>33</v>
      </c>
      <c r="D22" s="4" t="s">
        <v>5</v>
      </c>
      <c r="E22" s="4" t="s">
        <v>32</v>
      </c>
      <c r="F22" s="5">
        <v>0.28999999999999998</v>
      </c>
    </row>
    <row r="23" spans="1:6" x14ac:dyDescent="0.25">
      <c r="A23" s="3" t="s">
        <v>89</v>
      </c>
      <c r="B23" s="3" t="s">
        <v>90</v>
      </c>
      <c r="C23" s="4" t="s">
        <v>91</v>
      </c>
      <c r="D23" s="4" t="s">
        <v>5</v>
      </c>
      <c r="E23" s="4" t="s">
        <v>96</v>
      </c>
      <c r="F23" s="5">
        <v>0.32600000000000001</v>
      </c>
    </row>
    <row r="24" spans="1:6" x14ac:dyDescent="0.25">
      <c r="A24" s="3">
        <v>2064805</v>
      </c>
      <c r="B24" s="3" t="s">
        <v>40</v>
      </c>
      <c r="C24" s="4" t="s">
        <v>7</v>
      </c>
      <c r="D24" s="4" t="s">
        <v>5</v>
      </c>
      <c r="E24" s="4" t="s">
        <v>39</v>
      </c>
      <c r="F24" s="5">
        <v>2.95</v>
      </c>
    </row>
    <row r="25" spans="1:6" x14ac:dyDescent="0.25">
      <c r="A25" s="4" t="s">
        <v>74</v>
      </c>
      <c r="B25" s="4" t="s">
        <v>77</v>
      </c>
      <c r="C25" s="4" t="s">
        <v>76</v>
      </c>
      <c r="D25" s="4" t="s">
        <v>82</v>
      </c>
      <c r="E25" s="4" t="s">
        <v>75</v>
      </c>
      <c r="F25" s="5">
        <v>2.98</v>
      </c>
    </row>
    <row r="26" spans="1:6" x14ac:dyDescent="0.25">
      <c r="A26" s="3" t="s">
        <v>187</v>
      </c>
      <c r="B26" s="3" t="s">
        <v>188</v>
      </c>
      <c r="C26" s="4" t="s">
        <v>177</v>
      </c>
      <c r="D26" s="4" t="s">
        <v>82</v>
      </c>
      <c r="E26" s="4" t="s">
        <v>189</v>
      </c>
      <c r="F26" s="5">
        <v>1.95E-2</v>
      </c>
    </row>
    <row r="27" spans="1:6" x14ac:dyDescent="0.25">
      <c r="A27" s="3">
        <v>2380458</v>
      </c>
      <c r="B27" s="3" t="s">
        <v>59</v>
      </c>
      <c r="C27" s="4" t="s">
        <v>58</v>
      </c>
      <c r="D27" s="4" t="s">
        <v>5</v>
      </c>
      <c r="E27" s="4" t="s">
        <v>57</v>
      </c>
      <c r="F27" s="5">
        <v>3.7499999999999999E-2</v>
      </c>
    </row>
    <row r="28" spans="1:6" x14ac:dyDescent="0.25">
      <c r="A28" s="3">
        <v>9845356</v>
      </c>
      <c r="B28" s="3" t="s">
        <v>46</v>
      </c>
      <c r="C28" s="4" t="s">
        <v>45</v>
      </c>
      <c r="D28" s="4" t="s">
        <v>5</v>
      </c>
      <c r="E28" s="4" t="s">
        <v>44</v>
      </c>
      <c r="F28" s="5">
        <v>0.42199999999999999</v>
      </c>
    </row>
    <row r="29" spans="1:6" x14ac:dyDescent="0.25">
      <c r="A29" s="3" t="s">
        <v>190</v>
      </c>
      <c r="B29" s="3" t="s">
        <v>191</v>
      </c>
      <c r="C29" s="4" t="s">
        <v>177</v>
      </c>
      <c r="D29" s="4" t="s">
        <v>82</v>
      </c>
      <c r="E29" s="4" t="s">
        <v>192</v>
      </c>
      <c r="F29" s="5">
        <v>1.82</v>
      </c>
    </row>
    <row r="30" spans="1:6" x14ac:dyDescent="0.25">
      <c r="A30" s="3">
        <v>2461217</v>
      </c>
      <c r="B30" s="3" t="s">
        <v>16</v>
      </c>
      <c r="C30" s="4" t="s">
        <v>33</v>
      </c>
      <c r="D30" s="4" t="s">
        <v>5</v>
      </c>
      <c r="E30" s="4" t="s">
        <v>15</v>
      </c>
      <c r="F30" s="5">
        <v>0.20200000000000001</v>
      </c>
    </row>
    <row r="31" spans="1:6" x14ac:dyDescent="0.25">
      <c r="A31" s="3">
        <v>9451242</v>
      </c>
      <c r="B31" s="3" t="s">
        <v>14</v>
      </c>
      <c r="C31" s="4" t="s">
        <v>33</v>
      </c>
      <c r="D31" s="4" t="s">
        <v>5</v>
      </c>
      <c r="E31" s="4" t="s">
        <v>13</v>
      </c>
      <c r="F31" s="5">
        <v>5.1700000000000003E-2</v>
      </c>
    </row>
    <row r="32" spans="1:6" x14ac:dyDescent="0.25">
      <c r="A32" s="3" t="s">
        <v>163</v>
      </c>
      <c r="B32" s="3" t="s">
        <v>12</v>
      </c>
      <c r="C32" s="4" t="s">
        <v>33</v>
      </c>
      <c r="D32" s="4" t="s">
        <v>5</v>
      </c>
      <c r="E32" s="4" t="s">
        <v>11</v>
      </c>
      <c r="F32" s="5">
        <v>5.0900000000000001E-2</v>
      </c>
    </row>
    <row r="33" spans="1:6" x14ac:dyDescent="0.25">
      <c r="A33" s="3">
        <v>1576507</v>
      </c>
      <c r="B33" s="3" t="s">
        <v>61</v>
      </c>
      <c r="C33" s="4" t="s">
        <v>33</v>
      </c>
      <c r="D33" s="4" t="s">
        <v>5</v>
      </c>
      <c r="E33" s="4" t="s">
        <v>60</v>
      </c>
      <c r="F33" s="5">
        <v>4.4499999999999998E-2</v>
      </c>
    </row>
    <row r="34" spans="1:6" x14ac:dyDescent="0.25">
      <c r="A34" s="3">
        <v>2073701</v>
      </c>
      <c r="B34" s="3" t="s">
        <v>56</v>
      </c>
      <c r="C34" s="4" t="s">
        <v>33</v>
      </c>
      <c r="D34" s="4" t="s">
        <v>5</v>
      </c>
      <c r="E34" s="4" t="s">
        <v>55</v>
      </c>
      <c r="F34" s="5">
        <v>1.55E-2</v>
      </c>
    </row>
    <row r="35" spans="1:6" x14ac:dyDescent="0.25">
      <c r="A35" s="3">
        <v>2073779</v>
      </c>
      <c r="B35" s="3" t="s">
        <v>54</v>
      </c>
      <c r="C35" s="4" t="s">
        <v>33</v>
      </c>
      <c r="D35" s="4" t="s">
        <v>5</v>
      </c>
      <c r="E35" s="4" t="s">
        <v>53</v>
      </c>
      <c r="F35" s="5">
        <v>2.3E-2</v>
      </c>
    </row>
    <row r="36" spans="1:6" x14ac:dyDescent="0.25">
      <c r="A36" s="3">
        <v>1851909</v>
      </c>
      <c r="B36" s="3" t="s">
        <v>24</v>
      </c>
      <c r="C36" s="4" t="s">
        <v>94</v>
      </c>
      <c r="D36" s="4" t="s">
        <v>5</v>
      </c>
      <c r="E36" s="4" t="s">
        <v>23</v>
      </c>
      <c r="F36" s="5">
        <v>0.51600000000000001</v>
      </c>
    </row>
    <row r="37" spans="1:6" x14ac:dyDescent="0.25">
      <c r="A37" s="3">
        <v>8540829</v>
      </c>
      <c r="B37" s="3" t="s">
        <v>18</v>
      </c>
      <c r="C37" s="4" t="s">
        <v>94</v>
      </c>
      <c r="D37" s="4" t="s">
        <v>5</v>
      </c>
      <c r="E37" s="4" t="s">
        <v>17</v>
      </c>
      <c r="F37" s="5">
        <v>0.246</v>
      </c>
    </row>
    <row r="38" spans="1:6" x14ac:dyDescent="0.25">
      <c r="A38" s="3" t="s">
        <v>103</v>
      </c>
      <c r="B38" s="6" t="s">
        <v>101</v>
      </c>
      <c r="C38" s="4" t="s">
        <v>94</v>
      </c>
      <c r="D38" s="4" t="s">
        <v>5</v>
      </c>
      <c r="E38" s="4" t="s">
        <v>102</v>
      </c>
      <c r="F38" s="5">
        <v>0.34</v>
      </c>
    </row>
    <row r="39" spans="1:6" x14ac:dyDescent="0.25">
      <c r="A39" s="3" t="s">
        <v>106</v>
      </c>
      <c r="B39" s="3" t="s">
        <v>105</v>
      </c>
      <c r="C39" s="4" t="s">
        <v>94</v>
      </c>
      <c r="D39" s="4" t="s">
        <v>5</v>
      </c>
      <c r="E39" s="4" t="s">
        <v>104</v>
      </c>
      <c r="F39" s="5">
        <v>0.44600000000000001</v>
      </c>
    </row>
    <row r="40" spans="1:6" x14ac:dyDescent="0.25">
      <c r="A40" s="3" t="s">
        <v>99</v>
      </c>
      <c r="B40" s="6" t="s">
        <v>100</v>
      </c>
      <c r="C40" s="4" t="s">
        <v>94</v>
      </c>
      <c r="D40" s="4" t="s">
        <v>5</v>
      </c>
      <c r="E40" s="4" t="s">
        <v>104</v>
      </c>
      <c r="F40" s="5">
        <v>0.44600000000000001</v>
      </c>
    </row>
    <row r="41" spans="1:6" x14ac:dyDescent="0.25">
      <c r="A41" s="3">
        <v>1332159</v>
      </c>
      <c r="B41" s="3" t="s">
        <v>22</v>
      </c>
      <c r="C41" s="4" t="s">
        <v>94</v>
      </c>
      <c r="D41" s="4" t="s">
        <v>5</v>
      </c>
      <c r="E41" s="4" t="s">
        <v>21</v>
      </c>
      <c r="F41" s="5">
        <v>0.57499999999999996</v>
      </c>
    </row>
    <row r="42" spans="1:6" x14ac:dyDescent="0.25">
      <c r="A42" s="3">
        <v>2694097</v>
      </c>
      <c r="B42" s="3" t="s">
        <v>63</v>
      </c>
      <c r="C42" s="4" t="s">
        <v>33</v>
      </c>
      <c r="D42" s="4" t="s">
        <v>5</v>
      </c>
      <c r="E42" s="4" t="s">
        <v>62</v>
      </c>
      <c r="F42" s="5">
        <v>2.3900000000000001E-2</v>
      </c>
    </row>
    <row r="43" spans="1:6" x14ac:dyDescent="0.25">
      <c r="A43" s="3">
        <v>2447573</v>
      </c>
      <c r="B43" s="3" t="s">
        <v>52</v>
      </c>
      <c r="C43" s="4" t="s">
        <v>51</v>
      </c>
      <c r="D43" s="4" t="s">
        <v>5</v>
      </c>
      <c r="E43" s="4" t="s">
        <v>50</v>
      </c>
      <c r="F43" s="5">
        <v>1.0999999999999999E-2</v>
      </c>
    </row>
    <row r="44" spans="1:6" x14ac:dyDescent="0.25">
      <c r="A44" s="3">
        <v>2677151</v>
      </c>
      <c r="B44" s="3" t="s">
        <v>27</v>
      </c>
      <c r="C44" s="4" t="s">
        <v>45</v>
      </c>
      <c r="D44" s="4" t="s">
        <v>5</v>
      </c>
      <c r="E44" s="4" t="s">
        <v>25</v>
      </c>
      <c r="F44" s="5">
        <v>0.26500000000000001</v>
      </c>
    </row>
    <row r="45" spans="1:6" x14ac:dyDescent="0.25">
      <c r="A45" s="4" t="s">
        <v>70</v>
      </c>
      <c r="B45" s="4" t="s">
        <v>73</v>
      </c>
      <c r="C45" s="4" t="s">
        <v>72</v>
      </c>
      <c r="D45" s="4" t="s">
        <v>82</v>
      </c>
      <c r="E45" s="4" t="s">
        <v>71</v>
      </c>
      <c r="F45" s="5">
        <v>1.07</v>
      </c>
    </row>
    <row r="46" spans="1:6" x14ac:dyDescent="0.25">
      <c r="A46" s="4" t="s">
        <v>152</v>
      </c>
      <c r="B46" s="4" t="s">
        <v>153</v>
      </c>
      <c r="C46" s="4" t="s">
        <v>80</v>
      </c>
      <c r="D46" s="4" t="s">
        <v>82</v>
      </c>
      <c r="E46" s="4" t="s">
        <v>154</v>
      </c>
      <c r="F46" s="5">
        <v>1.53</v>
      </c>
    </row>
    <row r="47" spans="1:6" x14ac:dyDescent="0.25">
      <c r="A47" s="4" t="s">
        <v>78</v>
      </c>
      <c r="B47" s="4" t="s">
        <v>81</v>
      </c>
      <c r="C47" s="4" t="s">
        <v>80</v>
      </c>
      <c r="D47" s="4" t="s">
        <v>82</v>
      </c>
      <c r="E47" s="4" t="s">
        <v>79</v>
      </c>
      <c r="F47" s="5">
        <v>1.57</v>
      </c>
    </row>
    <row r="48" spans="1:6" x14ac:dyDescent="0.25">
      <c r="A48" s="4" t="s">
        <v>146</v>
      </c>
      <c r="B48" s="4" t="s">
        <v>147</v>
      </c>
      <c r="C48" s="4" t="s">
        <v>80</v>
      </c>
      <c r="D48" s="4" t="s">
        <v>82</v>
      </c>
      <c r="E48" s="4" t="s">
        <v>148</v>
      </c>
      <c r="F48" s="5">
        <v>1.47</v>
      </c>
    </row>
    <row r="49" spans="1:6" x14ac:dyDescent="0.25">
      <c r="A49" s="4" t="s">
        <v>149</v>
      </c>
      <c r="B49" s="4" t="s">
        <v>150</v>
      </c>
      <c r="C49" s="4" t="s">
        <v>80</v>
      </c>
      <c r="D49" s="4" t="s">
        <v>82</v>
      </c>
      <c r="E49" s="4" t="s">
        <v>151</v>
      </c>
      <c r="F49" s="5">
        <v>1.43</v>
      </c>
    </row>
    <row r="50" spans="1:6" x14ac:dyDescent="0.25">
      <c r="A50" s="4" t="s">
        <v>64</v>
      </c>
      <c r="B50" s="4" t="s">
        <v>158</v>
      </c>
      <c r="C50" s="4" t="s">
        <v>95</v>
      </c>
      <c r="D50" s="4" t="s">
        <v>82</v>
      </c>
      <c r="E50" s="4" t="s">
        <v>66</v>
      </c>
      <c r="F50" s="5">
        <v>15.9</v>
      </c>
    </row>
    <row r="51" spans="1:6" x14ac:dyDescent="0.25">
      <c r="A51" s="3">
        <v>1779259</v>
      </c>
      <c r="B51" s="3" t="s">
        <v>43</v>
      </c>
      <c r="C51" s="4" t="s">
        <v>7</v>
      </c>
      <c r="D51" s="4" t="s">
        <v>5</v>
      </c>
      <c r="E51" s="4" t="s">
        <v>41</v>
      </c>
      <c r="F51" s="5">
        <v>0.27100000000000002</v>
      </c>
    </row>
    <row r="52" spans="1:6" x14ac:dyDescent="0.25">
      <c r="A52" s="3" t="s">
        <v>196</v>
      </c>
      <c r="B52" s="3" t="s">
        <v>197</v>
      </c>
      <c r="C52" s="4" t="s">
        <v>177</v>
      </c>
      <c r="D52" s="4" t="s">
        <v>82</v>
      </c>
      <c r="E52" s="4" t="s">
        <v>198</v>
      </c>
      <c r="F52" s="5">
        <v>15.95</v>
      </c>
    </row>
    <row r="53" spans="1:6" x14ac:dyDescent="0.25">
      <c r="A53" s="3" t="s">
        <v>137</v>
      </c>
      <c r="B53" s="3" t="s">
        <v>136</v>
      </c>
      <c r="C53" s="4" t="s">
        <v>127</v>
      </c>
      <c r="D53" s="4" t="s">
        <v>5</v>
      </c>
      <c r="E53" s="4" t="s">
        <v>135</v>
      </c>
      <c r="F53" s="5">
        <v>0.27100000000000002</v>
      </c>
    </row>
    <row r="54" spans="1:6" x14ac:dyDescent="0.25">
      <c r="A54" s="3">
        <v>1287598</v>
      </c>
      <c r="B54" s="3" t="s">
        <v>9</v>
      </c>
      <c r="C54" s="4" t="s">
        <v>7</v>
      </c>
      <c r="D54" s="4" t="s">
        <v>5</v>
      </c>
      <c r="E54" s="4" t="s">
        <v>10</v>
      </c>
      <c r="F54" s="5">
        <v>0.33100000000000002</v>
      </c>
    </row>
    <row r="55" spans="1:6" x14ac:dyDescent="0.25">
      <c r="A55" s="3" t="s">
        <v>121</v>
      </c>
      <c r="B55" s="3" t="s">
        <v>120</v>
      </c>
      <c r="C55" s="4" t="s">
        <v>33</v>
      </c>
      <c r="D55" s="4" t="s">
        <v>5</v>
      </c>
      <c r="E55" s="4" t="s">
        <v>119</v>
      </c>
      <c r="F55" s="5">
        <v>0.26500000000000001</v>
      </c>
    </row>
    <row r="56" spans="1:6" x14ac:dyDescent="0.25">
      <c r="A56" s="3" t="s">
        <v>193</v>
      </c>
      <c r="B56" s="3" t="s">
        <v>194</v>
      </c>
      <c r="C56" s="4" t="s">
        <v>177</v>
      </c>
      <c r="D56" s="4" t="s">
        <v>82</v>
      </c>
      <c r="E56" s="4" t="s">
        <v>195</v>
      </c>
      <c r="F56" s="5">
        <v>2.64</v>
      </c>
    </row>
    <row r="57" spans="1:6" x14ac:dyDescent="0.25">
      <c r="A57" s="3">
        <v>1141380</v>
      </c>
      <c r="B57" s="3" t="s">
        <v>49</v>
      </c>
      <c r="C57" s="4" t="s">
        <v>48</v>
      </c>
      <c r="D57" s="4" t="s">
        <v>5</v>
      </c>
      <c r="E57" s="4" t="s">
        <v>47</v>
      </c>
      <c r="F57" s="5">
        <v>1.62</v>
      </c>
    </row>
    <row r="58" spans="1:6" x14ac:dyDescent="0.25">
      <c r="A58" s="3" t="s">
        <v>130</v>
      </c>
      <c r="B58" s="3" t="s">
        <v>129</v>
      </c>
      <c r="C58" s="4" t="s">
        <v>127</v>
      </c>
      <c r="D58" s="4" t="s">
        <v>5</v>
      </c>
      <c r="E58" s="4" t="s">
        <v>131</v>
      </c>
      <c r="F58" s="5">
        <v>0.54600000000000004</v>
      </c>
    </row>
    <row r="59" spans="1:6" x14ac:dyDescent="0.25">
      <c r="A59" s="3" t="s">
        <v>128</v>
      </c>
      <c r="B59" s="3" t="s">
        <v>126</v>
      </c>
      <c r="C59" s="4" t="s">
        <v>127</v>
      </c>
      <c r="D59" s="4" t="s">
        <v>5</v>
      </c>
      <c r="E59" s="4" t="s">
        <v>125</v>
      </c>
      <c r="F59" s="5">
        <v>0.68600000000000005</v>
      </c>
    </row>
    <row r="60" spans="1:6" x14ac:dyDescent="0.25">
      <c r="A60" s="4" t="s">
        <v>143</v>
      </c>
      <c r="B60" s="4" t="s">
        <v>144</v>
      </c>
      <c r="C60" s="4" t="s">
        <v>161</v>
      </c>
      <c r="D60" s="4" t="s">
        <v>82</v>
      </c>
      <c r="E60" s="4" t="s">
        <v>145</v>
      </c>
      <c r="F60" s="5">
        <v>2.52</v>
      </c>
    </row>
    <row r="61" spans="1:6" x14ac:dyDescent="0.25">
      <c r="A61" s="3">
        <v>2896645</v>
      </c>
      <c r="B61" s="3" t="s">
        <v>36</v>
      </c>
      <c r="C61" s="4" t="s">
        <v>42</v>
      </c>
      <c r="D61" s="4" t="s">
        <v>5</v>
      </c>
      <c r="E61" s="4" t="s">
        <v>35</v>
      </c>
      <c r="F61" s="5">
        <v>0.106</v>
      </c>
    </row>
    <row r="62" spans="1:6" x14ac:dyDescent="0.25">
      <c r="A62" s="3">
        <v>2682731</v>
      </c>
      <c r="B62" s="3" t="s">
        <v>20</v>
      </c>
      <c r="C62" s="4" t="s">
        <v>42</v>
      </c>
      <c r="D62" s="4" t="s">
        <v>5</v>
      </c>
      <c r="E62" s="4" t="s">
        <v>19</v>
      </c>
      <c r="F62" s="5">
        <v>3.64</v>
      </c>
    </row>
    <row r="63" spans="1:6" x14ac:dyDescent="0.25">
      <c r="A63" s="3" t="s">
        <v>181</v>
      </c>
      <c r="B63" s="3" t="s">
        <v>182</v>
      </c>
      <c r="C63" s="4" t="s">
        <v>177</v>
      </c>
      <c r="D63" s="4" t="s">
        <v>82</v>
      </c>
      <c r="E63" s="4" t="s">
        <v>183</v>
      </c>
      <c r="F63" s="5">
        <v>0.8</v>
      </c>
    </row>
    <row r="64" spans="1:6" x14ac:dyDescent="0.25">
      <c r="A64" s="3" t="s">
        <v>184</v>
      </c>
      <c r="B64" s="3" t="s">
        <v>185</v>
      </c>
      <c r="C64" s="4" t="s">
        <v>177</v>
      </c>
      <c r="D64" s="4" t="s">
        <v>82</v>
      </c>
      <c r="E64" s="4" t="s">
        <v>186</v>
      </c>
      <c r="F64" s="5">
        <v>1.06</v>
      </c>
    </row>
  </sheetData>
  <pageMargins left="0.7" right="0.7" top="0.75" bottom="0.75" header="0.3" footer="0.3"/>
  <pageSetup paperSize="9" orientation="portrait" horizontalDpi="4294967293" verticalDpi="0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B0B78B-01A4-43BA-872C-8F142CE7D904}">
  <sheetPr codeName="Sheet13"/>
  <dimension ref="A1:K42"/>
  <sheetViews>
    <sheetView workbookViewId="0">
      <pane ySplit="1" topLeftCell="A2" activePane="bottomLeft" state="frozen"/>
      <selection activeCell="B6" sqref="B6"/>
      <selection pane="bottomLeft" activeCell="E22" sqref="E22"/>
    </sheetView>
  </sheetViews>
  <sheetFormatPr defaultRowHeight="15" x14ac:dyDescent="0.25"/>
  <cols>
    <col min="1" max="1" width="25.7109375" style="3" bestFit="1" customWidth="1"/>
    <col min="2" max="2" width="80.85546875" style="4" bestFit="1" customWidth="1"/>
    <col min="3" max="3" width="15.140625" style="4" bestFit="1" customWidth="1"/>
    <col min="4" max="4" width="11" style="4" bestFit="1" customWidth="1"/>
    <col min="5" max="5" width="10" style="4" bestFit="1" customWidth="1"/>
    <col min="6" max="6" width="11.5703125" customWidth="1"/>
    <col min="7" max="7" width="15.7109375" customWidth="1"/>
    <col min="8" max="8" width="16.28515625" customWidth="1"/>
    <col min="9" max="10" width="9.85546875" customWidth="1"/>
    <col min="11" max="11" width="4" customWidth="1"/>
    <col min="12" max="12" width="9.140625" customWidth="1"/>
  </cols>
  <sheetData>
    <row r="1" spans="1:11" ht="15.75" thickBot="1" x14ac:dyDescent="0.3">
      <c r="A1" s="2" t="s">
        <v>0</v>
      </c>
      <c r="B1" s="2" t="s">
        <v>2</v>
      </c>
      <c r="C1" s="2" t="s">
        <v>357</v>
      </c>
      <c r="D1" s="2" t="s">
        <v>138</v>
      </c>
      <c r="E1" s="2" t="s">
        <v>3</v>
      </c>
      <c r="F1" s="7" t="s">
        <v>165</v>
      </c>
      <c r="G1" s="7" t="s">
        <v>167</v>
      </c>
      <c r="H1" s="7" t="s">
        <v>175</v>
      </c>
      <c r="J1" s="9" t="s">
        <v>166</v>
      </c>
      <c r="K1" s="63">
        <v>2</v>
      </c>
    </row>
    <row r="2" spans="1:11" x14ac:dyDescent="0.25">
      <c r="A2" s="4" t="s">
        <v>158</v>
      </c>
      <c r="B2" s="4" t="str">
        <f>VLOOKUP(Table1411[[#This Row],[Man. Number]],Articles!A:F,COLUMN(Articles!$D$1)-COLUMN(Articles!$A$1)+1,FALSE)</f>
        <v>BOX PLASTIC GRY/CLR 4.9"LX4.92"W</v>
      </c>
      <c r="C2" s="4" t="s">
        <v>65</v>
      </c>
      <c r="D2" s="4">
        <v>1</v>
      </c>
      <c r="E2" s="4">
        <f>VLOOKUP(Table1411[[#This Row],[Man. Number]],Articles!A:F,COLUMN(Articles!$F$1)-COLUMN(Articles!$A$1)+1,FALSE)</f>
        <v>1</v>
      </c>
      <c r="F2" s="4" t="str">
        <f>IF(Table1411[[#This Row],[In stock]] &gt;= Table1411[[#This Row],[Quantity]],"YES","NO")</f>
        <v>YES</v>
      </c>
      <c r="G2" s="4">
        <f>Table1411[[#This Row],[Quantity]]*$K$1</f>
        <v>2</v>
      </c>
      <c r="H2" s="4" t="str">
        <f>IF(Table1411[[#This Row],[In stock]] &gt;= Table1411[[#This Row],[Total quantity]],"YES","NO")</f>
        <v>NO</v>
      </c>
    </row>
    <row r="3" spans="1:11" x14ac:dyDescent="0.25">
      <c r="A3" s="3" t="s">
        <v>118</v>
      </c>
      <c r="B3" s="4" t="str">
        <f>VLOOKUP(Table1411[[#This Row],[Man. Number]],Articles!A:F,COLUMN(Articles!$D$1)-COLUMN(Articles!$A$1)+1,FALSE)</f>
        <v>Cavalier (barre bus), Shunt, Shunt, Embases au pas de 0.100", 2 Voies, 2.54 mm</v>
      </c>
      <c r="C3" s="4" t="s">
        <v>65</v>
      </c>
      <c r="D3" s="4">
        <v>19</v>
      </c>
      <c r="E3" s="4">
        <f>VLOOKUP(Table1411[[#This Row],[Man. Number]],Articles!A:F,COLUMN(Articles!$F$1)-COLUMN(Articles!$A$1)+1,FALSE)</f>
        <v>100</v>
      </c>
      <c r="F3" s="4" t="str">
        <f>IF(Table1411[[#This Row],[In stock]] &gt;= Table1411[[#This Row],[Quantity]],"YES","NO")</f>
        <v>YES</v>
      </c>
      <c r="G3" s="4">
        <f>Table1411[[#This Row],[Quantity]]*$K$1</f>
        <v>38</v>
      </c>
      <c r="H3" s="4" t="str">
        <f>IF(Table1411[[#This Row],[In stock]] &gt;= Table1411[[#This Row],[Total quantity]],"YES","NO")</f>
        <v>YES</v>
      </c>
    </row>
    <row r="4" spans="1:11" x14ac:dyDescent="0.25">
      <c r="A4" s="3" t="s">
        <v>40</v>
      </c>
      <c r="B4" s="4" t="str">
        <f>VLOOKUP(Table1411[[#This Row],[Man. Number]],Articles!A:F,COLUMN(Articles!$D$1)-COLUMN(Articles!$A$1)+1,FALSE)</f>
        <v>Connecteur carte-à-carte, femelle, 2.54 mm, 36 Contact(s), Embase</v>
      </c>
      <c r="C4" s="4" t="s">
        <v>65</v>
      </c>
      <c r="D4" s="4">
        <v>0.63888888888888884</v>
      </c>
      <c r="E4" s="4">
        <f>VLOOKUP(Table1411[[#This Row],[Man. Number]],Articles!A:F,COLUMN(Articles!$F$1)-COLUMN(Articles!$A$1)+1,FALSE)</f>
        <v>0</v>
      </c>
      <c r="F4" s="4" t="str">
        <f>IF(Table1411[[#This Row],[In stock]] &gt;= Table1411[[#This Row],[Quantity]],"YES","NO")</f>
        <v>NO</v>
      </c>
      <c r="G4" s="4">
        <f>Table1411[[#This Row],[Quantity]]*$K$1</f>
        <v>1.2777777777777777</v>
      </c>
      <c r="H4" s="4" t="str">
        <f>IF(Table1411[[#This Row],[In stock]] &gt;= Table1411[[#This Row],[Total quantity]],"YES","NO")</f>
        <v>NO</v>
      </c>
    </row>
    <row r="5" spans="1:11" x14ac:dyDescent="0.25">
      <c r="A5" s="3" t="s">
        <v>326</v>
      </c>
      <c r="B5" s="4" t="str">
        <f>VLOOKUP(Table1411[[#This Row],[Man. Number]],Articles!A:F,COLUMN(Articles!$D$1)-COLUMN(Articles!$A$1)+1,FALSE)</f>
        <v>PCB Lampe solaire v4</v>
      </c>
      <c r="C5" s="4" t="s">
        <v>65</v>
      </c>
      <c r="D5" s="4">
        <v>1</v>
      </c>
      <c r="E5" s="4">
        <f>VLOOKUP(Table1411[[#This Row],[Man. Number]],Articles!A:F,COLUMN(Articles!$F$1)-COLUMN(Articles!$A$1)+1,FALSE)</f>
        <v>10</v>
      </c>
      <c r="F5" s="4" t="str">
        <f>IF(Table1411[[#This Row],[In stock]] &gt;= Table1411[[#This Row],[Quantity]],"YES","NO")</f>
        <v>YES</v>
      </c>
      <c r="G5" s="4">
        <f>Table1411[[#This Row],[Quantity]]*$K$1</f>
        <v>2</v>
      </c>
      <c r="H5" s="4" t="str">
        <f>IF(Table1411[[#This Row],[In stock]] &gt;= Table1411[[#This Row],[Total quantity]],"YES","NO")</f>
        <v>YES</v>
      </c>
    </row>
    <row r="6" spans="1:11" x14ac:dyDescent="0.25">
      <c r="A6" s="3" t="s">
        <v>12</v>
      </c>
      <c r="B6" s="4" t="str">
        <f>VLOOKUP(Table1411[[#This Row],[Man. Number]],Articles!A:F,COLUMN(Articles!$D$1)-COLUMN(Articles!$A$1)+1,FALSE)</f>
        <v>Condensateur électrolytique, 4.7 µF, 35 V, Série MCGPR, ± 20%, À sorties radiales, 5 mm</v>
      </c>
      <c r="C6" s="4" t="s">
        <v>3093</v>
      </c>
      <c r="D6" s="4">
        <v>2</v>
      </c>
      <c r="E6" s="4">
        <f>VLOOKUP(Table1411[[#This Row],[Man. Number]],Articles!A:F,COLUMN(Articles!$F$1)-COLUMN(Articles!$A$1)+1,FALSE)</f>
        <v>48</v>
      </c>
      <c r="F6" s="4" t="str">
        <f>IF(Table1411[[#This Row],[In stock]] &gt;= Table1411[[#This Row],[Quantity]],"YES","NO")</f>
        <v>YES</v>
      </c>
      <c r="G6" s="4">
        <f>Table1411[[#This Row],[Quantity]]*$K$1</f>
        <v>4</v>
      </c>
      <c r="H6" s="4" t="str">
        <f>IF(Table1411[[#This Row],[In stock]] &gt;= Table1411[[#This Row],[Total quantity]],"YES","NO")</f>
        <v>YES</v>
      </c>
    </row>
    <row r="7" spans="1:11" x14ac:dyDescent="0.25">
      <c r="A7" s="3" t="s">
        <v>14</v>
      </c>
      <c r="B7" s="4" t="str">
        <f>VLOOKUP(Table1411[[#This Row],[Man. Number]],Articles!A:F,COLUMN(Articles!$D$1)-COLUMN(Articles!$A$1)+1,FALSE)</f>
        <v>Condensateur électrolytique, 10 µF, 35 V, Série MCGPR, ± 20%, À sorties radiales, 5 mm</v>
      </c>
      <c r="C7" s="4" t="s">
        <v>295</v>
      </c>
      <c r="D7" s="4">
        <v>1</v>
      </c>
      <c r="E7" s="4">
        <f>VLOOKUP(Table1411[[#This Row],[Man. Number]],Articles!A:F,COLUMN(Articles!$F$1)-COLUMN(Articles!$A$1)+1,FALSE)</f>
        <v>49</v>
      </c>
      <c r="F7" s="4" t="str">
        <f>IF(Table1411[[#This Row],[In stock]] &gt;= Table1411[[#This Row],[Quantity]],"YES","NO")</f>
        <v>YES</v>
      </c>
      <c r="G7" s="4">
        <f>Table1411[[#This Row],[Quantity]]*$K$1</f>
        <v>2</v>
      </c>
      <c r="H7" s="4" t="str">
        <f>IF(Table1411[[#This Row],[In stock]] &gt;= Table1411[[#This Row],[Total quantity]],"YES","NO")</f>
        <v>YES</v>
      </c>
    </row>
    <row r="8" spans="1:11" x14ac:dyDescent="0.25">
      <c r="A8" s="3" t="s">
        <v>36</v>
      </c>
      <c r="B8" s="4" t="str">
        <f>VLOOKUP(Table1411[[#This Row],[Man. Number]],Articles!A:F,COLUMN(Articles!$D$1)-COLUMN(Articles!$A$1)+1,FALSE)</f>
        <v>Condensateur céramique multicouche CMS, 1206 [3216 Metric], 0.1 µF, 25 V, ± 10%, X7R</v>
      </c>
      <c r="C8" s="4" t="s">
        <v>3092</v>
      </c>
      <c r="D8" s="4">
        <v>5</v>
      </c>
      <c r="E8" s="4">
        <f>VLOOKUP(Table1411[[#This Row],[Man. Number]],Articles!A:F,COLUMN(Articles!$F$1)-COLUMN(Articles!$A$1)+1,FALSE)</f>
        <v>92</v>
      </c>
      <c r="F8" s="4" t="str">
        <f>IF(Table1411[[#This Row],[In stock]] &gt;= Table1411[[#This Row],[Quantity]],"YES","NO")</f>
        <v>YES</v>
      </c>
      <c r="G8" s="4">
        <f>Table1411[[#This Row],[Quantity]]*$K$1</f>
        <v>10</v>
      </c>
      <c r="H8" s="4" t="str">
        <f>IF(Table1411[[#This Row],[In stock]] &gt;= Table1411[[#This Row],[Total quantity]],"YES","NO")</f>
        <v>YES</v>
      </c>
    </row>
    <row r="9" spans="1:11" x14ac:dyDescent="0.25">
      <c r="A9" s="3" t="s">
        <v>290</v>
      </c>
      <c r="B9" s="4" t="str">
        <f>VLOOKUP(Table1411[[#This Row],[Man. Number]],Articles!A:F,COLUMN(Articles!$D$1)-COLUMN(Articles!$A$1)+1,FALSE)</f>
        <v>FUSE BOARD MNT 630MA 63VDC 1206</v>
      </c>
      <c r="C9" s="4" t="s">
        <v>292</v>
      </c>
      <c r="D9" s="4">
        <v>1</v>
      </c>
      <c r="E9" s="4">
        <f>VLOOKUP(Table1411[[#This Row],[Man. Number]],Articles!A:F,COLUMN(Articles!$F$1)-COLUMN(Articles!$A$1)+1,FALSE)</f>
        <v>0</v>
      </c>
      <c r="F9" s="4" t="str">
        <f>IF(Table1411[[#This Row],[In stock]] &gt;= Table1411[[#This Row],[Quantity]],"YES","NO")</f>
        <v>NO</v>
      </c>
      <c r="G9" s="4">
        <f>Table1411[[#This Row],[Quantity]]*$K$1</f>
        <v>2</v>
      </c>
      <c r="H9" s="4" t="str">
        <f>IF(Table1411[[#This Row],[In stock]] &gt;= Table1411[[#This Row],[Total quantity]],"YES","NO")</f>
        <v>NO</v>
      </c>
    </row>
    <row r="10" spans="1:11" x14ac:dyDescent="0.25">
      <c r="A10" s="4" t="s">
        <v>139</v>
      </c>
      <c r="B10" s="4" t="str">
        <f>VLOOKUP(Table1411[[#This Row],[Man. Number]],Articles!A:F,COLUMN(Articles!$D$1)-COLUMN(Articles!$A$1)+1,FALSE)</f>
        <v>RELAY TELECOM DPDT 5A 2.4V</v>
      </c>
      <c r="C10" s="4" t="s">
        <v>311</v>
      </c>
      <c r="D10" s="4">
        <v>1</v>
      </c>
      <c r="E10" s="4">
        <f>VLOOKUP(Table1411[[#This Row],[Man. Number]],Articles!A:F,COLUMN(Articles!$F$1)-COLUMN(Articles!$A$1)+1,FALSE)</f>
        <v>1</v>
      </c>
      <c r="F10" s="4" t="str">
        <f>IF(Table1411[[#This Row],[In stock]] &gt;= Table1411[[#This Row],[Quantity]],"YES","NO")</f>
        <v>YES</v>
      </c>
      <c r="G10" s="4">
        <f>Table1411[[#This Row],[Quantity]]*$K$1</f>
        <v>2</v>
      </c>
      <c r="H10" s="4" t="str">
        <f>IF(Table1411[[#This Row],[In stock]] &gt;= Table1411[[#This Row],[Total quantity]],"YES","NO")</f>
        <v>NO</v>
      </c>
    </row>
    <row r="11" spans="1:11" x14ac:dyDescent="0.25">
      <c r="A11" s="3" t="s">
        <v>34</v>
      </c>
      <c r="B11" s="4" t="str">
        <f>VLOOKUP(Table1411[[#This Row],[Man. Number]],Articles!A:F,COLUMN(Articles!$D$1)-COLUMN(Articles!$A$1)+1,FALSE)</f>
        <v>LED, Rouge, Traversant, 3mm, 20 mA, 1.8 V, 643 nm</v>
      </c>
      <c r="C11" s="4" t="s">
        <v>298</v>
      </c>
      <c r="D11" s="4">
        <v>1</v>
      </c>
      <c r="E11" s="4">
        <f>VLOOKUP(Table1411[[#This Row],[Man. Number]],Articles!A:F,COLUMN(Articles!$F$1)-COLUMN(Articles!$A$1)+1,FALSE)</f>
        <v>4</v>
      </c>
      <c r="F11" s="4" t="str">
        <f>IF(Table1411[[#This Row],[In stock]] &gt;= Table1411[[#This Row],[Quantity]],"YES","NO")</f>
        <v>YES</v>
      </c>
      <c r="G11" s="4">
        <f>Table1411[[#This Row],[Quantity]]*$K$1</f>
        <v>2</v>
      </c>
      <c r="H11" s="4" t="str">
        <f>IF(Table1411[[#This Row],[In stock]] &gt;= Table1411[[#This Row],[Total quantity]],"YES","NO")</f>
        <v>YES</v>
      </c>
    </row>
    <row r="12" spans="1:11" x14ac:dyDescent="0.25">
      <c r="A12" s="3" t="s">
        <v>324</v>
      </c>
      <c r="B12" s="4" t="str">
        <f>VLOOKUP(Table1411[[#This Row],[Man. Number]],Articles!A:F,COLUMN(Articles!$D$1)-COLUMN(Articles!$A$1)+1,FALSE)</f>
        <v>PCB Led adaptateur v1</v>
      </c>
      <c r="C12" s="4" t="s">
        <v>301</v>
      </c>
      <c r="D12" s="4">
        <v>1</v>
      </c>
      <c r="E12" s="4">
        <f>VLOOKUP(Table1411[[#This Row],[Man. Number]],Articles!A:F,COLUMN(Articles!$F$1)-COLUMN(Articles!$A$1)+1,FALSE)</f>
        <v>9</v>
      </c>
      <c r="F12" s="4" t="str">
        <f>IF(Table1411[[#This Row],[In stock]] &gt;= Table1411[[#This Row],[Quantity]],"YES","NO")</f>
        <v>YES</v>
      </c>
      <c r="G12" s="4">
        <f>Table1411[[#This Row],[Quantity]]*$K$1</f>
        <v>2</v>
      </c>
      <c r="H12" s="4" t="str">
        <f>IF(Table1411[[#This Row],[In stock]] &gt;= Table1411[[#This Row],[Total quantity]],"YES","NO")</f>
        <v>YES</v>
      </c>
    </row>
    <row r="13" spans="1:11" x14ac:dyDescent="0.25">
      <c r="A13" s="59" t="s">
        <v>231</v>
      </c>
      <c r="B13" s="41" t="str">
        <f>VLOOKUP(Table1411[[#This Row],[Man. Number]],Articles!A:F,COLUMN(Articles!$D$1)-COLUMN(Articles!$A$1)+1,FALSE)</f>
        <v>LED RED 0603 SMD</v>
      </c>
      <c r="C13" s="4" t="s">
        <v>3094</v>
      </c>
      <c r="D13" s="4">
        <v>1</v>
      </c>
      <c r="E13" s="41">
        <f>VLOOKUP(Table1411[[#This Row],[Man. Number]],Articles!A:F,COLUMN(Articles!$F$1)-COLUMN(Articles!$A$1)+1,FALSE)</f>
        <v>9</v>
      </c>
      <c r="F13" s="41" t="str">
        <f>IF(Table1411[[#This Row],[In stock]] &gt;= Table1411[[#This Row],[Quantity]],"YES","NO")</f>
        <v>YES</v>
      </c>
      <c r="G13" s="41">
        <f>Table1411[[#This Row],[Quantity]]*$K$1</f>
        <v>2</v>
      </c>
      <c r="H13" s="41" t="str">
        <f>IF(Table1411[[#This Row],[In stock]] &gt;= Table1411[[#This Row],[Total quantity]],"YES","NO")</f>
        <v>YES</v>
      </c>
    </row>
    <row r="14" spans="1:11" x14ac:dyDescent="0.25">
      <c r="A14" s="3" t="s">
        <v>320</v>
      </c>
      <c r="B14" s="4" t="str">
        <f>VLOOKUP(Table1411[[#This Row],[Man. Number]],Articles!A:F,COLUMN(Articles!$D$1)-COLUMN(Articles!$A$1)+1,FALSE)</f>
        <v>Résistance SMD 3.3k OHM 0805</v>
      </c>
      <c r="C14" s="4" t="s">
        <v>317</v>
      </c>
      <c r="D14" s="4">
        <v>1</v>
      </c>
      <c r="E14" s="4">
        <f>VLOOKUP(Table1411[[#This Row],[Man. Number]],Articles!A:F,COLUMN(Articles!$F$1)-COLUMN(Articles!$A$1)+1,FALSE)</f>
        <v>5</v>
      </c>
      <c r="F14" s="4" t="str">
        <f>IF(Table1411[[#This Row],[In stock]] &gt;= Table1411[[#This Row],[Quantity]],"YES","NO")</f>
        <v>YES</v>
      </c>
      <c r="G14" s="4">
        <f>Table1411[[#This Row],[Quantity]]*$K$1</f>
        <v>2</v>
      </c>
      <c r="H14" s="4" t="str">
        <f>IF(Table1411[[#This Row],[In stock]] &gt;= Table1411[[#This Row],[Total quantity]],"YES","NO")</f>
        <v>YES</v>
      </c>
    </row>
    <row r="15" spans="1:11" x14ac:dyDescent="0.25">
      <c r="A15" s="59" t="s">
        <v>1884</v>
      </c>
      <c r="B15" s="4" t="str">
        <f>VLOOKUP(Table1411[[#This Row],[Man. Number]],Articles!A:F,COLUMN(Articles!$D$1)-COLUMN(Articles!$A$1)+1,FALSE)</f>
        <v>RES SMD 22 OHM 5% 0.4W 0805</v>
      </c>
      <c r="C15" s="4" t="s">
        <v>308</v>
      </c>
      <c r="D15" s="4">
        <v>1</v>
      </c>
      <c r="E15" s="4">
        <f>VLOOKUP(Table1411[[#This Row],[Man. Number]],Articles!A:F,COLUMN(Articles!$F$1)-COLUMN(Articles!$A$1)+1,FALSE)</f>
        <v>0</v>
      </c>
      <c r="F15" s="4" t="str">
        <f>IF(Table1411[[#This Row],[In stock]] &gt;= Table1411[[#This Row],[Quantity]],"YES","NO")</f>
        <v>NO</v>
      </c>
      <c r="G15" s="4">
        <f>Table1411[[#This Row],[Quantity]]*$K$1</f>
        <v>2</v>
      </c>
      <c r="H15" s="4" t="str">
        <f>IF(Table1411[[#This Row],[In stock]] &gt;= Table1411[[#This Row],[Total quantity]],"YES","NO")</f>
        <v>NO</v>
      </c>
    </row>
    <row r="16" spans="1:11" x14ac:dyDescent="0.25">
      <c r="A16" s="60" t="s">
        <v>3230</v>
      </c>
      <c r="B16" s="4" t="str">
        <f>VLOOKUP(Table1411[[#This Row],[Man. Number]],Articles!A:F,COLUMN(Articles!$D$1)-COLUMN(Articles!$A$1)+1,FALSE)</f>
        <v>RES SMD 5.1 OHM 5% 3/4W 1206</v>
      </c>
      <c r="C16" s="4" t="s">
        <v>302</v>
      </c>
      <c r="D16" s="4">
        <v>2</v>
      </c>
      <c r="E16" s="4">
        <f>VLOOKUP(Table1411[[#This Row],[Man. Number]],Articles!A:F,COLUMN(Articles!$F$1)-COLUMN(Articles!$A$1)+1,FALSE)</f>
        <v>0</v>
      </c>
      <c r="F16" s="4" t="str">
        <f>IF(Table1411[[#This Row],[In stock]] &gt;= Table1411[[#This Row],[Quantity]],"YES","NO")</f>
        <v>NO</v>
      </c>
      <c r="G16" s="4">
        <f>Table1411[[#This Row],[Quantity]]*$K$1</f>
        <v>4</v>
      </c>
      <c r="H16" s="4" t="str">
        <f>IF(Table1411[[#This Row],[In stock]] &gt;= Table1411[[#This Row],[Total quantity]],"YES","NO")</f>
        <v>NO</v>
      </c>
    </row>
    <row r="17" spans="1:8" x14ac:dyDescent="0.25">
      <c r="A17" s="59" t="s">
        <v>2811</v>
      </c>
      <c r="B17" s="4" t="str">
        <f>VLOOKUP(Table1411[[#This Row],[Man. Number]],Articles!A:F,COLUMN(Articles!$D$1)-COLUMN(Articles!$A$1)+1,FALSE)</f>
        <v>RES SMD 3.9K OHM 5% 0.4W 0805</v>
      </c>
      <c r="C17" s="4" t="s">
        <v>305</v>
      </c>
      <c r="D17" s="4">
        <v>1</v>
      </c>
      <c r="E17" s="4">
        <f>VLOOKUP(Table1411[[#This Row],[Man. Number]],Articles!A:F,COLUMN(Articles!$F$1)-COLUMN(Articles!$A$1)+1,FALSE)</f>
        <v>0</v>
      </c>
      <c r="F17" s="4" t="str">
        <f>IF(Table1411[[#This Row],[In stock]] &gt;= Table1411[[#This Row],[Quantity]],"YES","NO")</f>
        <v>NO</v>
      </c>
      <c r="G17" s="4">
        <f>Table1411[[#This Row],[Quantity]]*$K$1</f>
        <v>2</v>
      </c>
      <c r="H17" s="4" t="str">
        <f>IF(Table1411[[#This Row],[In stock]] &gt;= Table1411[[#This Row],[Total quantity]],"YES","NO")</f>
        <v>NO</v>
      </c>
    </row>
    <row r="18" spans="1:8" x14ac:dyDescent="0.25">
      <c r="A18" s="3" t="s">
        <v>188</v>
      </c>
      <c r="B18" s="4" t="str">
        <f>VLOOKUP(Table1411[[#This Row],[Man. Number]],Articles!A:F,COLUMN(Articles!$D$1)-COLUMN(Articles!$A$1)+1,FALSE)</f>
        <v>RES SMD 4.7K OHM 1% 1/8W 0805</v>
      </c>
      <c r="C18" s="4" t="s">
        <v>3095</v>
      </c>
      <c r="D18" s="4">
        <v>2</v>
      </c>
      <c r="E18" s="4">
        <f>VLOOKUP(Table1411[[#This Row],[Man. Number]],Articles!A:F,COLUMN(Articles!$F$1)-COLUMN(Articles!$A$1)+1,FALSE)</f>
        <v>99</v>
      </c>
      <c r="F18" s="4" t="str">
        <f>IF(Table1411[[#This Row],[In stock]] &gt;= Table1411[[#This Row],[Quantity]],"YES","NO")</f>
        <v>YES</v>
      </c>
      <c r="G18" s="4">
        <f>Table1411[[#This Row],[Quantity]]*$K$1</f>
        <v>4</v>
      </c>
      <c r="H18" s="4" t="str">
        <f>IF(Table1411[[#This Row],[In stock]] &gt;= Table1411[[#This Row],[Total quantity]],"YES","NO")</f>
        <v>YES</v>
      </c>
    </row>
    <row r="19" spans="1:8" x14ac:dyDescent="0.25">
      <c r="A19" s="59" t="s">
        <v>2907</v>
      </c>
      <c r="B19" s="41" t="str">
        <f>VLOOKUP(Table1411[[#This Row],[Man. Number]],Articles!A:F,COLUMN(Articles!$D$1)-COLUMN(Articles!$A$1)+1,FALSE)</f>
        <v>RES SMD 100K OHM 5% 0.4W 0805</v>
      </c>
      <c r="C19" s="4" t="s">
        <v>3098</v>
      </c>
      <c r="D19" s="4">
        <v>2</v>
      </c>
      <c r="E19" s="41">
        <f>VLOOKUP(Table1411[[#This Row],[Man. Number]],Articles!A:F,COLUMN(Articles!$F$1)-COLUMN(Articles!$A$1)+1,FALSE)</f>
        <v>0</v>
      </c>
      <c r="F19" s="41" t="str">
        <f>IF(Table1411[[#This Row],[In stock]] &gt;= Table1411[[#This Row],[Quantity]],"YES","NO")</f>
        <v>NO</v>
      </c>
      <c r="G19" s="41">
        <f>Table1411[[#This Row],[Quantity]]*$K$1</f>
        <v>4</v>
      </c>
      <c r="H19" s="41" t="str">
        <f>IF(Table1411[[#This Row],[In stock]] &gt;= Table1411[[#This Row],[Total quantity]],"YES","NO")</f>
        <v>NO</v>
      </c>
    </row>
    <row r="20" spans="1:8" x14ac:dyDescent="0.25">
      <c r="A20" s="59" t="s">
        <v>1047</v>
      </c>
      <c r="B20" s="4" t="str">
        <f>VLOOKUP(Table1411[[#This Row],[Man. Number]],Articles!A:F,COLUMN(Articles!$D$1)-COLUMN(Articles!$A$1)+1,FALSE)</f>
        <v>RES SMD 1K OHM 5% 1/8W 0805</v>
      </c>
      <c r="C20" s="4" t="s">
        <v>3096</v>
      </c>
      <c r="D20" s="4">
        <v>3</v>
      </c>
      <c r="E20" s="4">
        <f>VLOOKUP(Table1411[[#This Row],[Man. Number]],Articles!A:F,COLUMN(Articles!$F$1)-COLUMN(Articles!$A$1)+1,FALSE)</f>
        <v>0</v>
      </c>
      <c r="F20" s="4" t="str">
        <f>IF(Table1411[[#This Row],[In stock]] &gt;= Table1411[[#This Row],[Quantity]],"YES","NO")</f>
        <v>NO</v>
      </c>
      <c r="G20" s="4">
        <f>Table1411[[#This Row],[Quantity]]*$K$1</f>
        <v>6</v>
      </c>
      <c r="H20" s="4" t="str">
        <f>IF(Table1411[[#This Row],[In stock]] &gt;= Table1411[[#This Row],[Total quantity]],"YES","NO")</f>
        <v>NO</v>
      </c>
    </row>
    <row r="21" spans="1:8" x14ac:dyDescent="0.25">
      <c r="A21" s="59" t="s">
        <v>2832</v>
      </c>
      <c r="B21" s="41" t="str">
        <f>VLOOKUP(Table1411[[#This Row],[Man. Number]],Articles!A:F,COLUMN(Articles!$D$1)-COLUMN(Articles!$A$1)+1,FALSE)</f>
        <v>RES SMD 330 OHM 5% 0.4W 0805</v>
      </c>
      <c r="C21" s="4" t="s">
        <v>3097</v>
      </c>
      <c r="D21" s="4">
        <v>1</v>
      </c>
      <c r="E21" s="41">
        <f>VLOOKUP(Table1411[[#This Row],[Man. Number]],Articles!A:F,COLUMN(Articles!$F$1)-COLUMN(Articles!$A$1)+1,FALSE)</f>
        <v>0</v>
      </c>
      <c r="F21" s="41" t="str">
        <f>IF(Table1411[[#This Row],[In stock]] &gt;= Table1411[[#This Row],[Quantity]],"YES","NO")</f>
        <v>NO</v>
      </c>
      <c r="G21" s="41">
        <f>Table1411[[#This Row],[Quantity]]*$K$1</f>
        <v>2</v>
      </c>
      <c r="H21" s="41" t="str">
        <f>IF(Table1411[[#This Row],[In stock]] &gt;= Table1411[[#This Row],[Total quantity]],"YES","NO")</f>
        <v>NO</v>
      </c>
    </row>
    <row r="22" spans="1:8" x14ac:dyDescent="0.25">
      <c r="A22" s="3">
        <v>1004068</v>
      </c>
      <c r="B22" s="4" t="str">
        <f>VLOOKUP(Table1411[[#This Row],[Man. Number]],Articles!A:F,COLUMN(Articles!$D$1)-COLUMN(Articles!$A$1)+1,FALSE)</f>
        <v>Panneau solaire</v>
      </c>
      <c r="C22" s="4" t="s">
        <v>314</v>
      </c>
      <c r="D22" s="4">
        <v>1</v>
      </c>
      <c r="E22" s="4">
        <f>VLOOKUP(Table1411[[#This Row],[Man. Number]],Articles!A:F,COLUMN(Articles!$F$1)-COLUMN(Articles!$A$1)+1,FALSE)</f>
        <v>2</v>
      </c>
      <c r="F22" s="4" t="str">
        <f>IF(Table1411[[#This Row],[In stock]] &gt;= Table1411[[#This Row],[Quantity]],"YES","NO")</f>
        <v>YES</v>
      </c>
      <c r="G22" s="4">
        <f>Table1411[[#This Row],[Quantity]]*$K$1</f>
        <v>2</v>
      </c>
      <c r="H22" s="4" t="str">
        <f>IF(Table1411[[#This Row],[In stock]] &gt;= Table1411[[#This Row],[Total quantity]],"YES","NO")</f>
        <v>YES</v>
      </c>
    </row>
    <row r="23" spans="1:8" x14ac:dyDescent="0.25">
      <c r="A23" s="3" t="s">
        <v>43</v>
      </c>
      <c r="B23" s="4" t="str">
        <f>VLOOKUP(Table1411[[#This Row],[Man. Number]],Articles!A:F,COLUMN(Articles!$D$1)-COLUMN(Articles!$A$1)+1,FALSE)</f>
        <v>Transistor MOSFET, Canal P, -7.1 A, -12 V, 28.5 mohm, -4.5 V, -400 mV</v>
      </c>
      <c r="C23" s="4" t="s">
        <v>303</v>
      </c>
      <c r="D23" s="4">
        <v>2</v>
      </c>
      <c r="E23" s="4">
        <f>VLOOKUP(Table1411[[#This Row],[Man. Number]],Articles!A:F,COLUMN(Articles!$F$1)-COLUMN(Articles!$A$1)+1,FALSE)</f>
        <v>24</v>
      </c>
      <c r="F23" s="4" t="str">
        <f>IF(Table1411[[#This Row],[In stock]] &gt;= Table1411[[#This Row],[Quantity]],"YES","NO")</f>
        <v>YES</v>
      </c>
      <c r="G23" s="4">
        <f>Table1411[[#This Row],[Quantity]]*$K$1</f>
        <v>4</v>
      </c>
      <c r="H23" s="4" t="str">
        <f>IF(Table1411[[#This Row],[In stock]] &gt;= Table1411[[#This Row],[Total quantity]],"YES","NO")</f>
        <v>YES</v>
      </c>
    </row>
    <row r="24" spans="1:8" x14ac:dyDescent="0.25">
      <c r="A24" s="3" t="s">
        <v>46</v>
      </c>
      <c r="B24" s="4" t="str">
        <f>VLOOKUP(Table1411[[#This Row],[Man. Number]],Articles!A:F,COLUMN(Articles!$D$1)-COLUMN(Articles!$A$1)+1,FALSE)</f>
        <v>Transistor MOSFET, Canal N, 2.2 A, 30 V, 65 mohm, 4.5 V, 700 mV</v>
      </c>
      <c r="C24" s="4" t="s">
        <v>304</v>
      </c>
      <c r="D24" s="4">
        <v>5</v>
      </c>
      <c r="E24" s="4">
        <f>VLOOKUP(Table1411[[#This Row],[Man. Number]],Articles!A:F,COLUMN(Articles!$F$1)-COLUMN(Articles!$A$1)+1,FALSE)</f>
        <v>16</v>
      </c>
      <c r="F24" s="4" t="str">
        <f>IF(Table1411[[#This Row],[In stock]] &gt;= Table1411[[#This Row],[Quantity]],"YES","NO")</f>
        <v>YES</v>
      </c>
      <c r="G24" s="4">
        <f>Table1411[[#This Row],[Quantity]]*$K$1</f>
        <v>10</v>
      </c>
      <c r="H24" s="4" t="str">
        <f>IF(Table1411[[#This Row],[In stock]] &gt;= Table1411[[#This Row],[Total quantity]],"YES","NO")</f>
        <v>YES</v>
      </c>
    </row>
    <row r="25" spans="1:8" x14ac:dyDescent="0.25">
      <c r="A25" s="3" t="s">
        <v>22</v>
      </c>
      <c r="B25" s="4" t="str">
        <f>VLOOKUP(Table1411[[#This Row],[Man. Number]],Articles!A:F,COLUMN(Articles!$D$1)-COLUMN(Articles!$A$1)+1,FALSE)</f>
        <v>Chargeur de batterie pour 1 cellule Li-Ion, batterie Li-Pol, entrée 6V, charge 4.2V/500mA, SOT23-5</v>
      </c>
      <c r="C25" s="4" t="s">
        <v>297</v>
      </c>
      <c r="D25" s="4">
        <v>1</v>
      </c>
      <c r="E25" s="4">
        <f>VLOOKUP(Table1411[[#This Row],[Man. Number]],Articles!A:F,COLUMN(Articles!$F$1)-COLUMN(Articles!$A$1)+1,FALSE)</f>
        <v>9</v>
      </c>
      <c r="F25" s="4" t="str">
        <f>IF(Table1411[[#This Row],[In stock]] &gt;= Table1411[[#This Row],[Quantity]],"YES","NO")</f>
        <v>YES</v>
      </c>
      <c r="G25" s="4">
        <f>Table1411[[#This Row],[Quantity]]*$K$1</f>
        <v>2</v>
      </c>
      <c r="H25" s="4" t="str">
        <f>IF(Table1411[[#This Row],[In stock]] &gt;= Table1411[[#This Row],[Total quantity]],"YES","NO")</f>
        <v>YES</v>
      </c>
    </row>
    <row r="26" spans="1:8" x14ac:dyDescent="0.25">
      <c r="A26" s="3" t="s">
        <v>24</v>
      </c>
      <c r="B26" s="4" t="str">
        <f>VLOOKUP(Table1411[[#This Row],[Man. Number]],Articles!A:F,COLUMN(Articles!$D$1)-COLUMN(Articles!$A$1)+1,FALSE)</f>
        <v>Superviseur, Reset drain ouvert, actif à l'état bas, 1V-5.5Vin</v>
      </c>
      <c r="C26" s="4" t="s">
        <v>299</v>
      </c>
      <c r="D26" s="4">
        <v>1</v>
      </c>
      <c r="E26" s="4">
        <f>VLOOKUP(Table1411[[#This Row],[Man. Number]],Articles!A:F,COLUMN(Articles!$F$1)-COLUMN(Articles!$A$1)+1,FALSE)</f>
        <v>4</v>
      </c>
      <c r="F26" s="4" t="str">
        <f>IF(Table1411[[#This Row],[In stock]] &gt;= Table1411[[#This Row],[Quantity]],"YES","NO")</f>
        <v>YES</v>
      </c>
      <c r="G26" s="4">
        <f>Table1411[[#This Row],[Quantity]]*$K$1</f>
        <v>2</v>
      </c>
      <c r="H26" s="4" t="str">
        <f>IF(Table1411[[#This Row],[In stock]] &gt;= Table1411[[#This Row],[Total quantity]],"YES","NO")</f>
        <v>YES</v>
      </c>
    </row>
    <row r="27" spans="1:8" x14ac:dyDescent="0.25">
      <c r="A27" s="3" t="s">
        <v>27</v>
      </c>
      <c r="B27" s="4" t="str">
        <f>VLOOKUP(Table1411[[#This Row],[Man. Number]],Articles!A:F,COLUMN(Articles!$D$1)-COLUMN(Articles!$A$1)+1,FALSE)</f>
        <v>Régulateur LDO, Fixe, Entrée 1.7 V à 5,5 V, Sortie 3.3 V/300 mA, Chute de 150 mV</v>
      </c>
      <c r="C27" s="4" t="s">
        <v>300</v>
      </c>
      <c r="D27" s="4">
        <v>1</v>
      </c>
      <c r="E27" s="4">
        <f>VLOOKUP(Table1411[[#This Row],[Man. Number]],Articles!A:F,COLUMN(Articles!$F$1)-COLUMN(Articles!$A$1)+1,FALSE)</f>
        <v>9</v>
      </c>
      <c r="F27" s="4" t="str">
        <f>IF(Table1411[[#This Row],[In stock]] &gt;= Table1411[[#This Row],[Quantity]],"YES","NO")</f>
        <v>YES</v>
      </c>
      <c r="G27" s="4">
        <f>Table1411[[#This Row],[Quantity]]*$K$1</f>
        <v>2</v>
      </c>
      <c r="H27" s="4" t="str">
        <f>IF(Table1411[[#This Row],[In stock]] &gt;= Table1411[[#This Row],[Total quantity]],"YES","NO")</f>
        <v>YES</v>
      </c>
    </row>
    <row r="28" spans="1:8" x14ac:dyDescent="0.25">
      <c r="A28" s="3">
        <v>1181876</v>
      </c>
      <c r="B28" s="4" t="str">
        <f>VLOOKUP(Table1411[[#This Row],[Man. Number]],Articles!A:F,COLUMN(Articles!$D$1)-COLUMN(Articles!$A$1)+1,FALSE)</f>
        <v>DC Step-up</v>
      </c>
      <c r="D28" s="4">
        <v>0</v>
      </c>
      <c r="E28" s="4">
        <f>VLOOKUP(Table1411[[#This Row],[Man. Number]],Articles!A:F,COLUMN(Articles!$F$1)-COLUMN(Articles!$A$1)+1,FALSE)</f>
        <v>9</v>
      </c>
      <c r="F28" s="4" t="str">
        <f>IF(Table1411[[#This Row],[In stock]] &gt;= Table1411[[#This Row],[Quantity]],"YES","NO")</f>
        <v>YES</v>
      </c>
      <c r="G28" s="4">
        <f>Table1411[[#This Row],[Quantity]]*$K$1</f>
        <v>0</v>
      </c>
      <c r="H28" s="4" t="str">
        <f>IF(Table1411[[#This Row],[In stock]] &gt;= Table1411[[#This Row],[Total quantity]],"YES","NO")</f>
        <v>YES</v>
      </c>
    </row>
    <row r="29" spans="1:8" x14ac:dyDescent="0.25">
      <c r="A29" s="3" t="s">
        <v>511</v>
      </c>
      <c r="B29" s="4" t="str">
        <f>VLOOKUP(Table1411[[#This Row],[Man. Number]],Articles!A:F,COLUMN(Articles!$D$1)-COLUMN(Articles!$A$1)+1,FALSE)</f>
        <v>General ISM &lt; 1GHz  Transceiver Module 868MHz Integrated, Trace Surface Mount</v>
      </c>
      <c r="C29" s="4" t="s">
        <v>316</v>
      </c>
      <c r="D29" s="4">
        <v>1</v>
      </c>
      <c r="E29" s="4">
        <f>VLOOKUP(Table1411[[#This Row],[Man. Number]],Articles!A:F,COLUMN(Articles!$F$1)-COLUMN(Articles!$A$1)+1,FALSE)</f>
        <v>0</v>
      </c>
      <c r="F29" s="4" t="str">
        <f>IF(Table1411[[#This Row],[In stock]] &gt;= Table1411[[#This Row],[Quantity]],"YES","NO")</f>
        <v>NO</v>
      </c>
      <c r="G29" s="4">
        <f>Table1411[[#This Row],[Quantity]]*$K$1</f>
        <v>2</v>
      </c>
      <c r="H29" s="4" t="str">
        <f>IF(Table1411[[#This Row],[In stock]] &gt;= Table1411[[#This Row],[Total quantity]],"YES","NO")</f>
        <v>NO</v>
      </c>
    </row>
    <row r="30" spans="1:8" x14ac:dyDescent="0.25">
      <c r="A30" s="59" t="s">
        <v>147</v>
      </c>
      <c r="B30" s="4" t="str">
        <f>VLOOKUP(Table1411[[#This Row],[Man. Number]],Articles!A:F,COLUMN(Articles!$D$1)-COLUMN(Articles!$A$1)+1,FALSE)</f>
        <v>IC MCU 8BIT 7KB FLASH 20SSOP</v>
      </c>
      <c r="C30" s="4" t="s">
        <v>313</v>
      </c>
      <c r="D30" s="4">
        <v>1</v>
      </c>
      <c r="E30" s="4">
        <f>VLOOKUP(Table1411[[#This Row],[Man. Number]],Articles!A:F,COLUMN(Articles!$F$1)-COLUMN(Articles!$A$1)+1,FALSE)</f>
        <v>3</v>
      </c>
      <c r="F30" s="4" t="str">
        <f>IF(Table1411[[#This Row],[In stock]] &gt;= Table1411[[#This Row],[Quantity]],"YES","NO")</f>
        <v>YES</v>
      </c>
      <c r="G30" s="4">
        <f>Table1411[[#This Row],[Quantity]]*$K$1</f>
        <v>2</v>
      </c>
      <c r="H30" s="4" t="str">
        <f>IF(Table1411[[#This Row],[In stock]] &gt;= Table1411[[#This Row],[Total quantity]],"YES","NO")</f>
        <v>YES</v>
      </c>
    </row>
    <row r="31" spans="1:8" x14ac:dyDescent="0.25">
      <c r="A31" s="3" t="s">
        <v>9</v>
      </c>
      <c r="B31" s="4" t="str">
        <f>VLOOKUP(Table1411[[#This Row],[Man. Number]],Articles!A:F,COLUMN(Articles!$D$1)-COLUMN(Articles!$A$1)+1,FALSE)</f>
        <v>Porte Logique NON-ET, 4 Portes, 2 entrées, 12 mA, 2V à 5.5V</v>
      </c>
      <c r="C31" s="4" t="s">
        <v>296</v>
      </c>
      <c r="D31" s="4">
        <v>1</v>
      </c>
      <c r="E31" s="4">
        <f>VLOOKUP(Table1411[[#This Row],[Man. Number]],Articles!A:F,COLUMN(Articles!$F$1)-COLUMN(Articles!$A$1)+1,FALSE)</f>
        <v>4</v>
      </c>
      <c r="F31" s="4" t="str">
        <f>IF(Table1411[[#This Row],[In stock]] &gt;= Table1411[[#This Row],[Quantity]],"YES","NO")</f>
        <v>YES</v>
      </c>
      <c r="G31" s="4">
        <f>Table1411[[#This Row],[Quantity]]*$K$1</f>
        <v>2</v>
      </c>
      <c r="H31" s="4" t="str">
        <f>IF(Table1411[[#This Row],[In stock]] &gt;= Table1411[[#This Row],[Total quantity]],"YES","NO")</f>
        <v>YES</v>
      </c>
    </row>
    <row r="32" spans="1:8" x14ac:dyDescent="0.25">
      <c r="A32" s="3">
        <v>90990</v>
      </c>
      <c r="B32" s="4" t="str">
        <f>VLOOKUP(Table1411[[#This Row],[Man. Number]],Articles!A:F,COLUMN(Articles!$D$1)-COLUMN(Articles!$A$1)+1,FALSE)</f>
        <v>Batterie Li-Po 3.7V 2000mAh</v>
      </c>
      <c r="C32" s="4" t="s">
        <v>315</v>
      </c>
      <c r="D32" s="4">
        <v>1</v>
      </c>
      <c r="E32" s="4">
        <f>VLOOKUP(Table1411[[#This Row],[Man. Number]],Articles!A:F,COLUMN(Articles!$F$1)-COLUMN(Articles!$A$1)+1,FALSE)</f>
        <v>1</v>
      </c>
      <c r="F32" s="4" t="str">
        <f>IF(Table1411[[#This Row],[In stock]] &gt;= Table1411[[#This Row],[Quantity]],"YES","NO")</f>
        <v>YES</v>
      </c>
      <c r="G32" s="4">
        <f>Table1411[[#This Row],[Quantity]]*$K$1</f>
        <v>2</v>
      </c>
      <c r="H32" s="4" t="str">
        <f>IF(Table1411[[#This Row],[In stock]] &gt;= Table1411[[#This Row],[Total quantity]],"YES","NO")</f>
        <v>NO</v>
      </c>
    </row>
    <row r="33" spans="1:8" x14ac:dyDescent="0.25">
      <c r="A33" s="3">
        <v>965083</v>
      </c>
      <c r="B33" s="4" t="str">
        <f>VLOOKUP(Table1411[[#This Row],[Man. Number]],Articles!A:F,COLUMN(Articles!$D$1)-COLUMN(Articles!$A$1)+1,FALSE)</f>
        <v>Porte-batterie</v>
      </c>
      <c r="C33" s="4" t="s">
        <v>315</v>
      </c>
      <c r="D33" s="4">
        <v>1</v>
      </c>
      <c r="E33" s="4">
        <f>VLOOKUP(Table1411[[#This Row],[Man. Number]],Articles!A:F,COLUMN(Articles!$F$1)-COLUMN(Articles!$A$1)+1,FALSE)</f>
        <v>2</v>
      </c>
      <c r="F33" s="4" t="str">
        <f>IF(Table1411[[#This Row],[In stock]] &gt;= Table1411[[#This Row],[Quantity]],"YES","NO")</f>
        <v>YES</v>
      </c>
      <c r="G33" s="4">
        <f>Table1411[[#This Row],[Quantity]]*$K$1</f>
        <v>2</v>
      </c>
      <c r="H33" s="4" t="str">
        <f>IF(Table1411[[#This Row],[In stock]] &gt;= Table1411[[#This Row],[Total quantity]],"YES","NO")</f>
        <v>YES</v>
      </c>
    </row>
    <row r="34" spans="1:8" x14ac:dyDescent="0.25">
      <c r="A34" s="59" t="s">
        <v>2962</v>
      </c>
      <c r="B34" s="41" t="str">
        <f>VLOOKUP(Table1411[[#This Row],[Man. Number]],Articles!A:F,COLUMN(Articles!$D$1)-COLUMN(Articles!$A$1)+1,FALSE)</f>
        <v>CONN HEADER SMD 2POS 1.25MM</v>
      </c>
      <c r="C34" s="4" t="s">
        <v>3090</v>
      </c>
      <c r="D34" s="4">
        <v>4</v>
      </c>
      <c r="E34" s="41">
        <f>VLOOKUP(Table1411[[#This Row],[Man. Number]],Articles!A:F,COLUMN(Articles!$F$1)-COLUMN(Articles!$A$1)+1,FALSE)</f>
        <v>0</v>
      </c>
      <c r="F34" s="41" t="str">
        <f>IF(Table1411[[#This Row],[In stock]] &gt;= Table1411[[#This Row],[Quantity]],"YES","NO")</f>
        <v>NO</v>
      </c>
      <c r="G34" s="41">
        <f>Table1411[[#This Row],[Quantity]]*$K$1</f>
        <v>8</v>
      </c>
      <c r="H34" s="41" t="str">
        <f>IF(Table1411[[#This Row],[In stock]] &gt;= Table1411[[#This Row],[Total quantity]],"YES","NO")</f>
        <v>NO</v>
      </c>
    </row>
    <row r="35" spans="1:8" x14ac:dyDescent="0.25">
      <c r="A35" s="59" t="s">
        <v>3034</v>
      </c>
      <c r="B35" s="41" t="str">
        <f>VLOOKUP(Table1411[[#This Row],[Man. Number]],Articles!A:F,COLUMN(Articles!$D$1)-COLUMN(Articles!$A$1)+1,FALSE)</f>
        <v>CONN GH HOUSING 2POS 1.25MM</v>
      </c>
      <c r="C35" s="4" t="s">
        <v>3090</v>
      </c>
      <c r="D35" s="4">
        <v>4</v>
      </c>
      <c r="E35" s="41">
        <f>VLOOKUP(Table1411[[#This Row],[Man. Number]],Articles!A:F,COLUMN(Articles!$F$1)-COLUMN(Articles!$A$1)+1,FALSE)</f>
        <v>0</v>
      </c>
      <c r="F35" s="41" t="str">
        <f>IF(Table1411[[#This Row],[In stock]] &gt;= Table1411[[#This Row],[Quantity]],"YES","NO")</f>
        <v>NO</v>
      </c>
      <c r="G35" s="41">
        <f>Table1411[[#This Row],[Quantity]]*$K$1</f>
        <v>8</v>
      </c>
      <c r="H35" s="41" t="str">
        <f>IF(Table1411[[#This Row],[In stock]] &gt;= Table1411[[#This Row],[Total quantity]],"YES","NO")</f>
        <v>NO</v>
      </c>
    </row>
    <row r="36" spans="1:8" x14ac:dyDescent="0.25">
      <c r="A36" s="59" t="s">
        <v>2957</v>
      </c>
      <c r="B36" s="41" t="str">
        <f>VLOOKUP(Table1411[[#This Row],[Man. Number]],Articles!A:F,COLUMN(Articles!$D$1)-COLUMN(Articles!$A$1)+1,FALSE)</f>
        <v>Socket Contact Tin 26-30 AWG Crimp</v>
      </c>
      <c r="C36" s="4" t="s">
        <v>3091</v>
      </c>
      <c r="D36" s="4">
        <v>19</v>
      </c>
      <c r="E36" s="41">
        <f>VLOOKUP(Table1411[[#This Row],[Man. Number]],Articles!A:F,COLUMN(Articles!$F$1)-COLUMN(Articles!$A$1)+1,FALSE)</f>
        <v>0</v>
      </c>
      <c r="F36" s="41" t="str">
        <f>IF(Table1411[[#This Row],[In stock]] &gt;= Table1411[[#This Row],[Quantity]],"YES","NO")</f>
        <v>NO</v>
      </c>
      <c r="G36" s="41">
        <f>Table1411[[#This Row],[Quantity]]*$K$1</f>
        <v>38</v>
      </c>
      <c r="H36" s="41" t="str">
        <f>IF(Table1411[[#This Row],[In stock]] &gt;= Table1411[[#This Row],[Total quantity]],"YES","NO")</f>
        <v>NO</v>
      </c>
    </row>
    <row r="37" spans="1:8" x14ac:dyDescent="0.25">
      <c r="A37" s="59" t="s">
        <v>2995</v>
      </c>
      <c r="B37" s="41" t="str">
        <f>VLOOKUP(Table1411[[#This Row],[Man. Number]],Articles!A:F,COLUMN(Articles!$D$1)-COLUMN(Articles!$A$1)+1,FALSE)</f>
        <v>CONN HEADER SMD 8POS 1.25MM</v>
      </c>
      <c r="C37" s="4" t="s">
        <v>3089</v>
      </c>
      <c r="D37" s="4">
        <v>1</v>
      </c>
      <c r="E37" s="41">
        <f>VLOOKUP(Table1411[[#This Row],[Man. Number]],Articles!A:F,COLUMN(Articles!$F$1)-COLUMN(Articles!$A$1)+1,FALSE)</f>
        <v>0</v>
      </c>
      <c r="F37" s="41" t="str">
        <f>IF(Table1411[[#This Row],[In stock]] &gt;= Table1411[[#This Row],[Quantity]],"YES","NO")</f>
        <v>NO</v>
      </c>
      <c r="G37" s="41">
        <f>Table1411[[#This Row],[Quantity]]*$K$1</f>
        <v>2</v>
      </c>
      <c r="H37" s="41" t="str">
        <f>IF(Table1411[[#This Row],[In stock]] &gt;= Table1411[[#This Row],[Total quantity]],"YES","NO")</f>
        <v>NO</v>
      </c>
    </row>
    <row r="38" spans="1:8" x14ac:dyDescent="0.25">
      <c r="A38" s="59" t="s">
        <v>3049</v>
      </c>
      <c r="B38" s="41" t="str">
        <f>VLOOKUP(Table1411[[#This Row],[Man. Number]],Articles!A:F,COLUMN(Articles!$D$1)-COLUMN(Articles!$A$1)+1,FALSE)</f>
        <v>CONN GH HOUSING 8POS 1.25MM</v>
      </c>
      <c r="C38" s="4" t="s">
        <v>3089</v>
      </c>
      <c r="D38" s="4">
        <v>1</v>
      </c>
      <c r="E38" s="41">
        <f>VLOOKUP(Table1411[[#This Row],[Man. Number]],Articles!A:F,COLUMN(Articles!$F$1)-COLUMN(Articles!$A$1)+1,FALSE)</f>
        <v>0</v>
      </c>
      <c r="F38" s="41" t="str">
        <f>IF(Table1411[[#This Row],[In stock]] &gt;= Table1411[[#This Row],[Quantity]],"YES","NO")</f>
        <v>NO</v>
      </c>
      <c r="G38" s="41">
        <f>Table1411[[#This Row],[Quantity]]*$K$1</f>
        <v>2</v>
      </c>
      <c r="H38" s="41" t="str">
        <f>IF(Table1411[[#This Row],[In stock]] &gt;= Table1411[[#This Row],[Total quantity]],"YES","NO")</f>
        <v>NO</v>
      </c>
    </row>
    <row r="39" spans="1:8" x14ac:dyDescent="0.25">
      <c r="A39" s="4" t="s">
        <v>77</v>
      </c>
      <c r="B39" s="4" t="str">
        <f>VLOOKUP(Table1411[[#This Row],[Man. Number]],Articles!A:F,COLUMN(Articles!$D$1)-COLUMN(Articles!$A$1)+1,FALSE)</f>
        <v>AUDIO PIEZO INDICATOR 2-5V TH</v>
      </c>
      <c r="C39" s="4" t="s">
        <v>312</v>
      </c>
      <c r="D39" s="4">
        <v>1</v>
      </c>
      <c r="E39" s="4">
        <f>VLOOKUP(Table1411[[#This Row],[Man. Number]],Articles!A:F,COLUMN(Articles!$F$1)-COLUMN(Articles!$A$1)+1,FALSE)</f>
        <v>1</v>
      </c>
      <c r="F39" s="4" t="str">
        <f>IF(Table1411[[#This Row],[In stock]] &gt;= Table1411[[#This Row],[Quantity]],"YES","NO")</f>
        <v>YES</v>
      </c>
      <c r="G39" s="4">
        <f>Table1411[[#This Row],[Quantity]]*$K$1</f>
        <v>2</v>
      </c>
      <c r="H39" s="4" t="str">
        <f>IF(Table1411[[#This Row],[In stock]] &gt;= Table1411[[#This Row],[Total quantity]],"YES","NO")</f>
        <v>NO</v>
      </c>
    </row>
    <row r="40" spans="1:8" x14ac:dyDescent="0.25">
      <c r="A40" s="59" t="s">
        <v>590</v>
      </c>
      <c r="B40" s="41" t="str">
        <f>VLOOKUP(Table1411[[#This Row],[Man. Number]],Articles!A:F,COLUMN(Articles!$D$1)-COLUMN(Articles!$A$1)+1,FALSE)</f>
        <v>Connector Header Through Hole, male, 36 position 0.100" (2.54mm)</v>
      </c>
      <c r="C40" s="4" t="s">
        <v>3108</v>
      </c>
      <c r="D40" s="4">
        <f>10/36</f>
        <v>0.27777777777777779</v>
      </c>
      <c r="E40" s="41">
        <f>VLOOKUP(Table1411[[#This Row],[Man. Number]],Articles!A:F,COLUMN(Articles!$F$1)-COLUMN(Articles!$A$1)+1,FALSE)</f>
        <v>3</v>
      </c>
      <c r="F40" s="41" t="str">
        <f>IF(Table1411[[#This Row],[In stock]] &gt;= Table1411[[#This Row],[Quantity]],"YES","NO")</f>
        <v>YES</v>
      </c>
      <c r="G40" s="41">
        <f>Table1411[[#This Row],[Quantity]]*$K$1</f>
        <v>0.55555555555555558</v>
      </c>
      <c r="H40" s="41" t="str">
        <f>IF(Table1411[[#This Row],[In stock]] &gt;= Table1411[[#This Row],[Total quantity]],"YES","NO")</f>
        <v>YES</v>
      </c>
    </row>
    <row r="41" spans="1:8" x14ac:dyDescent="0.25">
      <c r="A41" s="59" t="s">
        <v>2968</v>
      </c>
      <c r="B41" s="41" t="str">
        <f>VLOOKUP(Table1411[[#This Row],[Man. Number]],Articles!A:F,COLUMN(Articles!$D$1)-COLUMN(Articles!$A$1)+1,FALSE)</f>
        <v>CONN HEADER SMD 3POS 1.25MM</v>
      </c>
      <c r="C41" s="4" t="s">
        <v>315</v>
      </c>
      <c r="D41" s="4">
        <v>1</v>
      </c>
      <c r="E41" s="41">
        <f>VLOOKUP(Table1411[[#This Row],[Man. Number]],Articles!A:F,COLUMN(Articles!$F$1)-COLUMN(Articles!$A$1)+1,FALSE)</f>
        <v>0</v>
      </c>
      <c r="F41" s="41" t="str">
        <f>IF(Table1411[[#This Row],[In stock]] &gt;= Table1411[[#This Row],[Quantity]],"YES","NO")</f>
        <v>NO</v>
      </c>
      <c r="G41" s="41">
        <f>Table1411[[#This Row],[Quantity]]*$K$1</f>
        <v>2</v>
      </c>
      <c r="H41" s="41" t="str">
        <f>IF(Table1411[[#This Row],[In stock]] &gt;= Table1411[[#This Row],[Total quantity]],"YES","NO")</f>
        <v>NO</v>
      </c>
    </row>
    <row r="42" spans="1:8" x14ac:dyDescent="0.25">
      <c r="A42" s="59" t="s">
        <v>3040</v>
      </c>
      <c r="B42" s="41" t="str">
        <f>VLOOKUP(Table1411[[#This Row],[Man. Number]],Articles!A:F,COLUMN(Articles!$D$1)-COLUMN(Articles!$A$1)+1,FALSE)</f>
        <v>CONN GH HOUSING 3POS 1.25MM</v>
      </c>
      <c r="C42" s="4" t="s">
        <v>315</v>
      </c>
      <c r="D42" s="4">
        <v>1</v>
      </c>
      <c r="E42" s="41">
        <f>VLOOKUP(Table1411[[#This Row],[Man. Number]],Articles!A:F,COLUMN(Articles!$F$1)-COLUMN(Articles!$A$1)+1,FALSE)</f>
        <v>0</v>
      </c>
      <c r="F42" s="41" t="str">
        <f>IF(Table1411[[#This Row],[In stock]] &gt;= Table1411[[#This Row],[Quantity]],"YES","NO")</f>
        <v>NO</v>
      </c>
      <c r="G42" s="41">
        <f>Table1411[[#This Row],[Quantity]]*$K$1</f>
        <v>2</v>
      </c>
      <c r="H42" s="41" t="str">
        <f>IF(Table1411[[#This Row],[In stock]] &gt;= Table1411[[#This Row],[Total quantity]],"YES","NO")</f>
        <v>NO</v>
      </c>
    </row>
  </sheetData>
  <sheetProtection sheet="1" objects="1" scenarios="1"/>
  <conditionalFormatting sqref="A1:A15 A17:A1048576">
    <cfRule type="duplicateValues" dxfId="12" priority="3"/>
  </conditionalFormatting>
  <conditionalFormatting sqref="F1:F1048576 H1:H1048576">
    <cfRule type="containsText" dxfId="11" priority="4" operator="containsText" text="NO">
      <formula>NOT(ISERROR(SEARCH("NO",F1)))</formula>
    </cfRule>
  </conditionalFormatting>
  <conditionalFormatting sqref="A16">
    <cfRule type="duplicateValues" dxfId="10" priority="1"/>
  </conditionalFormatting>
  <dataValidations count="1">
    <dataValidation type="whole" errorStyle="warning" operator="greaterThan" showErrorMessage="1" errorTitle="Invalid value" error="The multiplier has to be a whole number greater than 0." sqref="K1" xr:uid="{AFBC62B3-6907-47C6-9B40-88A218BBE90F}">
      <formula1>0</formula1>
    </dataValidation>
  </dataValidations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4" r:id="rId4" name="Button 2">
              <controlPr defaultSize="0" print="0" autoFill="0" autoPict="0" macro="[1]!ToggleLock_Click">
                <anchor>
                  <from>
                    <xdr:col>9</xdr:col>
                    <xdr:colOff>0</xdr:colOff>
                    <xdr:row>2</xdr:row>
                    <xdr:rowOff>0</xdr:rowOff>
                  </from>
                  <to>
                    <xdr:col>12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748D84-59B5-45C2-A0A8-AEE7502DE1DD}">
  <sheetPr codeName="Sheet3"/>
  <dimension ref="A1:K40"/>
  <sheetViews>
    <sheetView workbookViewId="0">
      <pane ySplit="1" topLeftCell="A2" activePane="bottomLeft" state="frozen"/>
      <selection activeCell="B6" sqref="B6"/>
      <selection pane="bottomLeft"/>
    </sheetView>
  </sheetViews>
  <sheetFormatPr defaultRowHeight="15" x14ac:dyDescent="0.25"/>
  <cols>
    <col min="1" max="1" width="22.140625" style="3" bestFit="1" customWidth="1"/>
    <col min="2" max="2" width="80.85546875" style="4" bestFit="1" customWidth="1"/>
    <col min="3" max="3" width="12.42578125" style="4" bestFit="1" customWidth="1"/>
    <col min="4" max="4" width="11" style="4" bestFit="1" customWidth="1"/>
    <col min="5" max="5" width="10" style="4" bestFit="1" customWidth="1"/>
    <col min="6" max="6" width="11.5703125" customWidth="1"/>
    <col min="7" max="7" width="15.7109375" customWidth="1"/>
    <col min="8" max="8" width="16.28515625" customWidth="1"/>
    <col min="9" max="10" width="9.85546875" customWidth="1"/>
    <col min="11" max="11" width="4" customWidth="1"/>
    <col min="12" max="12" width="9.140625" customWidth="1"/>
  </cols>
  <sheetData>
    <row r="1" spans="1:11" ht="15.75" thickBot="1" x14ac:dyDescent="0.3">
      <c r="A1" s="1" t="s">
        <v>0</v>
      </c>
      <c r="B1" s="2" t="s">
        <v>2</v>
      </c>
      <c r="C1" s="2" t="s">
        <v>357</v>
      </c>
      <c r="D1" s="2" t="s">
        <v>138</v>
      </c>
      <c r="E1" s="2" t="s">
        <v>3</v>
      </c>
      <c r="F1" s="7" t="s">
        <v>165</v>
      </c>
      <c r="G1" s="7" t="s">
        <v>167</v>
      </c>
      <c r="H1" s="7" t="s">
        <v>175</v>
      </c>
      <c r="J1" s="9" t="s">
        <v>166</v>
      </c>
      <c r="K1" s="4">
        <v>1</v>
      </c>
    </row>
    <row r="2" spans="1:11" x14ac:dyDescent="0.25">
      <c r="A2" s="3" t="s">
        <v>77</v>
      </c>
      <c r="B2" s="4" t="str">
        <f>VLOOKUP(Table14[[#This Row],[Man. Number]],Articles!A:F,COLUMN(Articles!$D$1)-COLUMN(Articles!$A$1)+1,FALSE)</f>
        <v>AUDIO PIEZO INDICATOR 2-5V TH</v>
      </c>
      <c r="C2" s="4" t="s">
        <v>312</v>
      </c>
      <c r="D2" s="4">
        <v>1</v>
      </c>
      <c r="E2" s="4">
        <f>VLOOKUP(Table14[[#This Row],[Man. Number]],Articles!A:F,COLUMN(Articles!$F$1)-COLUMN(Articles!$A$1)+1,FALSE)</f>
        <v>1</v>
      </c>
      <c r="F2" s="4" t="str">
        <f>IF(Table14[[#This Row],[In stock]] &gt;= Table14[[#This Row],[Quantity]],"YES","NO")</f>
        <v>YES</v>
      </c>
      <c r="G2" s="4">
        <f>Table14[[#This Row],[Quantity]]*$K$1</f>
        <v>1</v>
      </c>
      <c r="H2" s="4" t="str">
        <f>IF(Table14[[#This Row],[In stock]] &gt;= Table14[[#This Row],[Total quantity]],"YES","NO")</f>
        <v>YES</v>
      </c>
    </row>
    <row r="3" spans="1:11" x14ac:dyDescent="0.25">
      <c r="A3" s="3">
        <v>90990</v>
      </c>
      <c r="B3" s="4" t="str">
        <f>VLOOKUP(Table14[[#This Row],[Man. Number]],Articles!A:F,COLUMN(Articles!$D$1)-COLUMN(Articles!$A$1)+1,FALSE)</f>
        <v>Batterie Li-Po 3.7V 2000mAh</v>
      </c>
      <c r="C3" s="4" t="s">
        <v>315</v>
      </c>
      <c r="D3" s="4">
        <v>1</v>
      </c>
      <c r="E3" s="4">
        <f>VLOOKUP(Table14[[#This Row],[Man. Number]],Articles!A:F,COLUMN(Articles!$F$1)-COLUMN(Articles!$A$1)+1,FALSE)</f>
        <v>1</v>
      </c>
      <c r="F3" s="4" t="str">
        <f>IF(Table14[[#This Row],[In stock]] &gt;= Table14[[#This Row],[Quantity]],"YES","NO")</f>
        <v>YES</v>
      </c>
      <c r="G3" s="4">
        <f>Table14[[#This Row],[Quantity]]*$K$1</f>
        <v>1</v>
      </c>
      <c r="H3" s="4" t="str">
        <f>IF(Table14[[#This Row],[In stock]] &gt;= Table14[[#This Row],[Total quantity]],"YES","NO")</f>
        <v>YES</v>
      </c>
    </row>
    <row r="4" spans="1:11" x14ac:dyDescent="0.25">
      <c r="A4" s="3" t="s">
        <v>158</v>
      </c>
      <c r="B4" s="4" t="str">
        <f>VLOOKUP(Table14[[#This Row],[Man. Number]],Articles!A:F,COLUMN(Articles!$D$1)-COLUMN(Articles!$A$1)+1,FALSE)</f>
        <v>BOX PLASTIC GRY/CLR 4.9"LX4.92"W</v>
      </c>
      <c r="C4" s="4" t="s">
        <v>65</v>
      </c>
      <c r="D4" s="4">
        <v>1</v>
      </c>
      <c r="E4" s="4">
        <f>VLOOKUP(Table14[[#This Row],[Man. Number]],Articles!A:F,COLUMN(Articles!$F$1)-COLUMN(Articles!$A$1)+1,FALSE)</f>
        <v>1</v>
      </c>
      <c r="F4" s="4" t="str">
        <f>IF(Table14[[#This Row],[In stock]] &gt;= Table14[[#This Row],[Quantity]],"YES","NO")</f>
        <v>YES</v>
      </c>
      <c r="G4" s="4">
        <f>Table14[[#This Row],[Quantity]]*$K$1</f>
        <v>1</v>
      </c>
      <c r="H4" s="4" t="str">
        <f>IF(Table14[[#This Row],[In stock]] &gt;= Table14[[#This Row],[Total quantity]],"YES","NO")</f>
        <v>YES</v>
      </c>
    </row>
    <row r="5" spans="1:11" hidden="1" x14ac:dyDescent="0.25">
      <c r="A5" s="3" t="s">
        <v>16</v>
      </c>
      <c r="B5" s="4" t="str">
        <f>VLOOKUP(Table14[[#This Row],[Man. Number]],Articles!A:F,COLUMN(Articles!$D$1)-COLUMN(Articles!$A$1)+1,FALSE)</f>
        <v>Fusible à cartouche, Action rapide, 630 mA, 250 V</v>
      </c>
      <c r="D5" s="4">
        <v>0</v>
      </c>
      <c r="E5" s="4">
        <f>VLOOKUP(Table14[[#This Row],[Man. Number]],Articles!A:F,COLUMN(Articles!$F$1)-COLUMN(Articles!$A$1)+1,FALSE)</f>
        <v>14</v>
      </c>
      <c r="F5" s="4" t="str">
        <f>IF(Table14[[#This Row],[In stock]] &gt;= Table14[[#This Row],[Quantity]],"YES","NO")</f>
        <v>YES</v>
      </c>
      <c r="G5" s="4">
        <f>Table14[[#This Row],[Quantity]]*$K$1</f>
        <v>0</v>
      </c>
      <c r="H5" s="4" t="str">
        <f>IF(Table14[[#This Row],[In stock]] &gt;= Table14[[#This Row],[Total quantity]],"YES","NO")</f>
        <v>YES</v>
      </c>
    </row>
    <row r="6" spans="1:11" x14ac:dyDescent="0.25">
      <c r="A6" s="3" t="s">
        <v>118</v>
      </c>
      <c r="B6" s="4" t="str">
        <f>VLOOKUP(Table14[[#This Row],[Man. Number]],Articles!A:F,COLUMN(Articles!$D$1)-COLUMN(Articles!$A$1)+1,FALSE)</f>
        <v>Cavalier (barre bus), Shunt, Shunt, Embases au pas de 0.100", 2 Voies, 2.54 mm</v>
      </c>
      <c r="C6" s="4" t="s">
        <v>65</v>
      </c>
      <c r="D6" s="4">
        <v>19</v>
      </c>
      <c r="E6" s="4">
        <f>VLOOKUP(Table14[[#This Row],[Man. Number]],Articles!A:F,COLUMN(Articles!$F$1)-COLUMN(Articles!$A$1)+1,FALSE)</f>
        <v>100</v>
      </c>
      <c r="F6" s="4" t="str">
        <f>IF(Table14[[#This Row],[In stock]] &gt;= Table14[[#This Row],[Quantity]],"YES","NO")</f>
        <v>YES</v>
      </c>
      <c r="G6" s="4">
        <f>Table14[[#This Row],[Quantity]]*$K$1</f>
        <v>19</v>
      </c>
      <c r="H6" s="4" t="str">
        <f>IF(Table14[[#This Row],[In stock]] &gt;= Table14[[#This Row],[Total quantity]],"YES","NO")</f>
        <v>YES</v>
      </c>
    </row>
    <row r="7" spans="1:11" hidden="1" x14ac:dyDescent="0.25">
      <c r="A7" s="3" t="s">
        <v>18</v>
      </c>
      <c r="B7" s="4" t="str">
        <f>VLOOKUP(Table14[[#This Row],[Man. Number]],Articles!A:F,COLUMN(Articles!$D$1)-COLUMN(Articles!$A$1)+1,FALSE)</f>
        <v>Amplificateur opérationnel, Simple, 1 amplificateur, 1 MHz, 0.6 V/µs, 1.8V à 6V</v>
      </c>
      <c r="D7" s="4">
        <v>0</v>
      </c>
      <c r="E7" s="4">
        <f>VLOOKUP(Table14[[#This Row],[Man. Number]],Articles!A:F,COLUMN(Articles!$F$1)-COLUMN(Articles!$A$1)+1,FALSE)</f>
        <v>19</v>
      </c>
      <c r="F7" s="4" t="str">
        <f>IF(Table14[[#This Row],[In stock]] &gt;= Table14[[#This Row],[Quantity]],"YES","NO")</f>
        <v>YES</v>
      </c>
      <c r="G7" s="4">
        <f>Table14[[#This Row],[Quantity]]*$K$1</f>
        <v>0</v>
      </c>
      <c r="H7" s="4" t="str">
        <f>IF(Table14[[#This Row],[In stock]] &gt;= Table14[[#This Row],[Total quantity]],"YES","NO")</f>
        <v>YES</v>
      </c>
    </row>
    <row r="8" spans="1:11" hidden="1" x14ac:dyDescent="0.25">
      <c r="A8" s="3" t="s">
        <v>20</v>
      </c>
      <c r="B8" s="4" t="str">
        <f>VLOOKUP(Table14[[#This Row],[Man. Number]],Articles!A:F,COLUMN(Articles!$D$1)-COLUMN(Articles!$A$1)+1,FALSE)</f>
        <v>LED haute luminosité, Little Star Series, Blanc froid, 120 °, 100 lm, 350 mA</v>
      </c>
      <c r="D8" s="4">
        <v>0</v>
      </c>
      <c r="E8" s="4">
        <f>VLOOKUP(Table14[[#This Row],[Man. Number]],Articles!A:F,COLUMN(Articles!$F$1)-COLUMN(Articles!$A$1)+1,FALSE)</f>
        <v>0</v>
      </c>
      <c r="F8" s="4" t="str">
        <f>IF(Table14[[#This Row],[In stock]] &gt;= Table14[[#This Row],[Quantity]],"YES","NO")</f>
        <v>YES</v>
      </c>
      <c r="G8" s="4">
        <f>Table14[[#This Row],[Quantity]]*$K$1</f>
        <v>0</v>
      </c>
      <c r="H8" s="4" t="str">
        <f>IF(Table14[[#This Row],[In stock]] &gt;= Table14[[#This Row],[Total quantity]],"YES","NO")</f>
        <v>YES</v>
      </c>
    </row>
    <row r="9" spans="1:11" x14ac:dyDescent="0.25">
      <c r="A9" s="3" t="s">
        <v>22</v>
      </c>
      <c r="B9" s="4" t="str">
        <f>VLOOKUP(Table14[[#This Row],[Man. Number]],Articles!A:F,COLUMN(Articles!$D$1)-COLUMN(Articles!$A$1)+1,FALSE)</f>
        <v>Chargeur de batterie pour 1 cellule Li-Ion, batterie Li-Pol, entrée 6V, charge 4.2V/500mA, SOT23-5</v>
      </c>
      <c r="C9" s="4" t="s">
        <v>297</v>
      </c>
      <c r="D9" s="4">
        <v>1</v>
      </c>
      <c r="E9" s="4">
        <f>VLOOKUP(Table14[[#This Row],[Man. Number]],Articles!A:F,COLUMN(Articles!$F$1)-COLUMN(Articles!$A$1)+1,FALSE)</f>
        <v>9</v>
      </c>
      <c r="F9" s="4" t="str">
        <f>IF(Table14[[#This Row],[In stock]] &gt;= Table14[[#This Row],[Quantity]],"YES","NO")</f>
        <v>YES</v>
      </c>
      <c r="G9" s="4">
        <f>Table14[[#This Row],[Quantity]]*$K$1</f>
        <v>1</v>
      </c>
      <c r="H9" s="4" t="str">
        <f>IF(Table14[[#This Row],[In stock]] &gt;= Table14[[#This Row],[Total quantity]],"YES","NO")</f>
        <v>YES</v>
      </c>
    </row>
    <row r="10" spans="1:11" x14ac:dyDescent="0.25">
      <c r="A10" s="3">
        <v>912951</v>
      </c>
      <c r="B10" s="4" t="str">
        <f>VLOOKUP(Table14[[#This Row],[Man. Number]],Articles!A:F,COLUMN(Articles!$D$1)-COLUMN(Articles!$A$1)+1,FALSE)</f>
        <v>Communication RF</v>
      </c>
      <c r="C10" s="4" t="s">
        <v>316</v>
      </c>
      <c r="D10" s="4">
        <v>1</v>
      </c>
      <c r="E10" s="4">
        <f>VLOOKUP(Table14[[#This Row],[Man. Number]],Articles!A:F,COLUMN(Articles!$F$1)-COLUMN(Articles!$A$1)+1,FALSE)</f>
        <v>1</v>
      </c>
      <c r="F10" s="4" t="str">
        <f>IF(Table14[[#This Row],[In stock]] &gt;= Table14[[#This Row],[Quantity]],"YES","NO")</f>
        <v>YES</v>
      </c>
      <c r="G10" s="4">
        <f>Table14[[#This Row],[Quantity]]*$K$1</f>
        <v>1</v>
      </c>
      <c r="H10" s="4" t="str">
        <f>IF(Table14[[#This Row],[In stock]] &gt;= Table14[[#This Row],[Total quantity]],"YES","NO")</f>
        <v>YES</v>
      </c>
    </row>
    <row r="11" spans="1:11" x14ac:dyDescent="0.25">
      <c r="A11" s="3" t="s">
        <v>36</v>
      </c>
      <c r="B11" s="4" t="str">
        <f>VLOOKUP(Table14[[#This Row],[Man. Number]],Articles!A:F,COLUMN(Articles!$D$1)-COLUMN(Articles!$A$1)+1,FALSE)</f>
        <v>Condensateur céramique multicouche CMS, 1206 [3216 Metric], 0.1 µF, 25 V, ± 10%, X7R</v>
      </c>
      <c r="C11" s="4" t="s">
        <v>293</v>
      </c>
      <c r="D11" s="4">
        <v>4</v>
      </c>
      <c r="E11" s="4">
        <f>VLOOKUP(Table14[[#This Row],[Man. Number]],Articles!A:F,COLUMN(Articles!$F$1)-COLUMN(Articles!$A$1)+1,FALSE)</f>
        <v>92</v>
      </c>
      <c r="F11" s="4" t="str">
        <f>IF(Table14[[#This Row],[In stock]] &gt;= Table14[[#This Row],[Quantity]],"YES","NO")</f>
        <v>YES</v>
      </c>
      <c r="G11" s="4">
        <f>Table14[[#This Row],[Quantity]]*$K$1</f>
        <v>4</v>
      </c>
      <c r="H11" s="4" t="str">
        <f>IF(Table14[[#This Row],[In stock]] &gt;= Table14[[#This Row],[Total quantity]],"YES","NO")</f>
        <v>YES</v>
      </c>
    </row>
    <row r="12" spans="1:11" x14ac:dyDescent="0.25">
      <c r="A12" s="3" t="s">
        <v>14</v>
      </c>
      <c r="B12" s="4" t="str">
        <f>VLOOKUP(Table14[[#This Row],[Man. Number]],Articles!A:F,COLUMN(Articles!$D$1)-COLUMN(Articles!$A$1)+1,FALSE)</f>
        <v>Condensateur électrolytique, 10 µF, 35 V, Série MCGPR, ± 20%, À sorties radiales, 5 mm</v>
      </c>
      <c r="C12" s="4" t="s">
        <v>295</v>
      </c>
      <c r="D12" s="4">
        <v>1</v>
      </c>
      <c r="E12" s="4">
        <f>VLOOKUP(Table14[[#This Row],[Man. Number]],Articles!A:F,COLUMN(Articles!$F$1)-COLUMN(Articles!$A$1)+1,FALSE)</f>
        <v>49</v>
      </c>
      <c r="F12" s="4" t="str">
        <f>IF(Table14[[#This Row],[In stock]] &gt;= Table14[[#This Row],[Quantity]],"YES","NO")</f>
        <v>YES</v>
      </c>
      <c r="G12" s="4">
        <f>Table14[[#This Row],[Quantity]]*$K$1</f>
        <v>1</v>
      </c>
      <c r="H12" s="4" t="str">
        <f>IF(Table14[[#This Row],[In stock]] &gt;= Table14[[#This Row],[Total quantity]],"YES","NO")</f>
        <v>YES</v>
      </c>
    </row>
    <row r="13" spans="1:11" hidden="1" x14ac:dyDescent="0.25">
      <c r="A13" s="3" t="s">
        <v>117</v>
      </c>
      <c r="B13" s="4" t="str">
        <f>VLOOKUP(Table14[[#This Row],[Man. Number]],Articles!A:F,COLUMN(Articles!$D$1)-COLUMN(Articles!$A$1)+1,FALSE)</f>
        <v>Porte fusible, Design ouvert, 500V, 10A, 5 x 20mm, traversant, noir</v>
      </c>
      <c r="D13" s="4">
        <v>0</v>
      </c>
      <c r="E13" s="4">
        <f>VLOOKUP(Table14[[#This Row],[Man. Number]],Articles!A:F,COLUMN(Articles!$F$1)-COLUMN(Articles!$A$1)+1,FALSE)</f>
        <v>4</v>
      </c>
      <c r="F13" s="4" t="str">
        <f>IF(Table14[[#This Row],[In stock]] &gt;= Table14[[#This Row],[Quantity]],"YES","NO")</f>
        <v>YES</v>
      </c>
      <c r="G13" s="4">
        <f>Table14[[#This Row],[Quantity]]*$K$1</f>
        <v>0</v>
      </c>
      <c r="H13" s="4" t="str">
        <f>IF(Table14[[#This Row],[In stock]] &gt;= Table14[[#This Row],[Total quantity]],"YES","NO")</f>
        <v>YES</v>
      </c>
    </row>
    <row r="14" spans="1:11" hidden="1" x14ac:dyDescent="0.25">
      <c r="A14" s="3" t="s">
        <v>31</v>
      </c>
      <c r="B14" s="4" t="str">
        <f>VLOOKUP(Table14[[#This Row],[Man. Number]],Articles!A:F,COLUMN(Articles!$D$1)-COLUMN(Articles!$A$1)+1,FALSE)</f>
        <v>Accessoire de fusible, Fusible cartouche, 5 x 20mm, OGN et OGN-SMD, Noir, Poignée</v>
      </c>
      <c r="D14" s="4">
        <v>0</v>
      </c>
      <c r="E14" s="4">
        <f>VLOOKUP(Table14[[#This Row],[Man. Number]],Articles!A:F,COLUMN(Articles!$F$1)-COLUMN(Articles!$A$1)+1,FALSE)</f>
        <v>4</v>
      </c>
      <c r="F14" s="4" t="str">
        <f>IF(Table14[[#This Row],[In stock]] &gt;= Table14[[#This Row],[Quantity]],"YES","NO")</f>
        <v>YES</v>
      </c>
      <c r="G14" s="4">
        <f>Table14[[#This Row],[Quantity]]*$K$1</f>
        <v>0</v>
      </c>
      <c r="H14" s="4" t="str">
        <f>IF(Table14[[#This Row],[In stock]] &gt;= Table14[[#This Row],[Total quantity]],"YES","NO")</f>
        <v>YES</v>
      </c>
    </row>
    <row r="15" spans="1:11" x14ac:dyDescent="0.25">
      <c r="A15" s="3" t="s">
        <v>12</v>
      </c>
      <c r="B15" s="4" t="str">
        <f>VLOOKUP(Table14[[#This Row],[Man. Number]],Articles!A:F,COLUMN(Articles!$D$1)-COLUMN(Articles!$A$1)+1,FALSE)</f>
        <v>Condensateur électrolytique, 4.7 µF, 35 V, Série MCGPR, ± 20%, À sorties radiales, 5 mm</v>
      </c>
      <c r="C15" s="4" t="s">
        <v>294</v>
      </c>
      <c r="D15" s="4">
        <v>1</v>
      </c>
      <c r="E15" s="4">
        <f>VLOOKUP(Table14[[#This Row],[Man. Number]],Articles!A:F,COLUMN(Articles!$F$1)-COLUMN(Articles!$A$1)+1,FALSE)</f>
        <v>48</v>
      </c>
      <c r="F15" s="4" t="str">
        <f>IF(Table14[[#This Row],[In stock]] &gt;= Table14[[#This Row],[Quantity]],"YES","NO")</f>
        <v>YES</v>
      </c>
      <c r="G15" s="4">
        <f>Table14[[#This Row],[Quantity]]*$K$1</f>
        <v>1</v>
      </c>
      <c r="H15" s="4" t="str">
        <f>IF(Table14[[#This Row],[In stock]] &gt;= Table14[[#This Row],[Total quantity]],"YES","NO")</f>
        <v>YES</v>
      </c>
    </row>
    <row r="16" spans="1:11" x14ac:dyDescent="0.25">
      <c r="A16" s="3" t="s">
        <v>40</v>
      </c>
      <c r="B16" s="4" t="str">
        <f>VLOOKUP(Table14[[#This Row],[Man. Number]],Articles!A:F,COLUMN(Articles!$D$1)-COLUMN(Articles!$A$1)+1,FALSE)</f>
        <v>Connecteur carte-à-carte, femelle, 2.54 mm, 36 Contact(s), Embase</v>
      </c>
      <c r="C16" s="4" t="s">
        <v>65</v>
      </c>
      <c r="D16" s="4">
        <v>0.63888888888888884</v>
      </c>
      <c r="E16" s="4">
        <f>VLOOKUP(Table14[[#This Row],[Man. Number]],Articles!A:F,COLUMN(Articles!$F$1)-COLUMN(Articles!$A$1)+1,FALSE)</f>
        <v>0</v>
      </c>
      <c r="F16" s="4" t="str">
        <f>IF(Table14[[#This Row],[In stock]] &gt;= Table14[[#This Row],[Quantity]],"YES","NO")</f>
        <v>NO</v>
      </c>
      <c r="G16" s="4">
        <f>Table14[[#This Row],[Quantity]]*$K$1</f>
        <v>0.63888888888888884</v>
      </c>
      <c r="H16" s="4" t="str">
        <f>IF(Table14[[#This Row],[In stock]] &gt;= Table14[[#This Row],[Total quantity]],"YES","NO")</f>
        <v>NO</v>
      </c>
    </row>
    <row r="17" spans="1:8" x14ac:dyDescent="0.25">
      <c r="A17" s="3" t="s">
        <v>290</v>
      </c>
      <c r="B17" s="4" t="str">
        <f>VLOOKUP(Table14[[#This Row],[Man. Number]],Articles!A:F,COLUMN(Articles!$D$1)-COLUMN(Articles!$A$1)+1,FALSE)</f>
        <v>FUSE BOARD MNT 630MA 63VDC 1206</v>
      </c>
      <c r="C17" s="4" t="s">
        <v>292</v>
      </c>
      <c r="D17" s="4">
        <v>1</v>
      </c>
      <c r="E17" s="4">
        <f>VLOOKUP(Table14[[#This Row],[Man. Number]],Articles!A:F,COLUMN(Articles!$F$1)-COLUMN(Articles!$A$1)+1,FALSE)</f>
        <v>0</v>
      </c>
      <c r="F17" s="4" t="str">
        <f>IF(Table14[[#This Row],[In stock]] &gt;= Table14[[#This Row],[Quantity]],"YES","NO")</f>
        <v>NO</v>
      </c>
      <c r="G17" s="4">
        <f>Table14[[#This Row],[Quantity]]*$K$1</f>
        <v>1</v>
      </c>
      <c r="H17" s="4" t="str">
        <f>IF(Table14[[#This Row],[In stock]] &gt;= Table14[[#This Row],[Total quantity]],"YES","NO")</f>
        <v>NO</v>
      </c>
    </row>
    <row r="18" spans="1:8" x14ac:dyDescent="0.25">
      <c r="A18" s="3" t="s">
        <v>81</v>
      </c>
      <c r="B18" s="4" t="str">
        <f>VLOOKUP(Table14[[#This Row],[Man. Number]],Articles!A:F,COLUMN(Articles!$D$1)-COLUMN(Articles!$A$1)+1,FALSE)</f>
        <v>IC MCU 8BIT 7KB FLASH 18DIP</v>
      </c>
      <c r="C18" s="4" t="s">
        <v>313</v>
      </c>
      <c r="D18" s="4">
        <v>1</v>
      </c>
      <c r="E18" s="4">
        <f>VLOOKUP(Table14[[#This Row],[Man. Number]],Articles!A:F,COLUMN(Articles!$F$1)-COLUMN(Articles!$A$1)+1,FALSE)</f>
        <v>2</v>
      </c>
      <c r="F18" s="4" t="str">
        <f>IF(Table14[[#This Row],[In stock]] &gt;= Table14[[#This Row],[Quantity]],"YES","NO")</f>
        <v>YES</v>
      </c>
      <c r="G18" s="4">
        <f>Table14[[#This Row],[Quantity]]*$K$1</f>
        <v>1</v>
      </c>
      <c r="H18" s="4" t="str">
        <f>IF(Table14[[#This Row],[In stock]] &gt;= Table14[[#This Row],[Total quantity]],"YES","NO")</f>
        <v>YES</v>
      </c>
    </row>
    <row r="19" spans="1:8" x14ac:dyDescent="0.25">
      <c r="A19" s="3" t="s">
        <v>34</v>
      </c>
      <c r="B19" s="4" t="str">
        <f>VLOOKUP(Table14[[#This Row],[Man. Number]],Articles!A:F,COLUMN(Articles!$D$1)-COLUMN(Articles!$A$1)+1,FALSE)</f>
        <v>LED, Rouge, Traversant, 3mm, 20 mA, 1.8 V, 643 nm</v>
      </c>
      <c r="C19" s="4" t="s">
        <v>298</v>
      </c>
      <c r="D19" s="4">
        <v>1</v>
      </c>
      <c r="E19" s="4">
        <f>VLOOKUP(Table14[[#This Row],[Man. Number]],Articles!A:F,COLUMN(Articles!$F$1)-COLUMN(Articles!$A$1)+1,FALSE)</f>
        <v>4</v>
      </c>
      <c r="F19" s="4" t="str">
        <f>IF(Table14[[#This Row],[In stock]] &gt;= Table14[[#This Row],[Quantity]],"YES","NO")</f>
        <v>YES</v>
      </c>
      <c r="G19" s="4">
        <f>Table14[[#This Row],[Quantity]]*$K$1</f>
        <v>1</v>
      </c>
      <c r="H19" s="4" t="str">
        <f>IF(Table14[[#This Row],[In stock]] &gt;= Table14[[#This Row],[Total quantity]],"YES","NO")</f>
        <v>YES</v>
      </c>
    </row>
    <row r="20" spans="1:8" x14ac:dyDescent="0.25">
      <c r="A20" s="3">
        <v>1004068</v>
      </c>
      <c r="B20" s="4" t="str">
        <f>VLOOKUP(Table14[[#This Row],[Man. Number]],Articles!A:F,COLUMN(Articles!$D$1)-COLUMN(Articles!$A$1)+1,FALSE)</f>
        <v>Panneau solaire</v>
      </c>
      <c r="C20" s="4" t="s">
        <v>314</v>
      </c>
      <c r="D20" s="4">
        <v>1</v>
      </c>
      <c r="E20" s="4">
        <f>VLOOKUP(Table14[[#This Row],[Man. Number]],Articles!A:F,COLUMN(Articles!$F$1)-COLUMN(Articles!$A$1)+1,FALSE)</f>
        <v>2</v>
      </c>
      <c r="F20" s="4" t="str">
        <f>IF(Table14[[#This Row],[In stock]] &gt;= Table14[[#This Row],[Quantity]],"YES","NO")</f>
        <v>YES</v>
      </c>
      <c r="G20" s="4">
        <f>Table14[[#This Row],[Quantity]]*$K$1</f>
        <v>1</v>
      </c>
      <c r="H20" s="4" t="str">
        <f>IF(Table14[[#This Row],[In stock]] &gt;= Table14[[#This Row],[Total quantity]],"YES","NO")</f>
        <v>YES</v>
      </c>
    </row>
    <row r="21" spans="1:8" x14ac:dyDescent="0.25">
      <c r="A21" s="3" t="s">
        <v>326</v>
      </c>
      <c r="B21" s="4" t="str">
        <f>VLOOKUP(Table14[[#This Row],[Man. Number]],Articles!A:F,COLUMN(Articles!$D$1)-COLUMN(Articles!$A$1)+1,FALSE)</f>
        <v>PCB Lampe solaire v4</v>
      </c>
      <c r="C21" s="4" t="s">
        <v>65</v>
      </c>
      <c r="D21" s="4">
        <v>1</v>
      </c>
      <c r="E21" s="4">
        <f>VLOOKUP(Table14[[#This Row],[Man. Number]],Articles!A:F,COLUMN(Articles!$F$1)-COLUMN(Articles!$A$1)+1,FALSE)</f>
        <v>10</v>
      </c>
      <c r="F21" s="4" t="str">
        <f>IF(Table14[[#This Row],[In stock]] &gt;= Table14[[#This Row],[Quantity]],"YES","NO")</f>
        <v>YES</v>
      </c>
      <c r="G21" s="4">
        <f>Table14[[#This Row],[Quantity]]*$K$1</f>
        <v>1</v>
      </c>
      <c r="H21" s="4" t="str">
        <f>IF(Table14[[#This Row],[In stock]] &gt;= Table14[[#This Row],[Total quantity]],"YES","NO")</f>
        <v>YES</v>
      </c>
    </row>
    <row r="22" spans="1:8" hidden="1" x14ac:dyDescent="0.25">
      <c r="A22" s="3" t="s">
        <v>52</v>
      </c>
      <c r="B22" s="4" t="str">
        <f>VLOOKUP(Table14[[#This Row],[Man. Number]],Articles!A:F,COLUMN(Articles!$D$1)-COLUMN(Articles!$A$1)+1,FALSE)</f>
        <v>Résistance à puce CMS, Couche épaisse, 150 kohm</v>
      </c>
      <c r="D22" s="4">
        <v>0</v>
      </c>
      <c r="E22" s="4">
        <f>VLOOKUP(Table14[[#This Row],[Man. Number]],Articles!A:F,COLUMN(Articles!$F$1)-COLUMN(Articles!$A$1)+1,FALSE)</f>
        <v>9</v>
      </c>
      <c r="F22" s="4" t="str">
        <f>IF(Table14[[#This Row],[In stock]] &gt;= Table14[[#This Row],[Quantity]],"YES","NO")</f>
        <v>YES</v>
      </c>
      <c r="G22" s="4">
        <f>Table14[[#This Row],[Quantity]]*$K$1</f>
        <v>0</v>
      </c>
      <c r="H22" s="4" t="str">
        <f>IF(Table14[[#This Row],[In stock]] &gt;= Table14[[#This Row],[Total quantity]],"YES","NO")</f>
        <v>YES</v>
      </c>
    </row>
    <row r="23" spans="1:8" x14ac:dyDescent="0.25">
      <c r="A23" s="3" t="s">
        <v>324</v>
      </c>
      <c r="B23" s="4" t="str">
        <f>VLOOKUP(Table14[[#This Row],[Man. Number]],Articles!A:F,COLUMN(Articles!$D$1)-COLUMN(Articles!$A$1)+1,FALSE)</f>
        <v>PCB Led adaptateur v1</v>
      </c>
      <c r="C23" s="4" t="s">
        <v>301</v>
      </c>
      <c r="D23" s="4">
        <v>1</v>
      </c>
      <c r="E23" s="4">
        <f>VLOOKUP(Table14[[#This Row],[Man. Number]],Articles!A:F,COLUMN(Articles!$F$1)-COLUMN(Articles!$A$1)+1,FALSE)</f>
        <v>9</v>
      </c>
      <c r="F23" s="4" t="str">
        <f>IF(Table14[[#This Row],[In stock]] &gt;= Table14[[#This Row],[Quantity]],"YES","NO")</f>
        <v>YES</v>
      </c>
      <c r="G23" s="4">
        <f>Table14[[#This Row],[Quantity]]*$K$1</f>
        <v>1</v>
      </c>
      <c r="H23" s="4" t="str">
        <f>IF(Table14[[#This Row],[In stock]] &gt;= Table14[[#This Row],[Total quantity]],"YES","NO")</f>
        <v>YES</v>
      </c>
    </row>
    <row r="24" spans="1:8" x14ac:dyDescent="0.25">
      <c r="A24" s="3" t="s">
        <v>9</v>
      </c>
      <c r="B24" s="4" t="str">
        <f>VLOOKUP(Table14[[#This Row],[Man. Number]],Articles!A:F,COLUMN(Articles!$D$1)-COLUMN(Articles!$A$1)+1,FALSE)</f>
        <v>Porte Logique NON-ET, 4 Portes, 2 entrées, 12 mA, 2V à 5.5V</v>
      </c>
      <c r="C24" s="4" t="s">
        <v>296</v>
      </c>
      <c r="D24" s="4">
        <v>1</v>
      </c>
      <c r="E24" s="4">
        <f>VLOOKUP(Table14[[#This Row],[Man. Number]],Articles!A:F,COLUMN(Articles!$F$1)-COLUMN(Articles!$A$1)+1,FALSE)</f>
        <v>4</v>
      </c>
      <c r="F24" s="4" t="str">
        <f>IF(Table14[[#This Row],[In stock]] &gt;= Table14[[#This Row],[Quantity]],"YES","NO")</f>
        <v>YES</v>
      </c>
      <c r="G24" s="4">
        <f>Table14[[#This Row],[Quantity]]*$K$1</f>
        <v>1</v>
      </c>
      <c r="H24" s="4" t="str">
        <f>IF(Table14[[#This Row],[In stock]] &gt;= Table14[[#This Row],[Total quantity]],"YES","NO")</f>
        <v>YES</v>
      </c>
    </row>
    <row r="25" spans="1:8" x14ac:dyDescent="0.25">
      <c r="A25" s="3">
        <v>965083</v>
      </c>
      <c r="B25" s="4" t="str">
        <f>VLOOKUP(Table14[[#This Row],[Man. Number]],Articles!A:F,COLUMN(Articles!$D$1)-COLUMN(Articles!$A$1)+1,FALSE)</f>
        <v>Porte-batterie</v>
      </c>
      <c r="C25" s="4" t="s">
        <v>315</v>
      </c>
      <c r="D25" s="4">
        <v>1</v>
      </c>
      <c r="E25" s="4">
        <f>VLOOKUP(Table14[[#This Row],[Man. Number]],Articles!A:F,COLUMN(Articles!$F$1)-COLUMN(Articles!$A$1)+1,FALSE)</f>
        <v>2</v>
      </c>
      <c r="F25" s="4" t="str">
        <f>IF(Table14[[#This Row],[In stock]] &gt;= Table14[[#This Row],[Quantity]],"YES","NO")</f>
        <v>YES</v>
      </c>
      <c r="G25" s="4">
        <f>Table14[[#This Row],[Quantity]]*$K$1</f>
        <v>1</v>
      </c>
      <c r="H25" s="4" t="str">
        <f>IF(Table14[[#This Row],[In stock]] &gt;= Table14[[#This Row],[Total quantity]],"YES","NO")</f>
        <v>YES</v>
      </c>
    </row>
    <row r="26" spans="1:8" hidden="1" x14ac:dyDescent="0.25">
      <c r="A26" s="3" t="s">
        <v>59</v>
      </c>
      <c r="B26" s="4" t="str">
        <f>VLOOKUP(Table14[[#This Row],[Man. Number]],Articles!A:F,COLUMN(Articles!$D$1)-COLUMN(Articles!$A$1)+1,FALSE)</f>
        <v>Résistance à puce CMS, Couche épaisse, 110 kohm</v>
      </c>
      <c r="D26" s="4">
        <v>0</v>
      </c>
      <c r="E26" s="4">
        <f>VLOOKUP(Table14[[#This Row],[Man. Number]],Articles!A:F,COLUMN(Articles!$F$1)-COLUMN(Articles!$A$1)+1,FALSE)</f>
        <v>19</v>
      </c>
      <c r="F26" s="4" t="str">
        <f>IF(Table14[[#This Row],[In stock]] &gt;= Table14[[#This Row],[Quantity]],"YES","NO")</f>
        <v>YES</v>
      </c>
      <c r="G26" s="4">
        <f>Table14[[#This Row],[Quantity]]*$K$1</f>
        <v>0</v>
      </c>
      <c r="H26" s="4" t="str">
        <f>IF(Table14[[#This Row],[In stock]] &gt;= Table14[[#This Row],[Total quantity]],"YES","NO")</f>
        <v>YES</v>
      </c>
    </row>
    <row r="27" spans="1:8" x14ac:dyDescent="0.25">
      <c r="A27" s="3" t="s">
        <v>38</v>
      </c>
      <c r="B27" s="4" t="str">
        <f>VLOOKUP(Table14[[#This Row],[Man. Number]],Articles!A:F,COLUMN(Articles!$D$1)-COLUMN(Articles!$A$1)+1,FALSE)</f>
        <v>Potentiomètres variables, 10 ohm, 15 Tour(s), Traversant</v>
      </c>
      <c r="C27" s="4" t="s">
        <v>302</v>
      </c>
      <c r="D27" s="4">
        <v>2</v>
      </c>
      <c r="E27" s="4">
        <f>VLOOKUP(Table14[[#This Row],[Man. Number]],Articles!A:F,COLUMN(Articles!$F$1)-COLUMN(Articles!$A$1)+1,FALSE)</f>
        <v>2</v>
      </c>
      <c r="F27" s="4" t="str">
        <f>IF(Table14[[#This Row],[In stock]] &gt;= Table14[[#This Row],[Quantity]],"YES","NO")</f>
        <v>YES</v>
      </c>
      <c r="G27" s="4">
        <f>Table14[[#This Row],[Quantity]]*$K$1</f>
        <v>2</v>
      </c>
      <c r="H27" s="4" t="str">
        <f>IF(Table14[[#This Row],[In stock]] &gt;= Table14[[#This Row],[Total quantity]],"YES","NO")</f>
        <v>YES</v>
      </c>
    </row>
    <row r="28" spans="1:8" x14ac:dyDescent="0.25">
      <c r="A28" s="3" t="s">
        <v>49</v>
      </c>
      <c r="B28" s="4" t="str">
        <f>VLOOKUP(Table14[[#This Row],[Man. Number]],Articles!A:F,COLUMN(Articles!$D$1)-COLUMN(Articles!$A$1)+1,FALSE)</f>
        <v>Potentiomètres variables, 100 kohm, 23 Tour(s), Traversant</v>
      </c>
      <c r="C28" s="4" t="s">
        <v>305</v>
      </c>
      <c r="D28" s="4">
        <v>1</v>
      </c>
      <c r="E28" s="4">
        <f>VLOOKUP(Table14[[#This Row],[Man. Number]],Articles!A:F,COLUMN(Articles!$F$1)-COLUMN(Articles!$A$1)+1,FALSE)</f>
        <v>1</v>
      </c>
      <c r="F28" s="4" t="str">
        <f>IF(Table14[[#This Row],[In stock]] &gt;= Table14[[#This Row],[Quantity]],"YES","NO")</f>
        <v>YES</v>
      </c>
      <c r="G28" s="4">
        <f>Table14[[#This Row],[Quantity]]*$K$1</f>
        <v>1</v>
      </c>
      <c r="H28" s="4" t="str">
        <f>IF(Table14[[#This Row],[In stock]] &gt;= Table14[[#This Row],[Total quantity]],"YES","NO")</f>
        <v>YES</v>
      </c>
    </row>
    <row r="29" spans="1:8" x14ac:dyDescent="0.25">
      <c r="A29" s="3" t="s">
        <v>27</v>
      </c>
      <c r="B29" s="4" t="str">
        <f>VLOOKUP(Table14[[#This Row],[Man. Number]],Articles!A:F,COLUMN(Articles!$D$1)-COLUMN(Articles!$A$1)+1,FALSE)</f>
        <v>Régulateur LDO, Fixe, Entrée 1.7 V à 5,5 V, Sortie 3.3 V/300 mA, Chute de 150 mV</v>
      </c>
      <c r="C29" s="4" t="s">
        <v>300</v>
      </c>
      <c r="D29" s="4">
        <v>1</v>
      </c>
      <c r="E29" s="4">
        <f>VLOOKUP(Table14[[#This Row],[Man. Number]],Articles!A:F,COLUMN(Articles!$F$1)-COLUMN(Articles!$A$1)+1,FALSE)</f>
        <v>9</v>
      </c>
      <c r="F29" s="4" t="str">
        <f>IF(Table14[[#This Row],[In stock]] &gt;= Table14[[#This Row],[Quantity]],"YES","NO")</f>
        <v>YES</v>
      </c>
      <c r="G29" s="4">
        <f>Table14[[#This Row],[Quantity]]*$K$1</f>
        <v>1</v>
      </c>
      <c r="H29" s="4" t="str">
        <f>IF(Table14[[#This Row],[In stock]] &gt;= Table14[[#This Row],[Total quantity]],"YES","NO")</f>
        <v>YES</v>
      </c>
    </row>
    <row r="30" spans="1:8" x14ac:dyDescent="0.25">
      <c r="A30" s="3" t="s">
        <v>139</v>
      </c>
      <c r="B30" s="4" t="str">
        <f>VLOOKUP(Table14[[#This Row],[Man. Number]],Articles!A:F,COLUMN(Articles!$D$1)-COLUMN(Articles!$A$1)+1,FALSE)</f>
        <v>RELAY TELECOM DPDT 5A 2.4V</v>
      </c>
      <c r="C30" s="4" t="s">
        <v>311</v>
      </c>
      <c r="D30" s="4">
        <v>1</v>
      </c>
      <c r="E30" s="4">
        <f>VLOOKUP(Table14[[#This Row],[Man. Number]],Articles!A:F,COLUMN(Articles!$F$1)-COLUMN(Articles!$A$1)+1,FALSE)</f>
        <v>1</v>
      </c>
      <c r="F30" s="4" t="str">
        <f>IF(Table14[[#This Row],[In stock]] &gt;= Table14[[#This Row],[Quantity]],"YES","NO")</f>
        <v>YES</v>
      </c>
      <c r="G30" s="4">
        <f>Table14[[#This Row],[Quantity]]*$K$1</f>
        <v>1</v>
      </c>
      <c r="H30" s="4" t="str">
        <f>IF(Table14[[#This Row],[In stock]] &gt;= Table14[[#This Row],[Total quantity]],"YES","NO")</f>
        <v>YES</v>
      </c>
    </row>
    <row r="31" spans="1:8" x14ac:dyDescent="0.25">
      <c r="A31" s="3" t="s">
        <v>188</v>
      </c>
      <c r="B31" s="4" t="str">
        <f>VLOOKUP(Table14[[#This Row],[Man. Number]],Articles!A:F,COLUMN(Articles!$D$1)-COLUMN(Articles!$A$1)+1,FALSE)</f>
        <v>RES SMD 4.7K OHM 1% 1/8W 0805</v>
      </c>
      <c r="C31" s="4" t="s">
        <v>306</v>
      </c>
      <c r="D31" s="4">
        <v>3</v>
      </c>
      <c r="E31" s="4">
        <f>VLOOKUP(Table14[[#This Row],[Man. Number]],Articles!A:F,COLUMN(Articles!$F$1)-COLUMN(Articles!$A$1)+1,FALSE)</f>
        <v>99</v>
      </c>
      <c r="F31" s="4" t="str">
        <f>IF(Table14[[#This Row],[In stock]] &gt;= Table14[[#This Row],[Quantity]],"YES","NO")</f>
        <v>YES</v>
      </c>
      <c r="G31" s="4">
        <f>Table14[[#This Row],[Quantity]]*$K$1</f>
        <v>3</v>
      </c>
      <c r="H31" s="4" t="str">
        <f>IF(Table14[[#This Row],[In stock]] &gt;= Table14[[#This Row],[Total quantity]],"YES","NO")</f>
        <v>YES</v>
      </c>
    </row>
    <row r="32" spans="1:8" x14ac:dyDescent="0.25">
      <c r="A32" s="3" t="s">
        <v>321</v>
      </c>
      <c r="B32" s="4" t="str">
        <f>VLOOKUP(Table14[[#This Row],[Man. Number]],Articles!A:F,COLUMN(Articles!$D$1)-COLUMN(Articles!$A$1)+1,FALSE)</f>
        <v>Résistance SMD 1k OHM 0805</v>
      </c>
      <c r="C32" s="4" t="s">
        <v>307</v>
      </c>
      <c r="D32" s="4">
        <v>4</v>
      </c>
      <c r="E32" s="4">
        <f>VLOOKUP(Table14[[#This Row],[Man. Number]],Articles!A:F,COLUMN(Articles!$F$1)-COLUMN(Articles!$A$1)+1,FALSE)</f>
        <v>5</v>
      </c>
      <c r="F32" s="4" t="str">
        <f>IF(Table14[[#This Row],[In stock]] &gt;= Table14[[#This Row],[Quantity]],"YES","NO")</f>
        <v>YES</v>
      </c>
      <c r="G32" s="4">
        <f>Table14[[#This Row],[Quantity]]*$K$1</f>
        <v>4</v>
      </c>
      <c r="H32" s="4" t="str">
        <f>IF(Table14[[#This Row],[In stock]] &gt;= Table14[[#This Row],[Total quantity]],"YES","NO")</f>
        <v>YES</v>
      </c>
    </row>
    <row r="33" spans="1:8" x14ac:dyDescent="0.25">
      <c r="A33" s="3" t="s">
        <v>320</v>
      </c>
      <c r="B33" s="4" t="str">
        <f>VLOOKUP(Table14[[#This Row],[Man. Number]],Articles!A:F,COLUMN(Articles!$D$1)-COLUMN(Articles!$A$1)+1,FALSE)</f>
        <v>Résistance SMD 3.3k OHM 0805</v>
      </c>
      <c r="C33" s="4" t="s">
        <v>317</v>
      </c>
      <c r="D33" s="4">
        <v>1</v>
      </c>
      <c r="E33" s="4">
        <f>VLOOKUP(Table14[[#This Row],[Man. Number]],Articles!A:F,COLUMN(Articles!$F$1)-COLUMN(Articles!$A$1)+1,FALSE)</f>
        <v>5</v>
      </c>
      <c r="F33" s="4" t="str">
        <f>IF(Table14[[#This Row],[In stock]] &gt;= Table14[[#This Row],[Quantity]],"YES","NO")</f>
        <v>YES</v>
      </c>
      <c r="G33" s="4">
        <f>Table14[[#This Row],[Quantity]]*$K$1</f>
        <v>1</v>
      </c>
      <c r="H33" s="4" t="str">
        <f>IF(Table14[[#This Row],[In stock]] &gt;= Table14[[#This Row],[Total quantity]],"YES","NO")</f>
        <v>YES</v>
      </c>
    </row>
    <row r="34" spans="1:8" x14ac:dyDescent="0.25">
      <c r="A34" s="3" t="s">
        <v>63</v>
      </c>
      <c r="B34" s="4" t="str">
        <f>VLOOKUP(Table14[[#This Row],[Man. Number]],Articles!A:F,COLUMN(Articles!$D$1)-COLUMN(Articles!$A$1)+1,FALSE)</f>
        <v>Résistance à puce CMS, 100 kohm</v>
      </c>
      <c r="C34" s="4" t="s">
        <v>310</v>
      </c>
      <c r="D34" s="4">
        <v>2</v>
      </c>
      <c r="E34" s="4">
        <f>VLOOKUP(Table14[[#This Row],[Man. Number]],Articles!A:F,COLUMN(Articles!$F$1)-COLUMN(Articles!$A$1)+1,FALSE)</f>
        <v>7</v>
      </c>
      <c r="F34" s="4" t="str">
        <f>IF(Table14[[#This Row],[In stock]] &gt;= Table14[[#This Row],[Quantity]],"YES","NO")</f>
        <v>YES</v>
      </c>
      <c r="G34" s="4">
        <f>Table14[[#This Row],[Quantity]]*$K$1</f>
        <v>2</v>
      </c>
      <c r="H34" s="4" t="str">
        <f>IF(Table14[[#This Row],[In stock]] &gt;= Table14[[#This Row],[Total quantity]],"YES","NO")</f>
        <v>YES</v>
      </c>
    </row>
    <row r="35" spans="1:8" x14ac:dyDescent="0.25">
      <c r="A35" s="3" t="s">
        <v>56</v>
      </c>
      <c r="B35" s="4" t="str">
        <f>VLOOKUP(Table14[[#This Row],[Man. Number]],Articles!A:F,COLUMN(Articles!$D$1)-COLUMN(Articles!$A$1)+1,FALSE)</f>
        <v>Résistance à puce CMS, Céramique, 22 ohm</v>
      </c>
      <c r="C35" s="4" t="s">
        <v>308</v>
      </c>
      <c r="D35" s="4">
        <v>1</v>
      </c>
      <c r="E35" s="4">
        <f>VLOOKUP(Table14[[#This Row],[Man. Number]],Articles!A:F,COLUMN(Articles!$F$1)-COLUMN(Articles!$A$1)+1,FALSE)</f>
        <v>9</v>
      </c>
      <c r="F35" s="4" t="str">
        <f>IF(Table14[[#This Row],[In stock]] &gt;= Table14[[#This Row],[Quantity]],"YES","NO")</f>
        <v>YES</v>
      </c>
      <c r="G35" s="4">
        <f>Table14[[#This Row],[Quantity]]*$K$1</f>
        <v>1</v>
      </c>
      <c r="H35" s="4" t="str">
        <f>IF(Table14[[#This Row],[In stock]] &gt;= Table14[[#This Row],[Total quantity]],"YES","NO")</f>
        <v>YES</v>
      </c>
    </row>
    <row r="36" spans="1:8" x14ac:dyDescent="0.25">
      <c r="A36" s="3" t="s">
        <v>61</v>
      </c>
      <c r="B36" s="4" t="str">
        <f>VLOOKUP(Table14[[#This Row],[Man. Number]],Articles!A:F,COLUMN(Articles!$D$1)-COLUMN(Articles!$A$1)+1,FALSE)</f>
        <v>Résistance à puce CMS, Couche épaisse, 1 Mohm</v>
      </c>
      <c r="C36" s="4" t="s">
        <v>309</v>
      </c>
      <c r="D36" s="4">
        <v>1</v>
      </c>
      <c r="E36" s="4">
        <f>VLOOKUP(Table14[[#This Row],[Man. Number]],Articles!A:F,COLUMN(Articles!$F$1)-COLUMN(Articles!$A$1)+1,FALSE)</f>
        <v>9</v>
      </c>
      <c r="F36" s="4" t="str">
        <f>IF(Table14[[#This Row],[In stock]] &gt;= Table14[[#This Row],[Quantity]],"YES","NO")</f>
        <v>YES</v>
      </c>
      <c r="G36" s="4">
        <f>Table14[[#This Row],[Quantity]]*$K$1</f>
        <v>1</v>
      </c>
      <c r="H36" s="4" t="str">
        <f>IF(Table14[[#This Row],[In stock]] &gt;= Table14[[#This Row],[Total quantity]],"YES","NO")</f>
        <v>YES</v>
      </c>
    </row>
    <row r="37" spans="1:8" hidden="1" x14ac:dyDescent="0.25">
      <c r="A37" s="3">
        <v>1181876</v>
      </c>
      <c r="B37" s="4" t="str">
        <f>VLOOKUP(Table14[[#This Row],[Man. Number]],Articles!A:F,COLUMN(Articles!$D$1)-COLUMN(Articles!$A$1)+1,FALSE)</f>
        <v>DC Step-up</v>
      </c>
      <c r="D37" s="4">
        <v>0</v>
      </c>
      <c r="E37" s="4">
        <f>VLOOKUP(Table14[[#This Row],[Man. Number]],Articles!A:F,COLUMN(Articles!$F$1)-COLUMN(Articles!$A$1)+1,FALSE)</f>
        <v>9</v>
      </c>
      <c r="F37" s="4" t="str">
        <f>IF(Table14[[#This Row],[In stock]] &gt;= Table14[[#This Row],[Quantity]],"YES","NO")</f>
        <v>YES</v>
      </c>
      <c r="G37" s="4">
        <f>Table14[[#This Row],[Quantity]]*$K$1</f>
        <v>0</v>
      </c>
      <c r="H37" s="4" t="str">
        <f>IF(Table14[[#This Row],[In stock]] &gt;= Table14[[#This Row],[Total quantity]],"YES","NO")</f>
        <v>YES</v>
      </c>
    </row>
    <row r="38" spans="1:8" x14ac:dyDescent="0.25">
      <c r="A38" s="3" t="s">
        <v>24</v>
      </c>
      <c r="B38" s="4" t="str">
        <f>VLOOKUP(Table14[[#This Row],[Man. Number]],Articles!A:F,COLUMN(Articles!$D$1)-COLUMN(Articles!$A$1)+1,FALSE)</f>
        <v>Superviseur, Reset drain ouvert, actif à l'état bas, 1V-5.5Vin</v>
      </c>
      <c r="C38" s="4" t="s">
        <v>299</v>
      </c>
      <c r="D38" s="4">
        <v>1</v>
      </c>
      <c r="E38" s="4">
        <f>VLOOKUP(Table14[[#This Row],[Man. Number]],Articles!A:F,COLUMN(Articles!$F$1)-COLUMN(Articles!$A$1)+1,FALSE)</f>
        <v>4</v>
      </c>
      <c r="F38" s="4" t="str">
        <f>IF(Table14[[#This Row],[In stock]] &gt;= Table14[[#This Row],[Quantity]],"YES","NO")</f>
        <v>YES</v>
      </c>
      <c r="G38" s="4">
        <f>Table14[[#This Row],[Quantity]]*$K$1</f>
        <v>1</v>
      </c>
      <c r="H38" s="4" t="str">
        <f>IF(Table14[[#This Row],[In stock]] &gt;= Table14[[#This Row],[Total quantity]],"YES","NO")</f>
        <v>YES</v>
      </c>
    </row>
    <row r="39" spans="1:8" x14ac:dyDescent="0.25">
      <c r="A39" s="3" t="s">
        <v>46</v>
      </c>
      <c r="B39" s="4" t="str">
        <f>VLOOKUP(Table14[[#This Row],[Man. Number]],Articles!A:F,COLUMN(Articles!$D$1)-COLUMN(Articles!$A$1)+1,FALSE)</f>
        <v>Transistor MOSFET, Canal N, 2.2 A, 30 V, 65 mohm, 4.5 V, 700 mV</v>
      </c>
      <c r="C39" s="4" t="s">
        <v>304</v>
      </c>
      <c r="D39" s="4">
        <v>5</v>
      </c>
      <c r="E39" s="4">
        <f>VLOOKUP(Table14[[#This Row],[Man. Number]],Articles!A:F,COLUMN(Articles!$F$1)-COLUMN(Articles!$A$1)+1,FALSE)</f>
        <v>16</v>
      </c>
      <c r="F39" s="4" t="str">
        <f>IF(Table14[[#This Row],[In stock]] &gt;= Table14[[#This Row],[Quantity]],"YES","NO")</f>
        <v>YES</v>
      </c>
      <c r="G39" s="4">
        <f>Table14[[#This Row],[Quantity]]*$K$1</f>
        <v>5</v>
      </c>
      <c r="H39" s="4" t="str">
        <f>IF(Table14[[#This Row],[In stock]] &gt;= Table14[[#This Row],[Total quantity]],"YES","NO")</f>
        <v>YES</v>
      </c>
    </row>
    <row r="40" spans="1:8" x14ac:dyDescent="0.25">
      <c r="A40" s="3" t="s">
        <v>43</v>
      </c>
      <c r="B40" s="4" t="str">
        <f>VLOOKUP(Table14[[#This Row],[Man. Number]],Articles!A:F,COLUMN(Articles!$D$1)-COLUMN(Articles!$A$1)+1,FALSE)</f>
        <v>Transistor MOSFET, Canal P, -7.1 A, -12 V, 28.5 mohm, -4.5 V, -400 mV</v>
      </c>
      <c r="C40" s="4" t="s">
        <v>303</v>
      </c>
      <c r="D40" s="4">
        <v>2</v>
      </c>
      <c r="E40" s="4">
        <f>VLOOKUP(Table14[[#This Row],[Man. Number]],Articles!A:F,COLUMN(Articles!$F$1)-COLUMN(Articles!$A$1)+1,FALSE)</f>
        <v>24</v>
      </c>
      <c r="F40" s="4" t="str">
        <f>IF(Table14[[#This Row],[In stock]] &gt;= Table14[[#This Row],[Quantity]],"YES","NO")</f>
        <v>YES</v>
      </c>
      <c r="G40" s="4">
        <f>Table14[[#This Row],[Quantity]]*$K$1</f>
        <v>2</v>
      </c>
      <c r="H40" s="4" t="str">
        <f>IF(Table14[[#This Row],[In stock]] &gt;= Table14[[#This Row],[Total quantity]],"YES","NO")</f>
        <v>YES</v>
      </c>
    </row>
  </sheetData>
  <sheetProtection sheet="1" objects="1" scenarios="1"/>
  <conditionalFormatting sqref="A1:A1048576">
    <cfRule type="duplicateValues" dxfId="9" priority="1"/>
  </conditionalFormatting>
  <conditionalFormatting sqref="F1:F1048576 H1:H1048576">
    <cfRule type="containsText" dxfId="8" priority="2" operator="containsText" text="NO">
      <formula>NOT(ISERROR(SEARCH("NO",F1)))</formula>
    </cfRule>
  </conditionalFormatting>
  <dataValidations count="1">
    <dataValidation type="whole" errorStyle="warning" operator="greaterThan" showErrorMessage="1" errorTitle="Invalid value" error="The multiplier has to be a whole number greater than 0." sqref="K1" xr:uid="{AA1D89FA-ED8D-46F5-8B7E-771C7B1E6782}">
      <formula1>0</formula1>
    </dataValidation>
  </dataValidations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1]!ToggleLock_Click">
                <anchor>
                  <from>
                    <xdr:col>9</xdr:col>
                    <xdr:colOff>0</xdr:colOff>
                    <xdr:row>2</xdr:row>
                    <xdr:rowOff>0</xdr:rowOff>
                  </from>
                  <to>
                    <xdr:col>12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6B0330-3491-403F-BEB4-6AC16E74DE21}">
  <sheetPr codeName="Sheet6"/>
  <dimension ref="A1:K15"/>
  <sheetViews>
    <sheetView workbookViewId="0">
      <pane ySplit="1" topLeftCell="A2" activePane="bottomLeft" state="frozen"/>
      <selection pane="bottomLeft" activeCell="C11" sqref="C11"/>
    </sheetView>
  </sheetViews>
  <sheetFormatPr defaultRowHeight="15" x14ac:dyDescent="0.25"/>
  <cols>
    <col min="1" max="1" width="22.42578125" style="3" bestFit="1" customWidth="1"/>
    <col min="2" max="2" width="80.85546875" style="4" bestFit="1" customWidth="1"/>
    <col min="3" max="3" width="12.42578125" style="4" bestFit="1" customWidth="1"/>
    <col min="4" max="4" width="11" style="4" bestFit="1" customWidth="1"/>
    <col min="5" max="5" width="10" style="4" bestFit="1" customWidth="1"/>
    <col min="6" max="6" width="11.5703125" bestFit="1" customWidth="1"/>
    <col min="7" max="7" width="15.7109375" customWidth="1"/>
    <col min="8" max="8" width="16.28515625" customWidth="1"/>
    <col min="9" max="10" width="9.85546875" customWidth="1"/>
    <col min="11" max="11" width="4" customWidth="1"/>
    <col min="12" max="12" width="9.140625" customWidth="1"/>
  </cols>
  <sheetData>
    <row r="1" spans="1:11" ht="15.75" thickBot="1" x14ac:dyDescent="0.3">
      <c r="A1" s="2" t="s">
        <v>0</v>
      </c>
      <c r="B1" s="2" t="s">
        <v>2</v>
      </c>
      <c r="C1" s="2" t="s">
        <v>357</v>
      </c>
      <c r="D1" s="2" t="s">
        <v>138</v>
      </c>
      <c r="E1" s="2" t="s">
        <v>3</v>
      </c>
      <c r="F1" s="7" t="s">
        <v>165</v>
      </c>
      <c r="G1" s="7" t="s">
        <v>167</v>
      </c>
      <c r="H1" s="7" t="s">
        <v>175</v>
      </c>
      <c r="J1" s="9" t="s">
        <v>166</v>
      </c>
      <c r="K1" s="4">
        <v>1</v>
      </c>
    </row>
    <row r="2" spans="1:11" x14ac:dyDescent="0.25">
      <c r="A2" s="3" t="s">
        <v>215</v>
      </c>
      <c r="B2" s="4" t="str">
        <f>VLOOKUP(Table146[[#This Row],[Man. Number]],Articles!A:F,COLUMN(Articles!$D$1)-COLUMN(Articles!$A$1)+1,FALSE)</f>
        <v>IC MCU 8BIT 7KB FLASH 14SOIC</v>
      </c>
      <c r="D2" s="4">
        <v>1</v>
      </c>
      <c r="E2" s="4">
        <f>VLOOKUP(Table146[[#This Row],[Man. Number]],Articles!A:F,COLUMN(Articles!$F$1)-COLUMN(Articles!$A$1)+1,FALSE)</f>
        <v>4</v>
      </c>
      <c r="F2" s="4" t="str">
        <f>IF(Table146[[#This Row],[In stock]] &gt;= Table146[[#This Row],[Quantity]],"YES","NO")</f>
        <v>YES</v>
      </c>
      <c r="G2" s="4">
        <f>Table146[[#This Row],[Quantity]]*$K$1</f>
        <v>1</v>
      </c>
      <c r="H2" s="4" t="str">
        <f>IF(Table146[[#This Row],[In stock]] &gt;= Table146[[#This Row],[Total quantity]],"YES","NO")</f>
        <v>YES</v>
      </c>
    </row>
    <row r="3" spans="1:11" x14ac:dyDescent="0.25">
      <c r="A3" s="3" t="s">
        <v>216</v>
      </c>
      <c r="B3" s="4" t="str">
        <f>VLOOKUP(Table146[[#This Row],[Man. Number]],Articles!A:F,COLUMN(Articles!$D$1)-COLUMN(Articles!$A$1)+1,FALSE)</f>
        <v>ACCELEROMETER 2-8G I2C 16QFN</v>
      </c>
      <c r="D3" s="4">
        <v>1</v>
      </c>
      <c r="E3" s="4">
        <f>VLOOKUP(Table146[[#This Row],[Man. Number]],Articles!A:F,COLUMN(Articles!$F$1)-COLUMN(Articles!$A$1)+1,FALSE)</f>
        <v>4</v>
      </c>
      <c r="F3" s="4" t="str">
        <f>IF(Table146[[#This Row],[In stock]] &gt;= Table146[[#This Row],[Quantity]],"YES","NO")</f>
        <v>YES</v>
      </c>
      <c r="G3" s="4">
        <f>Table146[[#This Row],[Quantity]]*$K$1</f>
        <v>1</v>
      </c>
      <c r="H3" s="4" t="str">
        <f>IF(Table146[[#This Row],[In stock]] &gt;= Table146[[#This Row],[Total quantity]],"YES","NO")</f>
        <v>YES</v>
      </c>
    </row>
    <row r="4" spans="1:11" x14ac:dyDescent="0.25">
      <c r="A4" s="3" t="s">
        <v>221</v>
      </c>
      <c r="B4" s="4" t="str">
        <f>VLOOKUP(Table146[[#This Row],[Man. Number]],Articles!A:F,COLUMN(Articles!$D$1)-COLUMN(Articles!$A$1)+1,FALSE)</f>
        <v>IC REG LINEAR 2.5V 300MA SOT23-5</v>
      </c>
      <c r="D4" s="4">
        <v>1</v>
      </c>
      <c r="E4" s="4">
        <f>VLOOKUP(Table146[[#This Row],[Man. Number]],Articles!A:F,COLUMN(Articles!$F$1)-COLUMN(Articles!$A$1)+1,FALSE)</f>
        <v>24</v>
      </c>
      <c r="F4" s="4" t="str">
        <f>IF(Table146[[#This Row],[In stock]] &gt;= Table146[[#This Row],[Quantity]],"YES","NO")</f>
        <v>YES</v>
      </c>
      <c r="G4" s="4">
        <f>Table146[[#This Row],[Quantity]]*$K$1</f>
        <v>1</v>
      </c>
      <c r="H4" s="4" t="str">
        <f>IF(Table146[[#This Row],[In stock]] &gt;= Table146[[#This Row],[Total quantity]],"YES","NO")</f>
        <v>YES</v>
      </c>
    </row>
    <row r="5" spans="1:11" x14ac:dyDescent="0.25">
      <c r="A5" s="3" t="s">
        <v>225</v>
      </c>
      <c r="B5" s="4" t="str">
        <f>VLOOKUP(Table146[[#This Row],[Man. Number]],Articles!A:F,COLUMN(Articles!$D$1)-COLUMN(Articles!$A$1)+1,FALSE)</f>
        <v>BATTERY HOLDER COIN 20MM SMD</v>
      </c>
      <c r="D5" s="4">
        <v>1</v>
      </c>
      <c r="E5" s="4">
        <f>VLOOKUP(Table146[[#This Row],[Man. Number]],Articles!A:F,COLUMN(Articles!$F$1)-COLUMN(Articles!$A$1)+1,FALSE)</f>
        <v>4</v>
      </c>
      <c r="F5" s="4" t="str">
        <f>IF(Table146[[#This Row],[In stock]] &gt;= Table146[[#This Row],[Quantity]],"YES","NO")</f>
        <v>YES</v>
      </c>
      <c r="G5" s="4">
        <f>Table146[[#This Row],[Quantity]]*$K$1</f>
        <v>1</v>
      </c>
      <c r="H5" s="4" t="str">
        <f>IF(Table146[[#This Row],[In stock]] &gt;= Table146[[#This Row],[Total quantity]],"YES","NO")</f>
        <v>YES</v>
      </c>
    </row>
    <row r="6" spans="1:11" x14ac:dyDescent="0.25">
      <c r="A6" s="3" t="s">
        <v>229</v>
      </c>
      <c r="B6" s="4" t="str">
        <f>VLOOKUP(Table146[[#This Row],[Man. Number]],Articles!A:F,COLUMN(Articles!$D$1)-COLUMN(Articles!$A$1)+1,FALSE)</f>
        <v>LED GREEN CLEAR 0603 SMD</v>
      </c>
      <c r="D6" s="4">
        <v>1</v>
      </c>
      <c r="E6" s="4">
        <f>VLOOKUP(Table146[[#This Row],[Man. Number]],Articles!A:F,COLUMN(Articles!$F$1)-COLUMN(Articles!$A$1)+1,FALSE)</f>
        <v>9</v>
      </c>
      <c r="F6" s="4" t="str">
        <f>IF(Table146[[#This Row],[In stock]] &gt;= Table146[[#This Row],[Quantity]],"YES","NO")</f>
        <v>YES</v>
      </c>
      <c r="G6" s="4">
        <f>Table146[[#This Row],[Quantity]]*$K$1</f>
        <v>1</v>
      </c>
      <c r="H6" s="4" t="str">
        <f>IF(Table146[[#This Row],[In stock]] &gt;= Table146[[#This Row],[Total quantity]],"YES","NO")</f>
        <v>YES</v>
      </c>
    </row>
    <row r="7" spans="1:11" x14ac:dyDescent="0.25">
      <c r="A7" s="3" t="s">
        <v>231</v>
      </c>
      <c r="B7" s="4" t="str">
        <f>VLOOKUP(Table146[[#This Row],[Man. Number]],Articles!A:F,COLUMN(Articles!$D$1)-COLUMN(Articles!$A$1)+1,FALSE)</f>
        <v>LED RED 0603 SMD</v>
      </c>
      <c r="D7" s="4">
        <v>1</v>
      </c>
      <c r="E7" s="4">
        <f>VLOOKUP(Table146[[#This Row],[Man. Number]],Articles!A:F,COLUMN(Articles!$F$1)-COLUMN(Articles!$A$1)+1,FALSE)</f>
        <v>9</v>
      </c>
      <c r="F7" s="4" t="str">
        <f>IF(Table146[[#This Row],[In stock]] &gt;= Table146[[#This Row],[Quantity]],"YES","NO")</f>
        <v>YES</v>
      </c>
      <c r="G7" s="4">
        <f>Table146[[#This Row],[Quantity]]*$K$1</f>
        <v>1</v>
      </c>
      <c r="H7" s="4" t="str">
        <f>IF(Table146[[#This Row],[In stock]] &gt;= Table146[[#This Row],[Total quantity]],"YES","NO")</f>
        <v>YES</v>
      </c>
    </row>
    <row r="8" spans="1:11" x14ac:dyDescent="0.25">
      <c r="A8" s="3" t="s">
        <v>234</v>
      </c>
      <c r="B8" s="4" t="str">
        <f>VLOOKUP(Table146[[#This Row],[Man. Number]],Articles!A:F,COLUMN(Articles!$D$1)-COLUMN(Articles!$A$1)+1,FALSE)</f>
        <v>SWITCH SLIDE SPDT 300MA 125V</v>
      </c>
      <c r="D8" s="4">
        <v>1</v>
      </c>
      <c r="E8" s="4">
        <f>VLOOKUP(Table146[[#This Row],[Man. Number]],Articles!A:F,COLUMN(Articles!$F$1)-COLUMN(Articles!$A$1)+1,FALSE)</f>
        <v>4</v>
      </c>
      <c r="F8" s="4" t="str">
        <f>IF(Table146[[#This Row],[In stock]] &gt;= Table146[[#This Row],[Quantity]],"YES","NO")</f>
        <v>YES</v>
      </c>
      <c r="G8" s="4">
        <f>Table146[[#This Row],[Quantity]]*$K$1</f>
        <v>1</v>
      </c>
      <c r="H8" s="4" t="str">
        <f>IF(Table146[[#This Row],[In stock]] &gt;= Table146[[#This Row],[Total quantity]],"YES","NO")</f>
        <v>YES</v>
      </c>
    </row>
    <row r="9" spans="1:11" x14ac:dyDescent="0.25">
      <c r="A9" s="3" t="s">
        <v>238</v>
      </c>
      <c r="B9" s="4" t="str">
        <f>VLOOKUP(Table146[[#This Row],[Man. Number]],Articles!A:F,COLUMN(Articles!$D$1)-COLUMN(Articles!$A$1)+1,FALSE)</f>
        <v>SWITCH SLIDE DIP SPST 100MA 24V</v>
      </c>
      <c r="D9" s="4">
        <v>1</v>
      </c>
      <c r="E9" s="4">
        <f>VLOOKUP(Table146[[#This Row],[Man. Number]],Articles!A:F,COLUMN(Articles!$F$1)-COLUMN(Articles!$A$1)+1,FALSE)</f>
        <v>4</v>
      </c>
      <c r="F9" s="4" t="str">
        <f>IF(Table146[[#This Row],[In stock]] &gt;= Table146[[#This Row],[Quantity]],"YES","NO")</f>
        <v>YES</v>
      </c>
      <c r="G9" s="4">
        <f>Table146[[#This Row],[Quantity]]*$K$1</f>
        <v>1</v>
      </c>
      <c r="H9" s="4" t="str">
        <f>IF(Table146[[#This Row],[In stock]] &gt;= Table146[[#This Row],[Total quantity]],"YES","NO")</f>
        <v>YES</v>
      </c>
    </row>
    <row r="10" spans="1:11" x14ac:dyDescent="0.25">
      <c r="A10" s="3" t="s">
        <v>242</v>
      </c>
      <c r="B10" s="4" t="str">
        <f>VLOOKUP(Table146[[#This Row],[Man. Number]],Articles!A:F,COLUMN(Articles!$D$1)-COLUMN(Articles!$A$1)+1,FALSE)</f>
        <v>CAP CER 4.7UF 25V X7R 1206</v>
      </c>
      <c r="D10" s="4">
        <v>3</v>
      </c>
      <c r="E10" s="4">
        <f>VLOOKUP(Table146[[#This Row],[Man. Number]],Articles!A:F,COLUMN(Articles!$F$1)-COLUMN(Articles!$A$1)+1,FALSE)</f>
        <v>17</v>
      </c>
      <c r="F10" s="4" t="str">
        <f>IF(Table146[[#This Row],[In stock]] &gt;= Table146[[#This Row],[Quantity]],"YES","NO")</f>
        <v>YES</v>
      </c>
      <c r="G10" s="4">
        <f>Table146[[#This Row],[Quantity]]*$K$1</f>
        <v>3</v>
      </c>
      <c r="H10" s="4" t="str">
        <f>IF(Table146[[#This Row],[In stock]] &gt;= Table146[[#This Row],[Total quantity]],"YES","NO")</f>
        <v>YES</v>
      </c>
    </row>
    <row r="11" spans="1:11" x14ac:dyDescent="0.25">
      <c r="A11" s="3" t="s">
        <v>188</v>
      </c>
      <c r="B11" s="4" t="str">
        <f>VLOOKUP(Table146[[#This Row],[Man. Number]],Articles!A:F,COLUMN(Articles!$D$1)-COLUMN(Articles!$A$1)+1,FALSE)</f>
        <v>RES SMD 4.7K OHM 1% 1/8W 0805</v>
      </c>
      <c r="D11" s="4">
        <v>4</v>
      </c>
      <c r="E11" s="4">
        <f>VLOOKUP(Table146[[#This Row],[Man. Number]],Articles!A:F,COLUMN(Articles!$F$1)-COLUMN(Articles!$A$1)+1,FALSE)</f>
        <v>99</v>
      </c>
      <c r="F11" s="4" t="str">
        <f>IF(Table146[[#This Row],[In stock]] &gt;= Table146[[#This Row],[Quantity]],"YES","NO")</f>
        <v>YES</v>
      </c>
      <c r="G11" s="4">
        <f>Table146[[#This Row],[Quantity]]*$K$1</f>
        <v>4</v>
      </c>
      <c r="H11" s="4" t="str">
        <f>IF(Table146[[#This Row],[In stock]] &gt;= Table146[[#This Row],[Total quantity]],"YES","NO")</f>
        <v>YES</v>
      </c>
    </row>
    <row r="12" spans="1:11" x14ac:dyDescent="0.25">
      <c r="A12" s="3" t="s">
        <v>36</v>
      </c>
      <c r="B12" s="4" t="str">
        <f>VLOOKUP(Table146[[#This Row],[Man. Number]],Articles!A:F,COLUMN(Articles!$D$1)-COLUMN(Articles!$A$1)+1,FALSE)</f>
        <v>Condensateur céramique multicouche CMS, 1206 [3216 Metric], 0.1 µF, 25 V, ± 10%, X7R</v>
      </c>
      <c r="D12" s="4">
        <v>2</v>
      </c>
      <c r="E12" s="4">
        <f>VLOOKUP(Table146[[#This Row],[Man. Number]],Articles!A:F,COLUMN(Articles!$F$1)-COLUMN(Articles!$A$1)+1,FALSE)</f>
        <v>92</v>
      </c>
      <c r="F12" s="4" t="str">
        <f>IF(Table146[[#This Row],[In stock]] &gt;= Table146[[#This Row],[Quantity]],"YES","NO")</f>
        <v>YES</v>
      </c>
      <c r="G12" s="4">
        <f>Table146[[#This Row],[Quantity]]*$K$1</f>
        <v>2</v>
      </c>
      <c r="H12" s="4" t="str">
        <f>IF(Table146[[#This Row],[In stock]] &gt;= Table146[[#This Row],[Total quantity]],"YES","NO")</f>
        <v>YES</v>
      </c>
    </row>
    <row r="13" spans="1:11" x14ac:dyDescent="0.25">
      <c r="A13" s="3" t="s">
        <v>246</v>
      </c>
      <c r="B13" s="4" t="str">
        <f>VLOOKUP(Table146[[#This Row],[Man. Number]],Articles!A:F,COLUMN(Articles!$D$1)-COLUMN(Articles!$A$1)+1,FALSE)</f>
        <v>RES SMD 150 OHM 1% 1/8W 0805</v>
      </c>
      <c r="D13" s="4">
        <v>1</v>
      </c>
      <c r="E13" s="4">
        <f>VLOOKUP(Table146[[#This Row],[Man. Number]],Articles!A:F,COLUMN(Articles!$F$1)-COLUMN(Articles!$A$1)+1,FALSE)</f>
        <v>99</v>
      </c>
      <c r="F13" s="4" t="str">
        <f>IF(Table146[[#This Row],[In stock]] &gt;= Table146[[#This Row],[Quantity]],"YES","NO")</f>
        <v>YES</v>
      </c>
      <c r="G13" s="4">
        <f>Table146[[#This Row],[Quantity]]*$K$1</f>
        <v>1</v>
      </c>
      <c r="H13" s="4" t="str">
        <f>IF(Table146[[#This Row],[In stock]] &gt;= Table146[[#This Row],[Total quantity]],"YES","NO")</f>
        <v>YES</v>
      </c>
    </row>
    <row r="14" spans="1:11" x14ac:dyDescent="0.25">
      <c r="A14" s="3" t="s">
        <v>250</v>
      </c>
      <c r="B14" s="4" t="str">
        <f>VLOOKUP(Table146[[#This Row],[Man. Number]],Articles!A:F,COLUMN(Articles!$D$1)-COLUMN(Articles!$A$1)+1,FALSE)</f>
        <v>RES SMD 100 OHM 1% 1/8W 0805</v>
      </c>
      <c r="D14" s="4">
        <v>1</v>
      </c>
      <c r="E14" s="4">
        <f>VLOOKUP(Table146[[#This Row],[Man. Number]],Articles!A:F,COLUMN(Articles!$F$1)-COLUMN(Articles!$A$1)+1,FALSE)</f>
        <v>99</v>
      </c>
      <c r="F14" s="4" t="str">
        <f>IF(Table146[[#This Row],[In stock]] &gt;= Table146[[#This Row],[Quantity]],"YES","NO")</f>
        <v>YES</v>
      </c>
      <c r="G14" s="4">
        <f>Table146[[#This Row],[Quantity]]*$K$1</f>
        <v>1</v>
      </c>
      <c r="H14" s="4" t="str">
        <f>IF(Table146[[#This Row],[In stock]] &gt;= Table146[[#This Row],[Total quantity]],"YES","NO")</f>
        <v>YES</v>
      </c>
    </row>
    <row r="15" spans="1:11" x14ac:dyDescent="0.25">
      <c r="A15" s="3" t="s">
        <v>325</v>
      </c>
      <c r="B15" s="4" t="str">
        <f>VLOOKUP(Table146[[#This Row],[Man. Number]],Articles!A:F,COLUMN(Articles!$D$1)-COLUMN(Articles!$A$1)+1,FALSE)</f>
        <v>PCB TempoMetter v1</v>
      </c>
      <c r="D15" s="4">
        <v>1</v>
      </c>
      <c r="E15" s="4">
        <f>VLOOKUP(Table146[[#This Row],[Man. Number]],Articles!A:F,COLUMN(Articles!$F$1)-COLUMN(Articles!$A$1)+1,FALSE)</f>
        <v>9</v>
      </c>
      <c r="F15" s="4" t="str">
        <f>IF(Table146[[#This Row],[In stock]] &gt;= Table146[[#This Row],[Quantity]],"YES","NO")</f>
        <v>YES</v>
      </c>
      <c r="G15" s="4">
        <f>Table146[[#This Row],[Quantity]]*$K$1</f>
        <v>1</v>
      </c>
      <c r="H15" s="4" t="str">
        <f>IF(Table146[[#This Row],[In stock]] &gt;= Table146[[#This Row],[Total quantity]],"YES","NO")</f>
        <v>YES</v>
      </c>
    </row>
  </sheetData>
  <sheetProtection sheet="1" objects="1" scenarios="1"/>
  <conditionalFormatting sqref="F1:F1048576 H1:H1048576">
    <cfRule type="containsText" dxfId="7" priority="3" operator="containsText" text="NO">
      <formula>NOT(ISERROR(SEARCH("NO",F1)))</formula>
    </cfRule>
  </conditionalFormatting>
  <conditionalFormatting sqref="A1:A1048576">
    <cfRule type="duplicateValues" dxfId="6" priority="1"/>
  </conditionalFormatting>
  <dataValidations count="1">
    <dataValidation type="whole" errorStyle="warning" operator="greaterThan" showErrorMessage="1" errorTitle="Invalid value" error="The multiplier has to be a whole number greater than 0." sqref="K1" xr:uid="{80445AC7-CDD5-46B8-B349-4ED24B24F081}">
      <formula1>0</formula1>
    </dataValidation>
  </dataValidations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1]!ToggleLock_Click">
                <anchor>
                  <from>
                    <xdr:col>9</xdr:col>
                    <xdr:colOff>0</xdr:colOff>
                    <xdr:row>2</xdr:row>
                    <xdr:rowOff>0</xdr:rowOff>
                  </from>
                  <to>
                    <xdr:col>12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871B2E-97C9-435E-A088-17F0FFAA02EF}">
  <sheetPr codeName="Sheet12"/>
  <dimension ref="A1:K35"/>
  <sheetViews>
    <sheetView workbookViewId="0">
      <pane ySplit="1" topLeftCell="A2" activePane="bottomLeft" state="frozen"/>
      <selection pane="bottomLeft" activeCell="J17" sqref="J17"/>
    </sheetView>
  </sheetViews>
  <sheetFormatPr defaultRowHeight="15" x14ac:dyDescent="0.25"/>
  <cols>
    <col min="1" max="1" width="22.42578125" style="3" bestFit="1" customWidth="1"/>
    <col min="2" max="2" width="80.85546875" style="4" bestFit="1" customWidth="1"/>
    <col min="3" max="3" width="12.42578125" style="4" bestFit="1" customWidth="1"/>
    <col min="4" max="4" width="11" style="4" bestFit="1" customWidth="1"/>
    <col min="5" max="5" width="10" style="4" bestFit="1" customWidth="1"/>
    <col min="6" max="6" width="11.5703125" bestFit="1" customWidth="1"/>
    <col min="7" max="7" width="15.7109375" customWidth="1"/>
    <col min="8" max="8" width="16.28515625" customWidth="1"/>
    <col min="9" max="10" width="9.85546875" customWidth="1"/>
    <col min="11" max="11" width="4" customWidth="1"/>
    <col min="12" max="12" width="9.140625" customWidth="1"/>
  </cols>
  <sheetData>
    <row r="1" spans="1:11" ht="15.75" thickBot="1" x14ac:dyDescent="0.3">
      <c r="A1" s="1" t="s">
        <v>0</v>
      </c>
      <c r="B1" s="2" t="s">
        <v>2</v>
      </c>
      <c r="C1" s="2" t="s">
        <v>357</v>
      </c>
      <c r="D1" s="2" t="s">
        <v>138</v>
      </c>
      <c r="E1" s="2" t="s">
        <v>3</v>
      </c>
      <c r="F1" s="7" t="s">
        <v>165</v>
      </c>
      <c r="G1" s="7" t="s">
        <v>167</v>
      </c>
      <c r="H1" s="7" t="s">
        <v>175</v>
      </c>
      <c r="J1" s="9" t="s">
        <v>166</v>
      </c>
      <c r="K1" s="63">
        <v>1</v>
      </c>
    </row>
    <row r="2" spans="1:11" x14ac:dyDescent="0.25">
      <c r="A2" s="3" t="s">
        <v>585</v>
      </c>
      <c r="B2" s="41" t="str">
        <f>VLOOKUP(Table146810[[#This Row],[Man. Number]],Articles!A:F,COLUMN(Articles!$D$1)-COLUMN(Articles!$A$1)+1,FALSE)</f>
        <v>4700pF ±10% 25V Ceramic Capacitor X7R 0805 (2012 Metric)</v>
      </c>
      <c r="C2" s="4" t="s">
        <v>294</v>
      </c>
      <c r="D2" s="4">
        <v>1</v>
      </c>
      <c r="E2" s="4">
        <f>VLOOKUP(Table146810[[#This Row],[Man. Number]],Articles!A:F,COLUMN(Articles!$F$1)-COLUMN(Articles!$A$1)+1,FALSE)</f>
        <v>0</v>
      </c>
      <c r="F2" s="41" t="str">
        <f>IF(Table146810[[#This Row],[In stock]] &gt;= Table146810[[#This Row],[Quantity]],"YES","NO")</f>
        <v>NO</v>
      </c>
      <c r="G2" s="41">
        <f>Table146810[[#This Row],[Quantity]]*$K$1</f>
        <v>1</v>
      </c>
      <c r="H2" s="41" t="str">
        <f>IF(Table146810[[#This Row],[In stock]] &gt;= Table146810[[#This Row],[Total quantity]],"YES","NO")</f>
        <v>NO</v>
      </c>
    </row>
    <row r="3" spans="1:11" x14ac:dyDescent="0.25">
      <c r="A3" s="3" t="s">
        <v>14</v>
      </c>
      <c r="B3" s="41" t="str">
        <f>VLOOKUP(Table146810[[#This Row],[Man. Number]],Articles!A:F,COLUMN(Articles!$D$1)-COLUMN(Articles!$A$1)+1,FALSE)</f>
        <v>Condensateur électrolytique, 10 µF, 35 V, Série MCGPR, ± 20%, À sorties radiales, 5 mm</v>
      </c>
      <c r="C3" s="4" t="s">
        <v>295</v>
      </c>
      <c r="D3" s="4">
        <v>1</v>
      </c>
      <c r="E3" s="4">
        <f>VLOOKUP(Table146810[[#This Row],[Man. Number]],Articles!A:F,COLUMN(Articles!$F$1)-COLUMN(Articles!$A$1)+1,FALSE)</f>
        <v>49</v>
      </c>
      <c r="F3" s="41" t="str">
        <f>IF(Table146810[[#This Row],[In stock]] &gt;= Table146810[[#This Row],[Quantity]],"YES","NO")</f>
        <v>YES</v>
      </c>
      <c r="G3" s="41">
        <f>Table146810[[#This Row],[Quantity]]*$K$1</f>
        <v>1</v>
      </c>
      <c r="H3" s="41" t="str">
        <f>IF(Table146810[[#This Row],[In stock]] &gt;= Table146810[[#This Row],[Total quantity]],"YES","NO")</f>
        <v>YES</v>
      </c>
    </row>
    <row r="4" spans="1:11" x14ac:dyDescent="0.25">
      <c r="A4" s="3" t="s">
        <v>36</v>
      </c>
      <c r="B4" s="41" t="str">
        <f>VLOOKUP(Table146810[[#This Row],[Man. Number]],Articles!A:F,COLUMN(Articles!$D$1)-COLUMN(Articles!$A$1)+1,FALSE)</f>
        <v>Condensateur céramique multicouche CMS, 1206 [3216 Metric], 0.1 µF, 25 V, ± 10%, X7R</v>
      </c>
      <c r="C4" s="4" t="s">
        <v>3084</v>
      </c>
      <c r="D4" s="4">
        <v>3</v>
      </c>
      <c r="E4" s="4">
        <f>VLOOKUP(Table146810[[#This Row],[Man. Number]],Articles!A:F,COLUMN(Articles!$F$1)-COLUMN(Articles!$A$1)+1,FALSE)</f>
        <v>92</v>
      </c>
      <c r="F4" s="41" t="str">
        <f>IF(Table146810[[#This Row],[In stock]] &gt;= Table146810[[#This Row],[Quantity]],"YES","NO")</f>
        <v>YES</v>
      </c>
      <c r="G4" s="41">
        <f>Table146810[[#This Row],[Quantity]]*$K$1</f>
        <v>3</v>
      </c>
      <c r="H4" s="41" t="str">
        <f>IF(Table146810[[#This Row],[In stock]] &gt;= Table146810[[#This Row],[Total quantity]],"YES","NO")</f>
        <v>YES</v>
      </c>
    </row>
    <row r="5" spans="1:11" x14ac:dyDescent="0.25">
      <c r="A5" s="3" t="s">
        <v>584</v>
      </c>
      <c r="B5" s="41" t="str">
        <f>VLOOKUP(Table146810[[#This Row],[Man. Number]],Articles!A:F,COLUMN(Articles!$D$1)-COLUMN(Articles!$A$1)+1,FALSE)</f>
        <v>1µF ±10% 25V Ceramic Capacitor X7R 0805 (2012 Metric)</v>
      </c>
      <c r="C5" s="4" t="s">
        <v>580</v>
      </c>
      <c r="D5" s="4">
        <v>2</v>
      </c>
      <c r="E5" s="4">
        <f>VLOOKUP(Table146810[[#This Row],[Man. Number]],Articles!A:F,COLUMN(Articles!$F$1)-COLUMN(Articles!$A$1)+1,FALSE)</f>
        <v>0</v>
      </c>
      <c r="F5" s="41" t="str">
        <f>IF(Table146810[[#This Row],[In stock]] &gt;= Table146810[[#This Row],[Quantity]],"YES","NO")</f>
        <v>NO</v>
      </c>
      <c r="G5" s="41">
        <f>Table146810[[#This Row],[Quantity]]*$K$1</f>
        <v>2</v>
      </c>
      <c r="H5" s="41" t="str">
        <f>IF(Table146810[[#This Row],[In stock]] &gt;= Table146810[[#This Row],[Total quantity]],"YES","NO")</f>
        <v>NO</v>
      </c>
    </row>
    <row r="6" spans="1:11" x14ac:dyDescent="0.25">
      <c r="A6" s="3" t="s">
        <v>582</v>
      </c>
      <c r="B6" s="41" t="str">
        <f>VLOOKUP(Table146810[[#This Row],[Man. Number]],Articles!A:F,COLUMN(Articles!$D$1)-COLUMN(Articles!$A$1)+1,FALSE)</f>
        <v>0.47µF ±10% 25V Ceramic Capacitor X7R 0805 (2012 Metric)</v>
      </c>
      <c r="C6" s="4" t="s">
        <v>581</v>
      </c>
      <c r="D6" s="4">
        <v>1</v>
      </c>
      <c r="E6" s="4">
        <f>VLOOKUP(Table146810[[#This Row],[Man. Number]],Articles!A:F,COLUMN(Articles!$F$1)-COLUMN(Articles!$A$1)+1,FALSE)</f>
        <v>0</v>
      </c>
      <c r="F6" s="41" t="str">
        <f>IF(Table146810[[#This Row],[In stock]] &gt;= Table146810[[#This Row],[Quantity]],"YES","NO")</f>
        <v>NO</v>
      </c>
      <c r="G6" s="41">
        <f>Table146810[[#This Row],[Quantity]]*$K$1</f>
        <v>1</v>
      </c>
      <c r="H6" s="41" t="str">
        <f>IF(Table146810[[#This Row],[In stock]] &gt;= Table146810[[#This Row],[Total quantity]],"YES","NO")</f>
        <v>NO</v>
      </c>
    </row>
    <row r="7" spans="1:11" x14ac:dyDescent="0.25">
      <c r="A7" s="3" t="s">
        <v>242</v>
      </c>
      <c r="B7" s="41" t="str">
        <f>VLOOKUP(Table146810[[#This Row],[Man. Number]],Articles!A:F,COLUMN(Articles!$D$1)-COLUMN(Articles!$A$1)+1,FALSE)</f>
        <v>CAP CER 4.7UF 25V X7R 1206</v>
      </c>
      <c r="C7" s="4" t="s">
        <v>576</v>
      </c>
      <c r="D7" s="4">
        <v>1</v>
      </c>
      <c r="E7" s="4">
        <f>VLOOKUP(Table146810[[#This Row],[Man. Number]],Articles!A:F,COLUMN(Articles!$F$1)-COLUMN(Articles!$A$1)+1,FALSE)</f>
        <v>17</v>
      </c>
      <c r="F7" s="41" t="str">
        <f>IF(Table146810[[#This Row],[In stock]] &gt;= Table146810[[#This Row],[Quantity]],"YES","NO")</f>
        <v>YES</v>
      </c>
      <c r="G7" s="41">
        <f>Table146810[[#This Row],[Quantity]]*$K$1</f>
        <v>1</v>
      </c>
      <c r="H7" s="41" t="str">
        <f>IF(Table146810[[#This Row],[In stock]] &gt;= Table146810[[#This Row],[Total quantity]],"YES","NO")</f>
        <v>YES</v>
      </c>
    </row>
    <row r="8" spans="1:11" x14ac:dyDescent="0.25">
      <c r="A8" s="3" t="s">
        <v>583</v>
      </c>
      <c r="B8" s="41" t="str">
        <f>VLOOKUP(Table146810[[#This Row],[Man. Number]],Articles!A:F,COLUMN(Articles!$D$1)-COLUMN(Articles!$A$1)+1,FALSE)</f>
        <v>4.7µF ±20% 25V Ceramic Capacitor X5R 0805 (2012 Metric)</v>
      </c>
      <c r="C8" s="4" t="s">
        <v>576</v>
      </c>
      <c r="D8" s="4">
        <v>0</v>
      </c>
      <c r="E8" s="4">
        <f>VLOOKUP(Table146810[[#This Row],[Man. Number]],Articles!A:F,COLUMN(Articles!$F$1)-COLUMN(Articles!$A$1)+1,FALSE)</f>
        <v>0</v>
      </c>
      <c r="F8" s="41" t="str">
        <f>IF(Table146810[[#This Row],[In stock]] &gt;= Table146810[[#This Row],[Quantity]],"YES","NO")</f>
        <v>YES</v>
      </c>
      <c r="G8" s="41">
        <f>Table146810[[#This Row],[Quantity]]*$K$1</f>
        <v>0</v>
      </c>
      <c r="H8" s="41" t="str">
        <f>IF(Table146810[[#This Row],[In stock]] &gt;= Table146810[[#This Row],[Total quantity]],"YES","NO")</f>
        <v>YES</v>
      </c>
    </row>
    <row r="9" spans="1:11" x14ac:dyDescent="0.25">
      <c r="A9" s="3" t="s">
        <v>516</v>
      </c>
      <c r="B9" s="41" t="str">
        <f>VLOOKUP(Table146810[[#This Row],[Man. Number]],Articles!A:F,COLUMN(Articles!$D$1)-COLUMN(Articles!$A$1)+1,FALSE)</f>
        <v>FUSE BRD MNT 500MA 350VAC 72VDC</v>
      </c>
      <c r="C9" s="4" t="s">
        <v>292</v>
      </c>
      <c r="D9" s="4">
        <v>1</v>
      </c>
      <c r="E9" s="4">
        <f>VLOOKUP(Table146810[[#This Row],[Man. Number]],Articles!A:F,COLUMN(Articles!$F$1)-COLUMN(Articles!$A$1)+1,FALSE)</f>
        <v>0</v>
      </c>
      <c r="F9" s="41" t="str">
        <f>IF(Table146810[[#This Row],[In stock]] &gt;= Table146810[[#This Row],[Quantity]],"YES","NO")</f>
        <v>NO</v>
      </c>
      <c r="G9" s="41">
        <f>Table146810[[#This Row],[Quantity]]*$K$1</f>
        <v>1</v>
      </c>
      <c r="H9" s="41" t="str">
        <f>IF(Table146810[[#This Row],[In stock]] &gt;= Table146810[[#This Row],[Total quantity]],"YES","NO")</f>
        <v>NO</v>
      </c>
    </row>
    <row r="10" spans="1:11" x14ac:dyDescent="0.25">
      <c r="A10" s="3" t="s">
        <v>156</v>
      </c>
      <c r="B10" s="41" t="str">
        <f>VLOOKUP(Table146810[[#This Row],[Man. Number]],Articles!A:F,COLUMN(Articles!$D$1)-COLUMN(Articles!$A$1)+1,FALSE)</f>
        <v>CONN RCPT STD MICRO USB TYPE B</v>
      </c>
      <c r="C10" s="4" t="s">
        <v>577</v>
      </c>
      <c r="D10" s="4">
        <v>1</v>
      </c>
      <c r="E10" s="4">
        <f>VLOOKUP(Table146810[[#This Row],[Man. Number]],Articles!A:F,COLUMN(Articles!$F$1)-COLUMN(Articles!$A$1)+1,FALSE)</f>
        <v>10</v>
      </c>
      <c r="F10" s="41" t="str">
        <f>IF(Table146810[[#This Row],[In stock]] &gt;= Table146810[[#This Row],[Quantity]],"YES","NO")</f>
        <v>YES</v>
      </c>
      <c r="G10" s="41">
        <f>Table146810[[#This Row],[Quantity]]*$K$1</f>
        <v>1</v>
      </c>
      <c r="H10" s="41" t="str">
        <f>IF(Table146810[[#This Row],[In stock]] &gt;= Table146810[[#This Row],[Total quantity]],"YES","NO")</f>
        <v>YES</v>
      </c>
    </row>
    <row r="11" spans="1:11" x14ac:dyDescent="0.25">
      <c r="A11" s="59" t="s">
        <v>591</v>
      </c>
      <c r="B11" s="41" t="str">
        <f>VLOOKUP(Table146810[[#This Row],[Man. Number]],Articles!A:F,COLUMN(Articles!$D$1)-COLUMN(Articles!$A$1)+1,FALSE)</f>
        <v>Connecteur carte-à-carte, male, Angle Droit, 2.54 mm, 40 Contact(s)</v>
      </c>
      <c r="C11" s="4" t="s">
        <v>2953</v>
      </c>
      <c r="D11" s="4">
        <f>8/40</f>
        <v>0.2</v>
      </c>
      <c r="E11" s="41">
        <f>VLOOKUP(Table146810[[#This Row],[Man. Number]],Articles!A:F,COLUMN(Articles!$F$1)-COLUMN(Articles!$A$1)+1,FALSE)</f>
        <v>9.85</v>
      </c>
      <c r="F11" s="41" t="str">
        <f>IF(Table146810[[#This Row],[In stock]] &gt;= Table146810[[#This Row],[Quantity]],"YES","NO")</f>
        <v>YES</v>
      </c>
      <c r="G11" s="41">
        <f>Table146810[[#This Row],[Quantity]]*$K$1</f>
        <v>0.2</v>
      </c>
      <c r="H11" s="41" t="str">
        <f>IF(Table146810[[#This Row],[In stock]] &gt;= Table146810[[#This Row],[Total quantity]],"YES","NO")</f>
        <v>YES</v>
      </c>
    </row>
    <row r="12" spans="1:11" x14ac:dyDescent="0.25">
      <c r="A12" s="59" t="s">
        <v>2980</v>
      </c>
      <c r="B12" s="41" t="str">
        <f>VLOOKUP(Table146810[[#This Row],[Man. Number]],Articles!A:F,COLUMN(Articles!$D$1)-COLUMN(Articles!$A$1)+1,FALSE)</f>
        <v>CONN HEADER SMD 5POS 1.25MM</v>
      </c>
      <c r="C12" s="4" t="s">
        <v>3076</v>
      </c>
      <c r="D12" s="4">
        <v>3</v>
      </c>
      <c r="E12" s="41">
        <f>VLOOKUP(Table146810[[#This Row],[Man. Number]],Articles!A:F,COLUMN(Articles!$F$1)-COLUMN(Articles!$A$1)+1,FALSE)</f>
        <v>0</v>
      </c>
      <c r="F12" s="41" t="str">
        <f>IF(Table146810[[#This Row],[In stock]] &gt;= Table146810[[#This Row],[Quantity]],"YES","NO")</f>
        <v>NO</v>
      </c>
      <c r="G12" s="41">
        <f>Table146810[[#This Row],[Quantity]]*$K$1</f>
        <v>3</v>
      </c>
      <c r="H12" s="41" t="str">
        <f>IF(Table146810[[#This Row],[In stock]] &gt;= Table146810[[#This Row],[Total quantity]],"YES","NO")</f>
        <v>NO</v>
      </c>
    </row>
    <row r="13" spans="1:11" x14ac:dyDescent="0.25">
      <c r="A13" s="59" t="s">
        <v>3037</v>
      </c>
      <c r="B13" s="41" t="str">
        <f>VLOOKUP(Table146810[[#This Row],[Man. Number]],Articles!A:F,COLUMN(Articles!$D$1)-COLUMN(Articles!$A$1)+1,FALSE)</f>
        <v>CONN GH HOUSING 5POS 1.25MM</v>
      </c>
      <c r="C13" s="4" t="s">
        <v>3076</v>
      </c>
      <c r="D13" s="4">
        <v>3</v>
      </c>
      <c r="E13" s="41">
        <f>VLOOKUP(Table146810[[#This Row],[Man. Number]],Articles!A:F,COLUMN(Articles!$F$1)-COLUMN(Articles!$A$1)+1,FALSE)</f>
        <v>0</v>
      </c>
      <c r="F13" s="41" t="str">
        <f>IF(Table146810[[#This Row],[In stock]] &gt;= Table146810[[#This Row],[Quantity]],"YES","NO")</f>
        <v>NO</v>
      </c>
      <c r="G13" s="41">
        <f>Table146810[[#This Row],[Quantity]]*$K$1</f>
        <v>3</v>
      </c>
      <c r="H13" s="41" t="str">
        <f>IF(Table146810[[#This Row],[In stock]] &gt;= Table146810[[#This Row],[Total quantity]],"YES","NO")</f>
        <v>NO</v>
      </c>
    </row>
    <row r="14" spans="1:11" x14ac:dyDescent="0.25">
      <c r="A14" s="59" t="s">
        <v>231</v>
      </c>
      <c r="B14" s="41" t="str">
        <f>VLOOKUP(Table146810[[#This Row],[Man. Number]],Articles!A:F,COLUMN(Articles!$D$1)-COLUMN(Articles!$A$1)+1,FALSE)</f>
        <v>LED RED 0603 SMD</v>
      </c>
      <c r="C14" s="4" t="s">
        <v>298</v>
      </c>
      <c r="D14" s="4">
        <v>1</v>
      </c>
      <c r="E14" s="41">
        <f>VLOOKUP(Table146810[[#This Row],[Man. Number]],Articles!A:F,COLUMN(Articles!$F$1)-COLUMN(Articles!$A$1)+1,FALSE)</f>
        <v>9</v>
      </c>
      <c r="F14" s="41" t="str">
        <f>IF(Table146810[[#This Row],[In stock]] &gt;= Table146810[[#This Row],[Quantity]],"YES","NO")</f>
        <v>YES</v>
      </c>
      <c r="G14" s="41">
        <f>Table146810[[#This Row],[Quantity]]*$K$1</f>
        <v>1</v>
      </c>
      <c r="H14" s="41" t="str">
        <f>IF(Table146810[[#This Row],[In stock]] &gt;= Table146810[[#This Row],[Total quantity]],"YES","NO")</f>
        <v>YES</v>
      </c>
    </row>
    <row r="15" spans="1:11" x14ac:dyDescent="0.25">
      <c r="A15" s="59" t="s">
        <v>141</v>
      </c>
      <c r="B15" s="41" t="str">
        <f>VLOOKUP(Table146810[[#This Row],[Man. Number]],Articles!A:F,COLUMN(Articles!$D$1)-COLUMN(Articles!$A$1)+1,FALSE)</f>
        <v>LED RGB CLEAR 3528 SMD</v>
      </c>
      <c r="C15" s="4" t="s">
        <v>712</v>
      </c>
      <c r="D15" s="4">
        <v>1</v>
      </c>
      <c r="E15" s="41">
        <f>VLOOKUP(Table146810[[#This Row],[Man. Number]],Articles!A:F,COLUMN(Articles!$F$1)-COLUMN(Articles!$A$1)+1,FALSE)</f>
        <v>5</v>
      </c>
      <c r="F15" s="41" t="str">
        <f>IF(Table146810[[#This Row],[In stock]] &gt;= Table146810[[#This Row],[Quantity]],"YES","NO")</f>
        <v>YES</v>
      </c>
      <c r="G15" s="41">
        <f>Table146810[[#This Row],[Quantity]]*$K$1</f>
        <v>1</v>
      </c>
      <c r="H15" s="41" t="str">
        <f>IF(Table146810[[#This Row],[In stock]] &gt;= Table146810[[#This Row],[Total quantity]],"YES","NO")</f>
        <v>YES</v>
      </c>
    </row>
    <row r="16" spans="1:11" x14ac:dyDescent="0.25">
      <c r="A16" s="59" t="s">
        <v>2259</v>
      </c>
      <c r="B16" s="41" t="str">
        <f>VLOOKUP(Table146810[[#This Row],[Man. Number]],Articles!A:F,COLUMN(Articles!$D$1)-COLUMN(Articles!$A$1)+1,FALSE)</f>
        <v>RES SMD 1M OHM 5% 1/4W 0603</v>
      </c>
      <c r="C16" s="4" t="s">
        <v>317</v>
      </c>
      <c r="D16" s="4">
        <v>1</v>
      </c>
      <c r="E16" s="4">
        <f>VLOOKUP(Table146810[[#This Row],[Man. Number]],Articles!A:F,COLUMN(Articles!$F$1)-COLUMN(Articles!$A$1)+1,FALSE)</f>
        <v>0</v>
      </c>
      <c r="F16" s="41" t="str">
        <f>IF(Table146810[[#This Row],[In stock]] &gt;= Table146810[[#This Row],[Quantity]],"YES","NO")</f>
        <v>NO</v>
      </c>
      <c r="G16" s="41">
        <f>Table146810[[#This Row],[Quantity]]*$K$1</f>
        <v>1</v>
      </c>
      <c r="H16" s="41" t="str">
        <f>IF(Table146810[[#This Row],[In stock]] &gt;= Table146810[[#This Row],[Total quantity]],"YES","NO")</f>
        <v>NO</v>
      </c>
    </row>
    <row r="17" spans="1:8" x14ac:dyDescent="0.25">
      <c r="A17" s="59" t="s">
        <v>2076</v>
      </c>
      <c r="B17" s="41" t="str">
        <f>VLOOKUP(Table146810[[#This Row],[Man. Number]],Articles!A:F,COLUMN(Articles!$D$1)-COLUMN(Articles!$A$1)+1,FALSE)</f>
        <v>RES SMD 27K OHM 5% 1/4W 0603</v>
      </c>
      <c r="C17" s="4" t="s">
        <v>309</v>
      </c>
      <c r="D17" s="4">
        <v>1</v>
      </c>
      <c r="E17" s="4">
        <f>VLOOKUP(Table146810[[#This Row],[Man. Number]],Articles!A:F,COLUMN(Articles!$F$1)-COLUMN(Articles!$A$1)+1,FALSE)</f>
        <v>0</v>
      </c>
      <c r="F17" s="41" t="str">
        <f>IF(Table146810[[#This Row],[In stock]] &gt;= Table146810[[#This Row],[Quantity]],"YES","NO")</f>
        <v>NO</v>
      </c>
      <c r="G17" s="41">
        <f>Table146810[[#This Row],[Quantity]]*$K$1</f>
        <v>1</v>
      </c>
      <c r="H17" s="41" t="str">
        <f>IF(Table146810[[#This Row],[In stock]] &gt;= Table146810[[#This Row],[Total quantity]],"YES","NO")</f>
        <v>NO</v>
      </c>
    </row>
    <row r="18" spans="1:8" x14ac:dyDescent="0.25">
      <c r="A18" s="59" t="s">
        <v>2214</v>
      </c>
      <c r="B18" s="41" t="str">
        <f>VLOOKUP(Table146810[[#This Row],[Man. Number]],Articles!A:F,COLUMN(Articles!$D$1)-COLUMN(Articles!$A$1)+1,FALSE)</f>
        <v>RES SMD 180 OHM 5% 1/4W 0603</v>
      </c>
      <c r="C18" s="4" t="s">
        <v>716</v>
      </c>
      <c r="D18" s="4">
        <v>3</v>
      </c>
      <c r="E18" s="4">
        <f>VLOOKUP(Table146810[[#This Row],[Man. Number]],Articles!A:F,COLUMN(Articles!$F$1)-COLUMN(Articles!$A$1)+1,FALSE)</f>
        <v>0</v>
      </c>
      <c r="F18" s="41" t="str">
        <f>IF(Table146810[[#This Row],[In stock]] &gt;= Table146810[[#This Row],[Quantity]],"YES","NO")</f>
        <v>NO</v>
      </c>
      <c r="G18" s="41">
        <f>Table146810[[#This Row],[Quantity]]*$K$1</f>
        <v>3</v>
      </c>
      <c r="H18" s="41" t="str">
        <f>IF(Table146810[[#This Row],[In stock]] &gt;= Table146810[[#This Row],[Total quantity]],"YES","NO")</f>
        <v>NO</v>
      </c>
    </row>
    <row r="19" spans="1:8" x14ac:dyDescent="0.25">
      <c r="A19" s="59" t="s">
        <v>1782</v>
      </c>
      <c r="B19" s="41" t="str">
        <f>VLOOKUP(Table146810[[#This Row],[Man. Number]],Articles!A:F,COLUMN(Articles!$D$1)-COLUMN(Articles!$A$1)+1,FALSE)</f>
        <v>RES SMD 1K OHM 5% 1/4W 0603</v>
      </c>
      <c r="C19" s="4" t="s">
        <v>579</v>
      </c>
      <c r="D19" s="4">
        <v>5</v>
      </c>
      <c r="E19" s="4">
        <f>VLOOKUP(Table146810[[#This Row],[Man. Number]],Articles!A:F,COLUMN(Articles!$F$1)-COLUMN(Articles!$A$1)+1,FALSE)</f>
        <v>0</v>
      </c>
      <c r="F19" s="41" t="str">
        <f>IF(Table146810[[#This Row],[In stock]] &gt;= Table146810[[#This Row],[Quantity]],"YES","NO")</f>
        <v>NO</v>
      </c>
      <c r="G19" s="41">
        <f>Table146810[[#This Row],[Quantity]]*$K$1</f>
        <v>5</v>
      </c>
      <c r="H19" s="41" t="str">
        <f>IF(Table146810[[#This Row],[In stock]] &gt;= Table146810[[#This Row],[Total quantity]],"YES","NO")</f>
        <v>NO</v>
      </c>
    </row>
    <row r="20" spans="1:8" x14ac:dyDescent="0.25">
      <c r="A20" s="59" t="s">
        <v>2208</v>
      </c>
      <c r="B20" s="41" t="str">
        <f>VLOOKUP(Table146810[[#This Row],[Man. Number]],Articles!A:F,COLUMN(Articles!$D$1)-COLUMN(Articles!$A$1)+1,FALSE)</f>
        <v>RES SMD 270 OHM 5% 1/4W 0603</v>
      </c>
      <c r="C20" s="4" t="s">
        <v>1780</v>
      </c>
      <c r="D20" s="4">
        <v>1</v>
      </c>
      <c r="E20" s="41">
        <f>VLOOKUP(Table146810[[#This Row],[Man. Number]],Articles!A:F,COLUMN(Articles!$F$1)-COLUMN(Articles!$A$1)+1,FALSE)</f>
        <v>0</v>
      </c>
      <c r="F20" s="41" t="str">
        <f>IF(Table146810[[#This Row],[In stock]] &gt;= Table146810[[#This Row],[Quantity]],"YES","NO")</f>
        <v>NO</v>
      </c>
      <c r="G20" s="41">
        <f>Table146810[[#This Row],[Quantity]]*$K$1</f>
        <v>1</v>
      </c>
      <c r="H20" s="41" t="str">
        <f>IF(Table146810[[#This Row],[In stock]] &gt;= Table146810[[#This Row],[Total quantity]],"YES","NO")</f>
        <v>NO</v>
      </c>
    </row>
    <row r="21" spans="1:8" x14ac:dyDescent="0.25">
      <c r="A21" s="59" t="s">
        <v>234</v>
      </c>
      <c r="B21" s="41" t="str">
        <f>VLOOKUP(Table146810[[#This Row],[Man. Number]],Articles!A:F,COLUMN(Articles!$D$1)-COLUMN(Articles!$A$1)+1,FALSE)</f>
        <v>SWITCH SLIDE SPDT 300MA 125V</v>
      </c>
      <c r="C21" s="4" t="s">
        <v>711</v>
      </c>
      <c r="D21" s="4">
        <v>1</v>
      </c>
      <c r="E21" s="41">
        <f>VLOOKUP(Table146810[[#This Row],[Man. Number]],Articles!A:F,COLUMN(Articles!$F$1)-COLUMN(Articles!$A$1)+1,FALSE)</f>
        <v>4</v>
      </c>
      <c r="F21" s="41" t="str">
        <f>IF(Table146810[[#This Row],[In stock]] &gt;= Table146810[[#This Row],[Quantity]],"YES","NO")</f>
        <v>YES</v>
      </c>
      <c r="G21" s="41">
        <f>Table146810[[#This Row],[Quantity]]*$K$1</f>
        <v>1</v>
      </c>
      <c r="H21" s="41" t="str">
        <f>IF(Table146810[[#This Row],[In stock]] &gt;= Table146810[[#This Row],[Total quantity]],"YES","NO")</f>
        <v>YES</v>
      </c>
    </row>
    <row r="22" spans="1:8" x14ac:dyDescent="0.25">
      <c r="A22" s="3" t="s">
        <v>511</v>
      </c>
      <c r="B22" s="41" t="str">
        <f>VLOOKUP(Table146810[[#This Row],[Man. Number]],Articles!A:F,COLUMN(Articles!$D$1)-COLUMN(Articles!$A$1)+1,FALSE)</f>
        <v>General ISM &lt; 1GHz  Transceiver Module 868MHz Integrated, Trace Surface Mount</v>
      </c>
      <c r="C22" s="4" t="s">
        <v>297</v>
      </c>
      <c r="D22" s="4">
        <v>1</v>
      </c>
      <c r="E22" s="4">
        <f>VLOOKUP(Table146810[[#This Row],[Man. Number]],Articles!A:F,COLUMN(Articles!$F$1)-COLUMN(Articles!$A$1)+1,FALSE)</f>
        <v>0</v>
      </c>
      <c r="F22" s="41" t="str">
        <f>IF(Table146810[[#This Row],[In stock]] &gt;= Table146810[[#This Row],[Quantity]],"YES","NO")</f>
        <v>NO</v>
      </c>
      <c r="G22" s="41">
        <f>Table146810[[#This Row],[Quantity]]*$K$1</f>
        <v>1</v>
      </c>
      <c r="H22" s="41" t="str">
        <f>IF(Table146810[[#This Row],[In stock]] &gt;= Table146810[[#This Row],[Total quantity]],"YES","NO")</f>
        <v>NO</v>
      </c>
    </row>
    <row r="23" spans="1:8" x14ac:dyDescent="0.25">
      <c r="A23" s="3" t="s">
        <v>27</v>
      </c>
      <c r="B23" s="41" t="str">
        <f>VLOOKUP(Table146810[[#This Row],[Man. Number]],Articles!A:F,COLUMN(Articles!$D$1)-COLUMN(Articles!$A$1)+1,FALSE)</f>
        <v>Régulateur LDO, Fixe, Entrée 1.7 V à 5,5 V, Sortie 3.3 V/300 mA, Chute de 150 mV</v>
      </c>
      <c r="C23" s="4" t="s">
        <v>299</v>
      </c>
      <c r="D23" s="4">
        <v>1</v>
      </c>
      <c r="E23" s="4">
        <f>VLOOKUP(Table146810[[#This Row],[Man. Number]],Articles!A:F,COLUMN(Articles!$F$1)-COLUMN(Articles!$A$1)+1,FALSE)</f>
        <v>9</v>
      </c>
      <c r="F23" s="41" t="str">
        <f>IF(Table146810[[#This Row],[In stock]] &gt;= Table146810[[#This Row],[Quantity]],"YES","NO")</f>
        <v>YES</v>
      </c>
      <c r="G23" s="41">
        <f>Table146810[[#This Row],[Quantity]]*$K$1</f>
        <v>1</v>
      </c>
      <c r="H23" s="41" t="str">
        <f>IF(Table146810[[#This Row],[In stock]] &gt;= Table146810[[#This Row],[Total quantity]],"YES","NO")</f>
        <v>YES</v>
      </c>
    </row>
    <row r="24" spans="1:8" x14ac:dyDescent="0.25">
      <c r="A24" s="3" t="s">
        <v>505</v>
      </c>
      <c r="B24" s="4" t="str">
        <f>VLOOKUP(Table146810[[#This Row],[Man. Number]],Articles!A:F,COLUMN(Articles!$D$1)-COLUMN(Articles!$A$1)+1,FALSE)</f>
        <v>IC CONVERTER USB-SPI 20-SSOP</v>
      </c>
      <c r="C24" s="4" t="s">
        <v>300</v>
      </c>
      <c r="D24" s="4">
        <v>1</v>
      </c>
      <c r="E24" s="4">
        <f>VLOOKUP(Table146810[[#This Row],[Man. Number]],Articles!A:F,COLUMN(Articles!$F$1)-COLUMN(Articles!$A$1)+1,FALSE)</f>
        <v>0</v>
      </c>
      <c r="F24" s="4" t="str">
        <f>IF(Table146810[[#This Row],[In stock]] &gt;= Table146810[[#This Row],[Quantity]],"YES","NO")</f>
        <v>NO</v>
      </c>
      <c r="G24" s="4">
        <f>Table146810[[#This Row],[Quantity]]*$K$1</f>
        <v>1</v>
      </c>
      <c r="H24" s="4" t="str">
        <f>IF(Table146810[[#This Row],[In stock]] &gt;= Table146810[[#This Row],[Total quantity]],"YES","NO")</f>
        <v>NO</v>
      </c>
    </row>
    <row r="25" spans="1:8" x14ac:dyDescent="0.25">
      <c r="A25" s="3" t="s">
        <v>513</v>
      </c>
      <c r="B25" s="41" t="str">
        <f>VLOOKUP(Table146810[[#This Row],[Man. Number]],Articles!A:F,COLUMN(Articles!$D$1)-COLUMN(Articles!$A$1)+1,FALSE)</f>
        <v>IC MCU 8BIT 64KB FLASH 44TQFP</v>
      </c>
      <c r="C25" s="4" t="s">
        <v>316</v>
      </c>
      <c r="D25" s="4">
        <v>1</v>
      </c>
      <c r="E25" s="4">
        <f>VLOOKUP(Table146810[[#This Row],[Man. Number]],Articles!A:F,COLUMN(Articles!$F$1)-COLUMN(Articles!$A$1)+1,FALSE)</f>
        <v>0</v>
      </c>
      <c r="F25" s="41" t="str">
        <f>IF(Table146810[[#This Row],[In stock]] &gt;= Table146810[[#This Row],[Quantity]],"YES","NO")</f>
        <v>NO</v>
      </c>
      <c r="G25" s="41">
        <f>Table146810[[#This Row],[Quantity]]*$K$1</f>
        <v>1</v>
      </c>
      <c r="H25" s="41" t="str">
        <f>IF(Table146810[[#This Row],[In stock]] &gt;= Table146810[[#This Row],[Total quantity]],"YES","NO")</f>
        <v>NO</v>
      </c>
    </row>
    <row r="26" spans="1:8" x14ac:dyDescent="0.25">
      <c r="A26" s="59" t="s">
        <v>129</v>
      </c>
      <c r="B26" s="41" t="str">
        <f>VLOOKUP(Table146810[[#This Row],[Man. Number]],Articles!A:F,COLUMN(Articles!$D$1)-COLUMN(Articles!$A$1)+1,FALSE)</f>
        <v>Réseau de transistors bipolaires, NPN, 50 V, 500 mA</v>
      </c>
      <c r="C26" s="4" t="s">
        <v>313</v>
      </c>
      <c r="D26" s="4">
        <v>1</v>
      </c>
      <c r="E26" s="41">
        <f>VLOOKUP(Table146810[[#This Row],[Man. Number]],Articles!A:F,COLUMN(Articles!$F$1)-COLUMN(Articles!$A$1)+1,FALSE)</f>
        <v>10</v>
      </c>
      <c r="F26" s="41" t="str">
        <f>IF(Table146810[[#This Row],[In stock]] &gt;= Table146810[[#This Row],[Quantity]],"YES","NO")</f>
        <v>YES</v>
      </c>
      <c r="G26" s="41">
        <f>Table146810[[#This Row],[Quantity]]*$K$1</f>
        <v>1</v>
      </c>
      <c r="H26" s="41" t="str">
        <f>IF(Table146810[[#This Row],[In stock]] &gt;= Table146810[[#This Row],[Total quantity]],"YES","NO")</f>
        <v>YES</v>
      </c>
    </row>
    <row r="27" spans="1:8" x14ac:dyDescent="0.25">
      <c r="A27" s="59" t="s">
        <v>2992</v>
      </c>
      <c r="B27" s="41" t="str">
        <f>VLOOKUP(Table146810[[#This Row],[Man. Number]],Articles!A:F,COLUMN(Articles!$D$1)-COLUMN(Articles!$A$1)+1,FALSE)</f>
        <v>CONN HEADER SMD 7POS 1.25MM</v>
      </c>
      <c r="C27" s="4" t="s">
        <v>3078</v>
      </c>
      <c r="D27" s="4">
        <v>1</v>
      </c>
      <c r="E27" s="41">
        <f>VLOOKUP(Table146810[[#This Row],[Man. Number]],Articles!A:F,COLUMN(Articles!$F$1)-COLUMN(Articles!$A$1)+1,FALSE)</f>
        <v>0</v>
      </c>
      <c r="F27" s="41" t="str">
        <f>IF(Table146810[[#This Row],[In stock]] &gt;= Table146810[[#This Row],[Quantity]],"YES","NO")</f>
        <v>NO</v>
      </c>
      <c r="G27" s="41">
        <f>Table146810[[#This Row],[Quantity]]*$K$1</f>
        <v>1</v>
      </c>
      <c r="H27" s="41" t="str">
        <f>IF(Table146810[[#This Row],[In stock]] &gt;= Table146810[[#This Row],[Total quantity]],"YES","NO")</f>
        <v>NO</v>
      </c>
    </row>
    <row r="28" spans="1:8" x14ac:dyDescent="0.25">
      <c r="A28" s="59" t="s">
        <v>3058</v>
      </c>
      <c r="B28" s="41" t="str">
        <f>VLOOKUP(Table146810[[#This Row],[Man. Number]],Articles!A:F,COLUMN(Articles!$D$1)-COLUMN(Articles!$A$1)+1,FALSE)</f>
        <v>CONN GH HOUSING 7POS 1.25MM</v>
      </c>
      <c r="C28" s="4" t="s">
        <v>3078</v>
      </c>
      <c r="D28" s="4">
        <v>1</v>
      </c>
      <c r="E28" s="41">
        <f>VLOOKUP(Table146810[[#This Row],[Man. Number]],Articles!A:F,COLUMN(Articles!$F$1)-COLUMN(Articles!$A$1)+1,FALSE)</f>
        <v>0</v>
      </c>
      <c r="F28" s="41" t="str">
        <f>IF(Table146810[[#This Row],[In stock]] &gt;= Table146810[[#This Row],[Quantity]],"YES","NO")</f>
        <v>NO</v>
      </c>
      <c r="G28" s="41">
        <f>Table146810[[#This Row],[Quantity]]*$K$1</f>
        <v>1</v>
      </c>
      <c r="H28" s="41" t="str">
        <f>IF(Table146810[[#This Row],[In stock]] &gt;= Table146810[[#This Row],[Total quantity]],"YES","NO")</f>
        <v>NO</v>
      </c>
    </row>
    <row r="29" spans="1:8" x14ac:dyDescent="0.25">
      <c r="A29" s="59" t="s">
        <v>2995</v>
      </c>
      <c r="B29" s="41" t="str">
        <f>VLOOKUP(Table146810[[#This Row],[Man. Number]],Articles!A:F,COLUMN(Articles!$D$1)-COLUMN(Articles!$A$1)+1,FALSE)</f>
        <v>CONN HEADER SMD 8POS 1.25MM</v>
      </c>
      <c r="C29" s="4" t="s">
        <v>3075</v>
      </c>
      <c r="D29" s="4">
        <v>2</v>
      </c>
      <c r="E29" s="41">
        <f>VLOOKUP(Table146810[[#This Row],[Man. Number]],Articles!A:F,COLUMN(Articles!$F$1)-COLUMN(Articles!$A$1)+1,FALSE)</f>
        <v>0</v>
      </c>
      <c r="F29" s="41" t="str">
        <f>IF(Table146810[[#This Row],[In stock]] &gt;= Table146810[[#This Row],[Quantity]],"YES","NO")</f>
        <v>NO</v>
      </c>
      <c r="G29" s="41">
        <f>Table146810[[#This Row],[Quantity]]*$K$1</f>
        <v>2</v>
      </c>
      <c r="H29" s="41" t="str">
        <f>IF(Table146810[[#This Row],[In stock]] &gt;= Table146810[[#This Row],[Total quantity]],"YES","NO")</f>
        <v>NO</v>
      </c>
    </row>
    <row r="30" spans="1:8" x14ac:dyDescent="0.25">
      <c r="A30" s="59" t="s">
        <v>3049</v>
      </c>
      <c r="B30" s="41" t="str">
        <f>VLOOKUP(Table146810[[#This Row],[Man. Number]],Articles!A:F,COLUMN(Articles!$D$1)-COLUMN(Articles!$A$1)+1,FALSE)</f>
        <v>CONN GH HOUSING 8POS 1.25MM</v>
      </c>
      <c r="C30" s="4" t="s">
        <v>3075</v>
      </c>
      <c r="D30" s="4">
        <v>2</v>
      </c>
      <c r="E30" s="41">
        <f>VLOOKUP(Table146810[[#This Row],[Man. Number]],Articles!A:F,COLUMN(Articles!$F$1)-COLUMN(Articles!$A$1)+1,FALSE)</f>
        <v>0</v>
      </c>
      <c r="F30" s="41" t="str">
        <f>IF(Table146810[[#This Row],[In stock]] &gt;= Table146810[[#This Row],[Quantity]],"YES","NO")</f>
        <v>NO</v>
      </c>
      <c r="G30" s="41">
        <f>Table146810[[#This Row],[Quantity]]*$K$1</f>
        <v>2</v>
      </c>
      <c r="H30" s="41" t="str">
        <f>IF(Table146810[[#This Row],[In stock]] &gt;= Table146810[[#This Row],[Total quantity]],"YES","NO")</f>
        <v>NO</v>
      </c>
    </row>
    <row r="31" spans="1:8" x14ac:dyDescent="0.25">
      <c r="A31" s="59" t="s">
        <v>2986</v>
      </c>
      <c r="B31" s="41" t="str">
        <f>VLOOKUP(Table146810[[#This Row],[Man. Number]],Articles!A:F,COLUMN(Articles!$D$1)-COLUMN(Articles!$A$1)+1,FALSE)</f>
        <v>CONN HEADER SMD 6POS 1.25MM</v>
      </c>
      <c r="C31" s="4" t="s">
        <v>312</v>
      </c>
      <c r="D31" s="4">
        <v>1</v>
      </c>
      <c r="E31" s="41">
        <f>VLOOKUP(Table146810[[#This Row],[Man. Number]],Articles!A:F,COLUMN(Articles!$F$1)-COLUMN(Articles!$A$1)+1,FALSE)</f>
        <v>0</v>
      </c>
      <c r="F31" s="41" t="str">
        <f>IF(Table146810[[#This Row],[In stock]] &gt;= Table146810[[#This Row],[Quantity]],"YES","NO")</f>
        <v>NO</v>
      </c>
      <c r="G31" s="41">
        <f>Table146810[[#This Row],[Quantity]]*$K$1</f>
        <v>1</v>
      </c>
      <c r="H31" s="41" t="str">
        <f>IF(Table146810[[#This Row],[In stock]] &gt;= Table146810[[#This Row],[Total quantity]],"YES","NO")</f>
        <v>NO</v>
      </c>
    </row>
    <row r="32" spans="1:8" x14ac:dyDescent="0.25">
      <c r="A32" s="59" t="s">
        <v>3046</v>
      </c>
      <c r="B32" s="41" t="str">
        <f>VLOOKUP(Table146810[[#This Row],[Man. Number]],Articles!A:F,COLUMN(Articles!$D$1)-COLUMN(Articles!$A$1)+1,FALSE)</f>
        <v>CONN GH HOUSING 6POS 1.25MM</v>
      </c>
      <c r="C32" s="4" t="s">
        <v>312</v>
      </c>
      <c r="D32" s="4">
        <v>1</v>
      </c>
      <c r="E32" s="41">
        <f>VLOOKUP(Table146810[[#This Row],[Man. Number]],Articles!A:F,COLUMN(Articles!$F$1)-COLUMN(Articles!$A$1)+1,FALSE)</f>
        <v>0</v>
      </c>
      <c r="F32" s="41" t="str">
        <f>IF(Table146810[[#This Row],[In stock]] &gt;= Table146810[[#This Row],[Quantity]],"YES","NO")</f>
        <v>NO</v>
      </c>
      <c r="G32" s="41">
        <f>Table146810[[#This Row],[Quantity]]*$K$1</f>
        <v>1</v>
      </c>
      <c r="H32" s="41" t="str">
        <f>IF(Table146810[[#This Row],[In stock]] &gt;= Table146810[[#This Row],[Total quantity]],"YES","NO")</f>
        <v>NO</v>
      </c>
    </row>
    <row r="33" spans="1:8" x14ac:dyDescent="0.25">
      <c r="A33" s="59" t="s">
        <v>2962</v>
      </c>
      <c r="B33" s="41" t="str">
        <f>VLOOKUP(Table146810[[#This Row],[Man. Number]],Articles!A:F,COLUMN(Articles!$D$1)-COLUMN(Articles!$A$1)+1,FALSE)</f>
        <v>CONN HEADER SMD 2POS 1.25MM</v>
      </c>
      <c r="C33" s="4" t="s">
        <v>3077</v>
      </c>
      <c r="D33" s="4">
        <v>1</v>
      </c>
      <c r="E33" s="41">
        <f>VLOOKUP(Table146810[[#This Row],[Man. Number]],Articles!A:F,COLUMN(Articles!$F$1)-COLUMN(Articles!$A$1)+1,FALSE)</f>
        <v>0</v>
      </c>
      <c r="F33" s="41" t="str">
        <f>IF(Table146810[[#This Row],[In stock]] &gt;= Table146810[[#This Row],[Quantity]],"YES","NO")</f>
        <v>NO</v>
      </c>
      <c r="G33" s="41">
        <f>Table146810[[#This Row],[Quantity]]*$K$1</f>
        <v>1</v>
      </c>
      <c r="H33" s="41" t="str">
        <f>IF(Table146810[[#This Row],[In stock]] &gt;= Table146810[[#This Row],[Total quantity]],"YES","NO")</f>
        <v>NO</v>
      </c>
    </row>
    <row r="34" spans="1:8" x14ac:dyDescent="0.25">
      <c r="A34" s="59" t="s">
        <v>3034</v>
      </c>
      <c r="B34" s="41" t="str">
        <f>VLOOKUP(Table146810[[#This Row],[Man. Number]],Articles!A:F,COLUMN(Articles!$D$1)-COLUMN(Articles!$A$1)+1,FALSE)</f>
        <v>CONN GH HOUSING 2POS 1.25MM</v>
      </c>
      <c r="C34" s="4" t="s">
        <v>3077</v>
      </c>
      <c r="D34" s="4">
        <v>1</v>
      </c>
      <c r="E34" s="41">
        <f>VLOOKUP(Table146810[[#This Row],[Man. Number]],Articles!A:F,COLUMN(Articles!$F$1)-COLUMN(Articles!$A$1)+1,FALSE)</f>
        <v>0</v>
      </c>
      <c r="F34" s="41" t="str">
        <f>IF(Table146810[[#This Row],[In stock]] &gt;= Table146810[[#This Row],[Quantity]],"YES","NO")</f>
        <v>NO</v>
      </c>
      <c r="G34" s="41">
        <f>Table146810[[#This Row],[Quantity]]*$K$1</f>
        <v>1</v>
      </c>
      <c r="H34" s="41" t="str">
        <f>IF(Table146810[[#This Row],[In stock]] &gt;= Table146810[[#This Row],[Total quantity]],"YES","NO")</f>
        <v>NO</v>
      </c>
    </row>
    <row r="35" spans="1:8" x14ac:dyDescent="0.25">
      <c r="A35" s="3" t="s">
        <v>508</v>
      </c>
      <c r="B35" s="41" t="str">
        <f>VLOOKUP(Table146810[[#This Row],[Man. Number]],Articles!A:F,COLUMN(Articles!$D$1)-COLUMN(Articles!$A$1)+1,FALSE)</f>
        <v>MEMS OSC XO 12.0000MHZ CMOS SMD</v>
      </c>
      <c r="C35" s="4" t="s">
        <v>578</v>
      </c>
      <c r="D35" s="4">
        <v>1</v>
      </c>
      <c r="E35" s="4">
        <f>VLOOKUP(Table146810[[#This Row],[Man. Number]],Articles!A:F,COLUMN(Articles!$F$1)-COLUMN(Articles!$A$1)+1,FALSE)</f>
        <v>0</v>
      </c>
      <c r="F35" s="41" t="str">
        <f>IF(Table146810[[#This Row],[In stock]] &gt;= Table146810[[#This Row],[Quantity]],"YES","NO")</f>
        <v>NO</v>
      </c>
      <c r="G35" s="41">
        <f>Table146810[[#This Row],[Quantity]]*$K$1</f>
        <v>1</v>
      </c>
      <c r="H35" s="41" t="str">
        <f>IF(Table146810[[#This Row],[In stock]] &gt;= Table146810[[#This Row],[Total quantity]],"YES","NO")</f>
        <v>NO</v>
      </c>
    </row>
  </sheetData>
  <sheetProtection sheet="1" objects="1" scenarios="1"/>
  <conditionalFormatting sqref="F1:F1048576 H1:H1048576">
    <cfRule type="containsText" dxfId="5" priority="4" operator="containsText" text="NO">
      <formula>NOT(ISERROR(SEARCH("NO",F1)))</formula>
    </cfRule>
  </conditionalFormatting>
  <conditionalFormatting sqref="A1:A16 A18:A1048576">
    <cfRule type="duplicateValues" dxfId="4" priority="2"/>
  </conditionalFormatting>
  <conditionalFormatting sqref="A17">
    <cfRule type="duplicateValues" dxfId="3" priority="1"/>
  </conditionalFormatting>
  <dataValidations disablePrompts="1" count="1">
    <dataValidation type="whole" errorStyle="warning" operator="greaterThan" showErrorMessage="1" errorTitle="Invalid value" error="The multiplier has to be a whole number greater than 0." sqref="K1" xr:uid="{7772D080-A72C-4963-A92C-B6657D5A24EC}">
      <formula1>0</formula1>
    </dataValidation>
  </dataValidations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1]!ToggleLock_Click">
                <anchor>
                  <from>
                    <xdr:col>9</xdr:col>
                    <xdr:colOff>0</xdr:colOff>
                    <xdr:row>2</xdr:row>
                    <xdr:rowOff>0</xdr:rowOff>
                  </from>
                  <to>
                    <xdr:col>12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213595-1784-431F-A71E-80AD20BDD4E8}">
  <sheetPr codeName="Sheet11"/>
  <dimension ref="A1:K2"/>
  <sheetViews>
    <sheetView zoomScaleNormal="100" workbookViewId="0">
      <pane ySplit="1" topLeftCell="A2" activePane="bottomLeft" state="frozen"/>
      <selection pane="bottomLeft" activeCell="J8" sqref="J8"/>
    </sheetView>
  </sheetViews>
  <sheetFormatPr defaultRowHeight="15" x14ac:dyDescent="0.25"/>
  <cols>
    <col min="1" max="1" width="22.42578125" style="3" bestFit="1" customWidth="1"/>
    <col min="2" max="2" width="80.85546875" style="4" bestFit="1" customWidth="1"/>
    <col min="3" max="3" width="12.42578125" style="4" bestFit="1" customWidth="1"/>
    <col min="4" max="4" width="11" style="4" bestFit="1" customWidth="1"/>
    <col min="5" max="5" width="10" style="4" bestFit="1" customWidth="1"/>
    <col min="6" max="6" width="11.5703125" bestFit="1" customWidth="1"/>
    <col min="7" max="7" width="15.7109375" customWidth="1"/>
    <col min="8" max="8" width="16.28515625" customWidth="1"/>
    <col min="9" max="10" width="9.85546875" customWidth="1"/>
    <col min="11" max="11" width="4" customWidth="1"/>
    <col min="12" max="12" width="9.140625" customWidth="1"/>
  </cols>
  <sheetData>
    <row r="1" spans="1:11" ht="15.75" thickBot="1" x14ac:dyDescent="0.3">
      <c r="A1" s="2" t="s">
        <v>0</v>
      </c>
      <c r="B1" s="2" t="s">
        <v>2</v>
      </c>
      <c r="C1" s="2" t="s">
        <v>357</v>
      </c>
      <c r="D1" s="2" t="s">
        <v>138</v>
      </c>
      <c r="E1" s="2" t="s">
        <v>3</v>
      </c>
      <c r="F1" s="7" t="s">
        <v>165</v>
      </c>
      <c r="G1" s="7" t="s">
        <v>167</v>
      </c>
      <c r="H1" s="7" t="s">
        <v>175</v>
      </c>
      <c r="J1" s="9" t="s">
        <v>166</v>
      </c>
      <c r="K1" s="4">
        <v>1</v>
      </c>
    </row>
    <row r="2" spans="1:11" x14ac:dyDescent="0.25">
      <c r="A2" s="3" t="s">
        <v>355</v>
      </c>
      <c r="B2" s="4" t="e">
        <f>VLOOKUP(Table1468[[#This Row],[Man. Number]],Articles!A:F,COLUMN(Articles!$D$1)-COLUMN(Articles!$A$1)+1,FALSE)</f>
        <v>#N/A</v>
      </c>
      <c r="C2" s="4" t="s">
        <v>356</v>
      </c>
      <c r="D2" s="4" t="s">
        <v>354</v>
      </c>
      <c r="E2" s="4" t="e">
        <f>VLOOKUP(Table1468[[#This Row],[Man. Number]],Articles!A:F,COLUMN(Articles!$F$1)-COLUMN(Articles!$A$1)+1,FALSE)</f>
        <v>#N/A</v>
      </c>
      <c r="F2" s="4" t="e">
        <f>IF(Table1468[[#This Row],[In stock]] &gt;= Table1468[[#This Row],[Quantity]],"YES","NO")</f>
        <v>#N/A</v>
      </c>
      <c r="G2" s="4" t="e">
        <f>Table1468[[#This Row],[Quantity]]*$K$1</f>
        <v>#VALUE!</v>
      </c>
      <c r="H2" s="4" t="e">
        <f>IF(Table1468[[#This Row],[In stock]] &gt;= Table1468[[#This Row],[Total quantity]],"YES","NO")</f>
        <v>#N/A</v>
      </c>
    </row>
  </sheetData>
  <conditionalFormatting sqref="H1:H1048576 F1:F1048576">
    <cfRule type="containsText" dxfId="2" priority="3" operator="containsText" text="NO">
      <formula>NOT(ISERROR(SEARCH("NO",F1)))</formula>
    </cfRule>
  </conditionalFormatting>
  <conditionalFormatting sqref="A1:A1048576">
    <cfRule type="duplicateValues" dxfId="1" priority="1"/>
  </conditionalFormatting>
  <dataValidations count="1">
    <dataValidation type="whole" errorStyle="warning" operator="greaterThan" showErrorMessage="1" errorTitle="Invalid value" error="The multiplier has to be a whole number greater than 0." sqref="K1" xr:uid="{15B4F726-3894-4EC9-BE49-619C8AAAFE2E}">
      <formula1>0</formula1>
    </dataValidation>
  </dataValidations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1]!ToggleLock_Click">
                <anchor>
                  <from>
                    <xdr:col>9</xdr:col>
                    <xdr:colOff>0</xdr:colOff>
                    <xdr:row>2</xdr:row>
                    <xdr:rowOff>0</xdr:rowOff>
                  </from>
                  <to>
                    <xdr:col>11</xdr:col>
                    <xdr:colOff>476250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32E5D-A702-4303-A987-7B4F880F0FE4}">
  <sheetPr codeName="Sheet7">
    <tabColor rgb="FFFFC000"/>
  </sheetPr>
  <dimension ref="A1:D10"/>
  <sheetViews>
    <sheetView workbookViewId="0">
      <selection activeCell="M13" sqref="M13"/>
    </sheetView>
  </sheetViews>
  <sheetFormatPr defaultRowHeight="15" x14ac:dyDescent="0.25"/>
  <cols>
    <col min="1" max="1" width="8.28515625" bestFit="1" customWidth="1"/>
    <col min="2" max="2" width="16.28515625" bestFit="1" customWidth="1"/>
    <col min="3" max="3" width="17.5703125" bestFit="1" customWidth="1"/>
  </cols>
  <sheetData>
    <row r="1" spans="1:4" x14ac:dyDescent="0.25">
      <c r="A1" t="s">
        <v>594</v>
      </c>
      <c r="B1" t="s">
        <v>359</v>
      </c>
      <c r="C1" t="s">
        <v>213</v>
      </c>
      <c r="D1" t="s">
        <v>462</v>
      </c>
    </row>
    <row r="3" spans="1:4" s="40" customFormat="1" ht="15" customHeight="1" x14ac:dyDescent="0.35"/>
    <row r="6" spans="1:4" x14ac:dyDescent="0.25">
      <c r="A6" t="s">
        <v>209</v>
      </c>
      <c r="B6" t="s">
        <v>210</v>
      </c>
      <c r="C6" t="s">
        <v>211</v>
      </c>
    </row>
    <row r="7" spans="1:4" x14ac:dyDescent="0.25">
      <c r="A7">
        <v>198</v>
      </c>
      <c r="B7" t="s">
        <v>593</v>
      </c>
      <c r="C7" t="s">
        <v>594</v>
      </c>
    </row>
    <row r="8" spans="1:4" x14ac:dyDescent="0.25">
      <c r="A8">
        <v>199</v>
      </c>
      <c r="B8" t="s">
        <v>358</v>
      </c>
      <c r="C8" t="s">
        <v>359</v>
      </c>
    </row>
    <row r="9" spans="1:4" x14ac:dyDescent="0.25">
      <c r="A9">
        <v>299</v>
      </c>
      <c r="B9" t="s">
        <v>212</v>
      </c>
      <c r="C9" t="s">
        <v>213</v>
      </c>
    </row>
    <row r="10" spans="1:4" x14ac:dyDescent="0.25">
      <c r="A10">
        <v>399</v>
      </c>
      <c r="B10" t="s">
        <v>461</v>
      </c>
      <c r="C10" t="s">
        <v>462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BC0591-378F-407D-9187-FF7FBFD31CE1}">
  <sheetPr codeName="Sheet8">
    <tabColor theme="4" tint="0.39997558519241921"/>
  </sheetPr>
  <dimension ref="A2:W12"/>
  <sheetViews>
    <sheetView workbookViewId="0">
      <selection activeCell="K27" sqref="K27"/>
    </sheetView>
  </sheetViews>
  <sheetFormatPr defaultRowHeight="15" x14ac:dyDescent="0.25"/>
  <cols>
    <col min="1" max="1" width="8.7109375" bestFit="1" customWidth="1"/>
    <col min="2" max="2" width="11.7109375" bestFit="1" customWidth="1"/>
    <col min="3" max="3" width="13.28515625" bestFit="1" customWidth="1"/>
    <col min="4" max="4" width="13.140625" bestFit="1" customWidth="1"/>
    <col min="5" max="5" width="8" bestFit="1" customWidth="1"/>
    <col min="6" max="6" width="11.140625" bestFit="1" customWidth="1"/>
    <col min="7" max="7" width="9.5703125" bestFit="1" customWidth="1"/>
    <col min="8" max="8" width="11.7109375" bestFit="1" customWidth="1"/>
    <col min="15" max="15" width="15.42578125" bestFit="1" customWidth="1"/>
    <col min="16" max="16" width="8.7109375" bestFit="1" customWidth="1"/>
    <col min="17" max="17" width="11.7109375" bestFit="1" customWidth="1"/>
    <col min="18" max="18" width="13.28515625" bestFit="1" customWidth="1"/>
    <col min="19" max="19" width="13.140625" bestFit="1" customWidth="1"/>
    <col min="20" max="20" width="8" bestFit="1" customWidth="1"/>
    <col min="21" max="21" width="11.140625" bestFit="1" customWidth="1"/>
    <col min="22" max="22" width="9.5703125" bestFit="1" customWidth="1"/>
    <col min="23" max="23" width="11.7109375" bestFit="1" customWidth="1"/>
  </cols>
  <sheetData>
    <row r="2" spans="1:23" x14ac:dyDescent="0.25">
      <c r="A2" s="65" t="s">
        <v>353</v>
      </c>
      <c r="B2" s="65"/>
      <c r="C2" s="65"/>
      <c r="D2" s="65"/>
      <c r="F2" s="66" t="str">
        <f>IF(ISNUMBER(C5),"","Man. Number must be set")</f>
        <v/>
      </c>
      <c r="G2" s="66"/>
      <c r="H2" s="66"/>
    </row>
    <row r="4" spans="1:23" x14ac:dyDescent="0.25">
      <c r="A4" s="16" t="s">
        <v>138</v>
      </c>
      <c r="B4" s="16" t="s">
        <v>260</v>
      </c>
      <c r="C4" s="16" t="s">
        <v>1777</v>
      </c>
      <c r="D4" s="16" t="s">
        <v>6</v>
      </c>
      <c r="E4" s="16" t="s">
        <v>4</v>
      </c>
      <c r="F4" s="16" t="s">
        <v>2</v>
      </c>
      <c r="G4" s="16" t="s">
        <v>8</v>
      </c>
      <c r="H4" s="16" t="s">
        <v>259</v>
      </c>
      <c r="O4" s="15" t="s">
        <v>350</v>
      </c>
      <c r="P4" t="s">
        <v>138</v>
      </c>
      <c r="Q4" t="s">
        <v>260</v>
      </c>
      <c r="R4" t="s">
        <v>0</v>
      </c>
      <c r="S4" t="s">
        <v>6</v>
      </c>
      <c r="T4" t="s">
        <v>4</v>
      </c>
      <c r="U4" t="s">
        <v>2</v>
      </c>
      <c r="V4" t="s">
        <v>8</v>
      </c>
      <c r="W4" t="s">
        <v>259</v>
      </c>
    </row>
    <row r="5" spans="1:23" x14ac:dyDescent="0.25">
      <c r="A5" s="14" t="s">
        <v>2951</v>
      </c>
      <c r="B5" s="14">
        <v>4</v>
      </c>
      <c r="C5" s="14">
        <v>3</v>
      </c>
      <c r="D5" s="14">
        <v>5</v>
      </c>
      <c r="E5" s="14" t="s">
        <v>82</v>
      </c>
      <c r="F5" s="14">
        <v>6</v>
      </c>
      <c r="G5" s="14">
        <v>9</v>
      </c>
      <c r="H5" s="14">
        <v>2</v>
      </c>
      <c r="O5" s="8"/>
      <c r="P5" s="8">
        <v>2</v>
      </c>
      <c r="Q5" s="8">
        <v>3</v>
      </c>
      <c r="R5" s="8">
        <v>4</v>
      </c>
      <c r="S5" s="8" t="s">
        <v>258</v>
      </c>
      <c r="T5" s="8" t="s">
        <v>82</v>
      </c>
      <c r="U5" s="8">
        <v>5</v>
      </c>
      <c r="V5" s="8">
        <v>8</v>
      </c>
      <c r="W5" s="8">
        <v>2</v>
      </c>
    </row>
    <row r="8" spans="1:23" x14ac:dyDescent="0.25">
      <c r="O8" s="15" t="s">
        <v>480</v>
      </c>
      <c r="P8" t="s">
        <v>138</v>
      </c>
      <c r="Q8" t="s">
        <v>260</v>
      </c>
      <c r="R8" t="s">
        <v>0</v>
      </c>
      <c r="S8" t="s">
        <v>6</v>
      </c>
      <c r="T8" t="s">
        <v>4</v>
      </c>
      <c r="U8" t="s">
        <v>2</v>
      </c>
      <c r="V8" t="s">
        <v>8</v>
      </c>
      <c r="W8" t="s">
        <v>259</v>
      </c>
    </row>
    <row r="9" spans="1:23" x14ac:dyDescent="0.25">
      <c r="O9" s="22"/>
      <c r="P9" s="22">
        <v>8</v>
      </c>
      <c r="Q9" s="22">
        <v>3</v>
      </c>
      <c r="R9" s="22">
        <v>1</v>
      </c>
      <c r="S9" s="22">
        <v>2</v>
      </c>
      <c r="T9" s="22" t="s">
        <v>82</v>
      </c>
      <c r="U9" s="22">
        <v>13</v>
      </c>
      <c r="V9" s="22">
        <v>9</v>
      </c>
      <c r="W9" s="22">
        <v>2</v>
      </c>
    </row>
    <row r="11" spans="1:23" x14ac:dyDescent="0.25">
      <c r="O11" s="15" t="s">
        <v>1779</v>
      </c>
      <c r="P11" s="58" t="s">
        <v>138</v>
      </c>
      <c r="Q11" s="58" t="s">
        <v>260</v>
      </c>
      <c r="R11" s="58" t="s">
        <v>0</v>
      </c>
      <c r="S11" s="58" t="s">
        <v>6</v>
      </c>
      <c r="T11" s="58" t="s">
        <v>4</v>
      </c>
      <c r="U11" s="58" t="s">
        <v>2</v>
      </c>
      <c r="V11" s="58" t="s">
        <v>8</v>
      </c>
      <c r="W11" s="58" t="s">
        <v>259</v>
      </c>
    </row>
    <row r="12" spans="1:23" x14ac:dyDescent="0.25">
      <c r="P12" s="58" t="s">
        <v>1778</v>
      </c>
      <c r="Q12" s="58">
        <v>4</v>
      </c>
      <c r="R12" s="58">
        <v>3</v>
      </c>
      <c r="S12" s="58">
        <v>5</v>
      </c>
      <c r="T12" s="58" t="s">
        <v>82</v>
      </c>
      <c r="U12" s="58">
        <v>6</v>
      </c>
      <c r="V12" s="58">
        <v>9</v>
      </c>
      <c r="W12" s="58">
        <v>2</v>
      </c>
    </row>
  </sheetData>
  <mergeCells count="2">
    <mergeCell ref="A2:D2"/>
    <mergeCell ref="F2:H2"/>
  </mergeCells>
  <conditionalFormatting sqref="F2:H2">
    <cfRule type="cellIs" dxfId="0" priority="1" operator="notEqual">
      <formula>""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1]!btn_AddOrder">
                <anchor moveWithCells="1" sizeWithCells="1">
                  <from>
                    <xdr:col>10</xdr:col>
                    <xdr:colOff>0</xdr:colOff>
                    <xdr:row>1</xdr:row>
                    <xdr:rowOff>0</xdr:rowOff>
                  </from>
                  <to>
                    <xdr:col>13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85F92D-24B8-4F04-8E94-C803D99A7FB6}">
  <sheetPr codeName="Sheet10">
    <tabColor rgb="FFFF0000"/>
  </sheetPr>
  <dimension ref="A1:M1"/>
  <sheetViews>
    <sheetView workbookViewId="0"/>
  </sheetViews>
  <sheetFormatPr defaultColWidth="20.7109375" defaultRowHeight="15" x14ac:dyDescent="0.25"/>
  <cols>
    <col min="2" max="12" width="20.7109375" style="17"/>
    <col min="14" max="16384" width="20.7109375" style="17"/>
  </cols>
  <sheetData/>
  <dataConsolidate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StockHistory</vt:lpstr>
      <vt:lpstr>Main</vt:lpstr>
      <vt:lpstr>Order</vt:lpstr>
      <vt:lpstr>Articles</vt:lpstr>
      <vt:lpstr>Articles_commandes</vt:lpstr>
      <vt:lpstr>LampeSolaire_v5</vt:lpstr>
      <vt:lpstr>LampeSolaire_v4</vt:lpstr>
      <vt:lpstr>TempoMetter_v1</vt:lpstr>
      <vt:lpstr>USB_Tool_v1</vt:lpstr>
      <vt:lpstr>ProductTemplate</vt:lpstr>
      <vt:lpstr>ProductConfig</vt:lpstr>
      <vt:lpstr>OrderAdder</vt:lpstr>
      <vt:lpstr>OrderAdder_work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Esseiva Nicolas</dc:creator>
  <cp:lastModifiedBy>Esseiva Nicolas</cp:lastModifiedBy>
  <cp:lastPrinted>2019-04-19T15:54:30Z</cp:lastPrinted>
  <dcterms:created xsi:type="dcterms:W3CDTF">2018-08-18T11:04:50Z</dcterms:created>
  <dcterms:modified xsi:type="dcterms:W3CDTF">2019-05-03T17:45:18Z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77c9cfae-5108-421e-8a75-a52cefa67c63</vt:lpwstr>
  </property>
</Properties>
</file>