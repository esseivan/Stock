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9BEDC58-79AD-4FB7-B635-FEA97105185B}" xr6:coauthVersionLast="43" xr6:coauthVersionMax="43" xr10:uidLastSave="{00000000-0000-0000-0000-000000000000}"/>
  <bookViews>
    <workbookView xWindow="-120" yWindow="-120" windowWidth="29040" windowHeight="15990" firstSheet="1" activeTab="7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USB_Tool_v1!$A$1:$E$15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6" l="1"/>
  <c r="E15" i="16"/>
  <c r="F15" i="16" s="1"/>
  <c r="G15" i="16"/>
  <c r="B14" i="16"/>
  <c r="E14" i="16"/>
  <c r="F14" i="16" s="1"/>
  <c r="G14" i="16"/>
  <c r="B13" i="16"/>
  <c r="E13" i="16"/>
  <c r="F13" i="16" s="1"/>
  <c r="G13" i="16"/>
  <c r="B12" i="16"/>
  <c r="E12" i="16"/>
  <c r="F12" i="16" s="1"/>
  <c r="G12" i="16"/>
  <c r="B11" i="16"/>
  <c r="E11" i="16"/>
  <c r="F11" i="16" s="1"/>
  <c r="G11" i="16"/>
  <c r="B10" i="16"/>
  <c r="E10" i="16"/>
  <c r="G10" i="16"/>
  <c r="H15" i="16" l="1"/>
  <c r="H14" i="16"/>
  <c r="H13" i="16"/>
  <c r="H12" i="16"/>
  <c r="H11" i="16"/>
  <c r="H10" i="16"/>
  <c r="F10" i="16"/>
  <c r="K9" i="19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<sst xmlns="http://schemas.openxmlformats.org/spreadsheetml/2006/main" count="1741" uniqueCount="587">
  <si>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</si>
  <si>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</si>
  <si>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</si>
  <si>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</si>
  <si>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</si>
  <si>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</si>
  <si>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</si>
  <si>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</si>
  <si>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</si>
  <si>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</si>
  <si>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</si>
  <si>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</si>
  <si>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</si>
  <si>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</si>
  <si>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</si>
  <si>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</si>
  <si>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</si>
  <si>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</si>
  <si>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</si>
  <si>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</si>
  <si>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</si>
  <si>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</si>
  <si>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</si>
  <si>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</si>
  <si>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</si>
  <si>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</si>
  <si>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</si>
  <si>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</si>
  <si>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</si>
  <si>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</si>
  <si>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</si>
  <si>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</si>
  <si>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</si>
  <si>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</si>
  <si>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</si>
  <si>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</si>
  <si>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</si>
  <si>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</si>
  <si>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</si>
  <si>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</si>
  <si>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</si>
  <si>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</si>
  <si>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</si>
  <si>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</si>
  <si>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</si>
  <si>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</si>
  <si>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</si>
  <si>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</si>
  <si>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</si>
  <si>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</si>
  <si>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</si>
  <si>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</si>
  <si>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</si>
  <si>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</si>
  <si>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</si>
  <si>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</si>
  <si>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</si>
  <si>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</si>
  <si>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</si>
  <si>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</si>
  <si>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</si>
  <si>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</si>
  <si>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</si>
  <si>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</si>
  <si>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</si>
  <si>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</si>
  <si>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</si>
  <si>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</si>
  <si>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</si>
  <si>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</si>
  <si>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</si>
  <si>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</si>
  <si>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</si>
  <si>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</si>
  <si>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</si>
  <si>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</si>
  <si>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</si>
  <si>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</si>
  <si>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</si>
  <si>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</si>
  <si>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</si>
  <si>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</si>
  <si>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</si>
  <si>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</si>
  <si>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</si>
  <si>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</si>
  <si>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</si>
  <si>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</si>
  <si>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</si>
  <si>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</si>
  <si>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</si>
  <si>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</si>
  <si>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</si>
  <si>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</si>
  <si>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</si>
  <si>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</si>
  <si>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</si>
  <si>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</si>
  <si>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</si>
  <si>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</si>
  <si>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</si>
  <si>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</si>
  <si>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</si>
  <si>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</si>
  <si>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</si>
  <si>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</si>
  <si>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</si>
  <si>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</si>
  <si>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</si>
  <si>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</si>
  <si>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</si>
  <si>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</si>
  <si>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</si>
  <si>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</si>
  <si>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</si>
  <si>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</si>
  <si>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</si>
  <si>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</si>
  <si>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</si>
  <si>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</si>
  <si>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</si>
  <si>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</si>
  <si>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</si>
  <si>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</si>
  <si>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</si>
  <si>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</si>
  <si>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</si>
  <si>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</si>
  <si>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</si>
  <si>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</si>
  <si>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</si>
  <si>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</si>
  <si>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</si>
  <si>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</si>
  <si>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</si>
  <si>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</si>
  <si>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</si>
  <si>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</si>
  <si>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</si>
  <si>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</si>
  <si>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</si>
  <si>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</si>
  <si>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</si>
  <si>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</si>
  <si>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</si>
  <si>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</si>
  <si>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</si>
  <si>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</si>
  <si>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</si>
  <si>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</si>
  <si>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</si>
  <si>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</si>
  <si>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</si>
  <si>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</si>
  <si>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</si>
  <si>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</si>
  <si>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</si>
  <si>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</si>
  <si>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</si>
  <si>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</si>
  <si>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</si>
  <si>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</si>
  <si>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</si>
  <si>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</si>
  <si>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</si>
  <si>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</si>
  <si>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</si>
  <si>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</si>
  <si>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</si>
  <si>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</si>
  <si>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</si>
  <si>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</si>
  <si>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</si>
  <si>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</si>
  <si>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</si>
  <si>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</si>
  <si>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</si>
  <si>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</si>
  <si>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</si>
  <si>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</si>
  <si>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</si>
  <si>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</si>
  <si>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</si>
  <si>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</si>
  <si>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</si>
  <si>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</si>
  <si>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</si>
  <si>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</si>
  <si>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</si>
  <si>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</si>
  <si>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</si>
  <si>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</si>
  <si>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</si>
  <si>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</si>
  <si>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</si>
  <si>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</si>
  <si>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</si>
  <si>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</si>
  <si>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</si>
  <si>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</si>
  <si>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</si>
  <si>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</si>
  <si>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</si>
  <si>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</si>
  <si>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</si>
  <si>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</si>
  <si>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</si>
  <si>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</si>
  <si>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</si>
  <si>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</si>
  <si>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</si>
  <si>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</si>
  <si>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</si>
  <si>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</si>
  <si>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</si>
  <si>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</si>
  <si>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</si>
  <si>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</si>
  <si>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</si>
  <si>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</si>
  <si>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</si>
  <si>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</si>
  <si>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</si>
  <si>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</si>
  <si>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</si>
  <si>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</si>
  <si>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</si>
  <si>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</si>
  <si>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</si>
  <si>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</si>
  <si>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</si>
  <si>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</si>
  <si>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</si>
  <si>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</si>
  <si>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</si>
  <si>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</si>
  <si>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</si>
  <si>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</si>
  <si>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</si>
  <si>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</si>
  <si>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</si>
  <si>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</si>
  <si>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</si>
  <si>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</si>
  <si>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</si>
  <si>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</si>
  <si>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</si>
  <si>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</si>
  <si>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</si>
  <si>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</si>
  <si>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</si>
  <si>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</si>
  <si>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</si>
  <si>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</si>
  <si>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</si>
  <si>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</si>
  <si>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</si>
  <si>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</si>
  <si>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</si>
  <si>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</si>
  <si>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</si>
  <si>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</si>
  <si>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</si>
  <si>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</si>
  <si>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</si>
  <si>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</si>
  <si>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</si>
  <si>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</si>
  <si>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</si>
  <si>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</si>
  <si>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</si>
  <si>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</si>
  <si>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</si>
  <si>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</si>
  <si>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</si>
  <si>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</si>
  <si>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</si>
  <si>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</si>
  <si>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</si>
  <si>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</si>
  <si>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</si>
  <si>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</si>
  <si>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</si>
  <si>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</si>
  <si>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</si>
  <si>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</si>
  <si>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</si>
  <si>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</si>
  <si>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</si>
  <si>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</si>
  <si>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</si>
  <si>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</si>
  <si>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</si>
  <si>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</si>
  <si>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</si>
  <si>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</si>
  <si>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</si>
  <si>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</si>
  <si>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</si>
  <si>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</si>
  <si>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</si>
  <si>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</si>
  <si>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</si>
  <si>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</si>
  <si>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</si>
  <si>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</si>
  <si>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</si>
  <si>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</si>
  <si>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</si>
  <si>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</si>
  <si>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</si>
  <si>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</si>
  <si>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</si>
  <si>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</si>
  <si>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</si>
  <si>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</si>
  <si>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</si>
  <si>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</si>
  <si>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</si>
  <si>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</si>
  <si>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</si>
  <si>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</si>
  <si>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</si>
  <si>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</si>
  <si>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</si>
  <si>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</si>
  <si>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</si>
  <si>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</si>
  <si>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</si>
  <si>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</si>
  <si>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</si>
  <si>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</si>
  <si>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</si>
  <si>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</si>
  <si>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</si>
  <si>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</si>
  <si>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</si>
  <si>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</si>
  <si>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</si>
  <si>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</si>
  <si>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</si>
  <si>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</si>
  <si>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</si>
  <si>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</si>
  <si>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</si>
  <si>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</si>
  <si>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</si>
  <si>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</si>
  <si>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</si>
  <si>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</si>
  <si>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</si>
  <si>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</si>
  <si>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</si>
  <si>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</si>
  <si>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</si>
  <si>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</si>
  <si>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</si>
  <si>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</si>
  <si>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</si>
  <si>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</si>
  <si>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</si>
  <si>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</si>
  <si>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</si>
  <si>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</si>
  <si>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</si>
  <si>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</si>
  <si>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</si>
  <si>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</si>
  <si>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</si>
  <si>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</si>
  <si>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</si>
  <si>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</si>
  <si>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</si>
  <si>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</si>
  <si>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</si>
  <si>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</si>
  <si>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</si>
  <si>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</si>
  <si>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</si>
  <si>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</si>
  <si>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</si>
  <si>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</si>
  <si>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</si>
  <si>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</si>
  <si>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</si>
  <si>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</si>
  <si>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</si>
  <si>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</si>
  <si>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</si>
  <si>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</si>
  <si>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</si>
  <si>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</si>
  <si>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</si>
  <si>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</si>
  <si>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</si>
  <si>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</si>
  <si>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</si>
  <si>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</si>
  <si>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</si>
  <si>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</si>
  <si>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</si>
  <si>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</si>
  <si>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</si>
  <si>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</si>
  <si>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</si>
  <si>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</si>
  <si>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</si>
  <si>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</si>
  <si>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</si>
  <si>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</si>
  <si>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</si>
  <si>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</si>
  <si>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</si>
  <si>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</si>
  <si>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</si>
  <si>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</si>
  <si>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</si>
  <si>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</si>
  <si>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</si>
  <si>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</si>
  <si>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</si>
  <si>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</si>
  <si>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</si>
  <si>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</si>
  <si>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</si>
  <si>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</si>
  <si>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</si>
  <si>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</si>
  <si>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</si>
  <si>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</si>
  <si>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</si>
  <si>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</si>
  <si>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</si>
  <si>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</si>
  <si>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</si>
  <si>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</si>
  <si>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</si>
  <si>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</si>
  <si>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</si>
  <si>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</si>
  <si>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</si>
  <si>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</si>
  <si>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</si>
  <si>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</si>
  <si>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</si>
  <si>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</si>
  <si>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</si>
  <si>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</si>
  <si>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</si>
  <si>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</si>
  <si>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</si>
  <si>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</si>
  <si>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</si>
  <si>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</si>
  <si>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</si>
  <si>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</si>
  <si>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</si>
  <si>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</si>
  <si>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</si>
  <si>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</si>
  <si>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</si>
  <si>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</si>
  <si>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</si>
  <si>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</si>
  <si>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</si>
  <si>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</si>
  <si>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</si>
  <si>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</si>
  <si>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</si>
  <si>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</si>
  <si>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</si>
  <si>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</si>
  <si>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</si>
  <si>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</si>
  <si>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</si>
  <si>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</si>
  <si>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</si>
  <si>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</si>
  <si>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</si>
  <si>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</si>
  <si>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</si>
  <si>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</si>
  <si>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</si>
  <si>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</si>
  <si>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</si>
  <si>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</si>
  <si>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</si>
  <si>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</si>
  <si>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</si>
  <si>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</si>
  <si>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</si>
  <si>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</si>
  <si>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</si>
  <si>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</si>
  <si>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</si>
  <si>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</si>
  <si>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</si>
  <si>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</si>
  <si>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</si>
  <si>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</si>
  <si>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</si>
  <si>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</si>
  <si>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</si>
  <si>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</si>
  <si>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</si>
  <si>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</si>
  <si>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</si>
  <si>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</si>
  <si>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</si>
  <si>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</si>
  <si>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</si>
  <si>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</si>
  <si>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</si>
  <si>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</si>
  <si>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</si>
  <si>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</si>
  <si>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</si>
  <si>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</si>
  <si>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</si>
  <si>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</si>
  <si>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</si>
  <si>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</si>
  <si>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</si>
  <si>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</si>
  <si>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</si>
  <si>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</si>
  <si>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</si>
  <si>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</si>
  <si>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</si>
  <si>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</si>
  <si>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</si>
  <si>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</si>
  <si>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</si>
  <si>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</si>
  <si>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</si>
  <si>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</si>
  <si>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</si>
  <si>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</si>
  <si>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</si>
  <si>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</si>
  <si>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</si>
  <si>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</si>
  <si>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</si>
  <si>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</si>
  <si>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</si>
  <si>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</si>
  <si>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</si>
  <si>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</si>
  <si>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</si>
  <si>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</si>
  <si>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</si>
  <si>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</si>
  <si>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</si>
  <si>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</si>
  <si>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</si>
  <si>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</si>
  <si>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</si>
  <si>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</si>
  <si>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</si>
  <si>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</si>
  <si>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</si>
  <si>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</si>
  <si>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</si>
  <si>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</si>
  <si>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</si>
  <si>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</si>
  <si>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</si>
  <si>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</si>
  <si>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</si>
  <si>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</si>
  <si>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</si>
  <si>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</si>
  <si>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</si>
  <si>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</si>
  <si>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</si>
  <si>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</si>
  <si>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</si>
  <si>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</si>
  <si>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</si>
  <si>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</si>
  <si>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</si>
  <si>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</si>
  <si>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C3, C8</t>
  </si>
  <si>
    <t>C6</t>
  </si>
  <si>
    <t>J1</t>
  </si>
  <si>
    <t>Y1</t>
  </si>
  <si>
    <t>R3..5,R9,R10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</si>
</sst>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1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0"/>
      <tableStyleElement type="headerRow" dxfId="13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2">
  <autoFilter ref="A1:F193" xr:uid="{BDAE12D6-129D-4B55-B01B-D1493E590308}"/>
  <tableColumns count="6">
    <tableColumn id="1" xr3:uid="{F20AB9A4-F1CA-4493-AFCA-1ECFD6C72926}" name="Date" dataDxfId="131"/>
    <tableColumn id="2" xr3:uid="{9E5C5770-C960-45BB-8115-75DB62A3B16C}" name="Article Number" dataDxfId="130"/>
    <tableColumn id="5" xr3:uid="{16BFD56B-B56A-4848-9201-68C2F28CFA64}" name="Modification" dataDxfId="129"/>
    <tableColumn id="3" xr3:uid="{10BA92E7-A8AC-46B9-9939-48EDBF630513}" name="Stock Before" dataDxfId="128"/>
    <tableColumn id="4" xr3:uid="{89A58CF5-EDCB-4EF1-963E-E9EB1A0CCFEF}" name="Stock After" dataDxfId="127"/>
    <tableColumn id="6" xr3:uid="{FF179CF1-10A5-4445-94E5-D3770F8EB2DA}" name="INFO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22" dataDxfId="121" tableBorderDxfId="12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19"/>
    <tableColumn id="2" xr3:uid="{FBC6B9C9-57F8-45DA-AF22-C249E2B185F4}" name="Manufacturer" dataDxfId="118"/>
    <tableColumn id="3" xr3:uid="{288AF9C9-A6A1-4913-A84A-1B41F0951CD7}" name="Place" dataDxfId="117"/>
    <tableColumn id="4" xr3:uid="{991CB349-C1A2-4024-AD86-41FE070F01AA}" name="Description" dataDxfId="116"/>
    <tableColumn id="28" xr3:uid="{2D19DEDD-0807-4720-910B-711676B70DD0}" name="Category" dataDxfId="115"/>
    <tableColumn id="5" xr3:uid="{AF531B20-C2C7-43E4-88F6-C002EAFA6EF0}" name="In stock" dataDxfId="114"/>
    <tableColumn id="6" xr3:uid="{4AE22FEC-1D74-4166-880B-DE3C3B0F48C3}" name="Min in stock" dataDxfId="113">
      <calculatedColumnFormula>10</calculatedColumnFormula>
    </tableColumn>
    <tableColumn id="7" xr3:uid="{DDF25EC9-10A6-4A51-A3FF-5F173DC0429C}" name="Auto Order" dataDxfId="112">
      <calculatedColumnFormula>1</calculatedColumnFormula>
    </tableColumn>
    <tableColumn id="8" xr3:uid="{8FB77B6F-1796-445F-A628-6683E80A406B}" name="Default Art. Number" dataDxfId="11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1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0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08"/>
    <tableColumn id="11" xr3:uid="{904ACEAE-3EBB-4B5A-B40F-F27BEC67197D}" name="Unit price - Digikey" dataDxfId="107"/>
    <tableColumn id="12" xr3:uid="{1C8E6FC8-F976-4331-BE85-AE9F5CCE5385}" name="Farnell" dataDxfId="106"/>
    <tableColumn id="13" xr3:uid="{9CEB0B0D-E776-4EE1-BA17-F20F36573DF1}" name="Unit price - Farnell" dataDxfId="105"/>
    <tableColumn id="14" xr3:uid="{4835AE8C-6AA4-4E3D-AA3C-47D081785B10}" name="Distrelec" dataDxfId="104"/>
    <tableColumn id="15" xr3:uid="{CFC19F72-EB6A-4DA4-8140-6E03AC8C87E2}" name="Unit price - Distrelec" dataDxfId="103"/>
    <tableColumn id="16" xr3:uid="{440F2FEC-A527-4DB9-8F02-E02C455DD168}" name="Conrad" dataDxfId="102"/>
    <tableColumn id="17" xr3:uid="{C15F9ED7-FCDD-4ED8-8193-766AD4AACE12}" name="Unit price - Conrad" dataDxfId="101"/>
    <tableColumn id="18" xr3:uid="{E8BE4F49-80E3-4D58-8712-2588048DD5B2}" name="Mouser" dataDxfId="100"/>
    <tableColumn id="19" xr3:uid="{71B82CF1-AA7C-485A-B22F-DFCA002E3E0B}" name="Unit price - Mouser" dataDxfId="99"/>
    <tableColumn id="20" xr3:uid="{B372D927-D0BD-4305-A32A-0C014ACEEBAB}" name="Aliexpress" dataDxfId="98"/>
    <tableColumn id="21" xr3:uid="{56A9B167-940C-4D6B-8B5D-F91623F90BD6}" name="Unit price - Aliexpress" dataDxfId="97"/>
    <tableColumn id="22" xr3:uid="{2E67C835-F42C-4886-A3E6-A86A66CF03DE}" name="Banggood" dataDxfId="96"/>
    <tableColumn id="23" xr3:uid="{96EE1B48-7059-4798-A1ED-B830DB9D7D70}" name="Unit price - Banggood" dataDxfId="95"/>
    <tableColumn id="24" xr3:uid="{DFC2A0A6-4951-479C-8775-526D9FDB26B4}" name="Other" dataDxfId="94"/>
    <tableColumn id="25" xr3:uid="{09619815-DA2C-43CD-A998-2BAAC30ACE14}" name="Unit price - Other" dataDxfId="93"/>
    <tableColumn id="26" xr3:uid="{CBAAFE5B-29D9-4E86-8241-3FA6E46052BB}" name="In next order" dataDxfId="9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1" dataDxfId="89" headerRowBorderDxfId="9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8"/>
    <tableColumn id="2" xr3:uid="{868F71A1-EA8D-4FE4-9E10-4FA4EE5293B1}" name="Man. Number" dataDxfId="87"/>
    <tableColumn id="3" xr3:uid="{2BE62D1D-359E-4098-A703-65FA8EB2A2EB}" name="Manufacturer" dataDxfId="86"/>
    <tableColumn id="4" xr3:uid="{AEC8A4D9-9242-49C2-8841-3FA0C13E4BF7}" name="Retailer" dataDxfId="85"/>
    <tableColumn id="5" xr3:uid="{727086BC-BBF9-470F-8005-62D7E303CEAD}" name="Description" dataDxfId="84"/>
    <tableColumn id="7" xr3:uid="{38960764-2FF5-4AE8-BD63-75EC1C594716}" name="Unit pric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82" dataDxfId="80" headerRowBorderDxfId="81" tableBorderDxfId="7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78" totalsRowDxfId="77"/>
    <tableColumn id="1" xr3:uid="{B10D53AF-03D1-4287-B98C-B2EBD99019D4}" name="Ret. Art. Number" dataDxfId="76" totalsRowDxfId="75"/>
    <tableColumn id="3" xr3:uid="{4C487402-2AAB-4AF3-BE67-7394C36C842C}" name="Manufacturer" dataDxfId="74" totalsRowDxfId="73"/>
    <tableColumn id="4" xr3:uid="{8EC0DC8E-76AD-4B9F-83B7-1A0DD14BB27F}" name="Retailer" dataDxfId="72" totalsRowDxfId="71"/>
    <tableColumn id="5" xr3:uid="{F034F88F-58E3-461F-AA98-A329A317450C}" name="Place" dataDxfId="70" totalsRowDxfId="69"/>
    <tableColumn id="6" xr3:uid="{270626A5-5AC9-4B4B-BFA1-CB61FB278FF7}" name="Description" dataDxfId="68" totalsRowDxfId="67"/>
    <tableColumn id="7" xr3:uid="{6AED47F2-55E6-446F-831B-A118A7B0B1ED}" name="In stock" dataDxfId="66" totalsRowDxfId="65"/>
    <tableColumn id="8" xr3:uid="{AC92F839-E54E-493C-ABE5-5E0757E61859}" name="Min Stock" dataDxfId="64" totalsRowDxfId="63"/>
    <tableColumn id="11" xr3:uid="{FA19872E-A366-497E-9D69-828A97ECF042}" name="Unit price" dataDxfId="62" totalsRowDxfId="61"/>
    <tableColumn id="13" xr3:uid="{EA825846-8448-46C3-B6A4-847B2F364E4E}" name="Quantity" dataDxfId="60" totalsRowDxfId="5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58" totalsRowDxfId="57">
      <calculatedColumnFormula>Table8[[#This Row],[Quantity]]*Table8[[#This Row],[Unit price]]</calculatedColumnFormula>
    </tableColumn>
    <tableColumn id="9" xr3:uid="{CF148814-A309-4554-8503-283AD3C9BC12}" name="Bulk Add : Quantity" dataDxfId="56" totalsRowDxfId="55">
      <calculatedColumnFormula>Table8[[#This Row],[Quantity]]</calculatedColumnFormula>
    </tableColumn>
    <tableColumn id="10" xr3:uid="{B113FB1E-B792-4B87-9210-09F62D33E8F1}" name="Bulk Add : Product Number" dataDxfId="54" totalsRowDxfId="5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15" totalsRowShown="0" headerRowDxfId="23" dataDxfId="21" headerRowBorderDxfId="22">
  <autoFilter ref="A1:H15" xr:uid="{06E2CB8E-61AB-472E-BCF2-E6E1E6F7BC5B}"/>
  <tableColumns count="8">
    <tableColumn id="2" xr3:uid="{E1B3591E-7FDF-432B-8B47-D1874E0B26F5}" name="Man. Number" dataDxfId="20"/>
    <tableColumn id="5" xr3:uid="{EE74CBB7-B4AE-4E4F-A276-4111D2262064}" name="Description" dataDxfId="1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8"/>
    <tableColumn id="8" xr3:uid="{C50EC552-0304-4799-AAF5-38B8D35A381E}" name="Quantity" dataDxfId="17"/>
    <tableColumn id="6" xr3:uid="{F740468C-0E09-4D56-BD5D-693ECC8337EF}" name="In stock" dataDxfId="1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5">
      <calculatedColumnFormula>IF(Table146810[[#This Row],[In stock]] &gt;= Table146810[[#This Row],[Quantity]],"YES","NO")</calculatedColumnFormula>
    </tableColumn>
    <tableColumn id="3" xr3:uid="{4A6F19BB-BD74-4582-AA81-751983BFF844}" name="Total quantity" dataDxfId="14">
      <calculatedColumnFormula>Table146810[[#This Row],[Quantity]]*$K$1</calculatedColumnFormula>
    </tableColumn>
    <tableColumn id="4" xr3:uid="{562176AD-2473-43BF-B998-A5B71A21527C}" name="Total available" dataDxfId="1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38" priority="6"/>
  </conditionalFormatting>
  <conditionalFormatting sqref="B41">
    <cfRule type="duplicateValues" dxfId="137" priority="5"/>
  </conditionalFormatting>
  <conditionalFormatting sqref="B42">
    <cfRule type="duplicateValues" dxfId="136" priority="4"/>
  </conditionalFormatting>
  <conditionalFormatting sqref="B43">
    <cfRule type="duplicateValues" dxfId="135" priority="3"/>
  </conditionalFormatting>
  <conditionalFormatting sqref="B44">
    <cfRule type="duplicateValues" dxfId="134" priority="2"/>
  </conditionalFormatting>
  <conditionalFormatting sqref="B45">
    <cfRule type="duplicateValues" dxfId="1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581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zoomScaleNormal="100" workbookViewId="0">
      <pane ySplit="1" topLeftCell="A2" activePane="bottomLeft" state="frozen"/>
      <selection activeCell="F1" sqref="F1"/>
      <selection pane="bottomLeft" activeCell="E23" sqref="E23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5" priority="59" operator="equal">
      <formula>1</formula>
    </cfRule>
  </conditionalFormatting>
  <conditionalFormatting sqref="A2:A1048576">
    <cfRule type="duplicateValues" dxfId="124" priority="2"/>
  </conditionalFormatting>
  <conditionalFormatting sqref="F2:F1048576">
    <cfRule type="containsBlanks" priority="8" stopIfTrue="1">
      <formula>LEN(TRIM(F2))=0</formula>
    </cfRule>
    <cfRule type="cellIs" dxfId="123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15"/>
  <sheetViews>
    <sheetView tabSelected="1" workbookViewId="0">
      <pane ySplit="1" topLeftCell="A2" activePane="bottomLeft" state="frozen"/>
      <selection pane="bottomLeft" activeCell="M17" sqref="M1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C3" s="4" t="s">
        <v>584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C4" s="4" t="s">
        <v>585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C6" s="4" t="s">
        <v>297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C7" s="4" t="s">
        <v>316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C8" s="4" t="s">
        <v>292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C9" s="4" t="s">
        <v>299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  <row r="10" spans="1:11" x14ac:dyDescent="0.25">
      <c r="A10" s="3" t="s">
        <v>242</v>
      </c>
      <c r="B10" s="48" t="str">
        <f>VLOOKUP(Table146810[[#This Row],[Man. Number]],Articles!A:F,COLUMN(Articles!$D$1)-COLUMN(Articles!$A$1)+1,FALSE)</f>
        <v>CAP CER 4.7UF 25V X7R 1206</v>
      </c>
      <c r="C10" s="4" t="s">
        <v>583</v>
      </c>
      <c r="D10" s="4">
        <v>1</v>
      </c>
      <c r="E10" s="4">
        <f>VLOOKUP(Table146810[[#This Row],[Man. Number]],Articles!A:F,COLUMN(Articles!$F$1)-COLUMN(Articles!$A$1)+1,FALSE)</f>
        <v>17</v>
      </c>
      <c r="F10" s="48" t="str">
        <f>IF(Table146810[[#This Row],[In stock]] &gt;= Table146810[[#This Row],[Quantity]],"YES","NO")</f>
        <v>YES</v>
      </c>
      <c r="G10" s="48">
        <f>Table146810[[#This Row],[Quantity]]*$K$1</f>
        <v>1</v>
      </c>
      <c r="H10" s="48" t="str">
        <f>IF(Table146810[[#This Row],[In stock]] &gt;= Table146810[[#This Row],[Total quantity]],"YES","NO")</f>
        <v>YES</v>
      </c>
    </row>
    <row r="11" spans="1:11" x14ac:dyDescent="0.25">
      <c r="A11" s="3" t="s">
        <v>14</v>
      </c>
      <c r="B11" s="48" t="str">
        <f>VLOOKUP(Table146810[[#This Row],[Man. Number]],Articles!A:F,COLUMN(Articles!$D$1)-COLUMN(Articles!$A$1)+1,FALSE)</f>
        <v>Condensateur électrolytique, 10 µF, 35 V, Série MCGPR, ± 20%, À sorties radiales, 5 mm</v>
      </c>
      <c r="C11" s="4" t="s">
        <v>295</v>
      </c>
      <c r="D11" s="4">
        <v>1</v>
      </c>
      <c r="E11" s="4">
        <f>VLOOKUP(Table146810[[#This Row],[Man. Number]],Articles!A:F,COLUMN(Articles!$F$1)-COLUMN(Articles!$A$1)+1,FALSE)</f>
        <v>49</v>
      </c>
      <c r="F11" s="48" t="str">
        <f>IF(Table146810[[#This Row],[In stock]] &gt;= Table146810[[#This Row],[Quantity]],"YES","NO")</f>
        <v>YES</v>
      </c>
      <c r="G11" s="48">
        <f>Table146810[[#This Row],[Quantity]]*$K$1</f>
        <v>1</v>
      </c>
      <c r="H11" s="48" t="str">
        <f>IF(Table146810[[#This Row],[In stock]] &gt;= Table146810[[#This Row],[Total quantity]],"YES","NO")</f>
        <v>YES</v>
      </c>
    </row>
    <row r="12" spans="1:11" x14ac:dyDescent="0.25">
      <c r="A12" s="3" t="s">
        <v>36</v>
      </c>
      <c r="B12" s="48" t="str">
        <f>VLOOKUP(Table146810[[#This Row],[Man. Number]],Articles!A:F,COLUMN(Articles!$D$1)-COLUMN(Articles!$A$1)+1,FALSE)</f>
        <v>Condensateur céramique multicouche CMS, 1206 [3216 Metric], 0.1 µF, 25 V, ± 10%, X7R</v>
      </c>
      <c r="C12" s="4" t="s">
        <v>582</v>
      </c>
      <c r="D12" s="4">
        <v>2</v>
      </c>
      <c r="E12" s="4">
        <f>VLOOKUP(Table146810[[#This Row],[Man. Number]],Articles!A:F,COLUMN(Articles!$F$1)-COLUMN(Articles!$A$1)+1,FALSE)</f>
        <v>92</v>
      </c>
      <c r="F12" s="48" t="str">
        <f>IF(Table146810[[#This Row],[In stock]] &gt;= Table146810[[#This Row],[Quantity]],"YES","NO")</f>
        <v>YES</v>
      </c>
      <c r="G12" s="48">
        <f>Table146810[[#This Row],[Quantity]]*$K$1</f>
        <v>2</v>
      </c>
      <c r="H12" s="48" t="str">
        <f>IF(Table146810[[#This Row],[In stock]] &gt;= Table146810[[#This Row],[Total quantity]],"YES","NO")</f>
        <v>YES</v>
      </c>
    </row>
    <row r="13" spans="1:11" x14ac:dyDescent="0.25">
      <c r="A13" s="3" t="s">
        <v>61</v>
      </c>
      <c r="B13" s="48" t="str">
        <f>VLOOKUP(Table146810[[#This Row],[Man. Number]],Articles!A:F,COLUMN(Articles!$D$1)-COLUMN(Articles!$A$1)+1,FALSE)</f>
        <v>Résistance à puce CMS, Couche épaisse, 1 Mohm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9</v>
      </c>
      <c r="F13" s="48" t="str">
        <f>IF(Table146810[[#This Row],[In stock]] &gt;= Table146810[[#This Row],[Quantity]],"YES","NO")</f>
        <v>YES</v>
      </c>
      <c r="G13" s="48">
        <f>Table146810[[#This Row],[Quantity]]*$K$1</f>
        <v>1</v>
      </c>
      <c r="H13" s="48" t="str">
        <f>IF(Table146810[[#This Row],[In stock]] &gt;= Table146810[[#This Row],[Total quantity]],"YES","NO")</f>
        <v>YES</v>
      </c>
    </row>
    <row r="14" spans="1:11" x14ac:dyDescent="0.25">
      <c r="A14" s="3" t="s">
        <v>321</v>
      </c>
      <c r="B14" s="48" t="str">
        <f>VLOOKUP(Table146810[[#This Row],[Man. Number]],Articles!A:F,COLUMN(Articles!$D$1)-COLUMN(Articles!$A$1)+1,FALSE)</f>
        <v>Résistance SMD 1k OHM 0805</v>
      </c>
      <c r="C14" s="4" t="s">
        <v>586</v>
      </c>
      <c r="D14" s="4">
        <v>5</v>
      </c>
      <c r="E14" s="4">
        <f>VLOOKUP(Table146810[[#This Row],[Man. Number]],Articles!A:F,COLUMN(Articles!$F$1)-COLUMN(Articles!$A$1)+1,FALSE)</f>
        <v>5</v>
      </c>
      <c r="F14" s="48" t="str">
        <f>IF(Table146810[[#This Row],[In stock]] &gt;= Table146810[[#This Row],[Quantity]],"YES","NO")</f>
        <v>YES</v>
      </c>
      <c r="G14" s="48">
        <f>Table146810[[#This Row],[Quantity]]*$K$1</f>
        <v>5</v>
      </c>
      <c r="H14" s="48" t="str">
        <f>IF(Table146810[[#This Row],[In stock]] &gt;= Table146810[[#This Row],[Total quantity]],"YES","NO")</f>
        <v>YES</v>
      </c>
    </row>
    <row r="15" spans="1:11" x14ac:dyDescent="0.25">
      <c r="A15" s="3" t="s">
        <v>126</v>
      </c>
      <c r="B15" s="48" t="str">
        <f>VLOOKUP(Table146810[[#This Row],[Man. Number]],Articles!A:F,COLUMN(Articles!$D$1)-COLUMN(Articles!$A$1)+1,FALSE)</f>
        <v>Réseau de transistors bipolaires, Darlington, NPN, 50 V, 350 mA</v>
      </c>
      <c r="C15" s="4" t="s">
        <v>313</v>
      </c>
      <c r="D15" s="4">
        <v>1</v>
      </c>
      <c r="E15" s="4">
        <f>VLOOKUP(Table146810[[#This Row],[Man. Number]],Articles!A:F,COLUMN(Articles!$F$1)-COLUMN(Articles!$A$1)+1,FALSE)</f>
        <v>5</v>
      </c>
      <c r="F15" s="48" t="str">
        <f>IF(Table146810[[#This Row],[In stock]] &gt;= Table146810[[#This Row],[Quantity]],"YES","NO")</f>
        <v>YES</v>
      </c>
      <c r="G15" s="48">
        <f>Table146810[[#This Row],[Quantity]]*$K$1</f>
        <v>1</v>
      </c>
      <c r="H15" s="48" t="str">
        <f>IF(Table146810[[#This Row],[In stock]] &gt;= Table146810[[#This Row],[Total quantity]],"YES","NO")</f>
        <v>YES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2019-04-22T15:26:33Z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