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D73FBB94-CC2A-4D0F-A050-5EDD49913F43}" xr6:coauthVersionLast="41" xr6:coauthVersionMax="43" xr10:uidLastSave="{00000000-0000-0000-0000-000000000000}"/>
  <bookViews>
    <workbookView xWindow="-120" yWindow="-120" windowWidth="29040" windowHeight="15990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r:id="rId6"/>
    <sheet name="LampeSolaire_v4" sheetId="3" state="hidden" r:id="rId7"/>
    <sheet name="TempoMetter_v1" sheetId="8" state="hidden" r:id="rId8"/>
    <sheet name="USB_Tool_v4" sheetId="22" r:id="rId9"/>
    <sheet name="USB_Tool_v1" sheetId="16" r:id="rId10"/>
    <sheet name="ProductTemplate" sheetId="14" r:id="rId11"/>
    <sheet name="ProductConfig" sheetId="9" r:id="rId12"/>
    <sheet name="OrderAdder" sheetId="11" r:id="rId13"/>
    <sheet name="OrderAdder_work" sheetId="13" r:id="rId14"/>
  </sheets>
  <externalReferences>
    <externalReference r:id="rId15"/>
  </externalReferences>
  <definedNames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LampeSolaire_v6!$A$1:$E$42</definedName>
    <definedName name="_xlnm._FilterDatabase" localSheetId="2" hidden="1">Order!$A$1:$L$3</definedName>
    <definedName name="_xlnm._FilterDatabase" localSheetId="10" hidden="1">ProductTemplate!$A$1:$E$2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USB_Tool_v4!$A$1:$E$37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21" l="1"/>
  <c r="E42" i="21"/>
  <c r="F42" i="21" s="1"/>
  <c r="G42" i="21"/>
  <c r="H42" i="21"/>
  <c r="I1057" i="19"/>
  <c r="J1057" i="19"/>
  <c r="K1057" i="19"/>
  <c r="AC1057" i="19"/>
  <c r="I42" i="21" l="1"/>
  <c r="B37" i="22"/>
  <c r="E37" i="22"/>
  <c r="F37" i="22" s="1"/>
  <c r="H37" i="22"/>
  <c r="B36" i="22"/>
  <c r="E36" i="22"/>
  <c r="F36" i="22" s="1"/>
  <c r="H36" i="22"/>
  <c r="H35" i="22"/>
  <c r="E35" i="22"/>
  <c r="I35" i="22" s="1"/>
  <c r="B35" i="22"/>
  <c r="H34" i="22"/>
  <c r="E34" i="22"/>
  <c r="F34" i="22" s="1"/>
  <c r="B34" i="22"/>
  <c r="H33" i="22"/>
  <c r="E33" i="22"/>
  <c r="F33" i="22" s="1"/>
  <c r="B33" i="22"/>
  <c r="H32" i="22"/>
  <c r="E32" i="22"/>
  <c r="I32" i="22" s="1"/>
  <c r="B32" i="22"/>
  <c r="H31" i="22"/>
  <c r="E31" i="22"/>
  <c r="B31" i="22"/>
  <c r="H30" i="22"/>
  <c r="E30" i="22"/>
  <c r="F30" i="22" s="1"/>
  <c r="B30" i="22"/>
  <c r="H29" i="22"/>
  <c r="E29" i="22"/>
  <c r="F29" i="22" s="1"/>
  <c r="B29" i="22"/>
  <c r="H28" i="22"/>
  <c r="E28" i="22"/>
  <c r="I28" i="22" s="1"/>
  <c r="B28" i="22"/>
  <c r="H27" i="22"/>
  <c r="E27" i="22"/>
  <c r="B27" i="22"/>
  <c r="H26" i="22"/>
  <c r="E26" i="22"/>
  <c r="F26" i="22" s="1"/>
  <c r="B26" i="22"/>
  <c r="H25" i="22"/>
  <c r="E25" i="22"/>
  <c r="F25" i="22" s="1"/>
  <c r="B25" i="22"/>
  <c r="H24" i="22"/>
  <c r="E24" i="22"/>
  <c r="I24" i="22" s="1"/>
  <c r="B24" i="22"/>
  <c r="H23" i="22"/>
  <c r="E23" i="22"/>
  <c r="F23" i="22" s="1"/>
  <c r="B23" i="22"/>
  <c r="H22" i="22"/>
  <c r="E22" i="22"/>
  <c r="F22" i="22" s="1"/>
  <c r="B22" i="22"/>
  <c r="H21" i="22"/>
  <c r="E21" i="22"/>
  <c r="F21" i="22" s="1"/>
  <c r="B21" i="22"/>
  <c r="H20" i="22"/>
  <c r="E20" i="22"/>
  <c r="I20" i="22" s="1"/>
  <c r="B20" i="22"/>
  <c r="H19" i="22"/>
  <c r="E19" i="22"/>
  <c r="F19" i="22" s="1"/>
  <c r="B19" i="22"/>
  <c r="H18" i="22"/>
  <c r="E18" i="22"/>
  <c r="F18" i="22" s="1"/>
  <c r="B18" i="22"/>
  <c r="H17" i="22"/>
  <c r="E17" i="22"/>
  <c r="F17" i="22" s="1"/>
  <c r="B17" i="22"/>
  <c r="H16" i="22"/>
  <c r="E16" i="22"/>
  <c r="B16" i="22"/>
  <c r="H15" i="22"/>
  <c r="E15" i="22"/>
  <c r="F15" i="22" s="1"/>
  <c r="B15" i="22"/>
  <c r="H14" i="22"/>
  <c r="E14" i="22"/>
  <c r="F14" i="22" s="1"/>
  <c r="B14" i="22"/>
  <c r="H13" i="22"/>
  <c r="E13" i="22"/>
  <c r="F13" i="22" s="1"/>
  <c r="B13" i="22"/>
  <c r="H12" i="22"/>
  <c r="E12" i="22"/>
  <c r="I12" i="22" s="1"/>
  <c r="B12" i="22"/>
  <c r="H11" i="22"/>
  <c r="E11" i="22"/>
  <c r="F11" i="22" s="1"/>
  <c r="D11" i="22"/>
  <c r="B11" i="22"/>
  <c r="H10" i="22"/>
  <c r="E10" i="22"/>
  <c r="I10" i="22" s="1"/>
  <c r="B10" i="22"/>
  <c r="H9" i="22"/>
  <c r="E9" i="22"/>
  <c r="B9" i="22"/>
  <c r="H8" i="22"/>
  <c r="E8" i="22"/>
  <c r="F8" i="22" s="1"/>
  <c r="B8" i="22"/>
  <c r="H7" i="22"/>
  <c r="E7" i="22"/>
  <c r="F7" i="22" s="1"/>
  <c r="B7" i="22"/>
  <c r="H6" i="22"/>
  <c r="E6" i="22"/>
  <c r="B6" i="22"/>
  <c r="H5" i="22"/>
  <c r="E5" i="22"/>
  <c r="I5" i="22" s="1"/>
  <c r="B5" i="22"/>
  <c r="H4" i="22"/>
  <c r="E4" i="22"/>
  <c r="F4" i="22" s="1"/>
  <c r="B4" i="22"/>
  <c r="H3" i="22"/>
  <c r="G3" i="22"/>
  <c r="E3" i="22"/>
  <c r="F3" i="22" s="1"/>
  <c r="B3" i="22"/>
  <c r="H2" i="22"/>
  <c r="E2" i="22"/>
  <c r="B2" i="22"/>
  <c r="J1055" i="19"/>
  <c r="G37" i="22" s="1"/>
  <c r="I1056" i="19"/>
  <c r="J1056" i="19"/>
  <c r="K1056" i="19"/>
  <c r="AC1056" i="19"/>
  <c r="I1055" i="19"/>
  <c r="K1055" i="19"/>
  <c r="AC1055" i="19"/>
  <c r="I1054" i="19"/>
  <c r="J1054" i="19"/>
  <c r="G36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K1048" i="19"/>
  <c r="AC1048" i="19"/>
  <c r="I4" i="22" l="1"/>
  <c r="I18" i="22"/>
  <c r="I37" i="22"/>
  <c r="I11" i="22"/>
  <c r="I36" i="22"/>
  <c r="F5" i="22"/>
  <c r="I8" i="22"/>
  <c r="I15" i="22"/>
  <c r="I30" i="22"/>
  <c r="I2" i="22"/>
  <c r="I9" i="22"/>
  <c r="I27" i="22"/>
  <c r="I34" i="22"/>
  <c r="I7" i="22"/>
  <c r="F9" i="22"/>
  <c r="I16" i="22"/>
  <c r="I19" i="22"/>
  <c r="I31" i="22"/>
  <c r="I6" i="22"/>
  <c r="I14" i="22"/>
  <c r="I23" i="22"/>
  <c r="I3" i="22"/>
  <c r="I22" i="22"/>
  <c r="I26" i="22"/>
  <c r="F12" i="22"/>
  <c r="F16" i="22"/>
  <c r="F20" i="22"/>
  <c r="F24" i="22"/>
  <c r="F28" i="22"/>
  <c r="F32" i="22"/>
  <c r="I13" i="22"/>
  <c r="I17" i="22"/>
  <c r="I21" i="22"/>
  <c r="I25" i="22"/>
  <c r="I29" i="22"/>
  <c r="I33" i="22"/>
  <c r="F27" i="22"/>
  <c r="F31" i="22"/>
  <c r="F35" i="22"/>
  <c r="F2" i="22"/>
  <c r="F6" i="22"/>
  <c r="F10" i="22"/>
  <c r="I198" i="19"/>
  <c r="J198" i="19"/>
  <c r="K198" i="19"/>
  <c r="AC198" i="19"/>
  <c r="J3" i="15"/>
  <c r="K3" i="15" s="1"/>
  <c r="J2" i="15"/>
  <c r="K2" i="15" s="1"/>
  <c r="I118" i="19"/>
  <c r="J118" i="19"/>
  <c r="K118" i="19"/>
  <c r="AC118" i="19"/>
  <c r="D35" i="21"/>
  <c r="D32" i="21"/>
  <c r="D34" i="21" l="1"/>
  <c r="B29" i="21"/>
  <c r="E29" i="21"/>
  <c r="F29" i="21" s="1"/>
  <c r="H29" i="21"/>
  <c r="I196" i="19"/>
  <c r="J196" i="19"/>
  <c r="K196" i="19"/>
  <c r="AC196" i="19"/>
  <c r="I195" i="19"/>
  <c r="J195" i="19"/>
  <c r="K195" i="19"/>
  <c r="AC195" i="19"/>
  <c r="H39" i="21"/>
  <c r="E39" i="21"/>
  <c r="F39" i="21" s="1"/>
  <c r="B39" i="21"/>
  <c r="H37" i="21"/>
  <c r="E37" i="21"/>
  <c r="F37" i="21" s="1"/>
  <c r="B37" i="21"/>
  <c r="H36" i="21"/>
  <c r="E36" i="21"/>
  <c r="B36" i="21"/>
  <c r="H41" i="21"/>
  <c r="E41" i="21"/>
  <c r="B41" i="21"/>
  <c r="H40" i="21"/>
  <c r="E40" i="21"/>
  <c r="F40" i="21" s="1"/>
  <c r="B40" i="21"/>
  <c r="H38" i="21"/>
  <c r="E38" i="21"/>
  <c r="F38" i="21" s="1"/>
  <c r="B38" i="21"/>
  <c r="E34" i="21"/>
  <c r="H34" i="21"/>
  <c r="B34" i="21"/>
  <c r="E33" i="21"/>
  <c r="D33" i="21"/>
  <c r="B33" i="21"/>
  <c r="H32" i="21"/>
  <c r="E32" i="21"/>
  <c r="B32" i="21"/>
  <c r="H31" i="21"/>
  <c r="E31" i="21"/>
  <c r="F31" i="21" s="1"/>
  <c r="B31" i="21"/>
  <c r="H30" i="21"/>
  <c r="E30" i="21"/>
  <c r="F30" i="21" s="1"/>
  <c r="B30" i="21"/>
  <c r="H28" i="21"/>
  <c r="E28" i="21"/>
  <c r="F28" i="21" s="1"/>
  <c r="B28" i="21"/>
  <c r="H27" i="21"/>
  <c r="E27" i="21"/>
  <c r="B27" i="21"/>
  <c r="H26" i="21"/>
  <c r="E26" i="21"/>
  <c r="F26" i="21" s="1"/>
  <c r="B26" i="21"/>
  <c r="H25" i="21"/>
  <c r="E25" i="21"/>
  <c r="F25" i="21" s="1"/>
  <c r="B25" i="21"/>
  <c r="H24" i="21"/>
  <c r="E24" i="21"/>
  <c r="B24" i="21"/>
  <c r="H23" i="21"/>
  <c r="E23" i="21"/>
  <c r="F23" i="21" s="1"/>
  <c r="B23" i="21"/>
  <c r="H22" i="21"/>
  <c r="E22" i="21"/>
  <c r="B22" i="21"/>
  <c r="H21" i="21"/>
  <c r="E21" i="21"/>
  <c r="F21" i="21" s="1"/>
  <c r="B21" i="21"/>
  <c r="H20" i="21"/>
  <c r="E20" i="21"/>
  <c r="B20" i="21"/>
  <c r="H19" i="21"/>
  <c r="E19" i="21"/>
  <c r="F19" i="21" s="1"/>
  <c r="B19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5" i="21"/>
  <c r="E15" i="21"/>
  <c r="F15" i="21" s="1"/>
  <c r="B15" i="21"/>
  <c r="H13" i="21"/>
  <c r="E13" i="21"/>
  <c r="F13" i="21" s="1"/>
  <c r="B13" i="21"/>
  <c r="H14" i="21"/>
  <c r="E14" i="21"/>
  <c r="F14" i="21" s="1"/>
  <c r="B14" i="21"/>
  <c r="H12" i="21"/>
  <c r="E12" i="21"/>
  <c r="F12" i="21" s="1"/>
  <c r="B12" i="21"/>
  <c r="H11" i="21"/>
  <c r="E11" i="21"/>
  <c r="F11" i="21" s="1"/>
  <c r="B11" i="21"/>
  <c r="H10" i="21"/>
  <c r="E10" i="21"/>
  <c r="F10" i="21" s="1"/>
  <c r="B10" i="21"/>
  <c r="H9" i="21"/>
  <c r="E9" i="2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5" i="21"/>
  <c r="E5" i="21"/>
  <c r="F5" i="21" s="1"/>
  <c r="B5" i="21"/>
  <c r="H4" i="21"/>
  <c r="E4" i="21"/>
  <c r="F4" i="21" s="1"/>
  <c r="B4" i="21"/>
  <c r="H3" i="21"/>
  <c r="E3" i="21"/>
  <c r="B3" i="21"/>
  <c r="H35" i="21"/>
  <c r="E35" i="21"/>
  <c r="B35" i="21"/>
  <c r="H2" i="21"/>
  <c r="E2" i="21"/>
  <c r="F2" i="21" s="1"/>
  <c r="B2" i="21"/>
  <c r="F33" i="21" l="1"/>
  <c r="I29" i="21"/>
  <c r="I36" i="21"/>
  <c r="I22" i="21"/>
  <c r="I25" i="21"/>
  <c r="I32" i="21"/>
  <c r="I14" i="21"/>
  <c r="I38" i="21"/>
  <c r="I30" i="21"/>
  <c r="H33" i="21"/>
  <c r="I33" i="21" s="1"/>
  <c r="F22" i="21"/>
  <c r="I24" i="21"/>
  <c r="I34" i="21"/>
  <c r="F36" i="21"/>
  <c r="I16" i="21"/>
  <c r="I12" i="21"/>
  <c r="I9" i="21"/>
  <c r="I20" i="21"/>
  <c r="I21" i="21"/>
  <c r="I27" i="21"/>
  <c r="I28" i="21"/>
  <c r="I35" i="21"/>
  <c r="I7" i="21"/>
  <c r="I41" i="21"/>
  <c r="I6" i="21"/>
  <c r="I3" i="21"/>
  <c r="I17" i="21"/>
  <c r="I37" i="21"/>
  <c r="I11" i="21"/>
  <c r="I15" i="21"/>
  <c r="I19" i="21"/>
  <c r="I23" i="21"/>
  <c r="I26" i="21"/>
  <c r="I31" i="21"/>
  <c r="I40" i="21"/>
  <c r="I39" i="21"/>
  <c r="I5" i="21"/>
  <c r="F3" i="21"/>
  <c r="F9" i="21"/>
  <c r="F34" i="21"/>
  <c r="I4" i="21"/>
  <c r="I8" i="21"/>
  <c r="I13" i="21"/>
  <c r="I18" i="21"/>
  <c r="I10" i="21"/>
  <c r="F35" i="21"/>
  <c r="F20" i="21"/>
  <c r="F24" i="21"/>
  <c r="F27" i="21"/>
  <c r="F32" i="21"/>
  <c r="F41" i="21"/>
  <c r="I2" i="21"/>
  <c r="I996" i="19"/>
  <c r="J996" i="19"/>
  <c r="K996" i="19"/>
  <c r="AC996" i="19"/>
  <c r="I979" i="19"/>
  <c r="J979" i="19"/>
  <c r="G29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G13" i="2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52" i="19"/>
  <c r="AC252" i="19" s="1"/>
  <c r="I252" i="19"/>
  <c r="J252" i="19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G40" i="21" l="1"/>
  <c r="G34" i="22"/>
  <c r="G20" i="16"/>
  <c r="G20" i="22"/>
  <c r="G37" i="21"/>
  <c r="G29" i="22"/>
  <c r="G31" i="16"/>
  <c r="G31" i="22"/>
  <c r="G17" i="16"/>
  <c r="G17" i="22"/>
  <c r="G12" i="16"/>
  <c r="G12" i="22"/>
  <c r="G6" i="16"/>
  <c r="G6" i="22"/>
  <c r="G13" i="16"/>
  <c r="G13" i="22"/>
  <c r="G32" i="16"/>
  <c r="G32" i="22"/>
  <c r="G5" i="16"/>
  <c r="G5" i="22"/>
  <c r="G19" i="16"/>
  <c r="G19" i="22"/>
  <c r="G16" i="16"/>
  <c r="G16" i="22"/>
  <c r="G27" i="16"/>
  <c r="G27" i="22"/>
  <c r="G8" i="16"/>
  <c r="G8" i="22"/>
  <c r="G2" i="16"/>
  <c r="G2" i="22"/>
  <c r="G18" i="16"/>
  <c r="G18" i="22"/>
  <c r="G41" i="21"/>
  <c r="G33" i="22"/>
  <c r="G36" i="21"/>
  <c r="G30" i="22"/>
  <c r="G28" i="16"/>
  <c r="G28" i="22"/>
  <c r="G25" i="20"/>
  <c r="G18" i="21"/>
  <c r="G34" i="20"/>
  <c r="G14" i="21"/>
  <c r="G36" i="20"/>
  <c r="G19" i="21"/>
  <c r="G35" i="20"/>
  <c r="G15" i="21"/>
  <c r="G30" i="20"/>
  <c r="G17" i="21"/>
  <c r="G15" i="20"/>
  <c r="G38" i="21"/>
  <c r="G32" i="20"/>
  <c r="G30" i="21"/>
  <c r="G23" i="20"/>
  <c r="G31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3" i="21" s="1"/>
  <c r="J1012" i="19"/>
  <c r="G4" i="21" s="1"/>
  <c r="J990" i="19"/>
  <c r="J40" i="19"/>
  <c r="G39" i="21" s="1"/>
  <c r="J980" i="19"/>
  <c r="J33" i="19"/>
  <c r="J58" i="19"/>
  <c r="G7" i="22" s="1"/>
  <c r="J984" i="19"/>
  <c r="G6" i="21" s="1"/>
  <c r="J985" i="19"/>
  <c r="G5" i="21" s="1"/>
  <c r="J1044" i="19"/>
  <c r="J11" i="19"/>
  <c r="J4" i="19"/>
  <c r="G32" i="21" s="1"/>
  <c r="J31" i="19"/>
  <c r="J19" i="19"/>
  <c r="J20" i="19"/>
  <c r="J25" i="19"/>
  <c r="J26" i="19"/>
  <c r="J38" i="19"/>
  <c r="G35" i="21" s="1"/>
  <c r="J56" i="19"/>
  <c r="G5" i="8" s="1"/>
  <c r="J18" i="19"/>
  <c r="J1040" i="19"/>
  <c r="J1041" i="19"/>
  <c r="J1032" i="19"/>
  <c r="J10" i="19"/>
  <c r="J28" i="19"/>
  <c r="J597" i="19"/>
  <c r="J983" i="19"/>
  <c r="G5" i="3" s="1"/>
  <c r="J999" i="19"/>
  <c r="J1000" i="19"/>
  <c r="G8" i="21" s="1"/>
  <c r="J8" i="19"/>
  <c r="J981" i="19"/>
  <c r="J989" i="19"/>
  <c r="G24" i="21" s="1"/>
  <c r="J995" i="19"/>
  <c r="G23" i="21" s="1"/>
  <c r="J1002" i="19"/>
  <c r="G3" i="8" s="1"/>
  <c r="J42" i="19"/>
  <c r="J43" i="19"/>
  <c r="J17" i="19"/>
  <c r="G3" i="21" s="1"/>
  <c r="J982" i="19"/>
  <c r="J1001" i="19"/>
  <c r="G4" i="8" s="1"/>
  <c r="J1004" i="19"/>
  <c r="J15" i="19"/>
  <c r="G6" i="8" s="1"/>
  <c r="J16" i="19"/>
  <c r="J32" i="19"/>
  <c r="G9" i="21" s="1"/>
  <c r="J1036" i="19"/>
  <c r="J1039" i="19"/>
  <c r="J1043" i="19"/>
  <c r="J1033" i="19"/>
  <c r="J1034" i="19"/>
  <c r="G28" i="21" s="1"/>
  <c r="J1006" i="19"/>
  <c r="J1007" i="19"/>
  <c r="G18" i="3" s="1"/>
  <c r="J1008" i="19"/>
  <c r="J1009" i="19"/>
  <c r="G2" i="8" s="1"/>
  <c r="J1010" i="19"/>
  <c r="J1011" i="19"/>
  <c r="J3" i="19"/>
  <c r="G10" i="3" s="1"/>
  <c r="J6" i="19"/>
  <c r="J23" i="19"/>
  <c r="J24" i="19"/>
  <c r="J27" i="19"/>
  <c r="J1003" i="19"/>
  <c r="J190" i="19"/>
  <c r="J192" i="19"/>
  <c r="J193" i="19"/>
  <c r="J194" i="19"/>
  <c r="G2" i="21" s="1"/>
  <c r="J197" i="19"/>
  <c r="G10" i="21" s="1"/>
  <c r="J199" i="19"/>
  <c r="G15" i="8" s="1"/>
  <c r="J1005" i="19"/>
  <c r="J5" i="19"/>
  <c r="G20" i="21" s="1"/>
  <c r="J1045" i="19"/>
  <c r="G8" i="3" s="1"/>
  <c r="J1046" i="19"/>
  <c r="J1047" i="19"/>
  <c r="J14" i="19"/>
  <c r="J60" i="19"/>
  <c r="G14" i="8" s="1"/>
  <c r="J90" i="19"/>
  <c r="G16" i="21" s="1"/>
  <c r="J191" i="19"/>
  <c r="J201" i="19"/>
  <c r="G32" i="3" s="1"/>
  <c r="J202" i="19"/>
  <c r="G12" i="21" s="1"/>
  <c r="J203" i="19"/>
  <c r="G13" i="8" s="1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G21" i="22" s="1"/>
  <c r="J29" i="19"/>
  <c r="J1042" i="19"/>
  <c r="J596" i="19"/>
  <c r="G22" i="21" s="1"/>
  <c r="J1017" i="19"/>
  <c r="G21" i="21" s="1"/>
  <c r="J21" i="19"/>
  <c r="G27" i="3" s="1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35" i="16" l="1"/>
  <c r="G35" i="22"/>
  <c r="G11" i="21"/>
  <c r="G14" i="22"/>
  <c r="G26" i="16"/>
  <c r="G26" i="22"/>
  <c r="G11" i="16"/>
  <c r="G11" i="22"/>
  <c r="G25" i="21"/>
  <c r="G23" i="22"/>
  <c r="G25" i="16"/>
  <c r="G25" i="22"/>
  <c r="G9" i="16"/>
  <c r="G9" i="22"/>
  <c r="G26" i="21"/>
  <c r="G22" i="22"/>
  <c r="G10" i="16"/>
  <c r="G10" i="22"/>
  <c r="G24" i="16"/>
  <c r="G24" i="22"/>
  <c r="G7" i="21"/>
  <c r="G4" i="22"/>
  <c r="G15" i="16"/>
  <c r="G15" i="22"/>
  <c r="G29" i="20"/>
  <c r="G34" i="21"/>
  <c r="G14" i="20"/>
  <c r="G27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38" i="22" l="1"/>
  <c r="G43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H1005" i="19"/>
  <c r="AC1005" i="19" s="1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H56" i="19"/>
  <c r="AC56" i="19" s="1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H1042" i="19"/>
  <c r="AC1042" i="19" s="1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H989" i="19"/>
  <c r="AC989" i="19" s="1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H1040" i="19"/>
  <c r="AC1040" i="19" s="1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<sst xmlns="http://schemas.openxmlformats.org/spreadsheetml/2006/main" count="9862" uniqueCount="3560">
  <si>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</si>
  <si>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</si>
  <si>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</si>
  <si>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</si>
  <si>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</si>
  <si>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</si>
  <si>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</si>
  <si>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</si>
  <si>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</si>
  <si>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</si>
  <si>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</si>
  <si>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</si>
  <si>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</si>
  <si>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</si>
  <si>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</si>
  <si>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</si>
  <si>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</si>
  <si>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</si>
  <si>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</si>
  <si>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</si>
  <si>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</si>
  <si>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</si>
  <si>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</si>
  <si>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</si>
  <si>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</si>
  <si>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</si>
  <si>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</si>
  <si>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</si>
  <si>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</si>
  <si>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</si>
  <si>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</si>
  <si>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</si>
  <si>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</si>
  <si>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</si>
  <si>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</si>
  <si>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</si>
  <si>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</si>
  <si>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</si>
  <si>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</si>
  <si>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</si>
  <si>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</si>
  <si>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</si>
  <si>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</si>
  <si>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</si>
  <si>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</si>
  <si>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</si>
  <si>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</si>
  <si>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</si>
  <si>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</si>
  <si>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</si>
  <si>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</si>
  <si>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</si>
  <si>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</si>
  <si>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</si>
  <si>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</si>
  <si>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</si>
  <si>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</si>
  <si>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</si>
  <si>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</si>
  <si>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</si>
  <si>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</si>
  <si>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</si>
  <si>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</si>
  <si>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</si>
  <si>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</si>
  <si>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</si>
  <si>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</si>
  <si>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</si>
  <si>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</si>
  <si>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</si>
  <si>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</si>
  <si>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</si>
  <si>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</si>
  <si>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</si>
  <si>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</si>
  <si>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</si>
  <si>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</si>
  <si>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</si>
  <si>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</si>
  <si>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</si>
  <si>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</si>
  <si>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</si>
  <si>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</si>
  <si>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</si>
  <si>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</si>
  <si>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</si>
  <si>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</si>
  <si>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</si>
  <si>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</si>
  <si>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</si>
  <si>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</si>
  <si>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</si>
  <si>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</si>
  <si>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</si>
  <si>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</si>
  <si>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</si>
  <si>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</si>
  <si>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</si>
  <si>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</si>
  <si>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</si>
  <si>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</si>
  <si>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</si>
  <si>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</si>
  <si>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</si>
  <si>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</si>
  <si>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</si>
  <si>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</si>
  <si>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</si>
  <si>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</si>
  <si>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</si>
  <si>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</si>
  <si>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</si>
  <si>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</si>
  <si>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</si>
  <si>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</si>
  <si>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</si>
  <si>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</si>
  <si>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</si>
  <si>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</si>
  <si>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</si>
  <si>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</si>
  <si>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</si>
  <si>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</si>
  <si>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</si>
  <si>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</si>
  <si>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</si>
  <si>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</si>
  <si>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</si>
  <si>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</si>
  <si>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</si>
  <si>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</si>
  <si>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</si>
  <si>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</si>
  <si>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</si>
  <si>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</si>
  <si>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</si>
  <si>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</si>
  <si>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</si>
  <si>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</si>
  <si>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</si>
  <si>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</si>
  <si>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</si>
  <si>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</si>
  <si>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</si>
  <si>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</si>
  <si>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</si>
  <si>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</si>
  <si>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</si>
  <si>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</si>
  <si>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</si>
  <si>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</si>
  <si>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</si>
  <si>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</si>
  <si>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</si>
  <si>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</si>
  <si>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</si>
  <si>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</si>
  <si>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</si>
  <si>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</si>
  <si>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</si>
  <si>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</si>
  <si>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</si>
  <si>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</si>
  <si>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</si>
  <si>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</si>
  <si>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</si>
  <si>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</si>
  <si>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</si>
  <si>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</si>
  <si>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</si>
  <si>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</si>
  <si>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</si>
  <si>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</si>
  <si>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</si>
  <si>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</si>
  <si>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</si>
  <si>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</si>
  <si>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</si>
  <si>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</si>
  <si>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</si>
  <si>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</si>
  <si>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</si>
  <si>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</si>
  <si>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</si>
  <si>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</si>
  <si>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</si>
  <si>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</si>
  <si>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</si>
  <si>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</si>
  <si>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</si>
  <si>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</si>
  <si>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</si>
  <si>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</si>
  <si>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</si>
  <si>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</si>
  <si>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</si>
  <si>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</si>
  <si>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</si>
  <si>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</si>
  <si>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</si>
  <si>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</si>
  <si>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</si>
  <si>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</si>
  <si>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</si>
  <si>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</si>
  <si>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</si>
  <si>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</si>
  <si>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</si>
  <si>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</si>
  <si>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</si>
  <si>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</si>
  <si>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</si>
  <si>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</si>
  <si>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</si>
  <si>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</si>
  <si>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</si>
  <si>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</si>
  <si>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</si>
  <si>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</si>
  <si>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</si>
  <si>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</si>
  <si>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</si>
  <si>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</si>
  <si>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</si>
  <si>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</si>
  <si>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</si>
  <si>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</si>
  <si>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</si>
  <si>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</si>
  <si>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</si>
  <si>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</si>
  <si>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</si>
  <si>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</si>
  <si>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</si>
  <si>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</si>
  <si>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</si>
  <si>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</si>
  <si>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</si>
  <si>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</si>
  <si>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</si>
  <si>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</si>
  <si>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</si>
  <si>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</si>
  <si>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</si>
  <si>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</si>
  <si>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</si>
  <si>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</si>
  <si>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</si>
  <si>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</si>
  <si>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</si>
  <si>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</si>
  <si>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</si>
  <si>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</si>
  <si>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</si>
  <si>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</si>
  <si>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</si>
  <si>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</si>
  <si>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</si>
  <si>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</si>
  <si>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</si>
  <si>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</si>
  <si>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</si>
  <si>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</si>
  <si>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</si>
  <si>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</si>
  <si>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</si>
  <si>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</si>
  <si>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</si>
  <si>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</si>
  <si>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</si>
  <si>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</si>
  <si>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</si>
  <si>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</si>
  <si>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</si>
  <si>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</si>
  <si>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</si>
  <si>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</si>
  <si>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</si>
  <si>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</si>
  <si>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</si>
  <si>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</si>
  <si>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</si>
  <si>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</si>
  <si>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</si>
  <si>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</si>
  <si>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</si>
  <si>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</si>
  <si>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</si>
  <si>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</si>
  <si>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</si>
  <si>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</si>
  <si>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</si>
  <si>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</si>
  <si>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</si>
  <si>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</si>
  <si>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</si>
  <si>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</si>
  <si>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</si>
  <si>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</si>
  <si>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</si>
  <si>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</si>
  <si>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</si>
  <si>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</si>
  <si>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</si>
  <si>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</si>
  <si>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</si>
  <si>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</si>
  <si>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</si>
  <si>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</si>
  <si>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</si>
  <si>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</si>
  <si>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</si>
  <si>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</si>
  <si>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</si>
  <si>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</si>
  <si>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</si>
  <si>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</si>
  <si>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</si>
  <si>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</si>
  <si>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</si>
  <si>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</si>
  <si>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</si>
  <si>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</si>
  <si>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</si>
  <si>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</si>
  <si>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</si>
  <si>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</si>
  <si>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</si>
  <si>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</si>
  <si>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</si>
  <si>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</si>
  <si>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</si>
  <si>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</si>
  <si>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</si>
  <si>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</si>
  <si>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</si>
  <si>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</si>
  <si>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</si>
  <si>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</si>
  <si>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</si>
  <si>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</si>
  <si>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</si>
  <si>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</si>
  <si>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</si>
  <si>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</si>
  <si>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</si>
  <si>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</si>
  <si>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</si>
  <si>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</si>
  <si>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</si>
  <si>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</si>
  <si>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</si>
  <si>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</si>
  <si>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</si>
  <si>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</si>
  <si>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</si>
  <si>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</si>
  <si>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</si>
  <si>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</si>
  <si>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</si>
  <si>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</si>
  <si>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</si>
  <si>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</si>
  <si>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</si>
  <si>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</si>
  <si>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</si>
  <si>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</si>
  <si>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</si>
  <si>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</si>
  <si>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</si>
  <si>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</si>
  <si>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</si>
  <si>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</si>
  <si>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</si>
  <si>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</si>
  <si>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</si>
  <si>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</si>
  <si>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</si>
  <si>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</si>
  <si>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</si>
  <si>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</si>
  <si>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</si>
  <si>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</si>
  <si>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</si>
  <si>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</si>
  <si>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</si>
  <si>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</si>
  <si>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</si>
  <si>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</si>
  <si>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</si>
  <si>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</si>
  <si>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</si>
  <si>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</si>
  <si>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</si>
  <si>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</si>
  <si>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</si>
  <si>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</si>
  <si>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</si>
  <si>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</si>
  <si>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</si>
  <si>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</si>
  <si>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</si>
  <si>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</si>
  <si>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</si>
  <si>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</si>
  <si>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</si>
  <si>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</si>
  <si>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</si>
  <si>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</si>
  <si>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</si>
  <si>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</si>
  <si>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</si>
  <si>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</si>
  <si>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</si>
  <si>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</si>
  <si>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</si>
  <si>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</si>
  <si>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</si>
  <si>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</si>
  <si>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</si>
  <si>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</si>
  <si>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</si>
  <si>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</si>
  <si>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</si>
  <si>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</si>
  <si>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</si>
  <si>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</si>
  <si>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</si>
  <si>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</si>
  <si>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</si>
  <si>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</si>
  <si>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</si>
  <si>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</si>
  <si>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</si>
  <si>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</si>
  <si>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</si>
  <si>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</si>
  <si>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</si>
  <si>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</si>
  <si>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</si>
  <si>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</si>
  <si>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</si>
  <si>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</si>
  <si>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</si>
  <si>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</si>
  <si>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</si>
  <si>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</si>
  <si>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</si>
  <si>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</si>
  <si>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</si>
  <si>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</si>
  <si>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</si>
  <si>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</si>
  <si>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</si>
  <si>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</si>
  <si>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</si>
  <si>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</si>
  <si>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</si>
  <si>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</si>
  <si>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</si>
  <si>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</si>
  <si>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</si>
  <si>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</si>
  <si>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</si>
  <si>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</si>
  <si>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</si>
  <si>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</si>
  <si>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</si>
  <si>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</si>
  <si>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</si>
  <si>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</si>
  <si>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</si>
  <si>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</si>
  <si>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</si>
  <si>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</si>
  <si>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</si>
  <si>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</si>
  <si>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</si>
  <si>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</si>
  <si>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</si>
  <si>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</si>
  <si>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</si>
  <si>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</si>
  <si>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</si>
  <si>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</si>
  <si>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</si>
  <si>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</si>
  <si>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</si>
  <si>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</si>
  <si>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</si>
  <si>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</si>
  <si>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</si>
  <si>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</si>
  <si>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</si>
  <si>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</si>
  <si>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</si>
  <si>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</si>
  <si>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</si>
  <si>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</si>
  <si>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</si>
  <si>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</si>
  <si>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</si>
  <si>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</si>
  <si>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</si>
  <si>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</si>
  <si>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</si>
  <si>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</si>
  <si>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</si>
  <si>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</si>
  <si>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</si>
  <si>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</si>
  <si>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</si>
  <si>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</si>
  <si>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</si>
  <si>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</si>
  <si>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</si>
  <si>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</si>
  <si>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</si>
  <si>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</si>
  <si>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</si>
  <si>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</si>
  <si>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</si>
  <si>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</si>
  <si>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</si>
  <si>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</si>
  <si>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</si>
  <si>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</si>
  <si>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</si>
  <si>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</si>
  <si>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</si>
  <si>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</si>
  <si>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</si>
  <si>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</si>
  <si>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</si>
  <si>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</si>
  <si>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</si>
  <si>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</si>
  <si>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</si>
  <si>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</si>
  <si>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</si>
  <si>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</si>
  <si>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</si>
  <si>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</si>
  <si>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</si>
  <si>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</si>
  <si>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</si>
  <si>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</si>
  <si>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</si>
  <si>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</si>
  <si>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</si>
  <si>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</si>
  <si>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</si>
  <si>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</si>
  <si>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</si>
  <si>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</si>
  <si>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</si>
  <si>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</si>
  <si>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</si>
  <si>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</si>
  <si>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</si>
  <si>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</si>
  <si>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</si>
  <si>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</si>
  <si>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</si>
  <si>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</si>
  <si>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</si>
  <si>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</si>
  <si>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</si>
  <si>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</si>
  <si>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</si>
  <si>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</si>
  <si>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</si>
  <si>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</si>
  <si>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</si>
  <si>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</si>
  <si>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</si>
  <si>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</si>
  <si>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</si>
  <si>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</si>
  <si>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</si>
  <si>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</si>
  <si>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</si>
  <si>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</si>
  <si>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</si>
  <si>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</si>
  <si>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</si>
  <si>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</si>
  <si>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</si>
  <si>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</si>
  <si>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</si>
  <si>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</si>
  <si>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</si>
  <si>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</si>
  <si>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</si>
  <si>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</si>
  <si>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</si>
  <si>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</si>
  <si>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</si>
  <si>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</si>
  <si>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</si>
  <si>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</si>
  <si>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</si>
  <si>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</si>
  <si>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</si>
  <si>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</si>
  <si>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</si>
  <si>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</si>
  <si>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</si>
  <si>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</si>
  <si>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</si>
  <si>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</si>
  <si>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</si>
  <si>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</si>
  <si>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</si>
  <si>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</si>
  <si>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</si>
  <si>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</si>
  <si>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</si>
  <si>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</si>
  <si>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</si>
  <si>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</si>
  <si>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</si>
  <si>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</si>
  <si>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</si>
  <si>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</si>
  <si>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</si>
  <si>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</si>
  <si>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</si>
  <si>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</si>
  <si>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</si>
  <si>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</si>
  <si>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</si>
  <si>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</si>
  <si>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</si>
  <si>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</si>
  <si>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</si>
  <si>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</si>
  <si>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</si>
  <si>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</si>
  <si>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</si>
  <si>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</si>
  <si>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</si>
  <si>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</si>
  <si>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</si>
  <si>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</si>
  <si>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</si>
  <si>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</si>
  <si>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</si>
  <si>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</si>
  <si>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</si>
  <si>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</si>
  <si>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</si>
  <si>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</si>
  <si>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</si>
  <si>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</si>
  <si>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</si>
  <si>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</si>
  <si>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</si>
  <si>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</si>
  <si>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</si>
  <si>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</si>
  <si>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</si>
  <si>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</si>
  <si>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</si>
  <si>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</si>
  <si>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</si>
  <si>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</si>
  <si>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</si>
  <si>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</si>
  <si>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</si>
  <si>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</si>
  <si>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</si>
  <si>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</si>
  <si>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</si>
  <si>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</si>
  <si>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</si>
  <si>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</si>
  <si>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</si>
  <si>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</si>
  <si>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</si>
  <si>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</si>
  <si>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</si>
  <si>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</si>
  <si>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</si>
  <si>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</si>
  <si>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</si>
  <si>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</si>
  <si>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</si>
  <si>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</si>
  <si>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</si>
  <si>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</si>
  <si>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</si>
  <si>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</si>
  <si>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</si>
  <si>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</si>
  <si>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</si>
  <si>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</si>
  <si>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</si>
  <si>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</si>
  <si>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</si>
  <si>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</si>
  <si>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</si>
  <si>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</si>
  <si>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</si>
  <si>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</si>
  <si>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</si>
  <si>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</si>
  <si>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</si>
  <si>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</si>
  <si>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</si>
  <si>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</si>
  <si>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</si>
  <si>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</si>
  <si>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</si>
  <si>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</si>
  <si>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</si>
  <si>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</si>
  <si>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</si>
  <si>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</si>
  <si>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</si>
  <si>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</si>
  <si>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</si>
  <si>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</si>
  <si>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</si>
  <si>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</si>
  <si>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</si>
  <si>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</si>
  <si>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</si>
  <si>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</si>
  <si>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</si>
  <si>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</si>
  <si>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</si>
  <si>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</si>
  <si>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</si>
  <si>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</si>
  <si>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</si>
  <si>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</si>
  <si>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</si>
  <si>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</si>
  <si>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</si>
  <si>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</si>
  <si>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</si>
  <si>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</si>
  <si>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</si>
  <si>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</si>
  <si>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</si>
  <si>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</si>
  <si>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</si>
  <si>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</si>
  <si>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</si>
  <si>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</si>
  <si>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</si>
  <si>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</si>
  <si>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</si>
  <si>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</si>
  <si>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</si>
  <si>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</si>
  <si>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</si>
  <si>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</si>
  <si>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</si>
  <si>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</si>
  <si>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</si>
  <si>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</si>
  <si>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</si>
  <si>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</si>
  <si>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</si>
  <si>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</si>
  <si>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</si>
  <si>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</si>
  <si>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</si>
  <si>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</si>
  <si>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</si>
  <si>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</si>
  <si>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</si>
  <si>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</si>
  <si>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</si>
  <si>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</si>
  <si>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</si>
  <si>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</si>
  <si>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</si>
  <si>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</si>
  <si>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</si>
  <si>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</si>
  <si>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</si>
  <si>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</si>
  <si>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</si>
  <si>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</si>
  <si>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</si>
  <si>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</si>
  <si>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</si>
  <si>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</si>
  <si>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</si>
  <si>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</si>
  <si>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</si>
  <si>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</si>
  <si>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</si>
  <si>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</si>
  <si>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</si>
  <si>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</si>
  <si>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</si>
  <si>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</si>
  <si>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</si>
  <si>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</si>
  <si>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</si>
  <si>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</si>
  <si>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</si>
  <si>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</si>
  <si>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</si>
  <si>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</si>
  <si>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</si>
  <si>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</si>
  <si>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</si>
  <si>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</si>
  <si>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</si>
  <si>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</si>
  <si>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</si>
  <si>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</si>
  <si>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</si>
  <si>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</si>
  <si>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</si>
  <si>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</si>
  <si>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</si>
  <si>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</si>
  <si>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</si>
  <si>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</si>
  <si>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</si>
  <si>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</si>
  <si>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</si>
  <si>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</si>
  <si>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</si>
  <si>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</si>
  <si>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</si>
  <si>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</si>
  <si>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</si>
  <si>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</si>
  <si>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</si>
  <si>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</si>
  <si>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</si>
  <si>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</si>
  <si>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</si>
  <si>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</si>
  <si>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</si>
  <si>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</si>
  <si>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</si>
  <si>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</si>
  <si>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</si>
  <si>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</si>
  <si>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</si>
  <si>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</si>
  <si>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</si>
  <si>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</si>
  <si>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</si>
  <si>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</si>
  <si>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</si>
  <si>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</si>
  <si>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</si>
  <si>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</si>
  <si>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</si>
  <si>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</si>
  <si>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</si>
  <si>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</si>
  <si>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</si>
  <si>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</si>
  <si>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</si>
  <si>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</si>
  <si>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</si>
  <si>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</si>
  <si>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</si>
  <si>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</si>
  <si>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</si>
  <si>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</si>
  <si>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</si>
  <si>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</si>
  <si>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</si>
  <si>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</si>
  <si>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</si>
  <si>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</si>
  <si>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</si>
  <si>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</si>
  <si>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</si>
  <si>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</si>
  <si>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</si>
  <si>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</si>
  <si>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</si>
  <si>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</si>
  <si>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</si>
  <si>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</si>
  <si>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</si>
  <si>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</si>
  <si>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</si>
  <si>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</si>
  <si>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</si>
  <si>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</si>
  <si>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</si>
  <si>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</si>
  <si>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</si>
  <si>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</si>
  <si>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</si>
  <si>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</si>
  <si>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</si>
  <si>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</si>
  <si>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</si>
  <si>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</si>
  <si>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</si>
  <si>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</si>
  <si>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</si>
  <si>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</si>
  <si>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</si>
  <si>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</si>
  <si>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</si>
  <si>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</si>
  <si>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</si>
  <si>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</si>
  <si>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</si>
  <si>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</si>
  <si>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</si>
  <si>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</si>
  <si>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</si>
  <si>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</si>
  <si>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</si>
  <si>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</si>
  <si>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</si>
  <si>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</si>
  <si>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</si>
  <si>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</si>
  <si>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</si>
  <si>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</si>
  <si>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</si>
  <si>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</si>
  <si>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</si>
  <si>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</si>
  <si>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</si>
  <si>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</si>
  <si>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</si>
  <si>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</si>
  <si>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</si>
  <si>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</si>
  <si>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</si>
  <si>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</si>
  <si>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</si>
  <si>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</si>
  <si>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</si>
  <si>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</si>
  <si>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</si>
  <si>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</si>
  <si>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</si>
  <si>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</si>
  <si>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</si>
  <si>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</si>
  <si>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</si>
  <si>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</si>
  <si>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</si>
  <si>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</si>
  <si>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</si>
  <si>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</si>
  <si>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</si>
  <si>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</si>
  <si>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</si>
  <si>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</si>
  <si>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</si>
  <si>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</si>
  <si>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</si>
  <si>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</si>
  <si>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</si>
  <si>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</si>
  <si>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</si>
  <si>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</si>
  <si>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</si>
  <si>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</si>
  <si>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</si>
  <si>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</si>
  <si>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</si>
  <si>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</si>
  <si>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</si>
  <si>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</si>
  <si>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</si>
  <si>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</si>
  <si>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</si>
  <si>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</si>
  <si>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</si>
  <si>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</si>
  <si>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</si>
  <si>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</si>
  <si>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</si>
  <si>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</si>
  <si>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</si>
  <si>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</si>
  <si>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</si>
  <si>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</si>
  <si>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</si>
  <si>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</si>
  <si>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</si>
  <si>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</si>
  <si>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</si>
  <si>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</si>
  <si>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</si>
  <si>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</si>
  <si>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</si>
  <si>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</si>
  <si>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</si>
  <si>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</si>
  <si>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</si>
  <si>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</si>
  <si>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</si>
  <si>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</si>
  <si>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</si>
  <si>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</si>
  <si>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</si>
  <si>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</si>
  <si>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</si>
  <si>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</si>
  <si>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</si>
  <si>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</si>
  <si>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</si>
  <si>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</si>
  <si>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</si>
  <si>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</si>
  <si>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</si>
  <si>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</si>
  <si>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</si>
  <si>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</si>
  <si>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</si>
  <si>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</si>
  <si>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</si>
  <si>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</si>
  <si>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</si>
  <si>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</si>
  <si>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</si>
  <si>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</si>
  <si>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</si>
  <si>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</si>
  <si>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</si>
  <si>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</si>
  <si>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</si>
  <si>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</si>
  <si>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</si>
  <si>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</si>
  <si>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</si>
  <si>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</si>
  <si>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</si>
  <si>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</si>
  <si>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</si>
  <si>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</si>
  <si>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</si>
  <si>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</si>
  <si>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</si>
  <si>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</si>
  <si>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</si>
  <si>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</si>
  <si>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</si>
  <si>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</si>
  <si>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</si>
  <si>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</si>
  <si>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</si>
  <si>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</si>
  <si>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</si>
  <si>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</si>
  <si>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</si>
  <si>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</si>
  <si>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</si>
  <si>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</si>
  <si>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</si>
  <si>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</si>
  <si>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</si>
  <si>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</si>
  <si>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</si>
  <si>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</si>
  <si>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</si>
  <si>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</si>
  <si>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</si>
  <si>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</si>
  <si>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</si>
  <si>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</si>
  <si>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</si>
  <si>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</si>
  <si>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</si>
  <si>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</si>
  <si>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</si>
  <si>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</si>
  <si>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</si>
  <si>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</si>
  <si>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</si>
  <si>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</si>
  <si>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</si>
  <si>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</si>
  <si>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</si>
  <si>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</si>
  <si>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</si>
  <si>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</si>
  <si>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</si>
  <si>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</si>
  <si>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</si>
  <si>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</si>
  <si>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</si>
  <si>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</si>
  <si>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</si>
  <si>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</si>
  <si>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</si>
  <si>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</si>
  <si>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</si>
  <si>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</si>
  <si>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</si>
  <si>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</si>
  <si>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</si>
  <si>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</si>
  <si>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</si>
  <si>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</si>
  <si>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</si>
  <si>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</si>
  <si>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</si>
  <si>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</si>
  <si>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</si>
  <si>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</si>
  <si>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</si>
  <si>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</si>
  <si>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</si>
  <si>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</si>
  <si>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</si>
  <si>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</si>
  <si>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</si>
  <si>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</si>
  <si>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</si>
  <si>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</si>
  <si>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</si>
  <si>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</si>
  <si>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</si>
  <si>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</si>
  <si>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</si>
  <si>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</si>
  <si>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</si>
  <si>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</si>
  <si>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</si>
  <si>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</si>
  <si>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</si>
  <si>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</si>
  <si>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</si>
  <si>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</si>
  <si>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</si>
  <si>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</si>
  <si>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</si>
  <si>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</si>
  <si>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</si>
  <si>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</si>
  <si>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</si>
  <si>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</si>
  <si>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</si>
  <si>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</si>
  <si>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</si>
  <si>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</si>
  <si>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</si>
  <si>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</si>
  <si>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</si>
  <si>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</si>
  <si>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</si>
  <si>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</si>
  <si>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</si>
  <si>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</si>
  <si>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</si>
  <si>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</si>
  <si>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</si>
  <si>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</si>
  <si>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</si>
  <si>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</si>
  <si>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</si>
  <si>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</si>
  <si>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</si>
  <si>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</si>
  <si>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</si>
  <si>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</si>
  <si>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</si>
  <si>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</si>
  <si>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</si>
  <si>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</si>
  <si>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</si>
  <si>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</si>
  <si>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</si>
  <si>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</si>
  <si>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</si>
  <si>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</si>
  <si>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</si>
  <si>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</si>
  <si>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</si>
  <si>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</si>
  <si>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</si>
  <si>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</si>
  <si>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</si>
  <si>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</si>
  <si>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</si>
  <si>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</si>
  <si>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</si>
  <si>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</si>
  <si>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</si>
  <si>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</si>
  <si>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</si>
  <si>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</si>
  <si>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</si>
  <si>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</si>
  <si>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</si>
  <si>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</si>
  <si>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</si>
  <si>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</si>
  <si>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</si>
  <si>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</si>
  <si>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</si>
  <si>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</si>
  <si>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</si>
  <si>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</si>
  <si>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</si>
  <si>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</si>
  <si>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</si>
  <si>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</si>
  <si>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</si>
  <si>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</si>
  <si>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</si>
  <si>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</si>
  <si>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</si>
  <si>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</si>
  <si>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</si>
  <si>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</si>
  <si>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</si>
  <si>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</si>
  <si>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</si>
  <si>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</si>
  <si>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</si>
  <si>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</si>
  <si>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</si>
  <si>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</si>
  <si>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</si>
  <si>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</si>
  <si>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</si>
  <si>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</si>
  <si>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</si>
  <si>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</si>
  <si>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</si>
  <si>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</si>
  <si>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</si>
  <si>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</si>
  <si>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</si>
  <si>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</si>
  <si>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</si>
  <si>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</si>
  <si>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</si>
  <si>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</si>
  <si>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</si>
  <si>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</si>
  <si>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</si>
  <si>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</si>
  <si>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</si>
  <si>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</si>
  <si>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</si>
  <si>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</si>
  <si>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</si>
  <si>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</si>
  <si>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</si>
  <si>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</si>
  <si>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</si>
  <si>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</si>
  <si>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</si>
  <si>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</si>
  <si>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</si>
  <si>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</si>
  <si>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</si>
  <si>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</si>
  <si>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</si>
  <si>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</si>
  <si>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</si>
  <si>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</si>
  <si>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</si>
  <si>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</si>
  <si>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</si>
  <si>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</si>
  <si>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</si>
  <si>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</si>
  <si>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</si>
  <si>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</si>
  <si>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</si>
  <si>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</si>
  <si>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</si>
  <si>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</si>
  <si>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</si>
  <si>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</si>
  <si>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</si>
  <si>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</si>
  <si>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</si>
  <si>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</si>
  <si>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</si>
  <si>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</si>
  <si>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</si>
  <si>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</si>
  <si>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</si>
  <si>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</si>
  <si>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</si>
  <si>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</si>
  <si>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</si>
  <si>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</si>
  <si>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</si>
  <si>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</si>
  <si>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</si>
  <si>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</si>
  <si>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</si>
  <si>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</si>
  <si>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</si>
  <si>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</si>
  <si>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</si>
  <si>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</si>
  <si>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</si>
  <si>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</si>
  <si>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</si>
  <si>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</si>
  <si>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</si>
  <si>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</si>
  <si>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</si>
  <si>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</si>
  <si>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</si>
  <si>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</si>
  <si>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</si>
  <si>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</si>
  <si>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</si>
  <si>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</si>
  <si>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</si>
  <si>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</si>
  <si>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</si>
  <si>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</si>
  <si>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</si>
  <si>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</si>
  <si>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</si>
  <si>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</si>
  <si>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</si>
  <si>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</si>
  <si>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</si>
  <si>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</si>
  <si>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</si>
  <si>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</si>
  <si>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</si>
  <si>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</si>
  <si>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</si>
  <si>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</si>
  <si>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</si>
  <si>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</si>
  <si>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</si>
  <si>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</si>
  <si>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</si>
  <si>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</si>
  <si>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</si>
  <si>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</si>
  <si>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</si>
  <si>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</si>
  <si>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</si>
  <si>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</si>
  <si>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</si>
  <si>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</si>
  <si>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</si>
  <si>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</si>
  <si>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</si>
  <si>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</si>
  <si>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</si>
  <si>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</si>
  <si>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</si>
  <si>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</si>
  <si>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</si>
  <si>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</si>
  <si>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</si>
  <si>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</si>
  <si>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</si>
  <si>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</si>
  <si>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</si>
  <si>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</si>
  <si>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</si>
  <si>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</si>
  <si>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</si>
  <si>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</si>
  <si>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</si>
  <si>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</si>
  <si>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</si>
  <si>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</si>
  <si>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</si>
  <si>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</si>
  <si>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</si>
  <si>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</si>
  <si>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</si>
  <si>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</si>
  <si>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</si>
  <si>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</si>
  <si>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</si>
  <si>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</si>
  <si>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</si>
  <si>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</si>
  <si>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</si>
  <si>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</si>
  <si>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</si>
  <si>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</si>
  <si>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</si>
  <si>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</si>
  <si>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</si>
  <si>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</si>
  <si>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</si>
  <si>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</si>
  <si>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</si>
  <si>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</si>
  <si>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</si>
  <si>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</si>
  <si>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</si>
  <si>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</si>
  <si>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</si>
  <si>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</si>
  <si>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</si>
  <si>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</si>
  <si>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</si>
  <si>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</si>
  <si>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</si>
  <si>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</si>
  <si>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</si>
  <si>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</si>
  <si>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</si>
  <si>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</si>
  <si>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</si>
  <si>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</si>
  <si>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</si>
  <si>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</si>
  <si>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</si>
  <si>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</si>
  <si>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</si>
  <si>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</si>
  <si>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</si>
  <si>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</si>
  <si>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</si>
  <si>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</si>
  <si>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</si>
  <si>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</si>
  <si>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</si>
  <si>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</si>
  <si>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</si>
  <si>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</si>
  <si>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</si>
  <si>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</si>
  <si>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</si>
  <si>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</si>
  <si>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</si>
  <si>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</si>
  <si>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</si>
  <si>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</si>
  <si>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</si>
  <si>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</si>
  <si>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</si>
  <si>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</si>
  <si>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</si>
  <si>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</si>
  <si>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</si>
  <si>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</si>
  <si>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</si>
  <si>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</si>
  <si>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</si>
  <si>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</si>
  <si>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</si>
  <si>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</si>
  <si>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</si>
  <si>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</si>
  <si>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</si>
  <si>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</si>
  <si>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</si>
  <si>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</si>
  <si>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</si>
  <si>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</si>
  <si>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</si>
  <si>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</si>
  <si>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</si>
  <si>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</si>
  <si>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</si>
  <si>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</si>
  <si>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</si>
  <si>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</si>
  <si>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</si>
  <si>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</si>
  <si>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</si>
  <si>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</si>
  <si>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</si>
  <si>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</si>
  <si>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</si>
  <si>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</si>
  <si>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</si>
  <si>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</si>
  <si>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</si>
  <si>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</si>
  <si>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</si>
  <si>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</si>
  <si>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</si>
  <si>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</si>
  <si>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</si>
  <si>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</si>
  <si>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</si>
  <si>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</si>
  <si>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</si>
  <si>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</si>
  <si>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</si>
  <si>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</si>
  <si>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</si>
  <si>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</si>
  <si>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</si>
  <si>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</si>
  <si>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</si>
  <si>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</si>
  <si>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</si>
  <si>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</si>
  <si>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</si>
  <si>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</si>
  <si>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</si>
  <si>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</si>
  <si>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</si>
  <si>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</si>
  <si>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</si>
  <si>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</si>
  <si>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</si>
  <si>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</si>
  <si>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</si>
  <si>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</si>
  <si>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</si>
  <si>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</si>
  <si>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</si>
  <si>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</si>
  <si>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</si>
  <si>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</si>
  <si>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</si>
  <si>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</si>
  <si>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</si>
  <si>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</si>
  <si>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</si>
  <si>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</si>
  <si>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</si>
  <si>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</si>
  <si>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</si>
  <si>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</si>
  <si>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</si>
  <si>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</si>
  <si>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</si>
  <si>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</si>
  <si>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</si>
  <si>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</si>
  <si>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</si>
  <si>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</si>
  <si>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</si>
  <si>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</si>
  <si>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</si>
  <si>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</si>
  <si>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</si>
  <si>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</si>
  <si>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</si>
  <si>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</si>
  <si>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</si>
  <si>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</si>
  <si>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</si>
  <si>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</si>
  <si>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</si>
  <si>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</si>
  <si>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</si>
  <si>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</si>
  <si>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</si>
  <si>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</si>
  <si>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</si>
  <si>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</si>
  <si>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</si>
  <si>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</si>
  <si>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</si>
  <si>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</si>
  <si>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</si>
  <si>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</si>
  <si>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</si>
  <si>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</si>
  <si>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</si>
  <si>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</si>
  <si>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</si>
  <si>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</si>
  <si>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</si>
  <si>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</si>
  <si>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</si>
  <si>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</si>
  <si>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</si>
  <si>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</si>
  <si>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</si>
  <si>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</si>
  <si>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</si>
  <si>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</si>
  <si>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</si>
  <si>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</si>
  <si>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</si>
  <si>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</si>
  <si>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</si>
  <si>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</si>
  <si>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</si>
  <si>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</si>
  <si>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</si>
  <si>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</si>
  <si>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</si>
  <si>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</si>
  <si>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</si>
  <si>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</si>
  <si>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</si>
  <si>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</si>
  <si>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</si>
  <si>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</si>
  <si>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</si>
  <si>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</si>
  <si>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</si>
  <si>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</si>
  <si>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</si>
  <si>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</si>
  <si>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</si>
  <si>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</si>
  <si>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</si>
  <si>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</si>
  <si>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</si>
  <si>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</si>
  <si>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</si>
  <si>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</si>
  <si>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</si>
  <si>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</si>
  <si>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</si>
  <si>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</si>
  <si>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</si>
  <si>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</si>
  <si>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</si>
  <si>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</si>
  <si>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</si>
  <si>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</si>
  <si>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</si>
  <si>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</si>
  <si>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</si>
  <si>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</si>
  <si>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</si>
  <si>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</si>
  <si>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</si>
  <si>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</si>
  <si>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</si>
  <si>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</si>
  <si>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</si>
  <si>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</si>
  <si>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</si>
  <si>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</si>
  <si>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</si>
  <si>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</si>
  <si>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</si>
  <si>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</si>
  <si>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</si>
  <si>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</si>
  <si>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</si>
  <si>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</si>
  <si>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</si>
  <si>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</si>
  <si>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</si>
  <si>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</si>
  <si>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</si>
  <si>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</si>
  <si>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</si>
  <si>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</si>
  <si>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</si>
  <si>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</si>
  <si>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</si>
  <si>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</si>
  <si>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</si>
  <si>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</si>
  <si>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</si>
  <si>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</si>
  <si>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</si>
  <si>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</si>
  <si>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</si>
  <si>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</si>
  <si>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</si>
  <si>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</si>
  <si>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</si>
  <si>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</si>
  <si>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</si>
  <si>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</si>
  <si>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</si>
  <si>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</si>
  <si>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</si>
  <si>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</si>
  <si>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</si>
  <si>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</si>
  <si>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</si>
  <si>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</si>
  <si>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</si>
  <si>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</si>
  <si>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</si>
  <si>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</si>
  <si>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</si>
  <si>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</si>
  <si>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</si>
  <si>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</si>
  <si>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</si>
  <si>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</si>
  <si>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</si>
  <si>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</si>
  <si>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</si>
  <si>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</si>
  <si>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</si>
  <si>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</si>
  <si>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</si>
  <si>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</si>
  <si>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</si>
  <si>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</si>
  <si>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</si>
  <si>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</si>
  <si>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</si>
  <si>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</si>
  <si>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</si>
  <si>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</si>
  <si>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</si>
  <si>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</si>
  <si>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</si>
  <si>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</si>
  <si>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</si>
  <si>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</si>
  <si>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</si>
  <si>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</si>
  <si>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</si>
  <si>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</si>
  <si>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</si>
  <si>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</si>
  <si>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</si>
  <si>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</si>
  <si>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</si>
  <si>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</si>
  <si>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</si>
  <si>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</si>
  <si>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</si>
  <si>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</si>
  <si>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</si>
  <si>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</si>
  <si>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</si>
  <si>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</si>
  <si>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</si>
  <si>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</si>
  <si>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</si>
  <si>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</si>
  <si>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</si>
  <si>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</si>
  <si>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</si>
  <si>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</si>
  <si>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</si>
  <si>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</si>
  <si>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</si>
  <si>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</si>
  <si>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</si>
  <si>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</si>
  <si>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</si>
  <si>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</si>
  <si>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</si>
  <si>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</si>
  <si>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</si>
  <si>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</si>
  <si>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</si>
  <si>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</si>
  <si>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</si>
  <si>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</si>
  <si>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</si>
  <si>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</si>
  <si>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</si>
  <si>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</si>
  <si>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</si>
  <si>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</si>
  <si>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</si>
  <si>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</si>
  <si>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</si>
  <si>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</si>
  <si>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</si>
  <si>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</si>
  <si>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</si>
  <si>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</si>
  <si>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</si>
  <si>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</si>
  <si>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</si>
  <si>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</si>
  <si>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</si>
  <si>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</si>
  <si>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</si>
  <si>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</si>
  <si>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</si>
  <si>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</si>
  <si>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</si>
  <si>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</si>
  <si>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</si>
  <si>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</si>
  <si>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</si>
  <si>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</si>
  <si>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</si>
  <si>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</si>
  <si>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</si>
  <si>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</si>
  <si>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</si>
  <si>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</si>
  <si>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</si>
  <si>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</si>
  <si>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</si>
  <si>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</si>
  <si>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</si>
  <si>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</si>
  <si>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</si>
  <si>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</si>
  <si>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</si>
  <si>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</si>
  <si>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</si>
  <si>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</si>
  <si>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</si>
  <si>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</si>
  <si>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</si>
  <si>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</si>
  <si>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</si>
  <si>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</si>
  <si>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</si>
  <si>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</si>
  <si>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</si>
  <si>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</si>
  <si>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</si>
  <si>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</si>
  <si>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</si>
  <si>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</si>
  <si>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</si>
  <si>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</si>
  <si>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</si>
  <si>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</si>
  <si>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</si>
  <si>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</si>
  <si>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</si>
  <si>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</si>
  <si>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</si>
  <si>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</si>
  <si>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</si>
  <si>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</si>
  <si>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</si>
  <si>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</si>
  <si>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</si>
  <si>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</si>
  <si>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</si>
  <si>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</si>
  <si>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</si>
  <si>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</si>
  <si>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</si>
  <si>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</si>
  <si>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</si>
  <si>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</si>
  <si>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</si>
  <si>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</si>
  <si>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</si>
  <si>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</si>
  <si>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</si>
  <si>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</si>
  <si>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</si>
  <si>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</si>
  <si>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</si>
  <si>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</si>
  <si>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</si>
  <si>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</si>
  <si>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</si>
  <si>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</si>
  <si>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</si>
  <si>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</si>
  <si>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</si>
  <si>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</si>
  <si>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</si>
  <si>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</si>
  <si>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</si>
  <si>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</si>
  <si>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</si>
  <si>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</si>
  <si>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</si>
  <si>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</si>
  <si>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</si>
  <si>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</si>
  <si>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</si>
  <si>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</si>
  <si>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</si>
  <si>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</si>
  <si>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</si>
  <si>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</si>
  <si>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</si>
  <si>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</si>
  <si>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</si>
  <si>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</si>
  <si>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</si>
  <si>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</si>
  <si>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</si>
  <si>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</si>
  <si>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</si>
  <si>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</si>
  <si>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</si>
  <si>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</si>
  <si>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</si>
  <si>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</si>
  <si>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</si>
  <si>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</si>
  <si>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</si>
  <si>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</si>
  <si>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</si>
  <si>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</si>
  <si>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</si>
  <si>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</si>
  <si>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</si>
  <si>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</si>
  <si>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</si>
  <si>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</si>
  <si>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</si>
  <si>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</si>
  <si>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</si>
  <si>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</si>
  <si>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</si>
  <si>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</si>
  <si>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</si>
  <si>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</si>
  <si>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</si>
  <si>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</si>
  <si>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</si>
  <si>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</si>
  <si>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</si>
  <si>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</si>
  <si>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</si>
  <si>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</si>
  <si>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</si>
  <si>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</si>
  <si>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</si>
  <si>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</si>
  <si>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</si>
  <si>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</si>
  <si>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</si>
  <si>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</si>
  <si>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</si>
  <si>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</si>
  <si>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</si>
  <si>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</si>
  <si>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</si>
  <si>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</si>
  <si>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</si>
  <si>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</si>
  <si>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</si>
  <si>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</si>
  <si>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</si>
  <si>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</si>
  <si>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</si>
  <si>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</si>
  <si>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</si>
  <si>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</si>
  <si>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</si>
  <si>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</si>
  <si>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</si>
  <si>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</si>
  <si>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</si>
  <si>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</si>
  <si>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</si>
  <si>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</si>
  <si>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</si>
  <si>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</si>
  <si>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</si>
  <si>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</si>
  <si>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</si>
  <si>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</si>
  <si>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</si>
  <si>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</si>
  <si>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</si>
  <si>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</si>
  <si>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</si>
  <si>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</si>
  <si>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</si>
  <si>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</si>
  <si>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</si>
  <si>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</si>
  <si>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</si>
  <si>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</si>
  <si>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</si>
  <si>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</si>
  <si>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</si>
  <si>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</si>
  <si>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</si>
  <si>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</si>
  <si>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</si>
  <si>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</si>
  <si>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</si>
  <si>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</si>
  <si>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</si>
  <si>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</si>
  <si>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</si>
  <si>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</si>
  <si>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</si>
  <si>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</si>
  <si>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</si>
  <si>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</si>
  <si>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</si>
  <si>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</si>
  <si>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</si>
  <si>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</si>
  <si>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</si>
  <si>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</si>
  <si>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</si>
  <si>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</si>
  <si>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</si>
  <si>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</si>
  <si>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</si>
  <si>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</si>
  <si>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</si>
  <si>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</si>
  <si>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</si>
  <si>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</si>
  <si>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</si>
  <si>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</si>
  <si>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</si>
  <si>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</si>
  <si>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</si>
  <si>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</si>
  <si>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</si>
  <si>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</si>
  <si>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</si>
  <si>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</si>
  <si>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</si>
  <si>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</si>
  <si>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</si>
  <si>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</si>
  <si>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</si>
  <si>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</si>
  <si>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</si>
  <si>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</si>
  <si>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</si>
  <si>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</si>
  <si>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</si>
  <si>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</si>
  <si>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</si>
  <si>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</si>
  <si>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</si>
  <si>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</si>
  <si>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</si>
  <si>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</si>
  <si>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</si>
  <si>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</si>
  <si>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</si>
  <si>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</si>
  <si>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</si>
  <si>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</si>
  <si>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</si>
  <si>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</si>
  <si>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</si>
  <si>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</si>
  <si>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</si>
  <si>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</si>
  <si>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</si>
  <si>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</si>
  <si>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</si>
  <si>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</si>
  <si>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</si>
  <si>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</si>
  <si>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</si>
  <si>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</si>
  <si>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</si>
  <si>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</si>
  <si>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</si>
  <si>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</si>
  <si>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</si>
  <si>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</si>
  <si>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</si>
  <si>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</si>
  <si>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</si>
  <si>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</si>
  <si>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</si>
  <si>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</si>
  <si>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</si>
  <si>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</si>
  <si>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</si>
  <si>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</si>
  <si>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</si>
  <si>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</si>
  <si>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</si>
  <si>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</si>
  <si>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</si>
  <si>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</si>
  <si>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</si>
  <si>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</si>
  <si>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</si>
  <si>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</si>
  <si>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</si>
  <si>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</si>
  <si>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</si>
  <si>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</si>
  <si>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</si>
  <si>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</si>
  <si>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</si>
  <si>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</si>
  <si>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</si>
  <si>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</si>
  <si>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</si>
  <si>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</si>
  <si>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</si>
  <si>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</si>
  <si>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</si>
  <si>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</si>
  <si>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</si>
  <si>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</si>
  <si>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</si>
  <si>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</si>
  <si>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</si>
  <si>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</si>
  <si>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</si>
  <si>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</si>
  <si>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</si>
  <si>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</si>
  <si>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</si>
  <si>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</si>
  <si>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</si>
  <si>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</si>
  <si>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</si>
  <si>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</si>
  <si>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</si>
  <si>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</si>
  <si>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</si>
  <si>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</si>
  <si>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</si>
  <si>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</si>
  <si>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</si>
  <si>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</si>
  <si>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</si>
  <si>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</si>
  <si>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</si>
  <si>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</si>
  <si>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</si>
  <si>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</si>
  <si>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</si>
  <si>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</si>
  <si>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</si>
  <si>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</si>
  <si>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</si>
  <si>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</si>
  <si>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</si>
  <si>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</si>
  <si>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</si>
  <si>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</si>
  <si>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</si>
  <si>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</si>
  <si>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</si>
  <si>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</si>
  <si>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</si>
  <si>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</si>
  <si>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</si>
  <si>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</si>
  <si>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</si>
  <si>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</si>
  <si>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</si>
  <si>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</si>
  <si>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</si>
  <si>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</si>
  <si>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</si>
  <si>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</si>
  <si>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</si>
  <si>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</si>
  <si>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</si>
  <si>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</si>
  <si>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</si>
  <si>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</si>
  <si>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</si>
  <si>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</si>
  <si>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</si>
  <si>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</si>
  <si>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</si>
  <si>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</si>
  <si>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</si>
  <si>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</si>
  <si>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</si>
  <si>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</si>
  <si>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</si>
  <si>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</si>
  <si>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</si>
  <si>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</si>
  <si>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</si>
  <si>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</si>
  <si>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</si>
  <si>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</si>
  <si>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</si>
  <si>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</si>
  <si>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</si>
  <si>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</si>
  <si>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</si>
  <si>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</si>
  <si>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</si>
  <si>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</si>
  <si>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</si>
  <si>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</si>
  <si>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</si>
  <si>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</si>
  <si>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</si>
  <si>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</si>
  <si>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</si>
  <si>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</si>
  <si>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</si>
  <si>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</si>
  <si>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</si>
  <si>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</si>
  <si>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</si>
  <si>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</si>
  <si>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</si>
  <si>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</si>
  <si>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</si>
  <si>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</si>
  <si>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</si>
  <si>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</si>
  <si>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</si>
  <si>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</si>
  <si>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</si>
  <si>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</si>
  <si>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</si>
  <si>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</si>
  <si>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</si>
  <si>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</si>
  <si>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</si>
  <si>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</si>
  <si>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</si>
  <si>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</si>
  <si>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</si>
  <si>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</si>
  <si>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</si>
  <si>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</si>
  <si>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</si>
  <si>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</si>
  <si>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</si>
  <si>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</si>
  <si>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</si>
  <si>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</si>
  <si>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</si>
  <si>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</si>
  <si>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</si>
  <si>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</si>
  <si>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</si>
  <si>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</si>
  <si>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</si>
  <si>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</si>
  <si>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</si>
  <si>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</si>
  <si>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</si>
  <si>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</si>
  <si>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</si>
  <si>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</si>
  <si>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</si>
  <si>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</si>
  <si>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</si>
  <si>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</si>
  <si>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</si>
  <si>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</si>
  <si>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</si>
  <si>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</si>
  <si>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</si>
  <si>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</si>
  <si>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</si>
  <si>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</si>
  <si>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</si>
  <si>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</si>
  <si>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</si>
  <si>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</si>
  <si>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</si>
  <si>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</si>
  <si>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</si>
  <si>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</si>
  <si>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</si>
  <si>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</si>
  <si>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</si>
  <si>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</si>
  <si>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</si>
  <si>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</si>
  <si>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</si>
  <si>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</si>
  <si>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</si>
  <si>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</si>
  <si>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</si>
  <si>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</si>
  <si>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</si>
  <si>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</si>
  <si>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</si>
  <si>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</si>
  <si>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</si>
  <si>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</si>
  <si>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</si>
  <si>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</si>
  <si>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</si>
  <si>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</si>
  <si>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</si>
  <si>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</si>
  <si>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</si>
  <si>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</si>
  <si>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</si>
  <si>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</si>
  <si>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</si>
  <si>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</si>
  <si>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</si>
  <si>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</si>
  <si>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</si>
  <si>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</si>
  <si>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</si>
  <si>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</si>
  <si>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</si>
  <si>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</si>
  <si>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</si>
  <si>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</si>
  <si>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</si>
  <si>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</si>
  <si>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</si>
  <si>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</si>
  <si>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</si>
  <si>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</si>
  <si>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</si>
  <si>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</si>
  <si>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</si>
  <si>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</si>
  <si>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</si>
  <si>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</si>
  <si>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</si>
  <si>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</si>
  <si>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</si>
  <si>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</si>
  <si>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</si>
  <si>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</si>
  <si>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</si>
  <si>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</si>
  <si>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</si>
  <si>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</si>
  <si>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</si>
  <si>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</si>
  <si>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</si>
  <si>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</si>
  <si>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</si>
  <si>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</si>
  <si>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</si>
  <si>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</si>
  <si>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</si>
  <si>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</si>
  <si>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</si>
  <si>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</si>
  <si>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</si>
  <si>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</si>
  <si>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</si>
  <si>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</si>
  <si>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</si>
  <si>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</si>
  <si>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</si>
  <si>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</si>
  <si>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</si>
  <si>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</si>
  <si>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</si>
  <si>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</si>
  <si>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</si>
  <si>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</si>
  <si>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</si>
  <si>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</si>
  <si>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</si>
  <si>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</si>
  <si>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</si>
  <si>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</si>
  <si>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</si>
  <si>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</si>
  <si>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</si>
  <si>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</si>
  <si>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</si>
  <si>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</si>
  <si>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</si>
  <si>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</si>
  <si>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</si>
  <si>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</si>
  <si>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</si>
  <si>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</si>
  <si>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</si>
  <si>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</si>
  <si>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</si>
  <si>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</si>
  <si>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</si>
  <si>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</si>
  <si>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</si>
  <si>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</si>
  <si>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</si>
  <si>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</si>
  <si>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</si>
  <si>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</si>
  <si>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</si>
  <si>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</si>
  <si>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</si>
  <si>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</si>
  <si>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</si>
  <si>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</si>
  <si>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</si>
  <si>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</si>
  <si>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</si>
  <si>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</si>
  <si>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</si>
  <si>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</si>
  <si>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</si>
  <si>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</si>
  <si>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</si>
  <si>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</si>
  <si>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</si>
  <si>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</si>
  <si>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</si>
  <si>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</si>
  <si>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</si>
  <si>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</si>
  <si>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</si>
  <si>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</si>
  <si>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</si>
  <si>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</si>
  <si>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</si>
  <si>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</si>
  <si>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</si>
  <si>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</si>
  <si>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</si>
  <si>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</si>
  <si>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</si>
  <si>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</si>
  <si>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</si>
  <si>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</si>
  <si>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</si>
  <si>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</si>
  <si>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</si>
  <si>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</si>
  <si>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</si>
  <si>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</si>
  <si>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</si>
  <si>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</si>
  <si>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</si>
  <si>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</si>
  <si>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</si>
  <si>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</si>
  <si>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</si>
  <si>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</si>
  <si>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</si>
  <si>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</si>
  <si>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</si>
  <si>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</si>
  <si>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</si>
  <si>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</si>
  <si>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</si>
  <si>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</si>
  <si>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</si>
  <si>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</si>
  <si>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</si>
  <si>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</si>
  <si>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</si>
  <si>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</si>
  <si>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</si>
  <si>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</si>
  <si>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</si>
  <si>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</si>
  <si>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</si>
  <si>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</si>
  <si>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</si>
  <si>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</si>
  <si>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</si>
  <si>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</si>
  <si>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</si>
  <si>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</si>
  <si>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</si>
  <si>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</si>
  <si>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</si>
  <si>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</si>
  <si>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</si>
  <si>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</si>
  <si>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</si>
  <si>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</si>
  <si>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</si>
  <si>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</si>
  <si>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</si>
  <si>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</si>
  <si>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</si>
  <si>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</si>
  <si>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</si>
  <si>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</si>
  <si>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</si>
  <si>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</si>
  <si>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</si>
  <si>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</si>
  <si>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</si>
  <si>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</si>
  <si>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</si>
  <si>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</si>
  <si>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</si>
  <si>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</si>
  <si>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</si>
  <si>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</si>
  <si>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</si>
  <si>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</si>
  <si>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</si>
  <si>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</si>
  <si>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</si>
  <si>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</si>
  <si>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</si>
  <si>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</si>
  <si>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</si>
  <si>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</si>
  <si>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</si>
  <si>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</si>
  <si>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</si>
  <si>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</si>
  <si>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</si>
  <si>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</si>
  <si>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</si>
  <si>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</si>
  <si>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</si>
  <si>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</si>
  <si>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</si>
  <si>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</si>
  <si>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</si>
  <si>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</si>
  <si>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</si>
  <si>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</si>
  <si>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</si>
  <si>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</si>
  <si>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</si>
  <si>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</si>
  <si>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</si>
  <si>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</si>
  <si>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</si>
  <si>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</si>
  <si>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</si>
  <si>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</si>
  <si>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</si>
  <si>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</si>
  <si>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</si>
  <si>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</si>
  <si>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</si>
  <si>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</si>
  <si>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</si>
  <si>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</si>
  <si>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</si>
  <si>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</si>
  <si>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</si>
  <si>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</si>
  <si>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</si>
  <si>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</si>
  <si>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</si>
  <si>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</si>
  <si>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</si>
  <si>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</si>
  <si>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</si>
  <si>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</si>
  <si>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</si>
  <si>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</si>
  <si>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</si>
  <si>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</si>
  <si>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</si>
  <si>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</si>
  <si>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</si>
  <si>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</si>
  <si>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</si>
  <si>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</si>
  <si>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</si>
  <si>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</si>
  <si>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</si>
  <si>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</si>
  <si>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</si>
  <si>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</si>
  <si>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</si>
  <si>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</si>
  <si>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</si>
  <si>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</si>
  <si>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</si>
  <si>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</si>
  <si>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</si>
  <si>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</si>
  <si>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</si>
  <si>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</si>
  <si>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</si>
  <si>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</si>
  <si>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</si>
  <si>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</si>
  <si>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</si>
  <si>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</si>
  <si>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</si>
  <si>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</si>
  <si>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</si>
  <si>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</si>
  <si>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</si>
  <si>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</si>
  <si>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</si>
  <si>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</si>
  <si>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</si>
  <si>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</si>
  <si>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</si>
  <si>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</si>
  <si>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</si>
  <si>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</si>
  <si>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</si>
  <si>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</si>
  <si>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</si>
  <si>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</si>
  <si>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</si>
  <si>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</si>
  <si>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</si>
  <si>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</si>
  <si>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</si>
  <si>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</si>
  <si>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</si>
  <si>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</si>
  <si>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</si>
  <si>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</si>
  <si>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</si>
  <si>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</si>
  <si>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</si>
  <si>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</si>
  <si>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</si>
  <si>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</si>
  <si>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</si>
  <si>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</si>
  <si>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</si>
  <si>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</si>
  <si>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</si>
  <si>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</si>
  <si>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</si>
  <si>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</si>
  <si>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</si>
  <si>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</si>
  <si>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</si>
  <si>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</si>
  <si>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</si>
  <si>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</si>
  <si>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</si>
  <si>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</si>
  <si>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</si>
  <si>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</si>
  <si>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</si>
  <si>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</si>
  <si>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</si>
  <si>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</si>
  <si>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</si>
  <si>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</si>
  <si>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</si>
  <si>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</si>
  <si>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</si>
  <si>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</si>
  <si>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</si>
  <si>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</si>
  <si>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</si>
  <si>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</si>
  <si>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</si>
  <si>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</si>
  <si>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</si>
  <si>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</si>
  <si>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</si>
  <si>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</si>
  <si>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</si>
  <si>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</si>
  <si>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</si>
  <si>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</si>
  <si>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</si>
  <si>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</si>
  <si>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</si>
  <si>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</si>
  <si>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</si>
  <si>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</si>
  <si>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</si>
  <si>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</si>
  <si>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</si>
  <si>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</si>
  <si>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</si>
  <si>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</si>
  <si>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</si>
  <si>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</si>
  <si>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</si>
  <si>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</si>
  <si>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</si>
  <si>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</si>
  <si>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</si>
  <si>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</si>
  <si>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</si>
  <si>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</si>
  <si>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</si>
  <si>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</si>
  <si>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</si>
  <si>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</si>
  <si>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</si>
  <si>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</si>
  <si>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</si>
  <si>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</si>
  <si>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</si>
  <si>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</si>
  <si>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</si>
  <si>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</si>
  <si>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</si>
  <si>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</si>
  <si>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</si>
  <si>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</si>
  <si>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</si>
  <si>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</si>
  <si>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</si>
  <si>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</si>
  <si>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</si>
  <si>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</si>
  <si>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</si>
  <si>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</si>
  <si>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</si>
  <si>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</si>
  <si>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</si>
  <si>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</si>
  <si>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</si>
  <si>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</si>
  <si>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</si>
  <si>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</si>
  <si>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</si>
  <si>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</si>
  <si>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</si>
  <si>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</si>
  <si>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</si>
  <si>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</si>
  <si>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</si>
  <si>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</si>
  <si>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</si>
  <si>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</si>
  <si>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</si>
  <si>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</si>
  <si>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</si>
  <si>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</si>
  <si>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</si>
  <si>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</si>
  <si>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</si>
  <si>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</si>
  <si>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</si>
  <si>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</si>
  <si>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</si>
  <si>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</si>
  <si>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</si>
  <si>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</si>
  <si>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</si>
  <si>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</si>
  <si>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</si>
  <si>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</si>
  <si>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</si>
  <si>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</si>
  <si>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</si>
  <si>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</si>
  <si>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</si>
  <si>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</si>
  <si>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</si>
  <si>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</si>
  <si>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</si>
  <si>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</si>
  <si>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</si>
  <si>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</si>
  <si>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</si>
  <si>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</si>
  <si>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</si>
  <si>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</si>
  <si>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</si>
  <si>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</si>
  <si>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</si>
  <si>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</si>
  <si>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</si>
  <si>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</si>
  <si>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</si>
  <si>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</si>
  <si>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</si>
  <si>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</si>
  <si>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</si>
  <si>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</si>
  <si>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</si>
  <si>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</si>
  <si>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</si>
  <si>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</si>
  <si>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</si>
  <si>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</si>
  <si>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</si>
  <si>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</si>
  <si>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</si>
  <si>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</si>
  <si>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</si>
  <si>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</si>
  <si>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</si>
  <si>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</si>
  <si>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</si>
  <si>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</si>
  <si>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</si>
  <si>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</si>
  <si>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</si>
  <si>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</si>
  <si>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</si>
  <si>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</si>
  <si>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</si>
  <si>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</si>
  <si>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</si>
  <si>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</si>
  <si>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</si>
  <si>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</si>
  <si>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</si>
  <si>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</si>
  <si>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</si>
  <si>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</si>
  <si>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</si>
  <si>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</si>
  <si>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</si>
  <si>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</si>
  <si>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</si>
  <si>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</si>
  <si>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</si>
  <si>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</si>
  <si>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</si>
  <si>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</si>
  <si>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</si>
  <si>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</si>
  <si>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</si>
  <si>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</si>
  <si>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</si>
  <si>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</si>
  <si>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</si>
  <si>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</si>
  <si>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</si>
  <si>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</si>
  <si>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</si>
  <si>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</si>
  <si>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</si>
  <si>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</si>
  <si>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</si>
  <si>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</si>
  <si>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</si>
  <si>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</si>
  <si>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</si>
  <si>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</si>
  <si>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</si>
  <si>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</si>
  <si>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</si>
  <si>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</si>
  <si>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</si>
  <si>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</si>
  <si>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</si>
  <si>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</si>
  <si>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</si>
  <si>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</si>
  <si>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</si>
  <si>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</si>
  <si>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</si>
  <si>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</si>
  <si>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</si>
  <si>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</si>
  <si>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</si>
  <si>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</si>
  <si>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</si>
  <si>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</si>
  <si>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</si>
  <si>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</si>
  <si>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</si>
  <si>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</si>
  <si>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</si>
  <si>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</si>
  <si>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</si>
  <si>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</si>
  <si>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</si>
  <si>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</si>
  <si>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</si>
  <si>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</si>
  <si>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</si>
  <si>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</si>
  <si>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</si>
  <si>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</si>
  <si>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</si>
  <si>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</si>
  <si>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</si>
  <si>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</si>
  <si>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</si>
  <si>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</si>
  <si>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</si>
  <si>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</si>
  <si>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</si>
  <si>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</si>
  <si>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</si>
  <si>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</si>
  <si>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</si>
  <si>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</si>
  <si>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</si>
  <si>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</si>
  <si>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</si>
  <si>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</si>
  <si>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</si>
  <si>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</si>
  <si>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</si>
  <si>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</si>
  <si>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</si>
  <si>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</si>
  <si>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</si>
  <si>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</si>
  <si>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</si>
  <si>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</si>
  <si>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</si>
  <si>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</si>
  <si>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</si>
  <si>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</si>
  <si>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</si>
  <si>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</si>
  <si>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</si>
  <si>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</si>
  <si>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</si>
  <si>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</si>
  <si>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</si>
  <si>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</si>
  <si>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</si>
  <si>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</si>
  <si>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</si>
  <si>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</si>
  <si>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</si>
  <si>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</si>
  <si>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</si>
  <si>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</si>
  <si>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</si>
  <si>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</si>
  <si>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</si>
  <si>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</si>
  <si>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</si>
  <si>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</si>
  <si>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</si>
  <si>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</si>
  <si>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</si>
  <si>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</si>
  <si>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</si>
  <si>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</si>
  <si>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</si>
  <si>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</si>
  <si>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</si>
  <si>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</si>
  <si>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</si>
  <si>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</si>
  <si>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</si>
  <si>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</si>
  <si>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</si>
  <si>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</si>
  <si>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</si>
  <si>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</si>
  <si>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</si>
  <si>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</si>
  <si>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</si>
  <si>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</si>
  <si>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</si>
  <si>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</si>
  <si>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</si>
  <si>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</si>
  <si>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</si>
  <si>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</si>
  <si>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</si>
  <si>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</si>
  <si>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</si>
  <si>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</si>
  <si>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</si>
  <si>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</si>
  <si>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</si>
  <si>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</si>
  <si>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</si>
  <si>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</si>
  <si>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</si>
  <si>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</si>
  <si>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</si>
  <si>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</si>
  <si>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</si>
  <si>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</si>
  <si>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</si>
  <si>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</si>
  <si>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</si>
  <si>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</si>
  <si>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</si>
  <si>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</si>
  <si>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</si>
  <si>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</si>
  <si>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</si>
  <si>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</si>
  <si>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</si>
  <si>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</si>
  <si>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</si>
  <si>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</si>
  <si>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</si>
  <si>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</si>
  <si>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</si>
  <si>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</si>
  <si>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</si>
  <si>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</si>
  <si>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</si>
  <si>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</si>
  <si>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</si>
  <si>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</si>
  <si>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</si>
  <si>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</si>
  <si>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</si>
  <si>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</si>
  <si>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</si>
  <si>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</si>
  <si>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</si>
  <si>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</si>
  <si>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</si>
  <si>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</si>
  <si>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</si>
  <si>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</si>
  <si>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</si>
  <si>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</si>
  <si>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</si>
  <si>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</si>
  <si>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</si>
  <si>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</si>
  <si>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</si>
  <si>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</si>
  <si>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</si>
  <si>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</si>
  <si>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</si>
  <si>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</si>
  <si>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</si>
  <si>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</si>
  <si>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</si>
  <si>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</si>
  <si>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</si>
  <si>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</si>
  <si>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</si>
  <si>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</si>
  <si>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</si>
  <si>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</si>
  <si>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</si>
  <si>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</si>
  <si>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</si>
  <si>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</si>
  <si>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</si>
  <si>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</si>
  <si>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</si>
  <si>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</si>
  <si>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</si>
  <si>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</si>
  <si>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</si>
  <si>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</si>
  <si>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</si>
  <si>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</si>
  <si>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</si>
  <si>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</si>
  <si>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</si>
  <si>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</si>
  <si>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</si>
  <si>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</si>
  <si>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</si>
  <si>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</si>
  <si>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</si>
  <si>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</si>
  <si>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</si>
  <si>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</si>
  <si>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</si>
  <si>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</si>
  <si>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</si>
  <si>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</si>
  <si>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</si>
  <si>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</si>
  <si>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</si>
  <si>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</si>
  <si>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</si>
  <si>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</si>
  <si>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</si>
  <si>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</si>
  <si>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</si>
  <si>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</si>
  <si>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</si>
  <si>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</si>
  <si>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</si>
  <si>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</si>
  <si>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</si>
  <si>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</si>
  <si>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</si>
  <si>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</si>
  <si>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</si>
  <si>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</si>
  <si>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</si>
  <si>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</si>
  <si>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</si>
  <si>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</si>
  <si>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</si>
  <si>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</si>
  <si>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</si>
  <si>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</si>
  <si>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</si>
  <si>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</si>
  <si>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</si>
  <si>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</si>
  <si>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</si>
  <si>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</si>
  <si>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</si>
  <si>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</si>
  <si>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</si>
  <si>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</si>
  <si>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</si>
  <si>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</si>
  <si>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</si>
  <si>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</si>
  <si>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</si>
  <si>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</si>
  <si>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</si>
  <si>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</si>
  <si>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</si>
  <si>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</si>
  <si>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</si>
  <si>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</si>
  <si>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</si>
  <si>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</si>
  <si>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</si>
  <si>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</si>
  <si>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</si>
  <si>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</si>
  <si>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</si>
  <si>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</si>
  <si>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</si>
  <si>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</si>
  <si>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</si>
  <si>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</si>
  <si>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</si>
  <si>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</si>
  <si>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</si>
  <si>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</si>
  <si>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</si>
  <si>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</si>
  <si>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</si>
  <si>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</si>
  <si>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</si>
  <si>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</si>
  <si>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</si>
  <si>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</si>
  <si>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</si>
  <si>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</si>
  <si>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</si>
  <si>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</si>
  <si>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</si>
  <si>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</si>
  <si>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</si>
  <si>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</si>
  <si>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</si>
  <si>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</si>
  <si>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</si>
  <si>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</si>
  <si>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</si>
  <si>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</si>
  <si>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</si>
  <si>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</si>
  <si>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</si>
  <si>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</si>
  <si>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</si>
  <si>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</si>
  <si>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</si>
  <si>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</si>
  <si>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</si>
  <si>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</si>
  <si>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</si>
  <si>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</si>
  <si>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</si>
  <si>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</si>
  <si>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</si>
  <si>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</si>
  <si>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</si>
  <si>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</si>
  <si>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</si>
  <si>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</si>
  <si>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</si>
  <si>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</si>
  <si>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</si>
  <si>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</si>
  <si>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</si>
  <si>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</si>
  <si>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</si>
  <si>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</si>
  <si>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</si>
  <si>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</si>
  <si>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</si>
  <si>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</si>
  <si>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</si>
  <si>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</si>
  <si>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</si>
  <si>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</si>
  <si>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</si>
  <si>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</si>
  <si>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</si>
  <si>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</si>
  <si>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</si>
  <si>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</si>
  <si>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</si>
  <si>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</si>
  <si>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</si>
  <si>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</si>
  <si>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</si>
  <si>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</si>
  <si>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</si>
  <si>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</si>
  <si>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</si>
  <si>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</si>
  <si>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</si>
  <si>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</si>
  <si>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</si>
  <si>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</si>
  <si>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</si>
  <si>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</si>
  <si>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</si>
  <si>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</si>
  <si>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</si>
  <si>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</si>
  <si>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</si>
  <si>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</si>
  <si>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</si>
  <si>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</si>
  <si>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</si>
  <si>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</si>
  <si>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</si>
  <si>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</si>
  <si>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</si>
  <si>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</si>
  <si>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</si>
  <si>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</si>
  <si>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</si>
  <si>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</si>
  <si>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</si>
  <si>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</si>
  <si>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</si>
  <si>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</si>
  <si>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</si>
  <si>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</si>
  <si>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</si>
  <si>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</si>
  <si>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</si>
  <si>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</si>
  <si>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</si>
  <si>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</si>
  <si>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</si>
  <si>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</si>
  <si>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</si>
  <si>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</si>
  <si>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</si>
  <si>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</si>
  <si>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</si>
  <si>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</si>
  <si>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</si>
  <si>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</si>
  <si>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</si>
  <si>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</si>
  <si>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</si>
  <si>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</si>
  <si>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</si>
  <si>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</si>
  <si>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</si>
  <si>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</si>
  <si>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</si>
  <si>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</si>
  <si>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</si>
  <si>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</si>
  <si>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</si>
  <si>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</si>
  <si>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</si>
  <si>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</si>
  <si>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</si>
  <si>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</si>
  <si>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</si>
  <si>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</si>
  <si>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</si>
  <si>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</si>
  <si>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</si>
  <si>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</si>
  <si>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</si>
  <si>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</si>
  <si>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</si>
  <si>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</si>
  <si>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</si>
  <si>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</si>
  <si>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</si>
  <si>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</si>
  <si>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</si>
  <si>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</si>
  <si>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</si>
  <si>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</si>
  <si>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</si>
  <si>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</si>
  <si>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</si>
  <si>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</si>
  <si>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</si>
  <si>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</si>
  <si>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</si>
  <si>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</si>
  <si>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</si>
  <si>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</si>
  <si>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</si>
  <si>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</si>
  <si>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</si>
  <si>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</si>
  <si>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</si>
  <si>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</si>
  <si>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</si>
  <si>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</si>
  <si>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</si>
  <si>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</si>
  <si>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</si>
  <si>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</si>
  <si>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</si>
  <si>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</si>
  <si>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</si>
  <si>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</si>
  <si>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</si>
  <si>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</si>
  <si>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</si>
  <si>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</si>
  <si>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</si>
  <si>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</si>
  <si>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</si>
  <si>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</si>
  <si>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</si>
  <si>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</si>
  <si>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</si>
  <si>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</si>
  <si>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</si>
  <si>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</si>
  <si>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</si>
  <si>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</si>
  <si>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</si>
  <si>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</si>
  <si>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</si>
  <si>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</si>
  <si>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</si>
  <si>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</si>
  <si>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</si>
  <si>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</si>
  <si>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</si>
  <si>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</si>
  <si>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</si>
  <si>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</si>
  <si>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</si>
  <si>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</si>
  <si>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</si>
  <si>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</si>
  <si>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</si>
  <si>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</si>
  <si>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</si>
  <si>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</si>
  <si>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</si>
  <si>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</si>
  <si>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</si>
  <si>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</si>
  <si>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</si>
  <si>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</si>
  <si>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</si>
  <si>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</si>
  <si>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</si>
  <si>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</si>
  <si>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</si>
  <si>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</si>
  <si>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</si>
  <si>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</si>
  <si>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</si>
  <si>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</si>
  <si>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</si>
  <si>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</si>
  <si>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</si>
  <si>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</si>
  <si>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</si>
  <si>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</si>
  <si>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</si>
  <si>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</si>
  <si>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</si>
  <si>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</si>
  <si>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</si>
  <si>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</si>
  <si>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</si>
  <si>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</si>
  <si>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</si>
  <si>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</si>
  <si>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</si>
  <si>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</si>
  <si>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</si>
  <si>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</si>
  <si>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</si>
  <si>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</si>
  <si>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</si>
  <si>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</si>
  <si>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</si>
  <si>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</si>
  <si>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</si>
  <si>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</si>
  <si>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</si>
  <si>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</si>
  <si>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</si>
  <si>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</si>
  <si>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</si>
  <si>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</si>
  <si>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</si>
  <si>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</si>
  <si>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</si>
  <si>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</si>
  <si>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</si>
  <si>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</si>
  <si>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</si>
  <si>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</si>
  <si>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</si>
  <si>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</si>
  <si>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</si>
  <si>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</si>
  <si>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</si>
  <si>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</si>
  <si>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</si>
  <si>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</si>
  <si>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</si>
  <si>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</si>
  <si>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</si>
  <si>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</si>
  <si>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</si>
  <si>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</si>
  <si>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Bluetooth Bluetooth v4.2 Transceiver Module 2.402GHz ~ 2.48GHz Integrated, Chip Surface Mount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</si>
  <si>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</si>
  <si>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</si>
  <si>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</si>
  <si>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</si>
  <si>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</si>
  <si>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</si>
  <si>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</si>
  <si>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</si>
  <si>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</si>
  <si>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</si>
  <si>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</si>
  <si>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</si>
  <si>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</si>
  <si>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</si>
  <si>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</si>
  <si>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</si>
  <si>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</si>
  <si>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</si>
  <si>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</si>
  <si>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</si>
  <si>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</si>
  <si>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</si>
  <si>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</si>
  <si>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R5,R8,R9,R12</t>
  </si>
  <si>
    <t>R11,R13</t>
  </si>
  <si>
    <t>T3</t>
  </si>
  <si>
    <t>U7</t>
  </si>
  <si>
    <t>Lampe solaire v6</t>
  </si>
  <si>
    <t>LampeSolaire_v6</t>
  </si>
  <si>
    <t>W2..5</t>
  </si>
  <si>
    <t>X2,X4,X6,SC1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</si>
  <si>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</si>
  <si>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</si>
  <si>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</si>
  <si>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</si>
  <si>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</si>
  <si>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</si>
  <si>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</si>
  <si>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</si>
  <si>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</si>
  <si>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</si>
  <si>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</si>
  <si>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</si>
  <si>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</si>
  <si>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Part Number</t>
  </si>
  <si>
    <t>Manufacturer Part Number</t>
  </si>
  <si>
    <t>Customer Reference</t>
  </si>
  <si>
    <t>Backorder</t>
  </si>
  <si>
    <t>Extended Price</t>
  </si>
  <si>
    <t>RF TXRX MOD ISM&lt;1GHZ TRACE ANT</t>
  </si>
  <si>
    <t/>
  </si>
  <si>
    <t>8,27000</t>
  </si>
  <si>
    <t>16.54 Fr.</t>
  </si>
  <si>
    <t>CONN RCPT 36POS 0.1 TIN PCB</t>
  </si>
  <si>
    <t>3,15000</t>
  </si>
  <si>
    <t>6.30 Fr.</t>
  </si>
  <si>
    <t>0,40900</t>
  </si>
  <si>
    <t>4.09 Fr.</t>
  </si>
  <si>
    <t>2,02000</t>
  </si>
  <si>
    <t>4.04 Fr.</t>
  </si>
  <si>
    <t>RELAY TELECOM DPDT 2A 3VDC</t>
  </si>
  <si>
    <t>3,72000</t>
  </si>
  <si>
    <t>3.72 Fr.</t>
  </si>
  <si>
    <t>1,80000</t>
  </si>
  <si>
    <t>3.60 Fr.</t>
  </si>
  <si>
    <t>0,60000</t>
  </si>
  <si>
    <t>0,46000</t>
  </si>
  <si>
    <t>2.76 Fr.</t>
  </si>
  <si>
    <t>CONN SOCKET 26-30AWG CRIMP TIN</t>
  </si>
  <si>
    <t>0,06550</t>
  </si>
  <si>
    <t>6.55 Fr.</t>
  </si>
  <si>
    <t>0,99000</t>
  </si>
  <si>
    <t>3.96 Fr.</t>
  </si>
  <si>
    <t>0,94000</t>
  </si>
  <si>
    <t>3.76 Fr.</t>
  </si>
  <si>
    <t>0,29200</t>
  </si>
  <si>
    <t>2.92 Fr.</t>
  </si>
  <si>
    <t>0,11300</t>
  </si>
  <si>
    <t>1.13 Fr.</t>
  </si>
  <si>
    <t>1.20 Fr.</t>
  </si>
  <si>
    <t>0,57000</t>
  </si>
  <si>
    <t>1.14 Fr.</t>
  </si>
  <si>
    <t>0,17100</t>
  </si>
  <si>
    <t>1.71 Fr.</t>
  </si>
  <si>
    <t>0,16200</t>
  </si>
  <si>
    <t>1.62 Fr.</t>
  </si>
  <si>
    <t>0,03210</t>
  </si>
  <si>
    <t>3.21 Fr.</t>
  </si>
  <si>
    <t>0,48000</t>
  </si>
  <si>
    <t>0.96 Fr.</t>
  </si>
  <si>
    <t>0,13200</t>
  </si>
  <si>
    <t>1.32 Fr.</t>
  </si>
  <si>
    <t>0,32200</t>
  </si>
  <si>
    <t>3.22 Fr.</t>
  </si>
  <si>
    <t>0,08400</t>
  </si>
  <si>
    <t>0.84 Fr.</t>
  </si>
  <si>
    <t>0,18000</t>
  </si>
  <si>
    <t>0.54 Fr.</t>
  </si>
  <si>
    <t>0,17000</t>
  </si>
  <si>
    <t>0.51 Fr.</t>
  </si>
  <si>
    <t>CAP CER 1UF 25V X7R 0805</t>
  </si>
  <si>
    <t>0,08100</t>
  </si>
  <si>
    <t>0,12000</t>
  </si>
  <si>
    <t>CAP CER 0.47UF 25V X7R 0805</t>
  </si>
  <si>
    <t>0,10300</t>
  </si>
  <si>
    <t>1.03 Fr.</t>
  </si>
  <si>
    <t>CAP CER 4700PF 25V X7R 0805</t>
  </si>
  <si>
    <t>0,03600</t>
  </si>
  <si>
    <t>0.36 Fr.</t>
  </si>
  <si>
    <t>3,89000</t>
  </si>
  <si>
    <t>3.89 Fr.</t>
  </si>
  <si>
    <t>CAP CER 0.1UF 50V X7R 0805</t>
  </si>
  <si>
    <t>0,02690</t>
  </si>
  <si>
    <t>2.69 Fr.</t>
  </si>
  <si>
    <t>CONN HEADER VERT 36POS 2.54MM</t>
  </si>
  <si>
    <t>0,79000</t>
  </si>
  <si>
    <t>1.58 Fr.</t>
  </si>
  <si>
    <t>CONN JUMPER SHORTING .100" GOLD</t>
  </si>
  <si>
    <t>0,03820</t>
  </si>
  <si>
    <t>1.91 Fr.</t>
  </si>
  <si>
    <t>Subtotal</t>
  </si>
  <si>
    <t>99.40 Fr.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</si>
  <si>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</si>
  <si>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</si>
  <si>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</si>
  <si>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</si>
  <si>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</si>
  <si>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</si>
  <si>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</si>
  <si>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</si>
  <si>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</si>
  <si>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</si>
  <si>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</si>
  <si>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</si>
  <si>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</si>
  <si>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</si>
  <si>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</si>
  <si>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</si>
  <si>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</si>
  <si>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</si>
  <si>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</si>
  <si>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</si>
  <si>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</si>
  <si>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</si>
  <si>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</si>
  <si>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</si>
  <si>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</si>
  <si>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</si>
  <si>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</si>
  <si>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</si>
  <si>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</si>
  <si>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</si>
  <si>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</si>
  <si>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</si>
  <si>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</si>
  <si>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</si>
  <si>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</si>
  <si>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</si>
  <si>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</si>
  <si>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</si>
  <si>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x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</si>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</sst>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7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78"/>
      <tableStyleElement type="headerRow" dxfId="2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55" totalsRowShown="0" headerRowDxfId="276">
  <autoFilter ref="A1:F755" xr:uid="{BDAE12D6-129D-4B55-B01B-D1493E590308}"/>
  <tableColumns count="6">
    <tableColumn id="1" xr3:uid="{F20AB9A4-F1CA-4493-AFCA-1ECFD6C72926}" name="Date" dataDxfId="275"/>
    <tableColumn id="2" xr3:uid="{9E5C5770-C960-45BB-8115-75DB62A3B16C}" name="Article Number" dataDxfId="274"/>
    <tableColumn id="5" xr3:uid="{16BFD56B-B56A-4848-9201-68C2F28CFA64}" name="Modification" dataDxfId="273"/>
    <tableColumn id="3" xr3:uid="{10BA92E7-A8AC-46B9-9939-48EDBF630513}" name="Stock Before" dataDxfId="272"/>
    <tableColumn id="4" xr3:uid="{89A58CF5-EDCB-4EF1-963E-E9EB1A0CCFEF}" name="Stock After" dataDxfId="271"/>
    <tableColumn id="6" xr3:uid="{FF179CF1-10A5-4445-94E5-D3770F8EB2DA}" name="INFO" dataDxfId="2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69" dataDxfId="267" headerRowBorderDxfId="268" tableBorderDxfId="26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65" totalsRowDxfId="264"/>
    <tableColumn id="1" xr3:uid="{B10D53AF-03D1-4287-B98C-B2EBD99019D4}" name="Ret. Art. Number" dataDxfId="263" totalsRowDxfId="262"/>
    <tableColumn id="3" xr3:uid="{4C487402-2AAB-4AF3-BE67-7394C36C842C}" name="Manufacturer" dataDxfId="261" totalsRowDxfId="260"/>
    <tableColumn id="4" xr3:uid="{8EC0DC8E-76AD-4B9F-83B7-1A0DD14BB27F}" name="Retailer" dataDxfId="259" totalsRowDxfId="258"/>
    <tableColumn id="5" xr3:uid="{F034F88F-58E3-461F-AA98-A329A317450C}" name="Place" dataDxfId="257" totalsRowDxfId="256"/>
    <tableColumn id="6" xr3:uid="{270626A5-5AC9-4B4B-BFA1-CB61FB278FF7}" name="Description" dataDxfId="255" totalsRowDxfId="254"/>
    <tableColumn id="7" xr3:uid="{6AED47F2-55E6-446F-831B-A118A7B0B1ED}" name="In stock" dataDxfId="253" totalsRowDxfId="252"/>
    <tableColumn id="8" xr3:uid="{AC92F839-E54E-493C-ABE5-5E0757E61859}" name="Min Stock" dataDxfId="251" totalsRowDxfId="250"/>
    <tableColumn id="11" xr3:uid="{FA19872E-A366-497E-9D69-828A97ECF042}" name="Unit price" dataDxfId="249" totalsRowDxfId="248"/>
    <tableColumn id="13" xr3:uid="{EA825846-8448-46C3-B6A4-847B2F364E4E}" name="Quantity" dataDxfId="247" totalsRowDxfId="24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45" totalsRowDxfId="244">
      <calculatedColumnFormula>Table8[[#This Row],[Quantity]]*Table8[[#This Row],[Unit price]]</calculatedColumnFormula>
    </tableColumn>
    <tableColumn id="9" xr3:uid="{CF148814-A309-4554-8503-283AD3C9BC12}" name="Bulk Add" dataDxfId="243" totalsRowDxfId="24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57" totalsRowShown="0" headerRowDxfId="241" dataDxfId="240" tableBorderDxfId="239">
  <autoFilter ref="A1:AC1057" xr:uid="{D4CB05D4-73DA-43F1-913F-071595400883}"/>
  <tableColumns count="29">
    <tableColumn id="1" xr3:uid="{435165AF-465B-418C-8DDE-9CFA2D278BBE}" name="Art. Number" dataDxfId="238" totalsRowDxfId="237"/>
    <tableColumn id="2" xr3:uid="{FBC6B9C9-57F8-45DA-AF22-C249E2B185F4}" name="Manufacturer" dataDxfId="236" totalsRowDxfId="235"/>
    <tableColumn id="3" xr3:uid="{288AF9C9-A6A1-4913-A84A-1B41F0951CD7}" name="Place" dataDxfId="234" totalsRowDxfId="233"/>
    <tableColumn id="4" xr3:uid="{991CB349-C1A2-4024-AD86-41FE070F01AA}" name="Description" dataDxfId="232" totalsRowDxfId="231"/>
    <tableColumn id="28" xr3:uid="{2D19DEDD-0807-4720-910B-711676B70DD0}" name="Category" dataDxfId="230"/>
    <tableColumn id="5" xr3:uid="{AF531B20-C2C7-43E4-88F6-C002EAFA6EF0}" name="In stock" dataDxfId="229" totalsRowDxfId="228"/>
    <tableColumn id="6" xr3:uid="{4AE22FEC-1D74-4166-880B-DE3C3B0F48C3}" name="Min in stock" dataDxfId="227" totalsRowDxfId="226"/>
    <tableColumn id="7" xr3:uid="{DDF25EC9-10A6-4A51-A3FF-5F173DC0429C}" name="Auto Order" dataDxfId="225" totalsRowDxfId="224"/>
    <tableColumn id="8" xr3:uid="{8FB77B6F-1796-445F-A628-6683E80A406B}" name="Default Art. Number" dataDxfId="223" totalsRowDxfId="222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21" totalsRowDxfId="220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19" totalsRowDxfId="218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17" totalsRowDxfId="216"/>
    <tableColumn id="11" xr3:uid="{904ACEAE-3EBB-4B5A-B40F-F27BEC67197D}" name="Unit price - Digikey" dataDxfId="215" totalsRowDxfId="214"/>
    <tableColumn id="12" xr3:uid="{1C8E6FC8-F976-4331-BE85-AE9F5CCE5385}" name="Farnell" dataDxfId="213" totalsRowDxfId="212"/>
    <tableColumn id="13" xr3:uid="{9CEB0B0D-E776-4EE1-BA17-F20F36573DF1}" name="Unit price - Farnell" dataDxfId="211" totalsRowDxfId="210"/>
    <tableColumn id="14" xr3:uid="{4835AE8C-6AA4-4E3D-AA3C-47D081785B10}" name="Distrelec" dataDxfId="209" totalsRowDxfId="208"/>
    <tableColumn id="15" xr3:uid="{CFC19F72-EB6A-4DA4-8140-6E03AC8C87E2}" name="Unit price - Distrelec" dataDxfId="207" totalsRowDxfId="206"/>
    <tableColumn id="16" xr3:uid="{440F2FEC-A527-4DB9-8F02-E02C455DD168}" name="Conrad" dataDxfId="205" totalsRowDxfId="204"/>
    <tableColumn id="17" xr3:uid="{C15F9ED7-FCDD-4ED8-8193-766AD4AACE12}" name="Unit price - Conrad" dataDxfId="203" totalsRowDxfId="202"/>
    <tableColumn id="18" xr3:uid="{E8BE4F49-80E3-4D58-8712-2588048DD5B2}" name="Mouser" dataDxfId="201" totalsRowDxfId="200"/>
    <tableColumn id="19" xr3:uid="{71B82CF1-AA7C-485A-B22F-DFCA002E3E0B}" name="Unit price - Mouser" dataDxfId="199" totalsRowDxfId="198"/>
    <tableColumn id="20" xr3:uid="{B372D927-D0BD-4305-A32A-0C014ACEEBAB}" name="Aliexpress" dataDxfId="197" totalsRowDxfId="196"/>
    <tableColumn id="21" xr3:uid="{56A9B167-940C-4D6B-8B5D-F91623F90BD6}" name="Unit price - Aliexpress" dataDxfId="195" totalsRowDxfId="194"/>
    <tableColumn id="22" xr3:uid="{2E67C835-F42C-4886-A3E6-A86A66CF03DE}" name="Banggood" dataDxfId="193" totalsRowDxfId="192"/>
    <tableColumn id="23" xr3:uid="{96EE1B48-7059-4798-A1ED-B830DB9D7D70}" name="Unit price - Banggood" dataDxfId="191" totalsRowDxfId="190"/>
    <tableColumn id="29" xr3:uid="{D6F9B11D-16CF-4797-AFD2-F208CE8FD675}" name="Other - Name" dataDxfId="189" totalsRowDxfId="188"/>
    <tableColumn id="24" xr3:uid="{DFC2A0A6-4951-479C-8775-526D9FDB26B4}" name="Other" dataDxfId="187" totalsRowDxfId="186"/>
    <tableColumn id="25" xr3:uid="{09619815-DA2C-43CD-A998-2BAAC30ACE14}" name="Unit price - Other" dataDxfId="185" totalsRowDxfId="184"/>
    <tableColumn id="26" xr3:uid="{CBAAFE5B-29D9-4E86-8241-3FA6E46052BB}" name="In next order" dataDxfId="183" totalsRowDxfId="182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3" totalsRowCount="1" headerRowDxfId="181" dataDxfId="179" headerRowBorderDxfId="180">
  <autoFilter ref="A1:I42" xr:uid="{06E2CB8E-61AB-472E-BCF2-E6E1E6F7BC5B}"/>
  <sortState ref="A2:I41">
    <sortCondition ref="C1:C41"/>
  </sortState>
  <tableColumns count="9">
    <tableColumn id="2" xr3:uid="{6A5C3A86-C379-42A1-8BAF-BF929C9C4EDA}" name="Man. Number" totalsRowLabel="Total" dataDxfId="178" totalsRowDxfId="26"/>
    <tableColumn id="5" xr3:uid="{E0A4C7BE-9780-40B2-9139-D4958FD92F57}" name="Description" dataDxfId="177" totalsRowDxfId="25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176" totalsRowDxfId="24"/>
    <tableColumn id="8" xr3:uid="{DE9DE279-0ECD-46C6-B40F-146EE0CF2811}" name="Quantity" dataDxfId="175" totalsRowDxfId="23"/>
    <tableColumn id="6" xr3:uid="{9281657B-B3CE-4A4B-90BB-A2508C24B80E}" name="In stock" dataDxfId="174" totalsRowDxfId="22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73" totalsRowDxfId="21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72" totalsRowDxfId="20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71" totalsRowDxfId="19">
      <calculatedColumnFormula>Table14113[[#This Row],[Quantity]]*$L$1</calculatedColumnFormula>
    </tableColumn>
    <tableColumn id="4" xr3:uid="{21625822-F558-4C24-A1DF-CA1415AF72CC}" name="Total available" dataDxfId="170" totalsRowDxfId="18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69" dataDxfId="167" headerRowBorderDxfId="168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66" totalsRowDxfId="17"/>
    <tableColumn id="5" xr3:uid="{0807D2E3-C08E-4A05-95EC-685278834536}" name="Description" dataDxfId="165" totalsRowDxfId="1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64" totalsRowDxfId="15"/>
    <tableColumn id="8" xr3:uid="{27D63D9B-1923-4857-A374-5FF3D8D6B64C}" name="Quantity" dataDxfId="163" totalsRowDxfId="14"/>
    <tableColumn id="6" xr3:uid="{39724770-BCF0-4F8C-A311-212B97612672}" name="In stock" dataDxfId="162" totalsRowDxfId="1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1" totalsRowDxfId="12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0" totalsRowDxfId="11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59" totalsRowDxfId="10">
      <calculatedColumnFormula>Table1411[[#This Row],[Quantity]]*$L$1</calculatedColumnFormula>
    </tableColumn>
    <tableColumn id="4" xr3:uid="{CEA2F06F-2F21-492E-B2A3-DF977A078F50}" name="Total available" dataDxfId="158" totalsRowDxfId="9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7" dataDxfId="155" headerRowBorderDxfId="156">
  <autoFilter ref="A1:I40" xr:uid="{06E2CB8E-61AB-472E-BCF2-E6E1E6F7BC5B}"/>
  <tableColumns count="9">
    <tableColumn id="2" xr3:uid="{A92087CE-B74E-49AD-99FE-90DBB817C1AC}" name="Man. Number" totalsRowLabel="Total" dataDxfId="154" totalsRowDxfId="8"/>
    <tableColumn id="5" xr3:uid="{B1418FC9-8422-4A82-9D50-1C20CEF4A1DB}" name="Description" dataDxfId="153" totalsRowDxfId="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52" totalsRowDxfId="6"/>
    <tableColumn id="8" xr3:uid="{D163A9E2-18FC-4EE8-99AB-60D6C92BBDB6}" name="Quantity" dataDxfId="151" totalsRowDxfId="5"/>
    <tableColumn id="6" xr3:uid="{1583B055-BD93-4929-B8EC-DA75D23B688F}" name="In stock" dataDxfId="150" totalsRowDxfId="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9" totalsRowDxfId="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8" totalsRowDxfId="2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7" totalsRowDxfId="1">
      <calculatedColumnFormula>Table14[[#This Row],[Quantity]]*$L$1</calculatedColumnFormula>
    </tableColumn>
    <tableColumn id="4" xr3:uid="{3C7D2E86-E417-47F0-B642-14D96896F255}" name="Total available" dataDxfId="146" totalsRowDxfId="0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45" dataDxfId="143" headerRowBorderDxfId="144">
  <autoFilter ref="A1:I15" xr:uid="{06E2CB8E-61AB-472E-BCF2-E6E1E6F7BC5B}"/>
  <tableColumns count="9">
    <tableColumn id="2" xr3:uid="{9E0E6405-0958-4064-8395-03A32BA24ED3}" name="Man. Number" dataDxfId="142" totalsRowDxfId="141"/>
    <tableColumn id="5" xr3:uid="{BA21CA97-DCD9-408A-9894-96A639A19D11}" name="Description" dataDxfId="140" totalsRowDxfId="139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38" totalsRowDxfId="137"/>
    <tableColumn id="8" xr3:uid="{79E97D26-BF86-43B2-AEF5-CE725327DF74}" name="Quantity" dataDxfId="136" totalsRowDxfId="135"/>
    <tableColumn id="6" xr3:uid="{55CA5BD7-34A5-4A62-9044-29A0D9B81880}" name="In stock" dataDxfId="134" totalsRowDxfId="133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32" totalsRowDxfId="131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30" totalsRowDxfId="129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28" totalsRowDxfId="127">
      <calculatedColumnFormula>Table146[[#This Row],[Quantity]]*$L$1</calculatedColumnFormula>
    </tableColumn>
    <tableColumn id="4" xr3:uid="{04D63216-7DC3-4D59-A043-09BBD0852B90}" name="Total available" dataDxfId="126" totalsRowDxfId="1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I38" totalsRowCount="1" headerRowDxfId="124" dataDxfId="122" headerRowBorderDxfId="123">
  <autoFilter ref="A1:I37" xr:uid="{06E2CB8E-61AB-472E-BCF2-E6E1E6F7BC5B}"/>
  <sortState ref="A2:I35">
    <sortCondition ref="C1:C35"/>
  </sortState>
  <tableColumns count="9">
    <tableColumn id="2" xr3:uid="{3629DA92-593D-4F40-A0B8-3F24998F56AA}" name="Man. Number" totalsRowLabel="Total" dataDxfId="121" totalsRowDxfId="120"/>
    <tableColumn id="5" xr3:uid="{8149F83F-B4D5-4C51-A87E-B863B43D92B1}" name="Description" dataDxfId="119" totalsRowDxfId="118">
      <calculatedColumnFormula>VLOOKUP(Table14681012[[#This Row],[Man. Number]],Articles!A:F,COLUMN(Articles!$D$1)-COLUMN(Articles!$A$1)+1,FALSE)</calculatedColumnFormula>
    </tableColumn>
    <tableColumn id="7" xr3:uid="{AA8B9CFD-678B-49D8-AB03-0D4C14F65D56}" name="Reference" totalsRowLabel="x" dataDxfId="117" totalsRowDxfId="116"/>
    <tableColumn id="8" xr3:uid="{4A2F7A9A-01D2-44CD-B775-ECE675E39975}" name="Quantity" dataDxfId="115" totalsRowDxfId="114"/>
    <tableColumn id="6" xr3:uid="{E35C4648-7918-49E6-8585-13FE1A3EB382}" name="In stock" dataDxfId="113" totalsRowDxfId="112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11" totalsRowDxfId="110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09" totalsRowDxfId="108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07" totalsRowDxfId="106">
      <calculatedColumnFormula>Table14681012[[#This Row],[Quantity]]*$L$1</calculatedColumnFormula>
    </tableColumn>
    <tableColumn id="4" xr3:uid="{B277331F-9B8C-48C1-AF3B-39B0DF714F6F}" name="Total available" dataDxfId="105" totalsRowDxfId="104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03" dataDxfId="101" headerRowBorderDxfId="102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00" totalsRowDxfId="99"/>
    <tableColumn id="5" xr3:uid="{EE74CBB7-B4AE-4E4F-A276-4111D2262064}" name="Description" dataDxfId="98" totalsRowDxfId="97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96" totalsRowDxfId="95"/>
    <tableColumn id="8" xr3:uid="{C50EC552-0304-4799-AAF5-38B8D35A381E}" name="Quantity" dataDxfId="94" totalsRowDxfId="93"/>
    <tableColumn id="6" xr3:uid="{F740468C-0E09-4D56-BD5D-693ECC8337EF}" name="In stock" dataDxfId="92" totalsRowDxfId="91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90" totalsRowDxfId="89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88" totalsRowDxfId="87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86" totalsRowDxfId="85">
      <calculatedColumnFormula>Table146810[[#This Row],[Quantity]]*$L$1</calculatedColumnFormula>
    </tableColumn>
    <tableColumn id="4" xr3:uid="{562176AD-2473-43BF-B998-A5B71A21527C}" name="Total available" dataDxfId="84" totalsRowDxfId="8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82" dataDxfId="80" headerRowBorderDxfId="81">
  <autoFilter ref="A1:I2" xr:uid="{06E2CB8E-61AB-472E-BCF2-E6E1E6F7BC5B}"/>
  <tableColumns count="9">
    <tableColumn id="2" xr3:uid="{82F37E31-D1D4-4FFD-A09E-64F3B03018B7}" name="Man. Number" totalsRowLabel="Total" dataDxfId="79" totalsRowDxfId="78"/>
    <tableColumn id="5" xr3:uid="{524F6B01-486E-4166-AE6A-BDBA58BD1A60}" name="Description" dataDxfId="77" totalsRowDxfId="7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75" totalsRowDxfId="74"/>
    <tableColumn id="8" xr3:uid="{A834D686-252C-4BF4-9FDE-28A4A6AFDD1F}" name="Quantity" dataDxfId="73" totalsRowDxfId="72"/>
    <tableColumn id="6" xr3:uid="{66DB620F-4FDE-44EB-BF35-96CAEBE4C1C6}" name="In stock" dataDxfId="71" totalsRowDxfId="7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69" totalsRowDxfId="6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67" totalsRowDxfId="6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65" totalsRowDxfId="64">
      <calculatedColumnFormula>Table1468[[#This Row],[Quantity]]*$L$1</calculatedColumnFormula>
    </tableColumn>
    <tableColumn id="4" xr3:uid="{56337732-A0D6-4CED-A2E1-0A9BD957CBCA}" name="Total available" dataDxfId="63" totalsRowDxfId="6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2" totalsRowShown="0">
  <autoFilter ref="A6:C12" xr:uid="{872FC7A3-44C5-4B5B-B3BD-3A0E54A1C252}"/>
  <sortState ref="A7:C12">
    <sortCondition ref="A6:A10"/>
  </sortState>
  <tableColumns count="3">
    <tableColumn id="1" xr3:uid="{79A80DDF-8238-4698-90CE-9D2101A7FB4D}" name="Index" dataDxfId="6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55"/>
  <sheetViews>
    <sheetView tabSelected="1" workbookViewId="0">
      <pane ySplit="1" topLeftCell="A729" activePane="bottomLeft" state="frozen"/>
      <selection pane="bottomLeft" activeCell="F755" sqref="F755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3391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3392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3396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3404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3407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3409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3423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3423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3407</v>
      </c>
      <c r="C650" s="12" t="s">
        <v>404</v>
      </c>
      <c r="D650" s="12">
        <v>0</v>
      </c>
      <c r="E650" s="12">
        <v>5</v>
      </c>
      <c r="F650" s="3" t="s">
        <v>3428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3428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3432</v>
      </c>
      <c r="F652" s="3" t="s">
        <v>3433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3512</v>
      </c>
      <c r="F654" s="3" t="s">
        <v>3433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3513</v>
      </c>
      <c r="F655" s="3" t="s">
        <v>3433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3514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3514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3514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3514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3514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3514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3514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3514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3514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3514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3514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3514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3514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3514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3514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3514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3514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3514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3514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3514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3514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3514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3514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3514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3514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3514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3514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3514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3514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3514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3514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3514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3514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3514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3514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3514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3514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3514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3514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3426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3515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3516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3519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3522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3527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3530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3533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3536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3539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3549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3544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3553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3559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3559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3559</v>
      </c>
    </row>
    <row r="747" spans="1:6" x14ac:dyDescent="0.25">
      <c r="A747" s="38">
        <v>43634.029953703706</v>
      </c>
      <c r="B747" s="3" t="s">
        <v>3027</v>
      </c>
      <c r="C747" s="12" t="s">
        <v>3432</v>
      </c>
      <c r="D747" s="12">
        <v>8</v>
      </c>
      <c r="E747" s="12">
        <v>10</v>
      </c>
      <c r="F747" s="3" t="s">
        <v>3559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3559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3559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3559</v>
      </c>
    </row>
    <row r="751" spans="1:6" x14ac:dyDescent="0.25">
      <c r="A751" s="38">
        <v>43634.030104166668</v>
      </c>
      <c r="B751" s="3" t="s">
        <v>2973</v>
      </c>
      <c r="C751" s="12" t="s">
        <v>3432</v>
      </c>
      <c r="D751" s="12">
        <v>4</v>
      </c>
      <c r="E751" s="12">
        <v>6</v>
      </c>
      <c r="F751" s="3" t="s">
        <v>3559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3559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3559</v>
      </c>
    </row>
    <row r="754" spans="1:6" x14ac:dyDescent="0.25">
      <c r="A754" s="38">
        <v>43634.031168981484</v>
      </c>
      <c r="B754" s="3" t="s">
        <v>3015</v>
      </c>
      <c r="C754" s="12" t="s">
        <v>3513</v>
      </c>
      <c r="D754" s="12">
        <v>7</v>
      </c>
      <c r="E754" s="12">
        <v>10</v>
      </c>
      <c r="F754" s="3" t="s">
        <v>3559</v>
      </c>
    </row>
    <row r="755" spans="1:6" x14ac:dyDescent="0.25">
      <c r="A755" s="38">
        <v>43634.031226851854</v>
      </c>
      <c r="B755" s="3" t="s">
        <v>2958</v>
      </c>
      <c r="C755" s="12" t="s">
        <v>3513</v>
      </c>
      <c r="D755" s="12">
        <v>3</v>
      </c>
      <c r="E755" s="12">
        <v>6</v>
      </c>
      <c r="F755" s="3" t="s">
        <v>3559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475</v>
      </c>
      <c r="G2" s="18" t="s">
        <v>484</v>
      </c>
      <c r="J2" s="18" t="s">
        <v>483</v>
      </c>
    </row>
    <row r="3" spans="1:11" x14ac:dyDescent="0.25">
      <c r="B3" s="66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6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6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66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66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66" t="s">
        <v>478</v>
      </c>
      <c r="J11" t="s">
        <v>438</v>
      </c>
    </row>
    <row r="12" spans="1:11" x14ac:dyDescent="0.25">
      <c r="A12" s="36"/>
      <c r="B12" s="66"/>
      <c r="J12" t="s">
        <v>439</v>
      </c>
    </row>
    <row r="13" spans="1:11" x14ac:dyDescent="0.25">
      <c r="J13" t="s">
        <v>440</v>
      </c>
    </row>
    <row r="14" spans="1:11" x14ac:dyDescent="0.25">
      <c r="B14" s="66" t="s">
        <v>554</v>
      </c>
      <c r="J14" t="s">
        <v>441</v>
      </c>
    </row>
    <row r="15" spans="1:11" x14ac:dyDescent="0.25">
      <c r="B15" s="66"/>
    </row>
    <row r="17" spans="2:2" x14ac:dyDescent="0.25">
      <c r="B17" s="66" t="s">
        <v>3368</v>
      </c>
    </row>
    <row r="18" spans="2:2" x14ac:dyDescent="0.25">
      <c r="B18" s="66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4" sqref="L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57"/>
  <sheetViews>
    <sheetView zoomScaleNormal="100" workbookViewId="0">
      <pane ySplit="1" topLeftCell="A57" activePane="bottomLeft" state="frozen"/>
      <selection activeCell="B186" sqref="B186"/>
      <selection pane="bottomLeft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7.85546875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3518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3422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3431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3431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3431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>
        <v>1</v>
      </c>
      <c r="H56" s="45">
        <f>1</f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335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3517</v>
      </c>
      <c r="D58" s="33" t="s">
        <v>227</v>
      </c>
      <c r="E58" s="33" t="s">
        <v>526</v>
      </c>
      <c r="F58" s="45">
        <v>16</v>
      </c>
      <c r="G58" s="45">
        <v>20</v>
      </c>
      <c r="H58" s="45"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165</v>
      </c>
      <c r="C90" s="33" t="s">
        <v>335</v>
      </c>
      <c r="D90" s="33" t="s">
        <v>175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3423</v>
      </c>
      <c r="B118" s="33" t="s">
        <v>234</v>
      </c>
      <c r="C118" s="33" t="s">
        <v>335</v>
      </c>
      <c r="D118" s="33" t="s">
        <v>3424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3425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>
        <v>5</v>
      </c>
      <c r="H124" s="45">
        <v>1</v>
      </c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>
        <f>IF(Table1[[#This Row],[Auto Order]]=1,IF(Table1[[#This Row],[In stock]]&lt;Table1[[#This Row],[Min in stock]],1,""),"")</f>
        <v>1</v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>
        <v>5</v>
      </c>
      <c r="H136" s="45">
        <v>1</v>
      </c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>
        <f>IF(Table1[[#This Row],[Auto Order]]=1,IF(Table1[[#This Row],[In stock]]&lt;Table1[[#This Row],[Min in stock]],1,""),"")</f>
        <v>1</v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>
        <v>5</v>
      </c>
      <c r="H139" s="45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>
        <f>IF(Table1[[#This Row],[Auto Order]]=1,IF(Table1[[#This Row],[In stock]]&lt;Table1[[#This Row],[Min in stock]],1,""),"")</f>
        <v>1</v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>
        <v>5</v>
      </c>
      <c r="H153" s="45">
        <v>1</v>
      </c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>
        <f>IF(Table1[[#This Row],[Auto Order]]=1,IF(Table1[[#This Row],[In stock]]&lt;Table1[[#This Row],[Min in stock]],1,""),"")</f>
        <v>1</v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>
        <v>5</v>
      </c>
      <c r="H164" s="45">
        <v>1</v>
      </c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>
        <f>IF(Table1[[#This Row],[Auto Order]]=1,IF(Table1[[#This Row],[In stock]]&lt;Table1[[#This Row],[Min in stock]],1,""),"")</f>
        <v>1</v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>
        <v>5</v>
      </c>
      <c r="H174" s="45"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3430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3407</v>
      </c>
      <c r="B195" s="33" t="s">
        <v>236</v>
      </c>
      <c r="C195" s="33" t="s">
        <v>335</v>
      </c>
      <c r="D195" s="33" t="s">
        <v>3408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3409</v>
      </c>
      <c r="B196" s="33" t="s">
        <v>236</v>
      </c>
      <c r="C196" s="33" t="s">
        <v>335</v>
      </c>
      <c r="D196" s="33" t="s">
        <v>3410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3427</v>
      </c>
      <c r="B198" s="33" t="s">
        <v>236</v>
      </c>
      <c r="C198" s="33" t="s">
        <v>335</v>
      </c>
      <c r="D198" s="33" t="s">
        <v>3429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231</v>
      </c>
      <c r="E203" s="33" t="s">
        <v>538</v>
      </c>
      <c r="F203" s="45">
        <v>99</v>
      </c>
      <c r="G203" s="45"/>
      <c r="H203" s="45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>
        <v>1</v>
      </c>
      <c r="H598" s="45">
        <v>1</v>
      </c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>
        <v>1</v>
      </c>
      <c r="H599" s="45">
        <v>1</v>
      </c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3396</v>
      </c>
      <c r="B979" s="33" t="s">
        <v>3397</v>
      </c>
      <c r="C979" s="33" t="s">
        <v>335</v>
      </c>
      <c r="D979" s="33" t="s">
        <v>3398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3399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421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>
        <v>1</v>
      </c>
      <c r="H989" s="45">
        <f>1</f>
        <v>1</v>
      </c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>
        <v>1</v>
      </c>
      <c r="H990" s="45">
        <v>1</v>
      </c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3404</v>
      </c>
      <c r="B996" s="33" t="s">
        <v>76</v>
      </c>
      <c r="C996" s="33" t="s">
        <v>335</v>
      </c>
      <c r="D996" s="33" t="s">
        <v>3405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3406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>
        <v>1</v>
      </c>
      <c r="H1003" s="45">
        <v>1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3389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3390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3392</v>
      </c>
      <c r="B1018" s="33" t="s">
        <v>3393</v>
      </c>
      <c r="C1018" s="33" t="s">
        <v>335</v>
      </c>
      <c r="D1018" s="33" t="s">
        <v>3394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3395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3400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>
        <v>1</v>
      </c>
      <c r="H1040" s="45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>
        <v>1</v>
      </c>
      <c r="H1042" s="45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>
        <f>IF(Table1[[#This Row],[Auto Order]]=1,IF(Table1[[#This Row],[In stock]]&lt;Table1[[#This Row],[Min in stock]],1,""),"")</f>
        <v>1</v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3403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3401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3402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3519</v>
      </c>
      <c r="B1048" s="33" t="s">
        <v>149</v>
      </c>
      <c r="C1048" s="33" t="s">
        <v>335</v>
      </c>
      <c r="D1048" s="33" t="s">
        <v>3520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3521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3522</v>
      </c>
      <c r="B1049" s="33" t="s">
        <v>3523</v>
      </c>
      <c r="C1049" s="33" t="s">
        <v>335</v>
      </c>
      <c r="D1049" s="33" t="s">
        <v>3524</v>
      </c>
      <c r="E1049" s="33" t="s">
        <v>3525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3526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3527</v>
      </c>
      <c r="B1050" s="33" t="s">
        <v>3523</v>
      </c>
      <c r="C1050" s="33" t="s">
        <v>335</v>
      </c>
      <c r="D1050" s="33" t="s">
        <v>3528</v>
      </c>
      <c r="E1050" s="33" t="s">
        <v>3525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3529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3530</v>
      </c>
      <c r="B1051" s="33" t="s">
        <v>3523</v>
      </c>
      <c r="C1051" s="33" t="s">
        <v>335</v>
      </c>
      <c r="D1051" s="33" t="s">
        <v>3531</v>
      </c>
      <c r="E1051" s="33" t="s">
        <v>3525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3532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3533</v>
      </c>
      <c r="B1052" s="33" t="s">
        <v>3523</v>
      </c>
      <c r="C1052" s="33" t="s">
        <v>335</v>
      </c>
      <c r="D1052" s="33" t="s">
        <v>3534</v>
      </c>
      <c r="E1052" s="33" t="s">
        <v>3525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3535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3536</v>
      </c>
      <c r="B1053" s="33" t="s">
        <v>3523</v>
      </c>
      <c r="C1053" s="33" t="s">
        <v>335</v>
      </c>
      <c r="D1053" s="33" t="s">
        <v>3537</v>
      </c>
      <c r="E1053" s="33" t="s">
        <v>3525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3538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3539</v>
      </c>
      <c r="B1054" s="33" t="s">
        <v>3540</v>
      </c>
      <c r="C1054" s="33" t="s">
        <v>335</v>
      </c>
      <c r="D1054" s="33" t="s">
        <v>3541</v>
      </c>
      <c r="E1054" s="33" t="s">
        <v>3542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3543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3540</v>
      </c>
      <c r="C1055" s="33" t="s">
        <v>335</v>
      </c>
      <c r="D1055" s="33" t="s">
        <v>3547</v>
      </c>
      <c r="E1055" s="33" t="s">
        <v>3558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3548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3540</v>
      </c>
      <c r="C1056" s="33" t="s">
        <v>335</v>
      </c>
      <c r="D1056" s="33" t="s">
        <v>3545</v>
      </c>
      <c r="E1056" s="33" t="s">
        <v>3557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3546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50" t="s">
        <v>3553</v>
      </c>
      <c r="B1057" s="33" t="s">
        <v>3554</v>
      </c>
      <c r="C1057" s="33" t="s">
        <v>335</v>
      </c>
      <c r="D1057" s="33" t="s">
        <v>3555</v>
      </c>
      <c r="E1057" s="33" t="s">
        <v>3557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3556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60" priority="61" operator="equal">
      <formula>1</formula>
    </cfRule>
  </conditionalFormatting>
  <conditionalFormatting sqref="A1:A1048576">
    <cfRule type="duplicateValues" dxfId="59" priority="2"/>
  </conditionalFormatting>
  <conditionalFormatting sqref="F1:F1048576">
    <cfRule type="containsBlanks" priority="4" stopIfTrue="1">
      <formula>LEN(TRIM(F1))=0</formula>
    </cfRule>
    <cfRule type="cellIs" dxfId="58" priority="21" operator="lessThan">
      <formula>$G1</formula>
    </cfRule>
  </conditionalFormatting>
  <conditionalFormatting sqref="F1">
    <cfRule type="cellIs" dxfId="57" priority="10" stopIfTrue="1" operator="equal">
      <formula>"In stock"</formula>
    </cfRule>
  </conditionalFormatting>
  <conditionalFormatting sqref="E1:E1048576">
    <cfRule type="containsText" dxfId="56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3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54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3372</v>
      </c>
    </row>
    <row r="2" spans="1:13" x14ac:dyDescent="0.25">
      <c r="A2" s="3" t="s">
        <v>3409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50</v>
      </c>
      <c r="F3" s="4" t="str">
        <f>IF(Table14113[[#This Row],[In stock]] &gt;= Table14113[[#This Row],[Quantity]],"YES","NO")</f>
        <v>YES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YES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3" t="s">
        <v>562</v>
      </c>
      <c r="B5" s="4" t="str">
        <f>VLOOKUP(Table14113[[#This Row],[Man. Number]],Articles!A:F,COLUMN(Articles!$D$1)-COLUMN(Articles!$A$1)+1,FALSE)</f>
        <v>4.7µF ±20% 25V Ceramic Capacitor X5R 0805 (2012 Metric)</v>
      </c>
      <c r="C5" s="4" t="s">
        <v>3411</v>
      </c>
      <c r="D5" s="40">
        <v>3</v>
      </c>
      <c r="E5" s="4">
        <f>VLOOKUP(Table14113[[#This Row],[Man. Number]],Articles!A:F,COLUMN(Articles!$F$1)-COLUMN(Articles!$A$1)+1,FALSE)</f>
        <v>0</v>
      </c>
      <c r="F5" s="4" t="str">
        <f>IF(Table14113[[#This Row],[In stock]] &gt;= Table14113[[#This Row],[Quantity]],"YES","NO")</f>
        <v>NO</v>
      </c>
      <c r="G5" s="4">
        <f>VLOOKUP(Table14113[[#This Row],[Man. Number]],Articles!A:J,COLUMN(Articles!$J$1)-COLUMN(Articles!$A$1)+1,FALSE)*Table14113[[#This Row],[Quantity]]</f>
        <v>0.45299999999999996</v>
      </c>
      <c r="H5" s="4">
        <f>Table14113[[#This Row],[Quantity]]*$L$1</f>
        <v>6</v>
      </c>
      <c r="I5" s="4" t="str">
        <f>IF(Table14113[[#This Row],[In stock]] &gt;= Table14113[[#This Row],[Total quantity]],"YES","NO")</f>
        <v>NO</v>
      </c>
    </row>
    <row r="6" spans="1:13" x14ac:dyDescent="0.25">
      <c r="A6" s="3" t="s">
        <v>14</v>
      </c>
      <c r="B6" s="4" t="str">
        <f>VLOOKUP(Table14113[[#This Row],[Man. Number]],Articles!A:F,COLUMN(Articles!$D$1)-COLUMN(Articles!$A$1)+1,FALSE)</f>
        <v>Condensateur électrolytique, 10 µF, 35 V, Série MCGPR, ± 20%, À sorties radiales, 5 mm</v>
      </c>
      <c r="C6" s="4" t="s">
        <v>278</v>
      </c>
      <c r="D6" s="40">
        <v>1</v>
      </c>
      <c r="E6" s="4">
        <f>VLOOKUP(Table14113[[#This Row],[Man. Number]],Articles!A:F,COLUMN(Articles!$F$1)-COLUMN(Articles!$A$1)+1,FALSE)</f>
        <v>48</v>
      </c>
      <c r="F6" s="4" t="str">
        <f>IF(Table14113[[#This Row],[In stock]] &gt;= Table14113[[#This Row],[Quantity]],"YES","NO")</f>
        <v>YES</v>
      </c>
      <c r="G6" s="4">
        <f>VLOOKUP(Table14113[[#This Row],[Man. Number]],Articles!A:J,COLUMN(Articles!$J$1)-COLUMN(Articles!$A$1)+1,FALSE)*Table14113[[#This Row],[Quantity]]</f>
        <v>5.1700000000000003E-2</v>
      </c>
      <c r="H6" s="4">
        <f>Table14113[[#This Row],[Quantity]]*$L$1</f>
        <v>2</v>
      </c>
      <c r="I6" s="4" t="str">
        <f>IF(Table14113[[#This Row],[In stock]] &gt;= Table14113[[#This Row],[Total quantity]],"YES","NO")</f>
        <v>YES</v>
      </c>
    </row>
    <row r="7" spans="1:13" x14ac:dyDescent="0.25">
      <c r="A7" s="3" t="s">
        <v>3063</v>
      </c>
      <c r="B7" s="4" t="str">
        <f>VLOOKUP(Table14113[[#This Row],[Man. Number]],Articles!A:F,COLUMN(Articles!$D$1)-COLUMN(Articles!$A$1)+1,FALSE)</f>
        <v>0.1µF ±10% 50V Ceramic Capacitor X7R 0805 (2012 Metric)</v>
      </c>
      <c r="C7" s="4" t="s">
        <v>3412</v>
      </c>
      <c r="D7" s="40">
        <v>7</v>
      </c>
      <c r="E7" s="4">
        <f>VLOOKUP(Table14113[[#This Row],[Man. Number]],Articles!A:F,COLUMN(Articles!$F$1)-COLUMN(Articles!$A$1)+1,FALSE)</f>
        <v>100</v>
      </c>
      <c r="F7" s="4" t="str">
        <f>IF(Table14113[[#This Row],[In stock]] &gt;= Table14113[[#This Row],[Quantity]],"YES","NO")</f>
        <v>YES</v>
      </c>
      <c r="G7" s="4">
        <f>VLOOKUP(Table14113[[#This Row],[Man. Number]],Articles!A:J,COLUMN(Articles!$J$1)-COLUMN(Articles!$A$1)+1,FALSE)*Table14113[[#This Row],[Quantity]]</f>
        <v>0.189</v>
      </c>
      <c r="H7" s="4">
        <f>Table14113[[#This Row],[Quantity]]*$L$1</f>
        <v>14</v>
      </c>
      <c r="I7" s="4" t="str">
        <f>IF(Table14113[[#This Row],[In stock]] &gt;= Table14113[[#This Row],[Total quantity]],"YES","NO")</f>
        <v>YES</v>
      </c>
    </row>
    <row r="8" spans="1:13" x14ac:dyDescent="0.25">
      <c r="A8" s="3" t="s">
        <v>273</v>
      </c>
      <c r="B8" s="4" t="str">
        <f>VLOOKUP(Table14113[[#This Row],[Man. Number]],Articles!A:F,COLUMN(Articles!$D$1)-COLUMN(Articles!$A$1)+1,FALSE)</f>
        <v>FUSE BOARD MNT 630MA 63VDC 1206</v>
      </c>
      <c r="C8" s="4" t="s">
        <v>275</v>
      </c>
      <c r="D8" s="40">
        <v>1</v>
      </c>
      <c r="E8" s="4">
        <f>VLOOKUP(Table14113[[#This Row],[Man. Number]],Articles!A:F,COLUMN(Articles!$F$1)-COLUMN(Articles!$A$1)+1,FALSE)</f>
        <v>4</v>
      </c>
      <c r="F8" s="4" t="str">
        <f>IF(Table14113[[#This Row],[In stock]] &gt;= Table14113[[#This Row],[Quantity]],"YES","NO")</f>
        <v>YES</v>
      </c>
      <c r="G8" s="4">
        <f>VLOOKUP(Table14113[[#This Row],[Man. Number]],Articles!A:J,COLUMN(Articles!$J$1)-COLUMN(Articles!$A$1)+1,FALSE)*Table14113[[#This Row],[Quantity]]</f>
        <v>0.97</v>
      </c>
      <c r="H8" s="4">
        <f>Table14113[[#This Row],[Quantity]]*$L$1</f>
        <v>2</v>
      </c>
      <c r="I8" s="4" t="str">
        <f>IF(Table14113[[#This Row],[In stock]] &gt;= Table14113[[#This Row],[Total quantity]],"YES","NO")</f>
        <v>YES</v>
      </c>
    </row>
    <row r="9" spans="1:13" x14ac:dyDescent="0.25">
      <c r="A9" s="3" t="s">
        <v>31</v>
      </c>
      <c r="B9" s="4" t="str">
        <f>VLOOKUP(Table14113[[#This Row],[Man. Number]],Articles!A:F,COLUMN(Articles!$D$1)-COLUMN(Articles!$A$1)+1,FALSE)</f>
        <v>LED, Rouge, Traversant, 3mm, 20 mA, 1.8 V, 643 nm</v>
      </c>
      <c r="C9" s="4" t="s">
        <v>281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0.28999999999999998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3" t="s">
        <v>307</v>
      </c>
      <c r="B10" s="4" t="str">
        <f>VLOOKUP(Table14113[[#This Row],[Man. Number]],Articles!A:F,COLUMN(Articles!$D$1)-COLUMN(Articles!$A$1)+1,FALSE)</f>
        <v>PCB Led adaptateur v1</v>
      </c>
      <c r="C10" s="4" t="s">
        <v>284</v>
      </c>
      <c r="D10" s="40">
        <v>1</v>
      </c>
      <c r="E10" s="4">
        <f>VLOOKUP(Table14113[[#This Row],[Man. Number]],Articles!A:F,COLUMN(Articles!$F$1)-COLUMN(Articles!$A$1)+1,FALSE)</f>
        <v>9</v>
      </c>
      <c r="F10" s="4" t="str">
        <f>IF(Table14113[[#This Row],[In stock]] &gt;= Table14113[[#This Row],[Quantity]],"YES","NO")</f>
        <v>YES</v>
      </c>
      <c r="G10" s="4">
        <f>VLOOKUP(Table14113[[#This Row],[Man. Number]],Articles!A:J,COLUMN(Articles!$J$1)-COLUMN(Articles!$A$1)+1,FALSE)*Table14113[[#This Row],[Quantity]]</f>
        <v>0</v>
      </c>
      <c r="H10" s="4">
        <f>Table14113[[#This Row],[Quantity]]*$L$1</f>
        <v>2</v>
      </c>
      <c r="I10" s="4" t="str">
        <f>IF(Table14113[[#This Row],[In stock]] &gt;= Table14113[[#This Row],[Total quantity]],"YES","NO")</f>
        <v>YES</v>
      </c>
    </row>
    <row r="11" spans="1:13" x14ac:dyDescent="0.25">
      <c r="A11" s="49" t="s">
        <v>215</v>
      </c>
      <c r="B11" s="40" t="str">
        <f>VLOOKUP(Table14113[[#This Row],[Man. Number]],Articles!A:F,COLUMN(Articles!$D$1)-COLUMN(Articles!$A$1)+1,FALSE)</f>
        <v>Red 628nm LED Indication - Discrete 1.8V 0603 (1608 Metric)</v>
      </c>
      <c r="C11" s="4" t="s">
        <v>3072</v>
      </c>
      <c r="D11" s="40">
        <v>1</v>
      </c>
      <c r="E11" s="40">
        <f>VLOOKUP(Table14113[[#This Row],[Man. Number]],Articles!A:F,COLUMN(Articles!$F$1)-COLUMN(Articles!$A$1)+1,FALSE)</f>
        <v>8</v>
      </c>
      <c r="F11" s="40" t="str">
        <f>IF(Table14113[[#This Row],[In stock]] &gt;= Table14113[[#This Row],[Quantity]],"YES","NO")</f>
        <v>YES</v>
      </c>
      <c r="G11" s="40">
        <f>VLOOKUP(Table14113[[#This Row],[Man. Number]],Articles!A:J,COLUMN(Articles!$J$1)-COLUMN(Articles!$A$1)+1,FALSE)*Table14113[[#This Row],[Quantity]]</f>
        <v>0.52</v>
      </c>
      <c r="H11" s="40">
        <f>Table14113[[#This Row],[Quantity]]*$L$1</f>
        <v>2</v>
      </c>
      <c r="I11" s="40" t="str">
        <f>IF(Table14113[[#This Row],[In stock]] &gt;= Table14113[[#This Row],[Total quantity]],"YES","NO")</f>
        <v>YES</v>
      </c>
    </row>
    <row r="12" spans="1:13" x14ac:dyDescent="0.25">
      <c r="A12" s="3" t="s">
        <v>303</v>
      </c>
      <c r="B12" s="4" t="str">
        <f>VLOOKUP(Table14113[[#This Row],[Man. Number]],Articles!A:F,COLUMN(Articles!$D$1)-COLUMN(Articles!$A$1)+1,FALSE)</f>
        <v>Résistance SMD 3.3k OHM 0805</v>
      </c>
      <c r="C12" s="4" t="s">
        <v>300</v>
      </c>
      <c r="D12" s="40">
        <v>1</v>
      </c>
      <c r="E12" s="4">
        <f>VLOOKUP(Table14113[[#This Row],[Man. Number]],Articles!A:F,COLUMN(Articles!$F$1)-COLUMN(Articles!$A$1)+1,FALSE)</f>
        <v>5</v>
      </c>
      <c r="F12" s="4" t="str">
        <f>IF(Table14113[[#This Row],[In stock]] &gt;= Table14113[[#This Row],[Quantity]],"YES","NO")</f>
        <v>YES</v>
      </c>
      <c r="G12" s="4">
        <f>VLOOKUP(Table14113[[#This Row],[Man. Number]],Articles!A:J,COLUMN(Articles!$J$1)-COLUMN(Articles!$A$1)+1,FALSE)*Table14113[[#This Row],[Quantity]]</f>
        <v>0</v>
      </c>
      <c r="H12" s="4">
        <f>Table14113[[#This Row],[Quantity]]*$L$1</f>
        <v>2</v>
      </c>
      <c r="I12" s="4" t="str">
        <f>IF(Table14113[[#This Row],[In stock]] &gt;= Table14113[[#This Row],[Total quantity]],"YES","NO")</f>
        <v>YES</v>
      </c>
    </row>
    <row r="13" spans="1:13" x14ac:dyDescent="0.25">
      <c r="A13" s="50" t="s">
        <v>3208</v>
      </c>
      <c r="B13" s="4" t="str">
        <f>VLOOKUP(Table14113[[#This Row],[Man. Number]],Articles!A:F,COLUMN(Articles!$D$1)-COLUMN(Articles!$A$1)+1,FALSE)</f>
        <v>RES SMD 5.1 OHM 5% 3/4W 1206</v>
      </c>
      <c r="C13" s="4" t="s">
        <v>3414</v>
      </c>
      <c r="D13" s="40">
        <v>2</v>
      </c>
      <c r="E13" s="4">
        <f>VLOOKUP(Table14113[[#This Row],[Man. Number]],Articles!A:F,COLUMN(Articles!$F$1)-COLUMN(Articles!$A$1)+1,FALSE)</f>
        <v>10</v>
      </c>
      <c r="F13" s="4" t="str">
        <f>IF(Table14113[[#This Row],[In stock]] &gt;= Table14113[[#This Row],[Quantity]],"YES","NO")</f>
        <v>YES</v>
      </c>
      <c r="G13" s="4">
        <f>VLOOKUP(Table14113[[#This Row],[Man. Number]],Articles!A:J,COLUMN(Articles!$J$1)-COLUMN(Articles!$A$1)+1,FALSE)*Table14113[[#This Row],[Quantity]]</f>
        <v>0.84</v>
      </c>
      <c r="H13" s="4">
        <f>Table14113[[#This Row],[Quantity]]*$L$1</f>
        <v>4</v>
      </c>
      <c r="I13" s="4" t="str">
        <f>IF(Table14113[[#This Row],[In stock]] &gt;= Table14113[[#This Row],[Total quantity]],"YES","NO")</f>
        <v>YES</v>
      </c>
    </row>
    <row r="14" spans="1:13" x14ac:dyDescent="0.25">
      <c r="A14" s="49" t="s">
        <v>1863</v>
      </c>
      <c r="B14" s="4" t="str">
        <f>VLOOKUP(Table14113[[#This Row],[Man. Number]],Articles!A:F,COLUMN(Articles!$D$1)-COLUMN(Articles!$A$1)+1,FALSE)</f>
        <v>RES SMD 22 OHM 5% 0.4W 0805</v>
      </c>
      <c r="C14" s="4" t="s">
        <v>291</v>
      </c>
      <c r="D14" s="40">
        <v>1</v>
      </c>
      <c r="E14" s="4">
        <f>VLOOKUP(Table14113[[#This Row],[Man. Number]],Articles!A:F,COLUMN(Articles!$F$1)-COLUMN(Articles!$A$1)+1,FALSE)</f>
        <v>10</v>
      </c>
      <c r="F14" s="4" t="str">
        <f>IF(Table14113[[#This Row],[In stock]] &gt;= Table14113[[#This Row],[Quantity]],"YES","NO")</f>
        <v>YES</v>
      </c>
      <c r="G14" s="4">
        <f>VLOOKUP(Table14113[[#This Row],[Man. Number]],Articles!A:J,COLUMN(Articles!$J$1)-COLUMN(Articles!$A$1)+1,FALSE)*Table14113[[#This Row],[Quantity]]</f>
        <v>0.1</v>
      </c>
      <c r="H14" s="4">
        <f>Table14113[[#This Row],[Quantity]]*$L$1</f>
        <v>2</v>
      </c>
      <c r="I14" s="4" t="str">
        <f>IF(Table14113[[#This Row],[In stock]] &gt;= Table14113[[#This Row],[Total quantity]],"YES","NO")</f>
        <v>YES</v>
      </c>
    </row>
    <row r="15" spans="1:13" x14ac:dyDescent="0.25">
      <c r="A15" s="49" t="s">
        <v>2790</v>
      </c>
      <c r="B15" s="4" t="str">
        <f>VLOOKUP(Table14113[[#This Row],[Man. Number]],Articles!A:F,COLUMN(Articles!$D$1)-COLUMN(Articles!$A$1)+1,FALSE)</f>
        <v>RES SMD 3.9K OHM 5% 0.4W 0805</v>
      </c>
      <c r="C15" s="4" t="s">
        <v>288</v>
      </c>
      <c r="D15" s="40">
        <v>1</v>
      </c>
      <c r="E15" s="4">
        <f>VLOOKUP(Table14113[[#This Row],[Man. Number]],Articles!A:F,COLUMN(Articles!$F$1)-COLUMN(Articles!$A$1)+1,FALSE)</f>
        <v>10</v>
      </c>
      <c r="F15" s="4" t="str">
        <f>IF(Table14113[[#This Row],[In stock]] &gt;= Table14113[[#This Row],[Quantity]],"YES","NO")</f>
        <v>YES</v>
      </c>
      <c r="G15" s="4">
        <f>VLOOKUP(Table14113[[#This Row],[Man. Number]],Articles!A:J,COLUMN(Articles!$J$1)-COLUMN(Articles!$A$1)+1,FALSE)*Table14113[[#This Row],[Quantity]]</f>
        <v>0.1</v>
      </c>
      <c r="H15" s="4">
        <f>Table14113[[#This Row],[Quantity]]*$L$1</f>
        <v>2</v>
      </c>
      <c r="I15" s="4" t="str">
        <f>IF(Table14113[[#This Row],[In stock]] &gt;= Table14113[[#This Row],[Total quantity]],"YES","NO")</f>
        <v>YES</v>
      </c>
    </row>
    <row r="16" spans="1:13" x14ac:dyDescent="0.25">
      <c r="A16" s="3" t="s">
        <v>174</v>
      </c>
      <c r="B16" s="4" t="str">
        <f>VLOOKUP(Table14113[[#This Row],[Man. Number]],Articles!A:F,COLUMN(Articles!$D$1)-COLUMN(Articles!$A$1)+1,FALSE)</f>
        <v>RES SMD 4.7K OHM 1% 1/8W 0805</v>
      </c>
      <c r="C16" s="4" t="s">
        <v>3073</v>
      </c>
      <c r="D16" s="40">
        <v>2</v>
      </c>
      <c r="E16" s="4">
        <f>VLOOKUP(Table14113[[#This Row],[Man. Number]],Articles!A:F,COLUMN(Articles!$F$1)-COLUMN(Articles!$A$1)+1,FALSE)</f>
        <v>99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3.9E-2</v>
      </c>
      <c r="H16" s="4">
        <f>Table14113[[#This Row],[Quantity]]*$L$1</f>
        <v>4</v>
      </c>
      <c r="I16" s="4" t="str">
        <f>IF(Table14113[[#This Row],[In stock]] &gt;= Table14113[[#This Row],[Total quantity]],"YES","NO")</f>
        <v>YES</v>
      </c>
    </row>
    <row r="17" spans="1:9" x14ac:dyDescent="0.25">
      <c r="A17" s="49" t="s">
        <v>2886</v>
      </c>
      <c r="B17" s="40" t="str">
        <f>VLOOKUP(Table14113[[#This Row],[Man. Number]],Articles!A:F,COLUMN(Articles!$D$1)-COLUMN(Articles!$A$1)+1,FALSE)</f>
        <v>RES SMD 100K OHM 5% 0.4W 0805</v>
      </c>
      <c r="C17" s="4" t="s">
        <v>3076</v>
      </c>
      <c r="D17" s="40">
        <v>2</v>
      </c>
      <c r="E17" s="40">
        <f>VLOOKUP(Table14113[[#This Row],[Man. Number]],Articles!A:F,COLUMN(Articles!$F$1)-COLUMN(Articles!$A$1)+1,FALSE)</f>
        <v>10</v>
      </c>
      <c r="F17" s="40" t="str">
        <f>IF(Table14113[[#This Row],[In stock]] &gt;= Table14113[[#This Row],[Quantity]],"YES","NO")</f>
        <v>YES</v>
      </c>
      <c r="G17" s="40">
        <f>VLOOKUP(Table14113[[#This Row],[Man. Number]],Articles!A:J,COLUMN(Articles!$J$1)-COLUMN(Articles!$A$1)+1,FALSE)*Table14113[[#This Row],[Quantity]]</f>
        <v>0.2</v>
      </c>
      <c r="H17" s="40">
        <f>Table14113[[#This Row],[Quantity]]*$L$1</f>
        <v>4</v>
      </c>
      <c r="I17" s="40" t="str">
        <f>IF(Table14113[[#This Row],[In stock]] &gt;= Table14113[[#This Row],[Total quantity]],"YES","NO")</f>
        <v>YES</v>
      </c>
    </row>
    <row r="18" spans="1:9" x14ac:dyDescent="0.25">
      <c r="A18" s="49" t="s">
        <v>1026</v>
      </c>
      <c r="B18" s="4" t="str">
        <f>VLOOKUP(Table14113[[#This Row],[Man. Number]],Articles!A:F,COLUMN(Articles!$D$1)-COLUMN(Articles!$A$1)+1,FALSE)</f>
        <v>RES SMD 1K OHM 5% 1/8W 0805</v>
      </c>
      <c r="C18" s="4" t="s">
        <v>3413</v>
      </c>
      <c r="D18" s="40">
        <v>4</v>
      </c>
      <c r="E18" s="4">
        <f>VLOOKUP(Table14113[[#This Row],[Man. Number]],Articles!A:F,COLUMN(Articles!$F$1)-COLUMN(Articles!$A$1)+1,FALSE)</f>
        <v>10</v>
      </c>
      <c r="F18" s="4" t="str">
        <f>IF(Table14113[[#This Row],[In stock]] &gt;= Table14113[[#This Row],[Quantity]],"YES","NO")</f>
        <v>YES</v>
      </c>
      <c r="G18" s="4">
        <f>VLOOKUP(Table14113[[#This Row],[Man. Number]],Articles!A:J,COLUMN(Articles!$J$1)-COLUMN(Articles!$A$1)+1,FALSE)*Table14113[[#This Row],[Quantity]]</f>
        <v>0.6</v>
      </c>
      <c r="H18" s="4">
        <f>Table14113[[#This Row],[Quantity]]*$L$1</f>
        <v>8</v>
      </c>
      <c r="I18" s="4" t="str">
        <f>IF(Table14113[[#This Row],[In stock]] &gt;= Table14113[[#This Row],[Total quantity]],"YES","NO")</f>
        <v>YES</v>
      </c>
    </row>
    <row r="19" spans="1:9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" t="s">
        <v>3075</v>
      </c>
      <c r="D19" s="40">
        <v>1</v>
      </c>
      <c r="E19" s="40">
        <f>VLOOKUP(Table14113[[#This Row],[Man. Number]],Articles!A:F,COLUMN(Articles!$F$1)-COLUMN(Articles!$A$1)+1,FALSE)</f>
        <v>10</v>
      </c>
      <c r="F19" s="40" t="str">
        <f>IF(Table14113[[#This Row],[In stock]] &gt;= Table14113[[#This Row],[Quantity]],"YES","NO")</f>
        <v>YES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YES</v>
      </c>
    </row>
    <row r="20" spans="1:9" x14ac:dyDescent="0.25">
      <c r="A20" s="3">
        <v>1004068</v>
      </c>
      <c r="B20" s="4" t="str">
        <f>VLOOKUP(Table14113[[#This Row],[Man. Number]],Articles!A:F,COLUMN(Articles!$D$1)-COLUMN(Articles!$A$1)+1,FALSE)</f>
        <v>Panneau solaire</v>
      </c>
      <c r="C20" s="4" t="s">
        <v>297</v>
      </c>
      <c r="D20" s="40">
        <v>1</v>
      </c>
      <c r="E20" s="4">
        <f>VLOOKUP(Table14113[[#This Row],[Man. Number]],Articles!A:F,COLUMN(Articles!$F$1)-COLUMN(Articles!$A$1)+1,FALSE)</f>
        <v>2</v>
      </c>
      <c r="F20" s="4" t="str">
        <f>IF(Table14113[[#This Row],[In stock]] &gt;= Table14113[[#This Row],[Quantity]],"YES","NO")</f>
        <v>YES</v>
      </c>
      <c r="G20" s="4">
        <f>VLOOKUP(Table14113[[#This Row],[Man. Number]],Articles!A:J,COLUMN(Articles!$J$1)-COLUMN(Articles!$A$1)+1,FALSE)*Table14113[[#This Row],[Quantity]]</f>
        <v>3.49</v>
      </c>
      <c r="H20" s="4">
        <f>Table14113[[#This Row],[Quantity]]*$L$1</f>
        <v>2</v>
      </c>
      <c r="I20" s="4" t="str">
        <f>IF(Table14113[[#This Row],[In stock]] &gt;= Table14113[[#This Row],[Total quantity]],"YES","NO")</f>
        <v>YES</v>
      </c>
    </row>
    <row r="21" spans="1:9" x14ac:dyDescent="0.25">
      <c r="A21" s="3" t="s">
        <v>39</v>
      </c>
      <c r="B21" s="4" t="str">
        <f>VLOOKUP(Table14113[[#This Row],[Man. Number]],Articles!A:F,COLUMN(Articles!$D$1)-COLUMN(Articles!$A$1)+1,FALSE)</f>
        <v>Transistor MOSFET, Canal P, -7.1 A, -12 V, 28.5 mohm, -4.5 V, -400 mV</v>
      </c>
      <c r="C21" s="4" t="s">
        <v>286</v>
      </c>
      <c r="D21" s="40">
        <v>2</v>
      </c>
      <c r="E21" s="4">
        <f>VLOOKUP(Table14113[[#This Row],[Man. Number]],Articles!A:F,COLUMN(Articles!$F$1)-COLUMN(Articles!$A$1)+1,FALSE)</f>
        <v>24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1.1399999999999999</v>
      </c>
      <c r="H21" s="4">
        <f>Table14113[[#This Row],[Quantity]]*$L$1</f>
        <v>4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42</v>
      </c>
      <c r="B22" s="4" t="str">
        <f>VLOOKUP(Table14113[[#This Row],[Man. Number]],Articles!A:F,COLUMN(Articles!$D$1)-COLUMN(Articles!$A$1)+1,FALSE)</f>
        <v>Transistor MOSFET, Canal N, 2.2 A, 30 V, 65 mohm, 4.5 V, 700 mV</v>
      </c>
      <c r="C22" s="4" t="s">
        <v>3415</v>
      </c>
      <c r="D22" s="40">
        <v>1</v>
      </c>
      <c r="E22" s="4">
        <f>VLOOKUP(Table14113[[#This Row],[Man. Number]],Articles!A:F,COLUMN(Articles!$F$1)-COLUMN(Articles!$A$1)+1,FALSE)</f>
        <v>16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0.55000000000000004</v>
      </c>
      <c r="H22" s="4">
        <f>Table14113[[#This Row],[Quantity]]*$L$1</f>
        <v>2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20</v>
      </c>
      <c r="B23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3" s="4" t="s">
        <v>280</v>
      </c>
      <c r="D23" s="40">
        <v>1</v>
      </c>
      <c r="E23" s="4">
        <f>VLOOKUP(Table14113[[#This Row],[Man. Number]],Articles!A:F,COLUMN(Articles!$F$1)-COLUMN(Articles!$A$1)+1,FALSE)</f>
        <v>9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0.57499999999999996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22</v>
      </c>
      <c r="B24" s="4" t="str">
        <f>VLOOKUP(Table14113[[#This Row],[Man. Number]],Articles!A:F,COLUMN(Articles!$D$1)-COLUMN(Articles!$A$1)+1,FALSE)</f>
        <v>Superviseur, Reset drain ouvert, actif à l'état bas, 1V-5.5Vin</v>
      </c>
      <c r="C24" s="4" t="s">
        <v>282</v>
      </c>
      <c r="D24" s="40">
        <v>1</v>
      </c>
      <c r="E24" s="4">
        <f>VLOOKUP(Table14113[[#This Row],[Man. Number]],Articles!A:F,COLUMN(Articles!$F$1)-COLUMN(Articles!$A$1)+1,FALSE)</f>
        <v>4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0.52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24</v>
      </c>
      <c r="B25" s="4" t="str">
        <f>VLOOKUP(Table14113[[#This Row],[Man. Number]],Articles!A:F,COLUMN(Articles!$D$1)-COLUMN(Articles!$A$1)+1,FALSE)</f>
        <v>Régulateur LDO, Fixe, Entrée 1.7 V à 5,5 V, Sortie 3.3 V/300 mA, Chute de 150 mV</v>
      </c>
      <c r="C25" s="4" t="s">
        <v>283</v>
      </c>
      <c r="D25" s="40">
        <v>1</v>
      </c>
      <c r="E25" s="4">
        <f>VLOOKUP(Table14113[[#This Row],[Man. Number]],Articles!A:F,COLUMN(Articles!$F$1)-COLUMN(Articles!$A$1)+1,FALSE)</f>
        <v>8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0.35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491</v>
      </c>
      <c r="B26" s="4" t="str">
        <f>VLOOKUP(Table14113[[#This Row],[Man. Number]],Articles!A:F,COLUMN(Articles!$D$1)-COLUMN(Articles!$A$1)+1,FALSE)</f>
        <v>General ISM &lt; 1GHz  Transceiver Module 868MHz Integrated, Trace Surface Mount</v>
      </c>
      <c r="C26" s="4" t="s">
        <v>299</v>
      </c>
      <c r="D26" s="40">
        <v>1</v>
      </c>
      <c r="E26" s="4">
        <f>VLOOKUP(Table14113[[#This Row],[Man. Number]],Articles!A:F,COLUMN(Articles!$F$1)-COLUMN(Articles!$A$1)+1,FALSE)</f>
        <v>2</v>
      </c>
      <c r="F26" s="4" t="str">
        <f>IF(Table14113[[#This Row],[In stock]] &gt;= Table14113[[#This Row],[Quantity]],"YES","NO")</f>
        <v>YES</v>
      </c>
      <c r="G26" s="4">
        <f>VLOOKUP(Table14113[[#This Row],[Man. Number]],Articles!A:J,COLUMN(Articles!$J$1)-COLUMN(Articles!$A$1)+1,FALSE)*Table14113[[#This Row],[Quantity]]</f>
        <v>8.19</v>
      </c>
      <c r="H26" s="4">
        <f>Table14113[[#This Row],[Quantity]]*$L$1</f>
        <v>2</v>
      </c>
      <c r="I26" s="4" t="str">
        <f>IF(Table14113[[#This Row],[In stock]] &gt;= Table14113[[#This Row],[Total quantity]],"YES","NO")</f>
        <v>YES</v>
      </c>
    </row>
    <row r="27" spans="1:9" x14ac:dyDescent="0.25">
      <c r="A27" s="49" t="s">
        <v>136</v>
      </c>
      <c r="B27" s="4" t="str">
        <f>VLOOKUP(Table14113[[#This Row],[Man. Number]],Articles!A:F,COLUMN(Articles!$D$1)-COLUMN(Articles!$A$1)+1,FALSE)</f>
        <v>IC MCU 8BIT 7KB FLASH 20SSOP</v>
      </c>
      <c r="C27" s="4" t="s">
        <v>296</v>
      </c>
      <c r="D27" s="40">
        <v>1</v>
      </c>
      <c r="E27" s="4">
        <f>VLOOKUP(Table14113[[#This Row],[Man. Number]],Articles!A:F,COLUMN(Articles!$F$1)-COLUMN(Articles!$A$1)+1,FALSE)</f>
        <v>3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1.47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3" t="s">
        <v>3404</v>
      </c>
      <c r="B28" s="4" t="str">
        <f>VLOOKUP(Table14113[[#This Row],[Man. Number]],Articles!A:F,COLUMN(Articles!$D$1)-COLUMN(Articles!$A$1)+1,FALSE)</f>
        <v>Temperature Sensor Analog, Local -40°C ~ 125°C 10mV/°C SOT-23-3</v>
      </c>
      <c r="C28" s="4" t="s">
        <v>279</v>
      </c>
      <c r="D28" s="40">
        <v>1</v>
      </c>
      <c r="E28" s="4">
        <f>VLOOKUP(Table14113[[#This Row],[Man. Number]],Articles!A:F,COLUMN(Articles!$F$1)-COLUMN(Articles!$A$1)+1,FALSE)</f>
        <v>0</v>
      </c>
      <c r="F28" s="4" t="str">
        <f>IF(Table14113[[#This Row],[In stock]] &gt;= Table14113[[#This Row],[Quantity]],"YES","NO")</f>
        <v>NO</v>
      </c>
      <c r="G28" s="4">
        <f>VLOOKUP(Table14113[[#This Row],[Man. Number]],Articles!A:J,COLUMN(Articles!$J$1)-COLUMN(Articles!$A$1)+1,FALSE)*Table14113[[#This Row],[Quantity]]</f>
        <v>0.32</v>
      </c>
      <c r="H28" s="4">
        <f>Table14113[[#This Row],[Quantity]]*$L$1</f>
        <v>2</v>
      </c>
      <c r="I28" s="4" t="str">
        <f>IF(Table14113[[#This Row],[In stock]] &gt;= Table14113[[#This Row],[Total quantity]],"YES","NO")</f>
        <v>NO</v>
      </c>
    </row>
    <row r="29" spans="1:9" x14ac:dyDescent="0.25">
      <c r="A29" s="49" t="s">
        <v>3396</v>
      </c>
      <c r="B29" s="4" t="str">
        <f>VLOOKUP(Table14113[[#This Row],[Man. Number]],Articles!A:F,COLUMN(Articles!$D$1)-COLUMN(Articles!$A$1)+1,FALSE)</f>
        <v>Linear Voltage Regulator IC Positive Fixed 1 Output  2A 6-DFN (3x3)</v>
      </c>
      <c r="C29" s="4" t="s">
        <v>3416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0.9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49" t="s">
        <v>3018</v>
      </c>
      <c r="B30" s="40" t="str">
        <f>VLOOKUP(Table14113[[#This Row],[Man. Number]],Articles!A:F,COLUMN(Articles!$D$1)-COLUMN(Articles!$A$1)+1,FALSE)</f>
        <v>CONN GH HOUSING 3POS 1.25MM</v>
      </c>
      <c r="C30" s="4" t="s">
        <v>298</v>
      </c>
      <c r="D30" s="40">
        <v>1</v>
      </c>
      <c r="E30" s="40">
        <f>VLOOKUP(Table14113[[#This Row],[Man. Number]],Articles!A:F,COLUMN(Articles!$F$1)-COLUMN(Articles!$A$1)+1,FALSE)</f>
        <v>10</v>
      </c>
      <c r="F30" s="40" t="str">
        <f>IF(Table14113[[#This Row],[In stock]] &gt;= Table14113[[#This Row],[Quantity]],"YES","NO")</f>
        <v>YES</v>
      </c>
      <c r="G30" s="40">
        <f>VLOOKUP(Table14113[[#This Row],[Man. Number]],Articles!A:J,COLUMN(Articles!$J$1)-COLUMN(Articles!$A$1)+1,FALSE)*Table14113[[#This Row],[Quantity]]</f>
        <v>0.13</v>
      </c>
      <c r="H30" s="40">
        <f>Table14113[[#This Row],[Quantity]]*$L$1</f>
        <v>2</v>
      </c>
      <c r="I30" s="40" t="str">
        <f>IF(Table14113[[#This Row],[In stock]] &gt;= Table14113[[#This Row],[Total quantity]],"YES","NO")</f>
        <v>YES</v>
      </c>
    </row>
    <row r="31" spans="1:9" x14ac:dyDescent="0.25">
      <c r="A31" s="49" t="s">
        <v>2946</v>
      </c>
      <c r="B31" s="40" t="str">
        <f>VLOOKUP(Table14113[[#This Row],[Man. Number]],Articles!A:F,COLUMN(Articles!$D$1)-COLUMN(Articles!$A$1)+1,FALSE)</f>
        <v>CONN HEADER SMD 3POS 1.25MM</v>
      </c>
      <c r="C31" s="4" t="s">
        <v>298</v>
      </c>
      <c r="D31" s="40">
        <v>1</v>
      </c>
      <c r="E31" s="40">
        <f>VLOOKUP(Table14113[[#This Row],[Man. Number]],Articles!A:F,COLUMN(Articles!$F$1)-COLUMN(Articles!$A$1)+1,FALSE)</f>
        <v>2</v>
      </c>
      <c r="F31" s="40" t="str">
        <f>IF(Table14113[[#This Row],[In stock]] &gt;= Table14113[[#This Row],[Quantity]],"YES","NO")</f>
        <v>YES</v>
      </c>
      <c r="G31" s="40">
        <f>VLOOKUP(Table14113[[#This Row],[Man. Number]],Articles!A:J,COLUMN(Articles!$J$1)-COLUMN(Articles!$A$1)+1,FALSE)*Table14113[[#This Row],[Quantity]]</f>
        <v>0.48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YES</v>
      </c>
    </row>
    <row r="32" spans="1:9" x14ac:dyDescent="0.25">
      <c r="A32" s="3">
        <v>965083</v>
      </c>
      <c r="B32" s="4" t="str">
        <f>VLOOKUP(Table14113[[#This Row],[Man. Number]],Articles!A:F,COLUMN(Articles!$D$1)-COLUMN(Articles!$A$1)+1,FALSE)</f>
        <v>Porte-batterie</v>
      </c>
      <c r="C32" s="4" t="s">
        <v>298</v>
      </c>
      <c r="D32" s="40">
        <f>1/5</f>
        <v>0.2</v>
      </c>
      <c r="E32" s="4">
        <f>VLOOKUP(Table14113[[#This Row],[Man. Number]],Articles!A:F,COLUMN(Articles!$F$1)-COLUMN(Articles!$A$1)+1,FALSE)</f>
        <v>2</v>
      </c>
      <c r="F32" s="4" t="str">
        <f>IF(Table14113[[#This Row],[In stock]] &gt;= Table14113[[#This Row],[Quantity]],"YES","NO")</f>
        <v>YES</v>
      </c>
      <c r="G32" s="4">
        <f>VLOOKUP(Table14113[[#This Row],[Man. Number]],Articles!A:J,COLUMN(Articles!$J$1)-COLUMN(Articles!$A$1)+1,FALSE)*Table14113[[#This Row],[Quantity]]</f>
        <v>0.63600000000000012</v>
      </c>
      <c r="H32" s="4">
        <f>Table14113[[#This Row],[Quantity]]*$L$1</f>
        <v>0.4</v>
      </c>
      <c r="I32" s="4" t="str">
        <f>IF(Table14113[[#This Row],[In stock]] &gt;= Table14113[[#This Row],[Total quantity]],"YES","NO")</f>
        <v>YES</v>
      </c>
    </row>
    <row r="33" spans="1:9" x14ac:dyDescent="0.25">
      <c r="A33" s="3">
        <v>90990</v>
      </c>
      <c r="B33" s="4" t="str">
        <f>VLOOKUP(Table14113[[#This Row],[Man. Number]],Articles!A:F,COLUMN(Articles!$D$1)-COLUMN(Articles!$A$1)+1,FALSE)</f>
        <v>Batterie Li-Po 3.7V 2000mAh</v>
      </c>
      <c r="C33" s="4" t="s">
        <v>298</v>
      </c>
      <c r="D33" s="40">
        <f>1/2</f>
        <v>0.5</v>
      </c>
      <c r="E33" s="4">
        <f>VLOOKUP(Table14113[[#This Row],[Man. Number]],Articles!A:F,COLUMN(Articles!$F$1)-COLUMN(Articles!$A$1)+1,FALSE)</f>
        <v>1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6.55</v>
      </c>
      <c r="H33" s="4">
        <f>Table14113[[#This Row],[Quantity]]*$L$1</f>
        <v>1</v>
      </c>
      <c r="I33" s="4" t="str">
        <f>IF(Table14113[[#This Row],[In stock]] &gt;= Table14113[[#This Row],[Total quantity]],"YES","NO")</f>
        <v>YES</v>
      </c>
    </row>
    <row r="34" spans="1:9" x14ac:dyDescent="0.25">
      <c r="A34" s="49" t="s">
        <v>569</v>
      </c>
      <c r="B34" s="40" t="str">
        <f>VLOOKUP(Table14113[[#This Row],[Man. Number]],Articles!A:F,COLUMN(Articles!$D$1)-COLUMN(Articles!$A$1)+1,FALSE)</f>
        <v>Connector Header Through Hole, male, 36 position 0.100" (2.54mm)</v>
      </c>
      <c r="C34" s="4" t="s">
        <v>3419</v>
      </c>
      <c r="D34" s="40">
        <f>8/36</f>
        <v>0.22222222222222221</v>
      </c>
      <c r="E34" s="40">
        <f>VLOOKUP(Table14113[[#This Row],[Man. Number]],Articles!A:F,COLUMN(Articles!$F$1)-COLUMN(Articles!$A$1)+1,FALSE)</f>
        <v>3</v>
      </c>
      <c r="F34" s="40" t="str">
        <f>IF(Table14113[[#This Row],[In stock]] &gt;= Table14113[[#This Row],[Quantity]],"YES","NO")</f>
        <v>YES</v>
      </c>
      <c r="G34" s="40">
        <f>VLOOKUP(Table14113[[#This Row],[Man. Number]],Articles!A:J,COLUMN(Articles!$J$1)-COLUMN(Articles!$A$1)+1,FALSE)*Table14113[[#This Row],[Quantity]]</f>
        <v>0.22666666666666666</v>
      </c>
      <c r="H34" s="40">
        <f>Table14113[[#This Row],[Quantity]]*$L$1</f>
        <v>0.44444444444444442</v>
      </c>
      <c r="I34" s="40" t="str">
        <f>IF(Table14113[[#This Row],[In stock]] &gt;= Table14113[[#This Row],[Total quantity]],"YES","NO")</f>
        <v>YES</v>
      </c>
    </row>
    <row r="35" spans="1:9" x14ac:dyDescent="0.25">
      <c r="A35" s="3" t="s">
        <v>453</v>
      </c>
      <c r="B35" s="4" t="str">
        <f>VLOOKUP(Table14113[[#This Row],[Man. Number]],Articles!A:F,COLUMN(Articles!$D$1)-COLUMN(Articles!$A$1)+1,FALSE)</f>
        <v>Connecteur carte-à-carte, femelle, 2.54 mm, 36 Contact(s), Embase</v>
      </c>
      <c r="C35" s="4" t="s">
        <v>3419</v>
      </c>
      <c r="D35" s="40">
        <f>8/36</f>
        <v>0.22222222222222221</v>
      </c>
      <c r="E35" s="4">
        <f>VLOOKUP(Table14113[[#This Row],[Man. Number]],Articles!A:F,COLUMN(Articles!$F$1)-COLUMN(Articles!$A$1)+1,FALSE)</f>
        <v>2</v>
      </c>
      <c r="F35" s="4" t="str">
        <f>IF(Table14113[[#This Row],[In stock]] &gt;= Table14113[[#This Row],[Quantity]],"YES","NO")</f>
        <v>YES</v>
      </c>
      <c r="G35" s="4">
        <f>VLOOKUP(Table14113[[#This Row],[Man. Number]],Articles!A:J,COLUMN(Articles!$J$1)-COLUMN(Articles!$A$1)+1,FALSE)*Table14113[[#This Row],[Quantity]]</f>
        <v>0.69333333333333336</v>
      </c>
      <c r="H35" s="4">
        <f>Table14113[[#This Row],[Quantity]]*$L$1</f>
        <v>0.44444444444444442</v>
      </c>
      <c r="I35" s="4" t="str">
        <f>IF(Table14113[[#This Row],[In stock]] &gt;= Table14113[[#This Row],[Total quantity]],"YES","NO")</f>
        <v>YES</v>
      </c>
    </row>
    <row r="36" spans="1:9" x14ac:dyDescent="0.25">
      <c r="A36" s="49" t="s">
        <v>3027</v>
      </c>
      <c r="B36" s="40" t="str">
        <f>VLOOKUP(Table14113[[#This Row],[Man. Number]],Articles!A:F,COLUMN(Articles!$D$1)-COLUMN(Articles!$A$1)+1,FALSE)</f>
        <v>CONN GH HOUSING 8POS 1.25MM</v>
      </c>
      <c r="C36" s="4" t="s">
        <v>3067</v>
      </c>
      <c r="D36" s="40">
        <v>1</v>
      </c>
      <c r="E36" s="40">
        <f>VLOOKUP(Table14113[[#This Row],[Man. Number]],Articles!A:F,COLUMN(Articles!$F$1)-COLUMN(Articles!$A$1)+1,FALSE)</f>
        <v>10</v>
      </c>
      <c r="F36" s="40" t="str">
        <f>IF(Table14113[[#This Row],[In stock]] &gt;= Table14113[[#This Row],[Quantity]],"YES","NO")</f>
        <v>YES</v>
      </c>
      <c r="G36" s="40">
        <f>VLOOKUP(Table14113[[#This Row],[Man. Number]],Articles!A:J,COLUMN(Articles!$J$1)-COLUMN(Articles!$A$1)+1,FALSE)*Table14113[[#This Row],[Quantity]]</f>
        <v>0.18</v>
      </c>
      <c r="H36" s="40">
        <f>Table14113[[#This Row],[Quantity]]*$L$1</f>
        <v>2</v>
      </c>
      <c r="I36" s="40" t="str">
        <f>IF(Table14113[[#This Row],[In stock]] &gt;= Table14113[[#This Row],[Total quantity]],"YES","NO")</f>
        <v>YES</v>
      </c>
    </row>
    <row r="37" spans="1:9" x14ac:dyDescent="0.25">
      <c r="A37" s="49" t="s">
        <v>2973</v>
      </c>
      <c r="B37" s="40" t="str">
        <f>VLOOKUP(Table14113[[#This Row],[Man. Number]],Articles!A:F,COLUMN(Articles!$D$1)-COLUMN(Articles!$A$1)+1,FALSE)</f>
        <v>CONN HEADER SMD 8POS 1.25MM</v>
      </c>
      <c r="C37" s="4" t="s">
        <v>3067</v>
      </c>
      <c r="D37" s="40">
        <v>1</v>
      </c>
      <c r="E37" s="40">
        <f>VLOOKUP(Table14113[[#This Row],[Man. Number]],Articles!A:F,COLUMN(Articles!$F$1)-COLUMN(Articles!$A$1)+1,FALSE)</f>
        <v>6</v>
      </c>
      <c r="F37" s="40" t="str">
        <f>IF(Table14113[[#This Row],[In stock]] &gt;= Table14113[[#This Row],[Quantity]],"YES","NO")</f>
        <v>YES</v>
      </c>
      <c r="G37" s="40">
        <f>VLOOKUP(Table14113[[#This Row],[Man. Number]],Articles!A:J,COLUMN(Articles!$J$1)-COLUMN(Articles!$A$1)+1,FALSE)*Table14113[[#This Row],[Quantity]]</f>
        <v>0.59</v>
      </c>
      <c r="H37" s="40">
        <f>Table14113[[#This Row],[Quantity]]*$L$1</f>
        <v>2</v>
      </c>
      <c r="I37" s="40" t="str">
        <f>IF(Table14113[[#This Row],[In stock]] &gt;= Table14113[[#This Row],[Total quantity]],"YES","NO")</f>
        <v>YES</v>
      </c>
    </row>
    <row r="38" spans="1:9" x14ac:dyDescent="0.25">
      <c r="A38" s="49" t="s">
        <v>2935</v>
      </c>
      <c r="B38" s="40" t="str">
        <f>VLOOKUP(Table14113[[#This Row],[Man. Number]],Articles!A:F,COLUMN(Articles!$D$1)-COLUMN(Articles!$A$1)+1,FALSE)</f>
        <v>Socket Contact Tin 26-30 AWG Crimp</v>
      </c>
      <c r="C38" s="4" t="s">
        <v>3420</v>
      </c>
      <c r="D38" s="40">
        <v>17</v>
      </c>
      <c r="E38" s="40">
        <f>VLOOKUP(Table14113[[#This Row],[Man. Number]],Articles!A:F,COLUMN(Articles!$F$1)-COLUMN(Articles!$A$1)+1,FALSE)</f>
        <v>100</v>
      </c>
      <c r="F38" s="40" t="str">
        <f>IF(Table14113[[#This Row],[In stock]] &gt;= Table14113[[#This Row],[Quantity]],"YES","NO")</f>
        <v>YES</v>
      </c>
      <c r="G38" s="40">
        <f>VLOOKUP(Table14113[[#This Row],[Man. Number]],Articles!A:J,COLUMN(Articles!$J$1)-COLUMN(Articles!$A$1)+1,FALSE)*Table14113[[#This Row],[Quantity]]</f>
        <v>1.105</v>
      </c>
      <c r="H38" s="40">
        <f>Table14113[[#This Row],[Quantity]]*$L$1</f>
        <v>34</v>
      </c>
      <c r="I38" s="40" t="str">
        <f>IF(Table14113[[#This Row],[In stock]] &gt;= Table14113[[#This Row],[Total quantity]],"YES","NO")</f>
        <v>YES</v>
      </c>
    </row>
    <row r="39" spans="1:9" x14ac:dyDescent="0.25">
      <c r="A39" s="4" t="s">
        <v>73</v>
      </c>
      <c r="B39" s="4" t="str">
        <f>VLOOKUP(Table14113[[#This Row],[Man. Number]],Articles!A:F,COLUMN(Articles!$D$1)-COLUMN(Articles!$A$1)+1,FALSE)</f>
        <v>AUDIO PIEZO INDICATOR 2-5V TH</v>
      </c>
      <c r="C39" s="4" t="s">
        <v>295</v>
      </c>
      <c r="D39" s="40">
        <v>1</v>
      </c>
      <c r="E39" s="4">
        <f>VLOOKUP(Table14113[[#This Row],[Man. Number]],Articles!A:F,COLUMN(Articles!$F$1)-COLUMN(Articles!$A$1)+1,FALSE)</f>
        <v>1</v>
      </c>
      <c r="F39" s="4" t="str">
        <f>IF(Table14113[[#This Row],[In stock]] &gt;= Table14113[[#This Row],[Quantity]],"YES","NO")</f>
        <v>YES</v>
      </c>
      <c r="G39" s="4">
        <f>VLOOKUP(Table14113[[#This Row],[Man. Number]],Articles!A:J,COLUMN(Articles!$J$1)-COLUMN(Articles!$A$1)+1,FALSE)*Table14113[[#This Row],[Quantity]]</f>
        <v>2.98</v>
      </c>
      <c r="H39" s="4">
        <f>Table14113[[#This Row],[Quantity]]*$L$1</f>
        <v>2</v>
      </c>
      <c r="I39" s="4" t="str">
        <f>IF(Table14113[[#This Row],[In stock]] &gt;= Table14113[[#This Row],[Total quantity]],"YES","NO")</f>
        <v>NO</v>
      </c>
    </row>
    <row r="40" spans="1:9" x14ac:dyDescent="0.25">
      <c r="A40" s="49" t="s">
        <v>3012</v>
      </c>
      <c r="B40" s="40" t="str">
        <f>VLOOKUP(Table14113[[#This Row],[Man. Number]],Articles!A:F,COLUMN(Articles!$D$1)-COLUMN(Articles!$A$1)+1,FALSE)</f>
        <v>CONN GH HOUSING 2POS 1.25MM</v>
      </c>
      <c r="C40" s="4" t="s">
        <v>3421</v>
      </c>
      <c r="D40" s="40">
        <v>3</v>
      </c>
      <c r="E40" s="40">
        <f>VLOOKUP(Table14113[[#This Row],[Man. Number]],Articles!A:F,COLUMN(Articles!$F$1)-COLUMN(Articles!$A$1)+1,FALSE)</f>
        <v>10</v>
      </c>
      <c r="F40" s="40" t="str">
        <f>IF(Table14113[[#This Row],[In stock]] &gt;= Table14113[[#This Row],[Quantity]],"YES","NO")</f>
        <v>YES</v>
      </c>
      <c r="G40" s="40">
        <f>VLOOKUP(Table14113[[#This Row],[Man. Number]],Articles!A:J,COLUMN(Articles!$J$1)-COLUMN(Articles!$A$1)+1,FALSE)*Table14113[[#This Row],[Quantity]]</f>
        <v>0.36</v>
      </c>
      <c r="H40" s="40">
        <f>Table14113[[#This Row],[Quantity]]*$L$1</f>
        <v>6</v>
      </c>
      <c r="I40" s="40" t="str">
        <f>IF(Table14113[[#This Row],[In stock]] &gt;= Table14113[[#This Row],[Total quantity]],"YES","NO")</f>
        <v>YES</v>
      </c>
    </row>
    <row r="41" spans="1:9" x14ac:dyDescent="0.25">
      <c r="A41" s="49" t="s">
        <v>2940</v>
      </c>
      <c r="B41" s="40" t="str">
        <f>VLOOKUP(Table14113[[#This Row],[Man. Number]],Articles!A:F,COLUMN(Articles!$D$1)-COLUMN(Articles!$A$1)+1,FALSE)</f>
        <v>CONN HEADER SMD 2POS 1.25MM</v>
      </c>
      <c r="C41" s="4" t="s">
        <v>3421</v>
      </c>
      <c r="D41" s="40">
        <v>3</v>
      </c>
      <c r="E41" s="40">
        <f>VLOOKUP(Table14113[[#This Row],[Man. Number]],Articles!A:F,COLUMN(Articles!$F$1)-COLUMN(Articles!$A$1)+1,FALSE)</f>
        <v>10</v>
      </c>
      <c r="F41" s="40" t="str">
        <f>IF(Table14113[[#This Row],[In stock]] &gt;= Table14113[[#This Row],[Quantity]],"YES","NO")</f>
        <v>YES</v>
      </c>
      <c r="G41" s="40">
        <f>VLOOKUP(Table14113[[#This Row],[Man. Number]],Articles!A:J,COLUMN(Articles!$J$1)-COLUMN(Articles!$A$1)+1,FALSE)*Table14113[[#This Row],[Quantity]]</f>
        <v>1.29</v>
      </c>
      <c r="H41" s="40">
        <f>Table14113[[#This Row],[Quantity]]*$L$1</f>
        <v>6</v>
      </c>
      <c r="I41" s="40" t="str">
        <f>IF(Table14113[[#This Row],[In stock]] &gt;= Table14113[[#This Row],[Total quantity]],"YES","NO")</f>
        <v>YES</v>
      </c>
    </row>
    <row r="42" spans="1:9" x14ac:dyDescent="0.25">
      <c r="A42" s="49" t="s">
        <v>3553</v>
      </c>
      <c r="B42" s="40" t="str">
        <f>VLOOKUP(Table14113[[#This Row],[Man. Number]],Articles!A:F,COLUMN(Articles!$D$1)-COLUMN(Articles!$A$1)+1,FALSE)</f>
        <v>CHEESE HEAD SLOTTED SCREW, NATUR</v>
      </c>
      <c r="C42" s="4" t="s">
        <v>61</v>
      </c>
      <c r="D42" s="40">
        <v>2</v>
      </c>
      <c r="E42" s="40">
        <f>VLOOKUP(Table14113[[#This Row],[Man. Number]],Articles!A:F,COLUMN(Articles!$F$1)-COLUMN(Articles!$A$1)+1,FALSE)</f>
        <v>0</v>
      </c>
      <c r="F42" s="40" t="str">
        <f>IF(Table14113[[#This Row],[In stock]] &gt;= Table14113[[#This Row],[Quantity]],"YES","NO")</f>
        <v>NO</v>
      </c>
      <c r="G42" s="40">
        <f>VLOOKUP(Table14113[[#This Row],[Man. Number]],Articles!A:J,COLUMN(Articles!$J$1)-COLUMN(Articles!$A$1)+1,FALSE)*Table14113[[#This Row],[Quantity]]</f>
        <v>0.32</v>
      </c>
      <c r="H42" s="40">
        <f>Table14113[[#This Row],[Quantity]]*$L$1</f>
        <v>4</v>
      </c>
      <c r="I42" s="40" t="str">
        <f>IF(Table14113[[#This Row],[In stock]] &gt;= Table14113[[#This Row],[Total quantity]],"YES","NO")</f>
        <v>NO</v>
      </c>
    </row>
    <row r="43" spans="1:9" x14ac:dyDescent="0.25">
      <c r="A43" s="4" t="s">
        <v>473</v>
      </c>
      <c r="F43" s="4"/>
      <c r="G43" s="4">
        <f>SUBTOTAL(109,Table14113[Unit Price])</f>
        <v>54.101700000000001</v>
      </c>
      <c r="H43" s="4"/>
      <c r="I43" s="4"/>
    </row>
  </sheetData>
  <conditionalFormatting sqref="A1:A1048576">
    <cfRule type="duplicateValues" dxfId="55" priority="3"/>
  </conditionalFormatting>
  <conditionalFormatting sqref="F1:G1048576 I1:I1048576">
    <cfRule type="containsText" dxfId="54" priority="4" operator="containsText" text="NO">
      <formula>NOT(ISERROR(SEARCH("NO",F1)))</formula>
    </cfRule>
  </conditionalFormatting>
  <conditionalFormatting sqref="M1">
    <cfRule type="cellIs" dxfId="53" priority="1" stopIfTrue="1" operator="equal">
      <formula>"Locked"</formula>
    </cfRule>
    <cfRule type="cellIs" dxfId="5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491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299</v>
      </c>
      <c r="D3" s="4">
        <v>1</v>
      </c>
      <c r="E3" s="4">
        <f>VLOOKUP(Table1411[[#This Row],[Man. Number]],Articles!A:F,COLUMN(Articles!$F$1)-COLUMN(Articles!$A$1)+1,FALSE)</f>
        <v>2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YES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298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49" t="s">
        <v>3363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294</v>
      </c>
      <c r="D6" s="4">
        <v>1</v>
      </c>
      <c r="E6" s="40">
        <f>VLOOKUP(Table1411[[#This Row],[Man. Number]],Articles!A:F,COLUMN(Articles!$F$1)-COLUMN(Articles!$A$1)+1,FALSE)</f>
        <v>1</v>
      </c>
      <c r="F6" s="40" t="str">
        <f>IF(Table1411[[#This Row],[In stock]] &gt;= Table1411[[#This Row],[Quantity]],"YES","NO")</f>
        <v>YES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297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298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295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287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3070</v>
      </c>
      <c r="D11" s="4">
        <v>5</v>
      </c>
      <c r="E11" s="4">
        <f>VLOOKUP(Table1411[[#This Row],[Man. Number]],Articles!A:F,COLUMN(Articles!$F$1)-COLUMN(Articles!$A$1)+1,FALSE)</f>
        <v>89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453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2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YES</v>
      </c>
    </row>
    <row r="13" spans="1:13" x14ac:dyDescent="0.25">
      <c r="A13" s="49" t="s">
        <v>2940</v>
      </c>
      <c r="B13" s="40" t="str">
        <f>VLOOKUP(Table1411[[#This Row],[Man. Number]],Articles!A:F,COLUMN(Articles!$D$1)-COLUMN(Articles!$A$1)+1,FALSE)</f>
        <v>CONN HEADER SMD 2POS 1.25MM</v>
      </c>
      <c r="C13" s="4" t="s">
        <v>3068</v>
      </c>
      <c r="D13" s="4">
        <v>4</v>
      </c>
      <c r="E13" s="40">
        <f>VLOOKUP(Table1411[[#This Row],[Man. Number]],Articles!A:F,COLUMN(Articles!$F$1)-COLUMN(Articles!$A$1)+1,FALSE)</f>
        <v>10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YES</v>
      </c>
    </row>
    <row r="14" spans="1:13" x14ac:dyDescent="0.25">
      <c r="A14" s="49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296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2935</v>
      </c>
      <c r="B15" s="40" t="str">
        <f>VLOOKUP(Table1411[[#This Row],[Man. Number]],Articles!A:F,COLUMN(Articles!$D$1)-COLUMN(Articles!$A$1)+1,FALSE)</f>
        <v>Socket Contact Tin 26-30 AWG Crimp</v>
      </c>
      <c r="C15" s="4" t="s">
        <v>3069</v>
      </c>
      <c r="D15" s="4">
        <v>19</v>
      </c>
      <c r="E15" s="40">
        <f>VLOOKUP(Table1411[[#This Row],[Man. Number]],Articles!A:F,COLUMN(Articles!$F$1)-COLUMN(Articles!$A$1)+1,FALSE)</f>
        <v>100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286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273</v>
      </c>
      <c r="B17" s="4" t="str">
        <f>VLOOKUP(Table1411[[#This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VLOOKUP(Table1411[[#This Row],[Man. Number]],Articles!A:F,COLUMN(Articles!$F$1)-COLUMN(Articles!$A$1)+1,FALSE)</f>
        <v>4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2973</v>
      </c>
      <c r="B19" s="40" t="str">
        <f>VLOOKUP(Table1411[[#This Row],[Man. Number]],Articles!A:F,COLUMN(Articles!$D$1)-COLUMN(Articles!$A$1)+1,FALSE)</f>
        <v>CONN HEADER SMD 8POS 1.25MM</v>
      </c>
      <c r="C19" s="4" t="s">
        <v>3067</v>
      </c>
      <c r="D19" s="4">
        <v>1</v>
      </c>
      <c r="E19" s="40">
        <f>VLOOKUP(Table1411[[#This Row],[Man. Number]],Articles!A:F,COLUMN(Articles!$F$1)-COLUMN(Articles!$A$1)+1,FALSE)</f>
        <v>6</v>
      </c>
      <c r="F19" s="40" t="str">
        <f>IF(Table1411[[#This Row],[In stock]] &gt;= Table1411[[#This Row],[Quantity]],"YES","NO")</f>
        <v>YES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YES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280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215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3072</v>
      </c>
      <c r="D21" s="4">
        <v>1</v>
      </c>
      <c r="E21" s="40">
        <f>VLOOKUP(Table1411[[#This Row],[Man. Number]],Articles!A:F,COLUMN(Articles!$F$1)-COLUMN(Articles!$A$1)+1,FALSE)</f>
        <v>8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282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2946</v>
      </c>
      <c r="B23" s="40" t="str">
        <f>VLOOKUP(Table1411[[#This Row],[Man. Number]],Articles!A:F,COLUMN(Articles!$D$1)-COLUMN(Articles!$A$1)+1,FALSE)</f>
        <v>CONN HEADER SMD 3POS 1.25MM</v>
      </c>
      <c r="C23" s="4" t="s">
        <v>298</v>
      </c>
      <c r="D23" s="4">
        <v>1</v>
      </c>
      <c r="E23" s="40">
        <f>VLOOKUP(Table1411[[#This Row],[Man. Number]],Articles!A:F,COLUMN(Articles!$F$1)-COLUMN(Articles!$A$1)+1,FALSE)</f>
        <v>2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49" t="s">
        <v>3012</v>
      </c>
      <c r="B24" s="40" t="str">
        <f>VLOOKUP(Table1411[[#This Row],[Man. Number]],Articles!A:F,COLUMN(Articles!$D$1)-COLUMN(Articles!$A$1)+1,FALSE)</f>
        <v>CONN GH HOUSING 2POS 1.25MM</v>
      </c>
      <c r="C24" s="4" t="s">
        <v>3068</v>
      </c>
      <c r="D24" s="4">
        <v>4</v>
      </c>
      <c r="E24" s="40">
        <f>VLOOKUP(Table1411[[#This Row],[Man. Number]],Articles!A:F,COLUMN(Articles!$F$1)-COLUMN(Articles!$A$1)+1,FALSE)</f>
        <v>10</v>
      </c>
      <c r="F24" s="40" t="str">
        <f>IF(Table1411[[#This Row],[In stock]] &gt;= Table1411[[#This Row],[Quantity]],"YES","NO")</f>
        <v>YES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YES</v>
      </c>
    </row>
    <row r="25" spans="1:9" x14ac:dyDescent="0.25">
      <c r="A25" s="49" t="s">
        <v>1026</v>
      </c>
      <c r="B25" s="4" t="str">
        <f>VLOOKUP(Table1411[[#This Row],[Man. Number]],Articles!A:F,COLUMN(Articles!$D$1)-COLUMN(Articles!$A$1)+1,FALSE)</f>
        <v>RES SMD 1K OHM 5% 1/8W 0805</v>
      </c>
      <c r="C25" s="4" t="s">
        <v>3074</v>
      </c>
      <c r="D25" s="4">
        <v>3</v>
      </c>
      <c r="E25" s="4">
        <f>VLOOKUP(Table1411[[#This Row],[Man. Number]],Articles!A:F,COLUMN(Articles!$F$1)-COLUMN(Articles!$A$1)+1,FALSE)</f>
        <v>10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VLOOKUP(Table1411[[#This Row],[Man. Number]],Articles!A:F,COLUMN(Articles!$F$1)-COLUMN(Articles!$A$1)+1,FALSE)</f>
        <v>8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279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281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49" t="s">
        <v>569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3086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49" t="s">
        <v>2886</v>
      </c>
      <c r="B30" s="40" t="str">
        <f>VLOOKUP(Table1411[[#This Row],[Man. Number]],Articles!A:F,COLUMN(Articles!$D$1)-COLUMN(Articles!$A$1)+1,FALSE)</f>
        <v>RES SMD 100K OHM 5% 0.4W 0805</v>
      </c>
      <c r="C30" s="4" t="s">
        <v>3076</v>
      </c>
      <c r="D30" s="4">
        <v>2</v>
      </c>
      <c r="E30" s="40">
        <f>VLOOKUP(Table1411[[#This Row],[Man. Number]],Articles!A:F,COLUMN(Articles!$F$1)-COLUMN(Articles!$A$1)+1,FALSE)</f>
        <v>10</v>
      </c>
      <c r="F30" s="40" t="str">
        <f>IF(Table1411[[#This Row],[In stock]] &gt;= Table1411[[#This Row],[Quantity]],"YES","NO")</f>
        <v>YES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YES</v>
      </c>
    </row>
    <row r="31" spans="1:9" x14ac:dyDescent="0.25">
      <c r="A31" s="49" t="s">
        <v>3027</v>
      </c>
      <c r="B31" s="40" t="str">
        <f>VLOOKUP(Table1411[[#This Row],[Man. Number]],Articles!A:F,COLUMN(Articles!$D$1)-COLUMN(Articles!$A$1)+1,FALSE)</f>
        <v>CONN GH HOUSING 8POS 1.25MM</v>
      </c>
      <c r="C31" s="4" t="s">
        <v>3067</v>
      </c>
      <c r="D31" s="4">
        <v>1</v>
      </c>
      <c r="E31" s="40">
        <f>VLOOKUP(Table1411[[#This Row],[Man. Number]],Articles!A:F,COLUMN(Articles!$F$1)-COLUMN(Articles!$A$1)+1,FALSE)</f>
        <v>10</v>
      </c>
      <c r="F31" s="40" t="str">
        <f>IF(Table1411[[#This Row],[In stock]] &gt;= Table1411[[#This Row],[Quantity]],"YES","NO")</f>
        <v>YES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YES</v>
      </c>
    </row>
    <row r="32" spans="1:9" x14ac:dyDescent="0.25">
      <c r="A32" s="49" t="s">
        <v>3018</v>
      </c>
      <c r="B32" s="40" t="str">
        <f>VLOOKUP(Table1411[[#This Row],[Man. Number]],Articles!A:F,COLUMN(Articles!$D$1)-COLUMN(Articles!$A$1)+1,FALSE)</f>
        <v>CONN GH HOUSING 3POS 1.25MM</v>
      </c>
      <c r="C32" s="4" t="s">
        <v>298</v>
      </c>
      <c r="D32" s="4">
        <v>1</v>
      </c>
      <c r="E32" s="40">
        <f>VLOOKUP(Table1411[[#This Row],[Man. Number]],Articles!A:F,COLUMN(Articles!$F$1)-COLUMN(Articles!$A$1)+1,FALSE)</f>
        <v>10</v>
      </c>
      <c r="F32" s="40" t="str">
        <f>IF(Table1411[[#This Row],[In stock]] &gt;= Table1411[[#This Row],[Quantity]],"YES","NO")</f>
        <v>YES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YES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3071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49" t="s">
        <v>1863</v>
      </c>
      <c r="B34" s="4" t="str">
        <f>VLOOKUP(Table1411[[#This Row],[Man. Number]],Articles!A:F,COLUMN(Articles!$D$1)-COLUMN(Articles!$A$1)+1,FALSE)</f>
        <v>RES SMD 22 OHM 5% 0.4W 0805</v>
      </c>
      <c r="C34" s="4" t="s">
        <v>291</v>
      </c>
      <c r="D34" s="4">
        <v>1</v>
      </c>
      <c r="E34" s="4">
        <f>VLOOKUP(Table1411[[#This Row],[Man. Number]],Articles!A:F,COLUMN(Articles!$F$1)-COLUMN(Articles!$A$1)+1,FALSE)</f>
        <v>10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2790</v>
      </c>
      <c r="B35" s="4" t="str">
        <f>VLOOKUP(Table1411[[#This Row],[Man. Number]],Articles!A:F,COLUMN(Articles!$D$1)-COLUMN(Articles!$A$1)+1,FALSE)</f>
        <v>RES SMD 3.9K OHM 5% 0.4W 0805</v>
      </c>
      <c r="C35" s="4" t="s">
        <v>288</v>
      </c>
      <c r="D35" s="4">
        <v>1</v>
      </c>
      <c r="E35" s="4">
        <f>VLOOKUP(Table1411[[#This Row],[Man. Number]],Articles!A:F,COLUMN(Articles!$F$1)-COLUMN(Articles!$A$1)+1,FALSE)</f>
        <v>10</v>
      </c>
      <c r="F35" s="4" t="str">
        <f>IF(Table1411[[#This Row],[In stock]] &gt;= Table1411[[#This Row],[Quantity]],"YES","NO")</f>
        <v>YES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YES</v>
      </c>
    </row>
    <row r="36" spans="1:9" x14ac:dyDescent="0.25">
      <c r="A36" s="49" t="s">
        <v>2811</v>
      </c>
      <c r="B36" s="40" t="str">
        <f>VLOOKUP(Table1411[[#This Row],[Man. Number]],Articles!A:F,COLUMN(Articles!$D$1)-COLUMN(Articles!$A$1)+1,FALSE)</f>
        <v>RES SMD 330 OHM 5% 0.4W 0805</v>
      </c>
      <c r="C36" s="4" t="s">
        <v>3075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278</v>
      </c>
      <c r="D37" s="4">
        <v>1</v>
      </c>
      <c r="E37" s="4">
        <f>VLOOKUP(Table1411[[#This Row],[Man. Number]],Articles!A:F,COLUMN(Articles!$F$1)-COLUMN(Articles!$A$1)+1,FALSE)</f>
        <v>48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3073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3407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294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307</v>
      </c>
      <c r="B41" s="4" t="str">
        <f>VLOOKUP(Table1411[[#This Row],[Man. Number]],Articles!A:F,COLUMN(Articles!$D$1)-COLUMN(Articles!$A$1)+1,FALSE)</f>
        <v>PCB Led adaptateur v1</v>
      </c>
      <c r="C41" s="4" t="s">
        <v>284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303</v>
      </c>
      <c r="B42" s="4" t="str">
        <f>VLOOKUP(Table1411[[#This Row],[Man. Number]],Articles!A:F,COLUMN(Articles!$D$1)-COLUMN(Articles!$A$1)+1,FALSE)</f>
        <v>Résistance SMD 3.3k OHM 0805</v>
      </c>
      <c r="C42" s="4" t="s">
        <v>300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49" t="s">
        <v>3366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294</v>
      </c>
      <c r="D44" s="4">
        <v>0</v>
      </c>
      <c r="E44" s="40">
        <f>VLOOKUP(Table1411[[#This Row],[Man. Number]],Articles!A:F,COLUMN(Articles!$F$1)-COLUMN(Articles!$A$1)+1,FALSE)</f>
        <v>1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51" priority="5"/>
  </conditionalFormatting>
  <conditionalFormatting sqref="F1:G1048576 I1:I1048576">
    <cfRule type="containsText" dxfId="50" priority="6" operator="containsText" text="NO">
      <formula>NOT(ISERROR(SEARCH("NO",F1)))</formula>
    </cfRule>
  </conditionalFormatting>
  <conditionalFormatting sqref="M1">
    <cfRule type="cellIs" dxfId="49" priority="1" stopIfTrue="1" operator="equal">
      <formula>"Locked"</formula>
    </cfRule>
    <cfRule type="cellIs" dxfId="4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J15" sqref="J15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295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298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280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299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276</v>
      </c>
      <c r="D11" s="4">
        <v>4</v>
      </c>
      <c r="E11" s="4">
        <f>VLOOKUP(Table14[[#This Row],[Man. Number]],Articles!A:F,COLUMN(Articles!$F$1)-COLUMN(Articles!$A$1)+1,FALSE)</f>
        <v>89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278</v>
      </c>
      <c r="D12" s="4">
        <v>1</v>
      </c>
      <c r="E12" s="4">
        <f>VLOOKUP(Table14[[#This Row],[Man. Number]],Articles!A:F,COLUMN(Articles!$F$1)-COLUMN(Articles!$A$1)+1,FALSE)</f>
        <v>48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277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453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273</v>
      </c>
      <c r="B17" s="4" t="str">
        <f>VLOOKUP(Table14[[#This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VLOOKUP(Table14[[#This Row],[Man. Number]],Articles!A:F,COLUMN(Articles!$F$1)-COLUMN(Articles!$A$1)+1,FALSE)</f>
        <v>4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296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281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297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309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307</v>
      </c>
      <c r="B23" s="4" t="str">
        <f>VLOOKUP(Table14[[#This Row],[Man. Number]],Articles!A:F,COLUMN(Articles!$D$1)-COLUMN(Articles!$A$1)+1,FALSE)</f>
        <v>PCB Led adaptateur v1</v>
      </c>
      <c r="C23" s="4" t="s">
        <v>284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279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298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285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288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VLOOKUP(Table14[[#This Row],[Man. Number]],Articles!A:F,COLUMN(Articles!$F$1)-COLUMN(Articles!$A$1)+1,FALSE)</f>
        <v>8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294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289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304</v>
      </c>
      <c r="B32" s="4" t="str">
        <f>VLOOKUP(Table14[[#This Row],[Man. Number]],Articles!A:F,COLUMN(Articles!$D$1)-COLUMN(Articles!$A$1)+1,FALSE)</f>
        <v>Résistance SMD 1k OHM 0805</v>
      </c>
      <c r="C32" s="4" t="s">
        <v>290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303</v>
      </c>
      <c r="B33" s="4" t="str">
        <f>VLOOKUP(Table14[[#This Row],[Man. Number]],Articles!A:F,COLUMN(Articles!$D$1)-COLUMN(Articles!$A$1)+1,FALSE)</f>
        <v>Résistance SMD 3.3k OHM 0805</v>
      </c>
      <c r="C33" s="4" t="s">
        <v>300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293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291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292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282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287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286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dataConsolidate/>
  <conditionalFormatting sqref="A1:A1048576">
    <cfRule type="duplicateValues" dxfId="47" priority="3"/>
  </conditionalFormatting>
  <conditionalFormatting sqref="F1:G1048576 I1:I1048576">
    <cfRule type="containsText" dxfId="46" priority="4" operator="containsText" text="NO">
      <formula>NOT(ISERROR(SEARCH("NO",F1)))</formula>
    </cfRule>
  </conditionalFormatting>
  <conditionalFormatting sqref="M1">
    <cfRule type="cellIs" dxfId="45" priority="1" stopIfTrue="1" operator="equal">
      <formula>"Locked"</formula>
    </cfRule>
    <cfRule type="cellIs" dxfId="4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43" priority="5" operator="containsText" text="NO">
      <formula>NOT(ISERROR(SEARCH("NO",F1)))</formula>
    </cfRule>
  </conditionalFormatting>
  <conditionalFormatting sqref="A1:A1048576">
    <cfRule type="duplicateValues" dxfId="42" priority="3"/>
  </conditionalFormatting>
  <conditionalFormatting sqref="M1">
    <cfRule type="cellIs" dxfId="41" priority="1" stopIfTrue="1" operator="equal">
      <formula>"Locked"</formula>
    </cfRule>
    <cfRule type="cellIs" dxfId="4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M38"/>
  <sheetViews>
    <sheetView workbookViewId="0">
      <pane ySplit="1" topLeftCell="A2" activePane="bottomLeft" state="frozen"/>
      <selection pane="bottomLeft" activeCell="C27" sqref="C27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3372</v>
      </c>
    </row>
    <row r="2" spans="1:13" x14ac:dyDescent="0.25">
      <c r="A2" s="40" t="s">
        <v>564</v>
      </c>
      <c r="B2" s="40" t="str">
        <f>VLOOKUP(Table14681012[[#This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VLOOKUP(Table14681012[[#This Row],[Man. Number]],Articles!A:F,COLUMN(Articles!$F$1)-COLUMN(Articles!$A$1)+1,FALSE)</f>
        <v>9</v>
      </c>
      <c r="F2" s="40" t="str">
        <f>IF(Table14681012[[#This Row],[In stock]] &gt;= Table14681012[[#This Row],[Quantity]],"YES","NO")</f>
        <v>YES</v>
      </c>
      <c r="G2" s="3">
        <f>VLOOKUP(Table14681012[[#This Row],[Man. Number]],Articles!A:J,COLUMN(Articles!$J$1)-COLUMN(Articles!$A$1)+1,FALSE)*Table14681012[[#This Row],[Quantity]]</f>
        <v>3.5999999999999997E-2</v>
      </c>
      <c r="H2" s="40">
        <f>Table14681012[[#This Row],[Quantity]]*$L$1</f>
        <v>2</v>
      </c>
      <c r="I2" s="40" t="str">
        <f>IF(Table14681012[[#This Row],[In stock]] &gt;= Table14681012[[#This Row],[Total quantity]],"YES","NO")</f>
        <v>YES</v>
      </c>
    </row>
    <row r="3" spans="1:13" x14ac:dyDescent="0.25">
      <c r="A3" s="40" t="s">
        <v>3519</v>
      </c>
      <c r="B3" s="40" t="str">
        <f>VLOOKUP(Table14681012[[#This Row],[Man. Number]],Articles!A:F,COLUMN(Articles!$D$1)-COLUMN(Articles!$A$1)+1,FALSE)</f>
        <v>10µF ±20% 10V Ceramic Capacitor X5R 0805 (2012 Metric)</v>
      </c>
      <c r="C3" s="4" t="s">
        <v>278</v>
      </c>
      <c r="D3" s="4">
        <v>1</v>
      </c>
      <c r="E3" s="4">
        <f>VLOOKUP(Table14681012[[#This Row],[Man. Number]],Articles!A:F,COLUMN(Articles!$F$1)-COLUMN(Articles!$A$1)+1,FALSE)</f>
        <v>0</v>
      </c>
      <c r="F3" s="40" t="str">
        <f>IF(Table14681012[[#This Row],[In stock]] &gt;= Table14681012[[#This Row],[Quantity]],"YES","NO")</f>
        <v>NO</v>
      </c>
      <c r="G3" s="3">
        <f>VLOOKUP(Table14681012[[#This Row],[Man. Number]],Articles!A:J,COLUMN(Articles!$J$1)-COLUMN(Articles!$A$1)+1,FALSE)*Table14681012[[#This Row],[Quantity]]</f>
        <v>0.18</v>
      </c>
      <c r="H3" s="40">
        <f>Table14681012[[#This Row],[Quantity]]*$L$1</f>
        <v>2</v>
      </c>
      <c r="I3" s="40" t="str">
        <f>IF(Table14681012[[#This Row],[In stock]] &gt;= Table14681012[[#This Row],[Total quantity]],"YES","NO")</f>
        <v>NO</v>
      </c>
    </row>
    <row r="4" spans="1:13" x14ac:dyDescent="0.25">
      <c r="A4" s="40" t="s">
        <v>33</v>
      </c>
      <c r="B4" s="40" t="str">
        <f>VLOOKUP(Table14681012[[#This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VLOOKUP(Table14681012[[#This Row],[Man. Number]],Articles!A:F,COLUMN(Articles!$F$1)-COLUMN(Articles!$A$1)+1,FALSE)</f>
        <v>89</v>
      </c>
      <c r="F4" s="40" t="str">
        <f>IF(Table14681012[[#This Row],[In stock]] &gt;= Table14681012[[#This Row],[Quantity]],"YES","NO")</f>
        <v>YES</v>
      </c>
      <c r="G4" s="3">
        <f>VLOOKUP(Table14681012[[#This Row],[Man. Number]],Articles!A:J,COLUMN(Articles!$J$1)-COLUMN(Articles!$A$1)+1,FALSE)*Table14681012[[#This Row],[Quantity]]</f>
        <v>1.26</v>
      </c>
      <c r="H4" s="40">
        <f>Table14681012[[#This Row],[Quantity]]*$L$1</f>
        <v>6</v>
      </c>
      <c r="I4" s="40" t="str">
        <f>IF(Table14681012[[#This Row],[In stock]] &gt;= Table14681012[[#This Row],[Total quantity]],"YES","NO")</f>
        <v>YES</v>
      </c>
    </row>
    <row r="5" spans="1:13" x14ac:dyDescent="0.25">
      <c r="A5" s="40" t="s">
        <v>563</v>
      </c>
      <c r="B5" s="40" t="str">
        <f>VLOOKUP(Table14681012[[#This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VLOOKUP(Table14681012[[#This Row],[Man. Number]],Articles!A:F,COLUMN(Articles!$F$1)-COLUMN(Articles!$A$1)+1,FALSE)</f>
        <v>18</v>
      </c>
      <c r="F5" s="40" t="str">
        <f>IF(Table14681012[[#This Row],[In stock]] &gt;= Table14681012[[#This Row],[Quantity]],"YES","NO")</f>
        <v>YES</v>
      </c>
      <c r="G5" s="3">
        <f>VLOOKUP(Table14681012[[#This Row],[Man. Number]],Articles!A:J,COLUMN(Articles!$J$1)-COLUMN(Articles!$A$1)+1,FALSE)*Table14681012[[#This Row],[Quantity]]</f>
        <v>0.16</v>
      </c>
      <c r="H5" s="40">
        <f>Table14681012[[#This Row],[Quantity]]*$L$1</f>
        <v>4</v>
      </c>
      <c r="I5" s="40" t="str">
        <f>IF(Table14681012[[#This Row],[In stock]] &gt;= Table14681012[[#This Row],[Total quantity]],"YES","NO")</f>
        <v>YES</v>
      </c>
    </row>
    <row r="6" spans="1:13" x14ac:dyDescent="0.25">
      <c r="A6" s="40" t="s">
        <v>561</v>
      </c>
      <c r="B6" s="40" t="str">
        <f>VLOOKUP(Table14681012[[#This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VLOOKUP(Table14681012[[#This Row],[Man. Number]],Articles!A:F,COLUMN(Articles!$F$1)-COLUMN(Articles!$A$1)+1,FALSE)</f>
        <v>9</v>
      </c>
      <c r="F6" s="40" t="str">
        <f>IF(Table14681012[[#This Row],[In stock]] &gt;= Table14681012[[#This Row],[Quantity]],"YES","NO")</f>
        <v>YES</v>
      </c>
      <c r="G6" s="3">
        <f>VLOOKUP(Table14681012[[#This Row],[Man. Number]],Articles!A:J,COLUMN(Articles!$J$1)-COLUMN(Articles!$A$1)+1,FALSE)*Table14681012[[#This Row],[Quantity]]</f>
        <v>0.10199999999999999</v>
      </c>
      <c r="H6" s="40">
        <f>Table14681012[[#This Row],[Quantity]]*$L$1</f>
        <v>2</v>
      </c>
      <c r="I6" s="40" t="str">
        <f>IF(Table14681012[[#This Row],[In stock]] &gt;= Table14681012[[#This Row],[Total quantity]],"YES","NO")</f>
        <v>YES</v>
      </c>
    </row>
    <row r="7" spans="1:13" x14ac:dyDescent="0.25">
      <c r="A7" s="40" t="s">
        <v>225</v>
      </c>
      <c r="B7" s="40" t="str">
        <f>VLOOKUP(Table14681012[[#This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VLOOKUP(Table14681012[[#This Row],[Man. Number]],Articles!A:F,COLUMN(Articles!$F$1)-COLUMN(Articles!$A$1)+1,FALSE)</f>
        <v>16</v>
      </c>
      <c r="F7" s="40" t="str">
        <f>IF(Table14681012[[#This Row],[In stock]] &gt;= Table14681012[[#This Row],[Quantity]],"YES","NO")</f>
        <v>YES</v>
      </c>
      <c r="G7" s="3">
        <f>VLOOKUP(Table14681012[[#This Row],[Man. Number]],Articles!A:J,COLUMN(Articles!$J$1)-COLUMN(Articles!$A$1)+1,FALSE)*Table14681012[[#This Row],[Quantity]]</f>
        <v>0.27</v>
      </c>
      <c r="H7" s="40">
        <f>Table14681012[[#This Row],[Quantity]]*$L$1</f>
        <v>2</v>
      </c>
      <c r="I7" s="40" t="str">
        <f>IF(Table14681012[[#This Row],[In stock]] &gt;= Table14681012[[#This Row],[Total quantity]],"YES","NO")</f>
        <v>YES</v>
      </c>
    </row>
    <row r="8" spans="1:13" x14ac:dyDescent="0.25">
      <c r="A8" s="40" t="s">
        <v>562</v>
      </c>
      <c r="B8" s="40" t="str">
        <f>VLOOKUP(Table14681012[[#This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VLOOKUP(Table14681012[[#This Row],[Man. Number]],Articles!A:F,COLUMN(Articles!$F$1)-COLUMN(Articles!$A$1)+1,FALSE)</f>
        <v>0</v>
      </c>
      <c r="F8" s="40" t="str">
        <f>IF(Table14681012[[#This Row],[In stock]] &gt;= Table14681012[[#This Row],[Quantity]],"YES","NO")</f>
        <v>YES</v>
      </c>
      <c r="G8" s="3">
        <f>VLOOKUP(Table14681012[[#This Row],[Man. Number]],Articles!A:J,COLUMN(Articles!$J$1)-COLUMN(Articles!$A$1)+1,FALSE)*Table14681012[[#This Row],[Quantity]]</f>
        <v>0</v>
      </c>
      <c r="H8" s="40">
        <f>Table14681012[[#This Row],[Quantity]]*$L$1</f>
        <v>0</v>
      </c>
      <c r="I8" s="40" t="str">
        <f>IF(Table14681012[[#This Row],[In stock]] &gt;= Table14681012[[#This Row],[Total quantity]],"YES","NO")</f>
        <v>YES</v>
      </c>
    </row>
    <row r="9" spans="1:13" x14ac:dyDescent="0.25">
      <c r="A9" s="40" t="s">
        <v>496</v>
      </c>
      <c r="B9" s="40" t="str">
        <f>VLOOKUP(Table14681012[[#This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VLOOKUP(Table14681012[[#This Row],[Man. Number]],Articles!A:F,COLUMN(Articles!$F$1)-COLUMN(Articles!$A$1)+1,FALSE)</f>
        <v>9</v>
      </c>
      <c r="F9" s="40" t="str">
        <f>IF(Table14681012[[#This Row],[In stock]] &gt;= Table14681012[[#This Row],[Quantity]],"YES","NO")</f>
        <v>YES</v>
      </c>
      <c r="G9" s="3">
        <f>VLOOKUP(Table14681012[[#This Row],[Man. Number]],Articles!A:J,COLUMN(Articles!$J$1)-COLUMN(Articles!$A$1)+1,FALSE)*Table14681012[[#This Row],[Quantity]]</f>
        <v>0.34</v>
      </c>
      <c r="H9" s="40">
        <f>Table14681012[[#This Row],[Quantity]]*$L$1</f>
        <v>2</v>
      </c>
      <c r="I9" s="40" t="str">
        <f>IF(Table14681012[[#This Row],[In stock]] &gt;= Table14681012[[#This Row],[Total quantity]],"YES","NO")</f>
        <v>YES</v>
      </c>
    </row>
    <row r="10" spans="1:13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VLOOKUP(Table14681012[[#This Row],[Man. Number]],Articles!A:F,COLUMN(Articles!$F$1)-COLUMN(Articles!$A$1)+1,FALSE)</f>
        <v>9</v>
      </c>
      <c r="F10" s="40" t="str">
        <f>IF(Table14681012[[#This Row],[In stock]] &gt;= Table14681012[[#This Row],[Quantity]],"YES","NO")</f>
        <v>YES</v>
      </c>
      <c r="G10" s="3">
        <f>VLOOKUP(Table14681012[[#This Row],[Man. Number]],Articles!A:J,COLUMN(Articles!$J$1)-COLUMN(Articles!$A$1)+1,FALSE)*Table14681012[[#This Row],[Quantity]]</f>
        <v>0.66500000000000004</v>
      </c>
      <c r="H10" s="40">
        <f>Table14681012[[#This Row],[Quantity]]*$L$1</f>
        <v>2</v>
      </c>
      <c r="I10" s="40" t="str">
        <f>IF(Table14681012[[#This Row],[In stock]] &gt;= Table14681012[[#This Row],[Total quantity]],"YES","NO")</f>
        <v>YES</v>
      </c>
    </row>
    <row r="11" spans="1:13" x14ac:dyDescent="0.25">
      <c r="A11" s="40" t="s">
        <v>570</v>
      </c>
      <c r="B11" s="40" t="str">
        <f>VLOOKUP(Table14681012[[#This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VLOOKUP(Table14681012[[#This Row],[Man. Number]],Articles!A:F,COLUMN(Articles!$F$1)-COLUMN(Articles!$A$1)+1,FALSE)</f>
        <v>9.65</v>
      </c>
      <c r="F11" s="40" t="str">
        <f>IF(Table14681012[[#This Row],[In stock]] &gt;= Table14681012[[#This Row],[Quantity]],"YES","NO")</f>
        <v>YES</v>
      </c>
      <c r="G11" s="3">
        <f>VLOOKUP(Table14681012[[#This Row],[Man. Number]],Articles!A:J,COLUMN(Articles!$J$1)-COLUMN(Articles!$A$1)+1,FALSE)*Table14681012[[#This Row],[Quantity]]</f>
        <v>0.28799999999999998</v>
      </c>
      <c r="H11" s="40">
        <f>Table14681012[[#This Row],[Quantity]]*$L$1</f>
        <v>0.4</v>
      </c>
      <c r="I11" s="40" t="str">
        <f>IF(Table14681012[[#This Row],[In stock]] &gt;= Table14681012[[#This Row],[Total quantity]],"YES","NO")</f>
        <v>YES</v>
      </c>
    </row>
    <row r="12" spans="1:13" x14ac:dyDescent="0.25">
      <c r="A12" s="40" t="s">
        <v>2958</v>
      </c>
      <c r="B12" s="40" t="str">
        <f>VLOOKUP(Table14681012[[#This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VLOOKUP(Table14681012[[#This Row],[Man. Number]],Articles!A:F,COLUMN(Articles!$F$1)-COLUMN(Articles!$A$1)+1,FALSE)</f>
        <v>6</v>
      </c>
      <c r="F12" s="40" t="str">
        <f>IF(Table14681012[[#This Row],[In stock]] &gt;= Table14681012[[#This Row],[Quantity]],"YES","NO")</f>
        <v>YES</v>
      </c>
      <c r="G12" s="3">
        <f>VLOOKUP(Table14681012[[#This Row],[Man. Number]],Articles!A:J,COLUMN(Articles!$J$1)-COLUMN(Articles!$A$1)+1,FALSE)*Table14681012[[#This Row],[Quantity]]</f>
        <v>1.3800000000000001</v>
      </c>
      <c r="H12" s="40">
        <f>Table14681012[[#This Row],[Quantity]]*$L$1</f>
        <v>6</v>
      </c>
      <c r="I12" s="40" t="str">
        <f>IF(Table14681012[[#This Row],[In stock]] &gt;= Table14681012[[#This Row],[Total quantity]],"YES","NO")</f>
        <v>YES</v>
      </c>
    </row>
    <row r="13" spans="1:13" x14ac:dyDescent="0.25">
      <c r="A13" s="40" t="s">
        <v>3015</v>
      </c>
      <c r="B13" s="40" t="str">
        <f>VLOOKUP(Table14681012[[#This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VLOOKUP(Table14681012[[#This Row],[Man. Number]],Articles!A:F,COLUMN(Articles!$F$1)-COLUMN(Articles!$A$1)+1,FALSE)</f>
        <v>10</v>
      </c>
      <c r="F13" s="40" t="str">
        <f>IF(Table14681012[[#This Row],[In stock]] &gt;= Table14681012[[#This Row],[Quantity]],"YES","NO")</f>
        <v>YES</v>
      </c>
      <c r="G13" s="3">
        <f>VLOOKUP(Table14681012[[#This Row],[Man. Number]],Articles!A:J,COLUMN(Articles!$J$1)-COLUMN(Articles!$A$1)+1,FALSE)*Table14681012[[#This Row],[Quantity]]</f>
        <v>0.51</v>
      </c>
      <c r="H13" s="40">
        <f>Table14681012[[#This Row],[Quantity]]*$L$1</f>
        <v>6</v>
      </c>
      <c r="I13" s="40" t="str">
        <f>IF(Table14681012[[#This Row],[In stock]] &gt;= Table14681012[[#This Row],[Total quantity]],"YES","NO")</f>
        <v>YES</v>
      </c>
    </row>
    <row r="14" spans="1:13" x14ac:dyDescent="0.25">
      <c r="A14" s="40" t="s">
        <v>215</v>
      </c>
      <c r="B14" s="40" t="str">
        <f>VLOOKUP(Table14681012[[#This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VLOOKUP(Table14681012[[#This Row],[Man. Number]],Articles!A:F,COLUMN(Articles!$F$1)-COLUMN(Articles!$A$1)+1,FALSE)</f>
        <v>8</v>
      </c>
      <c r="F14" s="40" t="str">
        <f>IF(Table14681012[[#This Row],[In stock]] &gt;= Table14681012[[#This Row],[Quantity]],"YES","NO")</f>
        <v>YES</v>
      </c>
      <c r="G14" s="3">
        <f>VLOOKUP(Table14681012[[#This Row],[Man. Number]],Articles!A:J,COLUMN(Articles!$J$1)-COLUMN(Articles!$A$1)+1,FALSE)*Table14681012[[#This Row],[Quantity]]</f>
        <v>0.52</v>
      </c>
      <c r="H14" s="40">
        <f>Table14681012[[#This Row],[Quantity]]*$L$1</f>
        <v>2</v>
      </c>
      <c r="I14" s="40" t="str">
        <f>IF(Table14681012[[#This Row],[In stock]] &gt;= Table14681012[[#This Row],[Total quantity]],"YES","NO")</f>
        <v>YES</v>
      </c>
    </row>
    <row r="15" spans="1:13" x14ac:dyDescent="0.25">
      <c r="A15" s="40" t="s">
        <v>130</v>
      </c>
      <c r="B15" s="40" t="str">
        <f>VLOOKUP(Table14681012[[#This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VLOOKUP(Table14681012[[#This Row],[Man. Number]],Articles!A:F,COLUMN(Articles!$F$1)-COLUMN(Articles!$A$1)+1,FALSE)</f>
        <v>4</v>
      </c>
      <c r="F15" s="40" t="str">
        <f>IF(Table14681012[[#This Row],[In stock]] &gt;= Table14681012[[#This Row],[Quantity]],"YES","NO")</f>
        <v>YES</v>
      </c>
      <c r="G15" s="3">
        <f>VLOOKUP(Table14681012[[#This Row],[Man. Number]],Articles!A:J,COLUMN(Articles!$J$1)-COLUMN(Articles!$A$1)+1,FALSE)*Table14681012[[#This Row],[Quantity]]</f>
        <v>0.45</v>
      </c>
      <c r="H15" s="40">
        <f>Table14681012[[#This Row],[Quantity]]*$L$1</f>
        <v>2</v>
      </c>
      <c r="I15" s="40" t="str">
        <f>IF(Table14681012[[#This Row],[In stock]] &gt;= Table14681012[[#This Row],[Total quantity]],"YES","NO")</f>
        <v>YES</v>
      </c>
    </row>
    <row r="16" spans="1:13" x14ac:dyDescent="0.25">
      <c r="A16" s="40" t="s">
        <v>2238</v>
      </c>
      <c r="B16" s="40" t="str">
        <f>VLOOKUP(Table14681012[[#This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VLOOKUP(Table14681012[[#This Row],[Man. Number]],Articles!A:F,COLUMN(Articles!$F$1)-COLUMN(Articles!$A$1)+1,FALSE)</f>
        <v>9</v>
      </c>
      <c r="F16" s="40" t="str">
        <f>IF(Table14681012[[#This Row],[In stock]] &gt;= Table14681012[[#This Row],[Quantity]],"YES","NO")</f>
        <v>YES</v>
      </c>
      <c r="G16" s="3">
        <f>VLOOKUP(Table14681012[[#This Row],[Man. Number]],Articles!A:J,COLUMN(Articles!$J$1)-COLUMN(Articles!$A$1)+1,FALSE)*Table14681012[[#This Row],[Quantity]]</f>
        <v>0.1</v>
      </c>
      <c r="H16" s="40">
        <f>Table14681012[[#This Row],[Quantity]]*$L$1</f>
        <v>2</v>
      </c>
      <c r="I16" s="40" t="str">
        <f>IF(Table14681012[[#This Row],[In stock]] &gt;= Table14681012[[#This Row],[Total quantity]],"YES","NO")</f>
        <v>YES</v>
      </c>
    </row>
    <row r="17" spans="1:9" x14ac:dyDescent="0.25">
      <c r="A17" s="40" t="s">
        <v>2055</v>
      </c>
      <c r="B17" s="40" t="str">
        <f>VLOOKUP(Table14681012[[#This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VLOOKUP(Table14681012[[#This Row],[Man. Number]],Articles!A:F,COLUMN(Articles!$F$1)-COLUMN(Articles!$A$1)+1,FALSE)</f>
        <v>8</v>
      </c>
      <c r="F17" s="40" t="str">
        <f>IF(Table14681012[[#This Row],[In stock]] &gt;= Table14681012[[#This Row],[Quantity]],"YES","NO")</f>
        <v>YES</v>
      </c>
      <c r="G17" s="3">
        <f>VLOOKUP(Table14681012[[#This Row],[Man. Number]],Articles!A:J,COLUMN(Articles!$J$1)-COLUMN(Articles!$A$1)+1,FALSE)*Table14681012[[#This Row],[Quantity]]</f>
        <v>0.1</v>
      </c>
      <c r="H17" s="40">
        <f>Table14681012[[#This Row],[Quantity]]*$L$1</f>
        <v>2</v>
      </c>
      <c r="I17" s="40" t="str">
        <f>IF(Table14681012[[#This Row],[In stock]] &gt;= Table14681012[[#This Row],[Total quantity]],"YES","NO")</f>
        <v>YES</v>
      </c>
    </row>
    <row r="18" spans="1:9" x14ac:dyDescent="0.25">
      <c r="A18" s="40" t="s">
        <v>2193</v>
      </c>
      <c r="B18" s="40" t="str">
        <f>VLOOKUP(Table14681012[[#This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VLOOKUP(Table14681012[[#This Row],[Man. Number]],Articles!A:F,COLUMN(Articles!$F$1)-COLUMN(Articles!$A$1)+1,FALSE)</f>
        <v>7</v>
      </c>
      <c r="F18" s="40" t="str">
        <f>IF(Table14681012[[#This Row],[In stock]] &gt;= Table14681012[[#This Row],[Quantity]],"YES","NO")</f>
        <v>YES</v>
      </c>
      <c r="G18" s="3">
        <f>VLOOKUP(Table14681012[[#This Row],[Man. Number]],Articles!A:J,COLUMN(Articles!$J$1)-COLUMN(Articles!$A$1)+1,FALSE)*Table14681012[[#This Row],[Quantity]]</f>
        <v>0.30000000000000004</v>
      </c>
      <c r="H18" s="40">
        <f>Table14681012[[#This Row],[Quantity]]*$L$1</f>
        <v>6</v>
      </c>
      <c r="I18" s="40" t="str">
        <f>IF(Table14681012[[#This Row],[In stock]] &gt;= Table14681012[[#This Row],[Total quantity]],"YES","NO")</f>
        <v>YES</v>
      </c>
    </row>
    <row r="19" spans="1:9" x14ac:dyDescent="0.25">
      <c r="A19" s="40" t="s">
        <v>1761</v>
      </c>
      <c r="B19" s="40" t="str">
        <f>VLOOKUP(Table14681012[[#This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VLOOKUP(Table14681012[[#This Row],[Man. Number]],Articles!A:F,COLUMN(Articles!$F$1)-COLUMN(Articles!$A$1)+1,FALSE)</f>
        <v>95</v>
      </c>
      <c r="F19" s="40" t="str">
        <f>IF(Table14681012[[#This Row],[In stock]] &gt;= Table14681012[[#This Row],[Quantity]],"YES","NO")</f>
        <v>YES</v>
      </c>
      <c r="G19" s="3">
        <f>VLOOKUP(Table14681012[[#This Row],[Man. Number]],Articles!A:J,COLUMN(Articles!$J$1)-COLUMN(Articles!$A$1)+1,FALSE)*Table14681012[[#This Row],[Quantity]]</f>
        <v>0.5</v>
      </c>
      <c r="H19" s="40">
        <f>Table14681012[[#This Row],[Quantity]]*$L$1</f>
        <v>10</v>
      </c>
      <c r="I19" s="40" t="str">
        <f>IF(Table14681012[[#This Row],[In stock]] &gt;= Table14681012[[#This Row],[Total quantity]],"YES","NO")</f>
        <v>YES</v>
      </c>
    </row>
    <row r="20" spans="1:9" x14ac:dyDescent="0.25">
      <c r="A20" s="40" t="s">
        <v>2187</v>
      </c>
      <c r="B20" s="40" t="str">
        <f>VLOOKUP(Table14681012[[#This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VLOOKUP(Table14681012[[#This Row],[Man. Number]],Articles!A:F,COLUMN(Articles!$F$1)-COLUMN(Articles!$A$1)+1,FALSE)</f>
        <v>9</v>
      </c>
      <c r="F20" s="40" t="str">
        <f>IF(Table14681012[[#This Row],[In stock]] &gt;= Table14681012[[#This Row],[Quantity]],"YES","NO")</f>
        <v>YES</v>
      </c>
      <c r="G20" s="3">
        <f>VLOOKUP(Table14681012[[#This Row],[Man. Number]],Articles!A:J,COLUMN(Articles!$J$1)-COLUMN(Articles!$A$1)+1,FALSE)*Table14681012[[#This Row],[Quantity]]</f>
        <v>0.1</v>
      </c>
      <c r="H20" s="40">
        <f>Table14681012[[#This Row],[Quantity]]*$L$1</f>
        <v>2</v>
      </c>
      <c r="I20" s="40" t="str">
        <f>IF(Table14681012[[#This Row],[In stock]] &gt;= Table14681012[[#This Row],[Total quantity]],"YES","NO")</f>
        <v>YES</v>
      </c>
    </row>
    <row r="21" spans="1:9" x14ac:dyDescent="0.25">
      <c r="A21" s="40" t="s">
        <v>217</v>
      </c>
      <c r="B21" s="40" t="str">
        <f>VLOOKUP(Table14681012[[#This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VLOOKUP(Table14681012[[#This Row],[Man. Number]],Articles!A:F,COLUMN(Articles!$F$1)-COLUMN(Articles!$A$1)+1,FALSE)</f>
        <v>3</v>
      </c>
      <c r="F21" s="40" t="str">
        <f>IF(Table14681012[[#This Row],[In stock]] &gt;= Table14681012[[#This Row],[Quantity]],"YES","NO")</f>
        <v>YES</v>
      </c>
      <c r="G21" s="3">
        <f>VLOOKUP(Table14681012[[#This Row],[Man. Number]],Articles!A:J,COLUMN(Articles!$J$1)-COLUMN(Articles!$A$1)+1,FALSE)*Table14681012[[#This Row],[Quantity]]</f>
        <v>1.39</v>
      </c>
      <c r="H21" s="40">
        <f>Table14681012[[#This Row],[Quantity]]*$L$1</f>
        <v>2</v>
      </c>
      <c r="I21" s="40" t="str">
        <f>IF(Table14681012[[#This Row],[In stock]] &gt;= Table14681012[[#This Row],[Total quantity]],"YES","NO")</f>
        <v>YES</v>
      </c>
    </row>
    <row r="22" spans="1:9" x14ac:dyDescent="0.25">
      <c r="A22" s="40" t="s">
        <v>491</v>
      </c>
      <c r="B22" s="40" t="str">
        <f>VLOOKUP(Table14681012[[#This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VLOOKUP(Table14681012[[#This Row],[Man. Number]],Articles!A:F,COLUMN(Articles!$F$1)-COLUMN(Articles!$A$1)+1,FALSE)</f>
        <v>2</v>
      </c>
      <c r="F22" s="40" t="str">
        <f>IF(Table14681012[[#This Row],[In stock]] &gt;= Table14681012[[#This Row],[Quantity]],"YES","NO")</f>
        <v>YES</v>
      </c>
      <c r="G22" s="3">
        <f>VLOOKUP(Table14681012[[#This Row],[Man. Number]],Articles!A:J,COLUMN(Articles!$J$1)-COLUMN(Articles!$A$1)+1,FALSE)*Table14681012[[#This Row],[Quantity]]</f>
        <v>8.19</v>
      </c>
      <c r="H22" s="40">
        <f>Table14681012[[#This Row],[Quantity]]*$L$1</f>
        <v>2</v>
      </c>
      <c r="I22" s="40" t="str">
        <f>IF(Table14681012[[#This Row],[In stock]] &gt;= Table14681012[[#This Row],[Total quantity]],"YES","NO")</f>
        <v>YES</v>
      </c>
    </row>
    <row r="23" spans="1:9" x14ac:dyDescent="0.25">
      <c r="A23" s="40" t="s">
        <v>24</v>
      </c>
      <c r="B23" s="40" t="str">
        <f>VLOOKUP(Table14681012[[#This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VLOOKUP(Table14681012[[#This Row],[Man. Number]],Articles!A:F,COLUMN(Articles!$F$1)-COLUMN(Articles!$A$1)+1,FALSE)</f>
        <v>8</v>
      </c>
      <c r="F23" s="40" t="str">
        <f>IF(Table14681012[[#This Row],[In stock]] &gt;= Table14681012[[#This Row],[Quantity]],"YES","NO")</f>
        <v>YES</v>
      </c>
      <c r="G23" s="3">
        <f>VLOOKUP(Table14681012[[#This Row],[Man. Number]],Articles!A:J,COLUMN(Articles!$J$1)-COLUMN(Articles!$A$1)+1,FALSE)*Table14681012[[#This Row],[Quantity]]</f>
        <v>0.35</v>
      </c>
      <c r="H23" s="40">
        <f>Table14681012[[#This Row],[Quantity]]*$L$1</f>
        <v>2</v>
      </c>
      <c r="I23" s="40" t="str">
        <f>IF(Table14681012[[#This Row],[In stock]] &gt;= Table14681012[[#This Row],[Total quantity]],"YES","NO")</f>
        <v>YES</v>
      </c>
    </row>
    <row r="24" spans="1:9" x14ac:dyDescent="0.25">
      <c r="A24" s="40" t="s">
        <v>485</v>
      </c>
      <c r="B24" s="4" t="str">
        <f>VLOOKUP(Table14681012[[#This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VLOOKUP(Table14681012[[#This Row],[Man. Number]],Articles!A:F,COLUMN(Articles!$F$1)-COLUMN(Articles!$A$1)+1,FALSE)</f>
        <v>1</v>
      </c>
      <c r="F24" s="4" t="str">
        <f>IF(Table14681012[[#This Row],[In stock]] &gt;= Table14681012[[#This Row],[Quantity]],"YES","NO")</f>
        <v>YES</v>
      </c>
      <c r="G24" s="3">
        <f>VLOOKUP(Table14681012[[#This Row],[Man. Number]],Articles!A:J,COLUMN(Articles!$J$1)-COLUMN(Articles!$A$1)+1,FALSE)*Table14681012[[#This Row],[Quantity]]</f>
        <v>2</v>
      </c>
      <c r="H24" s="4">
        <f>Table14681012[[#This Row],[Quantity]]*$L$1</f>
        <v>2</v>
      </c>
      <c r="I24" s="4" t="str">
        <f>IF(Table14681012[[#This Row],[In stock]] &gt;= Table14681012[[#This Row],[Total quantity]],"YES","NO")</f>
        <v>NO</v>
      </c>
    </row>
    <row r="25" spans="1:9" x14ac:dyDescent="0.25">
      <c r="A25" s="40" t="s">
        <v>493</v>
      </c>
      <c r="B25" s="40" t="str">
        <f>VLOOKUP(Table14681012[[#This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VLOOKUP(Table14681012[[#This Row],[Man. Number]],Articles!A:F,COLUMN(Articles!$F$1)-COLUMN(Articles!$A$1)+1,FALSE)</f>
        <v>1</v>
      </c>
      <c r="F25" s="40" t="str">
        <f>IF(Table14681012[[#This Row],[In stock]] &gt;= Table14681012[[#This Row],[Quantity]],"YES","NO")</f>
        <v>YES</v>
      </c>
      <c r="G25" s="3">
        <f>VLOOKUP(Table14681012[[#This Row],[Man. Number]],Articles!A:J,COLUMN(Articles!$J$1)-COLUMN(Articles!$A$1)+1,FALSE)*Table14681012[[#This Row],[Quantity]]</f>
        <v>1.78</v>
      </c>
      <c r="H25" s="40">
        <f>Table14681012[[#This Row],[Quantity]]*$L$1</f>
        <v>2</v>
      </c>
      <c r="I25" s="40" t="str">
        <f>IF(Table14681012[[#This Row],[In stock]] &gt;= Table14681012[[#This Row],[Total quantity]],"YES","NO")</f>
        <v>NO</v>
      </c>
    </row>
    <row r="26" spans="1:9" x14ac:dyDescent="0.25">
      <c r="A26" s="40" t="s">
        <v>118</v>
      </c>
      <c r="B26" s="40" t="str">
        <f>VLOOKUP(Table14681012[[#This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VLOOKUP(Table14681012[[#This Row],[Man. Number]],Articles!A:F,COLUMN(Articles!$F$1)-COLUMN(Articles!$A$1)+1,FALSE)</f>
        <v>10</v>
      </c>
      <c r="F26" s="40" t="str">
        <f>IF(Table14681012[[#This Row],[In stock]] &gt;= Table14681012[[#This Row],[Quantity]],"YES","NO")</f>
        <v>YES</v>
      </c>
      <c r="G26" s="3">
        <f>VLOOKUP(Table14681012[[#This Row],[Man. Number]],Articles!A:J,COLUMN(Articles!$J$1)-COLUMN(Articles!$A$1)+1,FALSE)*Table14681012[[#This Row],[Quantity]]</f>
        <v>0.54600000000000004</v>
      </c>
      <c r="H26" s="40">
        <f>Table14681012[[#This Row],[Quantity]]*$L$1</f>
        <v>2</v>
      </c>
      <c r="I26" s="40" t="str">
        <f>IF(Table14681012[[#This Row],[In stock]] &gt;= Table14681012[[#This Row],[Total quantity]],"YES","NO")</f>
        <v>YES</v>
      </c>
    </row>
    <row r="27" spans="1:9" x14ac:dyDescent="0.25">
      <c r="A27" s="40" t="s">
        <v>2970</v>
      </c>
      <c r="B27" s="40" t="str">
        <f>VLOOKUP(Table14681012[[#This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VLOOKUP(Table14681012[[#This Row],[Man. Number]],Articles!A:F,COLUMN(Articles!$F$1)-COLUMN(Articles!$A$1)+1,FALSE)</f>
        <v>2</v>
      </c>
      <c r="F27" s="40" t="str">
        <f>IF(Table14681012[[#This Row],[In stock]] &gt;= Table14681012[[#This Row],[Quantity]],"YES","NO")</f>
        <v>YES</v>
      </c>
      <c r="G27" s="3">
        <f>VLOOKUP(Table14681012[[#This Row],[Man. Number]],Articles!A:J,COLUMN(Articles!$J$1)-COLUMN(Articles!$A$1)+1,FALSE)*Table14681012[[#This Row],[Quantity]]</f>
        <v>0.59</v>
      </c>
      <c r="H27" s="40">
        <f>Table14681012[[#This Row],[Quantity]]*$L$1</f>
        <v>2</v>
      </c>
      <c r="I27" s="40" t="str">
        <f>IF(Table14681012[[#This Row],[In stock]] &gt;= Table14681012[[#This Row],[Total quantity]],"YES","NO")</f>
        <v>YES</v>
      </c>
    </row>
    <row r="28" spans="1:9" x14ac:dyDescent="0.25">
      <c r="A28" s="40" t="s">
        <v>3036</v>
      </c>
      <c r="B28" s="40" t="str">
        <f>VLOOKUP(Table14681012[[#This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VLOOKUP(Table14681012[[#This Row],[Man. Number]],Articles!A:F,COLUMN(Articles!$F$1)-COLUMN(Articles!$A$1)+1,FALSE)</f>
        <v>3</v>
      </c>
      <c r="F28" s="40" t="str">
        <f>IF(Table14681012[[#This Row],[In stock]] &gt;= Table14681012[[#This Row],[Quantity]],"YES","NO")</f>
        <v>YES</v>
      </c>
      <c r="G28" s="3">
        <f>VLOOKUP(Table14681012[[#This Row],[Man. Number]],Articles!A:J,COLUMN(Articles!$J$1)-COLUMN(Articles!$A$1)+1,FALSE)*Table14681012[[#This Row],[Quantity]]</f>
        <v>0.18</v>
      </c>
      <c r="H28" s="40">
        <f>Table14681012[[#This Row],[Quantity]]*$L$1</f>
        <v>2</v>
      </c>
      <c r="I28" s="40" t="str">
        <f>IF(Table14681012[[#This Row],[In stock]] &gt;= Table14681012[[#This Row],[Total quantity]],"YES","NO")</f>
        <v>YES</v>
      </c>
    </row>
    <row r="29" spans="1:9" x14ac:dyDescent="0.25">
      <c r="A29" s="40" t="s">
        <v>2973</v>
      </c>
      <c r="B29" s="40" t="str">
        <f>VLOOKUP(Table14681012[[#This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VLOOKUP(Table14681012[[#This Row],[Man. Number]],Articles!A:F,COLUMN(Articles!$F$1)-COLUMN(Articles!$A$1)+1,FALSE)</f>
        <v>6</v>
      </c>
      <c r="F29" s="40" t="str">
        <f>IF(Table14681012[[#This Row],[In stock]] &gt;= Table14681012[[#This Row],[Quantity]],"YES","NO")</f>
        <v>YES</v>
      </c>
      <c r="G29" s="3">
        <f>VLOOKUP(Table14681012[[#This Row],[Man. Number]],Articles!A:J,COLUMN(Articles!$J$1)-COLUMN(Articles!$A$1)+1,FALSE)*Table14681012[[#This Row],[Quantity]]</f>
        <v>1.18</v>
      </c>
      <c r="H29" s="40">
        <f>Table14681012[[#This Row],[Quantity]]*$L$1</f>
        <v>4</v>
      </c>
      <c r="I29" s="40" t="str">
        <f>IF(Table14681012[[#This Row],[In stock]] &gt;= Table14681012[[#This Row],[Total quantity]],"YES","NO")</f>
        <v>YES</v>
      </c>
    </row>
    <row r="30" spans="1:9" x14ac:dyDescent="0.25">
      <c r="A30" s="40" t="s">
        <v>3027</v>
      </c>
      <c r="B30" s="40" t="str">
        <f>VLOOKUP(Table14681012[[#This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VLOOKUP(Table14681012[[#This Row],[Man. Number]],Articles!A:F,COLUMN(Articles!$F$1)-COLUMN(Articles!$A$1)+1,FALSE)</f>
        <v>10</v>
      </c>
      <c r="F30" s="40" t="str">
        <f>IF(Table14681012[[#This Row],[In stock]] &gt;= Table14681012[[#This Row],[Quantity]],"YES","NO")</f>
        <v>YES</v>
      </c>
      <c r="G30" s="3">
        <f>VLOOKUP(Table14681012[[#This Row],[Man. Number]],Articles!A:J,COLUMN(Articles!$J$1)-COLUMN(Articles!$A$1)+1,FALSE)*Table14681012[[#This Row],[Quantity]]</f>
        <v>0.36</v>
      </c>
      <c r="H30" s="40">
        <f>Table14681012[[#This Row],[Quantity]]*$L$1</f>
        <v>4</v>
      </c>
      <c r="I30" s="40" t="str">
        <f>IF(Table14681012[[#This Row],[In stock]] &gt;= Table14681012[[#This Row],[Total quantity]],"YES","NO")</f>
        <v>YES</v>
      </c>
    </row>
    <row r="31" spans="1:9" x14ac:dyDescent="0.25">
      <c r="A31" s="40" t="s">
        <v>2964</v>
      </c>
      <c r="B31" s="40" t="str">
        <f>VLOOKUP(Table14681012[[#This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VLOOKUP(Table14681012[[#This Row],[Man. Number]],Articles!A:F,COLUMN(Articles!$F$1)-COLUMN(Articles!$A$1)+1,FALSE)</f>
        <v>2</v>
      </c>
      <c r="F31" s="40" t="str">
        <f>IF(Table14681012[[#This Row],[In stock]] &gt;= Table14681012[[#This Row],[Quantity]],"YES","NO")</f>
        <v>YES</v>
      </c>
      <c r="G31" s="3">
        <f>VLOOKUP(Table14681012[[#This Row],[Man. Number]],Articles!A:J,COLUMN(Articles!$J$1)-COLUMN(Articles!$A$1)+1,FALSE)*Table14681012[[#This Row],[Quantity]]</f>
        <v>0.56000000000000005</v>
      </c>
      <c r="H31" s="40">
        <f>Table14681012[[#This Row],[Quantity]]*$L$1</f>
        <v>2</v>
      </c>
      <c r="I31" s="40" t="str">
        <f>IF(Table14681012[[#This Row],[In stock]] &gt;= Table14681012[[#This Row],[Total quantity]],"YES","NO")</f>
        <v>YES</v>
      </c>
    </row>
    <row r="32" spans="1:9" x14ac:dyDescent="0.25">
      <c r="A32" s="40" t="s">
        <v>3024</v>
      </c>
      <c r="B32" s="40" t="str">
        <f>VLOOKUP(Table14681012[[#This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VLOOKUP(Table14681012[[#This Row],[Man. Number]],Articles!A:F,COLUMN(Articles!$F$1)-COLUMN(Articles!$A$1)+1,FALSE)</f>
        <v>3</v>
      </c>
      <c r="F32" s="40" t="str">
        <f>IF(Table14681012[[#This Row],[In stock]] &gt;= Table14681012[[#This Row],[Quantity]],"YES","NO")</f>
        <v>YES</v>
      </c>
      <c r="G32" s="3">
        <f>VLOOKUP(Table14681012[[#This Row],[Man. Number]],Articles!A:J,COLUMN(Articles!$J$1)-COLUMN(Articles!$A$1)+1,FALSE)*Table14681012[[#This Row],[Quantity]]</f>
        <v>0.17</v>
      </c>
      <c r="H32" s="40">
        <f>Table14681012[[#This Row],[Quantity]]*$L$1</f>
        <v>2</v>
      </c>
      <c r="I32" s="40" t="str">
        <f>IF(Table14681012[[#This Row],[In stock]] &gt;= Table14681012[[#This Row],[Total quantity]],"YES","NO")</f>
        <v>YES</v>
      </c>
    </row>
    <row r="33" spans="1:9" x14ac:dyDescent="0.25">
      <c r="A33" s="40" t="s">
        <v>2940</v>
      </c>
      <c r="B33" s="40" t="str">
        <f>VLOOKUP(Table14681012[[#This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VLOOKUP(Table14681012[[#This Row],[Man. Number]],Articles!A:F,COLUMN(Articles!$F$1)-COLUMN(Articles!$A$1)+1,FALSE)</f>
        <v>10</v>
      </c>
      <c r="F33" s="40" t="str">
        <f>IF(Table14681012[[#This Row],[In stock]] &gt;= Table14681012[[#This Row],[Quantity]],"YES","NO")</f>
        <v>YES</v>
      </c>
      <c r="G33" s="3">
        <f>VLOOKUP(Table14681012[[#This Row],[Man. Number]],Articles!A:J,COLUMN(Articles!$J$1)-COLUMN(Articles!$A$1)+1,FALSE)*Table14681012[[#This Row],[Quantity]]</f>
        <v>0.43</v>
      </c>
      <c r="H33" s="40">
        <f>Table14681012[[#This Row],[Quantity]]*$L$1</f>
        <v>2</v>
      </c>
      <c r="I33" s="40" t="str">
        <f>IF(Table14681012[[#This Row],[In stock]] &gt;= Table14681012[[#This Row],[Total quantity]],"YES","NO")</f>
        <v>YES</v>
      </c>
    </row>
    <row r="34" spans="1:9" x14ac:dyDescent="0.25">
      <c r="A34" s="40" t="s">
        <v>3012</v>
      </c>
      <c r="B34" s="40" t="str">
        <f>VLOOKUP(Table14681012[[#This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VLOOKUP(Table14681012[[#This Row],[Man. Number]],Articles!A:F,COLUMN(Articles!$F$1)-COLUMN(Articles!$A$1)+1,FALSE)</f>
        <v>10</v>
      </c>
      <c r="F34" s="40" t="str">
        <f>IF(Table14681012[[#This Row],[In stock]] &gt;= Table14681012[[#This Row],[Quantity]],"YES","NO")</f>
        <v>YES</v>
      </c>
      <c r="G34" s="3">
        <f>VLOOKUP(Table14681012[[#This Row],[Man. Number]],Articles!A:J,COLUMN(Articles!$J$1)-COLUMN(Articles!$A$1)+1,FALSE)*Table14681012[[#This Row],[Quantity]]</f>
        <v>0.12</v>
      </c>
      <c r="H34" s="40">
        <f>Table14681012[[#This Row],[Quantity]]*$L$1</f>
        <v>2</v>
      </c>
      <c r="I34" s="40" t="str">
        <f>IF(Table14681012[[#This Row],[In stock]] &gt;= Table14681012[[#This Row],[Total quantity]],"YES","NO")</f>
        <v>YES</v>
      </c>
    </row>
    <row r="35" spans="1:9" x14ac:dyDescent="0.25">
      <c r="A35" s="40" t="s">
        <v>488</v>
      </c>
      <c r="B35" s="40" t="str">
        <f>VLOOKUP(Table14681012[[#This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VLOOKUP(Table14681012[[#This Row],[Man. Number]],Articles!A:F,COLUMN(Articles!$F$1)-COLUMN(Articles!$A$1)+1,FALSE)</f>
        <v>3</v>
      </c>
      <c r="F35" s="40" t="str">
        <f>IF(Table14681012[[#This Row],[In stock]] &gt;= Table14681012[[#This Row],[Quantity]],"YES","NO")</f>
        <v>YES</v>
      </c>
      <c r="G35" s="3">
        <f>VLOOKUP(Table14681012[[#This Row],[Man. Number]],Articles!A:J,COLUMN(Articles!$J$1)-COLUMN(Articles!$A$1)+1,FALSE)*Table14681012[[#This Row],[Quantity]]</f>
        <v>0.93</v>
      </c>
      <c r="H35" s="40">
        <f>Table14681012[[#This Row],[Quantity]]*$L$1</f>
        <v>2</v>
      </c>
      <c r="I35" s="40" t="str">
        <f>IF(Table14681012[[#This Row],[In stock]] &gt;= Table14681012[[#This Row],[Total quantity]],"YES","NO")</f>
        <v>YES</v>
      </c>
    </row>
    <row r="36" spans="1:9" x14ac:dyDescent="0.25">
      <c r="A36" s="40" t="s">
        <v>3539</v>
      </c>
      <c r="B36" s="40" t="str">
        <f>VLOOKUP(Table14681012[[#This Row],[Man. Number]],Articles!A:F,COLUMN(Articles!$D$1)-COLUMN(Articles!$A$1)+1,FALSE)</f>
        <v>Hex Standoff Threaded M4 Nylon 0.394" (10.00mm) Natural</v>
      </c>
      <c r="C36" s="4" t="s">
        <v>61</v>
      </c>
      <c r="D36" s="4">
        <v>4</v>
      </c>
      <c r="E36" s="4">
        <f>VLOOKUP(Table14681012[[#This Row],[Man. Number]],Articles!A:F,COLUMN(Articles!$F$1)-COLUMN(Articles!$A$1)+1,FALSE)</f>
        <v>0</v>
      </c>
      <c r="F36" s="40" t="str">
        <f>IF(Table14681012[[#This Row],[In stock]] &gt;= Table14681012[[#This Row],[Quantity]],"YES","NO")</f>
        <v>NO</v>
      </c>
      <c r="G36" s="3">
        <f>VLOOKUP(Table14681012[[#This Row],[Man. Number]],Articles!A:J,COLUMN(Articles!$J$1)-COLUMN(Articles!$A$1)+1,FALSE)*Table14681012[[#This Row],[Quantity]]</f>
        <v>1.88</v>
      </c>
      <c r="H36" s="40">
        <f>Table14681012[[#This Row],[Quantity]]*$L$1</f>
        <v>8</v>
      </c>
      <c r="I36" s="40" t="str">
        <f>IF(Table14681012[[#This Row],[In stock]] &gt;= Table14681012[[#This Row],[Total quantity]],"YES","NO")</f>
        <v>NO</v>
      </c>
    </row>
    <row r="37" spans="1:9" x14ac:dyDescent="0.25">
      <c r="A37" s="40">
        <v>4689</v>
      </c>
      <c r="B37" s="40" t="str">
        <f>VLOOKUP(Table14681012[[#This Row],[Man. Number]],Articles!A:F,COLUMN(Articles!$D$1)-COLUMN(Articles!$A$1)+1,FALSE)</f>
        <v>M4x0.7 Hex Nut 0.275" (7.00mm) Nylon</v>
      </c>
      <c r="C37" s="4" t="s">
        <v>61</v>
      </c>
      <c r="D37" s="4">
        <v>4</v>
      </c>
      <c r="E37" s="4">
        <f>VLOOKUP(Table14681012[[#This Row],[Man. Number]],Articles!A:F,COLUMN(Articles!$F$1)-COLUMN(Articles!$A$1)+1,FALSE)</f>
        <v>0</v>
      </c>
      <c r="F37" s="40" t="str">
        <f>IF(Table14681012[[#This Row],[In stock]] &gt;= Table14681012[[#This Row],[Quantity]],"YES","NO")</f>
        <v>NO</v>
      </c>
      <c r="G37" s="3">
        <f>VLOOKUP(Table14681012[[#This Row],[Man. Number]],Articles!A:J,COLUMN(Articles!$J$1)-COLUMN(Articles!$A$1)+1,FALSE)*Table14681012[[#This Row],[Quantity]]</f>
        <v>0.6</v>
      </c>
      <c r="H37" s="40">
        <f>Table14681012[[#This Row],[Quantity]]*$L$1</f>
        <v>8</v>
      </c>
      <c r="I37" s="40" t="str">
        <f>IF(Table14681012[[#This Row],[In stock]] &gt;= Table14681012[[#This Row],[Total quantity]],"YES","NO")</f>
        <v>NO</v>
      </c>
    </row>
    <row r="38" spans="1:9" x14ac:dyDescent="0.25">
      <c r="A38" s="40" t="s">
        <v>473</v>
      </c>
      <c r="C38" s="4" t="s">
        <v>3550</v>
      </c>
      <c r="F38" s="4"/>
      <c r="G38" s="4">
        <f>SUBTOTAL(109,Table14681012[Unit Price])</f>
        <v>28.517000000000003</v>
      </c>
      <c r="H38" s="4"/>
      <c r="I38" s="4"/>
    </row>
  </sheetData>
  <conditionalFormatting sqref="F1:G1048576 I1:I1048576">
    <cfRule type="containsText" dxfId="39" priority="4" operator="containsText" text="NO">
      <formula>NOT(ISERROR(SEARCH("NO",F1)))</formula>
    </cfRule>
  </conditionalFormatting>
  <conditionalFormatting sqref="A1:A1048576">
    <cfRule type="duplicateValues" dxfId="38" priority="3"/>
  </conditionalFormatting>
  <conditionalFormatting sqref="M1">
    <cfRule type="cellIs" dxfId="37" priority="1" stopIfTrue="1" operator="equal">
      <formula>"Locked"</formula>
    </cfRule>
    <cfRule type="cellIs" dxfId="36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35" priority="7" operator="containsText" text="NO">
      <formula>NOT(ISERROR(SEARCH("NO",F1)))</formula>
    </cfRule>
  </conditionalFormatting>
  <conditionalFormatting sqref="A1:A1048576">
    <cfRule type="duplicateValues" dxfId="34" priority="5"/>
  </conditionalFormatting>
  <conditionalFormatting sqref="M1">
    <cfRule type="cellIs" dxfId="33" priority="2" stopIfTrue="1" operator="equal">
      <formula>"Locked"</formula>
    </cfRule>
    <cfRule type="cellIs" dxfId="32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s">
        <v>339</v>
      </c>
      <c r="D2" s="4" t="s">
        <v>337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473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31" priority="5" operator="containsText" text="NO">
      <formula>NOT(ISERROR(SEARCH("NO",F1)))</formula>
    </cfRule>
  </conditionalFormatting>
  <conditionalFormatting sqref="A1:A1048576">
    <cfRule type="duplicateValues" dxfId="30" priority="3"/>
  </conditionalFormatting>
  <conditionalFormatting sqref="M1">
    <cfRule type="cellIs" dxfId="29" priority="1" stopIfTrue="1" operator="equal">
      <formula>"Locked"</formula>
    </cfRule>
    <cfRule type="cellIs" dxfId="2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F12"/>
  <sheetViews>
    <sheetView workbookViewId="0">
      <selection activeCell="H14" sqref="H14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6" x14ac:dyDescent="0.25">
      <c r="A1" t="s">
        <v>3418</v>
      </c>
      <c r="B1" t="s">
        <v>573</v>
      </c>
      <c r="C1" t="s">
        <v>342</v>
      </c>
      <c r="D1" t="s">
        <v>198</v>
      </c>
      <c r="E1" t="s">
        <v>3552</v>
      </c>
      <c r="F1" t="s">
        <v>443</v>
      </c>
    </row>
    <row r="3" spans="1:6" s="39" customFormat="1" ht="15" customHeight="1" x14ac:dyDescent="0.35"/>
    <row r="6" spans="1:6" x14ac:dyDescent="0.25">
      <c r="A6" t="s">
        <v>194</v>
      </c>
      <c r="B6" t="s">
        <v>195</v>
      </c>
      <c r="C6" t="s">
        <v>196</v>
      </c>
    </row>
    <row r="7" spans="1:6" x14ac:dyDescent="0.25">
      <c r="A7" s="53">
        <v>197</v>
      </c>
      <c r="B7" t="s">
        <v>3417</v>
      </c>
      <c r="C7" t="s">
        <v>3418</v>
      </c>
    </row>
    <row r="8" spans="1:6" x14ac:dyDescent="0.25">
      <c r="A8">
        <v>198</v>
      </c>
      <c r="B8" t="s">
        <v>572</v>
      </c>
      <c r="C8" t="s">
        <v>573</v>
      </c>
    </row>
    <row r="9" spans="1:6" x14ac:dyDescent="0.25">
      <c r="A9">
        <v>199</v>
      </c>
      <c r="B9" t="s">
        <v>341</v>
      </c>
      <c r="C9" t="s">
        <v>342</v>
      </c>
    </row>
    <row r="10" spans="1:6" x14ac:dyDescent="0.25">
      <c r="A10">
        <v>299</v>
      </c>
      <c r="B10" t="s">
        <v>197</v>
      </c>
      <c r="C10" t="s">
        <v>198</v>
      </c>
    </row>
    <row r="11" spans="1:6" x14ac:dyDescent="0.25">
      <c r="A11" s="53">
        <v>398</v>
      </c>
      <c r="B11" t="s">
        <v>3551</v>
      </c>
      <c r="C11" t="s">
        <v>3552</v>
      </c>
    </row>
    <row r="12" spans="1:6" x14ac:dyDescent="0.25">
      <c r="A12">
        <v>399</v>
      </c>
      <c r="B12" t="s">
        <v>442</v>
      </c>
      <c r="C12" t="s">
        <v>443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0" sqref="K10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336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27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4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9" x14ac:dyDescent="0.25">
      <c r="A1" t="s">
        <v>194</v>
      </c>
      <c r="B1" s="16" t="s">
        <v>127</v>
      </c>
      <c r="C1" s="16" t="s">
        <v>3434</v>
      </c>
      <c r="D1" s="16" t="s">
        <v>3435</v>
      </c>
      <c r="E1" s="16" t="s">
        <v>2</v>
      </c>
      <c r="F1" s="16" t="s">
        <v>3436</v>
      </c>
      <c r="G1" s="16" t="s">
        <v>3437</v>
      </c>
      <c r="H1" s="16" t="s">
        <v>3381</v>
      </c>
      <c r="I1" s="16" t="s">
        <v>3438</v>
      </c>
    </row>
    <row r="2" spans="1:9" x14ac:dyDescent="0.25">
      <c r="A2">
        <v>1</v>
      </c>
      <c r="B2" s="16">
        <v>2</v>
      </c>
      <c r="C2" s="16" t="s">
        <v>492</v>
      </c>
      <c r="D2" s="16" t="s">
        <v>491</v>
      </c>
      <c r="E2" s="16" t="s">
        <v>3439</v>
      </c>
      <c r="F2" s="16" t="s">
        <v>3440</v>
      </c>
      <c r="G2" s="16">
        <v>0</v>
      </c>
      <c r="H2" s="16" t="s">
        <v>3441</v>
      </c>
      <c r="I2" s="16" t="s">
        <v>3442</v>
      </c>
    </row>
    <row r="3" spans="1:9" x14ac:dyDescent="0.25">
      <c r="A3">
        <v>2</v>
      </c>
      <c r="B3" s="16">
        <v>2</v>
      </c>
      <c r="C3" s="16" t="s">
        <v>518</v>
      </c>
      <c r="D3" s="16" t="s">
        <v>453</v>
      </c>
      <c r="E3" s="16" t="s">
        <v>3443</v>
      </c>
      <c r="F3" s="16" t="s">
        <v>3440</v>
      </c>
      <c r="G3" s="16">
        <v>0</v>
      </c>
      <c r="H3" s="16" t="s">
        <v>3444</v>
      </c>
      <c r="I3" s="16" t="s">
        <v>3445</v>
      </c>
    </row>
    <row r="4" spans="1:9" x14ac:dyDescent="0.25">
      <c r="A4">
        <v>3</v>
      </c>
      <c r="B4" s="16">
        <v>10</v>
      </c>
      <c r="C4" s="16" t="s">
        <v>2939</v>
      </c>
      <c r="D4" s="16" t="s">
        <v>2940</v>
      </c>
      <c r="E4" s="16" t="s">
        <v>2941</v>
      </c>
      <c r="F4" s="16" t="s">
        <v>3440</v>
      </c>
      <c r="G4" s="16">
        <v>0</v>
      </c>
      <c r="H4" s="16" t="s">
        <v>3446</v>
      </c>
      <c r="I4" s="16" t="s">
        <v>3447</v>
      </c>
    </row>
    <row r="5" spans="1:9" x14ac:dyDescent="0.25">
      <c r="A5">
        <v>4</v>
      </c>
      <c r="B5" s="16">
        <v>2</v>
      </c>
      <c r="C5" s="16" t="s">
        <v>486</v>
      </c>
      <c r="D5" s="16" t="s">
        <v>485</v>
      </c>
      <c r="E5" s="16" t="s">
        <v>487</v>
      </c>
      <c r="F5" s="16" t="s">
        <v>3440</v>
      </c>
      <c r="G5" s="16">
        <v>0</v>
      </c>
      <c r="H5" s="16" t="s">
        <v>3448</v>
      </c>
      <c r="I5" s="16" t="s">
        <v>3449</v>
      </c>
    </row>
    <row r="6" spans="1:9" x14ac:dyDescent="0.25">
      <c r="A6">
        <v>5</v>
      </c>
      <c r="B6" s="16">
        <v>1</v>
      </c>
      <c r="C6" s="16" t="s">
        <v>3365</v>
      </c>
      <c r="D6" s="16" t="s">
        <v>3363</v>
      </c>
      <c r="E6" s="16" t="s">
        <v>3450</v>
      </c>
      <c r="F6" s="16" t="s">
        <v>3440</v>
      </c>
      <c r="G6" s="16">
        <v>0</v>
      </c>
      <c r="H6" s="16" t="s">
        <v>3451</v>
      </c>
      <c r="I6" s="16" t="s">
        <v>3452</v>
      </c>
    </row>
    <row r="7" spans="1:9" x14ac:dyDescent="0.25">
      <c r="A7">
        <v>6</v>
      </c>
      <c r="B7" s="16">
        <v>2</v>
      </c>
      <c r="C7" s="16" t="s">
        <v>494</v>
      </c>
      <c r="D7" s="16" t="s">
        <v>493</v>
      </c>
      <c r="E7" s="16" t="s">
        <v>495</v>
      </c>
      <c r="F7" s="16" t="s">
        <v>3440</v>
      </c>
      <c r="G7" s="16">
        <v>0</v>
      </c>
      <c r="H7" s="16" t="s">
        <v>3453</v>
      </c>
      <c r="I7" s="16" t="s">
        <v>3454</v>
      </c>
    </row>
    <row r="8" spans="1:9" x14ac:dyDescent="0.25">
      <c r="A8">
        <v>7</v>
      </c>
      <c r="B8" s="16">
        <v>6</v>
      </c>
      <c r="C8" s="16" t="s">
        <v>2972</v>
      </c>
      <c r="D8" s="16" t="s">
        <v>2973</v>
      </c>
      <c r="E8" s="16" t="s">
        <v>2974</v>
      </c>
      <c r="F8" s="16" t="s">
        <v>3440</v>
      </c>
      <c r="G8" s="16">
        <v>0</v>
      </c>
      <c r="H8" s="16" t="s">
        <v>3455</v>
      </c>
      <c r="I8" s="16" t="s">
        <v>3454</v>
      </c>
    </row>
    <row r="9" spans="1:9" x14ac:dyDescent="0.25">
      <c r="A9">
        <v>8</v>
      </c>
      <c r="B9" s="16">
        <v>6</v>
      </c>
      <c r="C9" s="16" t="s">
        <v>2957</v>
      </c>
      <c r="D9" s="16" t="s">
        <v>2958</v>
      </c>
      <c r="E9" s="16" t="s">
        <v>2959</v>
      </c>
      <c r="F9" s="16" t="s">
        <v>3440</v>
      </c>
      <c r="G9" s="16">
        <v>0</v>
      </c>
      <c r="H9" s="16" t="s">
        <v>3456</v>
      </c>
      <c r="I9" s="16" t="s">
        <v>3457</v>
      </c>
    </row>
    <row r="10" spans="1:9" x14ac:dyDescent="0.25">
      <c r="A10">
        <v>9</v>
      </c>
      <c r="B10" s="16">
        <v>100</v>
      </c>
      <c r="C10" s="16" t="s">
        <v>2938</v>
      </c>
      <c r="D10" s="16" t="s">
        <v>2935</v>
      </c>
      <c r="E10" s="16" t="s">
        <v>3458</v>
      </c>
      <c r="F10" s="16" t="s">
        <v>3440</v>
      </c>
      <c r="G10" s="16">
        <v>0</v>
      </c>
      <c r="H10" s="16" t="s">
        <v>3459</v>
      </c>
      <c r="I10" s="16" t="s">
        <v>3460</v>
      </c>
    </row>
    <row r="11" spans="1:9" x14ac:dyDescent="0.25">
      <c r="A11">
        <v>10</v>
      </c>
      <c r="B11" s="16">
        <v>4</v>
      </c>
      <c r="C11" s="16" t="s">
        <v>433</v>
      </c>
      <c r="D11" s="16" t="s">
        <v>273</v>
      </c>
      <c r="E11" s="16" t="s">
        <v>274</v>
      </c>
      <c r="F11" s="16" t="s">
        <v>3440</v>
      </c>
      <c r="G11" s="16">
        <v>0</v>
      </c>
      <c r="H11" s="16" t="s">
        <v>3461</v>
      </c>
      <c r="I11" s="16" t="s">
        <v>3462</v>
      </c>
    </row>
    <row r="12" spans="1:9" x14ac:dyDescent="0.25">
      <c r="A12">
        <v>11</v>
      </c>
      <c r="B12" s="16">
        <v>4</v>
      </c>
      <c r="C12" s="16" t="s">
        <v>489</v>
      </c>
      <c r="D12" s="16" t="s">
        <v>488</v>
      </c>
      <c r="E12" s="16" t="s">
        <v>490</v>
      </c>
      <c r="F12" s="16" t="s">
        <v>3440</v>
      </c>
      <c r="G12" s="16">
        <v>0</v>
      </c>
      <c r="H12" s="16" t="s">
        <v>3463</v>
      </c>
      <c r="I12" s="16" t="s">
        <v>3464</v>
      </c>
    </row>
    <row r="13" spans="1:9" x14ac:dyDescent="0.25">
      <c r="A13">
        <v>12</v>
      </c>
      <c r="B13" s="16">
        <v>10</v>
      </c>
      <c r="C13" s="16" t="s">
        <v>3207</v>
      </c>
      <c r="D13" s="16" t="s">
        <v>3208</v>
      </c>
      <c r="E13" s="16" t="s">
        <v>3209</v>
      </c>
      <c r="F13" s="16" t="s">
        <v>3440</v>
      </c>
      <c r="G13" s="16">
        <v>0</v>
      </c>
      <c r="H13" s="16" t="s">
        <v>3465</v>
      </c>
      <c r="I13" s="16" t="s">
        <v>3466</v>
      </c>
    </row>
    <row r="14" spans="1:9" x14ac:dyDescent="0.25">
      <c r="A14">
        <v>13</v>
      </c>
      <c r="B14" s="16">
        <v>10</v>
      </c>
      <c r="C14" s="16" t="s">
        <v>3011</v>
      </c>
      <c r="D14" s="16" t="s">
        <v>3012</v>
      </c>
      <c r="E14" s="16" t="s">
        <v>3013</v>
      </c>
      <c r="F14" s="16" t="s">
        <v>3440</v>
      </c>
      <c r="G14" s="16">
        <v>0</v>
      </c>
      <c r="H14" s="16" t="s">
        <v>3467</v>
      </c>
      <c r="I14" s="16" t="s">
        <v>3468</v>
      </c>
    </row>
    <row r="15" spans="1:9" x14ac:dyDescent="0.25">
      <c r="A15">
        <v>14</v>
      </c>
      <c r="B15" s="16">
        <v>2</v>
      </c>
      <c r="C15" s="16" t="s">
        <v>2969</v>
      </c>
      <c r="D15" s="16" t="s">
        <v>2970</v>
      </c>
      <c r="E15" s="16" t="s">
        <v>2971</v>
      </c>
      <c r="F15" s="16" t="s">
        <v>3440</v>
      </c>
      <c r="G15" s="16">
        <v>0</v>
      </c>
      <c r="H15" s="16" t="s">
        <v>3455</v>
      </c>
      <c r="I15" s="16" t="s">
        <v>3469</v>
      </c>
    </row>
    <row r="16" spans="1:9" x14ac:dyDescent="0.25">
      <c r="A16">
        <v>15</v>
      </c>
      <c r="B16" s="16">
        <v>2</v>
      </c>
      <c r="C16" s="16" t="s">
        <v>2963</v>
      </c>
      <c r="D16" s="16" t="s">
        <v>2964</v>
      </c>
      <c r="E16" s="16" t="s">
        <v>2965</v>
      </c>
      <c r="F16" s="16" t="s">
        <v>3440</v>
      </c>
      <c r="G16" s="16">
        <v>0</v>
      </c>
      <c r="H16" s="16" t="s">
        <v>3470</v>
      </c>
      <c r="I16" s="16" t="s">
        <v>3471</v>
      </c>
    </row>
    <row r="17" spans="1:9" x14ac:dyDescent="0.25">
      <c r="A17">
        <v>16</v>
      </c>
      <c r="B17" s="16">
        <v>10</v>
      </c>
      <c r="C17" s="16" t="s">
        <v>3026</v>
      </c>
      <c r="D17" s="16" t="s">
        <v>3027</v>
      </c>
      <c r="E17" s="16" t="s">
        <v>3028</v>
      </c>
      <c r="F17" s="16" t="s">
        <v>3440</v>
      </c>
      <c r="G17" s="16">
        <v>0</v>
      </c>
      <c r="H17" s="16" t="s">
        <v>3472</v>
      </c>
      <c r="I17" s="16" t="s">
        <v>3473</v>
      </c>
    </row>
    <row r="18" spans="1:9" x14ac:dyDescent="0.25">
      <c r="A18">
        <v>17</v>
      </c>
      <c r="B18" s="16">
        <v>10</v>
      </c>
      <c r="C18" s="16" t="s">
        <v>3014</v>
      </c>
      <c r="D18" s="16" t="s">
        <v>3015</v>
      </c>
      <c r="E18" s="16" t="s">
        <v>3016</v>
      </c>
      <c r="F18" s="16" t="s">
        <v>3440</v>
      </c>
      <c r="G18" s="16">
        <v>0</v>
      </c>
      <c r="H18" s="16" t="s">
        <v>3474</v>
      </c>
      <c r="I18" s="16" t="s">
        <v>3475</v>
      </c>
    </row>
    <row r="19" spans="1:9" x14ac:dyDescent="0.25">
      <c r="A19">
        <v>18</v>
      </c>
      <c r="B19" s="16">
        <v>100</v>
      </c>
      <c r="C19" s="16" t="s">
        <v>1760</v>
      </c>
      <c r="D19" s="16" t="s">
        <v>1761</v>
      </c>
      <c r="E19" s="16" t="s">
        <v>1762</v>
      </c>
      <c r="F19" s="16" t="s">
        <v>3440</v>
      </c>
      <c r="G19" s="16">
        <v>0</v>
      </c>
      <c r="H19" s="16" t="s">
        <v>3476</v>
      </c>
      <c r="I19" s="16" t="s">
        <v>3477</v>
      </c>
    </row>
    <row r="20" spans="1:9" x14ac:dyDescent="0.25">
      <c r="A20">
        <v>19</v>
      </c>
      <c r="B20" s="16">
        <v>2</v>
      </c>
      <c r="C20" s="16" t="s">
        <v>2945</v>
      </c>
      <c r="D20" s="16" t="s">
        <v>2946</v>
      </c>
      <c r="E20" s="16" t="s">
        <v>2947</v>
      </c>
      <c r="F20" s="16" t="s">
        <v>3440</v>
      </c>
      <c r="G20" s="16">
        <v>0</v>
      </c>
      <c r="H20" s="16" t="s">
        <v>3478</v>
      </c>
      <c r="I20" s="16" t="s">
        <v>3479</v>
      </c>
    </row>
    <row r="21" spans="1:9" x14ac:dyDescent="0.25">
      <c r="A21">
        <v>20</v>
      </c>
      <c r="B21" s="16">
        <v>10</v>
      </c>
      <c r="C21" s="16" t="s">
        <v>1025</v>
      </c>
      <c r="D21" s="16" t="s">
        <v>1026</v>
      </c>
      <c r="E21" s="16" t="s">
        <v>1027</v>
      </c>
      <c r="F21" s="16" t="s">
        <v>3440</v>
      </c>
      <c r="G21" s="16">
        <v>0</v>
      </c>
      <c r="H21" s="16" t="s">
        <v>3480</v>
      </c>
      <c r="I21" s="16" t="s">
        <v>3481</v>
      </c>
    </row>
    <row r="22" spans="1:9" x14ac:dyDescent="0.25">
      <c r="A22">
        <v>21</v>
      </c>
      <c r="B22" s="16">
        <v>10</v>
      </c>
      <c r="C22" s="16" t="s">
        <v>498</v>
      </c>
      <c r="D22" s="16" t="s">
        <v>496</v>
      </c>
      <c r="E22" s="16" t="s">
        <v>499</v>
      </c>
      <c r="F22" s="16" t="s">
        <v>3440</v>
      </c>
      <c r="G22" s="16">
        <v>0</v>
      </c>
      <c r="H22" s="16" t="s">
        <v>3482</v>
      </c>
      <c r="I22" s="16" t="s">
        <v>3483</v>
      </c>
    </row>
    <row r="23" spans="1:9" x14ac:dyDescent="0.25">
      <c r="A23">
        <v>22</v>
      </c>
      <c r="B23" s="16">
        <v>10</v>
      </c>
      <c r="C23" s="16" t="s">
        <v>2192</v>
      </c>
      <c r="D23" s="16" t="s">
        <v>2193</v>
      </c>
      <c r="E23" s="16" t="s">
        <v>2194</v>
      </c>
      <c r="F23" s="16" t="s">
        <v>3440</v>
      </c>
      <c r="G23" s="16">
        <v>0</v>
      </c>
      <c r="H23" s="16" t="s">
        <v>3484</v>
      </c>
      <c r="I23" s="16" t="s">
        <v>3485</v>
      </c>
    </row>
    <row r="24" spans="1:9" x14ac:dyDescent="0.25">
      <c r="A24">
        <v>23</v>
      </c>
      <c r="B24" s="16">
        <v>10</v>
      </c>
      <c r="C24" s="16" t="s">
        <v>2885</v>
      </c>
      <c r="D24" s="16" t="s">
        <v>2886</v>
      </c>
      <c r="E24" s="16" t="s">
        <v>2887</v>
      </c>
      <c r="F24" s="16" t="s">
        <v>3440</v>
      </c>
      <c r="G24" s="16">
        <v>0</v>
      </c>
      <c r="H24" s="16" t="s">
        <v>3484</v>
      </c>
      <c r="I24" s="16" t="s">
        <v>3485</v>
      </c>
    </row>
    <row r="25" spans="1:9" x14ac:dyDescent="0.25">
      <c r="A25">
        <v>24</v>
      </c>
      <c r="B25" s="16">
        <v>3</v>
      </c>
      <c r="C25" s="16" t="s">
        <v>3035</v>
      </c>
      <c r="D25" s="16" t="s">
        <v>3036</v>
      </c>
      <c r="E25" s="16" t="s">
        <v>3037</v>
      </c>
      <c r="F25" s="16" t="s">
        <v>3440</v>
      </c>
      <c r="G25" s="16">
        <v>0</v>
      </c>
      <c r="H25" s="16" t="s">
        <v>3486</v>
      </c>
      <c r="I25" s="16" t="s">
        <v>3487</v>
      </c>
    </row>
    <row r="26" spans="1:9" x14ac:dyDescent="0.25">
      <c r="A26">
        <v>25</v>
      </c>
      <c r="B26" s="16">
        <v>3</v>
      </c>
      <c r="C26" s="16" t="s">
        <v>3023</v>
      </c>
      <c r="D26" s="16" t="s">
        <v>3024</v>
      </c>
      <c r="E26" s="16" t="s">
        <v>3025</v>
      </c>
      <c r="F26" s="16" t="s">
        <v>3440</v>
      </c>
      <c r="G26" s="16">
        <v>0</v>
      </c>
      <c r="H26" s="16" t="s">
        <v>3488</v>
      </c>
      <c r="I26" s="16" t="s">
        <v>3489</v>
      </c>
    </row>
    <row r="27" spans="1:9" x14ac:dyDescent="0.25">
      <c r="A27">
        <v>26</v>
      </c>
      <c r="B27" s="16">
        <v>20</v>
      </c>
      <c r="C27" s="16" t="s">
        <v>687</v>
      </c>
      <c r="D27" s="16">
        <v>885012207078</v>
      </c>
      <c r="E27" s="16" t="s">
        <v>3490</v>
      </c>
      <c r="F27" s="16" t="s">
        <v>3440</v>
      </c>
      <c r="G27" s="16">
        <v>0</v>
      </c>
      <c r="H27" s="16" t="s">
        <v>3491</v>
      </c>
      <c r="I27" s="16" t="s">
        <v>3475</v>
      </c>
    </row>
    <row r="28" spans="1:9" x14ac:dyDescent="0.25">
      <c r="A28">
        <v>27</v>
      </c>
      <c r="B28" s="16">
        <v>10</v>
      </c>
      <c r="C28" s="16" t="s">
        <v>3017</v>
      </c>
      <c r="D28" s="16" t="s">
        <v>3018</v>
      </c>
      <c r="E28" s="16" t="s">
        <v>3019</v>
      </c>
      <c r="F28" s="16" t="s">
        <v>3440</v>
      </c>
      <c r="G28" s="16">
        <v>0</v>
      </c>
      <c r="H28" s="16" t="s">
        <v>3492</v>
      </c>
      <c r="I28" s="16" t="s">
        <v>3469</v>
      </c>
    </row>
    <row r="29" spans="1:9" x14ac:dyDescent="0.25">
      <c r="A29">
        <v>28</v>
      </c>
      <c r="B29" s="16">
        <v>10</v>
      </c>
      <c r="C29" s="16" t="s">
        <v>685</v>
      </c>
      <c r="D29" s="16">
        <v>885012207076</v>
      </c>
      <c r="E29" s="16" t="s">
        <v>3493</v>
      </c>
      <c r="F29" s="16" t="s">
        <v>3440</v>
      </c>
      <c r="G29" s="16">
        <v>0</v>
      </c>
      <c r="H29" s="16" t="s">
        <v>3494</v>
      </c>
      <c r="I29" s="16" t="s">
        <v>3495</v>
      </c>
    </row>
    <row r="30" spans="1:9" x14ac:dyDescent="0.25">
      <c r="A30">
        <v>29</v>
      </c>
      <c r="B30" s="16">
        <v>10</v>
      </c>
      <c r="C30" s="16" t="s">
        <v>1862</v>
      </c>
      <c r="D30" s="16" t="s">
        <v>1863</v>
      </c>
      <c r="E30" s="16" t="s">
        <v>1864</v>
      </c>
      <c r="F30" s="16" t="s">
        <v>3440</v>
      </c>
      <c r="G30" s="16">
        <v>0</v>
      </c>
      <c r="H30" s="16" t="s">
        <v>3484</v>
      </c>
      <c r="I30" s="16" t="s">
        <v>3485</v>
      </c>
    </row>
    <row r="31" spans="1:9" x14ac:dyDescent="0.25">
      <c r="A31">
        <v>30</v>
      </c>
      <c r="B31" s="16">
        <v>10</v>
      </c>
      <c r="C31" s="16" t="s">
        <v>2789</v>
      </c>
      <c r="D31" s="16" t="s">
        <v>2790</v>
      </c>
      <c r="E31" s="16" t="s">
        <v>2791</v>
      </c>
      <c r="F31" s="16" t="s">
        <v>3440</v>
      </c>
      <c r="G31" s="16">
        <v>0</v>
      </c>
      <c r="H31" s="16" t="s">
        <v>3484</v>
      </c>
      <c r="I31" s="16" t="s">
        <v>3485</v>
      </c>
    </row>
    <row r="32" spans="1:9" x14ac:dyDescent="0.25">
      <c r="A32">
        <v>31</v>
      </c>
      <c r="B32" s="16">
        <v>10</v>
      </c>
      <c r="C32" s="16" t="s">
        <v>2810</v>
      </c>
      <c r="D32" s="16" t="s">
        <v>2811</v>
      </c>
      <c r="E32" s="16" t="s">
        <v>2812</v>
      </c>
      <c r="F32" s="16" t="s">
        <v>3440</v>
      </c>
      <c r="G32" s="16">
        <v>0</v>
      </c>
      <c r="H32" s="16" t="s">
        <v>3484</v>
      </c>
      <c r="I32" s="16" t="s">
        <v>3485</v>
      </c>
    </row>
    <row r="33" spans="1:9" x14ac:dyDescent="0.25">
      <c r="A33">
        <v>32</v>
      </c>
      <c r="B33" s="16">
        <v>10</v>
      </c>
      <c r="C33" s="16" t="s">
        <v>2237</v>
      </c>
      <c r="D33" s="16" t="s">
        <v>2238</v>
      </c>
      <c r="E33" s="16" t="s">
        <v>2239</v>
      </c>
      <c r="F33" s="16" t="s">
        <v>3440</v>
      </c>
      <c r="G33" s="16">
        <v>0</v>
      </c>
      <c r="H33" s="16" t="s">
        <v>3484</v>
      </c>
      <c r="I33" s="16" t="s">
        <v>3485</v>
      </c>
    </row>
    <row r="34" spans="1:9" x14ac:dyDescent="0.25">
      <c r="A34">
        <v>33</v>
      </c>
      <c r="B34" s="16">
        <v>10</v>
      </c>
      <c r="C34" s="16" t="s">
        <v>2054</v>
      </c>
      <c r="D34" s="16" t="s">
        <v>2055</v>
      </c>
      <c r="E34" s="16" t="s">
        <v>2056</v>
      </c>
      <c r="F34" s="16" t="s">
        <v>3440</v>
      </c>
      <c r="G34" s="16">
        <v>0</v>
      </c>
      <c r="H34" s="16" t="s">
        <v>3484</v>
      </c>
      <c r="I34" s="16" t="s">
        <v>3485</v>
      </c>
    </row>
    <row r="35" spans="1:9" x14ac:dyDescent="0.25">
      <c r="A35">
        <v>34</v>
      </c>
      <c r="B35" s="16">
        <v>10</v>
      </c>
      <c r="C35" s="16" t="s">
        <v>2186</v>
      </c>
      <c r="D35" s="16" t="s">
        <v>2187</v>
      </c>
      <c r="E35" s="16" t="s">
        <v>2188</v>
      </c>
      <c r="F35" s="16" t="s">
        <v>3440</v>
      </c>
      <c r="G35" s="16">
        <v>0</v>
      </c>
      <c r="H35" s="16" t="s">
        <v>3484</v>
      </c>
      <c r="I35" s="16" t="s">
        <v>3485</v>
      </c>
    </row>
    <row r="36" spans="1:9" x14ac:dyDescent="0.25">
      <c r="A36">
        <v>35</v>
      </c>
      <c r="B36" s="16">
        <v>10</v>
      </c>
      <c r="C36" s="16" t="s">
        <v>689</v>
      </c>
      <c r="D36" s="16">
        <v>885012207064</v>
      </c>
      <c r="E36" s="16" t="s">
        <v>3496</v>
      </c>
      <c r="F36" s="16" t="s">
        <v>3440</v>
      </c>
      <c r="G36" s="16">
        <v>0</v>
      </c>
      <c r="H36" s="16" t="s">
        <v>3497</v>
      </c>
      <c r="I36" s="16" t="s">
        <v>3498</v>
      </c>
    </row>
    <row r="37" spans="1:9" x14ac:dyDescent="0.25">
      <c r="A37">
        <v>36</v>
      </c>
      <c r="B37" s="16">
        <v>1</v>
      </c>
      <c r="C37" s="16" t="s">
        <v>3366</v>
      </c>
      <c r="D37" s="16" t="s">
        <v>3366</v>
      </c>
      <c r="E37" s="16" t="s">
        <v>3450</v>
      </c>
      <c r="F37" s="16" t="s">
        <v>3440</v>
      </c>
      <c r="G37" s="16">
        <v>0</v>
      </c>
      <c r="H37" s="16" t="s">
        <v>3499</v>
      </c>
      <c r="I37" s="16" t="s">
        <v>3500</v>
      </c>
    </row>
    <row r="38" spans="1:9" x14ac:dyDescent="0.25">
      <c r="A38">
        <v>37</v>
      </c>
      <c r="B38" s="16">
        <v>100</v>
      </c>
      <c r="C38" s="16" t="s">
        <v>3065</v>
      </c>
      <c r="D38" s="16" t="s">
        <v>3063</v>
      </c>
      <c r="E38" s="16" t="s">
        <v>3501</v>
      </c>
      <c r="F38" s="16" t="s">
        <v>3440</v>
      </c>
      <c r="G38" s="16">
        <v>0</v>
      </c>
      <c r="H38" s="16" t="s">
        <v>3502</v>
      </c>
      <c r="I38" s="16" t="s">
        <v>3503</v>
      </c>
    </row>
    <row r="39" spans="1:9" x14ac:dyDescent="0.25">
      <c r="A39">
        <v>38</v>
      </c>
      <c r="B39" s="16">
        <v>2</v>
      </c>
      <c r="C39" s="16" t="s">
        <v>3379</v>
      </c>
      <c r="D39" s="16" t="s">
        <v>3376</v>
      </c>
      <c r="E39" s="16" t="s">
        <v>3504</v>
      </c>
      <c r="F39" s="16" t="s">
        <v>3440</v>
      </c>
      <c r="G39" s="16">
        <v>0</v>
      </c>
      <c r="H39" s="16" t="s">
        <v>3505</v>
      </c>
      <c r="I39" s="16" t="s">
        <v>3506</v>
      </c>
    </row>
    <row r="40" spans="1:9" x14ac:dyDescent="0.25">
      <c r="A40">
        <v>39</v>
      </c>
      <c r="B40" s="16">
        <v>50</v>
      </c>
      <c r="C40" s="16" t="s">
        <v>3382</v>
      </c>
      <c r="D40" s="16" t="s">
        <v>3382</v>
      </c>
      <c r="E40" s="16" t="s">
        <v>3507</v>
      </c>
      <c r="F40" s="16" t="s">
        <v>3440</v>
      </c>
      <c r="G40" s="16">
        <v>0</v>
      </c>
      <c r="H40" s="16" t="s">
        <v>3508</v>
      </c>
      <c r="I40" s="16" t="s">
        <v>3509</v>
      </c>
    </row>
    <row r="41" spans="1:9" x14ac:dyDescent="0.25">
      <c r="A41" t="s">
        <v>3440</v>
      </c>
      <c r="B41" s="16" t="s">
        <v>3440</v>
      </c>
      <c r="C41" s="16" t="s">
        <v>3440</v>
      </c>
      <c r="D41" s="16" t="s">
        <v>3440</v>
      </c>
      <c r="E41" s="16" t="s">
        <v>3440</v>
      </c>
      <c r="F41" s="16" t="s">
        <v>3440</v>
      </c>
      <c r="G41" s="16" t="s">
        <v>3440</v>
      </c>
      <c r="H41" s="16" t="s">
        <v>3510</v>
      </c>
      <c r="I41" s="16" t="s">
        <v>3511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2019-06-17T22:55:54Z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