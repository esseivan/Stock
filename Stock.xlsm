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29CD26B9-CEB7-4A84-8A40-05F7E531C260}" xr6:coauthVersionLast="43" xr6:coauthVersionMax="43" xr10:uidLastSave="{00000000-0000-0000-0000-000000000000}"/>
  <bookViews>
    <workbookView xWindow="-120" yWindow="-120" windowWidth="29040" windowHeight="15990" activeTab="5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Articles Command List" sheetId="19" r:id="rId5"/>
    <sheet name="Commands" sheetId="15" r:id="rId6"/>
    <sheet name="LampeSolaire_v4" sheetId="3" r:id="rId7"/>
    <sheet name="TempoMetter_v1" sheetId="8" r:id="rId8"/>
    <sheet name="USB_Tool_v1" sheetId="16" r:id="rId9"/>
    <sheet name="RF_Transceiver_v1" sheetId="17" r:id="rId10"/>
    <sheet name="ProductTemplate" sheetId="14" r:id="rId11"/>
    <sheet name="ProductConfig" sheetId="9" r:id="rId12"/>
    <sheet name="OrderAdder" sheetId="11" r:id="rId13"/>
    <sheet name="OrderAdder_work" sheetId="13" r:id="rId14"/>
  </sheets>
  <functionGroups builtInGroupCount="19"/>
  <definedNames>
    <definedName name="_xlnm._FilterDatabase" localSheetId="2" hidden="1">Articles!$A$1:$H$103</definedName>
    <definedName name="_xlnm._FilterDatabase" localSheetId="3" hidden="1">Articles_commandes!$A$1:$F$64</definedName>
    <definedName name="_xlnm._FilterDatabase" localSheetId="5" hidden="1">Commands!$A$1:$M$41</definedName>
    <definedName name="_xlnm._FilterDatabase" localSheetId="6" hidden="1">LampeSolaire_v4!$A$1:$E$40</definedName>
    <definedName name="_xlnm._FilterDatabase" localSheetId="10" hidden="1">ProductTemplate!$A$1:$E$2</definedName>
    <definedName name="_xlnm._FilterDatabase" localSheetId="9" hidden="1">RF_Transceiver_v1!$A$1:$E$2</definedName>
    <definedName name="_xlnm._FilterDatabase" localSheetId="7" hidden="1">TempoMetter_v1!$A$1:$E$15</definedName>
    <definedName name="_xlnm._FilterDatabase" localSheetId="8" hidden="1">USB_Tool_v1!$A$1:$E$2</definedName>
    <definedName name="RF_Transceiver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15" l="1"/>
  <c r="K41" i="15"/>
  <c r="L41" i="15"/>
  <c r="M41" i="15"/>
  <c r="J40" i="15"/>
  <c r="K40" i="15" s="1"/>
  <c r="M40" i="15"/>
  <c r="J39" i="15"/>
  <c r="K39" i="15" s="1"/>
  <c r="M39" i="15"/>
  <c r="J38" i="15"/>
  <c r="K38" i="15" s="1"/>
  <c r="M38" i="15"/>
  <c r="J37" i="15"/>
  <c r="K37" i="15" s="1"/>
  <c r="M37" i="15"/>
  <c r="J36" i="15"/>
  <c r="K36" i="15" s="1"/>
  <c r="M36" i="15"/>
  <c r="J35" i="15"/>
  <c r="K35" i="15" s="1"/>
  <c r="M35" i="15"/>
  <c r="J34" i="15"/>
  <c r="K34" i="15" s="1"/>
  <c r="M34" i="15"/>
  <c r="J33" i="15"/>
  <c r="K33" i="15" s="1"/>
  <c r="M33" i="15"/>
  <c r="J32" i="15"/>
  <c r="K32" i="15" s="1"/>
  <c r="M32" i="15"/>
  <c r="J31" i="15"/>
  <c r="K31" i="15" s="1"/>
  <c r="M31" i="15"/>
  <c r="J30" i="15"/>
  <c r="K30" i="15" s="1"/>
  <c r="M30" i="15"/>
  <c r="J29" i="15"/>
  <c r="K29" i="15" s="1"/>
  <c r="M29" i="15"/>
  <c r="J28" i="15"/>
  <c r="K28" i="15" s="1"/>
  <c r="M28" i="15"/>
  <c r="J27" i="15"/>
  <c r="K27" i="15" s="1"/>
  <c r="M27" i="15"/>
  <c r="J26" i="15"/>
  <c r="K26" i="15" s="1"/>
  <c r="M26" i="15"/>
  <c r="J25" i="15"/>
  <c r="K25" i="15" s="1"/>
  <c r="M25" i="15"/>
  <c r="J24" i="15"/>
  <c r="K24" i="15" s="1"/>
  <c r="M24" i="15"/>
  <c r="J23" i="15"/>
  <c r="K23" i="15" s="1"/>
  <c r="M23" i="15"/>
  <c r="J22" i="15"/>
  <c r="L22" i="15" s="1"/>
  <c r="M22" i="15"/>
  <c r="J21" i="15"/>
  <c r="K21" i="15" s="1"/>
  <c r="M21" i="15"/>
  <c r="J20" i="15"/>
  <c r="K20" i="15" s="1"/>
  <c r="M20" i="15"/>
  <c r="J19" i="15"/>
  <c r="L19" i="15" s="1"/>
  <c r="M19" i="15"/>
  <c r="J18" i="15"/>
  <c r="L18" i="15" s="1"/>
  <c r="M18" i="15"/>
  <c r="J17" i="15"/>
  <c r="K17" i="15" s="1"/>
  <c r="M17" i="15"/>
  <c r="J16" i="15"/>
  <c r="K16" i="15" s="1"/>
  <c r="M16" i="15"/>
  <c r="J15" i="15"/>
  <c r="L15" i="15" s="1"/>
  <c r="M15" i="15"/>
  <c r="J14" i="15"/>
  <c r="K14" i="15" s="1"/>
  <c r="M14" i="15"/>
  <c r="J13" i="15"/>
  <c r="K13" i="15" s="1"/>
  <c r="M13" i="15"/>
  <c r="J12" i="15"/>
  <c r="K12" i="15" s="1"/>
  <c r="M12" i="15"/>
  <c r="J11" i="15"/>
  <c r="K11" i="15" s="1"/>
  <c r="M11" i="15"/>
  <c r="J10" i="15"/>
  <c r="K10" i="15" s="1"/>
  <c r="M10" i="15"/>
  <c r="J9" i="15"/>
  <c r="L9" i="15" s="1"/>
  <c r="M9" i="15"/>
  <c r="J8" i="15"/>
  <c r="K8" i="15" s="1"/>
  <c r="M8" i="15"/>
  <c r="J7" i="15"/>
  <c r="K7" i="15" s="1"/>
  <c r="M7" i="15"/>
  <c r="J6" i="15"/>
  <c r="K6" i="15" s="1"/>
  <c r="M6" i="15"/>
  <c r="J5" i="15"/>
  <c r="K5" i="15" s="1"/>
  <c r="M5" i="15"/>
  <c r="J4" i="15"/>
  <c r="L4" i="15" s="1"/>
  <c r="M4" i="15"/>
  <c r="J3" i="15"/>
  <c r="K3" i="15" s="1"/>
  <c r="M3" i="15"/>
  <c r="F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1" i="19"/>
  <c r="F22" i="19"/>
  <c r="F23" i="19"/>
  <c r="F24" i="19"/>
  <c r="F25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52" i="19"/>
  <c r="F53" i="19"/>
  <c r="F54" i="19"/>
  <c r="F55" i="19"/>
  <c r="F56" i="19"/>
  <c r="F57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2" i="19"/>
  <c r="F73" i="19"/>
  <c r="F74" i="19"/>
  <c r="F75" i="19"/>
  <c r="F76" i="19"/>
  <c r="F77" i="19"/>
  <c r="F78" i="19"/>
  <c r="F79" i="19"/>
  <c r="F80" i="19"/>
  <c r="F81" i="19"/>
  <c r="F82" i="19"/>
  <c r="F83" i="19"/>
  <c r="F84" i="19"/>
  <c r="F85" i="19"/>
  <c r="F86" i="19"/>
  <c r="F87" i="19"/>
  <c r="F88" i="19"/>
  <c r="F89" i="19"/>
  <c r="F90" i="19"/>
  <c r="F91" i="19"/>
  <c r="F92" i="19"/>
  <c r="F93" i="19"/>
  <c r="F94" i="19"/>
  <c r="F95" i="19"/>
  <c r="F96" i="19"/>
  <c r="F97" i="19"/>
  <c r="F98" i="19"/>
  <c r="F99" i="19"/>
  <c r="F100" i="19"/>
  <c r="L40" i="15" l="1"/>
  <c r="L39" i="15"/>
  <c r="L38" i="15"/>
  <c r="L37" i="15"/>
  <c r="L36" i="15"/>
  <c r="L35" i="15"/>
  <c r="L34" i="15"/>
  <c r="L33" i="15"/>
  <c r="L32" i="15"/>
  <c r="L31" i="15"/>
  <c r="L30" i="15"/>
  <c r="L29" i="15"/>
  <c r="L28" i="15"/>
  <c r="L27" i="15"/>
  <c r="L26" i="15"/>
  <c r="L25" i="15"/>
  <c r="L24" i="15"/>
  <c r="K22" i="15"/>
  <c r="L23" i="15"/>
  <c r="L21" i="15"/>
  <c r="K19" i="15"/>
  <c r="L20" i="15"/>
  <c r="K18" i="15"/>
  <c r="L17" i="15"/>
  <c r="K15" i="15"/>
  <c r="L16" i="15"/>
  <c r="L14" i="15"/>
  <c r="L13" i="15"/>
  <c r="L12" i="15"/>
  <c r="L11" i="15"/>
  <c r="K9" i="15"/>
  <c r="L10" i="15"/>
  <c r="L8" i="15"/>
  <c r="L7" i="15"/>
  <c r="L6" i="15"/>
  <c r="L5" i="15"/>
  <c r="K4" i="15"/>
  <c r="L3" i="15"/>
  <c r="M2" i="15"/>
  <c r="J2" i="15"/>
  <c r="K2" i="15" s="1"/>
  <c r="K42" i="15" l="1"/>
  <c r="L2" i="15"/>
  <c r="H3" i="19"/>
  <c r="H4" i="19"/>
  <c r="H8" i="19"/>
  <c r="H31" i="19"/>
  <c r="H40" i="19"/>
  <c r="H6" i="19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H5" i="19"/>
  <c r="H7" i="19"/>
  <c r="H10" i="19"/>
  <c r="H11" i="19"/>
  <c r="H12" i="19"/>
  <c r="H13" i="19"/>
  <c r="H14" i="19"/>
  <c r="H15" i="19"/>
  <c r="H16" i="19"/>
  <c r="H18" i="19"/>
  <c r="H19" i="19"/>
  <c r="H20" i="19"/>
  <c r="H21" i="19"/>
  <c r="H22" i="19"/>
  <c r="H23" i="19"/>
  <c r="H24" i="19"/>
  <c r="H26" i="19"/>
  <c r="H27" i="19"/>
  <c r="H28" i="19"/>
  <c r="H29" i="19"/>
  <c r="H30" i="19"/>
  <c r="H32" i="19"/>
  <c r="H34" i="19"/>
  <c r="H35" i="19"/>
  <c r="H36" i="19"/>
  <c r="H37" i="19"/>
  <c r="H38" i="19"/>
  <c r="H39" i="19"/>
  <c r="H42" i="19"/>
  <c r="H43" i="19"/>
  <c r="H44" i="19"/>
  <c r="H45" i="19"/>
  <c r="H46" i="19"/>
  <c r="H47" i="19"/>
  <c r="H48" i="19"/>
  <c r="H50" i="19"/>
  <c r="H51" i="19"/>
  <c r="H52" i="19"/>
  <c r="H53" i="19"/>
  <c r="H54" i="19"/>
  <c r="H55" i="19"/>
  <c r="H56" i="19"/>
  <c r="H58" i="19"/>
  <c r="H59" i="19"/>
  <c r="H60" i="19"/>
  <c r="H61" i="19"/>
  <c r="H62" i="19"/>
  <c r="H63" i="19"/>
  <c r="H64" i="19"/>
  <c r="H66" i="19"/>
  <c r="H67" i="19"/>
  <c r="H68" i="19"/>
  <c r="H69" i="19"/>
  <c r="H70" i="19"/>
  <c r="H71" i="19"/>
  <c r="H72" i="19"/>
  <c r="H74" i="19"/>
  <c r="H75" i="19"/>
  <c r="H76" i="19"/>
  <c r="H77" i="19"/>
  <c r="H78" i="19"/>
  <c r="H79" i="19"/>
  <c r="H80" i="19"/>
  <c r="H82" i="19"/>
  <c r="H83" i="19"/>
  <c r="H84" i="19"/>
  <c r="H85" i="19"/>
  <c r="H86" i="19"/>
  <c r="H87" i="19"/>
  <c r="H88" i="19"/>
  <c r="H90" i="19"/>
  <c r="H91" i="19"/>
  <c r="H92" i="19"/>
  <c r="H93" i="19"/>
  <c r="H94" i="19"/>
  <c r="H95" i="19"/>
  <c r="H96" i="19"/>
  <c r="H98" i="19"/>
  <c r="H99" i="19"/>
  <c r="H100" i="19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J2" i="1"/>
  <c r="J3" i="1"/>
  <c r="J4" i="1"/>
  <c r="J5" i="1"/>
  <c r="J6" i="1"/>
  <c r="J7" i="1"/>
  <c r="J8" i="1"/>
  <c r="J9" i="1"/>
  <c r="J10" i="1"/>
  <c r="J11" i="1"/>
  <c r="J12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H2" i="19" l="1"/>
  <c r="H97" i="19"/>
  <c r="H89" i="19"/>
  <c r="H81" i="19"/>
  <c r="H73" i="19"/>
  <c r="H65" i="19"/>
  <c r="H57" i="19"/>
  <c r="H49" i="19"/>
  <c r="H41" i="19"/>
  <c r="H33" i="19"/>
  <c r="H25" i="19"/>
  <c r="H17" i="19"/>
  <c r="H9" i="19"/>
  <c r="B16" i="4"/>
  <c r="B12" i="4"/>
  <c r="G2" i="17" l="1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3" i="4"/>
  <c r="B14" i="4"/>
  <c r="B15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B1" i="4" l="1"/>
  <c r="C12" i="4" s="1"/>
  <c r="F16" i="3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<sst xmlns="http://schemas.openxmlformats.org/spreadsheetml/2006/main" count="2629" uniqueCount="608">
  <si>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</si>
  <si>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</si>
  <si>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</si>
  <si>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</si>
  <si>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</si>
  <si>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</si>
  <si>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</si>
  <si>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</si>
  <si>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</si>
  <si>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</si>
  <si>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</si>
  <si>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</si>
  <si>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</si>
  <si>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</si>
  <si>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</si>
  <si>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</si>
  <si>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</si>
  <si>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</si>
  <si>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</si>
  <si>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</si>
  <si>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</si>
  <si>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</si>
  <si>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</si>
  <si>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</si>
  <si>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</si>
  <si>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</si>
  <si>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</si>
  <si>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</si>
  <si>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</si>
  <si>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</si>
  <si>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</si>
  <si>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</si>
  <si>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</si>
  <si>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</si>
  <si>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</si>
  <si>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</si>
  <si>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</si>
  <si>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</si>
  <si>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</si>
  <si>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</si>
  <si>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</si>
  <si>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</si>
  <si>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</si>
  <si>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</si>
  <si>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</si>
  <si>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</si>
  <si>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</si>
  <si>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</si>
  <si>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</si>
  <si>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</si>
  <si>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</si>
  <si>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</si>
  <si>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</si>
  <si>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</si>
  <si>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</si>
  <si>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</si>
  <si>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</si>
  <si>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</si>
  <si>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</si>
  <si>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</si>
  <si>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</si>
  <si>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</si>
  <si>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</si>
  <si>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</si>
  <si>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</si>
  <si>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</si>
  <si>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</si>
  <si>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</si>
  <si>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</si>
  <si>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</si>
  <si>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</si>
  <si>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</si>
  <si>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</si>
  <si>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</si>
  <si>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</si>
  <si>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</si>
  <si>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</si>
  <si>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</si>
  <si>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</si>
  <si>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</si>
  <si>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</si>
  <si>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</si>
  <si>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</si>
  <si>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</si>
  <si>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</si>
  <si>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</si>
  <si>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</si>
  <si>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</si>
  <si>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</si>
  <si>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</si>
  <si>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</si>
  <si>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</si>
  <si>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</si>
  <si>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</si>
  <si>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</si>
  <si>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</si>
  <si>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</si>
  <si>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</si>
  <si>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</si>
  <si>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</si>
  <si>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</si>
  <si>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</si>
  <si>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</si>
  <si>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</si>
  <si>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</si>
  <si>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</si>
  <si>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</si>
  <si>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</si>
  <si>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</si>
  <si>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</si>
  <si>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</si>
  <si>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</si>
  <si>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</si>
  <si>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</si>
  <si>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</si>
  <si>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</si>
  <si>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</si>
  <si>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</si>
  <si>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</si>
  <si>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</si>
  <si>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</si>
  <si>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</si>
  <si>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</si>
  <si>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</si>
  <si>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</si>
  <si>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</si>
  <si>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</si>
  <si>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</si>
  <si>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</si>
  <si>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</si>
  <si>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</si>
  <si>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</si>
  <si>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</si>
  <si>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</si>
  <si>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</si>
  <si>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</si>
  <si>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</si>
  <si>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</si>
  <si>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</si>
  <si>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</si>
  <si>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</si>
  <si>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</si>
  <si>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</si>
  <si>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</si>
  <si>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</si>
  <si>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</si>
  <si>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</si>
  <si>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</si>
  <si>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</si>
  <si>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</si>
  <si>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</si>
  <si>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</si>
  <si>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</si>
  <si>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</si>
  <si>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</si>
  <si>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</si>
  <si>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</si>
  <si>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</si>
  <si>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</si>
  <si>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</si>
  <si>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</si>
  <si>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</si>
  <si>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</si>
  <si>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</si>
  <si>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</si>
  <si>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</si>
  <si>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</si>
  <si>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</si>
  <si>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</si>
  <si>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</si>
  <si>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</si>
  <si>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</si>
  <si>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</si>
  <si>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</si>
  <si>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</si>
  <si>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</si>
  <si>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</si>
  <si>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</si>
  <si>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</si>
  <si>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</si>
  <si>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</si>
  <si>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</si>
  <si>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</si>
  <si>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</si>
  <si>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</si>
  <si>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</si>
  <si>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</si>
  <si>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</si>
  <si>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</si>
  <si>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</si>
  <si>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</si>
  <si>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</si>
  <si>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</si>
  <si>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</si>
  <si>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</si>
  <si>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</si>
  <si>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</si>
  <si>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</si>
  <si>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</si>
  <si>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</si>
  <si>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</si>
  <si>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</si>
  <si>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</si>
  <si>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</si>
  <si>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</si>
  <si>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</si>
  <si>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</si>
  <si>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</si>
  <si>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</si>
  <si>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</si>
  <si>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</si>
  <si>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</si>
  <si>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</si>
  <si>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</si>
  <si>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</si>
  <si>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</si>
  <si>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</si>
  <si>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</si>
  <si>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</si>
  <si>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</si>
  <si>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</si>
  <si>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</si>
  <si>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</si>
  <si>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</si>
  <si>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</si>
  <si>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</si>
  <si>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</si>
  <si>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</si>
  <si>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</si>
  <si>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</si>
  <si>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</si>
  <si>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</si>
  <si>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</si>
  <si>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</si>
  <si>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</si>
  <si>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</si>
  <si>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</si>
  <si>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</si>
  <si>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</si>
  <si>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</si>
  <si>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</si>
  <si>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</si>
  <si>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</si>
  <si>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</si>
  <si>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</si>
  <si>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</si>
  <si>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</si>
  <si>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</si>
  <si>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</si>
  <si>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</si>
  <si>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</si>
  <si>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</si>
  <si>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</si>
  <si>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</si>
  <si>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</si>
  <si>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</si>
  <si>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</si>
  <si>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</si>
  <si>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</si>
  <si>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</si>
  <si>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</si>
  <si>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</si>
  <si>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</si>
  <si>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</si>
  <si>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</si>
  <si>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</si>
  <si>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</si>
  <si>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</si>
  <si>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</si>
  <si>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</si>
  <si>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</si>
  <si>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</si>
  <si>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</si>
  <si>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</si>
  <si>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</si>
  <si>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</si>
  <si>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</si>
  <si>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</si>
  <si>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</si>
  <si>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</si>
  <si>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</si>
  <si>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</si>
  <si>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</si>
  <si>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</si>
  <si>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</si>
  <si>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</si>
  <si>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</si>
  <si>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</si>
  <si>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</si>
  <si>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</si>
  <si>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</si>
  <si>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</si>
  <si>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</si>
  <si>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</si>
  <si>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</si>
  <si>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</si>
  <si>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</si>
  <si>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</si>
  <si>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</si>
  <si>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</si>
  <si>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</si>
  <si>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</si>
  <si>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</si>
  <si>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</si>
  <si>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</si>
  <si>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</si>
  <si>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</si>
  <si>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</si>
  <si>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</si>
  <si>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</si>
  <si>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</si>
  <si>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</si>
  <si>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</si>
  <si>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</si>
  <si>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</si>
  <si>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</si>
  <si>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</si>
  <si>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</si>
  <si>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</si>
  <si>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</si>
  <si>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</si>
  <si>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</si>
  <si>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</si>
  <si>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</si>
  <si>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</si>
  <si>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</si>
  <si>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</si>
  <si>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</si>
  <si>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</si>
  <si>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</si>
  <si>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</si>
  <si>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</si>
  <si>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</si>
  <si>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</si>
  <si>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</si>
  <si>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</si>
  <si>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</si>
  <si>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</si>
  <si>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</si>
  <si>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</si>
  <si>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</si>
  <si>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</si>
  <si>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</si>
  <si>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</si>
  <si>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</si>
  <si>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</si>
  <si>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</si>
  <si>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</si>
  <si>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</si>
  <si>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</si>
  <si>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</si>
  <si>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</si>
  <si>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</si>
  <si>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</si>
  <si>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</si>
  <si>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</si>
  <si>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</si>
  <si>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</si>
  <si>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</si>
  <si>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</si>
  <si>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</si>
  <si>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</si>
  <si>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</si>
  <si>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</si>
  <si>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</si>
  <si>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</si>
  <si>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</si>
  <si>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</si>
  <si>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</si>
  <si>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</si>
  <si>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</si>
  <si>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</si>
  <si>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</si>
  <si>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</si>
  <si>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</si>
  <si>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</si>
  <si>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</si>
  <si>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</si>
  <si>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</si>
  <si>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</si>
  <si>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</si>
  <si>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</si>
  <si>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</si>
  <si>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</si>
  <si>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</si>
  <si>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</si>
  <si>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</si>
  <si>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</si>
  <si>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</si>
  <si>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</si>
  <si>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</si>
  <si>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</si>
  <si>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</si>
  <si>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</si>
  <si>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</si>
  <si>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</si>
  <si>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</si>
  <si>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</si>
  <si>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</si>
  <si>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</si>
  <si>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</si>
  <si>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</si>
  <si>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</si>
  <si>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</si>
  <si>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</si>
  <si>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</si>
  <si>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</si>
  <si>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</si>
  <si>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</si>
  <si>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</si>
  <si>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</si>
  <si>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</si>
  <si>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</si>
  <si>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</si>
  <si>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</si>
  <si>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</si>
  <si>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</si>
  <si>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</si>
  <si>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</si>
  <si>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</si>
  <si>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</si>
  <si>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</si>
  <si>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</si>
  <si>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</si>
  <si>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</si>
  <si>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</si>
  <si>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</si>
  <si>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</si>
  <si>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</si>
  <si>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</si>
  <si>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</si>
  <si>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</si>
  <si>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</si>
  <si>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</si>
  <si>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</si>
  <si>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</si>
  <si>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</si>
  <si>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</si>
  <si>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</si>
  <si>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</si>
  <si>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</si>
  <si>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</si>
  <si>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</si>
  <si>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</si>
  <si>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</si>
  <si>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</si>
  <si>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</si>
  <si>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</si>
  <si>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</si>
  <si>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</si>
  <si>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</si>
  <si>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</si>
  <si>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</si>
  <si>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</si>
  <si>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</si>
  <si>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</si>
  <si>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</si>
  <si>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</si>
  <si>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</si>
  <si>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</si>
  <si>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</si>
  <si>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</si>
  <si>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</si>
  <si>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</si>
  <si>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</si>
  <si>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</si>
  <si>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</si>
  <si>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</si>
  <si>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</si>
  <si>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</si>
  <si>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</si>
  <si>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</si>
  <si>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</si>
  <si>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</si>
  <si>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</si>
  <si>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</si>
  <si>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</si>
  <si>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</si>
  <si>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</si>
  <si>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IC OFFLINE SWIT OCP 8DIP</t>
  </si>
  <si>
    <t>732-5350-ND</t>
  </si>
  <si>
    <t>CONN HEADER R/A 40POS 2.54MM</t>
  </si>
  <si>
    <t>Schurter Inc.</t>
  </si>
  <si>
    <t>486-1258-ND</t>
  </si>
  <si>
    <t>FUSE BLOK CARTRIDGE 500V 10A PCB</t>
  </si>
  <si>
    <t>486-3662-ND</t>
  </si>
  <si>
    <t>FUSE CARRIER OGN 5X20MM</t>
  </si>
  <si>
    <t>TE Connectivity AMP Connectors</t>
  </si>
  <si>
    <t>A120350-ND</t>
  </si>
  <si>
    <t>CONN IC DIP SOCKET 18POS TIN</t>
  </si>
  <si>
    <t>A107340-ND</t>
  </si>
  <si>
    <t>AMP SHUNT ASS'Y</t>
  </si>
  <si>
    <t>1N4148TR</t>
  </si>
  <si>
    <t>ON Semiconductor</t>
  </si>
  <si>
    <t>1N4148FSCT-ND</t>
  </si>
  <si>
    <t>DIODE GEN PURP 100V 200MA DO35</t>
  </si>
  <si>
    <t>0022284360</t>
  </si>
  <si>
    <t>Molex</t>
  </si>
  <si>
    <t>WM50014-36-ND</t>
  </si>
  <si>
    <t>CONN HEADER VERT 36POS 2.54MM</t>
  </si>
  <si>
    <t>TRIMMER 10 OHM 0.75W PC PIN SIDE</t>
  </si>
  <si>
    <t>3M5475-ND</t>
  </si>
  <si>
    <t>CONN IC DIP SOCKET 16POS TIN</t>
  </si>
  <si>
    <t>A106373-ND</t>
  </si>
  <si>
    <t>2P SHUNTSTECKER</t>
  </si>
  <si>
    <t>929974-01-36-RK</t>
  </si>
  <si>
    <t>929974E-01-36-ND</t>
  </si>
  <si>
    <t>CONN RCPT 36POS 0.1 TIN PCB</t>
  </si>
  <si>
    <t>FDN337NCT-ND</t>
  </si>
  <si>
    <t>MOSFET N-CH 30V 2.2A SSOT3</t>
  </si>
  <si>
    <t>MCP121T-315E/TTCT-ND</t>
  </si>
  <si>
    <t>IC SUPERVISOR 3.08V LOW SOT-23B</t>
  </si>
  <si>
    <t>NCP114ASN330T1GOSCT-ND</t>
  </si>
  <si>
    <t>IC REG LINEAR 3.3V 300MA 5TSOP</t>
  </si>
  <si>
    <t>Vishay Siliconix</t>
  </si>
  <si>
    <t>SI2333CDS-T1-GE3CT-ND</t>
  </si>
  <si>
    <t>MOSFET P-CH 12V 7.1A SOT-23</t>
  </si>
  <si>
    <t>Vishay Sfernice</t>
  </si>
  <si>
    <t>T93XA-100K-ND</t>
  </si>
  <si>
    <t>TRIMMER 100KOHM 0.5W PC PIN SIDE</t>
  </si>
  <si>
    <t>Vishay Vitramon</t>
  </si>
  <si>
    <t>720-1805-1-ND</t>
  </si>
  <si>
    <t>CAP CER 0.1UF 25V X7R 1206</t>
  </si>
  <si>
    <t>Dgikey Bom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</si>
  <si>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</si>
  <si>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</si>
  <si>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</si>
  <si>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</si>
  <si>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</si>
  <si>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</si>
  <si>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</si>
  <si>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</si>
  <si>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</si>
  <si>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</si>
  <si>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</si>
  <si>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</si>
  <si>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</si>
  <si>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</si>
  <si>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</si>
  <si>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Tube</t>
  </si>
  <si>
    <t>Active</t>
  </si>
  <si>
    <t>1.34 Fr.</t>
  </si>
  <si>
    <t>4 Weeks</t>
  </si>
  <si>
    <t>RoHS Compliant</t>
  </si>
  <si>
    <t>Lead free</t>
  </si>
  <si>
    <t>REACH Unaffected</t>
  </si>
  <si>
    <t>Bag</t>
  </si>
  <si>
    <t>1.44 Fr.</t>
  </si>
  <si>
    <t>14 Weeks</t>
  </si>
  <si>
    <t>Bulk</t>
  </si>
  <si>
    <t>0.91 Fr.</t>
  </si>
  <si>
    <t>7 Weeks</t>
  </si>
  <si>
    <t>1.27 Fr.</t>
  </si>
  <si>
    <t>13 Weeks</t>
  </si>
  <si>
    <t>0.28 Fr.</t>
  </si>
  <si>
    <t>5 Weeks</t>
  </si>
  <si>
    <t>Not Available</t>
  </si>
  <si>
    <t>Tariff Applied</t>
  </si>
  <si>
    <t>0.26 Fr.</t>
  </si>
  <si>
    <t>16 Weeks</t>
  </si>
  <si>
    <t>Cut Tape (CT)</t>
  </si>
  <si>
    <t>0.10 Fr.</t>
  </si>
  <si>
    <t>10 Weeks</t>
  </si>
  <si>
    <t>1.02 Fr.</t>
  </si>
  <si>
    <t>2.08 Fr.</t>
  </si>
  <si>
    <t>9 Weeks</t>
  </si>
  <si>
    <t>0.61 Fr.</t>
  </si>
  <si>
    <t>Box</t>
  </si>
  <si>
    <t>1.38 Fr.</t>
  </si>
  <si>
    <t>22 Weeks</t>
  </si>
  <si>
    <t>3.12 Fr.</t>
  </si>
  <si>
    <t>0.55 Fr.</t>
  </si>
  <si>
    <t>24 Weeks</t>
  </si>
  <si>
    <t>0.52 Fr.</t>
  </si>
  <si>
    <t>0.35 Fr.</t>
  </si>
  <si>
    <t>12 Weeks</t>
  </si>
  <si>
    <t>0.57 Fr.</t>
  </si>
  <si>
    <t>1.81 Fr.</t>
  </si>
  <si>
    <t>0.42 Fr.</t>
  </si>
  <si>
    <t>Tariff Eligible</t>
  </si>
  <si>
    <t>Auto Command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</si>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</sst>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4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4" fillId="0" borderId="1" xfId="0" applyNumberFormat="1" applyFont="1" applyFill="1" applyBorder="1" applyAlignment="1">
      <alignment horizontal="left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65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64"/>
      <tableStyleElement type="headerRow" dxfId="16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1409700</xdr:colOff>
          <xdr:row>1</xdr:row>
          <xdr:rowOff>9525</xdr:rowOff>
        </xdr:from>
        <xdr:to>
          <xdr:col>14</xdr:col>
          <xdr:colOff>790575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1419225</xdr:colOff>
          <xdr:row>3</xdr:row>
          <xdr:rowOff>180975</xdr:rowOff>
        </xdr:from>
        <xdr:to>
          <xdr:col>14</xdr:col>
          <xdr:colOff>800100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70" totalsRowShown="0" headerRowDxfId="162">
  <autoFilter ref="A1:F170" xr:uid="{BDAE12D6-129D-4B55-B01B-D1493E590308}"/>
  <tableColumns count="6">
    <tableColumn id="1" xr3:uid="{F20AB9A4-F1CA-4493-AFCA-1ECFD6C72926}" name="Date" dataDxfId="161"/>
    <tableColumn id="2" xr3:uid="{9E5C5770-C960-45BB-8115-75DB62A3B16C}" name="Article" dataDxfId="160"/>
    <tableColumn id="5" xr3:uid="{16BFD56B-B56A-4848-9201-68C2F28CFA64}" name="Modification" dataDxfId="159"/>
    <tableColumn id="3" xr3:uid="{10BA92E7-A8AC-46B9-9939-48EDBF630513}" name="Stock Before" dataDxfId="158"/>
    <tableColumn id="4" xr3:uid="{89A58CF5-EDCB-4EF1-963E-E9EB1A0CCFEF}" name="Stock After" dataDxfId="157"/>
    <tableColumn id="6" xr3:uid="{FF179CF1-10A5-4445-94E5-D3770F8EB2DA}" name="INFO" dataDxfId="15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3" totalsRowShown="0" headerRowDxfId="155" dataDxfId="153" headerRowBorderDxfId="154">
  <autoFilter ref="A1:J103" xr:uid="{06E2CB8E-61AB-472E-BCF2-E6E1E6F7BC5B}"/>
  <sortState ref="A2:J100">
    <sortCondition ref="D1:D100"/>
  </sortState>
  <tableColumns count="10">
    <tableColumn id="1" xr3:uid="{1A9995BE-CCCC-47E0-9CFE-CDD4EC6DA37C}" name="Ret. Art. Number" dataDxfId="152"/>
    <tableColumn id="2" xr3:uid="{FCC01A36-61DE-4975-8BB1-A97B79EE109D}" name="Art. Number" dataDxfId="151"/>
    <tableColumn id="3" xr3:uid="{90C7BD0F-517E-41F7-A9E6-E142B488EE16}" name="Manufacturer" dataDxfId="150"/>
    <tableColumn id="4" xr3:uid="{01ECE03C-88E6-4224-BC54-9EEF865A39E8}" name="Retailer" dataDxfId="149"/>
    <tableColumn id="8" xr3:uid="{10FF3A75-BAAB-47FE-B23F-239AE3E375F0}" name="Place" dataDxfId="148"/>
    <tableColumn id="5" xr3:uid="{58C42197-F901-4285-B364-CEF907C3BD28}" name="Description" dataDxfId="147"/>
    <tableColumn id="6" xr3:uid="{9BDDC07C-B22F-4D1B-B278-3735E59567F2}" name="In stock" dataDxfId="146"/>
    <tableColumn id="7" xr3:uid="{695CD227-37E7-4860-8C4E-72226E6A1D43}" name="Unit price" dataDxfId="145"/>
    <tableColumn id="9" xr3:uid="{05FC25FC-2FBB-4A42-AA2C-2324D7214D80}" name="Min in stock" dataDxfId="144">
      <calculatedColumnFormula>5</calculatedColumnFormula>
    </tableColumn>
    <tableColumn id="10" xr3:uid="{EFF403F7-81AB-47B6-9421-D6BFAF6620A4}" name="Auto Command" dataDxfId="143">
      <calculatedColumnFormula>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42" dataDxfId="140" headerRowBorderDxfId="141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39"/>
    <tableColumn id="2" xr3:uid="{868F71A1-EA8D-4FE4-9E10-4FA4EE5293B1}" name="Man. Number" dataDxfId="138"/>
    <tableColumn id="3" xr3:uid="{2BE62D1D-359E-4098-A703-65FA8EB2A2EB}" name="Manufacturer" dataDxfId="137"/>
    <tableColumn id="4" xr3:uid="{AEC8A4D9-9242-49C2-8841-3FA0C13E4BF7}" name="Retailer" dataDxfId="136"/>
    <tableColumn id="5" xr3:uid="{727086BC-BBF9-470F-8005-62D7E303CEAD}" name="Description" dataDxfId="135"/>
    <tableColumn id="7" xr3:uid="{38960764-2FF5-4AE8-BD63-75EC1C594716}" name="Unit price" dataDxfId="1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3BBCD-C6F2-4E80-AD96-AD4991531949}" name="Table113" displayName="Table113" ref="A1:V100" totalsRowShown="0" headerRowDxfId="133" dataDxfId="131" headerRowBorderDxfId="132">
  <autoFilter ref="A1:V100" xr:uid="{58DA7468-9CCC-43F1-8C95-1014A7C6E05E}"/>
  <tableColumns count="22">
    <tableColumn id="2" xr3:uid="{061B5B30-3053-4ACA-B81F-96C7901C2A20}" name="Article Number" dataDxfId="130"/>
    <tableColumn id="3" xr3:uid="{E12D93ED-2B5E-4599-A4D0-BEBE23B03E8C}" name="Manufacturer" dataDxfId="129"/>
    <tableColumn id="8" xr3:uid="{53D02E78-0EDB-4572-8154-DD7DB3719E08}" name="Place" dataDxfId="128"/>
    <tableColumn id="5" xr3:uid="{E3D6C7DC-3A03-44DC-BC4F-81C935B76636}" name="Description" dataDxfId="127"/>
    <tableColumn id="6" xr3:uid="{3335AFD8-8BE3-472E-87A6-6E598FE19C45}" name="In stock" dataDxfId="126"/>
    <tableColumn id="9" xr3:uid="{77AC3884-3A8D-41EE-8836-B8E7BC34354A}" name="Min in stock" dataDxfId="37">
      <calculatedColumnFormula>10</calculatedColumnFormula>
    </tableColumn>
    <tableColumn id="10" xr3:uid="{46B3B9E0-E797-4760-9019-AD2D9CD1B24A}" name="Auto Command" dataDxfId="125">
      <calculatedColumnFormula>1</calculatedColumnFormula>
    </tableColumn>
    <tableColumn id="4" xr3:uid="{109C314A-3933-4871-B0BF-F3C243296358}" name="In next order" dataDxfId="124">
      <calculatedColumnFormula>IF(Table113[[#This Row],[Auto Command]]=1,IF(Table113[[#This Row],[In stock]]&lt;Table113[[#This Row],[Min in stock]],1,""),"")</calculatedColumnFormula>
    </tableColumn>
    <tableColumn id="1" xr3:uid="{E1361C49-130C-4BAC-A669-6B9DDFF7BD81}" name="Digikey Art. Number" dataDxfId="123"/>
    <tableColumn id="7" xr3:uid="{0E2A825C-EFFE-4592-8E28-BA483FDE5454}" name="Unit price" dataDxfId="122"/>
    <tableColumn id="12" xr3:uid="{70803AFF-E066-4ADC-AECC-9AACB483E6D0}" name="Farnell Art. Number" dataDxfId="121"/>
    <tableColumn id="13" xr3:uid="{E7B513FE-99DD-4624-9796-42E44F00FCA2}" name="Unit price2" dataDxfId="120"/>
    <tableColumn id="14" xr3:uid="{8B21E6E3-A882-45BA-A770-13117B715F8F}" name="Distrelec Art. Number" dataDxfId="119"/>
    <tableColumn id="15" xr3:uid="{ACE72A9E-9C1D-4D95-A2C3-5129B1713B9B}" name="Unit price3" dataDxfId="118"/>
    <tableColumn id="16" xr3:uid="{7C6BE58C-F7A2-461E-8907-7C765ACA6705}" name="Conrad Art. Number" dataDxfId="117"/>
    <tableColumn id="17" xr3:uid="{1993DFAC-EF12-44B5-99C9-6FC370C9C61E}" name="Unit price4" dataDxfId="116"/>
    <tableColumn id="18" xr3:uid="{CD74863F-F03D-45EA-A08A-D56C2B5D337F}" name="Mouser Art. Number" dataDxfId="115"/>
    <tableColumn id="19" xr3:uid="{CEABA220-B326-46D8-AAC6-7C4C59B3E149}" name="Unit price5" dataDxfId="114"/>
    <tableColumn id="20" xr3:uid="{505646F7-9BDD-45E8-9434-0C36CEA06328}" name="Aliexpress Art. Number" dataDxfId="113"/>
    <tableColumn id="21" xr3:uid="{41D2E907-BF85-4293-A654-C830D30D1F99}" name="Unit price6" dataDxfId="112"/>
    <tableColumn id="22" xr3:uid="{0A156AAF-F47F-470B-B8AF-290BC1F0E537}" name="Banggood Art. Number" dataDxfId="111"/>
    <tableColumn id="23" xr3:uid="{CA82A342-DF19-43A9-B139-50FA204A8233}" name="Unit price7" dataDxfId="1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2" totalsRowCount="1" headerRowDxfId="109" dataDxfId="107" headerRowBorderDxfId="108" tableBorderDxfId="106">
  <autoFilter ref="A1:M41" xr:uid="{46700432-4BF0-4DCB-9154-EC411D24C381}"/>
  <tableColumns count="13">
    <tableColumn id="2" xr3:uid="{09884C69-0E00-49B1-878D-118ACDF0CE5A}" name="Art. Number" totalsRowLabel="Total" dataDxfId="105" totalsRowDxfId="12"/>
    <tableColumn id="1" xr3:uid="{B10D53AF-03D1-4287-B98C-B2EBD99019D4}" name="Ret. Art. Number" dataDxfId="104" totalsRowDxfId="11"/>
    <tableColumn id="3" xr3:uid="{4C487402-2AAB-4AF3-BE67-7394C36C842C}" name="Manufacturer" dataDxfId="103" totalsRowDxfId="10"/>
    <tableColumn id="4" xr3:uid="{8EC0DC8E-76AD-4B9F-83B7-1A0DD14BB27F}" name="Retailer" dataDxfId="102" totalsRowDxfId="9"/>
    <tableColumn id="5" xr3:uid="{F034F88F-58E3-461F-AA98-A329A317450C}" name="Place" dataDxfId="101" totalsRowDxfId="8"/>
    <tableColumn id="6" xr3:uid="{270626A5-5AC9-4B4B-BFA1-CB61FB278FF7}" name="Description" dataDxfId="100" totalsRowDxfId="7"/>
    <tableColumn id="7" xr3:uid="{6AED47F2-55E6-446F-831B-A118A7B0B1ED}" name="In stock" dataDxfId="99" totalsRowDxfId="6"/>
    <tableColumn id="8" xr3:uid="{AC92F839-E54E-493C-ABE5-5E0757E61859}" name="Min Stock" dataDxfId="98" totalsRowDxfId="5"/>
    <tableColumn id="11" xr3:uid="{FA19872E-A366-497E-9D69-828A97ECF042}" name="Unit price" dataDxfId="97" totalsRowDxfId="4"/>
    <tableColumn id="13" xr3:uid="{EA825846-8448-46C3-B6A4-847B2F364E4E}" name="Quantity" dataDxfId="96" totalsRowDxfId="3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95" totalsRowDxfId="2">
      <calculatedColumnFormula>Table8[[#This Row],[Quantity]]*Table8[[#This Row],[Unit price]]</calculatedColumnFormula>
    </tableColumn>
    <tableColumn id="9" xr3:uid="{CF148814-A309-4554-8503-283AD3C9BC12}" name="Bulk Add : Quantity" dataDxfId="94" totalsRowDxfId="1">
      <calculatedColumnFormula>Table8[[#This Row],[Quantity]]</calculatedColumnFormula>
    </tableColumn>
    <tableColumn id="10" xr3:uid="{B113FB1E-B792-4B87-9210-09F62D33E8F1}" name="Bulk Add : Product Number" dataDxfId="93" totalsRowDxfId="0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92" dataDxfId="90" headerRowBorderDxfId="9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89"/>
    <tableColumn id="5" xr3:uid="{B1418FC9-8422-4A82-9D50-1C20CEF4A1DB}" name="Description" dataDxfId="88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87"/>
    <tableColumn id="8" xr3:uid="{D163A9E2-18FC-4EE8-99AB-60D6C92BBDB6}" name="Quantity" dataDxfId="86"/>
    <tableColumn id="6" xr3:uid="{1583B055-BD93-4929-B8EC-DA75D23B688F}" name="In stock" dataDxfId="85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84">
      <calculatedColumnFormula>IF(Table14[[#This Row],[In stock]] &gt;= Table14[[#This Row],[Quantity]],"YES","NO")</calculatedColumnFormula>
    </tableColumn>
    <tableColumn id="3" xr3:uid="{CE7B326B-C514-42C5-AECC-1A2A4AAB375C}" name="Total quantity" dataDxfId="83">
      <calculatedColumnFormula>Table14[[#This Row],[Quantity]]*$K$1</calculatedColumnFormula>
    </tableColumn>
    <tableColumn id="4" xr3:uid="{3C7D2E86-E417-47F0-B642-14D96896F255}" name="Total available" dataDxfId="8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81" dataDxfId="79" headerRowBorderDxfId="80">
  <autoFilter ref="A1:H15" xr:uid="{06E2CB8E-61AB-472E-BCF2-E6E1E6F7BC5B}"/>
  <tableColumns count="8">
    <tableColumn id="2" xr3:uid="{9E0E6405-0958-4064-8395-03A32BA24ED3}" name="Man. Number" dataDxfId="78"/>
    <tableColumn id="5" xr3:uid="{BA21CA97-DCD9-408A-9894-96A639A19D11}" name="Description" dataDxfId="77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76"/>
    <tableColumn id="8" xr3:uid="{79E97D26-BF86-43B2-AEF5-CE725327DF74}" name="Quantity" dataDxfId="75"/>
    <tableColumn id="6" xr3:uid="{55CA5BD7-34A5-4A62-9044-29A0D9B81880}" name="In stock" dataDxfId="74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73">
      <calculatedColumnFormula>IF(Table146[[#This Row],[In stock]] &gt;= Table146[[#This Row],[Quantity]],"YES","NO")</calculatedColumnFormula>
    </tableColumn>
    <tableColumn id="3" xr3:uid="{A3EA9E6B-B1AC-439E-A8AB-942C2E65E112}" name="Total quantity" dataDxfId="72">
      <calculatedColumnFormula>Table146[[#This Row],[Quantity]]*$K$1</calculatedColumnFormula>
    </tableColumn>
    <tableColumn id="4" xr3:uid="{04D63216-7DC3-4D59-A043-09BBD0852B90}" name="Total available" dataDxfId="71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70" dataDxfId="68" headerRowBorderDxfId="69">
  <autoFilter ref="A1:H2" xr:uid="{06E2CB8E-61AB-472E-BCF2-E6E1E6F7BC5B}"/>
  <tableColumns count="8">
    <tableColumn id="2" xr3:uid="{E1B3591E-7FDF-432B-8B47-D1874E0B26F5}" name="Man. Number" dataDxfId="67"/>
    <tableColumn id="5" xr3:uid="{EE74CBB7-B4AE-4E4F-A276-4111D2262064}" name="Description" dataDxfId="66">
      <calculatedColumnFormula>VLOOKUP(Table146810[[#This Row],[Man. Number]],Articles!B:H,COLUMN(Table1[[#Headers],[Description]]) - 1,FALSE)</calculatedColumnFormula>
    </tableColumn>
    <tableColumn id="7" xr3:uid="{7774CA8B-8FBD-4AE8-8A5E-EED54B7EF35B}" name="Reference" dataDxfId="65"/>
    <tableColumn id="8" xr3:uid="{C50EC552-0304-4799-AAF5-38B8D35A381E}" name="Quantity" dataDxfId="64"/>
    <tableColumn id="6" xr3:uid="{F740468C-0E09-4D56-BD5D-693ECC8337EF}" name="In stock" dataDxfId="63">
      <calculatedColumnFormula>VLOOKUP(Table146810[[#This Row],[Man. Number]],Articles!B:H,COLUMN(Table1[[#Headers],[In stock]])-1,FALSE)</calculatedColumnFormula>
    </tableColumn>
    <tableColumn id="1" xr3:uid="{7E4FC123-CAAA-4DFD-BD96-0C19111F4639}" name="Available" dataDxfId="62">
      <calculatedColumnFormula>IF(Table146810[[#This Row],[In stock]] &gt;= Table146810[[#This Row],[Quantity]],"YES","NO")</calculatedColumnFormula>
    </tableColumn>
    <tableColumn id="3" xr3:uid="{4A6F19BB-BD74-4582-AA81-751983BFF844}" name="Total quantity" dataDxfId="61">
      <calculatedColumnFormula>Table146810[[#This Row],[Quantity]]*$K$1</calculatedColumnFormula>
    </tableColumn>
    <tableColumn id="4" xr3:uid="{562176AD-2473-43BF-B998-A5B71A21527C}" name="Total available" dataDxfId="6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59" dataDxfId="57" headerRowBorderDxfId="58">
  <autoFilter ref="A1:H2" xr:uid="{06E2CB8E-61AB-472E-BCF2-E6E1E6F7BC5B}"/>
  <tableColumns count="8">
    <tableColumn id="2" xr3:uid="{AD6FF1DB-33D0-406A-BC62-5C920E3086F8}" name="Man. Number" dataDxfId="56"/>
    <tableColumn id="5" xr3:uid="{DE30DEEA-B1F2-49E6-90FB-A3A09084BC7F}" name="Description" dataDxfId="55">
      <calculatedColumnFormula>VLOOKUP(Table146811[[#This Row],[Man. Number]],Articles!B:H,COLUMN(Table1[[#Headers],[Description]]) - 1,FALSE)</calculatedColumnFormula>
    </tableColumn>
    <tableColumn id="7" xr3:uid="{E29F3B01-1B5E-47D4-ACAE-0F635E3A7017}" name="Reference" dataDxfId="54"/>
    <tableColumn id="8" xr3:uid="{19242CC9-CDB5-49EB-B17E-553D3745B52B}" name="Quantity" dataDxfId="53"/>
    <tableColumn id="6" xr3:uid="{ECC39063-2325-4B34-AEC6-9D8392F57051}" name="In stock" dataDxfId="52">
      <calculatedColumnFormula>VLOOKUP(Table146811[[#This Row],[Man. Number]],Articles!B:H,COLUMN(Table1[[#Headers],[In stock]])-1,FALSE)</calculatedColumnFormula>
    </tableColumn>
    <tableColumn id="1" xr3:uid="{4C77BBEA-BE9D-47A6-A8FA-309C09471A07}" name="Available" dataDxfId="51">
      <calculatedColumnFormula>IF(Table146811[[#This Row],[In stock]] &gt;= Table146811[[#This Row],[Quantity]],"YES","NO")</calculatedColumnFormula>
    </tableColumn>
    <tableColumn id="3" xr3:uid="{DDAA5D15-9725-490B-BD3A-48CD27933BE8}" name="Total quantity" dataDxfId="50">
      <calculatedColumnFormula>Table146811[[#This Row],[Quantity]]*$K$1</calculatedColumnFormula>
    </tableColumn>
    <tableColumn id="4" xr3:uid="{DF2985A7-E964-4DBC-B346-C3ABD3D6D1AC}" name="Total available" dataDxfId="49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48" dataDxfId="46" headerRowBorderDxfId="47">
  <autoFilter ref="A1:H2" xr:uid="{06E2CB8E-61AB-472E-BCF2-E6E1E6F7BC5B}"/>
  <tableColumns count="8">
    <tableColumn id="2" xr3:uid="{82F37E31-D1D4-4FFD-A09E-64F3B03018B7}" name="Man. Number" dataDxfId="45"/>
    <tableColumn id="5" xr3:uid="{524F6B01-486E-4166-AE6A-BDBA58BD1A60}" name="Description" dataDxfId="44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43"/>
    <tableColumn id="8" xr3:uid="{A834D686-252C-4BF4-9FDE-28A4A6AFDD1F}" name="Quantity" dataDxfId="42"/>
    <tableColumn id="6" xr3:uid="{66DB620F-4FDE-44EB-BF35-96CAEBE4C1C6}" name="In stock" dataDxfId="41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40">
      <calculatedColumnFormula>IF(Table1468[[#This Row],[In stock]] &gt;= Table1468[[#This Row],[Quantity]],"YES","NO")</calculatedColumnFormula>
    </tableColumn>
    <tableColumn id="3" xr3:uid="{67B74FDC-0575-406A-89BB-0D882E866451}" name="Total quantity" dataDxfId="39">
      <calculatedColumnFormula>Table1468[[#This Row],[Quantity]]*$K$1</calculatedColumnFormula>
    </tableColumn>
    <tableColumn id="4" xr3:uid="{56337732-A0D6-4CED-A2E1-0A9BD957CBCA}" name="Total available" dataDxfId="3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70"/>
  <sheetViews>
    <sheetView workbookViewId="0">
      <pane ySplit="1" topLeftCell="A141" activePane="bottomLeft" state="frozen"/>
      <selection pane="bottomLeft" activeCell="F169" sqref="F169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331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280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281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282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283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284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285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286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287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288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289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290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291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331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335</v>
      </c>
      <c r="C73" s="16" t="s">
        <v>338</v>
      </c>
      <c r="D73" s="16">
        <v>0</v>
      </c>
      <c r="E73" s="16" t="s">
        <v>338</v>
      </c>
      <c r="F73" s="3" t="s">
        <v>339</v>
      </c>
    </row>
    <row r="74" spans="1:6" x14ac:dyDescent="0.25">
      <c r="A74" s="15">
        <v>43497.784837962965</v>
      </c>
      <c r="B74" s="3" t="s">
        <v>341</v>
      </c>
      <c r="C74" s="16" t="s">
        <v>338</v>
      </c>
      <c r="D74" s="16">
        <v>0</v>
      </c>
      <c r="E74" s="16" t="s">
        <v>338</v>
      </c>
      <c r="F74" s="3" t="s">
        <v>339</v>
      </c>
    </row>
    <row r="75" spans="1:6" x14ac:dyDescent="0.25">
      <c r="A75" s="15">
        <v>43500.455185185187</v>
      </c>
      <c r="B75" s="3" t="s">
        <v>345</v>
      </c>
      <c r="C75" s="16" t="s">
        <v>338</v>
      </c>
      <c r="D75" s="16">
        <v>0</v>
      </c>
      <c r="E75" s="16" t="s">
        <v>338</v>
      </c>
      <c r="F75" s="3" t="s">
        <v>339</v>
      </c>
    </row>
    <row r="76" spans="1:6" x14ac:dyDescent="0.25">
      <c r="A76" s="15">
        <v>43500.457152777781</v>
      </c>
      <c r="B76" s="3" t="s">
        <v>349</v>
      </c>
      <c r="C76" s="16" t="s">
        <v>338</v>
      </c>
      <c r="D76" s="16">
        <v>0</v>
      </c>
      <c r="E76" s="16" t="s">
        <v>338</v>
      </c>
      <c r="F76" s="3" t="s">
        <v>339</v>
      </c>
    </row>
    <row r="77" spans="1:6" x14ac:dyDescent="0.25">
      <c r="A77" s="15">
        <v>43500.458449074074</v>
      </c>
      <c r="B77" s="3" t="s">
        <v>354</v>
      </c>
      <c r="C77" s="16" t="s">
        <v>338</v>
      </c>
      <c r="D77" s="16">
        <v>0</v>
      </c>
      <c r="E77" s="16" t="s">
        <v>338</v>
      </c>
      <c r="F77" s="3" t="s">
        <v>339</v>
      </c>
    </row>
    <row r="78" spans="1:6" x14ac:dyDescent="0.25">
      <c r="A78" s="15">
        <v>43502.505069444444</v>
      </c>
      <c r="B78" s="3" t="s">
        <v>367</v>
      </c>
      <c r="C78" s="16" t="s">
        <v>371</v>
      </c>
      <c r="D78" s="16">
        <v>0</v>
      </c>
      <c r="E78" s="16" t="s">
        <v>371</v>
      </c>
      <c r="F78" s="3" t="s">
        <v>339</v>
      </c>
    </row>
    <row r="79" spans="1:6" x14ac:dyDescent="0.25">
      <c r="A79" s="15">
        <v>43502.508912037039</v>
      </c>
      <c r="B79" s="3" t="s">
        <v>372</v>
      </c>
      <c r="C79" s="16" t="s">
        <v>371</v>
      </c>
      <c r="D79" s="16">
        <v>0</v>
      </c>
      <c r="E79" s="16" t="s">
        <v>371</v>
      </c>
      <c r="F79" s="3" t="s">
        <v>339</v>
      </c>
    </row>
    <row r="80" spans="1:6" x14ac:dyDescent="0.25">
      <c r="A80" s="15">
        <v>43502.509687500002</v>
      </c>
      <c r="B80" s="3" t="s">
        <v>375</v>
      </c>
      <c r="C80" s="16" t="s">
        <v>371</v>
      </c>
      <c r="D80" s="16">
        <v>0</v>
      </c>
      <c r="E80" s="16" t="s">
        <v>371</v>
      </c>
      <c r="F80" s="3" t="s">
        <v>339</v>
      </c>
    </row>
    <row r="81" spans="1:6" x14ac:dyDescent="0.25">
      <c r="A81" s="15">
        <v>43502.509965277779</v>
      </c>
      <c r="B81" s="3" t="s">
        <v>377</v>
      </c>
      <c r="C81" s="16" t="s">
        <v>371</v>
      </c>
      <c r="D81" s="16">
        <v>0</v>
      </c>
      <c r="E81" s="16" t="s">
        <v>371</v>
      </c>
      <c r="F81" s="3" t="s">
        <v>339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402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402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402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402</v>
      </c>
    </row>
    <row r="86" spans="1:6" x14ac:dyDescent="0.25">
      <c r="A86" s="15">
        <v>43506.59097222222</v>
      </c>
      <c r="B86" s="3" t="s">
        <v>354</v>
      </c>
      <c r="C86" s="16">
        <v>1</v>
      </c>
      <c r="D86" s="16">
        <v>0</v>
      </c>
      <c r="E86" s="16" t="s">
        <v>371</v>
      </c>
      <c r="F86" s="3" t="s">
        <v>409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402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402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402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402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402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402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402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402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402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402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402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402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402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402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427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427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427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427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427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427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427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427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427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427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427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427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427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427</v>
      </c>
    </row>
    <row r="115" spans="1:6" x14ac:dyDescent="0.25">
      <c r="A115" s="15">
        <v>43506.62771990741</v>
      </c>
      <c r="B115" s="3" t="s">
        <v>40</v>
      </c>
      <c r="C115" s="16" t="s">
        <v>428</v>
      </c>
      <c r="D115" s="16">
        <v>-0.63900000000000001</v>
      </c>
      <c r="E115" s="16">
        <v>0</v>
      </c>
      <c r="F115" s="3" t="s">
        <v>427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427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427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427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427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427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427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427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427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427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427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427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427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427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427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427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427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427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427</v>
      </c>
    </row>
    <row r="134" spans="1:6" x14ac:dyDescent="0.25">
      <c r="A134" s="15">
        <v>43512.96502314815</v>
      </c>
      <c r="B134" s="3" t="s">
        <v>429</v>
      </c>
      <c r="C134" s="16"/>
      <c r="D134" s="16">
        <v>0</v>
      </c>
      <c r="E134" s="16"/>
      <c r="F134" s="3" t="s">
        <v>339</v>
      </c>
    </row>
    <row r="135" spans="1:6" x14ac:dyDescent="0.25">
      <c r="A135" s="15">
        <v>43512.966874999998</v>
      </c>
      <c r="B135" s="3" t="s">
        <v>429</v>
      </c>
      <c r="C135" s="16" t="s">
        <v>433</v>
      </c>
      <c r="D135" s="16">
        <v>0</v>
      </c>
      <c r="E135" s="16" t="s">
        <v>433</v>
      </c>
      <c r="F135" s="3" t="s">
        <v>339</v>
      </c>
    </row>
    <row r="136" spans="1:6" x14ac:dyDescent="0.25">
      <c r="A136" s="15">
        <v>43519.51699074074</v>
      </c>
      <c r="B136" s="3" t="s">
        <v>332</v>
      </c>
      <c r="C136" s="16" t="s">
        <v>434</v>
      </c>
      <c r="D136" s="16">
        <v>0</v>
      </c>
      <c r="E136" s="16">
        <v>10</v>
      </c>
      <c r="F136" s="3" t="s">
        <v>454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453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453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452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452</v>
      </c>
    </row>
    <row r="141" spans="1:6" x14ac:dyDescent="0.25">
      <c r="A141" s="15">
        <v>43519.518576388888</v>
      </c>
      <c r="B141" s="3" t="s">
        <v>327</v>
      </c>
      <c r="C141" s="16" t="s">
        <v>65</v>
      </c>
      <c r="D141" s="16" t="s">
        <v>65</v>
      </c>
      <c r="E141" s="16" t="s">
        <v>65</v>
      </c>
      <c r="F141" s="3" t="s">
        <v>452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452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452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452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452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452</v>
      </c>
    </row>
    <row r="147" spans="1:6" x14ac:dyDescent="0.25">
      <c r="A147" s="15">
        <v>43519.518773148149</v>
      </c>
      <c r="B147" s="3" t="s">
        <v>326</v>
      </c>
      <c r="C147" s="16" t="s">
        <v>65</v>
      </c>
      <c r="D147" s="16" t="s">
        <v>65</v>
      </c>
      <c r="E147" s="16" t="s">
        <v>65</v>
      </c>
      <c r="F147" s="3" t="s">
        <v>452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452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452</v>
      </c>
    </row>
    <row r="150" spans="1:6" x14ac:dyDescent="0.25">
      <c r="A150" s="15">
        <v>43540.741203703707</v>
      </c>
      <c r="B150" s="3" t="s">
        <v>354</v>
      </c>
      <c r="C150" s="16">
        <v>-1</v>
      </c>
      <c r="D150" s="16">
        <v>1</v>
      </c>
      <c r="E150" s="16">
        <v>0</v>
      </c>
      <c r="F150" s="3" t="s">
        <v>460</v>
      </c>
    </row>
    <row r="151" spans="1:6" x14ac:dyDescent="0.25">
      <c r="A151" s="15">
        <v>43569.402199074073</v>
      </c>
      <c r="B151" s="3" t="s">
        <v>354</v>
      </c>
      <c r="C151" s="16" t="s">
        <v>371</v>
      </c>
      <c r="D151" s="16">
        <v>0</v>
      </c>
      <c r="E151" s="16">
        <v>1</v>
      </c>
      <c r="F151" s="3" t="s">
        <v>461</v>
      </c>
    </row>
    <row r="152" spans="1:6" x14ac:dyDescent="0.25">
      <c r="A152" s="15">
        <v>43572.368414351855</v>
      </c>
      <c r="B152" s="3" t="s">
        <v>295</v>
      </c>
      <c r="C152" s="16" t="s">
        <v>65</v>
      </c>
      <c r="D152" s="16" t="s">
        <v>65</v>
      </c>
      <c r="E152" s="16" t="s">
        <v>65</v>
      </c>
      <c r="F152" s="3" t="s">
        <v>402</v>
      </c>
    </row>
    <row r="153" spans="1:6" x14ac:dyDescent="0.25">
      <c r="A153" s="15">
        <v>43574.645150462966</v>
      </c>
      <c r="B153" s="3" t="s">
        <v>276</v>
      </c>
      <c r="C153" s="16" t="s">
        <v>338</v>
      </c>
      <c r="D153" s="16">
        <v>0</v>
      </c>
      <c r="E153" s="16" t="s">
        <v>338</v>
      </c>
      <c r="F153" s="3" t="s">
        <v>602</v>
      </c>
    </row>
    <row r="154" spans="1:6" x14ac:dyDescent="0.25">
      <c r="A154" s="15">
        <v>43574.645150462966</v>
      </c>
      <c r="B154" s="3">
        <v>61304011021</v>
      </c>
      <c r="C154" s="16" t="s">
        <v>338</v>
      </c>
      <c r="D154" s="16">
        <v>0</v>
      </c>
      <c r="E154" s="16" t="s">
        <v>338</v>
      </c>
      <c r="F154" s="3" t="s">
        <v>602</v>
      </c>
    </row>
    <row r="155" spans="1:6" x14ac:dyDescent="0.25">
      <c r="A155" s="15">
        <v>43574.645150462966</v>
      </c>
      <c r="B155" s="3" t="s">
        <v>117</v>
      </c>
      <c r="C155" s="16" t="s">
        <v>338</v>
      </c>
      <c r="D155" s="16">
        <v>0</v>
      </c>
      <c r="E155" s="16" t="s">
        <v>338</v>
      </c>
      <c r="F155" s="3" t="s">
        <v>602</v>
      </c>
    </row>
    <row r="156" spans="1:6" x14ac:dyDescent="0.25">
      <c r="A156" s="15">
        <v>43574.645150462966</v>
      </c>
      <c r="B156" s="3" t="s">
        <v>31</v>
      </c>
      <c r="C156" s="16" t="s">
        <v>338</v>
      </c>
      <c r="D156" s="16">
        <v>0</v>
      </c>
      <c r="E156" s="16" t="s">
        <v>338</v>
      </c>
      <c r="F156" s="3" t="s">
        <v>602</v>
      </c>
    </row>
    <row r="157" spans="1:6" x14ac:dyDescent="0.25">
      <c r="A157" s="15">
        <v>43574.645150462966</v>
      </c>
      <c r="B157" s="3" t="s">
        <v>123</v>
      </c>
      <c r="C157" s="16" t="s">
        <v>338</v>
      </c>
      <c r="D157" s="16">
        <v>0</v>
      </c>
      <c r="E157" s="16" t="s">
        <v>338</v>
      </c>
      <c r="F157" s="3" t="s">
        <v>602</v>
      </c>
    </row>
    <row r="158" spans="1:6" x14ac:dyDescent="0.25">
      <c r="A158" s="15">
        <v>43574.645150462966</v>
      </c>
      <c r="B158" s="3" t="s">
        <v>118</v>
      </c>
      <c r="C158" s="16" t="s">
        <v>338</v>
      </c>
      <c r="D158" s="16">
        <v>0</v>
      </c>
      <c r="E158" s="16" t="s">
        <v>338</v>
      </c>
      <c r="F158" s="3" t="s">
        <v>602</v>
      </c>
    </row>
    <row r="159" spans="1:6" x14ac:dyDescent="0.25">
      <c r="A159" s="15">
        <v>43574.645150462966</v>
      </c>
      <c r="B159" s="3" t="s">
        <v>492</v>
      </c>
      <c r="C159" s="16" t="s">
        <v>338</v>
      </c>
      <c r="D159" s="16">
        <v>0</v>
      </c>
      <c r="E159" s="16" t="s">
        <v>338</v>
      </c>
      <c r="F159" s="3" t="s">
        <v>602</v>
      </c>
    </row>
    <row r="160" spans="1:6" x14ac:dyDescent="0.25">
      <c r="A160" s="15">
        <v>43574.645162037035</v>
      </c>
      <c r="B160" s="3" t="s">
        <v>496</v>
      </c>
      <c r="C160" s="16" t="s">
        <v>338</v>
      </c>
      <c r="D160" s="16">
        <v>0</v>
      </c>
      <c r="E160" s="16" t="s">
        <v>338</v>
      </c>
      <c r="F160" s="3" t="s">
        <v>602</v>
      </c>
    </row>
    <row r="161" spans="1:6" x14ac:dyDescent="0.25">
      <c r="A161" s="15">
        <v>43574.645162037035</v>
      </c>
      <c r="B161" s="3" t="s">
        <v>38</v>
      </c>
      <c r="C161" s="16" t="s">
        <v>338</v>
      </c>
      <c r="D161" s="16">
        <v>0</v>
      </c>
      <c r="E161" s="16" t="s">
        <v>338</v>
      </c>
      <c r="F161" s="3" t="s">
        <v>602</v>
      </c>
    </row>
    <row r="162" spans="1:6" x14ac:dyDescent="0.25">
      <c r="A162" s="15">
        <v>43574.645162037035</v>
      </c>
      <c r="B162" s="3" t="s">
        <v>133</v>
      </c>
      <c r="C162" s="16" t="s">
        <v>338</v>
      </c>
      <c r="D162" s="16">
        <v>0</v>
      </c>
      <c r="E162" s="16" t="s">
        <v>338</v>
      </c>
      <c r="F162" s="3" t="s">
        <v>602</v>
      </c>
    </row>
    <row r="163" spans="1:6" x14ac:dyDescent="0.25">
      <c r="A163" s="15">
        <v>43574.645162037035</v>
      </c>
      <c r="B163" s="3" t="s">
        <v>90</v>
      </c>
      <c r="C163" s="16" t="s">
        <v>338</v>
      </c>
      <c r="D163" s="16">
        <v>0</v>
      </c>
      <c r="E163" s="16" t="s">
        <v>338</v>
      </c>
      <c r="F163" s="3" t="s">
        <v>602</v>
      </c>
    </row>
    <row r="164" spans="1:6" x14ac:dyDescent="0.25">
      <c r="A164" s="15">
        <v>43574.645162037035</v>
      </c>
      <c r="B164" s="3" t="s">
        <v>505</v>
      </c>
      <c r="C164" s="16" t="s">
        <v>338</v>
      </c>
      <c r="D164" s="16">
        <v>0</v>
      </c>
      <c r="E164" s="16" t="s">
        <v>338</v>
      </c>
      <c r="F164" s="3" t="s">
        <v>602</v>
      </c>
    </row>
    <row r="165" spans="1:6" x14ac:dyDescent="0.25">
      <c r="A165" s="15">
        <v>43574.645162037035</v>
      </c>
      <c r="B165" s="3" t="s">
        <v>46</v>
      </c>
      <c r="C165" s="16" t="s">
        <v>338</v>
      </c>
      <c r="D165" s="16">
        <v>0</v>
      </c>
      <c r="E165" s="16" t="s">
        <v>338</v>
      </c>
      <c r="F165" s="3" t="s">
        <v>602</v>
      </c>
    </row>
    <row r="166" spans="1:6" x14ac:dyDescent="0.25">
      <c r="A166" s="15">
        <v>43574.645162037035</v>
      </c>
      <c r="B166" s="3" t="s">
        <v>24</v>
      </c>
      <c r="C166" s="16" t="s">
        <v>338</v>
      </c>
      <c r="D166" s="16">
        <v>0</v>
      </c>
      <c r="E166" s="16" t="s">
        <v>338</v>
      </c>
      <c r="F166" s="3" t="s">
        <v>602</v>
      </c>
    </row>
    <row r="167" spans="1:6" x14ac:dyDescent="0.25">
      <c r="A167" s="15">
        <v>43574.645162037035</v>
      </c>
      <c r="B167" s="3" t="s">
        <v>27</v>
      </c>
      <c r="C167" s="16" t="s">
        <v>338</v>
      </c>
      <c r="D167" s="16">
        <v>0</v>
      </c>
      <c r="E167" s="16" t="s">
        <v>338</v>
      </c>
      <c r="F167" s="3" t="s">
        <v>602</v>
      </c>
    </row>
    <row r="168" spans="1:6" x14ac:dyDescent="0.25">
      <c r="A168" s="15">
        <v>43574.645173611112</v>
      </c>
      <c r="B168" s="3" t="s">
        <v>43</v>
      </c>
      <c r="C168" s="16" t="s">
        <v>338</v>
      </c>
      <c r="D168" s="16">
        <v>0</v>
      </c>
      <c r="E168" s="16" t="s">
        <v>338</v>
      </c>
      <c r="F168" s="3" t="s">
        <v>602</v>
      </c>
    </row>
    <row r="169" spans="1:6" x14ac:dyDescent="0.25">
      <c r="A169" s="15">
        <v>43574.645173611112</v>
      </c>
      <c r="B169" s="3" t="s">
        <v>49</v>
      </c>
      <c r="C169" s="16" t="s">
        <v>338</v>
      </c>
      <c r="D169" s="16">
        <v>0</v>
      </c>
      <c r="E169" s="16" t="s">
        <v>338</v>
      </c>
      <c r="F169" s="3" t="s">
        <v>602</v>
      </c>
    </row>
    <row r="170" spans="1:6" x14ac:dyDescent="0.25">
      <c r="A170" s="15">
        <v>43574.645173611112</v>
      </c>
      <c r="B170" s="3" t="s">
        <v>36</v>
      </c>
      <c r="C170" s="16" t="s">
        <v>338</v>
      </c>
      <c r="D170" s="16">
        <v>0</v>
      </c>
      <c r="E170" s="16" t="s">
        <v>338</v>
      </c>
      <c r="F170" s="3" t="s">
        <v>602</v>
      </c>
    </row>
  </sheetData>
  <conditionalFormatting sqref="B40">
    <cfRule type="duplicateValues" dxfId="36" priority="6"/>
  </conditionalFormatting>
  <conditionalFormatting sqref="B41">
    <cfRule type="duplicateValues" dxfId="35" priority="5"/>
  </conditionalFormatting>
  <conditionalFormatting sqref="B42">
    <cfRule type="duplicateValues" dxfId="34" priority="4"/>
  </conditionalFormatting>
  <conditionalFormatting sqref="B43">
    <cfRule type="duplicateValues" dxfId="33" priority="3"/>
  </conditionalFormatting>
  <conditionalFormatting sqref="B44">
    <cfRule type="duplicateValues" dxfId="32" priority="2"/>
  </conditionalFormatting>
  <conditionalFormatting sqref="B45">
    <cfRule type="duplicateValues" dxfId="3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J18" sqref="J18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36" t="s">
        <v>170</v>
      </c>
      <c r="B1" s="10" t="str">
        <f>IF(COUNTIF(B2:B255,"2")=0,"OK","NOT OK")</f>
        <v>OK</v>
      </c>
    </row>
    <row r="2" spans="1:13" x14ac:dyDescent="0.25">
      <c r="A2" s="36"/>
      <c r="B2" s="8">
        <f>COUNTIF(Articles!B:B,Articles!$B2)</f>
        <v>1</v>
      </c>
      <c r="I2" s="22" t="s">
        <v>379</v>
      </c>
      <c r="L2" s="22" t="s">
        <v>388</v>
      </c>
    </row>
    <row r="3" spans="1:13" x14ac:dyDescent="0.25">
      <c r="A3" s="36"/>
      <c r="B3" s="8">
        <f>COUNTIF(Articles!B:B,Articles!$B3)</f>
        <v>1</v>
      </c>
      <c r="I3" s="23" t="s">
        <v>380</v>
      </c>
      <c r="J3" s="23" t="s">
        <v>2</v>
      </c>
      <c r="L3" s="23" t="s">
        <v>380</v>
      </c>
      <c r="M3" s="23" t="s">
        <v>2</v>
      </c>
    </row>
    <row r="4" spans="1:13" x14ac:dyDescent="0.25">
      <c r="A4" s="36"/>
      <c r="B4" s="8">
        <f>COUNTIF(Articles!B:B,Articles!$B4)</f>
        <v>1</v>
      </c>
      <c r="I4" t="s">
        <v>382</v>
      </c>
      <c r="J4" t="s">
        <v>384</v>
      </c>
      <c r="L4" t="s">
        <v>389</v>
      </c>
      <c r="M4" t="s">
        <v>394</v>
      </c>
    </row>
    <row r="5" spans="1:13" x14ac:dyDescent="0.25">
      <c r="A5" s="36"/>
      <c r="B5" s="8">
        <f>COUNTIF(Articles!B:B,Articles!$B5)</f>
        <v>1</v>
      </c>
      <c r="I5" t="s">
        <v>381</v>
      </c>
      <c r="J5" t="s">
        <v>385</v>
      </c>
      <c r="L5" t="s">
        <v>390</v>
      </c>
      <c r="M5" t="s">
        <v>395</v>
      </c>
    </row>
    <row r="6" spans="1:13" x14ac:dyDescent="0.25">
      <c r="A6" s="36"/>
      <c r="B6" s="8">
        <f>COUNTIF(Articles!B:B,Articles!$B6)</f>
        <v>1</v>
      </c>
      <c r="I6" t="s">
        <v>455</v>
      </c>
      <c r="J6" t="s">
        <v>383</v>
      </c>
      <c r="L6" t="s">
        <v>391</v>
      </c>
      <c r="M6" t="s">
        <v>397</v>
      </c>
    </row>
    <row r="7" spans="1:13" x14ac:dyDescent="0.25">
      <c r="A7" s="11"/>
      <c r="B7" s="8">
        <f>COUNTIF(Articles!B:B,Articles!$B7)</f>
        <v>1</v>
      </c>
      <c r="I7" t="s">
        <v>456</v>
      </c>
      <c r="J7" t="s">
        <v>459</v>
      </c>
      <c r="L7" t="s">
        <v>392</v>
      </c>
      <c r="M7" t="s">
        <v>466</v>
      </c>
    </row>
    <row r="8" spans="1:13" x14ac:dyDescent="0.25">
      <c r="A8" s="11"/>
      <c r="B8" s="8">
        <f>COUNTIF(Articles!B:B,Articles!$B8)</f>
        <v>1</v>
      </c>
      <c r="I8" t="s">
        <v>457</v>
      </c>
      <c r="J8" t="s">
        <v>386</v>
      </c>
      <c r="L8" t="s">
        <v>393</v>
      </c>
      <c r="M8" t="s">
        <v>467</v>
      </c>
    </row>
    <row r="9" spans="1:13" x14ac:dyDescent="0.25">
      <c r="B9" s="8">
        <f>COUNTIF(Articles!B:B,Articles!$B9)</f>
        <v>1</v>
      </c>
      <c r="I9" t="s">
        <v>458</v>
      </c>
      <c r="J9" t="s">
        <v>387</v>
      </c>
      <c r="L9" t="s">
        <v>468</v>
      </c>
    </row>
    <row r="10" spans="1:13" x14ac:dyDescent="0.25">
      <c r="B10" s="8">
        <f>COUNTIF(Articles!B:B,Articles!$B10)</f>
        <v>1</v>
      </c>
      <c r="L10" t="s">
        <v>469</v>
      </c>
    </row>
    <row r="11" spans="1:13" x14ac:dyDescent="0.25">
      <c r="B11" s="8">
        <f>COUNTIF(Articles!B:B,Articles!$B11)</f>
        <v>1</v>
      </c>
      <c r="L11" t="s">
        <v>470</v>
      </c>
    </row>
    <row r="12" spans="1:13" x14ac:dyDescent="0.25">
      <c r="B12" s="8">
        <f>COUNTIF(Articles!B:B,Articles!$B12)</f>
        <v>1</v>
      </c>
      <c r="C12" t="str">
        <f>IF($B$1 = "NOT OK","MERGE REQUIRED","")</f>
        <v/>
      </c>
      <c r="L12" t="s">
        <v>471</v>
      </c>
    </row>
    <row r="13" spans="1:13" x14ac:dyDescent="0.25">
      <c r="B13" s="8">
        <f>COUNTIF(Articles!B:B,Articles!$B13)</f>
        <v>1</v>
      </c>
      <c r="L13" t="s">
        <v>472</v>
      </c>
    </row>
    <row r="14" spans="1:13" x14ac:dyDescent="0.25">
      <c r="B14" s="8">
        <f>COUNTIF(Articles!B:B,Articles!$B14)</f>
        <v>1</v>
      </c>
      <c r="L14" t="s">
        <v>473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COUNTIF(Articles!B:B,Articles!#REF!)</f>
        <v>0</v>
      </c>
    </row>
    <row r="52" spans="2:2" x14ac:dyDescent="0.25">
      <c r="B52" s="8">
        <f>COUNTIF(Articles!B:B,Articles!#REF!)</f>
        <v>0</v>
      </c>
    </row>
    <row r="53" spans="2:2" x14ac:dyDescent="0.25">
      <c r="B53" s="8">
        <f>COUNTIF(Articles!B:B,Articles!#REF!)</f>
        <v>0</v>
      </c>
    </row>
    <row r="54" spans="2:2" x14ac:dyDescent="0.25">
      <c r="B54" s="8">
        <f>COUNTIF(Articles!B:B,Articles!#REF!)</f>
        <v>0</v>
      </c>
    </row>
    <row r="55" spans="2:2" x14ac:dyDescent="0.25">
      <c r="B55" s="8">
        <f>COUNTIF(Articles!B:B,Articles!#REF!)</f>
        <v>0</v>
      </c>
    </row>
    <row r="56" spans="2:2" x14ac:dyDescent="0.25">
      <c r="B56" s="8">
        <f>COUNTIF(Articles!B:B,Articles!#REF!)</f>
        <v>0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COUNTIF(Articles!B:B,Articles!#REF!)</f>
        <v>0</v>
      </c>
    </row>
    <row r="59" spans="2:2" x14ac:dyDescent="0.25">
      <c r="B59" s="8">
        <f>COUNTIF(Articles!B:B,Articles!#REF!)</f>
        <v>0</v>
      </c>
    </row>
    <row r="60" spans="2:2" x14ac:dyDescent="0.25">
      <c r="B60" s="8">
        <f>COUNTIF(Articles!B:B,Articles!#REF!)</f>
        <v>0</v>
      </c>
    </row>
    <row r="61" spans="2:2" x14ac:dyDescent="0.25">
      <c r="B61" s="8">
        <f>COUNTIF(Articles!B:B,Articles!#REF!)</f>
        <v>0</v>
      </c>
    </row>
    <row r="62" spans="2:2" x14ac:dyDescent="0.25">
      <c r="B62" s="8">
        <f>COUNTIF(Articles!B:B,Articles!#REF!)</f>
        <v>0</v>
      </c>
    </row>
    <row r="63" spans="2:2" x14ac:dyDescent="0.25">
      <c r="B63" s="8">
        <f>COUNTIF(Articles!B:B,Articles!#REF!)</f>
        <v>0</v>
      </c>
    </row>
    <row r="64" spans="2:2" x14ac:dyDescent="0.25">
      <c r="B64" s="8">
        <f>COUNTIF(Articles!B:B,Articles!$B51)</f>
        <v>1</v>
      </c>
    </row>
    <row r="65" spans="2:2" x14ac:dyDescent="0.25">
      <c r="B65" s="8">
        <f>COUNTIF(Articles!B:B,Articles!$B52)</f>
        <v>1</v>
      </c>
    </row>
    <row r="66" spans="2:2" x14ac:dyDescent="0.25">
      <c r="B66" s="8">
        <f>COUNTIF(Articles!B:B,Articles!$B53)</f>
        <v>1</v>
      </c>
    </row>
    <row r="67" spans="2:2" x14ac:dyDescent="0.25">
      <c r="B67" s="8">
        <f>COUNTIF(Articles!B:B,Articles!$B54)</f>
        <v>1</v>
      </c>
    </row>
    <row r="68" spans="2:2" x14ac:dyDescent="0.25">
      <c r="B68" s="8">
        <f>COUNTIF(Articles!B:B,Articles!$B55)</f>
        <v>1</v>
      </c>
    </row>
    <row r="69" spans="2:2" x14ac:dyDescent="0.25">
      <c r="B69" s="8">
        <f>COUNTIF(Articles!B:B,Articles!$B56)</f>
        <v>1</v>
      </c>
    </row>
    <row r="70" spans="2:2" x14ac:dyDescent="0.25">
      <c r="B70" s="8">
        <f>COUNTIF(Articles!B:B,Articles!$B57)</f>
        <v>1</v>
      </c>
    </row>
    <row r="71" spans="2:2" x14ac:dyDescent="0.25">
      <c r="B71" s="8">
        <f>COUNTIF(Articles!B:B,Articles!$B58)</f>
        <v>1</v>
      </c>
    </row>
    <row r="72" spans="2:2" x14ac:dyDescent="0.25">
      <c r="B72" s="8">
        <f>COUNTIF(Articles!B:B,Articles!$B60)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COUNTIF(Articles!B:B,Articles!$B62)</f>
        <v>1</v>
      </c>
    </row>
    <row r="94" spans="2:2" x14ac:dyDescent="0.25">
      <c r="B94" s="8">
        <f>COUNTIF(Articles!B:B,Articles!$B63)</f>
        <v>1</v>
      </c>
    </row>
    <row r="95" spans="2:2" x14ac:dyDescent="0.25">
      <c r="B95" s="8">
        <f>COUNTIF(Articles!B:B,Articles!$B64)</f>
        <v>1</v>
      </c>
    </row>
    <row r="96" spans="2:2" x14ac:dyDescent="0.25">
      <c r="B96" s="8">
        <f>COUNTIF(Articles!B:B,Articles!$B65)</f>
        <v>1</v>
      </c>
    </row>
    <row r="97" spans="2:2" x14ac:dyDescent="0.25">
      <c r="B97" s="8">
        <f>COUNTIF(Articles!B:B,Articles!$B66)</f>
        <v>1</v>
      </c>
    </row>
    <row r="98" spans="2:2" x14ac:dyDescent="0.25">
      <c r="B98" s="8">
        <f>COUNTIF(Articles!B:B,Articles!$B67)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COUNTIF(Articles!B:B,Articles!$B68)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COUNTIF(Articles!B:B,Articles!$B69)</f>
        <v>1</v>
      </c>
    </row>
    <row r="113" spans="2:2" x14ac:dyDescent="0.25">
      <c r="B113" s="8">
        <f>COUNTIF(Articles!B:B,Articles!$B71)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COUNTIF(Articles!B:B,Articles!$B72)</f>
        <v>1</v>
      </c>
    </row>
    <row r="116" spans="2:2" x14ac:dyDescent="0.25">
      <c r="B116" s="8">
        <f>COUNTIF(Articles!B:B,Articles!$B73)</f>
        <v>1</v>
      </c>
    </row>
    <row r="117" spans="2:2" x14ac:dyDescent="0.25">
      <c r="B117" s="8">
        <f>COUNTIF(Articles!B:B,Articles!$B74)</f>
        <v>1</v>
      </c>
    </row>
    <row r="118" spans="2:2" x14ac:dyDescent="0.25">
      <c r="B118" s="8">
        <f>COUNTIF(Articles!B:B,Articles!$B75)</f>
        <v>1</v>
      </c>
    </row>
    <row r="119" spans="2:2" x14ac:dyDescent="0.25">
      <c r="B119" s="8">
        <f>COUNTIF(Articles!B:B,Articles!$B76)</f>
        <v>1</v>
      </c>
    </row>
    <row r="120" spans="2:2" x14ac:dyDescent="0.25">
      <c r="B120" s="8">
        <f>COUNTIF(Articles!B:B,Articles!$B77)</f>
        <v>1</v>
      </c>
    </row>
    <row r="121" spans="2:2" x14ac:dyDescent="0.25">
      <c r="B121" s="8">
        <f>COUNTIF(Articles!B:B,Articles!$B78)</f>
        <v>1</v>
      </c>
    </row>
    <row r="122" spans="2:2" x14ac:dyDescent="0.25">
      <c r="B122" s="8">
        <f>COUNTIF(Articles!B:B,Articles!$B79)</f>
        <v>1</v>
      </c>
    </row>
    <row r="123" spans="2:2" x14ac:dyDescent="0.25">
      <c r="B123" s="8">
        <f>COUNTIF(Articles!B:B,Articles!$B80)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COUNTIF(Articles!B:B,Articles!$B81)</f>
        <v>1</v>
      </c>
    </row>
    <row r="129" spans="2:2" x14ac:dyDescent="0.25">
      <c r="B129" s="8">
        <f>COUNTIF(Articles!B:B,Articles!$B82)</f>
        <v>1</v>
      </c>
    </row>
    <row r="130" spans="2:2" x14ac:dyDescent="0.25">
      <c r="B130" s="8">
        <f>COUNTIF(Articles!B:B,Articles!#REF!)</f>
        <v>0</v>
      </c>
    </row>
    <row r="131" spans="2:2" x14ac:dyDescent="0.25">
      <c r="B131" s="8">
        <f>COUNTIF(Articles!B:B,Articles!#REF!)</f>
        <v>0</v>
      </c>
    </row>
    <row r="132" spans="2:2" x14ac:dyDescent="0.25">
      <c r="B132" s="8">
        <f>COUNTIF(Articles!B:B,Articles!#REF!)</f>
        <v>0</v>
      </c>
    </row>
    <row r="133" spans="2:2" x14ac:dyDescent="0.25">
      <c r="B133" s="8">
        <f>COUNTIF(Articles!B:B,Articles!#REF!)</f>
        <v>0</v>
      </c>
    </row>
    <row r="134" spans="2:2" x14ac:dyDescent="0.25">
      <c r="B134" s="8">
        <f>COUNTIF(Articles!B:B,Articles!#REF!)</f>
        <v>0</v>
      </c>
    </row>
    <row r="135" spans="2:2" x14ac:dyDescent="0.25">
      <c r="B135" s="8">
        <f>COUNTIF(Articles!B:B,Articles!#REF!)</f>
        <v>0</v>
      </c>
    </row>
    <row r="136" spans="2:2" x14ac:dyDescent="0.25">
      <c r="B136" s="8">
        <f>COUNTIF(Articles!B:B,Articles!#REF!)</f>
        <v>0</v>
      </c>
    </row>
    <row r="137" spans="2:2" x14ac:dyDescent="0.25">
      <c r="B137" s="8">
        <f>COUNTIF(Articles!B:B,Articles!#REF!)</f>
        <v>0</v>
      </c>
    </row>
    <row r="138" spans="2:2" x14ac:dyDescent="0.25">
      <c r="B138" s="8">
        <f>COUNTIF(Articles!B:B,Articles!$B83)</f>
        <v>1</v>
      </c>
    </row>
    <row r="139" spans="2:2" x14ac:dyDescent="0.25">
      <c r="B139" s="8">
        <f>COUNTIF(Articles!B:B,Articles!$B84)</f>
        <v>1</v>
      </c>
    </row>
    <row r="140" spans="2:2" x14ac:dyDescent="0.25">
      <c r="B140" s="8">
        <f>COUNTIF(Articles!B:B,Articles!$B85)</f>
        <v>1</v>
      </c>
    </row>
    <row r="141" spans="2:2" x14ac:dyDescent="0.25">
      <c r="B141" s="8">
        <f>COUNTIF(Articles!B:B,Articles!$B86)</f>
        <v>1</v>
      </c>
    </row>
    <row r="142" spans="2:2" x14ac:dyDescent="0.25">
      <c r="B142" s="8">
        <f>COUNTIF(Articles!B:B,Articles!$B87)</f>
        <v>1</v>
      </c>
    </row>
    <row r="143" spans="2:2" x14ac:dyDescent="0.25">
      <c r="B143" s="8">
        <f>COUNTIF(Articles!B:B,Articles!$B88)</f>
        <v>1</v>
      </c>
    </row>
    <row r="144" spans="2:2" x14ac:dyDescent="0.25">
      <c r="B144" s="8">
        <f>COUNTIF(Articles!B:B,Articles!$B89)</f>
        <v>1</v>
      </c>
    </row>
    <row r="145" spans="2:2" x14ac:dyDescent="0.25">
      <c r="B145" s="8">
        <f>COUNTIF(Articles!B:B,Articles!$B90)</f>
        <v>1</v>
      </c>
    </row>
    <row r="146" spans="2:2" x14ac:dyDescent="0.25">
      <c r="B146" s="8">
        <f>COUNTIF(Articles!B:B,Articles!$B91)</f>
        <v>1</v>
      </c>
    </row>
    <row r="147" spans="2:2" x14ac:dyDescent="0.25">
      <c r="B147" s="8">
        <f>COUNTIF(Articles!B:B,Articles!$B92)</f>
        <v>1</v>
      </c>
    </row>
    <row r="148" spans="2:2" x14ac:dyDescent="0.25">
      <c r="B148" s="8">
        <f>COUNTIF(Articles!B:B,Articles!$B93)</f>
        <v>1</v>
      </c>
    </row>
    <row r="149" spans="2:2" x14ac:dyDescent="0.25">
      <c r="B149" s="8">
        <f>COUNTIF(Articles!B:B,Articles!$B94)</f>
        <v>1</v>
      </c>
    </row>
    <row r="150" spans="2:2" x14ac:dyDescent="0.25">
      <c r="B150" s="8">
        <f>COUNTIF(Articles!B:B,Articles!$B95)</f>
        <v>1</v>
      </c>
    </row>
    <row r="151" spans="2:2" x14ac:dyDescent="0.25">
      <c r="B151" s="8">
        <f>COUNTIF(Articles!B:B,Articles!$B96)</f>
        <v>1</v>
      </c>
    </row>
    <row r="152" spans="2:2" x14ac:dyDescent="0.25">
      <c r="B152" s="8">
        <f>COUNTIF(Articles!B:B,Articles!$B97)</f>
        <v>1</v>
      </c>
    </row>
    <row r="153" spans="2:2" x14ac:dyDescent="0.25">
      <c r="B153" s="8">
        <f>COUNTIF(Articles!B:B,Articles!$B98)</f>
        <v>1</v>
      </c>
    </row>
    <row r="154" spans="2:2" x14ac:dyDescent="0.25">
      <c r="B154" s="8">
        <f>COUNTIF(Articles!B:B,Articles!$B99)</f>
        <v>1</v>
      </c>
    </row>
    <row r="155" spans="2:2" x14ac:dyDescent="0.25">
      <c r="B155" s="8">
        <f>COUNTIF(Articles!B:B,Articles!$B100)</f>
        <v>1</v>
      </c>
    </row>
    <row r="156" spans="2:2" x14ac:dyDescent="0.25">
      <c r="B156" s="8">
        <f>COUNTIF(Articles!B:B,Articles!#REF!)</f>
        <v>0</v>
      </c>
    </row>
    <row r="157" spans="2:2" x14ac:dyDescent="0.25">
      <c r="B157" s="8">
        <f>COUNTIF(Articles!B:B,Articles!#REF!)</f>
        <v>0</v>
      </c>
    </row>
    <row r="158" spans="2:2" x14ac:dyDescent="0.25">
      <c r="B158" s="8">
        <f>COUNTIF(Articles!B:B,Articles!#REF!)</f>
        <v>0</v>
      </c>
    </row>
    <row r="159" spans="2:2" x14ac:dyDescent="0.25">
      <c r="B159" s="8">
        <f>COUNTIF(Articles!B:B,Articles!#REF!)</f>
        <v>0</v>
      </c>
    </row>
    <row r="160" spans="2:2" x14ac:dyDescent="0.25">
      <c r="B160" s="8">
        <f>COUNTIF(Articles!B:B,Articles!#REF!)</f>
        <v>0</v>
      </c>
    </row>
    <row r="161" spans="2:2" x14ac:dyDescent="0.25">
      <c r="B161" s="8">
        <f>COUNTIF(Articles!B:B,Articles!#REF!)</f>
        <v>0</v>
      </c>
    </row>
    <row r="162" spans="2:2" x14ac:dyDescent="0.25">
      <c r="B162" s="8">
        <f>COUNTIF(Articles!B:B,Articles!#REF!)</f>
        <v>0</v>
      </c>
    </row>
    <row r="163" spans="2:2" x14ac:dyDescent="0.25">
      <c r="B163" s="8">
        <f>COUNTIF(Articles!B:B,Articles!#REF!)</f>
        <v>0</v>
      </c>
    </row>
    <row r="164" spans="2:2" x14ac:dyDescent="0.25">
      <c r="B164" s="8">
        <f>COUNTIF(Articles!B:B,Articles!#REF!)</f>
        <v>0</v>
      </c>
    </row>
    <row r="165" spans="2:2" x14ac:dyDescent="0.25">
      <c r="B165" s="8">
        <f>COUNTIF(Articles!B:B,Articles!#REF!)</f>
        <v>0</v>
      </c>
    </row>
    <row r="166" spans="2:2" x14ac:dyDescent="0.25">
      <c r="B166" s="8">
        <f>COUNTIF(Articles!B:B,Articles!#REF!)</f>
        <v>0</v>
      </c>
    </row>
    <row r="167" spans="2:2" x14ac:dyDescent="0.25">
      <c r="B167" s="8">
        <f>COUNTIF(Articles!B:B,Articles!#REF!)</f>
        <v>0</v>
      </c>
    </row>
    <row r="168" spans="2:2" x14ac:dyDescent="0.25">
      <c r="B168" s="8">
        <f>COUNTIF(Articles!B:B,Articles!#REF!)</f>
        <v>0</v>
      </c>
    </row>
    <row r="169" spans="2:2" x14ac:dyDescent="0.25">
      <c r="B169" s="8">
        <f>COUNTIF(Articles!B:B,Articles!#REF!)</f>
        <v>0</v>
      </c>
    </row>
    <row r="170" spans="2:2" x14ac:dyDescent="0.25">
      <c r="B170" s="8">
        <f>COUNTIF(Articles!B:B,Articles!#REF!)</f>
        <v>0</v>
      </c>
    </row>
    <row r="171" spans="2:2" x14ac:dyDescent="0.25">
      <c r="B171" s="8">
        <f>COUNTIF(Articles!B:B,Articles!#REF!)</f>
        <v>0</v>
      </c>
    </row>
    <row r="172" spans="2:2" x14ac:dyDescent="0.25">
      <c r="B172" s="8">
        <f>COUNTIF(Articles!B:B,Articles!#REF!)</f>
        <v>0</v>
      </c>
    </row>
    <row r="173" spans="2:2" x14ac:dyDescent="0.25">
      <c r="B173" s="8">
        <f>COUNTIF(Articles!B:B,Articles!#REF!)</f>
        <v>0</v>
      </c>
    </row>
    <row r="174" spans="2:2" x14ac:dyDescent="0.25">
      <c r="B174" s="8">
        <f>COUNTIF(Articles!B:B,Articles!#REF!)</f>
        <v>0</v>
      </c>
    </row>
    <row r="175" spans="2:2" x14ac:dyDescent="0.25">
      <c r="B175" s="8">
        <f>COUNTIF(Articles!B:B,Articles!#REF!)</f>
        <v>0</v>
      </c>
    </row>
    <row r="176" spans="2:2" x14ac:dyDescent="0.25">
      <c r="B176" s="8">
        <f>COUNTIF(Articles!B:B,Articles!#REF!)</f>
        <v>0</v>
      </c>
    </row>
    <row r="177" spans="2:2" x14ac:dyDescent="0.25">
      <c r="B177" s="8">
        <f>COUNTIF(Articles!B:B,Articles!#REF!)</f>
        <v>0</v>
      </c>
    </row>
    <row r="178" spans="2:2" x14ac:dyDescent="0.25">
      <c r="B178" s="8">
        <f>COUNTIF(Articles!B:B,Articles!#REF!)</f>
        <v>0</v>
      </c>
    </row>
    <row r="179" spans="2:2" x14ac:dyDescent="0.25">
      <c r="B179" s="8">
        <f>COUNTIF(Articles!B:B,Articles!#REF!)</f>
        <v>0</v>
      </c>
    </row>
    <row r="180" spans="2:2" x14ac:dyDescent="0.25">
      <c r="B180" s="8">
        <f>COUNTIF(Articles!B:B,Articles!#REF!)</f>
        <v>0</v>
      </c>
    </row>
    <row r="181" spans="2:2" x14ac:dyDescent="0.25">
      <c r="B181" s="8">
        <f>COUNTIF(Articles!B:B,Articles!#REF!)</f>
        <v>0</v>
      </c>
    </row>
    <row r="182" spans="2:2" x14ac:dyDescent="0.25">
      <c r="B182" s="8">
        <f>COUNTIF(Articles!B:B,Articles!#REF!)</f>
        <v>0</v>
      </c>
    </row>
    <row r="183" spans="2:2" x14ac:dyDescent="0.25">
      <c r="B183" s="8">
        <f>COUNTIF(Articles!B:B,Articles!#REF!)</f>
        <v>0</v>
      </c>
    </row>
    <row r="184" spans="2:2" x14ac:dyDescent="0.25">
      <c r="B184" s="8">
        <f>COUNTIF(Articles!B:B,Articles!#REF!)</f>
        <v>0</v>
      </c>
    </row>
    <row r="185" spans="2:2" x14ac:dyDescent="0.25">
      <c r="B185" s="8">
        <f>COUNTIF(Articles!B:B,Articles!#REF!)</f>
        <v>0</v>
      </c>
    </row>
    <row r="186" spans="2:2" x14ac:dyDescent="0.25">
      <c r="B186" s="8">
        <f>COUNTIF(Articles!B:B,Articles!#REF!)</f>
        <v>0</v>
      </c>
    </row>
    <row r="187" spans="2:2" x14ac:dyDescent="0.25">
      <c r="B187" s="8">
        <f>COUNTIF(Articles!B:B,Articles!#REF!)</f>
        <v>0</v>
      </c>
    </row>
    <row r="188" spans="2:2" x14ac:dyDescent="0.25">
      <c r="B188" s="8">
        <f>COUNTIF(Articles!B:B,Articles!#REF!)</f>
        <v>0</v>
      </c>
    </row>
    <row r="189" spans="2:2" x14ac:dyDescent="0.25">
      <c r="B189" s="8">
        <f>COUNTIF(Articles!B:B,Articles!#REF!)</f>
        <v>0</v>
      </c>
    </row>
    <row r="190" spans="2:2" x14ac:dyDescent="0.25">
      <c r="B190" s="8">
        <f>COUNTIF(Articles!B:B,Articles!#REF!)</f>
        <v>0</v>
      </c>
    </row>
    <row r="191" spans="2:2" x14ac:dyDescent="0.25">
      <c r="B191" s="8">
        <f>COUNTIF(Articles!B:B,Articles!#REF!)</f>
        <v>0</v>
      </c>
    </row>
    <row r="192" spans="2:2" x14ac:dyDescent="0.25">
      <c r="B192" s="8">
        <f>COUNTIF(Articles!B:B,Articles!#REF!)</f>
        <v>0</v>
      </c>
    </row>
    <row r="193" spans="2:2" x14ac:dyDescent="0.25">
      <c r="B193" s="8">
        <f>COUNTIF(Articles!B:B,Articles!#REF!)</f>
        <v>0</v>
      </c>
    </row>
    <row r="194" spans="2:2" x14ac:dyDescent="0.25">
      <c r="B194" s="8">
        <f>COUNTIF(Articles!B:B,Articles!#REF!)</f>
        <v>0</v>
      </c>
    </row>
    <row r="195" spans="2:2" x14ac:dyDescent="0.25">
      <c r="B195" s="8">
        <f>COUNTIF(Articles!B:B,Articles!#REF!)</f>
        <v>0</v>
      </c>
    </row>
    <row r="196" spans="2:2" x14ac:dyDescent="0.25">
      <c r="B196" s="8">
        <f>COUNTIF(Articles!B:B,Articles!#REF!)</f>
        <v>0</v>
      </c>
    </row>
    <row r="197" spans="2:2" x14ac:dyDescent="0.25">
      <c r="B197" s="8">
        <f>COUNTIF(Articles!B:B,Articles!#REF!)</f>
        <v>0</v>
      </c>
    </row>
    <row r="198" spans="2:2" x14ac:dyDescent="0.25">
      <c r="B198" s="8">
        <f>COUNTIF(Articles!B:B,Articles!#REF!)</f>
        <v>0</v>
      </c>
    </row>
    <row r="199" spans="2:2" x14ac:dyDescent="0.25">
      <c r="B199" s="8">
        <f>COUNTIF(Articles!B:B,Articles!#REF!)</f>
        <v>0</v>
      </c>
    </row>
    <row r="200" spans="2:2" x14ac:dyDescent="0.25">
      <c r="B200" s="8">
        <f>COUNTIF(Articles!B:B,Articles!#REF!)</f>
        <v>0</v>
      </c>
    </row>
    <row r="201" spans="2:2" x14ac:dyDescent="0.25">
      <c r="B201" s="8">
        <f>COUNTIF(Articles!B:B,Articles!#REF!)</f>
        <v>0</v>
      </c>
    </row>
    <row r="202" spans="2:2" x14ac:dyDescent="0.25">
      <c r="B202" s="8">
        <f>COUNTIF(Articles!B:B,Articles!#REF!)</f>
        <v>0</v>
      </c>
    </row>
    <row r="203" spans="2:2" x14ac:dyDescent="0.25">
      <c r="B203" s="8">
        <f>COUNTIF(Articles!B:B,Articles!#REF!)</f>
        <v>0</v>
      </c>
    </row>
    <row r="204" spans="2:2" x14ac:dyDescent="0.25">
      <c r="B204" s="8">
        <f>COUNTIF(Articles!B:B,Articles!#REF!)</f>
        <v>0</v>
      </c>
    </row>
    <row r="205" spans="2:2" x14ac:dyDescent="0.25">
      <c r="B205" s="8">
        <f>COUNTIF(Articles!B:B,Articles!#REF!)</f>
        <v>0</v>
      </c>
    </row>
    <row r="206" spans="2:2" x14ac:dyDescent="0.25">
      <c r="B206" s="8">
        <f>COUNTIF(Articles!B:B,Articles!#REF!)</f>
        <v>0</v>
      </c>
    </row>
    <row r="207" spans="2:2" x14ac:dyDescent="0.25">
      <c r="B207" s="8">
        <f>COUNTIF(Articles!B:B,Articles!#REF!)</f>
        <v>0</v>
      </c>
    </row>
    <row r="208" spans="2:2" x14ac:dyDescent="0.25">
      <c r="B208" s="8">
        <f>COUNTIF(Articles!B:B,Articles!#REF!)</f>
        <v>0</v>
      </c>
    </row>
    <row r="209" spans="2:2" x14ac:dyDescent="0.25">
      <c r="B209" s="8">
        <f>COUNTIF(Articles!B:B,Articles!#REF!)</f>
        <v>0</v>
      </c>
    </row>
    <row r="210" spans="2:2" x14ac:dyDescent="0.25">
      <c r="B210" s="8">
        <f>COUNTIF(Articles!B:B,Articles!#REF!)</f>
        <v>0</v>
      </c>
    </row>
    <row r="211" spans="2:2" x14ac:dyDescent="0.25">
      <c r="B211" s="8">
        <f>COUNTIF(Articles!B:B,Articles!#REF!)</f>
        <v>0</v>
      </c>
    </row>
    <row r="212" spans="2:2" x14ac:dyDescent="0.25">
      <c r="B212" s="8">
        <f>COUNTIF(Articles!B:B,Articles!#REF!)</f>
        <v>0</v>
      </c>
    </row>
    <row r="213" spans="2:2" x14ac:dyDescent="0.25">
      <c r="B213" s="8">
        <f>COUNTIF(Articles!B:B,Articles!#REF!)</f>
        <v>0</v>
      </c>
    </row>
    <row r="214" spans="2:2" x14ac:dyDescent="0.25">
      <c r="B214" s="8">
        <f>COUNTIF(Articles!B:B,Articles!#REF!)</f>
        <v>0</v>
      </c>
    </row>
    <row r="215" spans="2:2" x14ac:dyDescent="0.25">
      <c r="B215" s="8">
        <f>COUNTIF(Articles!B:B,Articles!#REF!)</f>
        <v>0</v>
      </c>
    </row>
    <row r="216" spans="2:2" x14ac:dyDescent="0.25">
      <c r="B216" s="8">
        <f>COUNTIF(Articles!B:B,Articles!#REF!)</f>
        <v>0</v>
      </c>
    </row>
    <row r="217" spans="2:2" x14ac:dyDescent="0.25">
      <c r="B217" s="8">
        <f>COUNTIF(Articles!B:B,Articles!#REF!)</f>
        <v>0</v>
      </c>
    </row>
    <row r="218" spans="2:2" x14ac:dyDescent="0.25">
      <c r="B218" s="8">
        <f>COUNTIF(Articles!B:B,Articles!#REF!)</f>
        <v>0</v>
      </c>
    </row>
    <row r="219" spans="2:2" x14ac:dyDescent="0.25">
      <c r="B219" s="8">
        <f>COUNTIF(Articles!B:B,Articles!#REF!)</f>
        <v>0</v>
      </c>
    </row>
    <row r="220" spans="2:2" x14ac:dyDescent="0.25">
      <c r="B220" s="8">
        <f>COUNTIF(Articles!B:B,Articles!#REF!)</f>
        <v>0</v>
      </c>
    </row>
    <row r="221" spans="2:2" x14ac:dyDescent="0.25">
      <c r="B221" s="8">
        <f>COUNTIF(Articles!B:B,Articles!#REF!)</f>
        <v>0</v>
      </c>
    </row>
    <row r="222" spans="2:2" x14ac:dyDescent="0.25">
      <c r="B222" s="8">
        <f>COUNTIF(Articles!B:B,Articles!#REF!)</f>
        <v>0</v>
      </c>
    </row>
    <row r="223" spans="2:2" x14ac:dyDescent="0.25">
      <c r="B223" s="8">
        <f>COUNTIF(Articles!B:B,Articles!#REF!)</f>
        <v>0</v>
      </c>
    </row>
    <row r="224" spans="2:2" x14ac:dyDescent="0.25">
      <c r="B224" s="8">
        <f>COUNTIF(Articles!B:B,Articles!#REF!)</f>
        <v>0</v>
      </c>
    </row>
    <row r="225" spans="2:2" x14ac:dyDescent="0.25">
      <c r="B225" s="8">
        <f>COUNTIF(Articles!B:B,Articles!#REF!)</f>
        <v>0</v>
      </c>
    </row>
    <row r="226" spans="2:2" x14ac:dyDescent="0.25">
      <c r="B226" s="8">
        <f>COUNTIF(Articles!B:B,Articles!#REF!)</f>
        <v>0</v>
      </c>
    </row>
    <row r="227" spans="2:2" x14ac:dyDescent="0.25">
      <c r="B227" s="8">
        <f>COUNTIF(Articles!B:B,Articles!#REF!)</f>
        <v>0</v>
      </c>
    </row>
    <row r="228" spans="2:2" x14ac:dyDescent="0.25">
      <c r="B228" s="8">
        <f>COUNTIF(Articles!B:B,Articles!#REF!)</f>
        <v>0</v>
      </c>
    </row>
    <row r="229" spans="2:2" x14ac:dyDescent="0.25">
      <c r="B229" s="8">
        <f>COUNTIF(Articles!B:B,Articles!#REF!)</f>
        <v>0</v>
      </c>
    </row>
    <row r="230" spans="2:2" x14ac:dyDescent="0.25">
      <c r="B230" s="8">
        <f>COUNTIF(Articles!B:B,Articles!#REF!)</f>
        <v>0</v>
      </c>
    </row>
    <row r="231" spans="2:2" x14ac:dyDescent="0.25">
      <c r="B231" s="8">
        <f>COUNTIF(Articles!B:B,Articles!#REF!)</f>
        <v>0</v>
      </c>
    </row>
    <row r="232" spans="2:2" x14ac:dyDescent="0.25">
      <c r="B232" s="8">
        <f>COUNTIF(Articles!B:B,Articles!#REF!)</f>
        <v>0</v>
      </c>
    </row>
    <row r="233" spans="2:2" x14ac:dyDescent="0.25">
      <c r="B233" s="8">
        <f>COUNTIF(Articles!B:B,Articles!#REF!)</f>
        <v>0</v>
      </c>
    </row>
    <row r="234" spans="2:2" x14ac:dyDescent="0.25">
      <c r="B234" s="8">
        <f>COUNTIF(Articles!B:B,Articles!#REF!)</f>
        <v>0</v>
      </c>
    </row>
    <row r="235" spans="2:2" x14ac:dyDescent="0.25">
      <c r="B235" s="8">
        <f>COUNTIF(Articles!B:B,Articles!#REF!)</f>
        <v>0</v>
      </c>
    </row>
    <row r="236" spans="2:2" x14ac:dyDescent="0.25">
      <c r="B236" s="8">
        <f>COUNTIF(Articles!B:B,Articles!#REF!)</f>
        <v>0</v>
      </c>
    </row>
    <row r="237" spans="2:2" x14ac:dyDescent="0.25">
      <c r="B237" s="8">
        <f>COUNTIF(Articles!B:B,Articles!#REF!)</f>
        <v>0</v>
      </c>
    </row>
    <row r="238" spans="2:2" x14ac:dyDescent="0.25">
      <c r="B238" s="8">
        <f>COUNTIF(Articles!B:B,Articles!#REF!)</f>
        <v>0</v>
      </c>
    </row>
    <row r="239" spans="2:2" x14ac:dyDescent="0.25">
      <c r="B239" s="8">
        <f>COUNTIF(Articles!B:B,Articles!#REF!)</f>
        <v>0</v>
      </c>
    </row>
    <row r="240" spans="2:2" x14ac:dyDescent="0.25">
      <c r="B240" s="8">
        <f>COUNTIF(Articles!B:B,Articles!#REF!)</f>
        <v>0</v>
      </c>
    </row>
    <row r="241" spans="2:2" x14ac:dyDescent="0.25">
      <c r="B241" s="8">
        <f>COUNTIF(Articles!B:B,Articles!#REF!)</f>
        <v>0</v>
      </c>
    </row>
    <row r="242" spans="2:2" x14ac:dyDescent="0.25">
      <c r="B242" s="8">
        <f>COUNTIF(Articles!B:B,Articles!#REF!)</f>
        <v>0</v>
      </c>
    </row>
    <row r="243" spans="2:2" x14ac:dyDescent="0.25">
      <c r="B243" s="8">
        <f>COUNTIF(Articles!B:B,Articles!#REF!)</f>
        <v>0</v>
      </c>
    </row>
    <row r="244" spans="2:2" x14ac:dyDescent="0.25">
      <c r="B244" s="8">
        <f>COUNTIF(Articles!B:B,Articles!#REF!)</f>
        <v>0</v>
      </c>
    </row>
    <row r="245" spans="2:2" x14ac:dyDescent="0.25">
      <c r="B245" s="8">
        <f>COUNTIF(Articles!B:B,Articles!#REF!)</f>
        <v>0</v>
      </c>
    </row>
    <row r="246" spans="2:2" x14ac:dyDescent="0.25">
      <c r="B246" s="8">
        <f>COUNTIF(Articles!B:B,Articles!#REF!)</f>
        <v>0</v>
      </c>
    </row>
    <row r="247" spans="2:2" x14ac:dyDescent="0.25">
      <c r="B247" s="8">
        <f>COUNTIF(Articles!B:B,Articles!#REF!)</f>
        <v>0</v>
      </c>
    </row>
    <row r="248" spans="2:2" x14ac:dyDescent="0.25">
      <c r="B248" s="8">
        <f>COUNTIF(Articles!B:B,Articles!#REF!)</f>
        <v>0</v>
      </c>
    </row>
    <row r="249" spans="2:2" x14ac:dyDescent="0.25">
      <c r="B249" s="8">
        <f>COUNTIF(Articles!B:B,Articles!#REF!)</f>
        <v>0</v>
      </c>
    </row>
    <row r="250" spans="2:2" x14ac:dyDescent="0.25">
      <c r="B250" s="8">
        <f>COUNTIF(Articles!B:B,Articles!#REF!)</f>
        <v>0</v>
      </c>
    </row>
    <row r="251" spans="2:2" x14ac:dyDescent="0.25">
      <c r="B251" s="8">
        <f>COUNTIF(Articles!B:B,Articles!#REF!)</f>
        <v>0</v>
      </c>
    </row>
    <row r="252" spans="2:2" x14ac:dyDescent="0.25">
      <c r="B252" s="8">
        <f>COUNTIF(Articles!B:B,Articles!#REF!)</f>
        <v>0</v>
      </c>
    </row>
    <row r="253" spans="2:2" x14ac:dyDescent="0.25">
      <c r="B253" s="8">
        <f>COUNTIF(Articles!B:B,Articles!#REF!)</f>
        <v>0</v>
      </c>
    </row>
    <row r="254" spans="2:2" x14ac:dyDescent="0.25">
      <c r="B254" s="8">
        <f>COUNTIF(Articles!B:B,Articles!#REF!)</f>
        <v>0</v>
      </c>
    </row>
    <row r="255" spans="2:2" x14ac:dyDescent="0.25">
      <c r="B255" s="8">
        <f>COUNTIF(Articles!B:B,Articles!#REF!)</f>
        <v>0</v>
      </c>
    </row>
  </sheetData>
  <mergeCells count="1">
    <mergeCell ref="A1:A6"/>
  </mergeCells>
  <conditionalFormatting sqref="B1">
    <cfRule type="containsText" dxfId="30" priority="1" stopIfTrue="1" operator="containsText" text="NOT OK">
      <formula>NOT(ISERROR(SEARCH("NOT OK",B1)))</formula>
    </cfRule>
    <cfRule type="containsText" dxfId="29" priority="2" stopIfTrue="1" operator="containsText" text="OK">
      <formula>NOT(ISERROR(SEARCH("OK",B1)))</formula>
    </cfRule>
  </conditionalFormatting>
  <conditionalFormatting sqref="B1:B1048576">
    <cfRule type="cellIs" dxfId="28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MergeArticles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3"/>
  <sheetViews>
    <sheetView zoomScaleNormal="10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32.5703125" style="3" bestFit="1" customWidth="1"/>
    <col min="2" max="2" width="26.85546875" style="3" bestFit="1" customWidth="1"/>
    <col min="3" max="3" width="22" style="4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7.140625" bestFit="1" customWidth="1"/>
  </cols>
  <sheetData>
    <row r="1" spans="1:10" ht="15.75" thickBot="1" x14ac:dyDescent="0.3">
      <c r="A1" s="1" t="s">
        <v>607</v>
      </c>
      <c r="B1" s="2" t="s">
        <v>1</v>
      </c>
      <c r="C1" s="2" t="s">
        <v>6</v>
      </c>
      <c r="D1" s="2" t="s">
        <v>4</v>
      </c>
      <c r="E1" s="2" t="s">
        <v>358</v>
      </c>
      <c r="F1" s="2" t="s">
        <v>2</v>
      </c>
      <c r="G1" s="2" t="s">
        <v>3</v>
      </c>
      <c r="H1" s="21" t="s">
        <v>8</v>
      </c>
      <c r="I1" s="2" t="s">
        <v>463</v>
      </c>
      <c r="J1" s="2" t="s">
        <v>580</v>
      </c>
    </row>
    <row r="2" spans="1:10" x14ac:dyDescent="0.25">
      <c r="A2" s="3" t="s">
        <v>367</v>
      </c>
      <c r="B2" s="3" t="s">
        <v>367</v>
      </c>
      <c r="C2" s="4" t="s">
        <v>368</v>
      </c>
      <c r="D2" s="4" t="s">
        <v>369</v>
      </c>
      <c r="E2" s="4" t="s">
        <v>359</v>
      </c>
      <c r="F2" s="4" t="s">
        <v>370</v>
      </c>
      <c r="G2" s="4">
        <v>1</v>
      </c>
      <c r="H2" s="5">
        <v>7.46</v>
      </c>
      <c r="I2" s="4">
        <v>1</v>
      </c>
      <c r="J2" s="4">
        <f>1</f>
        <v>1</v>
      </c>
    </row>
    <row r="3" spans="1:10" x14ac:dyDescent="0.25">
      <c r="A3" s="3" t="s">
        <v>372</v>
      </c>
      <c r="B3" s="3" t="s">
        <v>372</v>
      </c>
      <c r="C3" s="4" t="s">
        <v>373</v>
      </c>
      <c r="D3" s="4" t="s">
        <v>369</v>
      </c>
      <c r="E3" s="4" t="s">
        <v>359</v>
      </c>
      <c r="F3" s="4" t="s">
        <v>374</v>
      </c>
      <c r="G3" s="4">
        <v>1</v>
      </c>
      <c r="H3" s="5">
        <v>1.1619999999999999</v>
      </c>
      <c r="I3" s="4">
        <v>1</v>
      </c>
      <c r="J3" s="4">
        <f>1</f>
        <v>1</v>
      </c>
    </row>
    <row r="4" spans="1:10" x14ac:dyDescent="0.25">
      <c r="A4" s="3" t="s">
        <v>375</v>
      </c>
      <c r="B4" s="3" t="s">
        <v>375</v>
      </c>
      <c r="C4" s="4" t="s">
        <v>373</v>
      </c>
      <c r="D4" s="4" t="s">
        <v>369</v>
      </c>
      <c r="E4" s="4" t="s">
        <v>359</v>
      </c>
      <c r="F4" s="4" t="s">
        <v>376</v>
      </c>
      <c r="G4" s="4">
        <v>1</v>
      </c>
      <c r="H4" s="5">
        <v>1</v>
      </c>
      <c r="I4" s="4">
        <v>1</v>
      </c>
      <c r="J4" s="4">
        <f>1</f>
        <v>1</v>
      </c>
    </row>
    <row r="5" spans="1:10" x14ac:dyDescent="0.25">
      <c r="A5" s="3" t="s">
        <v>377</v>
      </c>
      <c r="B5" s="3" t="s">
        <v>377</v>
      </c>
      <c r="C5" s="4" t="s">
        <v>373</v>
      </c>
      <c r="D5" s="4" t="s">
        <v>369</v>
      </c>
      <c r="E5" s="4" t="s">
        <v>359</v>
      </c>
      <c r="F5" s="4" t="s">
        <v>378</v>
      </c>
      <c r="G5" s="4">
        <v>1</v>
      </c>
      <c r="H5" s="5">
        <v>4.5999999999999996</v>
      </c>
      <c r="I5" s="4">
        <v>1</v>
      </c>
      <c r="J5" s="4">
        <f>1</f>
        <v>1</v>
      </c>
    </row>
    <row r="6" spans="1:10" x14ac:dyDescent="0.25">
      <c r="A6" s="3" t="s">
        <v>429</v>
      </c>
      <c r="B6" s="3" t="s">
        <v>595</v>
      </c>
      <c r="C6" s="4" t="s">
        <v>430</v>
      </c>
      <c r="D6" s="4" t="s">
        <v>369</v>
      </c>
      <c r="E6" s="4" t="s">
        <v>359</v>
      </c>
      <c r="F6" s="4" t="s">
        <v>431</v>
      </c>
      <c r="G6" s="4">
        <v>5</v>
      </c>
      <c r="H6" s="5">
        <v>0.127</v>
      </c>
      <c r="I6" s="4">
        <v>2</v>
      </c>
      <c r="J6" s="4">
        <f>1</f>
        <v>1</v>
      </c>
    </row>
    <row r="7" spans="1:10" x14ac:dyDescent="0.25">
      <c r="A7" s="3" t="s">
        <v>429</v>
      </c>
      <c r="B7" s="3" t="s">
        <v>596</v>
      </c>
      <c r="C7" s="4" t="s">
        <v>430</v>
      </c>
      <c r="D7" s="4" t="s">
        <v>369</v>
      </c>
      <c r="E7" s="4" t="s">
        <v>359</v>
      </c>
      <c r="F7" s="4" t="s">
        <v>432</v>
      </c>
      <c r="G7" s="4">
        <v>5</v>
      </c>
      <c r="H7" s="5">
        <v>0.127</v>
      </c>
      <c r="I7" s="4">
        <v>2</v>
      </c>
      <c r="J7" s="4">
        <f>1</f>
        <v>1</v>
      </c>
    </row>
    <row r="8" spans="1:10" x14ac:dyDescent="0.25">
      <c r="A8" s="3" t="s">
        <v>203</v>
      </c>
      <c r="B8" s="3">
        <v>90990</v>
      </c>
      <c r="C8" s="4" t="s">
        <v>65</v>
      </c>
      <c r="D8" s="4" t="s">
        <v>88</v>
      </c>
      <c r="E8" s="4" t="s">
        <v>359</v>
      </c>
      <c r="F8" s="4" t="s">
        <v>401</v>
      </c>
      <c r="G8" s="4">
        <v>1</v>
      </c>
      <c r="H8" s="5">
        <v>13.1</v>
      </c>
      <c r="I8" s="4">
        <v>1</v>
      </c>
      <c r="J8" s="4">
        <f>1</f>
        <v>1</v>
      </c>
    </row>
    <row r="9" spans="1:10" x14ac:dyDescent="0.25">
      <c r="A9" s="3">
        <v>912951</v>
      </c>
      <c r="B9" s="3">
        <v>912951</v>
      </c>
      <c r="C9" s="4" t="s">
        <v>65</v>
      </c>
      <c r="D9" s="4" t="s">
        <v>88</v>
      </c>
      <c r="E9" s="4" t="s">
        <v>359</v>
      </c>
      <c r="F9" s="4" t="s">
        <v>85</v>
      </c>
      <c r="G9" s="4">
        <v>1</v>
      </c>
      <c r="H9" s="5">
        <v>3.43</v>
      </c>
      <c r="I9" s="4">
        <v>1</v>
      </c>
      <c r="J9" s="4">
        <f>1</f>
        <v>1</v>
      </c>
    </row>
    <row r="10" spans="1:10" x14ac:dyDescent="0.25">
      <c r="A10" s="3">
        <v>965083</v>
      </c>
      <c r="B10" s="3">
        <v>965083</v>
      </c>
      <c r="C10" s="4" t="s">
        <v>65</v>
      </c>
      <c r="D10" s="4" t="s">
        <v>88</v>
      </c>
      <c r="E10" s="4" t="s">
        <v>359</v>
      </c>
      <c r="F10" s="4" t="s">
        <v>87</v>
      </c>
      <c r="G10" s="4">
        <v>2</v>
      </c>
      <c r="H10" s="5">
        <v>3.18</v>
      </c>
      <c r="I10" s="4">
        <v>1</v>
      </c>
      <c r="J10" s="4">
        <f>1</f>
        <v>1</v>
      </c>
    </row>
    <row r="11" spans="1:10" x14ac:dyDescent="0.25">
      <c r="A11" s="3">
        <v>1004068</v>
      </c>
      <c r="B11" s="3">
        <v>1004068</v>
      </c>
      <c r="C11" s="4" t="s">
        <v>65</v>
      </c>
      <c r="D11" s="4" t="s">
        <v>88</v>
      </c>
      <c r="E11" s="4" t="s">
        <v>359</v>
      </c>
      <c r="F11" s="4" t="s">
        <v>83</v>
      </c>
      <c r="G11" s="4">
        <v>2</v>
      </c>
      <c r="H11" s="5">
        <v>3.49</v>
      </c>
      <c r="I11" s="4">
        <v>1</v>
      </c>
      <c r="J11" s="4">
        <f>1</f>
        <v>1</v>
      </c>
    </row>
    <row r="12" spans="1:10" x14ac:dyDescent="0.25">
      <c r="A12" s="3">
        <v>1181876</v>
      </c>
      <c r="B12" s="3">
        <v>1181876</v>
      </c>
      <c r="C12" s="4" t="s">
        <v>65</v>
      </c>
      <c r="D12" s="4" t="s">
        <v>88</v>
      </c>
      <c r="E12" s="4" t="s">
        <v>359</v>
      </c>
      <c r="F12" s="4" t="s">
        <v>86</v>
      </c>
      <c r="G12" s="4">
        <v>9</v>
      </c>
      <c r="H12" s="5">
        <v>3.79</v>
      </c>
      <c r="I12" s="4">
        <v>2</v>
      </c>
      <c r="J12" s="4">
        <f>1</f>
        <v>1</v>
      </c>
    </row>
    <row r="13" spans="1:10" x14ac:dyDescent="0.25">
      <c r="A13" s="3" t="s">
        <v>348</v>
      </c>
      <c r="B13" s="3" t="s">
        <v>349</v>
      </c>
      <c r="C13" s="4" t="s">
        <v>350</v>
      </c>
      <c r="D13" s="4" t="s">
        <v>351</v>
      </c>
      <c r="E13" s="4" t="s">
        <v>359</v>
      </c>
      <c r="F13" s="4" t="s">
        <v>352</v>
      </c>
      <c r="G13" s="4">
        <v>0</v>
      </c>
      <c r="H13" s="5">
        <v>0.31</v>
      </c>
      <c r="I13" s="4">
        <f>5</f>
        <v>5</v>
      </c>
      <c r="J13" s="4">
        <v>1</v>
      </c>
    </row>
    <row r="14" spans="1:10" x14ac:dyDescent="0.25">
      <c r="A14" s="3" t="s">
        <v>353</v>
      </c>
      <c r="B14" s="3" t="s">
        <v>354</v>
      </c>
      <c r="C14" s="4" t="s">
        <v>355</v>
      </c>
      <c r="D14" s="4" t="s">
        <v>351</v>
      </c>
      <c r="E14" s="4" t="s">
        <v>359</v>
      </c>
      <c r="F14" s="4" t="s">
        <v>356</v>
      </c>
      <c r="G14" s="4">
        <v>1</v>
      </c>
      <c r="H14" s="5">
        <v>399.95</v>
      </c>
      <c r="I14" s="4">
        <f>5</f>
        <v>5</v>
      </c>
      <c r="J14" s="4">
        <f>1</f>
        <v>1</v>
      </c>
    </row>
    <row r="15" spans="1:10" x14ac:dyDescent="0.25">
      <c r="A15" s="3" t="s">
        <v>155</v>
      </c>
      <c r="B15" s="4" t="s">
        <v>156</v>
      </c>
      <c r="C15" s="4" t="s">
        <v>162</v>
      </c>
      <c r="D15" s="4" t="s">
        <v>82</v>
      </c>
      <c r="E15" s="4" t="s">
        <v>359</v>
      </c>
      <c r="F15" s="4" t="s">
        <v>157</v>
      </c>
      <c r="G15" s="4">
        <v>10</v>
      </c>
      <c r="H15" s="5">
        <v>0.66500000000000004</v>
      </c>
      <c r="I15" s="4">
        <f>5</f>
        <v>5</v>
      </c>
      <c r="J15" s="4">
        <f>1</f>
        <v>1</v>
      </c>
    </row>
    <row r="16" spans="1:10" x14ac:dyDescent="0.25">
      <c r="A16" s="3" t="s">
        <v>67</v>
      </c>
      <c r="B16" s="4" t="s">
        <v>139</v>
      </c>
      <c r="C16" s="4" t="s">
        <v>69</v>
      </c>
      <c r="D16" s="4" t="s">
        <v>82</v>
      </c>
      <c r="E16" s="4" t="s">
        <v>422</v>
      </c>
      <c r="F16" s="4" t="s">
        <v>68</v>
      </c>
      <c r="G16" s="4">
        <v>1</v>
      </c>
      <c r="H16" s="5">
        <v>4.88</v>
      </c>
      <c r="I16" s="4">
        <f>5</f>
        <v>5</v>
      </c>
      <c r="J16" s="4">
        <f>1</f>
        <v>1</v>
      </c>
    </row>
    <row r="17" spans="1:10" x14ac:dyDescent="0.25">
      <c r="A17" s="3" t="s">
        <v>140</v>
      </c>
      <c r="B17" s="4" t="s">
        <v>141</v>
      </c>
      <c r="C17" s="4" t="s">
        <v>160</v>
      </c>
      <c r="D17" s="4" t="s">
        <v>82</v>
      </c>
      <c r="E17" s="4" t="s">
        <v>359</v>
      </c>
      <c r="F17" s="4" t="s">
        <v>142</v>
      </c>
      <c r="G17" s="4">
        <v>5</v>
      </c>
      <c r="H17" s="5">
        <v>0.45</v>
      </c>
      <c r="I17" s="4">
        <f>5</f>
        <v>5</v>
      </c>
      <c r="J17" s="4">
        <f>1</f>
        <v>1</v>
      </c>
    </row>
    <row r="18" spans="1:10" x14ac:dyDescent="0.25">
      <c r="A18" s="3" t="s">
        <v>74</v>
      </c>
      <c r="B18" s="4" t="s">
        <v>77</v>
      </c>
      <c r="C18" s="4" t="s">
        <v>76</v>
      </c>
      <c r="D18" s="4" t="s">
        <v>82</v>
      </c>
      <c r="E18" s="4" t="s">
        <v>359</v>
      </c>
      <c r="F18" s="4" t="s">
        <v>75</v>
      </c>
      <c r="G18" s="4">
        <v>1</v>
      </c>
      <c r="H18" s="5">
        <v>2.98</v>
      </c>
      <c r="I18" s="4">
        <f>5</f>
        <v>5</v>
      </c>
      <c r="J18" s="4">
        <f>1</f>
        <v>1</v>
      </c>
    </row>
    <row r="19" spans="1:10" x14ac:dyDescent="0.25">
      <c r="A19" s="3" t="s">
        <v>70</v>
      </c>
      <c r="B19" s="4" t="s">
        <v>73</v>
      </c>
      <c r="C19" s="4" t="s">
        <v>72</v>
      </c>
      <c r="D19" s="4" t="s">
        <v>82</v>
      </c>
      <c r="E19" s="4" t="s">
        <v>359</v>
      </c>
      <c r="F19" s="4" t="s">
        <v>71</v>
      </c>
      <c r="G19" s="4">
        <v>3</v>
      </c>
      <c r="H19" s="5">
        <v>1.07</v>
      </c>
      <c r="I19" s="4">
        <f>5</f>
        <v>5</v>
      </c>
      <c r="J19" s="4">
        <f>1</f>
        <v>1</v>
      </c>
    </row>
    <row r="20" spans="1:10" x14ac:dyDescent="0.25">
      <c r="A20" s="3" t="s">
        <v>152</v>
      </c>
      <c r="B20" s="4" t="s">
        <v>153</v>
      </c>
      <c r="C20" s="4" t="s">
        <v>80</v>
      </c>
      <c r="D20" s="4" t="s">
        <v>82</v>
      </c>
      <c r="E20" s="4" t="s">
        <v>359</v>
      </c>
      <c r="F20" s="4" t="s">
        <v>154</v>
      </c>
      <c r="G20" s="4">
        <v>3</v>
      </c>
      <c r="H20" s="5">
        <v>1.53</v>
      </c>
      <c r="I20" s="4">
        <f>5</f>
        <v>5</v>
      </c>
      <c r="J20" s="4">
        <f>1</f>
        <v>1</v>
      </c>
    </row>
    <row r="21" spans="1:10" x14ac:dyDescent="0.25">
      <c r="A21" s="3" t="s">
        <v>78</v>
      </c>
      <c r="B21" s="4" t="s">
        <v>81</v>
      </c>
      <c r="C21" s="4" t="s">
        <v>80</v>
      </c>
      <c r="D21" s="4" t="s">
        <v>82</v>
      </c>
      <c r="E21" s="4" t="s">
        <v>359</v>
      </c>
      <c r="F21" s="4" t="s">
        <v>79</v>
      </c>
      <c r="G21" s="4">
        <v>2</v>
      </c>
      <c r="H21" s="5">
        <v>1.57</v>
      </c>
      <c r="I21" s="4">
        <f>5</f>
        <v>5</v>
      </c>
      <c r="J21" s="4">
        <f>1</f>
        <v>1</v>
      </c>
    </row>
    <row r="22" spans="1:10" x14ac:dyDescent="0.25">
      <c r="A22" s="3" t="s">
        <v>146</v>
      </c>
      <c r="B22" s="4" t="s">
        <v>147</v>
      </c>
      <c r="C22" s="4" t="s">
        <v>80</v>
      </c>
      <c r="D22" s="4" t="s">
        <v>82</v>
      </c>
      <c r="E22" s="4" t="s">
        <v>419</v>
      </c>
      <c r="F22" s="4" t="s">
        <v>148</v>
      </c>
      <c r="G22" s="4">
        <v>3</v>
      </c>
      <c r="H22" s="5">
        <v>1.47</v>
      </c>
      <c r="I22" s="4">
        <f>5</f>
        <v>5</v>
      </c>
      <c r="J22" s="4">
        <f>1</f>
        <v>1</v>
      </c>
    </row>
    <row r="23" spans="1:10" x14ac:dyDescent="0.25">
      <c r="A23" s="3" t="s">
        <v>149</v>
      </c>
      <c r="B23" s="4" t="s">
        <v>150</v>
      </c>
      <c r="C23" s="4" t="s">
        <v>80</v>
      </c>
      <c r="D23" s="4" t="s">
        <v>82</v>
      </c>
      <c r="E23" s="4" t="s">
        <v>418</v>
      </c>
      <c r="F23" s="4" t="s">
        <v>151</v>
      </c>
      <c r="G23" s="4">
        <v>3</v>
      </c>
      <c r="H23" s="5">
        <v>1.43</v>
      </c>
      <c r="I23" s="4">
        <f>5</f>
        <v>5</v>
      </c>
      <c r="J23" s="4">
        <f>1</f>
        <v>1</v>
      </c>
    </row>
    <row r="24" spans="1:10" x14ac:dyDescent="0.25">
      <c r="A24" s="3" t="s">
        <v>64</v>
      </c>
      <c r="B24" s="4" t="s">
        <v>158</v>
      </c>
      <c r="C24" s="4" t="s">
        <v>95</v>
      </c>
      <c r="D24" s="4" t="s">
        <v>82</v>
      </c>
      <c r="E24" s="4" t="s">
        <v>359</v>
      </c>
      <c r="F24" s="4" t="s">
        <v>66</v>
      </c>
      <c r="G24" s="4">
        <v>1</v>
      </c>
      <c r="H24" s="5">
        <v>15.9</v>
      </c>
      <c r="I24" s="4">
        <f>5</f>
        <v>5</v>
      </c>
      <c r="J24" s="4">
        <f>1</f>
        <v>1</v>
      </c>
    </row>
    <row r="25" spans="1:10" x14ac:dyDescent="0.25">
      <c r="A25" s="3" t="s">
        <v>143</v>
      </c>
      <c r="B25" s="4" t="s">
        <v>144</v>
      </c>
      <c r="C25" s="4" t="s">
        <v>161</v>
      </c>
      <c r="D25" s="4" t="s">
        <v>82</v>
      </c>
      <c r="E25" s="4" t="s">
        <v>359</v>
      </c>
      <c r="F25" s="4" t="s">
        <v>145</v>
      </c>
      <c r="G25" s="4">
        <v>2</v>
      </c>
      <c r="H25" s="5">
        <v>2.52</v>
      </c>
      <c r="I25" s="4">
        <f>5</f>
        <v>5</v>
      </c>
      <c r="J25" s="4">
        <f>1</f>
        <v>1</v>
      </c>
    </row>
    <row r="26" spans="1:10" x14ac:dyDescent="0.25">
      <c r="A26" s="3" t="s">
        <v>180</v>
      </c>
      <c r="B26" s="3" t="s">
        <v>181</v>
      </c>
      <c r="C26" s="4" t="s">
        <v>179</v>
      </c>
      <c r="D26" s="4" t="s">
        <v>82</v>
      </c>
      <c r="E26" s="4" t="s">
        <v>359</v>
      </c>
      <c r="F26" s="4" t="s">
        <v>182</v>
      </c>
      <c r="G26" s="4">
        <v>4</v>
      </c>
      <c r="H26" s="5">
        <v>1.82</v>
      </c>
      <c r="I26" s="4">
        <f>5</f>
        <v>5</v>
      </c>
      <c r="J26" s="4">
        <f>1</f>
        <v>1</v>
      </c>
    </row>
    <row r="27" spans="1:10" x14ac:dyDescent="0.25">
      <c r="A27" s="3" t="s">
        <v>183</v>
      </c>
      <c r="B27" s="3" t="s">
        <v>184</v>
      </c>
      <c r="C27" s="4" t="s">
        <v>179</v>
      </c>
      <c r="D27" s="4" t="s">
        <v>82</v>
      </c>
      <c r="E27" s="4" t="s">
        <v>359</v>
      </c>
      <c r="F27" s="4" t="s">
        <v>185</v>
      </c>
      <c r="G27" s="4">
        <v>1</v>
      </c>
      <c r="H27" s="5">
        <v>0.8</v>
      </c>
      <c r="I27" s="4">
        <f>5</f>
        <v>5</v>
      </c>
      <c r="J27" s="4">
        <f>1</f>
        <v>1</v>
      </c>
    </row>
    <row r="28" spans="1:10" x14ac:dyDescent="0.25">
      <c r="A28" s="3" t="s">
        <v>186</v>
      </c>
      <c r="B28" s="3" t="s">
        <v>187</v>
      </c>
      <c r="C28" s="4" t="s">
        <v>179</v>
      </c>
      <c r="D28" s="4" t="s">
        <v>82</v>
      </c>
      <c r="E28" s="4" t="s">
        <v>359</v>
      </c>
      <c r="F28" s="4" t="s">
        <v>188</v>
      </c>
      <c r="G28" s="4">
        <v>2</v>
      </c>
      <c r="H28" s="5">
        <v>1.06</v>
      </c>
      <c r="I28" s="4">
        <f>5</f>
        <v>5</v>
      </c>
      <c r="J28" s="4">
        <f>1</f>
        <v>1</v>
      </c>
    </row>
    <row r="29" spans="1:10" x14ac:dyDescent="0.25">
      <c r="A29" s="3" t="s">
        <v>189</v>
      </c>
      <c r="B29" s="3" t="s">
        <v>190</v>
      </c>
      <c r="C29" s="4" t="s">
        <v>179</v>
      </c>
      <c r="D29" s="4" t="s">
        <v>82</v>
      </c>
      <c r="E29" s="4" t="s">
        <v>359</v>
      </c>
      <c r="F29" s="4" t="s">
        <v>191</v>
      </c>
      <c r="G29" s="4">
        <v>99</v>
      </c>
      <c r="H29" s="5">
        <v>1.95E-2</v>
      </c>
      <c r="I29" s="4">
        <f>5</f>
        <v>5</v>
      </c>
      <c r="J29" s="4">
        <f>1</f>
        <v>1</v>
      </c>
    </row>
    <row r="30" spans="1:10" x14ac:dyDescent="0.25">
      <c r="A30" s="3" t="s">
        <v>192</v>
      </c>
      <c r="B30" s="3" t="s">
        <v>193</v>
      </c>
      <c r="C30" s="4" t="s">
        <v>179</v>
      </c>
      <c r="D30" s="4" t="s">
        <v>82</v>
      </c>
      <c r="E30" s="4" t="s">
        <v>359</v>
      </c>
      <c r="F30" s="4" t="s">
        <v>194</v>
      </c>
      <c r="G30" s="4">
        <v>1</v>
      </c>
      <c r="H30" s="5">
        <v>1.82</v>
      </c>
      <c r="I30" s="4">
        <f>5</f>
        <v>5</v>
      </c>
      <c r="J30" s="4">
        <f>1</f>
        <v>1</v>
      </c>
    </row>
    <row r="31" spans="1:10" x14ac:dyDescent="0.25">
      <c r="A31" s="3" t="s">
        <v>195</v>
      </c>
      <c r="B31" s="3" t="s">
        <v>196</v>
      </c>
      <c r="C31" s="4" t="s">
        <v>179</v>
      </c>
      <c r="D31" s="4" t="s">
        <v>82</v>
      </c>
      <c r="E31" s="4" t="s">
        <v>359</v>
      </c>
      <c r="F31" s="4" t="s">
        <v>197</v>
      </c>
      <c r="G31" s="4">
        <v>2</v>
      </c>
      <c r="H31" s="5">
        <v>2.64</v>
      </c>
      <c r="I31" s="4">
        <f>5</f>
        <v>5</v>
      </c>
      <c r="J31" s="4">
        <f>1</f>
        <v>1</v>
      </c>
    </row>
    <row r="32" spans="1:10" x14ac:dyDescent="0.25">
      <c r="A32" s="3" t="s">
        <v>198</v>
      </c>
      <c r="B32" s="3" t="s">
        <v>199</v>
      </c>
      <c r="C32" s="4" t="s">
        <v>179</v>
      </c>
      <c r="D32" s="4" t="s">
        <v>82</v>
      </c>
      <c r="E32" s="4" t="s">
        <v>359</v>
      </c>
      <c r="F32" s="4" t="s">
        <v>200</v>
      </c>
      <c r="G32" s="4">
        <v>1</v>
      </c>
      <c r="H32" s="5">
        <v>15.95</v>
      </c>
      <c r="I32" s="4">
        <f>5</f>
        <v>5</v>
      </c>
      <c r="J32" s="4">
        <f>1</f>
        <v>1</v>
      </c>
    </row>
    <row r="33" spans="1:10" x14ac:dyDescent="0.25">
      <c r="A33" s="3" t="s">
        <v>221</v>
      </c>
      <c r="B33" s="3" t="s">
        <v>219</v>
      </c>
      <c r="C33" s="4" t="s">
        <v>222</v>
      </c>
      <c r="D33" s="4" t="s">
        <v>82</v>
      </c>
      <c r="E33" s="4" t="s">
        <v>421</v>
      </c>
      <c r="F33" s="4" t="s">
        <v>220</v>
      </c>
      <c r="G33" s="4">
        <v>4</v>
      </c>
      <c r="H33" s="5">
        <v>2.64</v>
      </c>
      <c r="I33" s="4">
        <f>5</f>
        <v>5</v>
      </c>
      <c r="J33" s="4">
        <f>1</f>
        <v>1</v>
      </c>
    </row>
    <row r="34" spans="1:10" x14ac:dyDescent="0.25">
      <c r="A34" s="3" t="s">
        <v>223</v>
      </c>
      <c r="B34" s="3" t="s">
        <v>218</v>
      </c>
      <c r="C34" s="4" t="s">
        <v>80</v>
      </c>
      <c r="D34" s="4" t="s">
        <v>82</v>
      </c>
      <c r="E34" s="4" t="s">
        <v>420</v>
      </c>
      <c r="F34" s="4" t="s">
        <v>217</v>
      </c>
      <c r="G34" s="4">
        <v>4</v>
      </c>
      <c r="H34" s="5">
        <v>0.92</v>
      </c>
      <c r="I34" s="4">
        <f>5</f>
        <v>5</v>
      </c>
      <c r="J34" s="4">
        <f>1</f>
        <v>1</v>
      </c>
    </row>
    <row r="35" spans="1:10" x14ac:dyDescent="0.25">
      <c r="A35" s="3" t="s">
        <v>226</v>
      </c>
      <c r="B35" s="3" t="s">
        <v>224</v>
      </c>
      <c r="C35" s="4" t="s">
        <v>80</v>
      </c>
      <c r="D35" s="4" t="s">
        <v>82</v>
      </c>
      <c r="E35" s="4" t="s">
        <v>417</v>
      </c>
      <c r="F35" s="4" t="s">
        <v>225</v>
      </c>
      <c r="G35" s="4">
        <v>24</v>
      </c>
      <c r="H35" s="5">
        <v>0.11</v>
      </c>
      <c r="I35" s="4">
        <f>5</f>
        <v>5</v>
      </c>
      <c r="J35" s="4">
        <f>1</f>
        <v>1</v>
      </c>
    </row>
    <row r="36" spans="1:10" x14ac:dyDescent="0.25">
      <c r="A36" s="3" t="s">
        <v>227</v>
      </c>
      <c r="B36" s="3" t="s">
        <v>228</v>
      </c>
      <c r="C36" s="4" t="s">
        <v>229</v>
      </c>
      <c r="D36" s="4" t="s">
        <v>82</v>
      </c>
      <c r="E36" s="4" t="s">
        <v>359</v>
      </c>
      <c r="F36" s="4" t="s">
        <v>230</v>
      </c>
      <c r="G36" s="4">
        <v>4</v>
      </c>
      <c r="H36" s="5">
        <v>1.21</v>
      </c>
      <c r="I36" s="4">
        <f>5</f>
        <v>5</v>
      </c>
      <c r="J36" s="4">
        <f>1</f>
        <v>1</v>
      </c>
    </row>
    <row r="37" spans="1:10" x14ac:dyDescent="0.25">
      <c r="A37" s="3" t="s">
        <v>231</v>
      </c>
      <c r="B37" s="3" t="s">
        <v>232</v>
      </c>
      <c r="C37" s="4" t="s">
        <v>160</v>
      </c>
      <c r="D37" s="4" t="s">
        <v>82</v>
      </c>
      <c r="E37" s="4" t="s">
        <v>426</v>
      </c>
      <c r="F37" s="4" t="s">
        <v>233</v>
      </c>
      <c r="G37" s="4">
        <v>9</v>
      </c>
      <c r="H37" s="5">
        <v>0.14000000000000001</v>
      </c>
      <c r="I37" s="4">
        <f>5</f>
        <v>5</v>
      </c>
      <c r="J37" s="4">
        <f>1</f>
        <v>1</v>
      </c>
    </row>
    <row r="38" spans="1:10" x14ac:dyDescent="0.25">
      <c r="A38" s="3" t="s">
        <v>234</v>
      </c>
      <c r="B38" s="3" t="s">
        <v>234</v>
      </c>
      <c r="C38" s="4" t="s">
        <v>161</v>
      </c>
      <c r="D38" s="4" t="s">
        <v>82</v>
      </c>
      <c r="E38" s="4" t="s">
        <v>425</v>
      </c>
      <c r="F38" s="4" t="s">
        <v>235</v>
      </c>
      <c r="G38" s="4">
        <v>9</v>
      </c>
      <c r="H38" s="5">
        <v>0.52</v>
      </c>
      <c r="I38" s="4">
        <f>5</f>
        <v>5</v>
      </c>
      <c r="J38" s="4">
        <f>1</f>
        <v>1</v>
      </c>
    </row>
    <row r="39" spans="1:10" x14ac:dyDescent="0.25">
      <c r="A39" s="3" t="s">
        <v>236</v>
      </c>
      <c r="B39" s="3" t="s">
        <v>237</v>
      </c>
      <c r="C39" s="4" t="s">
        <v>238</v>
      </c>
      <c r="D39" s="4" t="s">
        <v>82</v>
      </c>
      <c r="E39" s="4" t="s">
        <v>359</v>
      </c>
      <c r="F39" s="4" t="s">
        <v>239</v>
      </c>
      <c r="G39" s="4">
        <v>4</v>
      </c>
      <c r="H39" s="5">
        <v>1.39</v>
      </c>
      <c r="I39" s="4">
        <f>5</f>
        <v>5</v>
      </c>
      <c r="J39" s="4">
        <f>1</f>
        <v>1</v>
      </c>
    </row>
    <row r="40" spans="1:10" x14ac:dyDescent="0.25">
      <c r="A40" s="3" t="s">
        <v>240</v>
      </c>
      <c r="B40" s="3" t="s">
        <v>241</v>
      </c>
      <c r="C40" s="4" t="s">
        <v>242</v>
      </c>
      <c r="D40" s="4" t="s">
        <v>82</v>
      </c>
      <c r="E40" s="4" t="s">
        <v>359</v>
      </c>
      <c r="F40" s="4" t="s">
        <v>243</v>
      </c>
      <c r="G40" s="4">
        <v>4</v>
      </c>
      <c r="H40" s="5">
        <v>0.85</v>
      </c>
      <c r="I40" s="4">
        <f>5</f>
        <v>5</v>
      </c>
      <c r="J40" s="4">
        <f>1</f>
        <v>1</v>
      </c>
    </row>
    <row r="41" spans="1:10" x14ac:dyDescent="0.25">
      <c r="A41" s="3" t="s">
        <v>244</v>
      </c>
      <c r="B41" s="3" t="s">
        <v>245</v>
      </c>
      <c r="C41" s="4" t="s">
        <v>246</v>
      </c>
      <c r="D41" s="4" t="s">
        <v>82</v>
      </c>
      <c r="E41" s="4" t="s">
        <v>359</v>
      </c>
      <c r="F41" s="4" t="s">
        <v>247</v>
      </c>
      <c r="G41" s="4">
        <v>17</v>
      </c>
      <c r="H41" s="5">
        <v>0.27</v>
      </c>
      <c r="I41" s="4">
        <f>5</f>
        <v>5</v>
      </c>
      <c r="J41" s="4">
        <f>1</f>
        <v>1</v>
      </c>
    </row>
    <row r="42" spans="1:10" x14ac:dyDescent="0.25">
      <c r="A42" s="3" t="s">
        <v>248</v>
      </c>
      <c r="B42" s="3" t="s">
        <v>249</v>
      </c>
      <c r="C42" s="4" t="s">
        <v>250</v>
      </c>
      <c r="D42" s="4" t="s">
        <v>82</v>
      </c>
      <c r="E42" s="4" t="s">
        <v>359</v>
      </c>
      <c r="F42" s="4" t="s">
        <v>251</v>
      </c>
      <c r="G42" s="4">
        <v>99</v>
      </c>
      <c r="H42" s="5">
        <v>8.1000000000000003E-2</v>
      </c>
      <c r="I42" s="4">
        <f>5</f>
        <v>5</v>
      </c>
      <c r="J42" s="4">
        <f>1</f>
        <v>1</v>
      </c>
    </row>
    <row r="43" spans="1:10" x14ac:dyDescent="0.25">
      <c r="A43" s="3" t="s">
        <v>252</v>
      </c>
      <c r="B43" s="3" t="s">
        <v>253</v>
      </c>
      <c r="C43" s="4" t="s">
        <v>254</v>
      </c>
      <c r="D43" s="4" t="s">
        <v>82</v>
      </c>
      <c r="E43" s="4" t="s">
        <v>359</v>
      </c>
      <c r="F43" s="4" t="s">
        <v>255</v>
      </c>
      <c r="G43" s="4">
        <v>99</v>
      </c>
      <c r="H43" s="5">
        <v>4.8000000000000001E-2</v>
      </c>
      <c r="I43" s="4">
        <f>5</f>
        <v>5</v>
      </c>
      <c r="J43" s="4">
        <f>1</f>
        <v>1</v>
      </c>
    </row>
    <row r="44" spans="1:10" x14ac:dyDescent="0.25">
      <c r="A44" s="3" t="s">
        <v>265</v>
      </c>
      <c r="B44" s="3" t="s">
        <v>597</v>
      </c>
      <c r="C44" s="4" t="s">
        <v>262</v>
      </c>
      <c r="D44" s="4" t="s">
        <v>82</v>
      </c>
      <c r="E44" s="4" t="s">
        <v>359</v>
      </c>
      <c r="F44" s="4" t="s">
        <v>266</v>
      </c>
      <c r="G44" s="4">
        <v>3</v>
      </c>
      <c r="H44" s="5">
        <v>0.31</v>
      </c>
      <c r="I44" s="4">
        <f>5</f>
        <v>5</v>
      </c>
      <c r="J44" s="4">
        <f>1</f>
        <v>1</v>
      </c>
    </row>
    <row r="45" spans="1:10" x14ac:dyDescent="0.25">
      <c r="A45" s="3" t="s">
        <v>267</v>
      </c>
      <c r="B45" s="3" t="s">
        <v>598</v>
      </c>
      <c r="C45" s="4" t="s">
        <v>262</v>
      </c>
      <c r="D45" s="4" t="s">
        <v>82</v>
      </c>
      <c r="E45" s="4" t="s">
        <v>359</v>
      </c>
      <c r="F45" s="4" t="s">
        <v>268</v>
      </c>
      <c r="G45" s="4">
        <v>1</v>
      </c>
      <c r="H45" s="5">
        <v>0.93</v>
      </c>
      <c r="I45" s="4">
        <f>5</f>
        <v>5</v>
      </c>
      <c r="J45" s="4">
        <f>1</f>
        <v>1</v>
      </c>
    </row>
    <row r="46" spans="1:10" x14ac:dyDescent="0.25">
      <c r="A46" s="3" t="s">
        <v>269</v>
      </c>
      <c r="B46" s="3" t="s">
        <v>599</v>
      </c>
      <c r="C46" s="4" t="s">
        <v>262</v>
      </c>
      <c r="D46" s="4" t="s">
        <v>82</v>
      </c>
      <c r="E46" s="4" t="s">
        <v>359</v>
      </c>
      <c r="F46" s="4" t="s">
        <v>270</v>
      </c>
      <c r="G46" s="4">
        <v>1</v>
      </c>
      <c r="H46" s="5">
        <v>0.72</v>
      </c>
      <c r="I46" s="4">
        <f>5</f>
        <v>5</v>
      </c>
      <c r="J46" s="4">
        <f>1</f>
        <v>1</v>
      </c>
    </row>
    <row r="47" spans="1:10" x14ac:dyDescent="0.25">
      <c r="A47" s="3" t="s">
        <v>271</v>
      </c>
      <c r="B47" s="3">
        <v>860021374008</v>
      </c>
      <c r="C47" s="4" t="s">
        <v>262</v>
      </c>
      <c r="D47" s="4" t="s">
        <v>82</v>
      </c>
      <c r="E47" s="4" t="s">
        <v>359</v>
      </c>
      <c r="F47" s="4" t="s">
        <v>272</v>
      </c>
      <c r="G47" s="4">
        <v>4</v>
      </c>
      <c r="H47" s="5">
        <v>0.43</v>
      </c>
      <c r="I47" s="4">
        <f>5</f>
        <v>5</v>
      </c>
      <c r="J47" s="4">
        <f>1</f>
        <v>1</v>
      </c>
    </row>
    <row r="48" spans="1:10" x14ac:dyDescent="0.25">
      <c r="A48" s="3" t="s">
        <v>273</v>
      </c>
      <c r="B48" s="3" t="s">
        <v>600</v>
      </c>
      <c r="C48" s="4" t="s">
        <v>262</v>
      </c>
      <c r="D48" s="4" t="s">
        <v>82</v>
      </c>
      <c r="E48" s="4" t="s">
        <v>359</v>
      </c>
      <c r="F48" s="4" t="s">
        <v>274</v>
      </c>
      <c r="G48" s="4">
        <v>3</v>
      </c>
      <c r="H48" s="5">
        <v>0.48</v>
      </c>
      <c r="I48" s="4">
        <f>5</f>
        <v>5</v>
      </c>
      <c r="J48" s="4">
        <f>1</f>
        <v>1</v>
      </c>
    </row>
    <row r="49" spans="1:10" x14ac:dyDescent="0.25">
      <c r="A49" s="3" t="s">
        <v>292</v>
      </c>
      <c r="B49" s="3" t="s">
        <v>601</v>
      </c>
      <c r="C49" s="4" t="s">
        <v>293</v>
      </c>
      <c r="D49" s="4" t="s">
        <v>82</v>
      </c>
      <c r="E49" s="4" t="s">
        <v>359</v>
      </c>
      <c r="F49" s="4" t="s">
        <v>294</v>
      </c>
      <c r="G49" s="4">
        <v>0</v>
      </c>
      <c r="H49" s="5">
        <v>0.62</v>
      </c>
      <c r="I49" s="4">
        <f>5</f>
        <v>5</v>
      </c>
      <c r="J49" s="4">
        <f>1</f>
        <v>1</v>
      </c>
    </row>
    <row r="50" spans="1:10" x14ac:dyDescent="0.25">
      <c r="A50" s="3" t="s">
        <v>465</v>
      </c>
      <c r="B50" s="3" t="s">
        <v>295</v>
      </c>
      <c r="C50" s="4" t="s">
        <v>293</v>
      </c>
      <c r="D50" s="4" t="s">
        <v>82</v>
      </c>
      <c r="E50" s="4" t="s">
        <v>359</v>
      </c>
      <c r="F50" s="4" t="s">
        <v>296</v>
      </c>
      <c r="G50" s="4">
        <v>0</v>
      </c>
      <c r="H50" s="5">
        <v>0.97</v>
      </c>
      <c r="I50" s="4">
        <f>5</f>
        <v>5</v>
      </c>
      <c r="J50" s="4">
        <f>1</f>
        <v>1</v>
      </c>
    </row>
    <row r="51" spans="1:10" x14ac:dyDescent="0.25">
      <c r="A51" s="3" t="s">
        <v>275</v>
      </c>
      <c r="B51" s="3" t="s">
        <v>276</v>
      </c>
      <c r="C51" s="4" t="s">
        <v>277</v>
      </c>
      <c r="D51" s="4" t="s">
        <v>278</v>
      </c>
      <c r="E51" s="4" t="s">
        <v>359</v>
      </c>
      <c r="F51" s="4" t="s">
        <v>279</v>
      </c>
      <c r="G51" s="4">
        <v>4</v>
      </c>
      <c r="H51" s="5">
        <v>1.04</v>
      </c>
      <c r="I51" s="4">
        <f>5</f>
        <v>5</v>
      </c>
      <c r="J51" s="4">
        <f>1</f>
        <v>1</v>
      </c>
    </row>
    <row r="52" spans="1:10" x14ac:dyDescent="0.25">
      <c r="A52" s="3" t="s">
        <v>334</v>
      </c>
      <c r="B52" s="3" t="s">
        <v>335</v>
      </c>
      <c r="C52" s="4" t="s">
        <v>336</v>
      </c>
      <c r="D52" s="4" t="s">
        <v>278</v>
      </c>
      <c r="E52" s="4" t="s">
        <v>359</v>
      </c>
      <c r="F52" s="4" t="s">
        <v>337</v>
      </c>
      <c r="G52" s="4">
        <v>0</v>
      </c>
      <c r="H52" s="5">
        <v>14.6</v>
      </c>
      <c r="I52" s="4">
        <f>5</f>
        <v>5</v>
      </c>
      <c r="J52" s="4">
        <f>1</f>
        <v>1</v>
      </c>
    </row>
    <row r="53" spans="1:10" x14ac:dyDescent="0.25">
      <c r="A53" s="3" t="s">
        <v>340</v>
      </c>
      <c r="B53" s="3" t="s">
        <v>341</v>
      </c>
      <c r="C53" s="4" t="s">
        <v>342</v>
      </c>
      <c r="D53" s="4" t="s">
        <v>278</v>
      </c>
      <c r="E53" s="4" t="s">
        <v>359</v>
      </c>
      <c r="F53" s="4" t="s">
        <v>343</v>
      </c>
      <c r="G53" s="4">
        <v>0</v>
      </c>
      <c r="H53" s="5">
        <v>24.6</v>
      </c>
      <c r="I53" s="4">
        <f>5</f>
        <v>5</v>
      </c>
      <c r="J53" s="4">
        <f>1</f>
        <v>1</v>
      </c>
    </row>
    <row r="54" spans="1:10" x14ac:dyDescent="0.25">
      <c r="A54" s="3" t="s">
        <v>344</v>
      </c>
      <c r="B54" s="3" t="s">
        <v>345</v>
      </c>
      <c r="C54" s="4" t="s">
        <v>346</v>
      </c>
      <c r="D54" s="4" t="s">
        <v>278</v>
      </c>
      <c r="E54" s="4" t="s">
        <v>359</v>
      </c>
      <c r="F54" s="4" t="s">
        <v>347</v>
      </c>
      <c r="G54" s="4">
        <v>0</v>
      </c>
      <c r="H54" s="5">
        <v>5.4</v>
      </c>
      <c r="I54" s="4">
        <f>5</f>
        <v>5</v>
      </c>
      <c r="J54" s="4">
        <f>1</f>
        <v>1</v>
      </c>
    </row>
    <row r="55" spans="1:10" x14ac:dyDescent="0.25">
      <c r="A55" s="3" t="s">
        <v>328</v>
      </c>
      <c r="B55" s="3" t="s">
        <v>328</v>
      </c>
      <c r="C55" s="4" t="s">
        <v>256</v>
      </c>
      <c r="D55" s="4" t="s">
        <v>257</v>
      </c>
      <c r="E55" s="4" t="s">
        <v>359</v>
      </c>
      <c r="F55" s="4" t="s">
        <v>258</v>
      </c>
      <c r="G55" s="4">
        <v>9</v>
      </c>
      <c r="H55" s="5">
        <v>0</v>
      </c>
      <c r="I55" s="4">
        <f>5</f>
        <v>5</v>
      </c>
      <c r="J55" s="4">
        <f>1</f>
        <v>1</v>
      </c>
    </row>
    <row r="56" spans="1:10" x14ac:dyDescent="0.25">
      <c r="A56" s="3" t="s">
        <v>329</v>
      </c>
      <c r="B56" s="3" t="s">
        <v>329</v>
      </c>
      <c r="C56" s="4" t="s">
        <v>256</v>
      </c>
      <c r="D56" s="4" t="s">
        <v>257</v>
      </c>
      <c r="E56" s="4" t="s">
        <v>359</v>
      </c>
      <c r="F56" s="4" t="s">
        <v>259</v>
      </c>
      <c r="G56" s="4">
        <v>10</v>
      </c>
      <c r="H56" s="5">
        <v>0</v>
      </c>
      <c r="I56" s="4">
        <f>5</f>
        <v>5</v>
      </c>
      <c r="J56" s="4">
        <f>1</f>
        <v>1</v>
      </c>
    </row>
    <row r="57" spans="1:10" x14ac:dyDescent="0.25">
      <c r="A57" s="3" t="s">
        <v>332</v>
      </c>
      <c r="B57" s="3" t="s">
        <v>332</v>
      </c>
      <c r="C57" s="4" t="s">
        <v>256</v>
      </c>
      <c r="D57" s="4" t="s">
        <v>257</v>
      </c>
      <c r="E57" s="4" t="s">
        <v>359</v>
      </c>
      <c r="F57" s="4" t="s">
        <v>333</v>
      </c>
      <c r="G57" s="4">
        <v>10</v>
      </c>
      <c r="H57" s="5">
        <v>0</v>
      </c>
      <c r="I57" s="4">
        <f>5</f>
        <v>5</v>
      </c>
      <c r="J57" s="4">
        <f>1</f>
        <v>1</v>
      </c>
    </row>
    <row r="58" spans="1:10" x14ac:dyDescent="0.25">
      <c r="A58" s="3" t="s">
        <v>330</v>
      </c>
      <c r="B58" s="3" t="s">
        <v>330</v>
      </c>
      <c r="C58" s="4" t="s">
        <v>256</v>
      </c>
      <c r="D58" s="4" t="s">
        <v>257</v>
      </c>
      <c r="E58" s="4" t="s">
        <v>359</v>
      </c>
      <c r="F58" s="4" t="s">
        <v>396</v>
      </c>
      <c r="G58" s="4">
        <v>9</v>
      </c>
      <c r="H58" s="5">
        <v>0</v>
      </c>
      <c r="I58" s="4">
        <f>5</f>
        <v>5</v>
      </c>
      <c r="J58" s="4">
        <f>1</f>
        <v>1</v>
      </c>
    </row>
    <row r="59" spans="1:10" x14ac:dyDescent="0.25">
      <c r="A59" s="3" t="s">
        <v>331</v>
      </c>
      <c r="B59" s="3" t="s">
        <v>331</v>
      </c>
      <c r="C59" s="4" t="s">
        <v>256</v>
      </c>
      <c r="D59" s="4" t="s">
        <v>257</v>
      </c>
      <c r="E59" s="4" t="s">
        <v>359</v>
      </c>
      <c r="F59" s="4" t="s">
        <v>260</v>
      </c>
      <c r="G59" s="4">
        <v>9</v>
      </c>
      <c r="H59" s="5">
        <v>0</v>
      </c>
      <c r="I59" s="4">
        <f>5</f>
        <v>5</v>
      </c>
      <c r="J59" s="4">
        <f>1</f>
        <v>1</v>
      </c>
    </row>
    <row r="60" spans="1:10" x14ac:dyDescent="0.25">
      <c r="A60" s="3" t="s">
        <v>326</v>
      </c>
      <c r="B60" s="3" t="s">
        <v>326</v>
      </c>
      <c r="C60" s="4" t="s">
        <v>256</v>
      </c>
      <c r="D60" s="4" t="s">
        <v>257</v>
      </c>
      <c r="E60" s="4" t="s">
        <v>449</v>
      </c>
      <c r="F60" s="4" t="s">
        <v>325</v>
      </c>
      <c r="G60" s="4">
        <v>5</v>
      </c>
      <c r="H60" s="5">
        <v>0</v>
      </c>
      <c r="I60" s="4">
        <f>5</f>
        <v>5</v>
      </c>
      <c r="J60" s="4">
        <f>1</f>
        <v>1</v>
      </c>
    </row>
    <row r="61" spans="1:10" x14ac:dyDescent="0.25">
      <c r="A61" s="3" t="s">
        <v>327</v>
      </c>
      <c r="B61" s="3" t="s">
        <v>327</v>
      </c>
      <c r="C61" s="4" t="s">
        <v>256</v>
      </c>
      <c r="D61" s="4" t="s">
        <v>257</v>
      </c>
      <c r="E61" s="4" t="s">
        <v>438</v>
      </c>
      <c r="F61" s="4" t="s">
        <v>324</v>
      </c>
      <c r="G61" s="4">
        <v>5</v>
      </c>
      <c r="H61" s="5">
        <v>0</v>
      </c>
      <c r="I61" s="4">
        <f>5</f>
        <v>5</v>
      </c>
      <c r="J61" s="4">
        <f>1</f>
        <v>1</v>
      </c>
    </row>
    <row r="62" spans="1:10" x14ac:dyDescent="0.25">
      <c r="A62" s="3" t="s">
        <v>111</v>
      </c>
      <c r="B62" s="3">
        <v>61304011021</v>
      </c>
      <c r="C62" s="4" t="s">
        <v>112</v>
      </c>
      <c r="D62" s="4" t="s">
        <v>5</v>
      </c>
      <c r="E62" s="4" t="s">
        <v>359</v>
      </c>
      <c r="F62" s="4" t="s">
        <v>110</v>
      </c>
      <c r="G62" s="4">
        <v>8.85</v>
      </c>
      <c r="H62" s="5">
        <v>1.58</v>
      </c>
      <c r="I62" s="4">
        <f>5</f>
        <v>5</v>
      </c>
      <c r="J62" s="4">
        <f>1</f>
        <v>1</v>
      </c>
    </row>
    <row r="63" spans="1:10" x14ac:dyDescent="0.25">
      <c r="A63" s="3">
        <v>1162740</v>
      </c>
      <c r="B63" s="3" t="s">
        <v>117</v>
      </c>
      <c r="C63" s="4" t="s">
        <v>93</v>
      </c>
      <c r="D63" s="4" t="s">
        <v>5</v>
      </c>
      <c r="E63" s="4" t="s">
        <v>359</v>
      </c>
      <c r="F63" s="4" t="s">
        <v>29</v>
      </c>
      <c r="G63" s="4">
        <v>3</v>
      </c>
      <c r="H63" s="5">
        <v>0.505</v>
      </c>
      <c r="I63" s="4">
        <f>5</f>
        <v>5</v>
      </c>
      <c r="J63" s="4">
        <f>1</f>
        <v>1</v>
      </c>
    </row>
    <row r="64" spans="1:10" x14ac:dyDescent="0.25">
      <c r="A64" s="3">
        <v>1829519</v>
      </c>
      <c r="B64" s="3" t="s">
        <v>31</v>
      </c>
      <c r="C64" s="4" t="s">
        <v>93</v>
      </c>
      <c r="D64" s="4" t="s">
        <v>5</v>
      </c>
      <c r="E64" s="4" t="s">
        <v>359</v>
      </c>
      <c r="F64" s="4" t="s">
        <v>30</v>
      </c>
      <c r="G64" s="4">
        <v>3</v>
      </c>
      <c r="H64" s="5">
        <v>0.78900000000000003</v>
      </c>
      <c r="I64" s="4">
        <v>5</v>
      </c>
      <c r="J64" s="4">
        <f>1</f>
        <v>1</v>
      </c>
    </row>
    <row r="65" spans="1:10" x14ac:dyDescent="0.25">
      <c r="A65" s="3" t="s">
        <v>124</v>
      </c>
      <c r="B65" s="3" t="s">
        <v>123</v>
      </c>
      <c r="C65" s="4" t="s">
        <v>91</v>
      </c>
      <c r="D65" s="4" t="s">
        <v>5</v>
      </c>
      <c r="E65" s="4" t="s">
        <v>359</v>
      </c>
      <c r="F65" s="4" t="s">
        <v>122</v>
      </c>
      <c r="G65" s="4">
        <v>18</v>
      </c>
      <c r="H65" s="5">
        <v>0.191</v>
      </c>
      <c r="I65" s="4">
        <f>5</f>
        <v>5</v>
      </c>
      <c r="J65" s="4">
        <f>1</f>
        <v>1</v>
      </c>
    </row>
    <row r="66" spans="1:10" x14ac:dyDescent="0.25">
      <c r="A66" s="3" t="s">
        <v>164</v>
      </c>
      <c r="B66" s="3" t="s">
        <v>118</v>
      </c>
      <c r="C66" s="4" t="s">
        <v>91</v>
      </c>
      <c r="D66" s="4" t="s">
        <v>5</v>
      </c>
      <c r="E66" s="4" t="s">
        <v>359</v>
      </c>
      <c r="F66" s="4" t="s">
        <v>28</v>
      </c>
      <c r="G66" s="4">
        <v>99</v>
      </c>
      <c r="H66" s="5">
        <v>0.112</v>
      </c>
      <c r="I66" s="4">
        <f>5</f>
        <v>5</v>
      </c>
      <c r="J66" s="4">
        <f>1</f>
        <v>1</v>
      </c>
    </row>
    <row r="67" spans="1:10" x14ac:dyDescent="0.25">
      <c r="A67" s="3" t="s">
        <v>159</v>
      </c>
      <c r="B67" s="3" t="s">
        <v>97</v>
      </c>
      <c r="C67" s="4" t="s">
        <v>45</v>
      </c>
      <c r="D67" s="4" t="s">
        <v>5</v>
      </c>
      <c r="E67" s="4" t="s">
        <v>359</v>
      </c>
      <c r="F67" s="4" t="s">
        <v>98</v>
      </c>
      <c r="G67" s="4">
        <v>100</v>
      </c>
      <c r="H67" s="5">
        <v>5.8900000000000001E-2</v>
      </c>
      <c r="I67" s="4">
        <f>5</f>
        <v>5</v>
      </c>
      <c r="J67" s="4">
        <f>1</f>
        <v>1</v>
      </c>
    </row>
    <row r="68" spans="1:10" x14ac:dyDescent="0.25">
      <c r="A68" s="3" t="s">
        <v>114</v>
      </c>
      <c r="B68" s="3" t="s">
        <v>113</v>
      </c>
      <c r="C68" s="4" t="s">
        <v>33</v>
      </c>
      <c r="D68" s="4" t="s">
        <v>5</v>
      </c>
      <c r="E68" s="4" t="s">
        <v>359</v>
      </c>
      <c r="F68" s="4" t="s">
        <v>116</v>
      </c>
      <c r="G68" s="4">
        <v>-2.2000000000000002</v>
      </c>
      <c r="H68" s="5">
        <v>0.28699999999999998</v>
      </c>
      <c r="I68" s="4">
        <f>5</f>
        <v>5</v>
      </c>
      <c r="J68" s="4">
        <f>1</f>
        <v>1</v>
      </c>
    </row>
    <row r="69" spans="1:10" x14ac:dyDescent="0.25">
      <c r="A69" s="3" t="s">
        <v>109</v>
      </c>
      <c r="B69" s="3" t="s">
        <v>107</v>
      </c>
      <c r="C69" s="4" t="s">
        <v>108</v>
      </c>
      <c r="D69" s="4" t="s">
        <v>5</v>
      </c>
      <c r="E69" s="4" t="s">
        <v>359</v>
      </c>
      <c r="F69" s="4" t="s">
        <v>115</v>
      </c>
      <c r="G69" s="4">
        <v>3</v>
      </c>
      <c r="H69" s="5">
        <v>1.55</v>
      </c>
      <c r="I69" s="4">
        <f>5</f>
        <v>5</v>
      </c>
      <c r="J69" s="4">
        <f>1</f>
        <v>1</v>
      </c>
    </row>
    <row r="70" spans="1:10" x14ac:dyDescent="0.25">
      <c r="A70" s="3">
        <v>9352260</v>
      </c>
      <c r="B70" s="3" t="s">
        <v>38</v>
      </c>
      <c r="C70" s="4" t="s">
        <v>92</v>
      </c>
      <c r="D70" s="4" t="s">
        <v>5</v>
      </c>
      <c r="E70" s="4" t="s">
        <v>359</v>
      </c>
      <c r="F70" s="4" t="s">
        <v>37</v>
      </c>
      <c r="G70" s="4">
        <v>1</v>
      </c>
      <c r="H70" s="5">
        <v>2.76</v>
      </c>
      <c r="I70" s="4">
        <f>5</f>
        <v>5</v>
      </c>
      <c r="J70" s="4">
        <f>1</f>
        <v>1</v>
      </c>
    </row>
    <row r="71" spans="1:10" x14ac:dyDescent="0.25">
      <c r="A71" s="3" t="s">
        <v>134</v>
      </c>
      <c r="B71" s="3" t="s">
        <v>133</v>
      </c>
      <c r="C71" s="4" t="s">
        <v>7</v>
      </c>
      <c r="D71" s="4" t="s">
        <v>5</v>
      </c>
      <c r="E71" s="4" t="s">
        <v>359</v>
      </c>
      <c r="F71" s="4" t="s">
        <v>132</v>
      </c>
      <c r="G71" s="4">
        <v>9</v>
      </c>
      <c r="H71" s="5">
        <v>0.34899999999999998</v>
      </c>
      <c r="I71" s="4">
        <f>5</f>
        <v>5</v>
      </c>
      <c r="J71" s="4">
        <f>1</f>
        <v>1</v>
      </c>
    </row>
    <row r="72" spans="1:10" x14ac:dyDescent="0.25">
      <c r="A72" s="3">
        <v>2112100</v>
      </c>
      <c r="B72" s="3" t="s">
        <v>34</v>
      </c>
      <c r="C72" s="4" t="s">
        <v>33</v>
      </c>
      <c r="D72" s="4" t="s">
        <v>5</v>
      </c>
      <c r="E72" s="4" t="s">
        <v>359</v>
      </c>
      <c r="F72" s="4" t="s">
        <v>32</v>
      </c>
      <c r="G72" s="4">
        <v>4</v>
      </c>
      <c r="H72" s="5">
        <v>0.28999999999999998</v>
      </c>
      <c r="I72" s="4">
        <f>5</f>
        <v>5</v>
      </c>
      <c r="J72" s="4">
        <f>1</f>
        <v>1</v>
      </c>
    </row>
    <row r="73" spans="1:10" x14ac:dyDescent="0.25">
      <c r="A73" s="3" t="s">
        <v>89</v>
      </c>
      <c r="B73" s="3" t="s">
        <v>90</v>
      </c>
      <c r="C73" s="4" t="s">
        <v>91</v>
      </c>
      <c r="D73" s="4" t="s">
        <v>5</v>
      </c>
      <c r="E73" s="4" t="s">
        <v>359</v>
      </c>
      <c r="F73" s="4" t="s">
        <v>96</v>
      </c>
      <c r="G73" s="4">
        <v>-1</v>
      </c>
      <c r="H73" s="5">
        <v>0.32600000000000001</v>
      </c>
      <c r="I73" s="4">
        <f>5</f>
        <v>5</v>
      </c>
      <c r="J73" s="4">
        <f>1</f>
        <v>1</v>
      </c>
    </row>
    <row r="74" spans="1:10" x14ac:dyDescent="0.25">
      <c r="A74" s="3">
        <v>2064805</v>
      </c>
      <c r="B74" s="3" t="s">
        <v>40</v>
      </c>
      <c r="C74" s="4" t="s">
        <v>7</v>
      </c>
      <c r="D74" s="4" t="s">
        <v>5</v>
      </c>
      <c r="E74" s="4" t="s">
        <v>359</v>
      </c>
      <c r="F74" s="4" t="s">
        <v>39</v>
      </c>
      <c r="G74" s="4">
        <v>0</v>
      </c>
      <c r="H74" s="5">
        <v>2.95</v>
      </c>
      <c r="I74" s="4">
        <f>5</f>
        <v>5</v>
      </c>
      <c r="J74" s="4">
        <f>1</f>
        <v>1</v>
      </c>
    </row>
    <row r="75" spans="1:10" x14ac:dyDescent="0.25">
      <c r="A75" s="3" t="s">
        <v>443</v>
      </c>
      <c r="B75" s="3" t="s">
        <v>59</v>
      </c>
      <c r="C75" s="4" t="s">
        <v>58</v>
      </c>
      <c r="D75" s="4" t="s">
        <v>5</v>
      </c>
      <c r="E75" s="4" t="s">
        <v>444</v>
      </c>
      <c r="F75" s="4" t="s">
        <v>57</v>
      </c>
      <c r="G75" s="4">
        <v>19</v>
      </c>
      <c r="H75" s="5">
        <v>3.7499999999999999E-2</v>
      </c>
      <c r="I75" s="4">
        <f>5</f>
        <v>5</v>
      </c>
      <c r="J75" s="4">
        <f>1</f>
        <v>1</v>
      </c>
    </row>
    <row r="76" spans="1:10" x14ac:dyDescent="0.25">
      <c r="A76" s="3">
        <v>9845356</v>
      </c>
      <c r="B76" s="3" t="s">
        <v>46</v>
      </c>
      <c r="C76" s="4" t="s">
        <v>45</v>
      </c>
      <c r="D76" s="4" t="s">
        <v>5</v>
      </c>
      <c r="E76" s="4" t="s">
        <v>400</v>
      </c>
      <c r="F76" s="4" t="s">
        <v>44</v>
      </c>
      <c r="G76" s="4">
        <v>15</v>
      </c>
      <c r="H76" s="5">
        <v>0.42199999999999999</v>
      </c>
      <c r="I76" s="4">
        <f>5</f>
        <v>5</v>
      </c>
      <c r="J76" s="4">
        <f>1</f>
        <v>1</v>
      </c>
    </row>
    <row r="77" spans="1:10" x14ac:dyDescent="0.25">
      <c r="A77" s="3">
        <v>2461217</v>
      </c>
      <c r="B77" s="3" t="s">
        <v>16</v>
      </c>
      <c r="C77" s="4" t="s">
        <v>33</v>
      </c>
      <c r="D77" s="4" t="s">
        <v>5</v>
      </c>
      <c r="E77" s="4" t="s">
        <v>359</v>
      </c>
      <c r="F77" s="4" t="s">
        <v>15</v>
      </c>
      <c r="G77" s="4">
        <v>14</v>
      </c>
      <c r="H77" s="5">
        <v>0.20200000000000001</v>
      </c>
      <c r="I77" s="4">
        <f>5</f>
        <v>5</v>
      </c>
      <c r="J77" s="4">
        <f>1</f>
        <v>1</v>
      </c>
    </row>
    <row r="78" spans="1:10" x14ac:dyDescent="0.25">
      <c r="A78" s="3">
        <v>9451242</v>
      </c>
      <c r="B78" s="3" t="s">
        <v>14</v>
      </c>
      <c r="C78" s="4" t="s">
        <v>33</v>
      </c>
      <c r="D78" s="4" t="s">
        <v>5</v>
      </c>
      <c r="E78" s="4" t="s">
        <v>359</v>
      </c>
      <c r="F78" s="4" t="s">
        <v>13</v>
      </c>
      <c r="G78" s="4">
        <v>49</v>
      </c>
      <c r="H78" s="5">
        <v>5.1700000000000003E-2</v>
      </c>
      <c r="I78" s="4">
        <f>5</f>
        <v>5</v>
      </c>
      <c r="J78" s="4">
        <f>1</f>
        <v>1</v>
      </c>
    </row>
    <row r="79" spans="1:10" x14ac:dyDescent="0.25">
      <c r="A79" s="3" t="s">
        <v>163</v>
      </c>
      <c r="B79" s="3" t="s">
        <v>12</v>
      </c>
      <c r="C79" s="4" t="s">
        <v>33</v>
      </c>
      <c r="D79" s="4" t="s">
        <v>5</v>
      </c>
      <c r="E79" s="4" t="s">
        <v>437</v>
      </c>
      <c r="F79" s="4" t="s">
        <v>11</v>
      </c>
      <c r="G79" s="4">
        <v>48</v>
      </c>
      <c r="H79" s="5">
        <v>5.0900000000000001E-2</v>
      </c>
      <c r="I79" s="4">
        <f>5</f>
        <v>5</v>
      </c>
      <c r="J79" s="4">
        <f>1</f>
        <v>1</v>
      </c>
    </row>
    <row r="80" spans="1:10" x14ac:dyDescent="0.25">
      <c r="A80" s="3" t="s">
        <v>441</v>
      </c>
      <c r="B80" s="3" t="s">
        <v>61</v>
      </c>
      <c r="C80" s="4" t="s">
        <v>33</v>
      </c>
      <c r="D80" s="4" t="s">
        <v>5</v>
      </c>
      <c r="E80" s="4" t="s">
        <v>442</v>
      </c>
      <c r="F80" s="4" t="s">
        <v>60</v>
      </c>
      <c r="G80" s="4">
        <v>9</v>
      </c>
      <c r="H80" s="5">
        <v>4.4499999999999998E-2</v>
      </c>
      <c r="I80" s="4">
        <f>5</f>
        <v>5</v>
      </c>
      <c r="J80" s="4">
        <f>1</f>
        <v>1</v>
      </c>
    </row>
    <row r="81" spans="1:10" x14ac:dyDescent="0.25">
      <c r="A81" s="3" t="s">
        <v>447</v>
      </c>
      <c r="B81" s="3" t="s">
        <v>56</v>
      </c>
      <c r="C81" s="4" t="s">
        <v>33</v>
      </c>
      <c r="D81" s="4" t="s">
        <v>5</v>
      </c>
      <c r="E81" s="4" t="s">
        <v>448</v>
      </c>
      <c r="F81" s="4" t="s">
        <v>55</v>
      </c>
      <c r="G81" s="4">
        <v>9</v>
      </c>
      <c r="H81" s="5">
        <v>1.55E-2</v>
      </c>
      <c r="I81" s="4">
        <f>5</f>
        <v>5</v>
      </c>
      <c r="J81" s="4">
        <f>1</f>
        <v>1</v>
      </c>
    </row>
    <row r="82" spans="1:10" x14ac:dyDescent="0.25">
      <c r="A82" s="3" t="s">
        <v>450</v>
      </c>
      <c r="B82" s="3" t="s">
        <v>54</v>
      </c>
      <c r="C82" s="4" t="s">
        <v>33</v>
      </c>
      <c r="D82" s="4" t="s">
        <v>5</v>
      </c>
      <c r="E82" s="4" t="s">
        <v>451</v>
      </c>
      <c r="F82" s="4" t="s">
        <v>53</v>
      </c>
      <c r="G82" s="4">
        <v>0</v>
      </c>
      <c r="H82" s="5">
        <v>2.3E-2</v>
      </c>
      <c r="I82" s="4">
        <f>5</f>
        <v>5</v>
      </c>
      <c r="J82" s="4">
        <f>1</f>
        <v>1</v>
      </c>
    </row>
    <row r="83" spans="1:10" x14ac:dyDescent="0.25">
      <c r="A83" s="3" t="s">
        <v>410</v>
      </c>
      <c r="B83" s="3" t="s">
        <v>24</v>
      </c>
      <c r="C83" s="4" t="s">
        <v>94</v>
      </c>
      <c r="D83" s="4" t="s">
        <v>5</v>
      </c>
      <c r="E83" s="4" t="s">
        <v>411</v>
      </c>
      <c r="F83" s="4" t="s">
        <v>23</v>
      </c>
      <c r="G83" s="4">
        <v>3</v>
      </c>
      <c r="H83" s="5">
        <v>0.51600000000000001</v>
      </c>
      <c r="I83" s="4">
        <f>5</f>
        <v>5</v>
      </c>
      <c r="J83" s="4">
        <f>1</f>
        <v>1</v>
      </c>
    </row>
    <row r="84" spans="1:10" x14ac:dyDescent="0.25">
      <c r="A84" s="3" t="s">
        <v>403</v>
      </c>
      <c r="B84" s="3" t="s">
        <v>18</v>
      </c>
      <c r="C84" s="4" t="s">
        <v>94</v>
      </c>
      <c r="D84" s="4" t="s">
        <v>5</v>
      </c>
      <c r="E84" s="4" t="s">
        <v>404</v>
      </c>
      <c r="F84" s="4" t="s">
        <v>17</v>
      </c>
      <c r="G84" s="4">
        <v>19</v>
      </c>
      <c r="H84" s="5">
        <v>0.246</v>
      </c>
      <c r="I84" s="4">
        <f>5</f>
        <v>5</v>
      </c>
      <c r="J84" s="4">
        <f>1</f>
        <v>1</v>
      </c>
    </row>
    <row r="85" spans="1:10" x14ac:dyDescent="0.25">
      <c r="A85" s="3" t="s">
        <v>103</v>
      </c>
      <c r="B85" s="6" t="s">
        <v>101</v>
      </c>
      <c r="C85" s="4" t="s">
        <v>94</v>
      </c>
      <c r="D85" s="4" t="s">
        <v>5</v>
      </c>
      <c r="E85" s="4" t="s">
        <v>405</v>
      </c>
      <c r="F85" s="4" t="s">
        <v>102</v>
      </c>
      <c r="G85" s="4">
        <v>10</v>
      </c>
      <c r="H85" s="5">
        <v>0.34</v>
      </c>
      <c r="I85" s="4">
        <f>5</f>
        <v>5</v>
      </c>
      <c r="J85" s="4">
        <f>1</f>
        <v>1</v>
      </c>
    </row>
    <row r="86" spans="1:10" x14ac:dyDescent="0.25">
      <c r="A86" s="3" t="s">
        <v>106</v>
      </c>
      <c r="B86" s="3" t="s">
        <v>105</v>
      </c>
      <c r="C86" s="4" t="s">
        <v>94</v>
      </c>
      <c r="D86" s="4" t="s">
        <v>5</v>
      </c>
      <c r="E86" s="4" t="s">
        <v>359</v>
      </c>
      <c r="F86" s="4" t="s">
        <v>104</v>
      </c>
      <c r="G86" s="4">
        <v>5</v>
      </c>
      <c r="H86" s="5">
        <v>0.44600000000000001</v>
      </c>
      <c r="I86" s="4">
        <f>5</f>
        <v>5</v>
      </c>
      <c r="J86" s="4">
        <f>1</f>
        <v>1</v>
      </c>
    </row>
    <row r="87" spans="1:10" x14ac:dyDescent="0.25">
      <c r="A87" s="3" t="s">
        <v>99</v>
      </c>
      <c r="B87" s="6" t="s">
        <v>100</v>
      </c>
      <c r="C87" s="4" t="s">
        <v>94</v>
      </c>
      <c r="D87" s="4" t="s">
        <v>5</v>
      </c>
      <c r="E87" s="4" t="s">
        <v>406</v>
      </c>
      <c r="F87" s="4" t="s">
        <v>104</v>
      </c>
      <c r="G87" s="4">
        <v>10</v>
      </c>
      <c r="H87" s="5">
        <v>0.44600000000000001</v>
      </c>
      <c r="I87" s="4">
        <f>5</f>
        <v>5</v>
      </c>
      <c r="J87" s="4">
        <f>1</f>
        <v>1</v>
      </c>
    </row>
    <row r="88" spans="1:10" x14ac:dyDescent="0.25">
      <c r="A88" s="3" t="s">
        <v>412</v>
      </c>
      <c r="B88" s="3" t="s">
        <v>22</v>
      </c>
      <c r="C88" s="4" t="s">
        <v>94</v>
      </c>
      <c r="D88" s="4" t="s">
        <v>5</v>
      </c>
      <c r="E88" s="4" t="s">
        <v>413</v>
      </c>
      <c r="F88" s="4" t="s">
        <v>21</v>
      </c>
      <c r="G88" s="4">
        <v>9</v>
      </c>
      <c r="H88" s="5">
        <v>0.57499999999999996</v>
      </c>
      <c r="I88" s="4">
        <f>5</f>
        <v>5</v>
      </c>
      <c r="J88" s="4">
        <f>1</f>
        <v>1</v>
      </c>
    </row>
    <row r="89" spans="1:10" x14ac:dyDescent="0.25">
      <c r="A89" s="3" t="s">
        <v>439</v>
      </c>
      <c r="B89" s="3" t="s">
        <v>63</v>
      </c>
      <c r="C89" s="4" t="s">
        <v>33</v>
      </c>
      <c r="D89" s="4" t="s">
        <v>5</v>
      </c>
      <c r="E89" s="4" t="s">
        <v>440</v>
      </c>
      <c r="F89" s="4" t="s">
        <v>62</v>
      </c>
      <c r="G89" s="4">
        <v>7</v>
      </c>
      <c r="H89" s="5">
        <v>2.3900000000000001E-2</v>
      </c>
      <c r="I89" s="4">
        <f>5</f>
        <v>5</v>
      </c>
      <c r="J89" s="4">
        <f>1</f>
        <v>1</v>
      </c>
    </row>
    <row r="90" spans="1:10" x14ac:dyDescent="0.25">
      <c r="A90" s="3" t="s">
        <v>445</v>
      </c>
      <c r="B90" s="3" t="s">
        <v>52</v>
      </c>
      <c r="C90" s="4" t="s">
        <v>51</v>
      </c>
      <c r="D90" s="4" t="s">
        <v>5</v>
      </c>
      <c r="E90" s="4" t="s">
        <v>446</v>
      </c>
      <c r="F90" s="4" t="s">
        <v>50</v>
      </c>
      <c r="G90" s="4">
        <v>9</v>
      </c>
      <c r="H90" s="5">
        <v>1.0999999999999999E-2</v>
      </c>
      <c r="I90" s="4">
        <f>5</f>
        <v>5</v>
      </c>
      <c r="J90" s="4">
        <f>1</f>
        <v>1</v>
      </c>
    </row>
    <row r="91" spans="1:10" x14ac:dyDescent="0.25">
      <c r="A91" s="3" t="s">
        <v>414</v>
      </c>
      <c r="B91" s="3" t="s">
        <v>27</v>
      </c>
      <c r="C91" s="4" t="s">
        <v>45</v>
      </c>
      <c r="D91" s="4" t="s">
        <v>5</v>
      </c>
      <c r="E91" s="4" t="s">
        <v>415</v>
      </c>
      <c r="F91" s="4" t="s">
        <v>25</v>
      </c>
      <c r="G91" s="4">
        <v>8</v>
      </c>
      <c r="H91" s="5">
        <v>0.26500000000000001</v>
      </c>
      <c r="I91" s="4">
        <f>5</f>
        <v>5</v>
      </c>
      <c r="J91" s="4">
        <f>1</f>
        <v>1</v>
      </c>
    </row>
    <row r="92" spans="1:10" x14ac:dyDescent="0.25">
      <c r="A92" s="3">
        <v>1779259</v>
      </c>
      <c r="B92" s="3" t="s">
        <v>43</v>
      </c>
      <c r="C92" s="4" t="s">
        <v>7</v>
      </c>
      <c r="D92" s="4" t="s">
        <v>5</v>
      </c>
      <c r="E92" s="4" t="s">
        <v>398</v>
      </c>
      <c r="F92" s="4" t="s">
        <v>41</v>
      </c>
      <c r="G92" s="4">
        <v>23</v>
      </c>
      <c r="H92" s="5">
        <v>0.27100000000000002</v>
      </c>
      <c r="I92" s="4">
        <f>5</f>
        <v>5</v>
      </c>
      <c r="J92" s="4">
        <f>1</f>
        <v>1</v>
      </c>
    </row>
    <row r="93" spans="1:10" x14ac:dyDescent="0.25">
      <c r="A93" s="3" t="s">
        <v>137</v>
      </c>
      <c r="B93" s="3" t="s">
        <v>136</v>
      </c>
      <c r="C93" s="4" t="s">
        <v>127</v>
      </c>
      <c r="D93" s="4" t="s">
        <v>5</v>
      </c>
      <c r="E93" s="4" t="s">
        <v>416</v>
      </c>
      <c r="F93" s="4" t="s">
        <v>135</v>
      </c>
      <c r="G93" s="4">
        <v>5</v>
      </c>
      <c r="H93" s="5">
        <v>0.27100000000000002</v>
      </c>
      <c r="I93" s="4">
        <f>5</f>
        <v>5</v>
      </c>
      <c r="J93" s="4">
        <f>1</f>
        <v>1</v>
      </c>
    </row>
    <row r="94" spans="1:10" x14ac:dyDescent="0.25">
      <c r="A94" s="3" t="s">
        <v>407</v>
      </c>
      <c r="B94" s="3" t="s">
        <v>9</v>
      </c>
      <c r="C94" s="4" t="s">
        <v>7</v>
      </c>
      <c r="D94" s="4" t="s">
        <v>5</v>
      </c>
      <c r="E94" s="4" t="s">
        <v>408</v>
      </c>
      <c r="F94" s="4" t="s">
        <v>10</v>
      </c>
      <c r="G94" s="4">
        <v>4</v>
      </c>
      <c r="H94" s="5">
        <v>0.33100000000000002</v>
      </c>
      <c r="I94" s="4">
        <f>5</f>
        <v>5</v>
      </c>
      <c r="J94" s="4">
        <f>1</f>
        <v>1</v>
      </c>
    </row>
    <row r="95" spans="1:10" x14ac:dyDescent="0.25">
      <c r="A95" s="3" t="s">
        <v>121</v>
      </c>
      <c r="B95" s="3" t="s">
        <v>120</v>
      </c>
      <c r="C95" s="4" t="s">
        <v>33</v>
      </c>
      <c r="D95" s="4" t="s">
        <v>5</v>
      </c>
      <c r="E95" s="4" t="s">
        <v>359</v>
      </c>
      <c r="F95" s="4" t="s">
        <v>119</v>
      </c>
      <c r="G95" s="4">
        <v>15</v>
      </c>
      <c r="H95" s="5">
        <v>0.26500000000000001</v>
      </c>
      <c r="I95" s="4">
        <f>5</f>
        <v>5</v>
      </c>
      <c r="J95" s="4">
        <f>1</f>
        <v>1</v>
      </c>
    </row>
    <row r="96" spans="1:10" x14ac:dyDescent="0.25">
      <c r="A96" s="3">
        <v>1141380</v>
      </c>
      <c r="B96" s="3" t="s">
        <v>49</v>
      </c>
      <c r="C96" s="4" t="s">
        <v>48</v>
      </c>
      <c r="D96" s="4" t="s">
        <v>5</v>
      </c>
      <c r="E96" s="4" t="s">
        <v>359</v>
      </c>
      <c r="F96" s="4" t="s">
        <v>47</v>
      </c>
      <c r="G96" s="4">
        <v>0</v>
      </c>
      <c r="H96" s="5">
        <v>1.62</v>
      </c>
      <c r="I96" s="4">
        <f>5</f>
        <v>5</v>
      </c>
      <c r="J96" s="4">
        <f>1</f>
        <v>1</v>
      </c>
    </row>
    <row r="97" spans="1:10" x14ac:dyDescent="0.25">
      <c r="A97" s="3" t="s">
        <v>130</v>
      </c>
      <c r="B97" s="3" t="s">
        <v>129</v>
      </c>
      <c r="C97" s="4" t="s">
        <v>127</v>
      </c>
      <c r="D97" s="4" t="s">
        <v>5</v>
      </c>
      <c r="E97" s="4" t="s">
        <v>399</v>
      </c>
      <c r="F97" s="4" t="s">
        <v>131</v>
      </c>
      <c r="G97" s="4">
        <v>10</v>
      </c>
      <c r="H97" s="5">
        <v>0.54600000000000004</v>
      </c>
      <c r="I97" s="4">
        <f>5</f>
        <v>5</v>
      </c>
      <c r="J97" s="4">
        <f>1</f>
        <v>1</v>
      </c>
    </row>
    <row r="98" spans="1:10" x14ac:dyDescent="0.25">
      <c r="A98" s="3" t="s">
        <v>128</v>
      </c>
      <c r="B98" s="3" t="s">
        <v>126</v>
      </c>
      <c r="C98" s="4" t="s">
        <v>127</v>
      </c>
      <c r="D98" s="4" t="s">
        <v>5</v>
      </c>
      <c r="E98" s="4" t="s">
        <v>359</v>
      </c>
      <c r="F98" s="4" t="s">
        <v>125</v>
      </c>
      <c r="G98" s="4">
        <v>5</v>
      </c>
      <c r="H98" s="5">
        <v>0.68600000000000005</v>
      </c>
      <c r="I98" s="4">
        <f>5</f>
        <v>5</v>
      </c>
      <c r="J98" s="4">
        <f>1</f>
        <v>1</v>
      </c>
    </row>
    <row r="99" spans="1:10" x14ac:dyDescent="0.25">
      <c r="A99" s="3" t="s">
        <v>435</v>
      </c>
      <c r="B99" s="3" t="s">
        <v>36</v>
      </c>
      <c r="C99" s="4" t="s">
        <v>42</v>
      </c>
      <c r="D99" s="4" t="s">
        <v>5</v>
      </c>
      <c r="E99" s="4" t="s">
        <v>436</v>
      </c>
      <c r="F99" s="4" t="s">
        <v>35</v>
      </c>
      <c r="G99" s="4">
        <v>90</v>
      </c>
      <c r="H99" s="5">
        <v>0.106</v>
      </c>
      <c r="I99" s="4">
        <f>5</f>
        <v>5</v>
      </c>
      <c r="J99" s="4">
        <f>1</f>
        <v>1</v>
      </c>
    </row>
    <row r="100" spans="1:10" x14ac:dyDescent="0.25">
      <c r="A100" s="3" t="s">
        <v>423</v>
      </c>
      <c r="B100" s="3" t="s">
        <v>20</v>
      </c>
      <c r="C100" s="4" t="s">
        <v>42</v>
      </c>
      <c r="D100" s="4" t="s">
        <v>5</v>
      </c>
      <c r="E100" s="4" t="s">
        <v>424</v>
      </c>
      <c r="F100" s="4" t="s">
        <v>19</v>
      </c>
      <c r="G100" s="4">
        <v>0</v>
      </c>
      <c r="H100" s="5">
        <v>3.64</v>
      </c>
      <c r="I100" s="4">
        <f>5</f>
        <v>5</v>
      </c>
      <c r="J100" s="4">
        <f>1</f>
        <v>1</v>
      </c>
    </row>
    <row r="101" spans="1:10" x14ac:dyDescent="0.25">
      <c r="A101" s="3" t="s">
        <v>494</v>
      </c>
      <c r="B101" s="3" t="s">
        <v>492</v>
      </c>
      <c r="C101" s="4" t="s">
        <v>493</v>
      </c>
      <c r="D101" s="4" t="s">
        <v>82</v>
      </c>
      <c r="E101" s="4" t="s">
        <v>359</v>
      </c>
      <c r="F101" s="4" t="s">
        <v>495</v>
      </c>
      <c r="G101" s="4">
        <v>0</v>
      </c>
      <c r="H101" s="5">
        <v>0.1</v>
      </c>
      <c r="I101" s="4">
        <f>5</f>
        <v>5</v>
      </c>
      <c r="J101" s="4">
        <f>1</f>
        <v>1</v>
      </c>
    </row>
    <row r="102" spans="1:10" x14ac:dyDescent="0.25">
      <c r="A102" s="3" t="s">
        <v>498</v>
      </c>
      <c r="B102" s="3" t="s">
        <v>496</v>
      </c>
      <c r="C102" s="4" t="s">
        <v>497</v>
      </c>
      <c r="D102" s="4" t="s">
        <v>82</v>
      </c>
      <c r="E102" s="4" t="s">
        <v>359</v>
      </c>
      <c r="F102" s="4" t="s">
        <v>499</v>
      </c>
      <c r="G102" s="4">
        <v>0</v>
      </c>
      <c r="H102" s="5">
        <v>1.02</v>
      </c>
      <c r="I102" s="4">
        <f>5</f>
        <v>5</v>
      </c>
      <c r="J102" s="4">
        <f>1</f>
        <v>1</v>
      </c>
    </row>
    <row r="103" spans="1:10" x14ac:dyDescent="0.25">
      <c r="A103" s="3" t="s">
        <v>506</v>
      </c>
      <c r="B103" s="3" t="s">
        <v>505</v>
      </c>
      <c r="C103" s="4" t="s">
        <v>7</v>
      </c>
      <c r="D103" s="4" t="s">
        <v>82</v>
      </c>
      <c r="E103" s="4" t="s">
        <v>359</v>
      </c>
      <c r="F103" s="4" t="s">
        <v>507</v>
      </c>
      <c r="G103" s="4">
        <v>0</v>
      </c>
      <c r="H103" s="5">
        <v>3.12</v>
      </c>
      <c r="I103" s="4">
        <f>5</f>
        <v>5</v>
      </c>
      <c r="J103" s="4">
        <f>1</f>
        <v>1</v>
      </c>
    </row>
  </sheetData>
  <dataConsolidate/>
  <conditionalFormatting sqref="B1:B1048576">
    <cfRule type="duplicateValues" dxfId="27" priority="3"/>
  </conditionalFormatting>
  <conditionalFormatting sqref="G1:G1048576">
    <cfRule type="containsBlanks" priority="18" stopIfTrue="1">
      <formula>LEN(TRIM(G1))=0</formula>
    </cfRule>
    <cfRule type="cellIs" dxfId="26" priority="21" operator="lessThanOrEqual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V100"/>
  <sheetViews>
    <sheetView zoomScaleNormal="100" workbookViewId="0">
      <pane ySplit="1" topLeftCell="A2" activePane="bottomLeft" state="frozen"/>
      <selection activeCell="F1" sqref="F1"/>
      <selection pane="bottomLeft" activeCell="D20" sqref="D20"/>
    </sheetView>
  </sheetViews>
  <sheetFormatPr defaultRowHeight="15" x14ac:dyDescent="0.25"/>
  <cols>
    <col min="1" max="1" width="26.85546875" bestFit="1" customWidth="1"/>
    <col min="2" max="2" width="21.140625" customWidth="1"/>
    <col min="3" max="3" width="11.140625" bestFit="1" customWidth="1"/>
    <col min="4" max="4" width="80.85546875" bestFit="1" customWidth="1"/>
    <col min="5" max="5" width="10" bestFit="1" customWidth="1"/>
    <col min="7" max="7" width="17.140625" bestFit="1" customWidth="1"/>
    <col min="8" max="8" width="17.140625" customWidth="1"/>
    <col min="9" max="9" width="17.140625" bestFit="1" customWidth="1"/>
    <col min="10" max="10" width="12" bestFit="1" customWidth="1"/>
    <col min="11" max="11" width="17.140625" bestFit="1" customWidth="1"/>
    <col min="12" max="12" width="12" bestFit="1" customWidth="1"/>
    <col min="13" max="13" width="17.140625" bestFit="1" customWidth="1"/>
    <col min="14" max="14" width="12" bestFit="1" customWidth="1"/>
    <col min="15" max="15" width="17.140625" bestFit="1" customWidth="1"/>
    <col min="16" max="16" width="12" bestFit="1" customWidth="1"/>
    <col min="17" max="17" width="17.140625" bestFit="1" customWidth="1"/>
    <col min="18" max="18" width="12" bestFit="1" customWidth="1"/>
    <col min="19" max="19" width="17.140625" bestFit="1" customWidth="1"/>
    <col min="20" max="20" width="13" bestFit="1" customWidth="1"/>
    <col min="21" max="21" width="17.140625" bestFit="1" customWidth="1"/>
    <col min="22" max="22" width="12" bestFit="1" customWidth="1"/>
    <col min="23" max="23" width="10.28515625" bestFit="1" customWidth="1"/>
    <col min="28" max="28" width="10" bestFit="1" customWidth="1"/>
    <col min="29" max="29" width="12" bestFit="1" customWidth="1"/>
    <col min="30" max="30" width="14" bestFit="1" customWidth="1"/>
    <col min="31" max="31" width="17.140625" bestFit="1" customWidth="1"/>
  </cols>
  <sheetData>
    <row r="1" spans="1:22" ht="15.75" thickBot="1" x14ac:dyDescent="0.3">
      <c r="A1" s="2" t="s">
        <v>586</v>
      </c>
      <c r="B1" s="2" t="s">
        <v>6</v>
      </c>
      <c r="C1" s="2" t="s">
        <v>358</v>
      </c>
      <c r="D1" s="2" t="s">
        <v>2</v>
      </c>
      <c r="E1" s="2" t="s">
        <v>3</v>
      </c>
      <c r="F1" s="2" t="s">
        <v>463</v>
      </c>
      <c r="G1" s="2" t="s">
        <v>580</v>
      </c>
      <c r="H1" s="2" t="s">
        <v>603</v>
      </c>
      <c r="I1" s="1" t="s">
        <v>581</v>
      </c>
      <c r="J1" s="21" t="s">
        <v>8</v>
      </c>
      <c r="K1" s="1" t="s">
        <v>583</v>
      </c>
      <c r="L1" s="21" t="s">
        <v>589</v>
      </c>
      <c r="M1" s="1" t="s">
        <v>582</v>
      </c>
      <c r="N1" s="21" t="s">
        <v>590</v>
      </c>
      <c r="O1" s="1" t="s">
        <v>585</v>
      </c>
      <c r="P1" s="21" t="s">
        <v>591</v>
      </c>
      <c r="Q1" s="1" t="s">
        <v>584</v>
      </c>
      <c r="R1" s="21" t="s">
        <v>592</v>
      </c>
      <c r="S1" s="1" t="s">
        <v>587</v>
      </c>
      <c r="T1" s="21" t="s">
        <v>593</v>
      </c>
      <c r="U1" s="1" t="s">
        <v>588</v>
      </c>
      <c r="V1" s="21" t="s">
        <v>594</v>
      </c>
    </row>
    <row r="2" spans="1:22" x14ac:dyDescent="0.25">
      <c r="A2" s="3" t="s">
        <v>367</v>
      </c>
      <c r="B2" s="4" t="s">
        <v>368</v>
      </c>
      <c r="C2" s="4" t="s">
        <v>359</v>
      </c>
      <c r="D2" s="4" t="s">
        <v>370</v>
      </c>
      <c r="E2" s="4">
        <v>1</v>
      </c>
      <c r="F2" s="4">
        <f>10</f>
        <v>10</v>
      </c>
      <c r="G2" s="4">
        <f>1</f>
        <v>1</v>
      </c>
      <c r="H2" s="4">
        <f>IF(Table113[[#This Row],[Auto Command]]=1,IF(Table113[[#This Row],[In stock]]&lt;Table113[[#This Row],[Min in stock]],1,""),"")</f>
        <v>1</v>
      </c>
      <c r="I2" s="3"/>
      <c r="J2" s="5"/>
      <c r="K2" s="3"/>
      <c r="L2" s="5"/>
      <c r="M2" s="3"/>
      <c r="N2" s="5"/>
      <c r="O2" s="3"/>
      <c r="P2" s="5"/>
      <c r="Q2" s="3"/>
      <c r="R2" s="5"/>
      <c r="S2" s="3" t="s">
        <v>367</v>
      </c>
      <c r="T2" s="5">
        <v>7.46</v>
      </c>
      <c r="U2" s="3"/>
      <c r="V2" s="5"/>
    </row>
    <row r="3" spans="1:22" x14ac:dyDescent="0.25">
      <c r="A3" s="3" t="s">
        <v>372</v>
      </c>
      <c r="B3" s="4" t="s">
        <v>373</v>
      </c>
      <c r="C3" s="4" t="s">
        <v>359</v>
      </c>
      <c r="D3" s="4" t="s">
        <v>374</v>
      </c>
      <c r="E3" s="4">
        <v>1</v>
      </c>
      <c r="F3" s="4">
        <f>10</f>
        <v>10</v>
      </c>
      <c r="G3" s="4">
        <f>1</f>
        <v>1</v>
      </c>
      <c r="H3" s="4">
        <f>IF(Table113[[#This Row],[Auto Command]]=1,IF(Table113[[#This Row],[In stock]]&lt;Table113[[#This Row],[Min in stock]],1,""),"")</f>
        <v>1</v>
      </c>
      <c r="I3" s="3"/>
      <c r="J3" s="5"/>
      <c r="K3" s="3"/>
      <c r="L3" s="5"/>
      <c r="M3" s="3"/>
      <c r="N3" s="5"/>
      <c r="O3" s="3"/>
      <c r="P3" s="5"/>
      <c r="Q3" s="3"/>
      <c r="R3" s="5"/>
      <c r="S3" s="3" t="s">
        <v>372</v>
      </c>
      <c r="T3" s="5">
        <v>1.1619999999999999</v>
      </c>
      <c r="U3" s="3"/>
      <c r="V3" s="5"/>
    </row>
    <row r="4" spans="1:22" x14ac:dyDescent="0.25">
      <c r="A4" s="3" t="s">
        <v>375</v>
      </c>
      <c r="B4" s="4" t="s">
        <v>373</v>
      </c>
      <c r="C4" s="4" t="s">
        <v>359</v>
      </c>
      <c r="D4" s="4" t="s">
        <v>376</v>
      </c>
      <c r="E4" s="4">
        <v>1</v>
      </c>
      <c r="F4" s="4">
        <f>10</f>
        <v>10</v>
      </c>
      <c r="G4" s="4">
        <f>1</f>
        <v>1</v>
      </c>
      <c r="H4" s="4">
        <f>IF(Table113[[#This Row],[Auto Command]]=1,IF(Table113[[#This Row],[In stock]]&lt;Table113[[#This Row],[Min in stock]],1,""),"")</f>
        <v>1</v>
      </c>
      <c r="I4" s="3"/>
      <c r="J4" s="5"/>
      <c r="K4" s="3"/>
      <c r="L4" s="5"/>
      <c r="M4" s="3"/>
      <c r="N4" s="5"/>
      <c r="O4" s="3"/>
      <c r="P4" s="5"/>
      <c r="Q4" s="3"/>
      <c r="R4" s="5"/>
      <c r="S4" s="3" t="s">
        <v>375</v>
      </c>
      <c r="T4" s="5">
        <v>1</v>
      </c>
      <c r="U4" s="3"/>
      <c r="V4" s="5"/>
    </row>
    <row r="5" spans="1:22" x14ac:dyDescent="0.25">
      <c r="A5" s="3" t="s">
        <v>377</v>
      </c>
      <c r="B5" s="4" t="s">
        <v>373</v>
      </c>
      <c r="C5" s="4" t="s">
        <v>359</v>
      </c>
      <c r="D5" s="4" t="s">
        <v>378</v>
      </c>
      <c r="E5" s="4">
        <v>1</v>
      </c>
      <c r="F5" s="4">
        <f>10</f>
        <v>10</v>
      </c>
      <c r="G5" s="4">
        <f>1</f>
        <v>1</v>
      </c>
      <c r="H5" s="4">
        <f>IF(Table113[[#This Row],[Auto Command]]=1,IF(Table113[[#This Row],[In stock]]&lt;Table113[[#This Row],[Min in stock]],1,""),"")</f>
        <v>1</v>
      </c>
      <c r="I5" s="3"/>
      <c r="J5" s="5"/>
      <c r="K5" s="3"/>
      <c r="L5" s="5"/>
      <c r="M5" s="3"/>
      <c r="N5" s="5"/>
      <c r="O5" s="3"/>
      <c r="P5" s="5"/>
      <c r="Q5" s="3"/>
      <c r="R5" s="5"/>
      <c r="S5" s="3" t="s">
        <v>377</v>
      </c>
      <c r="T5" s="5">
        <v>4.5999999999999996</v>
      </c>
      <c r="U5" s="3"/>
      <c r="V5" s="5"/>
    </row>
    <row r="6" spans="1:22" x14ac:dyDescent="0.25">
      <c r="A6" s="3" t="s">
        <v>595</v>
      </c>
      <c r="B6" s="4" t="s">
        <v>430</v>
      </c>
      <c r="C6" s="4" t="s">
        <v>359</v>
      </c>
      <c r="D6" s="4" t="s">
        <v>431</v>
      </c>
      <c r="E6" s="4">
        <v>5</v>
      </c>
      <c r="F6" s="4">
        <f>10</f>
        <v>10</v>
      </c>
      <c r="G6" s="4">
        <f>1</f>
        <v>1</v>
      </c>
      <c r="H6" s="4">
        <f>IF(Table113[[#This Row],[Auto Command]]=1,IF(Table113[[#This Row],[In stock]]&lt;Table113[[#This Row],[Min in stock]],1,""),"")</f>
        <v>1</v>
      </c>
      <c r="I6" s="3"/>
      <c r="J6" s="5"/>
      <c r="K6" s="3"/>
      <c r="L6" s="5"/>
      <c r="M6" s="3"/>
      <c r="N6" s="5"/>
      <c r="O6" s="3"/>
      <c r="P6" s="5"/>
      <c r="Q6" s="3"/>
      <c r="R6" s="5"/>
      <c r="S6" s="3" t="s">
        <v>429</v>
      </c>
      <c r="T6" s="5">
        <v>0.127</v>
      </c>
      <c r="U6" s="3"/>
      <c r="V6" s="5"/>
    </row>
    <row r="7" spans="1:22" x14ac:dyDescent="0.25">
      <c r="A7" s="3" t="s">
        <v>596</v>
      </c>
      <c r="B7" s="4" t="s">
        <v>430</v>
      </c>
      <c r="C7" s="4" t="s">
        <v>359</v>
      </c>
      <c r="D7" s="4" t="s">
        <v>432</v>
      </c>
      <c r="E7" s="4">
        <v>5</v>
      </c>
      <c r="F7" s="4">
        <f>10</f>
        <v>10</v>
      </c>
      <c r="G7" s="4">
        <f>1</f>
        <v>1</v>
      </c>
      <c r="H7" s="4">
        <f>IF(Table113[[#This Row],[Auto Command]]=1,IF(Table113[[#This Row],[In stock]]&lt;Table113[[#This Row],[Min in stock]],1,""),"")</f>
        <v>1</v>
      </c>
      <c r="I7" s="3"/>
      <c r="J7" s="5"/>
      <c r="K7" s="3"/>
      <c r="L7" s="5"/>
      <c r="M7" s="3"/>
      <c r="N7" s="5"/>
      <c r="O7" s="3"/>
      <c r="P7" s="5"/>
      <c r="Q7" s="3"/>
      <c r="R7" s="5"/>
      <c r="S7" s="3" t="s">
        <v>429</v>
      </c>
      <c r="T7" s="5">
        <v>0.127</v>
      </c>
      <c r="U7" s="3"/>
      <c r="V7" s="5"/>
    </row>
    <row r="8" spans="1:22" x14ac:dyDescent="0.25">
      <c r="A8" s="3">
        <v>90990</v>
      </c>
      <c r="B8" s="4" t="s">
        <v>65</v>
      </c>
      <c r="C8" s="4" t="s">
        <v>359</v>
      </c>
      <c r="D8" s="4" t="s">
        <v>401</v>
      </c>
      <c r="E8" s="4">
        <v>1</v>
      </c>
      <c r="F8" s="4">
        <f>10</f>
        <v>10</v>
      </c>
      <c r="G8" s="4">
        <f>1</f>
        <v>1</v>
      </c>
      <c r="H8" s="4">
        <f>IF(Table113[[#This Row],[Auto Command]]=1,IF(Table113[[#This Row],[In stock]]&lt;Table113[[#This Row],[Min in stock]],1,""),"")</f>
        <v>1</v>
      </c>
      <c r="I8" s="3"/>
      <c r="J8" s="5"/>
      <c r="K8" s="3"/>
      <c r="L8" s="5"/>
      <c r="M8" s="3"/>
      <c r="N8" s="5"/>
      <c r="O8" s="3"/>
      <c r="P8" s="5"/>
      <c r="Q8" s="3"/>
      <c r="R8" s="5"/>
      <c r="S8" s="3"/>
      <c r="T8" s="5"/>
      <c r="U8" s="3" t="s">
        <v>203</v>
      </c>
      <c r="V8" s="5">
        <v>13.1</v>
      </c>
    </row>
    <row r="9" spans="1:22" x14ac:dyDescent="0.25">
      <c r="A9" s="3">
        <v>912951</v>
      </c>
      <c r="B9" s="4" t="s">
        <v>65</v>
      </c>
      <c r="C9" s="4" t="s">
        <v>359</v>
      </c>
      <c r="D9" s="4" t="s">
        <v>85</v>
      </c>
      <c r="E9" s="4">
        <v>1</v>
      </c>
      <c r="F9" s="4">
        <f>10</f>
        <v>10</v>
      </c>
      <c r="G9" s="4">
        <f>1</f>
        <v>1</v>
      </c>
      <c r="H9" s="4">
        <f>IF(Table113[[#This Row],[Auto Command]]=1,IF(Table113[[#This Row],[In stock]]&lt;Table113[[#This Row],[Min in stock]],1,""),"")</f>
        <v>1</v>
      </c>
      <c r="I9" s="3"/>
      <c r="J9" s="5"/>
      <c r="K9" s="3"/>
      <c r="L9" s="5"/>
      <c r="M9" s="3"/>
      <c r="N9" s="5"/>
      <c r="O9" s="3"/>
      <c r="P9" s="5"/>
      <c r="Q9" s="3"/>
      <c r="R9" s="5"/>
      <c r="S9" s="3"/>
      <c r="T9" s="5"/>
      <c r="U9" s="3">
        <v>912951</v>
      </c>
      <c r="V9" s="5">
        <v>3.43</v>
      </c>
    </row>
    <row r="10" spans="1:22" x14ac:dyDescent="0.25">
      <c r="A10" s="3">
        <v>965083</v>
      </c>
      <c r="B10" s="4" t="s">
        <v>65</v>
      </c>
      <c r="C10" s="4" t="s">
        <v>359</v>
      </c>
      <c r="D10" s="4" t="s">
        <v>87</v>
      </c>
      <c r="E10" s="4">
        <v>2</v>
      </c>
      <c r="F10" s="4">
        <f>10</f>
        <v>10</v>
      </c>
      <c r="G10" s="4">
        <f>1</f>
        <v>1</v>
      </c>
      <c r="H10" s="4">
        <f>IF(Table113[[#This Row],[Auto Command]]=1,IF(Table113[[#This Row],[In stock]]&lt;Table113[[#This Row],[Min in stock]],1,""),"")</f>
        <v>1</v>
      </c>
      <c r="I10" s="3"/>
      <c r="J10" s="5"/>
      <c r="K10" s="3"/>
      <c r="L10" s="5"/>
      <c r="M10" s="3"/>
      <c r="N10" s="5"/>
      <c r="O10" s="3"/>
      <c r="P10" s="5"/>
      <c r="Q10" s="3"/>
      <c r="R10" s="5"/>
      <c r="S10" s="3"/>
      <c r="T10" s="5"/>
      <c r="U10" s="3">
        <v>965083</v>
      </c>
      <c r="V10" s="5">
        <v>3.18</v>
      </c>
    </row>
    <row r="11" spans="1:22" x14ac:dyDescent="0.25">
      <c r="A11" s="3">
        <v>1004068</v>
      </c>
      <c r="B11" s="4" t="s">
        <v>65</v>
      </c>
      <c r="C11" s="4" t="s">
        <v>359</v>
      </c>
      <c r="D11" s="4" t="s">
        <v>83</v>
      </c>
      <c r="E11" s="4">
        <v>2</v>
      </c>
      <c r="F11" s="4">
        <f>10</f>
        <v>10</v>
      </c>
      <c r="G11" s="4">
        <f>1</f>
        <v>1</v>
      </c>
      <c r="H11" s="4">
        <f>IF(Table113[[#This Row],[Auto Command]]=1,IF(Table113[[#This Row],[In stock]]&lt;Table113[[#This Row],[Min in stock]],1,""),"")</f>
        <v>1</v>
      </c>
      <c r="I11" s="3"/>
      <c r="J11" s="5"/>
      <c r="K11" s="3"/>
      <c r="L11" s="5"/>
      <c r="M11" s="3"/>
      <c r="N11" s="5"/>
      <c r="O11" s="3"/>
      <c r="P11" s="5"/>
      <c r="Q11" s="3"/>
      <c r="R11" s="5"/>
      <c r="S11" s="3"/>
      <c r="T11" s="5"/>
      <c r="U11" s="3">
        <v>1004068</v>
      </c>
      <c r="V11" s="5">
        <v>3.49</v>
      </c>
    </row>
    <row r="12" spans="1:22" x14ac:dyDescent="0.25">
      <c r="A12" s="3">
        <v>1181876</v>
      </c>
      <c r="B12" s="4" t="s">
        <v>65</v>
      </c>
      <c r="C12" s="4" t="s">
        <v>359</v>
      </c>
      <c r="D12" s="4" t="s">
        <v>86</v>
      </c>
      <c r="E12" s="4">
        <v>9</v>
      </c>
      <c r="F12" s="4">
        <f>10</f>
        <v>10</v>
      </c>
      <c r="G12" s="4">
        <f>1</f>
        <v>1</v>
      </c>
      <c r="H12" s="4">
        <f>IF(Table113[[#This Row],[Auto Command]]=1,IF(Table113[[#This Row],[In stock]]&lt;Table113[[#This Row],[Min in stock]],1,""),"")</f>
        <v>1</v>
      </c>
      <c r="I12" s="3"/>
      <c r="J12" s="5"/>
      <c r="K12" s="3"/>
      <c r="L12" s="5"/>
      <c r="M12" s="3"/>
      <c r="N12" s="5"/>
      <c r="O12" s="3"/>
      <c r="P12" s="5"/>
      <c r="Q12" s="3"/>
      <c r="R12" s="5"/>
      <c r="S12" s="3"/>
      <c r="T12" s="5"/>
      <c r="U12" s="3">
        <v>1181876</v>
      </c>
      <c r="V12" s="5">
        <v>3.79</v>
      </c>
    </row>
    <row r="13" spans="1:22" x14ac:dyDescent="0.25">
      <c r="A13" s="3" t="s">
        <v>349</v>
      </c>
      <c r="B13" s="4" t="s">
        <v>350</v>
      </c>
      <c r="C13" s="4" t="s">
        <v>359</v>
      </c>
      <c r="D13" s="4" t="s">
        <v>352</v>
      </c>
      <c r="E13" s="4">
        <v>0</v>
      </c>
      <c r="F13" s="4">
        <f>10</f>
        <v>10</v>
      </c>
      <c r="G13" s="4">
        <f>1</f>
        <v>1</v>
      </c>
      <c r="H13" s="4">
        <f>IF(Table113[[#This Row],[Auto Command]]=1,IF(Table113[[#This Row],[In stock]]&lt;Table113[[#This Row],[Min in stock]],1,""),"")</f>
        <v>1</v>
      </c>
      <c r="I13" s="3"/>
      <c r="J13" s="5"/>
      <c r="K13" s="3"/>
      <c r="L13" s="5"/>
      <c r="M13" s="3"/>
      <c r="N13" s="5"/>
      <c r="O13" s="3" t="s">
        <v>348</v>
      </c>
      <c r="P13" s="5">
        <v>0.31</v>
      </c>
      <c r="Q13" s="3"/>
      <c r="R13" s="5"/>
      <c r="S13" s="3"/>
      <c r="T13" s="5"/>
      <c r="U13" s="3"/>
      <c r="V13" s="5"/>
    </row>
    <row r="14" spans="1:22" x14ac:dyDescent="0.25">
      <c r="A14" s="3" t="s">
        <v>354</v>
      </c>
      <c r="B14" s="4" t="s">
        <v>355</v>
      </c>
      <c r="C14" s="4" t="s">
        <v>359</v>
      </c>
      <c r="D14" s="4" t="s">
        <v>356</v>
      </c>
      <c r="E14" s="4">
        <v>1</v>
      </c>
      <c r="F14" s="4">
        <f>10</f>
        <v>10</v>
      </c>
      <c r="G14" s="4">
        <f>1</f>
        <v>1</v>
      </c>
      <c r="H14" s="4">
        <f>IF(Table113[[#This Row],[Auto Command]]=1,IF(Table113[[#This Row],[In stock]]&lt;Table113[[#This Row],[Min in stock]],1,""),"")</f>
        <v>1</v>
      </c>
      <c r="I14" s="3"/>
      <c r="J14" s="5"/>
      <c r="K14" s="3"/>
      <c r="L14" s="5"/>
      <c r="M14" s="3"/>
      <c r="N14" s="5"/>
      <c r="O14" s="3" t="s">
        <v>353</v>
      </c>
      <c r="P14" s="5">
        <v>399.95</v>
      </c>
      <c r="Q14" s="3"/>
      <c r="R14" s="5"/>
      <c r="S14" s="3"/>
      <c r="T14" s="5"/>
      <c r="U14" s="3"/>
      <c r="V14" s="5"/>
    </row>
    <row r="15" spans="1:22" x14ac:dyDescent="0.25">
      <c r="A15" s="4" t="s">
        <v>156</v>
      </c>
      <c r="B15" s="4" t="s">
        <v>162</v>
      </c>
      <c r="C15" s="4" t="s">
        <v>359</v>
      </c>
      <c r="D15" s="4" t="s">
        <v>157</v>
      </c>
      <c r="E15" s="4">
        <v>10</v>
      </c>
      <c r="F15" s="4">
        <f>10</f>
        <v>10</v>
      </c>
      <c r="G15" s="4">
        <f>1</f>
        <v>1</v>
      </c>
      <c r="H15" s="4" t="str">
        <f>IF(Table113[[#This Row],[Auto Command]]=1,IF(Table113[[#This Row],[In stock]]&lt;Table113[[#This Row],[Min in stock]],1,""),"")</f>
        <v/>
      </c>
      <c r="I15" s="3" t="s">
        <v>155</v>
      </c>
      <c r="J15" s="5">
        <v>0.66500000000000004</v>
      </c>
      <c r="K15" s="3"/>
      <c r="L15" s="5"/>
      <c r="M15" s="3"/>
      <c r="N15" s="5"/>
      <c r="O15" s="3"/>
      <c r="P15" s="5"/>
      <c r="Q15" s="3"/>
      <c r="R15" s="5"/>
      <c r="S15" s="3"/>
      <c r="T15" s="5"/>
      <c r="U15" s="3"/>
      <c r="V15" s="5"/>
    </row>
    <row r="16" spans="1:22" x14ac:dyDescent="0.25">
      <c r="A16" s="4" t="s">
        <v>139</v>
      </c>
      <c r="B16" s="4" t="s">
        <v>69</v>
      </c>
      <c r="C16" s="4" t="s">
        <v>422</v>
      </c>
      <c r="D16" s="4" t="s">
        <v>68</v>
      </c>
      <c r="E16" s="4">
        <v>1</v>
      </c>
      <c r="F16" s="4">
        <f>10</f>
        <v>10</v>
      </c>
      <c r="G16" s="4">
        <f>1</f>
        <v>1</v>
      </c>
      <c r="H16" s="4">
        <f>IF(Table113[[#This Row],[Auto Command]]=1,IF(Table113[[#This Row],[In stock]]&lt;Table113[[#This Row],[Min in stock]],1,""),"")</f>
        <v>1</v>
      </c>
      <c r="I16" s="3" t="s">
        <v>67</v>
      </c>
      <c r="J16" s="5">
        <v>4.88</v>
      </c>
      <c r="K16" s="3"/>
      <c r="L16" s="5"/>
      <c r="M16" s="3"/>
      <c r="N16" s="5"/>
      <c r="O16" s="3"/>
      <c r="P16" s="5"/>
      <c r="Q16" s="3"/>
      <c r="R16" s="5"/>
      <c r="S16" s="3"/>
      <c r="T16" s="5"/>
      <c r="U16" s="3"/>
      <c r="V16" s="5"/>
    </row>
    <row r="17" spans="1:22" x14ac:dyDescent="0.25">
      <c r="A17" s="4" t="s">
        <v>141</v>
      </c>
      <c r="B17" s="4" t="s">
        <v>160</v>
      </c>
      <c r="C17" s="4" t="s">
        <v>359</v>
      </c>
      <c r="D17" s="4" t="s">
        <v>142</v>
      </c>
      <c r="E17" s="4">
        <v>5</v>
      </c>
      <c r="F17" s="4">
        <f>10</f>
        <v>10</v>
      </c>
      <c r="G17" s="4">
        <f>1</f>
        <v>1</v>
      </c>
      <c r="H17" s="4">
        <f>IF(Table113[[#This Row],[Auto Command]]=1,IF(Table113[[#This Row],[In stock]]&lt;Table113[[#This Row],[Min in stock]],1,""),"")</f>
        <v>1</v>
      </c>
      <c r="I17" s="3" t="s">
        <v>140</v>
      </c>
      <c r="J17" s="5">
        <v>0.45</v>
      </c>
      <c r="K17" s="3"/>
      <c r="L17" s="5"/>
      <c r="M17" s="3"/>
      <c r="N17" s="5"/>
      <c r="O17" s="3"/>
      <c r="P17" s="5"/>
      <c r="Q17" s="3"/>
      <c r="R17" s="5"/>
      <c r="S17" s="3"/>
      <c r="T17" s="5"/>
      <c r="U17" s="3"/>
      <c r="V17" s="5"/>
    </row>
    <row r="18" spans="1:22" x14ac:dyDescent="0.25">
      <c r="A18" s="4" t="s">
        <v>77</v>
      </c>
      <c r="B18" s="4" t="s">
        <v>76</v>
      </c>
      <c r="C18" s="4" t="s">
        <v>359</v>
      </c>
      <c r="D18" s="4" t="s">
        <v>75</v>
      </c>
      <c r="E18" s="4">
        <v>1</v>
      </c>
      <c r="F18" s="4">
        <f>10</f>
        <v>10</v>
      </c>
      <c r="G18" s="4">
        <f>1</f>
        <v>1</v>
      </c>
      <c r="H18" s="4">
        <f>IF(Table113[[#This Row],[Auto Command]]=1,IF(Table113[[#This Row],[In stock]]&lt;Table113[[#This Row],[Min in stock]],1,""),"")</f>
        <v>1</v>
      </c>
      <c r="I18" s="3" t="s">
        <v>74</v>
      </c>
      <c r="J18" s="5">
        <v>2.98</v>
      </c>
      <c r="K18" s="3"/>
      <c r="L18" s="5"/>
      <c r="M18" s="3"/>
      <c r="N18" s="5"/>
      <c r="O18" s="3"/>
      <c r="P18" s="5"/>
      <c r="Q18" s="3"/>
      <c r="R18" s="5"/>
      <c r="S18" s="3"/>
      <c r="T18" s="5"/>
      <c r="U18" s="3"/>
      <c r="V18" s="5"/>
    </row>
    <row r="19" spans="1:22" x14ac:dyDescent="0.25">
      <c r="A19" s="4" t="s">
        <v>73</v>
      </c>
      <c r="B19" s="4" t="s">
        <v>72</v>
      </c>
      <c r="C19" s="4" t="s">
        <v>359</v>
      </c>
      <c r="D19" s="4" t="s">
        <v>71</v>
      </c>
      <c r="E19" s="4">
        <v>3</v>
      </c>
      <c r="F19" s="4">
        <f>10</f>
        <v>10</v>
      </c>
      <c r="G19" s="4">
        <f>1</f>
        <v>1</v>
      </c>
      <c r="H19" s="4">
        <f>IF(Table113[[#This Row],[Auto Command]]=1,IF(Table113[[#This Row],[In stock]]&lt;Table113[[#This Row],[Min in stock]],1,""),"")</f>
        <v>1</v>
      </c>
      <c r="I19" s="3" t="s">
        <v>70</v>
      </c>
      <c r="J19" s="5">
        <v>1.07</v>
      </c>
      <c r="K19" s="3"/>
      <c r="L19" s="5"/>
      <c r="M19" s="3"/>
      <c r="N19" s="5"/>
      <c r="O19" s="3"/>
      <c r="P19" s="5"/>
      <c r="Q19" s="3"/>
      <c r="R19" s="5"/>
      <c r="S19" s="3"/>
      <c r="T19" s="5"/>
      <c r="U19" s="3"/>
      <c r="V19" s="5"/>
    </row>
    <row r="20" spans="1:22" x14ac:dyDescent="0.25">
      <c r="A20" s="4" t="s">
        <v>153</v>
      </c>
      <c r="B20" s="4" t="s">
        <v>80</v>
      </c>
      <c r="C20" s="4" t="s">
        <v>359</v>
      </c>
      <c r="D20" s="4" t="s">
        <v>154</v>
      </c>
      <c r="E20" s="4">
        <v>3</v>
      </c>
      <c r="F20" s="4">
        <f>10</f>
        <v>10</v>
      </c>
      <c r="G20" s="4">
        <f>1</f>
        <v>1</v>
      </c>
      <c r="H20" s="4">
        <f>IF(Table113[[#This Row],[Auto Command]]=1,IF(Table113[[#This Row],[In stock]]&lt;Table113[[#This Row],[Min in stock]],1,""),"")</f>
        <v>1</v>
      </c>
      <c r="I20" s="3" t="s">
        <v>152</v>
      </c>
      <c r="J20" s="5">
        <v>1.53</v>
      </c>
      <c r="K20" s="3"/>
      <c r="L20" s="5"/>
      <c r="M20" s="3"/>
      <c r="N20" s="5"/>
      <c r="O20" s="3"/>
      <c r="P20" s="5"/>
      <c r="Q20" s="3"/>
      <c r="R20" s="5"/>
      <c r="S20" s="3"/>
      <c r="T20" s="5"/>
      <c r="U20" s="3"/>
      <c r="V20" s="5"/>
    </row>
    <row r="21" spans="1:22" x14ac:dyDescent="0.25">
      <c r="A21" s="4" t="s">
        <v>81</v>
      </c>
      <c r="B21" s="4" t="s">
        <v>80</v>
      </c>
      <c r="C21" s="4" t="s">
        <v>359</v>
      </c>
      <c r="D21" s="4" t="s">
        <v>79</v>
      </c>
      <c r="E21" s="4">
        <v>2</v>
      </c>
      <c r="F21" s="4">
        <f>10</f>
        <v>10</v>
      </c>
      <c r="G21" s="4">
        <f>1</f>
        <v>1</v>
      </c>
      <c r="H21" s="4">
        <f>IF(Table113[[#This Row],[Auto Command]]=1,IF(Table113[[#This Row],[In stock]]&lt;Table113[[#This Row],[Min in stock]],1,""),"")</f>
        <v>1</v>
      </c>
      <c r="I21" s="3" t="s">
        <v>78</v>
      </c>
      <c r="J21" s="5">
        <v>1.57</v>
      </c>
      <c r="K21" s="3"/>
      <c r="L21" s="5"/>
      <c r="M21" s="3"/>
      <c r="N21" s="5"/>
      <c r="O21" s="3"/>
      <c r="P21" s="5"/>
      <c r="Q21" s="3"/>
      <c r="R21" s="5"/>
      <c r="S21" s="3"/>
      <c r="T21" s="5"/>
      <c r="U21" s="3"/>
      <c r="V21" s="5"/>
    </row>
    <row r="22" spans="1:22" x14ac:dyDescent="0.25">
      <c r="A22" s="4" t="s">
        <v>147</v>
      </c>
      <c r="B22" s="4" t="s">
        <v>80</v>
      </c>
      <c r="C22" s="4" t="s">
        <v>419</v>
      </c>
      <c r="D22" s="4" t="s">
        <v>148</v>
      </c>
      <c r="E22" s="4">
        <v>3</v>
      </c>
      <c r="F22" s="4">
        <f>10</f>
        <v>10</v>
      </c>
      <c r="G22" s="4">
        <f>1</f>
        <v>1</v>
      </c>
      <c r="H22" s="4">
        <f>IF(Table113[[#This Row],[Auto Command]]=1,IF(Table113[[#This Row],[In stock]]&lt;Table113[[#This Row],[Min in stock]],1,""),"")</f>
        <v>1</v>
      </c>
      <c r="I22" s="3" t="s">
        <v>146</v>
      </c>
      <c r="J22" s="5">
        <v>1.47</v>
      </c>
      <c r="K22" s="3"/>
      <c r="L22" s="5"/>
      <c r="M22" s="3"/>
      <c r="N22" s="5"/>
      <c r="O22" s="3"/>
      <c r="P22" s="5"/>
      <c r="Q22" s="3"/>
      <c r="R22" s="5"/>
      <c r="S22" s="3"/>
      <c r="T22" s="5"/>
      <c r="U22" s="3"/>
      <c r="V22" s="5"/>
    </row>
    <row r="23" spans="1:22" x14ac:dyDescent="0.25">
      <c r="A23" s="4" t="s">
        <v>150</v>
      </c>
      <c r="B23" s="4" t="s">
        <v>80</v>
      </c>
      <c r="C23" s="4" t="s">
        <v>418</v>
      </c>
      <c r="D23" s="4" t="s">
        <v>151</v>
      </c>
      <c r="E23" s="4">
        <v>3</v>
      </c>
      <c r="F23" s="4">
        <f>10</f>
        <v>10</v>
      </c>
      <c r="G23" s="4">
        <f>1</f>
        <v>1</v>
      </c>
      <c r="H23" s="4">
        <f>IF(Table113[[#This Row],[Auto Command]]=1,IF(Table113[[#This Row],[In stock]]&lt;Table113[[#This Row],[Min in stock]],1,""),"")</f>
        <v>1</v>
      </c>
      <c r="I23" s="3" t="s">
        <v>149</v>
      </c>
      <c r="J23" s="5">
        <v>1.43</v>
      </c>
      <c r="K23" s="3"/>
      <c r="L23" s="5"/>
      <c r="M23" s="3"/>
      <c r="N23" s="5"/>
      <c r="O23" s="3"/>
      <c r="P23" s="5"/>
      <c r="Q23" s="3"/>
      <c r="R23" s="5"/>
      <c r="S23" s="3"/>
      <c r="T23" s="5"/>
      <c r="U23" s="3"/>
      <c r="V23" s="5"/>
    </row>
    <row r="24" spans="1:22" x14ac:dyDescent="0.25">
      <c r="A24" s="4" t="s">
        <v>158</v>
      </c>
      <c r="B24" s="4" t="s">
        <v>95</v>
      </c>
      <c r="C24" s="4" t="s">
        <v>359</v>
      </c>
      <c r="D24" s="4" t="s">
        <v>66</v>
      </c>
      <c r="E24" s="4">
        <v>1</v>
      </c>
      <c r="F24" s="4">
        <f>10</f>
        <v>10</v>
      </c>
      <c r="G24" s="4">
        <f>1</f>
        <v>1</v>
      </c>
      <c r="H24" s="4">
        <f>IF(Table113[[#This Row],[Auto Command]]=1,IF(Table113[[#This Row],[In stock]]&lt;Table113[[#This Row],[Min in stock]],1,""),"")</f>
        <v>1</v>
      </c>
      <c r="I24" s="3" t="s">
        <v>64</v>
      </c>
      <c r="J24" s="5">
        <v>15.9</v>
      </c>
      <c r="K24" s="3"/>
      <c r="L24" s="5"/>
      <c r="M24" s="3"/>
      <c r="N24" s="5"/>
      <c r="O24" s="3"/>
      <c r="P24" s="5"/>
      <c r="Q24" s="3"/>
      <c r="R24" s="5"/>
      <c r="S24" s="3"/>
      <c r="T24" s="5"/>
      <c r="U24" s="3"/>
      <c r="V24" s="5"/>
    </row>
    <row r="25" spans="1:22" x14ac:dyDescent="0.25">
      <c r="A25" s="4" t="s">
        <v>144</v>
      </c>
      <c r="B25" s="4" t="s">
        <v>161</v>
      </c>
      <c r="C25" s="4" t="s">
        <v>359</v>
      </c>
      <c r="D25" s="4" t="s">
        <v>145</v>
      </c>
      <c r="E25" s="4">
        <v>2</v>
      </c>
      <c r="F25" s="4">
        <f>10</f>
        <v>10</v>
      </c>
      <c r="G25" s="4">
        <f>1</f>
        <v>1</v>
      </c>
      <c r="H25" s="4">
        <f>IF(Table113[[#This Row],[Auto Command]]=1,IF(Table113[[#This Row],[In stock]]&lt;Table113[[#This Row],[Min in stock]],1,""),"")</f>
        <v>1</v>
      </c>
      <c r="I25" s="3" t="s">
        <v>143</v>
      </c>
      <c r="J25" s="5">
        <v>2.52</v>
      </c>
      <c r="K25" s="3"/>
      <c r="L25" s="5"/>
      <c r="M25" s="3"/>
      <c r="N25" s="5"/>
      <c r="O25" s="3"/>
      <c r="P25" s="5"/>
      <c r="Q25" s="3"/>
      <c r="R25" s="5"/>
      <c r="S25" s="3"/>
      <c r="T25" s="5"/>
      <c r="U25" s="3"/>
      <c r="V25" s="5"/>
    </row>
    <row r="26" spans="1:22" x14ac:dyDescent="0.25">
      <c r="A26" s="3" t="s">
        <v>181</v>
      </c>
      <c r="B26" s="4" t="s">
        <v>179</v>
      </c>
      <c r="C26" s="4" t="s">
        <v>359</v>
      </c>
      <c r="D26" s="4" t="s">
        <v>182</v>
      </c>
      <c r="E26" s="4">
        <v>4</v>
      </c>
      <c r="F26" s="4">
        <f>10</f>
        <v>10</v>
      </c>
      <c r="G26" s="4">
        <f>1</f>
        <v>1</v>
      </c>
      <c r="H26" s="4">
        <f>IF(Table113[[#This Row],[Auto Command]]=1,IF(Table113[[#This Row],[In stock]]&lt;Table113[[#This Row],[Min in stock]],1,""),"")</f>
        <v>1</v>
      </c>
      <c r="I26" s="3" t="s">
        <v>180</v>
      </c>
      <c r="J26" s="5">
        <v>1.82</v>
      </c>
      <c r="K26" s="3"/>
      <c r="L26" s="5"/>
      <c r="M26" s="3"/>
      <c r="N26" s="5"/>
      <c r="O26" s="3"/>
      <c r="P26" s="5"/>
      <c r="Q26" s="3"/>
      <c r="R26" s="5"/>
      <c r="S26" s="3"/>
      <c r="T26" s="5"/>
      <c r="U26" s="3"/>
      <c r="V26" s="5"/>
    </row>
    <row r="27" spans="1:22" x14ac:dyDescent="0.25">
      <c r="A27" s="3" t="s">
        <v>184</v>
      </c>
      <c r="B27" s="4" t="s">
        <v>179</v>
      </c>
      <c r="C27" s="4" t="s">
        <v>359</v>
      </c>
      <c r="D27" s="4" t="s">
        <v>185</v>
      </c>
      <c r="E27" s="4">
        <v>1</v>
      </c>
      <c r="F27" s="4">
        <f>10</f>
        <v>10</v>
      </c>
      <c r="G27" s="4">
        <f>1</f>
        <v>1</v>
      </c>
      <c r="H27" s="4">
        <f>IF(Table113[[#This Row],[Auto Command]]=1,IF(Table113[[#This Row],[In stock]]&lt;Table113[[#This Row],[Min in stock]],1,""),"")</f>
        <v>1</v>
      </c>
      <c r="I27" s="3" t="s">
        <v>183</v>
      </c>
      <c r="J27" s="5">
        <v>0.8</v>
      </c>
      <c r="K27" s="3"/>
      <c r="L27" s="5"/>
      <c r="M27" s="3"/>
      <c r="N27" s="5"/>
      <c r="O27" s="3"/>
      <c r="P27" s="5"/>
      <c r="Q27" s="3"/>
      <c r="R27" s="5"/>
      <c r="S27" s="3"/>
      <c r="T27" s="5"/>
      <c r="U27" s="3"/>
      <c r="V27" s="5"/>
    </row>
    <row r="28" spans="1:22" x14ac:dyDescent="0.25">
      <c r="A28" s="3" t="s">
        <v>187</v>
      </c>
      <c r="B28" s="4" t="s">
        <v>179</v>
      </c>
      <c r="C28" s="4" t="s">
        <v>359</v>
      </c>
      <c r="D28" s="4" t="s">
        <v>188</v>
      </c>
      <c r="E28" s="4">
        <v>2</v>
      </c>
      <c r="F28" s="4">
        <f>10</f>
        <v>10</v>
      </c>
      <c r="G28" s="4">
        <f>1</f>
        <v>1</v>
      </c>
      <c r="H28" s="4">
        <f>IF(Table113[[#This Row],[Auto Command]]=1,IF(Table113[[#This Row],[In stock]]&lt;Table113[[#This Row],[Min in stock]],1,""),"")</f>
        <v>1</v>
      </c>
      <c r="I28" s="3" t="s">
        <v>186</v>
      </c>
      <c r="J28" s="5">
        <v>1.06</v>
      </c>
      <c r="K28" s="3"/>
      <c r="L28" s="5"/>
      <c r="M28" s="3"/>
      <c r="N28" s="5"/>
      <c r="O28" s="3"/>
      <c r="P28" s="5"/>
      <c r="Q28" s="3"/>
      <c r="R28" s="5"/>
      <c r="S28" s="3"/>
      <c r="T28" s="5"/>
      <c r="U28" s="3"/>
      <c r="V28" s="5"/>
    </row>
    <row r="29" spans="1:22" x14ac:dyDescent="0.25">
      <c r="A29" s="3" t="s">
        <v>190</v>
      </c>
      <c r="B29" s="4" t="s">
        <v>179</v>
      </c>
      <c r="C29" s="4" t="s">
        <v>359</v>
      </c>
      <c r="D29" s="4" t="s">
        <v>191</v>
      </c>
      <c r="E29" s="4">
        <v>99</v>
      </c>
      <c r="F29" s="4">
        <f>10</f>
        <v>10</v>
      </c>
      <c r="G29" s="4">
        <f>1</f>
        <v>1</v>
      </c>
      <c r="H29" s="4" t="str">
        <f>IF(Table113[[#This Row],[Auto Command]]=1,IF(Table113[[#This Row],[In stock]]&lt;Table113[[#This Row],[Min in stock]],1,""),"")</f>
        <v/>
      </c>
      <c r="I29" s="3" t="s">
        <v>189</v>
      </c>
      <c r="J29" s="5">
        <v>1.95E-2</v>
      </c>
      <c r="K29" s="3"/>
      <c r="L29" s="5"/>
      <c r="M29" s="3"/>
      <c r="N29" s="5"/>
      <c r="O29" s="3"/>
      <c r="P29" s="5"/>
      <c r="Q29" s="3"/>
      <c r="R29" s="5"/>
      <c r="S29" s="3"/>
      <c r="T29" s="5"/>
      <c r="U29" s="3"/>
      <c r="V29" s="5"/>
    </row>
    <row r="30" spans="1:22" x14ac:dyDescent="0.25">
      <c r="A30" s="3" t="s">
        <v>193</v>
      </c>
      <c r="B30" s="4" t="s">
        <v>179</v>
      </c>
      <c r="C30" s="4" t="s">
        <v>359</v>
      </c>
      <c r="D30" s="4" t="s">
        <v>194</v>
      </c>
      <c r="E30" s="4">
        <v>1</v>
      </c>
      <c r="F30" s="4">
        <f>10</f>
        <v>10</v>
      </c>
      <c r="G30" s="4">
        <f>1</f>
        <v>1</v>
      </c>
      <c r="H30" s="4">
        <f>IF(Table113[[#This Row],[Auto Command]]=1,IF(Table113[[#This Row],[In stock]]&lt;Table113[[#This Row],[Min in stock]],1,""),"")</f>
        <v>1</v>
      </c>
      <c r="I30" s="3" t="s">
        <v>192</v>
      </c>
      <c r="J30" s="5">
        <v>1.82</v>
      </c>
      <c r="K30" s="3"/>
      <c r="L30" s="5"/>
      <c r="M30" s="3"/>
      <c r="N30" s="5"/>
      <c r="O30" s="3"/>
      <c r="P30" s="5"/>
      <c r="Q30" s="3"/>
      <c r="R30" s="5"/>
      <c r="S30" s="3"/>
      <c r="T30" s="5"/>
      <c r="U30" s="3"/>
      <c r="V30" s="5"/>
    </row>
    <row r="31" spans="1:22" x14ac:dyDescent="0.25">
      <c r="A31" s="3" t="s">
        <v>196</v>
      </c>
      <c r="B31" s="4" t="s">
        <v>179</v>
      </c>
      <c r="C31" s="4" t="s">
        <v>359</v>
      </c>
      <c r="D31" s="4" t="s">
        <v>197</v>
      </c>
      <c r="E31" s="4">
        <v>2</v>
      </c>
      <c r="F31" s="4">
        <f>10</f>
        <v>10</v>
      </c>
      <c r="G31" s="4">
        <f>1</f>
        <v>1</v>
      </c>
      <c r="H31" s="4">
        <f>IF(Table113[[#This Row],[Auto Command]]=1,IF(Table113[[#This Row],[In stock]]&lt;Table113[[#This Row],[Min in stock]],1,""),"")</f>
        <v>1</v>
      </c>
      <c r="I31" s="3" t="s">
        <v>195</v>
      </c>
      <c r="J31" s="5">
        <v>2.64</v>
      </c>
      <c r="K31" s="3"/>
      <c r="L31" s="5"/>
      <c r="M31" s="3"/>
      <c r="N31" s="5"/>
      <c r="O31" s="3"/>
      <c r="P31" s="5"/>
      <c r="Q31" s="3"/>
      <c r="R31" s="5"/>
      <c r="S31" s="3"/>
      <c r="T31" s="5"/>
      <c r="U31" s="3"/>
      <c r="V31" s="5"/>
    </row>
    <row r="32" spans="1:22" x14ac:dyDescent="0.25">
      <c r="A32" s="3" t="s">
        <v>199</v>
      </c>
      <c r="B32" s="4" t="s">
        <v>179</v>
      </c>
      <c r="C32" s="4" t="s">
        <v>359</v>
      </c>
      <c r="D32" s="4" t="s">
        <v>200</v>
      </c>
      <c r="E32" s="4">
        <v>1</v>
      </c>
      <c r="F32" s="4">
        <f>10</f>
        <v>10</v>
      </c>
      <c r="G32" s="4">
        <f>1</f>
        <v>1</v>
      </c>
      <c r="H32" s="4">
        <f>IF(Table113[[#This Row],[Auto Command]]=1,IF(Table113[[#This Row],[In stock]]&lt;Table113[[#This Row],[Min in stock]],1,""),"")</f>
        <v>1</v>
      </c>
      <c r="I32" s="3" t="s">
        <v>198</v>
      </c>
      <c r="J32" s="5">
        <v>15.95</v>
      </c>
      <c r="K32" s="3"/>
      <c r="L32" s="5"/>
      <c r="M32" s="3"/>
      <c r="N32" s="5"/>
      <c r="O32" s="3"/>
      <c r="P32" s="5"/>
      <c r="Q32" s="3"/>
      <c r="R32" s="5"/>
      <c r="S32" s="3"/>
      <c r="T32" s="5"/>
      <c r="U32" s="3"/>
      <c r="V32" s="5"/>
    </row>
    <row r="33" spans="1:22" x14ac:dyDescent="0.25">
      <c r="A33" s="3" t="s">
        <v>219</v>
      </c>
      <c r="B33" s="4" t="s">
        <v>222</v>
      </c>
      <c r="C33" s="4" t="s">
        <v>421</v>
      </c>
      <c r="D33" s="4" t="s">
        <v>220</v>
      </c>
      <c r="E33" s="4">
        <v>4</v>
      </c>
      <c r="F33" s="4">
        <f>10</f>
        <v>10</v>
      </c>
      <c r="G33" s="4">
        <f>1</f>
        <v>1</v>
      </c>
      <c r="H33" s="4">
        <f>IF(Table113[[#This Row],[Auto Command]]=1,IF(Table113[[#This Row],[In stock]]&lt;Table113[[#This Row],[Min in stock]],1,""),"")</f>
        <v>1</v>
      </c>
      <c r="I33" s="3" t="s">
        <v>221</v>
      </c>
      <c r="J33" s="5">
        <v>2.64</v>
      </c>
      <c r="K33" s="3"/>
      <c r="L33" s="5"/>
      <c r="M33" s="3"/>
      <c r="N33" s="5"/>
      <c r="O33" s="3"/>
      <c r="P33" s="5"/>
      <c r="Q33" s="3"/>
      <c r="R33" s="5"/>
      <c r="S33" s="3"/>
      <c r="T33" s="5"/>
      <c r="U33" s="3"/>
      <c r="V33" s="5"/>
    </row>
    <row r="34" spans="1:22" x14ac:dyDescent="0.25">
      <c r="A34" s="3" t="s">
        <v>218</v>
      </c>
      <c r="B34" s="4" t="s">
        <v>80</v>
      </c>
      <c r="C34" s="4" t="s">
        <v>420</v>
      </c>
      <c r="D34" s="4" t="s">
        <v>217</v>
      </c>
      <c r="E34" s="4">
        <v>4</v>
      </c>
      <c r="F34" s="4">
        <f>10</f>
        <v>10</v>
      </c>
      <c r="G34" s="4">
        <f>1</f>
        <v>1</v>
      </c>
      <c r="H34" s="4">
        <f>IF(Table113[[#This Row],[Auto Command]]=1,IF(Table113[[#This Row],[In stock]]&lt;Table113[[#This Row],[Min in stock]],1,""),"")</f>
        <v>1</v>
      </c>
      <c r="I34" s="3" t="s">
        <v>223</v>
      </c>
      <c r="J34" s="5">
        <v>0.92</v>
      </c>
      <c r="K34" s="3"/>
      <c r="L34" s="5"/>
      <c r="M34" s="3"/>
      <c r="N34" s="5"/>
      <c r="O34" s="3"/>
      <c r="P34" s="5"/>
      <c r="Q34" s="3"/>
      <c r="R34" s="5"/>
      <c r="S34" s="3"/>
      <c r="T34" s="5"/>
      <c r="U34" s="3"/>
      <c r="V34" s="5"/>
    </row>
    <row r="35" spans="1:22" x14ac:dyDescent="0.25">
      <c r="A35" s="3" t="s">
        <v>224</v>
      </c>
      <c r="B35" s="4" t="s">
        <v>80</v>
      </c>
      <c r="C35" s="4" t="s">
        <v>417</v>
      </c>
      <c r="D35" s="4" t="s">
        <v>225</v>
      </c>
      <c r="E35" s="4">
        <v>24</v>
      </c>
      <c r="F35" s="4">
        <f>10</f>
        <v>10</v>
      </c>
      <c r="G35" s="4">
        <f>1</f>
        <v>1</v>
      </c>
      <c r="H35" s="4" t="str">
        <f>IF(Table113[[#This Row],[Auto Command]]=1,IF(Table113[[#This Row],[In stock]]&lt;Table113[[#This Row],[Min in stock]],1,""),"")</f>
        <v/>
      </c>
      <c r="I35" s="3" t="s">
        <v>226</v>
      </c>
      <c r="J35" s="5">
        <v>0.11</v>
      </c>
      <c r="K35" s="3"/>
      <c r="L35" s="5"/>
      <c r="M35" s="3"/>
      <c r="N35" s="5"/>
      <c r="O35" s="3"/>
      <c r="P35" s="5"/>
      <c r="Q35" s="3"/>
      <c r="R35" s="5"/>
      <c r="S35" s="3"/>
      <c r="T35" s="5"/>
      <c r="U35" s="3"/>
      <c r="V35" s="5"/>
    </row>
    <row r="36" spans="1:22" x14ac:dyDescent="0.25">
      <c r="A36" s="3" t="s">
        <v>228</v>
      </c>
      <c r="B36" s="4" t="s">
        <v>229</v>
      </c>
      <c r="C36" s="4" t="s">
        <v>359</v>
      </c>
      <c r="D36" s="4" t="s">
        <v>230</v>
      </c>
      <c r="E36" s="4">
        <v>4</v>
      </c>
      <c r="F36" s="4">
        <f>10</f>
        <v>10</v>
      </c>
      <c r="G36" s="4">
        <f>1</f>
        <v>1</v>
      </c>
      <c r="H36" s="4">
        <f>IF(Table113[[#This Row],[Auto Command]]=1,IF(Table113[[#This Row],[In stock]]&lt;Table113[[#This Row],[Min in stock]],1,""),"")</f>
        <v>1</v>
      </c>
      <c r="I36" s="3" t="s">
        <v>227</v>
      </c>
      <c r="J36" s="5">
        <v>1.21</v>
      </c>
      <c r="K36" s="3"/>
      <c r="L36" s="5"/>
      <c r="M36" s="3"/>
      <c r="N36" s="5"/>
      <c r="O36" s="3"/>
      <c r="P36" s="5"/>
      <c r="Q36" s="3"/>
      <c r="R36" s="5"/>
      <c r="S36" s="3"/>
      <c r="T36" s="5"/>
      <c r="U36" s="3"/>
      <c r="V36" s="5"/>
    </row>
    <row r="37" spans="1:22" x14ac:dyDescent="0.25">
      <c r="A37" s="3" t="s">
        <v>232</v>
      </c>
      <c r="B37" s="4" t="s">
        <v>160</v>
      </c>
      <c r="C37" s="4" t="s">
        <v>426</v>
      </c>
      <c r="D37" s="4" t="s">
        <v>233</v>
      </c>
      <c r="E37" s="4">
        <v>9</v>
      </c>
      <c r="F37" s="4">
        <f>10</f>
        <v>10</v>
      </c>
      <c r="G37" s="4">
        <f>1</f>
        <v>1</v>
      </c>
      <c r="H37" s="4">
        <f>IF(Table113[[#This Row],[Auto Command]]=1,IF(Table113[[#This Row],[In stock]]&lt;Table113[[#This Row],[Min in stock]],1,""),"")</f>
        <v>1</v>
      </c>
      <c r="I37" s="3" t="s">
        <v>231</v>
      </c>
      <c r="J37" s="5">
        <v>0.14000000000000001</v>
      </c>
      <c r="K37" s="3"/>
      <c r="L37" s="5"/>
      <c r="M37" s="3"/>
      <c r="N37" s="5"/>
      <c r="O37" s="3"/>
      <c r="P37" s="5"/>
      <c r="Q37" s="3"/>
      <c r="R37" s="5"/>
      <c r="S37" s="3"/>
      <c r="T37" s="5"/>
      <c r="U37" s="3"/>
      <c r="V37" s="5"/>
    </row>
    <row r="38" spans="1:22" x14ac:dyDescent="0.25">
      <c r="A38" s="3" t="s">
        <v>234</v>
      </c>
      <c r="B38" s="4" t="s">
        <v>161</v>
      </c>
      <c r="C38" s="4" t="s">
        <v>425</v>
      </c>
      <c r="D38" s="4" t="s">
        <v>235</v>
      </c>
      <c r="E38" s="4">
        <v>9</v>
      </c>
      <c r="F38" s="4">
        <f>10</f>
        <v>10</v>
      </c>
      <c r="G38" s="4">
        <f>1</f>
        <v>1</v>
      </c>
      <c r="H38" s="4">
        <f>IF(Table113[[#This Row],[Auto Command]]=1,IF(Table113[[#This Row],[In stock]]&lt;Table113[[#This Row],[Min in stock]],1,""),"")</f>
        <v>1</v>
      </c>
      <c r="I38" s="3" t="s">
        <v>234</v>
      </c>
      <c r="J38" s="5">
        <v>0.52</v>
      </c>
      <c r="K38" s="3"/>
      <c r="L38" s="5"/>
      <c r="M38" s="3"/>
      <c r="N38" s="5"/>
      <c r="O38" s="3"/>
      <c r="P38" s="5"/>
      <c r="Q38" s="3"/>
      <c r="R38" s="5"/>
      <c r="S38" s="3"/>
      <c r="T38" s="5"/>
      <c r="U38" s="3"/>
      <c r="V38" s="5"/>
    </row>
    <row r="39" spans="1:22" x14ac:dyDescent="0.25">
      <c r="A39" s="3" t="s">
        <v>237</v>
      </c>
      <c r="B39" s="4" t="s">
        <v>238</v>
      </c>
      <c r="C39" s="4" t="s">
        <v>359</v>
      </c>
      <c r="D39" s="4" t="s">
        <v>239</v>
      </c>
      <c r="E39" s="4">
        <v>4</v>
      </c>
      <c r="F39" s="4">
        <f>10</f>
        <v>10</v>
      </c>
      <c r="G39" s="4">
        <f>1</f>
        <v>1</v>
      </c>
      <c r="H39" s="4">
        <f>IF(Table113[[#This Row],[Auto Command]]=1,IF(Table113[[#This Row],[In stock]]&lt;Table113[[#This Row],[Min in stock]],1,""),"")</f>
        <v>1</v>
      </c>
      <c r="I39" s="3" t="s">
        <v>236</v>
      </c>
      <c r="J39" s="5">
        <v>1.39</v>
      </c>
      <c r="K39" s="3"/>
      <c r="L39" s="5"/>
      <c r="M39" s="3"/>
      <c r="N39" s="5"/>
      <c r="O39" s="3"/>
      <c r="P39" s="5"/>
      <c r="Q39" s="3"/>
      <c r="R39" s="5"/>
      <c r="S39" s="3"/>
      <c r="T39" s="5"/>
      <c r="U39" s="3"/>
      <c r="V39" s="5"/>
    </row>
    <row r="40" spans="1:22" x14ac:dyDescent="0.25">
      <c r="A40" s="3" t="s">
        <v>241</v>
      </c>
      <c r="B40" s="4" t="s">
        <v>242</v>
      </c>
      <c r="C40" s="4" t="s">
        <v>359</v>
      </c>
      <c r="D40" s="4" t="s">
        <v>243</v>
      </c>
      <c r="E40" s="4">
        <v>4</v>
      </c>
      <c r="F40" s="4">
        <f>10</f>
        <v>10</v>
      </c>
      <c r="G40" s="4">
        <f>1</f>
        <v>1</v>
      </c>
      <c r="H40" s="4">
        <f>IF(Table113[[#This Row],[Auto Command]]=1,IF(Table113[[#This Row],[In stock]]&lt;Table113[[#This Row],[Min in stock]],1,""),"")</f>
        <v>1</v>
      </c>
      <c r="I40" s="3" t="s">
        <v>240</v>
      </c>
      <c r="J40" s="5">
        <v>0.85</v>
      </c>
      <c r="K40" s="3"/>
      <c r="L40" s="5"/>
      <c r="M40" s="3"/>
      <c r="N40" s="5"/>
      <c r="O40" s="3"/>
      <c r="P40" s="5"/>
      <c r="Q40" s="3"/>
      <c r="R40" s="5"/>
      <c r="S40" s="3"/>
      <c r="T40" s="5"/>
      <c r="U40" s="3"/>
      <c r="V40" s="5"/>
    </row>
    <row r="41" spans="1:22" x14ac:dyDescent="0.25">
      <c r="A41" s="3" t="s">
        <v>245</v>
      </c>
      <c r="B41" s="4" t="s">
        <v>246</v>
      </c>
      <c r="C41" s="4" t="s">
        <v>359</v>
      </c>
      <c r="D41" s="4" t="s">
        <v>247</v>
      </c>
      <c r="E41" s="4">
        <v>17</v>
      </c>
      <c r="F41" s="4">
        <f>10</f>
        <v>10</v>
      </c>
      <c r="G41" s="4">
        <f>1</f>
        <v>1</v>
      </c>
      <c r="H41" s="4" t="str">
        <f>IF(Table113[[#This Row],[Auto Command]]=1,IF(Table113[[#This Row],[In stock]]&lt;Table113[[#This Row],[Min in stock]],1,""),"")</f>
        <v/>
      </c>
      <c r="I41" s="3" t="s">
        <v>244</v>
      </c>
      <c r="J41" s="5">
        <v>0.27</v>
      </c>
      <c r="K41" s="3"/>
      <c r="L41" s="5"/>
      <c r="M41" s="3"/>
      <c r="N41" s="5"/>
      <c r="O41" s="3"/>
      <c r="P41" s="5"/>
      <c r="Q41" s="3"/>
      <c r="R41" s="5"/>
      <c r="S41" s="3"/>
      <c r="T41" s="5"/>
      <c r="U41" s="3"/>
      <c r="V41" s="5"/>
    </row>
    <row r="42" spans="1:22" x14ac:dyDescent="0.25">
      <c r="A42" s="3" t="s">
        <v>249</v>
      </c>
      <c r="B42" s="4" t="s">
        <v>250</v>
      </c>
      <c r="C42" s="4" t="s">
        <v>359</v>
      </c>
      <c r="D42" s="4" t="s">
        <v>251</v>
      </c>
      <c r="E42" s="4">
        <v>99</v>
      </c>
      <c r="F42" s="4">
        <f>10</f>
        <v>10</v>
      </c>
      <c r="G42" s="4">
        <f>1</f>
        <v>1</v>
      </c>
      <c r="H42" s="4" t="str">
        <f>IF(Table113[[#This Row],[Auto Command]]=1,IF(Table113[[#This Row],[In stock]]&lt;Table113[[#This Row],[Min in stock]],1,""),"")</f>
        <v/>
      </c>
      <c r="I42" s="3" t="s">
        <v>248</v>
      </c>
      <c r="J42" s="5">
        <v>8.1000000000000003E-2</v>
      </c>
      <c r="K42" s="3"/>
      <c r="L42" s="5"/>
      <c r="M42" s="3"/>
      <c r="N42" s="5"/>
      <c r="O42" s="3"/>
      <c r="P42" s="5"/>
      <c r="Q42" s="3"/>
      <c r="R42" s="5"/>
      <c r="S42" s="3"/>
      <c r="T42" s="5"/>
      <c r="U42" s="3"/>
      <c r="V42" s="5"/>
    </row>
    <row r="43" spans="1:22" x14ac:dyDescent="0.25">
      <c r="A43" s="3" t="s">
        <v>253</v>
      </c>
      <c r="B43" s="4" t="s">
        <v>254</v>
      </c>
      <c r="C43" s="4" t="s">
        <v>359</v>
      </c>
      <c r="D43" s="4" t="s">
        <v>255</v>
      </c>
      <c r="E43" s="4">
        <v>99</v>
      </c>
      <c r="F43" s="4">
        <f>10</f>
        <v>10</v>
      </c>
      <c r="G43" s="4">
        <f>1</f>
        <v>1</v>
      </c>
      <c r="H43" s="4" t="str">
        <f>IF(Table113[[#This Row],[Auto Command]]=1,IF(Table113[[#This Row],[In stock]]&lt;Table113[[#This Row],[Min in stock]],1,""),"")</f>
        <v/>
      </c>
      <c r="I43" s="3" t="s">
        <v>252</v>
      </c>
      <c r="J43" s="5">
        <v>4.8000000000000001E-2</v>
      </c>
      <c r="K43" s="3"/>
      <c r="L43" s="5"/>
      <c r="M43" s="3"/>
      <c r="N43" s="5"/>
      <c r="O43" s="3"/>
      <c r="P43" s="5"/>
      <c r="Q43" s="3"/>
      <c r="R43" s="5"/>
      <c r="S43" s="3"/>
      <c r="T43" s="5"/>
      <c r="U43" s="3"/>
      <c r="V43" s="5"/>
    </row>
    <row r="44" spans="1:22" x14ac:dyDescent="0.25">
      <c r="A44" s="3" t="s">
        <v>597</v>
      </c>
      <c r="B44" s="4" t="s">
        <v>262</v>
      </c>
      <c r="C44" s="4" t="s">
        <v>359</v>
      </c>
      <c r="D44" s="4" t="s">
        <v>266</v>
      </c>
      <c r="E44" s="4">
        <v>3</v>
      </c>
      <c r="F44" s="4">
        <f>10</f>
        <v>10</v>
      </c>
      <c r="G44" s="4">
        <f>1</f>
        <v>1</v>
      </c>
      <c r="H44" s="4">
        <f>IF(Table113[[#This Row],[Auto Command]]=1,IF(Table113[[#This Row],[In stock]]&lt;Table113[[#This Row],[Min in stock]],1,""),"")</f>
        <v>1</v>
      </c>
      <c r="I44" s="3" t="s">
        <v>265</v>
      </c>
      <c r="J44" s="5">
        <v>0.31</v>
      </c>
      <c r="K44" s="3"/>
      <c r="L44" s="5"/>
      <c r="M44" s="3"/>
      <c r="N44" s="5"/>
      <c r="O44" s="3"/>
      <c r="P44" s="5"/>
      <c r="Q44" s="3"/>
      <c r="R44" s="5"/>
      <c r="S44" s="3"/>
      <c r="T44" s="5"/>
      <c r="U44" s="3"/>
      <c r="V44" s="5"/>
    </row>
    <row r="45" spans="1:22" x14ac:dyDescent="0.25">
      <c r="A45" s="3" t="s">
        <v>598</v>
      </c>
      <c r="B45" s="4" t="s">
        <v>262</v>
      </c>
      <c r="C45" s="4" t="s">
        <v>359</v>
      </c>
      <c r="D45" s="4" t="s">
        <v>268</v>
      </c>
      <c r="E45" s="4">
        <v>1</v>
      </c>
      <c r="F45" s="4">
        <f>10</f>
        <v>10</v>
      </c>
      <c r="G45" s="4">
        <f>1</f>
        <v>1</v>
      </c>
      <c r="H45" s="4">
        <f>IF(Table113[[#This Row],[Auto Command]]=1,IF(Table113[[#This Row],[In stock]]&lt;Table113[[#This Row],[Min in stock]],1,""),"")</f>
        <v>1</v>
      </c>
      <c r="I45" s="3" t="s">
        <v>267</v>
      </c>
      <c r="J45" s="5">
        <v>0.93</v>
      </c>
      <c r="K45" s="3"/>
      <c r="L45" s="5"/>
      <c r="M45" s="3"/>
      <c r="N45" s="5"/>
      <c r="O45" s="3"/>
      <c r="P45" s="5"/>
      <c r="Q45" s="3"/>
      <c r="R45" s="5"/>
      <c r="S45" s="3"/>
      <c r="T45" s="5"/>
      <c r="U45" s="3"/>
      <c r="V45" s="5"/>
    </row>
    <row r="46" spans="1:22" x14ac:dyDescent="0.25">
      <c r="A46" s="3" t="s">
        <v>599</v>
      </c>
      <c r="B46" s="4" t="s">
        <v>262</v>
      </c>
      <c r="C46" s="4" t="s">
        <v>359</v>
      </c>
      <c r="D46" s="4" t="s">
        <v>270</v>
      </c>
      <c r="E46" s="4">
        <v>1</v>
      </c>
      <c r="F46" s="4">
        <f>10</f>
        <v>10</v>
      </c>
      <c r="G46" s="4">
        <f>1</f>
        <v>1</v>
      </c>
      <c r="H46" s="4">
        <f>IF(Table113[[#This Row],[Auto Command]]=1,IF(Table113[[#This Row],[In stock]]&lt;Table113[[#This Row],[Min in stock]],1,""),"")</f>
        <v>1</v>
      </c>
      <c r="I46" s="3" t="s">
        <v>269</v>
      </c>
      <c r="J46" s="5">
        <v>0.72</v>
      </c>
      <c r="K46" s="3"/>
      <c r="L46" s="5"/>
      <c r="M46" s="3"/>
      <c r="N46" s="5"/>
      <c r="O46" s="3"/>
      <c r="P46" s="5"/>
      <c r="Q46" s="3"/>
      <c r="R46" s="5"/>
      <c r="S46" s="3"/>
      <c r="T46" s="5"/>
      <c r="U46" s="3"/>
      <c r="V46" s="5"/>
    </row>
    <row r="47" spans="1:22" x14ac:dyDescent="0.25">
      <c r="A47" s="3">
        <v>860021374008</v>
      </c>
      <c r="B47" s="4" t="s">
        <v>262</v>
      </c>
      <c r="C47" s="4" t="s">
        <v>359</v>
      </c>
      <c r="D47" s="4" t="s">
        <v>272</v>
      </c>
      <c r="E47" s="4">
        <v>4</v>
      </c>
      <c r="F47" s="4">
        <f>10</f>
        <v>10</v>
      </c>
      <c r="G47" s="4">
        <f>1</f>
        <v>1</v>
      </c>
      <c r="H47" s="4">
        <f>IF(Table113[[#This Row],[Auto Command]]=1,IF(Table113[[#This Row],[In stock]]&lt;Table113[[#This Row],[Min in stock]],1,""),"")</f>
        <v>1</v>
      </c>
      <c r="I47" s="3" t="s">
        <v>271</v>
      </c>
      <c r="J47" s="5">
        <v>0.43</v>
      </c>
      <c r="K47" s="3"/>
      <c r="L47" s="5"/>
      <c r="M47" s="3"/>
      <c r="N47" s="5"/>
      <c r="O47" s="3"/>
      <c r="P47" s="5"/>
      <c r="Q47" s="3"/>
      <c r="R47" s="5"/>
      <c r="S47" s="3"/>
      <c r="T47" s="5"/>
      <c r="U47" s="3"/>
      <c r="V47" s="5"/>
    </row>
    <row r="48" spans="1:22" x14ac:dyDescent="0.25">
      <c r="A48" s="3" t="s">
        <v>600</v>
      </c>
      <c r="B48" s="4" t="s">
        <v>262</v>
      </c>
      <c r="C48" s="4" t="s">
        <v>359</v>
      </c>
      <c r="D48" s="4" t="s">
        <v>274</v>
      </c>
      <c r="E48" s="4">
        <v>3</v>
      </c>
      <c r="F48" s="4">
        <f>10</f>
        <v>10</v>
      </c>
      <c r="G48" s="4">
        <f>1</f>
        <v>1</v>
      </c>
      <c r="H48" s="4">
        <f>IF(Table113[[#This Row],[Auto Command]]=1,IF(Table113[[#This Row],[In stock]]&lt;Table113[[#This Row],[Min in stock]],1,""),"")</f>
        <v>1</v>
      </c>
      <c r="I48" s="3" t="s">
        <v>273</v>
      </c>
      <c r="J48" s="5">
        <v>0.48</v>
      </c>
      <c r="K48" s="3"/>
      <c r="L48" s="5"/>
      <c r="M48" s="3"/>
      <c r="N48" s="5"/>
      <c r="O48" s="3"/>
      <c r="P48" s="5"/>
      <c r="Q48" s="3"/>
      <c r="R48" s="5"/>
      <c r="S48" s="3"/>
      <c r="T48" s="5"/>
      <c r="U48" s="3"/>
      <c r="V48" s="5"/>
    </row>
    <row r="49" spans="1:22" x14ac:dyDescent="0.25">
      <c r="A49" s="3" t="s">
        <v>601</v>
      </c>
      <c r="B49" s="4" t="s">
        <v>293</v>
      </c>
      <c r="C49" s="4" t="s">
        <v>359</v>
      </c>
      <c r="D49" s="4" t="s">
        <v>294</v>
      </c>
      <c r="E49" s="4">
        <v>0</v>
      </c>
      <c r="F49" s="4">
        <f>10</f>
        <v>10</v>
      </c>
      <c r="G49" s="4">
        <f>1</f>
        <v>1</v>
      </c>
      <c r="H49" s="4">
        <f>IF(Table113[[#This Row],[Auto Command]]=1,IF(Table113[[#This Row],[In stock]]&lt;Table113[[#This Row],[Min in stock]],1,""),"")</f>
        <v>1</v>
      </c>
      <c r="I49" s="3" t="s">
        <v>292</v>
      </c>
      <c r="J49" s="5">
        <v>0.62</v>
      </c>
      <c r="K49" s="3"/>
      <c r="L49" s="5"/>
      <c r="M49" s="3"/>
      <c r="N49" s="5"/>
      <c r="O49" s="3"/>
      <c r="P49" s="5"/>
      <c r="Q49" s="3"/>
      <c r="R49" s="5"/>
      <c r="S49" s="3"/>
      <c r="T49" s="5"/>
      <c r="U49" s="3"/>
      <c r="V49" s="5"/>
    </row>
    <row r="50" spans="1:22" x14ac:dyDescent="0.25">
      <c r="A50" s="3" t="s">
        <v>295</v>
      </c>
      <c r="B50" s="4" t="s">
        <v>293</v>
      </c>
      <c r="C50" s="4" t="s">
        <v>359</v>
      </c>
      <c r="D50" s="4" t="s">
        <v>296</v>
      </c>
      <c r="E50" s="4">
        <v>0</v>
      </c>
      <c r="F50" s="4">
        <f>10</f>
        <v>10</v>
      </c>
      <c r="G50" s="4">
        <f>1</f>
        <v>1</v>
      </c>
      <c r="H50" s="4">
        <f>IF(Table113[[#This Row],[Auto Command]]=1,IF(Table113[[#This Row],[In stock]]&lt;Table113[[#This Row],[Min in stock]],1,""),"")</f>
        <v>1</v>
      </c>
      <c r="I50" s="3" t="s">
        <v>465</v>
      </c>
      <c r="J50" s="5">
        <v>0.97</v>
      </c>
      <c r="K50" s="3"/>
      <c r="L50" s="5"/>
      <c r="M50" s="3"/>
      <c r="N50" s="5"/>
      <c r="O50" s="3"/>
      <c r="P50" s="5"/>
      <c r="Q50" s="3"/>
      <c r="R50" s="5"/>
      <c r="S50" s="3"/>
      <c r="T50" s="5"/>
      <c r="U50" s="3"/>
      <c r="V50" s="5"/>
    </row>
    <row r="51" spans="1:22" x14ac:dyDescent="0.25">
      <c r="A51" s="3" t="s">
        <v>276</v>
      </c>
      <c r="B51" s="4" t="s">
        <v>277</v>
      </c>
      <c r="C51" s="4" t="s">
        <v>359</v>
      </c>
      <c r="D51" s="4" t="s">
        <v>279</v>
      </c>
      <c r="E51" s="4">
        <v>5</v>
      </c>
      <c r="F51" s="4">
        <f>10</f>
        <v>10</v>
      </c>
      <c r="G51" s="4">
        <f>1</f>
        <v>1</v>
      </c>
      <c r="H51" s="4">
        <f>IF(Table113[[#This Row],[Auto Command]]=1,IF(Table113[[#This Row],[In stock]]&lt;Table113[[#This Row],[Min in stock]],1,""),"")</f>
        <v>1</v>
      </c>
      <c r="I51" s="3" t="s">
        <v>478</v>
      </c>
      <c r="J51" s="5">
        <v>1.34</v>
      </c>
      <c r="K51" s="3"/>
      <c r="L51" s="5"/>
      <c r="M51" s="3" t="s">
        <v>275</v>
      </c>
      <c r="N51" s="5">
        <v>1.04</v>
      </c>
      <c r="O51" s="3"/>
      <c r="P51" s="5"/>
      <c r="Q51" s="3"/>
      <c r="R51" s="5"/>
      <c r="S51" s="3"/>
      <c r="T51" s="5"/>
      <c r="U51" s="3"/>
      <c r="V51" s="5"/>
    </row>
    <row r="52" spans="1:22" x14ac:dyDescent="0.25">
      <c r="A52" s="3" t="s">
        <v>335</v>
      </c>
      <c r="B52" s="4" t="s">
        <v>336</v>
      </c>
      <c r="C52" s="4" t="s">
        <v>359</v>
      </c>
      <c r="D52" s="4" t="s">
        <v>337</v>
      </c>
      <c r="E52" s="4">
        <v>0</v>
      </c>
      <c r="F52" s="4">
        <f>10</f>
        <v>10</v>
      </c>
      <c r="G52" s="4">
        <f>1</f>
        <v>1</v>
      </c>
      <c r="H52" s="4">
        <f>IF(Table113[[#This Row],[Auto Command]]=1,IF(Table113[[#This Row],[In stock]]&lt;Table113[[#This Row],[Min in stock]],1,""),"")</f>
        <v>1</v>
      </c>
      <c r="I52" s="3"/>
      <c r="J52" s="5"/>
      <c r="K52" s="3"/>
      <c r="L52" s="5"/>
      <c r="M52" s="3" t="s">
        <v>334</v>
      </c>
      <c r="N52" s="5">
        <v>14.6</v>
      </c>
      <c r="O52" s="3"/>
      <c r="P52" s="5"/>
      <c r="Q52" s="3"/>
      <c r="R52" s="5"/>
      <c r="S52" s="3"/>
      <c r="T52" s="5"/>
      <c r="U52" s="3"/>
      <c r="V52" s="5"/>
    </row>
    <row r="53" spans="1:22" x14ac:dyDescent="0.25">
      <c r="A53" s="3" t="s">
        <v>341</v>
      </c>
      <c r="B53" s="4" t="s">
        <v>342</v>
      </c>
      <c r="C53" s="4" t="s">
        <v>359</v>
      </c>
      <c r="D53" s="4" t="s">
        <v>343</v>
      </c>
      <c r="E53" s="4">
        <v>0</v>
      </c>
      <c r="F53" s="4">
        <f>10</f>
        <v>10</v>
      </c>
      <c r="G53" s="4">
        <f>1</f>
        <v>1</v>
      </c>
      <c r="H53" s="4">
        <f>IF(Table113[[#This Row],[Auto Command]]=1,IF(Table113[[#This Row],[In stock]]&lt;Table113[[#This Row],[Min in stock]],1,""),"")</f>
        <v>1</v>
      </c>
      <c r="I53" s="3"/>
      <c r="J53" s="5"/>
      <c r="K53" s="3"/>
      <c r="L53" s="5"/>
      <c r="M53" s="3" t="s">
        <v>340</v>
      </c>
      <c r="N53" s="5">
        <v>24.6</v>
      </c>
      <c r="O53" s="3"/>
      <c r="P53" s="5"/>
      <c r="Q53" s="3"/>
      <c r="R53" s="5"/>
      <c r="S53" s="3"/>
      <c r="T53" s="5"/>
      <c r="U53" s="3"/>
      <c r="V53" s="5"/>
    </row>
    <row r="54" spans="1:22" x14ac:dyDescent="0.25">
      <c r="A54" s="3" t="s">
        <v>345</v>
      </c>
      <c r="B54" s="4" t="s">
        <v>346</v>
      </c>
      <c r="C54" s="4" t="s">
        <v>359</v>
      </c>
      <c r="D54" s="4" t="s">
        <v>347</v>
      </c>
      <c r="E54" s="4">
        <v>0</v>
      </c>
      <c r="F54" s="4">
        <f>10</f>
        <v>10</v>
      </c>
      <c r="G54" s="4">
        <f>1</f>
        <v>1</v>
      </c>
      <c r="H54" s="4">
        <f>IF(Table113[[#This Row],[Auto Command]]=1,IF(Table113[[#This Row],[In stock]]&lt;Table113[[#This Row],[Min in stock]],1,""),"")</f>
        <v>1</v>
      </c>
      <c r="I54" s="3"/>
      <c r="J54" s="5"/>
      <c r="K54" s="3"/>
      <c r="L54" s="5"/>
      <c r="M54" s="3" t="s">
        <v>344</v>
      </c>
      <c r="N54" s="5">
        <v>5.4</v>
      </c>
      <c r="O54" s="3"/>
      <c r="P54" s="5"/>
      <c r="Q54" s="3"/>
      <c r="R54" s="5"/>
      <c r="S54" s="3"/>
      <c r="T54" s="5"/>
      <c r="U54" s="3"/>
      <c r="V54" s="5"/>
    </row>
    <row r="55" spans="1:22" x14ac:dyDescent="0.25">
      <c r="A55" s="3" t="s">
        <v>328</v>
      </c>
      <c r="B55" s="4" t="s">
        <v>256</v>
      </c>
      <c r="C55" s="4" t="s">
        <v>359</v>
      </c>
      <c r="D55" s="4" t="s">
        <v>258</v>
      </c>
      <c r="E55" s="4">
        <v>9</v>
      </c>
      <c r="F55" s="4">
        <f>10</f>
        <v>10</v>
      </c>
      <c r="G55" s="4">
        <f>1</f>
        <v>1</v>
      </c>
      <c r="H55" s="4">
        <f>IF(Table113[[#This Row],[Auto Command]]=1,IF(Table113[[#This Row],[In stock]]&lt;Table113[[#This Row],[Min in stock]],1,""),"")</f>
        <v>1</v>
      </c>
      <c r="I55" s="3"/>
      <c r="J55" s="5"/>
      <c r="K55" s="3"/>
      <c r="L55" s="5"/>
      <c r="M55" s="3"/>
      <c r="N55" s="5"/>
      <c r="O55" s="3"/>
      <c r="P55" s="5"/>
      <c r="Q55" s="3"/>
      <c r="R55" s="5"/>
      <c r="S55" s="3"/>
      <c r="T55" s="5"/>
      <c r="U55" s="3"/>
      <c r="V55" s="5"/>
    </row>
    <row r="56" spans="1:22" x14ac:dyDescent="0.25">
      <c r="A56" s="3" t="s">
        <v>329</v>
      </c>
      <c r="B56" s="4" t="s">
        <v>256</v>
      </c>
      <c r="C56" s="4" t="s">
        <v>359</v>
      </c>
      <c r="D56" s="4" t="s">
        <v>259</v>
      </c>
      <c r="E56" s="4">
        <v>10</v>
      </c>
      <c r="F56" s="4">
        <f>10</f>
        <v>10</v>
      </c>
      <c r="G56" s="4">
        <f>1</f>
        <v>1</v>
      </c>
      <c r="H56" s="4" t="str">
        <f>IF(Table113[[#This Row],[Auto Command]]=1,IF(Table113[[#This Row],[In stock]]&lt;Table113[[#This Row],[Min in stock]],1,""),"")</f>
        <v/>
      </c>
      <c r="I56" s="3"/>
      <c r="J56" s="5"/>
      <c r="K56" s="3"/>
      <c r="L56" s="5"/>
      <c r="M56" s="3"/>
      <c r="N56" s="5"/>
      <c r="O56" s="3"/>
      <c r="P56" s="5"/>
      <c r="Q56" s="3"/>
      <c r="R56" s="5"/>
      <c r="S56" s="3"/>
      <c r="T56" s="5"/>
      <c r="U56" s="3"/>
      <c r="V56" s="5"/>
    </row>
    <row r="57" spans="1:22" x14ac:dyDescent="0.25">
      <c r="A57" s="3" t="s">
        <v>332</v>
      </c>
      <c r="B57" s="4" t="s">
        <v>256</v>
      </c>
      <c r="C57" s="4" t="s">
        <v>359</v>
      </c>
      <c r="D57" s="4" t="s">
        <v>333</v>
      </c>
      <c r="E57" s="4">
        <v>10</v>
      </c>
      <c r="F57" s="4">
        <f>10</f>
        <v>10</v>
      </c>
      <c r="G57" s="4">
        <f>1</f>
        <v>1</v>
      </c>
      <c r="H57" s="4" t="str">
        <f>IF(Table113[[#This Row],[Auto Command]]=1,IF(Table113[[#This Row],[In stock]]&lt;Table113[[#This Row],[Min in stock]],1,""),"")</f>
        <v/>
      </c>
      <c r="I57" s="3"/>
      <c r="J57" s="5"/>
      <c r="K57" s="3"/>
      <c r="L57" s="5"/>
      <c r="M57" s="3"/>
      <c r="N57" s="5"/>
      <c r="O57" s="3"/>
      <c r="P57" s="5"/>
      <c r="Q57" s="3"/>
      <c r="R57" s="5"/>
      <c r="S57" s="3"/>
      <c r="T57" s="5"/>
      <c r="U57" s="3"/>
      <c r="V57" s="5"/>
    </row>
    <row r="58" spans="1:22" x14ac:dyDescent="0.25">
      <c r="A58" s="3" t="s">
        <v>330</v>
      </c>
      <c r="B58" s="4" t="s">
        <v>256</v>
      </c>
      <c r="C58" s="4" t="s">
        <v>359</v>
      </c>
      <c r="D58" s="4" t="s">
        <v>396</v>
      </c>
      <c r="E58" s="4">
        <v>9</v>
      </c>
      <c r="F58" s="4">
        <f>10</f>
        <v>10</v>
      </c>
      <c r="G58" s="4">
        <f>1</f>
        <v>1</v>
      </c>
      <c r="H58" s="4">
        <f>IF(Table113[[#This Row],[Auto Command]]=1,IF(Table113[[#This Row],[In stock]]&lt;Table113[[#This Row],[Min in stock]],1,""),"")</f>
        <v>1</v>
      </c>
      <c r="I58" s="3"/>
      <c r="J58" s="5"/>
      <c r="K58" s="3"/>
      <c r="L58" s="5"/>
      <c r="M58" s="3"/>
      <c r="N58" s="5"/>
      <c r="O58" s="3"/>
      <c r="P58" s="5"/>
      <c r="Q58" s="3"/>
      <c r="R58" s="5"/>
      <c r="S58" s="3"/>
      <c r="T58" s="5"/>
      <c r="U58" s="3"/>
      <c r="V58" s="5"/>
    </row>
    <row r="59" spans="1:22" x14ac:dyDescent="0.25">
      <c r="A59" s="3" t="s">
        <v>331</v>
      </c>
      <c r="B59" s="4" t="s">
        <v>256</v>
      </c>
      <c r="C59" s="4" t="s">
        <v>359</v>
      </c>
      <c r="D59" s="4" t="s">
        <v>260</v>
      </c>
      <c r="E59" s="4">
        <v>9</v>
      </c>
      <c r="F59" s="4">
        <f>10</f>
        <v>10</v>
      </c>
      <c r="G59" s="4">
        <f>1</f>
        <v>1</v>
      </c>
      <c r="H59" s="4">
        <f>IF(Table113[[#This Row],[Auto Command]]=1,IF(Table113[[#This Row],[In stock]]&lt;Table113[[#This Row],[Min in stock]],1,""),"")</f>
        <v>1</v>
      </c>
      <c r="I59" s="3"/>
      <c r="J59" s="5"/>
      <c r="K59" s="3"/>
      <c r="L59" s="5"/>
      <c r="M59" s="3"/>
      <c r="N59" s="5"/>
      <c r="O59" s="3"/>
      <c r="P59" s="5"/>
      <c r="Q59" s="3"/>
      <c r="R59" s="5"/>
      <c r="S59" s="3"/>
      <c r="T59" s="5"/>
      <c r="U59" s="3"/>
      <c r="V59" s="5"/>
    </row>
    <row r="60" spans="1:22" x14ac:dyDescent="0.25">
      <c r="A60" s="3" t="s">
        <v>326</v>
      </c>
      <c r="B60" s="4" t="s">
        <v>256</v>
      </c>
      <c r="C60" s="4" t="s">
        <v>449</v>
      </c>
      <c r="D60" s="4" t="s">
        <v>325</v>
      </c>
      <c r="E60" s="4">
        <v>5</v>
      </c>
      <c r="F60" s="4">
        <f>10</f>
        <v>10</v>
      </c>
      <c r="G60" s="4">
        <f>1</f>
        <v>1</v>
      </c>
      <c r="H60" s="4">
        <f>IF(Table113[[#This Row],[Auto Command]]=1,IF(Table113[[#This Row],[In stock]]&lt;Table113[[#This Row],[Min in stock]],1,""),"")</f>
        <v>1</v>
      </c>
      <c r="I60" s="3"/>
      <c r="J60" s="5"/>
      <c r="K60" s="3"/>
      <c r="L60" s="5"/>
      <c r="M60" s="3"/>
      <c r="N60" s="5"/>
      <c r="O60" s="3"/>
      <c r="P60" s="5"/>
      <c r="Q60" s="3"/>
      <c r="R60" s="5"/>
      <c r="S60" s="3"/>
      <c r="T60" s="5"/>
      <c r="U60" s="3"/>
      <c r="V60" s="5"/>
    </row>
    <row r="61" spans="1:22" x14ac:dyDescent="0.25">
      <c r="A61" s="3" t="s">
        <v>327</v>
      </c>
      <c r="B61" s="4" t="s">
        <v>256</v>
      </c>
      <c r="C61" s="4" t="s">
        <v>438</v>
      </c>
      <c r="D61" s="4" t="s">
        <v>324</v>
      </c>
      <c r="E61" s="4">
        <v>5</v>
      </c>
      <c r="F61" s="4">
        <f>10</f>
        <v>10</v>
      </c>
      <c r="G61" s="4">
        <f>1</f>
        <v>1</v>
      </c>
      <c r="H61" s="4">
        <f>IF(Table113[[#This Row],[Auto Command]]=1,IF(Table113[[#This Row],[In stock]]&lt;Table113[[#This Row],[Min in stock]],1,""),"")</f>
        <v>1</v>
      </c>
      <c r="I61" s="3"/>
      <c r="J61" s="5"/>
      <c r="K61" s="3"/>
      <c r="L61" s="5"/>
      <c r="M61" s="3"/>
      <c r="N61" s="5"/>
      <c r="O61" s="3"/>
      <c r="P61" s="5"/>
      <c r="Q61" s="3"/>
      <c r="R61" s="5"/>
      <c r="S61" s="3"/>
      <c r="T61" s="5"/>
      <c r="U61" s="3"/>
      <c r="V61" s="5"/>
    </row>
    <row r="62" spans="1:22" x14ac:dyDescent="0.25">
      <c r="A62" s="3">
        <v>61304011021</v>
      </c>
      <c r="B62" s="4" t="s">
        <v>112</v>
      </c>
      <c r="C62" s="4" t="s">
        <v>359</v>
      </c>
      <c r="D62" s="4" t="s">
        <v>110</v>
      </c>
      <c r="E62" s="4">
        <v>9.85</v>
      </c>
      <c r="F62" s="4">
        <f>10</f>
        <v>10</v>
      </c>
      <c r="G62" s="4">
        <f>1</f>
        <v>1</v>
      </c>
      <c r="H62" s="4">
        <f>IF(Table113[[#This Row],[Auto Command]]=1,IF(Table113[[#This Row],[In stock]]&lt;Table113[[#This Row],[Min in stock]],1,""),"")</f>
        <v>1</v>
      </c>
      <c r="I62" s="3" t="s">
        <v>480</v>
      </c>
      <c r="J62" s="5">
        <v>1.44</v>
      </c>
      <c r="K62" s="3" t="s">
        <v>111</v>
      </c>
      <c r="L62" s="5">
        <v>1.58</v>
      </c>
      <c r="M62" s="3"/>
      <c r="N62" s="5"/>
      <c r="O62" s="3"/>
      <c r="P62" s="5"/>
      <c r="Q62" s="3"/>
      <c r="R62" s="5"/>
      <c r="S62" s="3"/>
      <c r="T62" s="5"/>
      <c r="U62" s="3"/>
      <c r="V62" s="5">
        <v>1.58</v>
      </c>
    </row>
    <row r="63" spans="1:22" x14ac:dyDescent="0.25">
      <c r="A63" s="3" t="s">
        <v>117</v>
      </c>
      <c r="B63" s="4" t="s">
        <v>93</v>
      </c>
      <c r="C63" s="4" t="s">
        <v>359</v>
      </c>
      <c r="D63" s="4" t="s">
        <v>29</v>
      </c>
      <c r="E63" s="4">
        <v>4</v>
      </c>
      <c r="F63" s="4">
        <f>10</f>
        <v>10</v>
      </c>
      <c r="G63" s="4">
        <f>1</f>
        <v>1</v>
      </c>
      <c r="H63" s="4">
        <f>IF(Table113[[#This Row],[Auto Command]]=1,IF(Table113[[#This Row],[In stock]]&lt;Table113[[#This Row],[Min in stock]],1,""),"")</f>
        <v>1</v>
      </c>
      <c r="I63" s="3" t="s">
        <v>483</v>
      </c>
      <c r="J63" s="5">
        <v>0.91</v>
      </c>
      <c r="K63" s="3">
        <v>1162740</v>
      </c>
      <c r="L63" s="5">
        <v>0.505</v>
      </c>
      <c r="M63" s="3"/>
      <c r="N63" s="5"/>
      <c r="O63" s="3"/>
      <c r="P63" s="5"/>
      <c r="Q63" s="3"/>
      <c r="R63" s="5"/>
      <c r="S63" s="3"/>
      <c r="T63" s="5"/>
      <c r="U63" s="3"/>
      <c r="V63" s="5">
        <v>0.505</v>
      </c>
    </row>
    <row r="64" spans="1:22" x14ac:dyDescent="0.25">
      <c r="A64" s="3" t="s">
        <v>31</v>
      </c>
      <c r="B64" s="4" t="s">
        <v>93</v>
      </c>
      <c r="C64" s="4" t="s">
        <v>359</v>
      </c>
      <c r="D64" s="4" t="s">
        <v>30</v>
      </c>
      <c r="E64" s="4">
        <v>4</v>
      </c>
      <c r="F64" s="4">
        <f>10</f>
        <v>10</v>
      </c>
      <c r="G64" s="4">
        <f>1</f>
        <v>1</v>
      </c>
      <c r="H64" s="4">
        <f>IF(Table113[[#This Row],[Auto Command]]=1,IF(Table113[[#This Row],[In stock]]&lt;Table113[[#This Row],[Min in stock]],1,""),"")</f>
        <v>1</v>
      </c>
      <c r="I64" s="3" t="s">
        <v>485</v>
      </c>
      <c r="J64" s="5">
        <v>1.27</v>
      </c>
      <c r="K64" s="3">
        <v>1829519</v>
      </c>
      <c r="L64" s="5">
        <v>0.78900000000000003</v>
      </c>
      <c r="M64" s="3"/>
      <c r="N64" s="5"/>
      <c r="O64" s="3"/>
      <c r="P64" s="5"/>
      <c r="Q64" s="3"/>
      <c r="R64" s="5"/>
      <c r="S64" s="3"/>
      <c r="T64" s="5"/>
      <c r="U64" s="3"/>
      <c r="V64" s="5">
        <v>0.78900000000000003</v>
      </c>
    </row>
    <row r="65" spans="1:22" x14ac:dyDescent="0.25">
      <c r="A65" s="3" t="s">
        <v>123</v>
      </c>
      <c r="B65" s="4" t="s">
        <v>91</v>
      </c>
      <c r="C65" s="4" t="s">
        <v>359</v>
      </c>
      <c r="D65" s="4" t="s">
        <v>122</v>
      </c>
      <c r="E65" s="4">
        <v>19</v>
      </c>
      <c r="F65" s="4">
        <f>10</f>
        <v>10</v>
      </c>
      <c r="G65" s="4">
        <f>1</f>
        <v>1</v>
      </c>
      <c r="H65" s="4" t="str">
        <f>IF(Table113[[#This Row],[Auto Command]]=1,IF(Table113[[#This Row],[In stock]]&lt;Table113[[#This Row],[Min in stock]],1,""),"")</f>
        <v/>
      </c>
      <c r="I65" s="3" t="s">
        <v>488</v>
      </c>
      <c r="J65" s="5">
        <v>0.28000000000000003</v>
      </c>
      <c r="K65" s="3" t="s">
        <v>124</v>
      </c>
      <c r="L65" s="5">
        <v>0.191</v>
      </c>
      <c r="M65" s="3"/>
      <c r="N65" s="5"/>
      <c r="O65" s="3"/>
      <c r="P65" s="5"/>
      <c r="Q65" s="3"/>
      <c r="R65" s="5"/>
      <c r="S65" s="3"/>
      <c r="T65" s="5"/>
      <c r="U65" s="3"/>
      <c r="V65" s="5">
        <v>0.191</v>
      </c>
    </row>
    <row r="66" spans="1:22" x14ac:dyDescent="0.25">
      <c r="A66" s="3" t="s">
        <v>118</v>
      </c>
      <c r="B66" s="4" t="s">
        <v>91</v>
      </c>
      <c r="C66" s="4" t="s">
        <v>359</v>
      </c>
      <c r="D66" s="4" t="s">
        <v>28</v>
      </c>
      <c r="E66" s="4">
        <v>100</v>
      </c>
      <c r="F66" s="4">
        <f>10</f>
        <v>10</v>
      </c>
      <c r="G66" s="4">
        <f>1</f>
        <v>1</v>
      </c>
      <c r="H66" s="4" t="str">
        <f>IF(Table113[[#This Row],[Auto Command]]=1,IF(Table113[[#This Row],[In stock]]&lt;Table113[[#This Row],[Min in stock]],1,""),"")</f>
        <v/>
      </c>
      <c r="I66" s="3" t="s">
        <v>490</v>
      </c>
      <c r="J66" s="5">
        <v>0.26</v>
      </c>
      <c r="K66" s="3" t="s">
        <v>164</v>
      </c>
      <c r="L66" s="5">
        <v>0.112</v>
      </c>
      <c r="M66" s="3"/>
      <c r="N66" s="5"/>
      <c r="O66" s="3"/>
      <c r="P66" s="5"/>
      <c r="Q66" s="3"/>
      <c r="R66" s="5"/>
      <c r="S66" s="3"/>
      <c r="T66" s="5"/>
      <c r="U66" s="3"/>
      <c r="V66" s="5">
        <v>0.112</v>
      </c>
    </row>
    <row r="67" spans="1:22" x14ac:dyDescent="0.25">
      <c r="A67" s="3" t="s">
        <v>97</v>
      </c>
      <c r="B67" s="4" t="s">
        <v>45</v>
      </c>
      <c r="C67" s="4" t="s">
        <v>359</v>
      </c>
      <c r="D67" s="4" t="s">
        <v>98</v>
      </c>
      <c r="E67" s="4">
        <v>100</v>
      </c>
      <c r="F67" s="4">
        <f>10</f>
        <v>10</v>
      </c>
      <c r="G67" s="4">
        <f>1</f>
        <v>1</v>
      </c>
      <c r="H67" s="4" t="str">
        <f>IF(Table113[[#This Row],[Auto Command]]=1,IF(Table113[[#This Row],[In stock]]&lt;Table113[[#This Row],[Min in stock]],1,""),"")</f>
        <v/>
      </c>
      <c r="I67" s="3"/>
      <c r="J67" s="5"/>
      <c r="K67" s="3" t="s">
        <v>159</v>
      </c>
      <c r="L67" s="5">
        <v>5.8900000000000001E-2</v>
      </c>
      <c r="M67" s="3"/>
      <c r="N67" s="5"/>
      <c r="O67" s="3"/>
      <c r="P67" s="5"/>
      <c r="Q67" s="3"/>
      <c r="R67" s="5"/>
      <c r="S67" s="3"/>
      <c r="T67" s="5"/>
      <c r="U67" s="3"/>
      <c r="V67" s="5">
        <v>5.8900000000000001E-2</v>
      </c>
    </row>
    <row r="68" spans="1:22" x14ac:dyDescent="0.25">
      <c r="A68" s="3" t="s">
        <v>113</v>
      </c>
      <c r="B68" s="4" t="s">
        <v>33</v>
      </c>
      <c r="C68" s="4" t="s">
        <v>359</v>
      </c>
      <c r="D68" s="4" t="s">
        <v>116</v>
      </c>
      <c r="E68" s="4">
        <v>-2.2000000000000002</v>
      </c>
      <c r="F68" s="4">
        <f>10</f>
        <v>10</v>
      </c>
      <c r="G68" s="4">
        <f>1</f>
        <v>1</v>
      </c>
      <c r="H68" s="4">
        <f>IF(Table113[[#This Row],[Auto Command]]=1,IF(Table113[[#This Row],[In stock]]&lt;Table113[[#This Row],[Min in stock]],1,""),"")</f>
        <v>1</v>
      </c>
      <c r="I68" s="3"/>
      <c r="J68" s="5"/>
      <c r="K68" s="3" t="s">
        <v>114</v>
      </c>
      <c r="L68" s="5">
        <v>0.28699999999999998</v>
      </c>
      <c r="M68" s="3"/>
      <c r="N68" s="5"/>
      <c r="O68" s="3"/>
      <c r="P68" s="5"/>
      <c r="Q68" s="3"/>
      <c r="R68" s="5"/>
      <c r="S68" s="3"/>
      <c r="T68" s="5"/>
      <c r="U68" s="3"/>
      <c r="V68" s="5">
        <v>0.28699999999999998</v>
      </c>
    </row>
    <row r="69" spans="1:22" x14ac:dyDescent="0.25">
      <c r="A69" s="3" t="s">
        <v>107</v>
      </c>
      <c r="B69" s="4" t="s">
        <v>108</v>
      </c>
      <c r="C69" s="4" t="s">
        <v>359</v>
      </c>
      <c r="D69" s="4" t="s">
        <v>115</v>
      </c>
      <c r="E69" s="4">
        <v>3</v>
      </c>
      <c r="F69" s="4">
        <f>10</f>
        <v>10</v>
      </c>
      <c r="G69" s="4">
        <f>1</f>
        <v>1</v>
      </c>
      <c r="H69" s="4">
        <f>IF(Table113[[#This Row],[Auto Command]]=1,IF(Table113[[#This Row],[In stock]]&lt;Table113[[#This Row],[Min in stock]],1,""),"")</f>
        <v>1</v>
      </c>
      <c r="I69" s="3"/>
      <c r="J69" s="5"/>
      <c r="K69" s="3" t="s">
        <v>109</v>
      </c>
      <c r="L69" s="5">
        <v>1.55</v>
      </c>
      <c r="M69" s="3"/>
      <c r="N69" s="5"/>
      <c r="O69" s="3"/>
      <c r="P69" s="5"/>
      <c r="Q69" s="3"/>
      <c r="R69" s="5"/>
      <c r="S69" s="3"/>
      <c r="T69" s="5"/>
      <c r="U69" s="3"/>
      <c r="V69" s="5">
        <v>1.55</v>
      </c>
    </row>
    <row r="70" spans="1:22" x14ac:dyDescent="0.25">
      <c r="A70" s="3" t="s">
        <v>38</v>
      </c>
      <c r="B70" s="4" t="s">
        <v>92</v>
      </c>
      <c r="C70" s="4" t="s">
        <v>359</v>
      </c>
      <c r="D70" s="4" t="s">
        <v>37</v>
      </c>
      <c r="E70" s="4">
        <v>2</v>
      </c>
      <c r="F70" s="4">
        <f>10</f>
        <v>10</v>
      </c>
      <c r="G70" s="4">
        <f>1</f>
        <v>1</v>
      </c>
      <c r="H70" s="4">
        <f>IF(Table113[[#This Row],[Auto Command]]=1,IF(Table113[[#This Row],[In stock]]&lt;Table113[[#This Row],[Min in stock]],1,""),"")</f>
        <v>1</v>
      </c>
      <c r="I70" s="3" t="s">
        <v>168</v>
      </c>
      <c r="J70" s="5">
        <v>2.08</v>
      </c>
      <c r="K70" s="3">
        <v>9352260</v>
      </c>
      <c r="L70" s="5">
        <v>2.76</v>
      </c>
      <c r="M70" s="3"/>
      <c r="N70" s="5"/>
      <c r="O70" s="3"/>
      <c r="P70" s="5"/>
      <c r="Q70" s="3"/>
      <c r="R70" s="5"/>
      <c r="S70" s="3"/>
      <c r="T70" s="5"/>
      <c r="U70" s="3"/>
      <c r="V70" s="5">
        <v>2.76</v>
      </c>
    </row>
    <row r="71" spans="1:22" x14ac:dyDescent="0.25">
      <c r="A71" s="3" t="s">
        <v>133</v>
      </c>
      <c r="B71" s="4" t="s">
        <v>7</v>
      </c>
      <c r="C71" s="4" t="s">
        <v>359</v>
      </c>
      <c r="D71" s="4" t="s">
        <v>132</v>
      </c>
      <c r="E71" s="4">
        <v>10</v>
      </c>
      <c r="F71" s="4">
        <f>10</f>
        <v>10</v>
      </c>
      <c r="G71" s="4">
        <f>1</f>
        <v>1</v>
      </c>
      <c r="H71" s="4" t="str">
        <f>IF(Table113[[#This Row],[Auto Command]]=1,IF(Table113[[#This Row],[In stock]]&lt;Table113[[#This Row],[Min in stock]],1,""),"")</f>
        <v/>
      </c>
      <c r="I71" s="3" t="s">
        <v>501</v>
      </c>
      <c r="J71" s="5">
        <v>0.61</v>
      </c>
      <c r="K71" s="3" t="s">
        <v>134</v>
      </c>
      <c r="L71" s="5">
        <v>0.34899999999999998</v>
      </c>
      <c r="M71" s="3"/>
      <c r="N71" s="5"/>
      <c r="O71" s="3"/>
      <c r="P71" s="5"/>
      <c r="Q71" s="3"/>
      <c r="R71" s="5"/>
      <c r="S71" s="3"/>
      <c r="T71" s="5"/>
      <c r="U71" s="3"/>
      <c r="V71" s="5">
        <v>0.34899999999999998</v>
      </c>
    </row>
    <row r="72" spans="1:22" x14ac:dyDescent="0.25">
      <c r="A72" s="3" t="s">
        <v>34</v>
      </c>
      <c r="B72" s="4" t="s">
        <v>33</v>
      </c>
      <c r="C72" s="4" t="s">
        <v>359</v>
      </c>
      <c r="D72" s="4" t="s">
        <v>32</v>
      </c>
      <c r="E72" s="4">
        <v>4</v>
      </c>
      <c r="F72" s="4">
        <f>10</f>
        <v>10</v>
      </c>
      <c r="G72" s="4">
        <f>1</f>
        <v>1</v>
      </c>
      <c r="H72" s="4">
        <f>IF(Table113[[#This Row],[Auto Command]]=1,IF(Table113[[#This Row],[In stock]]&lt;Table113[[#This Row],[Min in stock]],1,""),"")</f>
        <v>1</v>
      </c>
      <c r="I72" s="3"/>
      <c r="J72" s="5"/>
      <c r="K72" s="3">
        <v>2112100</v>
      </c>
      <c r="L72" s="5">
        <v>0.28999999999999998</v>
      </c>
      <c r="M72" s="3"/>
      <c r="N72" s="5"/>
      <c r="O72" s="3"/>
      <c r="P72" s="5"/>
      <c r="Q72" s="3"/>
      <c r="R72" s="5"/>
      <c r="S72" s="3"/>
      <c r="T72" s="5"/>
      <c r="U72" s="3"/>
      <c r="V72" s="5">
        <v>0.28999999999999998</v>
      </c>
    </row>
    <row r="73" spans="1:22" x14ac:dyDescent="0.25">
      <c r="A73" s="3" t="s">
        <v>90</v>
      </c>
      <c r="B73" s="4" t="s">
        <v>91</v>
      </c>
      <c r="C73" s="4" t="s">
        <v>359</v>
      </c>
      <c r="D73" s="4" t="s">
        <v>96</v>
      </c>
      <c r="E73" s="4">
        <v>0</v>
      </c>
      <c r="F73" s="4">
        <f>10</f>
        <v>10</v>
      </c>
      <c r="G73" s="4">
        <f>1</f>
        <v>1</v>
      </c>
      <c r="H73" s="4">
        <f>IF(Table113[[#This Row],[Auto Command]]=1,IF(Table113[[#This Row],[In stock]]&lt;Table113[[#This Row],[Min in stock]],1,""),"")</f>
        <v>1</v>
      </c>
      <c r="I73" s="3" t="s">
        <v>503</v>
      </c>
      <c r="J73" s="5">
        <v>1.38</v>
      </c>
      <c r="K73" s="3" t="s">
        <v>89</v>
      </c>
      <c r="L73" s="5">
        <v>0.32600000000000001</v>
      </c>
      <c r="M73" s="3"/>
      <c r="N73" s="5"/>
      <c r="O73" s="3"/>
      <c r="P73" s="5"/>
      <c r="Q73" s="3"/>
      <c r="R73" s="5"/>
      <c r="S73" s="3"/>
      <c r="T73" s="5"/>
      <c r="U73" s="3"/>
      <c r="V73" s="5">
        <v>0.32600000000000001</v>
      </c>
    </row>
    <row r="74" spans="1:22" x14ac:dyDescent="0.25">
      <c r="A74" s="3" t="s">
        <v>40</v>
      </c>
      <c r="B74" s="4" t="s">
        <v>7</v>
      </c>
      <c r="C74" s="4" t="s">
        <v>359</v>
      </c>
      <c r="D74" s="4" t="s">
        <v>39</v>
      </c>
      <c r="E74" s="4">
        <v>0</v>
      </c>
      <c r="F74" s="4">
        <f>10</f>
        <v>10</v>
      </c>
      <c r="G74" s="4">
        <f>1</f>
        <v>1</v>
      </c>
      <c r="H74" s="4">
        <f>IF(Table113[[#This Row],[Auto Command]]=1,IF(Table113[[#This Row],[In stock]]&lt;Table113[[#This Row],[Min in stock]],1,""),"")</f>
        <v>1</v>
      </c>
      <c r="I74" s="3"/>
      <c r="J74" s="5"/>
      <c r="K74" s="3">
        <v>2064805</v>
      </c>
      <c r="L74" s="5">
        <v>2.95</v>
      </c>
      <c r="M74" s="3"/>
      <c r="N74" s="5"/>
      <c r="O74" s="3"/>
      <c r="P74" s="5"/>
      <c r="Q74" s="3"/>
      <c r="R74" s="5"/>
      <c r="S74" s="3"/>
      <c r="T74" s="5"/>
      <c r="U74" s="3"/>
      <c r="V74" s="5">
        <v>2.95</v>
      </c>
    </row>
    <row r="75" spans="1:22" x14ac:dyDescent="0.25">
      <c r="A75" s="3" t="s">
        <v>59</v>
      </c>
      <c r="B75" s="4" t="s">
        <v>58</v>
      </c>
      <c r="C75" s="4" t="s">
        <v>444</v>
      </c>
      <c r="D75" s="4" t="s">
        <v>57</v>
      </c>
      <c r="E75" s="4">
        <v>19</v>
      </c>
      <c r="F75" s="4">
        <f>10</f>
        <v>10</v>
      </c>
      <c r="G75" s="4">
        <f>1</f>
        <v>1</v>
      </c>
      <c r="H75" s="4" t="str">
        <f>IF(Table113[[#This Row],[Auto Command]]=1,IF(Table113[[#This Row],[In stock]]&lt;Table113[[#This Row],[Min in stock]],1,""),"")</f>
        <v/>
      </c>
      <c r="I75" s="3"/>
      <c r="J75" s="5"/>
      <c r="K75" s="3" t="s">
        <v>443</v>
      </c>
      <c r="L75" s="5">
        <v>3.7499999999999999E-2</v>
      </c>
      <c r="M75" s="3"/>
      <c r="N75" s="5"/>
      <c r="O75" s="3"/>
      <c r="P75" s="5"/>
      <c r="Q75" s="3"/>
      <c r="R75" s="5"/>
      <c r="S75" s="3"/>
      <c r="T75" s="5"/>
      <c r="U75" s="3"/>
      <c r="V75" s="5">
        <v>3.7499999999999999E-2</v>
      </c>
    </row>
    <row r="76" spans="1:22" x14ac:dyDescent="0.25">
      <c r="A76" s="3" t="s">
        <v>46</v>
      </c>
      <c r="B76" s="4" t="s">
        <v>45</v>
      </c>
      <c r="C76" s="4" t="s">
        <v>400</v>
      </c>
      <c r="D76" s="4" t="s">
        <v>44</v>
      </c>
      <c r="E76" s="4">
        <v>16</v>
      </c>
      <c r="F76" s="4">
        <f>10</f>
        <v>10</v>
      </c>
      <c r="G76" s="4">
        <f>1</f>
        <v>1</v>
      </c>
      <c r="H76" s="4" t="str">
        <f>IF(Table113[[#This Row],[Auto Command]]=1,IF(Table113[[#This Row],[In stock]]&lt;Table113[[#This Row],[Min in stock]],1,""),"")</f>
        <v/>
      </c>
      <c r="I76" s="3" t="s">
        <v>508</v>
      </c>
      <c r="J76" s="5">
        <v>0.55000000000000004</v>
      </c>
      <c r="K76" s="3">
        <v>9845356</v>
      </c>
      <c r="L76" s="5">
        <v>0.42199999999999999</v>
      </c>
      <c r="M76" s="3"/>
      <c r="N76" s="5"/>
      <c r="O76" s="3"/>
      <c r="P76" s="5"/>
      <c r="Q76" s="3"/>
      <c r="R76" s="5"/>
      <c r="S76" s="3"/>
      <c r="T76" s="5"/>
      <c r="U76" s="3"/>
      <c r="V76" s="5">
        <v>0.42199999999999999</v>
      </c>
    </row>
    <row r="77" spans="1:22" x14ac:dyDescent="0.25">
      <c r="A77" s="3" t="s">
        <v>16</v>
      </c>
      <c r="B77" s="4" t="s">
        <v>33</v>
      </c>
      <c r="C77" s="4" t="s">
        <v>359</v>
      </c>
      <c r="D77" s="4" t="s">
        <v>15</v>
      </c>
      <c r="E77" s="4">
        <v>14</v>
      </c>
      <c r="F77" s="4">
        <f>10</f>
        <v>10</v>
      </c>
      <c r="G77" s="4">
        <f>1</f>
        <v>1</v>
      </c>
      <c r="H77" s="4" t="str">
        <f>IF(Table113[[#This Row],[Auto Command]]=1,IF(Table113[[#This Row],[In stock]]&lt;Table113[[#This Row],[Min in stock]],1,""),"")</f>
        <v/>
      </c>
      <c r="I77" s="3"/>
      <c r="J77" s="5"/>
      <c r="K77" s="3">
        <v>2461217</v>
      </c>
      <c r="L77" s="5">
        <v>0.20200000000000001</v>
      </c>
      <c r="M77" s="3"/>
      <c r="N77" s="5"/>
      <c r="O77" s="3"/>
      <c r="P77" s="5"/>
      <c r="Q77" s="3"/>
      <c r="R77" s="5"/>
      <c r="S77" s="3"/>
      <c r="T77" s="5"/>
      <c r="U77" s="3"/>
      <c r="V77" s="5">
        <v>0.20200000000000001</v>
      </c>
    </row>
    <row r="78" spans="1:22" x14ac:dyDescent="0.25">
      <c r="A78" s="3" t="s">
        <v>14</v>
      </c>
      <c r="B78" s="4" t="s">
        <v>33</v>
      </c>
      <c r="C78" s="4" t="s">
        <v>359</v>
      </c>
      <c r="D78" s="4" t="s">
        <v>13</v>
      </c>
      <c r="E78" s="4">
        <v>49</v>
      </c>
      <c r="F78" s="4">
        <f>10</f>
        <v>10</v>
      </c>
      <c r="G78" s="4">
        <f>1</f>
        <v>1</v>
      </c>
      <c r="H78" s="4" t="str">
        <f>IF(Table113[[#This Row],[Auto Command]]=1,IF(Table113[[#This Row],[In stock]]&lt;Table113[[#This Row],[Min in stock]],1,""),"")</f>
        <v/>
      </c>
      <c r="I78" s="3"/>
      <c r="J78" s="5"/>
      <c r="K78" s="3">
        <v>9451242</v>
      </c>
      <c r="L78" s="5">
        <v>5.1700000000000003E-2</v>
      </c>
      <c r="M78" s="3"/>
      <c r="N78" s="5"/>
      <c r="O78" s="3"/>
      <c r="P78" s="5"/>
      <c r="Q78" s="3"/>
      <c r="R78" s="5"/>
      <c r="S78" s="3"/>
      <c r="T78" s="5"/>
      <c r="U78" s="3"/>
      <c r="V78" s="5">
        <v>5.1700000000000003E-2</v>
      </c>
    </row>
    <row r="79" spans="1:22" x14ac:dyDescent="0.25">
      <c r="A79" s="3" t="s">
        <v>12</v>
      </c>
      <c r="B79" s="4" t="s">
        <v>33</v>
      </c>
      <c r="C79" s="4" t="s">
        <v>437</v>
      </c>
      <c r="D79" s="4" t="s">
        <v>11</v>
      </c>
      <c r="E79" s="4">
        <v>48</v>
      </c>
      <c r="F79" s="4">
        <f>10</f>
        <v>10</v>
      </c>
      <c r="G79" s="4">
        <f>1</f>
        <v>1</v>
      </c>
      <c r="H79" s="4" t="str">
        <f>IF(Table113[[#This Row],[Auto Command]]=1,IF(Table113[[#This Row],[In stock]]&lt;Table113[[#This Row],[Min in stock]],1,""),"")</f>
        <v/>
      </c>
      <c r="I79" s="3"/>
      <c r="J79" s="5"/>
      <c r="K79" s="3" t="s">
        <v>163</v>
      </c>
      <c r="L79" s="5">
        <v>5.0900000000000001E-2</v>
      </c>
      <c r="M79" s="3"/>
      <c r="N79" s="5"/>
      <c r="O79" s="3"/>
      <c r="P79" s="5"/>
      <c r="Q79" s="3"/>
      <c r="R79" s="5"/>
      <c r="S79" s="3"/>
      <c r="T79" s="5"/>
      <c r="U79" s="3"/>
      <c r="V79" s="5">
        <v>5.0900000000000001E-2</v>
      </c>
    </row>
    <row r="80" spans="1:22" x14ac:dyDescent="0.25">
      <c r="A80" s="3" t="s">
        <v>61</v>
      </c>
      <c r="B80" s="4" t="s">
        <v>33</v>
      </c>
      <c r="C80" s="4" t="s">
        <v>442</v>
      </c>
      <c r="D80" s="4" t="s">
        <v>60</v>
      </c>
      <c r="E80" s="4">
        <v>9</v>
      </c>
      <c r="F80" s="4">
        <f>10</f>
        <v>10</v>
      </c>
      <c r="G80" s="4">
        <f>1</f>
        <v>1</v>
      </c>
      <c r="H80" s="4">
        <f>IF(Table113[[#This Row],[Auto Command]]=1,IF(Table113[[#This Row],[In stock]]&lt;Table113[[#This Row],[Min in stock]],1,""),"")</f>
        <v>1</v>
      </c>
      <c r="I80" s="3"/>
      <c r="J80" s="5"/>
      <c r="K80" s="3" t="s">
        <v>441</v>
      </c>
      <c r="L80" s="5">
        <v>4.4499999999999998E-2</v>
      </c>
      <c r="M80" s="3"/>
      <c r="N80" s="5"/>
      <c r="O80" s="3"/>
      <c r="P80" s="5"/>
      <c r="Q80" s="3"/>
      <c r="R80" s="5"/>
      <c r="S80" s="3"/>
      <c r="T80" s="5"/>
      <c r="U80" s="3"/>
      <c r="V80" s="5">
        <v>4.4499999999999998E-2</v>
      </c>
    </row>
    <row r="81" spans="1:22" x14ac:dyDescent="0.25">
      <c r="A81" s="3" t="s">
        <v>56</v>
      </c>
      <c r="B81" s="4" t="s">
        <v>33</v>
      </c>
      <c r="C81" s="4" t="s">
        <v>448</v>
      </c>
      <c r="D81" s="4" t="s">
        <v>55</v>
      </c>
      <c r="E81" s="4">
        <v>9</v>
      </c>
      <c r="F81" s="4">
        <f>10</f>
        <v>10</v>
      </c>
      <c r="G81" s="4">
        <f>1</f>
        <v>1</v>
      </c>
      <c r="H81" s="4">
        <f>IF(Table113[[#This Row],[Auto Command]]=1,IF(Table113[[#This Row],[In stock]]&lt;Table113[[#This Row],[Min in stock]],1,""),"")</f>
        <v>1</v>
      </c>
      <c r="I81" s="3"/>
      <c r="J81" s="5"/>
      <c r="K81" s="3" t="s">
        <v>447</v>
      </c>
      <c r="L81" s="5">
        <v>1.55E-2</v>
      </c>
      <c r="M81" s="3"/>
      <c r="N81" s="5"/>
      <c r="O81" s="3"/>
      <c r="P81" s="5"/>
      <c r="Q81" s="3"/>
      <c r="R81" s="5"/>
      <c r="S81" s="3"/>
      <c r="T81" s="5"/>
      <c r="U81" s="3"/>
      <c r="V81" s="5">
        <v>1.55E-2</v>
      </c>
    </row>
    <row r="82" spans="1:22" x14ac:dyDescent="0.25">
      <c r="A82" s="3" t="s">
        <v>54</v>
      </c>
      <c r="B82" s="4" t="s">
        <v>33</v>
      </c>
      <c r="C82" s="4" t="s">
        <v>451</v>
      </c>
      <c r="D82" s="4" t="s">
        <v>53</v>
      </c>
      <c r="E82" s="4">
        <v>0</v>
      </c>
      <c r="F82" s="4">
        <f>10</f>
        <v>10</v>
      </c>
      <c r="G82" s="4">
        <f>1</f>
        <v>1</v>
      </c>
      <c r="H82" s="4">
        <f>IF(Table113[[#This Row],[Auto Command]]=1,IF(Table113[[#This Row],[In stock]]&lt;Table113[[#This Row],[Min in stock]],1,""),"")</f>
        <v>1</v>
      </c>
      <c r="I82" s="3"/>
      <c r="J82" s="5"/>
      <c r="K82" s="3" t="s">
        <v>450</v>
      </c>
      <c r="L82" s="5">
        <v>2.3E-2</v>
      </c>
      <c r="M82" s="3"/>
      <c r="N82" s="5"/>
      <c r="O82" s="3"/>
      <c r="P82" s="5"/>
      <c r="Q82" s="3"/>
      <c r="R82" s="5"/>
      <c r="S82" s="3"/>
      <c r="T82" s="5"/>
      <c r="U82" s="3"/>
      <c r="V82" s="5">
        <v>2.3E-2</v>
      </c>
    </row>
    <row r="83" spans="1:22" x14ac:dyDescent="0.25">
      <c r="A83" s="3" t="s">
        <v>24</v>
      </c>
      <c r="B83" s="4" t="s">
        <v>94</v>
      </c>
      <c r="C83" s="4" t="s">
        <v>411</v>
      </c>
      <c r="D83" s="4" t="s">
        <v>23</v>
      </c>
      <c r="E83" s="4">
        <v>4</v>
      </c>
      <c r="F83" s="4">
        <f>10</f>
        <v>10</v>
      </c>
      <c r="G83" s="4">
        <f>1</f>
        <v>1</v>
      </c>
      <c r="H83" s="4">
        <f>IF(Table113[[#This Row],[Auto Command]]=1,IF(Table113[[#This Row],[In stock]]&lt;Table113[[#This Row],[Min in stock]],1,""),"")</f>
        <v>1</v>
      </c>
      <c r="I83" s="3" t="s">
        <v>510</v>
      </c>
      <c r="J83" s="5">
        <v>0.52</v>
      </c>
      <c r="K83" s="3" t="s">
        <v>410</v>
      </c>
      <c r="L83" s="5">
        <v>0.51600000000000001</v>
      </c>
      <c r="M83" s="3"/>
      <c r="N83" s="5"/>
      <c r="O83" s="3"/>
      <c r="P83" s="5"/>
      <c r="Q83" s="3"/>
      <c r="R83" s="5"/>
      <c r="S83" s="3"/>
      <c r="T83" s="5"/>
      <c r="U83" s="3"/>
      <c r="V83" s="5">
        <v>0.51600000000000001</v>
      </c>
    </row>
    <row r="84" spans="1:22" x14ac:dyDescent="0.25">
      <c r="A84" s="3" t="s">
        <v>18</v>
      </c>
      <c r="B84" s="4" t="s">
        <v>94</v>
      </c>
      <c r="C84" s="4" t="s">
        <v>404</v>
      </c>
      <c r="D84" s="4" t="s">
        <v>17</v>
      </c>
      <c r="E84" s="4">
        <v>19</v>
      </c>
      <c r="F84" s="4">
        <f>10</f>
        <v>10</v>
      </c>
      <c r="G84" s="4">
        <f>1</f>
        <v>1</v>
      </c>
      <c r="H84" s="4" t="str">
        <f>IF(Table113[[#This Row],[Auto Command]]=1,IF(Table113[[#This Row],[In stock]]&lt;Table113[[#This Row],[Min in stock]],1,""),"")</f>
        <v/>
      </c>
      <c r="I84" s="3"/>
      <c r="J84" s="5"/>
      <c r="K84" s="3" t="s">
        <v>403</v>
      </c>
      <c r="L84" s="5">
        <v>0.246</v>
      </c>
      <c r="M84" s="3"/>
      <c r="N84" s="5"/>
      <c r="O84" s="3"/>
      <c r="P84" s="5"/>
      <c r="Q84" s="3"/>
      <c r="R84" s="5"/>
      <c r="S84" s="3"/>
      <c r="T84" s="5"/>
      <c r="U84" s="3"/>
      <c r="V84" s="5">
        <v>0.246</v>
      </c>
    </row>
    <row r="85" spans="1:22" x14ac:dyDescent="0.25">
      <c r="A85" s="6" t="s">
        <v>101</v>
      </c>
      <c r="B85" s="4" t="s">
        <v>94</v>
      </c>
      <c r="C85" s="4" t="s">
        <v>405</v>
      </c>
      <c r="D85" s="4" t="s">
        <v>102</v>
      </c>
      <c r="E85" s="4">
        <v>10</v>
      </c>
      <c r="F85" s="4">
        <f>10</f>
        <v>10</v>
      </c>
      <c r="G85" s="4">
        <f>1</f>
        <v>1</v>
      </c>
      <c r="H85" s="4" t="str">
        <f>IF(Table113[[#This Row],[Auto Command]]=1,IF(Table113[[#This Row],[In stock]]&lt;Table113[[#This Row],[Min in stock]],1,""),"")</f>
        <v/>
      </c>
      <c r="I85" s="3"/>
      <c r="J85" s="5"/>
      <c r="K85" s="3" t="s">
        <v>103</v>
      </c>
      <c r="L85" s="5">
        <v>0.34</v>
      </c>
      <c r="M85" s="3"/>
      <c r="N85" s="5"/>
      <c r="O85" s="3"/>
      <c r="P85" s="5"/>
      <c r="Q85" s="3"/>
      <c r="R85" s="5"/>
      <c r="S85" s="3"/>
      <c r="T85" s="5"/>
      <c r="U85" s="3"/>
      <c r="V85" s="5">
        <v>0.34</v>
      </c>
    </row>
    <row r="86" spans="1:22" x14ac:dyDescent="0.25">
      <c r="A86" s="3" t="s">
        <v>105</v>
      </c>
      <c r="B86" s="4" t="s">
        <v>94</v>
      </c>
      <c r="C86" s="4" t="s">
        <v>359</v>
      </c>
      <c r="D86" s="4" t="s">
        <v>104</v>
      </c>
      <c r="E86" s="4">
        <v>5</v>
      </c>
      <c r="F86" s="4">
        <f>10</f>
        <v>10</v>
      </c>
      <c r="G86" s="4">
        <f>1</f>
        <v>1</v>
      </c>
      <c r="H86" s="4">
        <f>IF(Table113[[#This Row],[Auto Command]]=1,IF(Table113[[#This Row],[In stock]]&lt;Table113[[#This Row],[Min in stock]],1,""),"")</f>
        <v>1</v>
      </c>
      <c r="I86" s="3"/>
      <c r="J86" s="5"/>
      <c r="K86" s="3" t="s">
        <v>106</v>
      </c>
      <c r="L86" s="5">
        <v>0.44600000000000001</v>
      </c>
      <c r="M86" s="3"/>
      <c r="N86" s="5"/>
      <c r="O86" s="3"/>
      <c r="P86" s="5"/>
      <c r="Q86" s="3"/>
      <c r="R86" s="5"/>
      <c r="S86" s="3"/>
      <c r="T86" s="5"/>
      <c r="U86" s="3"/>
      <c r="V86" s="5">
        <v>0.44600000000000001</v>
      </c>
    </row>
    <row r="87" spans="1:22" x14ac:dyDescent="0.25">
      <c r="A87" s="6" t="s">
        <v>100</v>
      </c>
      <c r="B87" s="4" t="s">
        <v>94</v>
      </c>
      <c r="C87" s="4" t="s">
        <v>406</v>
      </c>
      <c r="D87" s="4" t="s">
        <v>104</v>
      </c>
      <c r="E87" s="4">
        <v>10</v>
      </c>
      <c r="F87" s="4">
        <f>10</f>
        <v>10</v>
      </c>
      <c r="G87" s="4">
        <f>1</f>
        <v>1</v>
      </c>
      <c r="H87" s="4" t="str">
        <f>IF(Table113[[#This Row],[Auto Command]]=1,IF(Table113[[#This Row],[In stock]]&lt;Table113[[#This Row],[Min in stock]],1,""),"")</f>
        <v/>
      </c>
      <c r="I87" s="3"/>
      <c r="J87" s="5"/>
      <c r="K87" s="3" t="s">
        <v>99</v>
      </c>
      <c r="L87" s="5">
        <v>0.44600000000000001</v>
      </c>
      <c r="M87" s="3"/>
      <c r="N87" s="5"/>
      <c r="O87" s="3"/>
      <c r="P87" s="5"/>
      <c r="Q87" s="3"/>
      <c r="R87" s="5"/>
      <c r="S87" s="3"/>
      <c r="T87" s="5"/>
      <c r="U87" s="3"/>
      <c r="V87" s="5">
        <v>0.44600000000000001</v>
      </c>
    </row>
    <row r="88" spans="1:22" x14ac:dyDescent="0.25">
      <c r="A88" s="3" t="s">
        <v>22</v>
      </c>
      <c r="B88" s="4" t="s">
        <v>94</v>
      </c>
      <c r="C88" s="4" t="s">
        <v>413</v>
      </c>
      <c r="D88" s="4" t="s">
        <v>21</v>
      </c>
      <c r="E88" s="4">
        <v>9</v>
      </c>
      <c r="F88" s="4">
        <f>10</f>
        <v>10</v>
      </c>
      <c r="G88" s="4">
        <f>1</f>
        <v>1</v>
      </c>
      <c r="H88" s="4">
        <f>IF(Table113[[#This Row],[Auto Command]]=1,IF(Table113[[#This Row],[In stock]]&lt;Table113[[#This Row],[Min in stock]],1,""),"")</f>
        <v>1</v>
      </c>
      <c r="I88" s="3"/>
      <c r="J88" s="5"/>
      <c r="K88" s="3" t="s">
        <v>412</v>
      </c>
      <c r="L88" s="5">
        <v>0.57499999999999996</v>
      </c>
      <c r="M88" s="3"/>
      <c r="N88" s="5"/>
      <c r="O88" s="3"/>
      <c r="P88" s="5"/>
      <c r="Q88" s="3"/>
      <c r="R88" s="5"/>
      <c r="S88" s="3"/>
      <c r="T88" s="5"/>
      <c r="U88" s="3"/>
      <c r="V88" s="5">
        <v>0.57499999999999996</v>
      </c>
    </row>
    <row r="89" spans="1:22" x14ac:dyDescent="0.25">
      <c r="A89" s="3" t="s">
        <v>63</v>
      </c>
      <c r="B89" s="4" t="s">
        <v>33</v>
      </c>
      <c r="C89" s="4" t="s">
        <v>440</v>
      </c>
      <c r="D89" s="4" t="s">
        <v>62</v>
      </c>
      <c r="E89" s="4">
        <v>7</v>
      </c>
      <c r="F89" s="4">
        <f>10</f>
        <v>10</v>
      </c>
      <c r="G89" s="4">
        <f>1</f>
        <v>1</v>
      </c>
      <c r="H89" s="4">
        <f>IF(Table113[[#This Row],[Auto Command]]=1,IF(Table113[[#This Row],[In stock]]&lt;Table113[[#This Row],[Min in stock]],1,""),"")</f>
        <v>1</v>
      </c>
      <c r="I89" s="3"/>
      <c r="J89" s="5"/>
      <c r="K89" s="3" t="s">
        <v>439</v>
      </c>
      <c r="L89" s="5">
        <v>2.3900000000000001E-2</v>
      </c>
      <c r="M89" s="3"/>
      <c r="N89" s="5"/>
      <c r="O89" s="3"/>
      <c r="P89" s="5"/>
      <c r="Q89" s="3"/>
      <c r="R89" s="5"/>
      <c r="S89" s="3"/>
      <c r="T89" s="5"/>
      <c r="U89" s="3"/>
      <c r="V89" s="5">
        <v>2.3900000000000001E-2</v>
      </c>
    </row>
    <row r="90" spans="1:22" x14ac:dyDescent="0.25">
      <c r="A90" s="3" t="s">
        <v>52</v>
      </c>
      <c r="B90" s="4" t="s">
        <v>51</v>
      </c>
      <c r="C90" s="4" t="s">
        <v>446</v>
      </c>
      <c r="D90" s="4" t="s">
        <v>50</v>
      </c>
      <c r="E90" s="4">
        <v>9</v>
      </c>
      <c r="F90" s="4">
        <f>10</f>
        <v>10</v>
      </c>
      <c r="G90" s="4">
        <f>1</f>
        <v>1</v>
      </c>
      <c r="H90" s="4">
        <f>IF(Table113[[#This Row],[Auto Command]]=1,IF(Table113[[#This Row],[In stock]]&lt;Table113[[#This Row],[Min in stock]],1,""),"")</f>
        <v>1</v>
      </c>
      <c r="I90" s="3"/>
      <c r="J90" s="5"/>
      <c r="K90" s="3" t="s">
        <v>445</v>
      </c>
      <c r="L90" s="5">
        <v>1.0999999999999999E-2</v>
      </c>
      <c r="M90" s="3"/>
      <c r="N90" s="5"/>
      <c r="O90" s="3"/>
      <c r="P90" s="5"/>
      <c r="Q90" s="3"/>
      <c r="R90" s="5"/>
      <c r="S90" s="3"/>
      <c r="T90" s="5"/>
      <c r="U90" s="3"/>
      <c r="V90" s="5">
        <v>1.0999999999999999E-2</v>
      </c>
    </row>
    <row r="91" spans="1:22" x14ac:dyDescent="0.25">
      <c r="A91" s="3" t="s">
        <v>27</v>
      </c>
      <c r="B91" s="4" t="s">
        <v>45</v>
      </c>
      <c r="C91" s="4" t="s">
        <v>415</v>
      </c>
      <c r="D91" s="4" t="s">
        <v>25</v>
      </c>
      <c r="E91" s="4">
        <v>9</v>
      </c>
      <c r="F91" s="4">
        <f>10</f>
        <v>10</v>
      </c>
      <c r="G91" s="4">
        <f>1</f>
        <v>1</v>
      </c>
      <c r="H91" s="4">
        <f>IF(Table113[[#This Row],[Auto Command]]=1,IF(Table113[[#This Row],[In stock]]&lt;Table113[[#This Row],[Min in stock]],1,""),"")</f>
        <v>1</v>
      </c>
      <c r="I91" s="3" t="s">
        <v>512</v>
      </c>
      <c r="J91" s="5">
        <v>0.35</v>
      </c>
      <c r="K91" s="3" t="s">
        <v>414</v>
      </c>
      <c r="L91" s="5">
        <v>0.26500000000000001</v>
      </c>
      <c r="M91" s="3"/>
      <c r="N91" s="5"/>
      <c r="O91" s="3"/>
      <c r="P91" s="5"/>
      <c r="Q91" s="3"/>
      <c r="R91" s="5"/>
      <c r="S91" s="3"/>
      <c r="T91" s="5"/>
      <c r="U91" s="3"/>
      <c r="V91" s="5">
        <v>0.26500000000000001</v>
      </c>
    </row>
    <row r="92" spans="1:22" x14ac:dyDescent="0.25">
      <c r="A92" s="3" t="s">
        <v>43</v>
      </c>
      <c r="B92" s="4" t="s">
        <v>7</v>
      </c>
      <c r="C92" s="4" t="s">
        <v>398</v>
      </c>
      <c r="D92" s="4" t="s">
        <v>41</v>
      </c>
      <c r="E92" s="4">
        <v>24</v>
      </c>
      <c r="F92" s="4">
        <f>10</f>
        <v>10</v>
      </c>
      <c r="G92" s="4">
        <f>1</f>
        <v>1</v>
      </c>
      <c r="H92" s="4" t="str">
        <f>IF(Table113[[#This Row],[Auto Command]]=1,IF(Table113[[#This Row],[In stock]]&lt;Table113[[#This Row],[Min in stock]],1,""),"")</f>
        <v/>
      </c>
      <c r="I92" s="3" t="s">
        <v>515</v>
      </c>
      <c r="J92" s="5">
        <v>0.56999999999999995</v>
      </c>
      <c r="K92" s="3">
        <v>1779259</v>
      </c>
      <c r="L92" s="5">
        <v>0.27100000000000002</v>
      </c>
      <c r="M92" s="3"/>
      <c r="N92" s="5"/>
      <c r="O92" s="3"/>
      <c r="P92" s="5"/>
      <c r="Q92" s="3"/>
      <c r="R92" s="5"/>
      <c r="S92" s="3"/>
      <c r="T92" s="5"/>
      <c r="U92" s="3"/>
      <c r="V92" s="5">
        <v>0.27100000000000002</v>
      </c>
    </row>
    <row r="93" spans="1:22" x14ac:dyDescent="0.25">
      <c r="A93" s="3" t="s">
        <v>136</v>
      </c>
      <c r="B93" s="4" t="s">
        <v>127</v>
      </c>
      <c r="C93" s="4" t="s">
        <v>416</v>
      </c>
      <c r="D93" s="4" t="s">
        <v>135</v>
      </c>
      <c r="E93" s="4">
        <v>5</v>
      </c>
      <c r="F93" s="4">
        <f>10</f>
        <v>10</v>
      </c>
      <c r="G93" s="4">
        <f>1</f>
        <v>1</v>
      </c>
      <c r="H93" s="4">
        <f>IF(Table113[[#This Row],[Auto Command]]=1,IF(Table113[[#This Row],[In stock]]&lt;Table113[[#This Row],[Min in stock]],1,""),"")</f>
        <v>1</v>
      </c>
      <c r="I93" s="3"/>
      <c r="J93" s="5"/>
      <c r="K93" s="3" t="s">
        <v>137</v>
      </c>
      <c r="L93" s="5">
        <v>0.27100000000000002</v>
      </c>
      <c r="M93" s="3"/>
      <c r="N93" s="5"/>
      <c r="O93" s="3"/>
      <c r="P93" s="5"/>
      <c r="Q93" s="3"/>
      <c r="R93" s="5"/>
      <c r="S93" s="3"/>
      <c r="T93" s="5"/>
      <c r="U93" s="3"/>
      <c r="V93" s="5">
        <v>0.27100000000000002</v>
      </c>
    </row>
    <row r="94" spans="1:22" x14ac:dyDescent="0.25">
      <c r="A94" s="3" t="s">
        <v>9</v>
      </c>
      <c r="B94" s="4" t="s">
        <v>7</v>
      </c>
      <c r="C94" s="4" t="s">
        <v>408</v>
      </c>
      <c r="D94" s="4" t="s">
        <v>10</v>
      </c>
      <c r="E94" s="4">
        <v>4</v>
      </c>
      <c r="F94" s="4">
        <f>10</f>
        <v>10</v>
      </c>
      <c r="G94" s="4">
        <f>1</f>
        <v>1</v>
      </c>
      <c r="H94" s="4">
        <f>IF(Table113[[#This Row],[Auto Command]]=1,IF(Table113[[#This Row],[In stock]]&lt;Table113[[#This Row],[Min in stock]],1,""),"")</f>
        <v>1</v>
      </c>
      <c r="I94" s="3"/>
      <c r="J94" s="5"/>
      <c r="K94" s="3" t="s">
        <v>407</v>
      </c>
      <c r="L94" s="5">
        <v>0.33100000000000002</v>
      </c>
      <c r="M94" s="3"/>
      <c r="N94" s="5"/>
      <c r="O94" s="3"/>
      <c r="P94" s="5"/>
      <c r="Q94" s="3"/>
      <c r="R94" s="5"/>
      <c r="S94" s="3"/>
      <c r="T94" s="5"/>
      <c r="U94" s="3"/>
      <c r="V94" s="5">
        <v>0.33100000000000002</v>
      </c>
    </row>
    <row r="95" spans="1:22" x14ac:dyDescent="0.25">
      <c r="A95" s="3" t="s">
        <v>120</v>
      </c>
      <c r="B95" s="4" t="s">
        <v>33</v>
      </c>
      <c r="C95" s="4" t="s">
        <v>359</v>
      </c>
      <c r="D95" s="4" t="s">
        <v>119</v>
      </c>
      <c r="E95" s="4">
        <v>15</v>
      </c>
      <c r="F95" s="4">
        <f>10</f>
        <v>10</v>
      </c>
      <c r="G95" s="4">
        <f>1</f>
        <v>1</v>
      </c>
      <c r="H95" s="4" t="str">
        <f>IF(Table113[[#This Row],[Auto Command]]=1,IF(Table113[[#This Row],[In stock]]&lt;Table113[[#This Row],[Min in stock]],1,""),"")</f>
        <v/>
      </c>
      <c r="I95" s="3"/>
      <c r="J95" s="5"/>
      <c r="K95" s="3" t="s">
        <v>121</v>
      </c>
      <c r="L95" s="5">
        <v>0.26500000000000001</v>
      </c>
      <c r="M95" s="3"/>
      <c r="N95" s="5"/>
      <c r="O95" s="3"/>
      <c r="P95" s="5"/>
      <c r="Q95" s="3"/>
      <c r="R95" s="5"/>
      <c r="S95" s="3"/>
      <c r="T95" s="5"/>
      <c r="U95" s="3"/>
      <c r="V95" s="5">
        <v>0.26500000000000001</v>
      </c>
    </row>
    <row r="96" spans="1:22" x14ac:dyDescent="0.25">
      <c r="A96" s="3" t="s">
        <v>49</v>
      </c>
      <c r="B96" s="4" t="s">
        <v>48</v>
      </c>
      <c r="C96" s="4" t="s">
        <v>359</v>
      </c>
      <c r="D96" s="4" t="s">
        <v>47</v>
      </c>
      <c r="E96" s="4">
        <v>1</v>
      </c>
      <c r="F96" s="4">
        <f>10</f>
        <v>10</v>
      </c>
      <c r="G96" s="4">
        <f>1</f>
        <v>1</v>
      </c>
      <c r="H96" s="4">
        <f>IF(Table113[[#This Row],[Auto Command]]=1,IF(Table113[[#This Row],[In stock]]&lt;Table113[[#This Row],[Min in stock]],1,""),"")</f>
        <v>1</v>
      </c>
      <c r="I96" s="3" t="s">
        <v>518</v>
      </c>
      <c r="J96" s="5">
        <v>1.81</v>
      </c>
      <c r="K96" s="3">
        <v>1141380</v>
      </c>
      <c r="L96" s="5">
        <v>1.62</v>
      </c>
      <c r="M96" s="3"/>
      <c r="N96" s="5"/>
      <c r="O96" s="3"/>
      <c r="P96" s="5"/>
      <c r="Q96" s="3"/>
      <c r="R96" s="5"/>
      <c r="S96" s="3"/>
      <c r="T96" s="5"/>
      <c r="U96" s="3"/>
      <c r="V96" s="5">
        <v>1.62</v>
      </c>
    </row>
    <row r="97" spans="1:22" x14ac:dyDescent="0.25">
      <c r="A97" s="3" t="s">
        <v>129</v>
      </c>
      <c r="B97" s="4" t="s">
        <v>127</v>
      </c>
      <c r="C97" s="4" t="s">
        <v>399</v>
      </c>
      <c r="D97" s="4" t="s">
        <v>131</v>
      </c>
      <c r="E97" s="4">
        <v>10</v>
      </c>
      <c r="F97" s="4">
        <f>10</f>
        <v>10</v>
      </c>
      <c r="G97" s="4">
        <f>1</f>
        <v>1</v>
      </c>
      <c r="H97" s="4" t="str">
        <f>IF(Table113[[#This Row],[Auto Command]]=1,IF(Table113[[#This Row],[In stock]]&lt;Table113[[#This Row],[Min in stock]],1,""),"")</f>
        <v/>
      </c>
      <c r="I97" s="3"/>
      <c r="J97" s="5"/>
      <c r="K97" s="3" t="s">
        <v>130</v>
      </c>
      <c r="L97" s="5">
        <v>0.54600000000000004</v>
      </c>
      <c r="M97" s="3"/>
      <c r="N97" s="5"/>
      <c r="O97" s="3"/>
      <c r="P97" s="5"/>
      <c r="Q97" s="3"/>
      <c r="R97" s="5"/>
      <c r="S97" s="3"/>
      <c r="T97" s="5"/>
      <c r="U97" s="3"/>
      <c r="V97" s="5">
        <v>0.54600000000000004</v>
      </c>
    </row>
    <row r="98" spans="1:22" x14ac:dyDescent="0.25">
      <c r="A98" s="3" t="s">
        <v>126</v>
      </c>
      <c r="B98" s="4" t="s">
        <v>127</v>
      </c>
      <c r="C98" s="4" t="s">
        <v>359</v>
      </c>
      <c r="D98" s="4" t="s">
        <v>125</v>
      </c>
      <c r="E98" s="4">
        <v>5</v>
      </c>
      <c r="F98" s="4">
        <f>10</f>
        <v>10</v>
      </c>
      <c r="G98" s="4">
        <f>1</f>
        <v>1</v>
      </c>
      <c r="H98" s="4">
        <f>IF(Table113[[#This Row],[Auto Command]]=1,IF(Table113[[#This Row],[In stock]]&lt;Table113[[#This Row],[Min in stock]],1,""),"")</f>
        <v>1</v>
      </c>
      <c r="I98" s="3"/>
      <c r="J98" s="5"/>
      <c r="K98" s="3" t="s">
        <v>128</v>
      </c>
      <c r="L98" s="5">
        <v>0.68600000000000005</v>
      </c>
      <c r="M98" s="3"/>
      <c r="N98" s="5"/>
      <c r="O98" s="3"/>
      <c r="P98" s="5"/>
      <c r="Q98" s="3"/>
      <c r="R98" s="5"/>
      <c r="S98" s="3"/>
      <c r="T98" s="5"/>
      <c r="U98" s="3"/>
      <c r="V98" s="5">
        <v>0.68600000000000005</v>
      </c>
    </row>
    <row r="99" spans="1:22" x14ac:dyDescent="0.25">
      <c r="A99" s="3" t="s">
        <v>36</v>
      </c>
      <c r="B99" s="4" t="s">
        <v>42</v>
      </c>
      <c r="C99" s="4" t="s">
        <v>436</v>
      </c>
      <c r="D99" s="4" t="s">
        <v>35</v>
      </c>
      <c r="E99" s="4">
        <v>91</v>
      </c>
      <c r="F99" s="4">
        <f>10</f>
        <v>10</v>
      </c>
      <c r="G99" s="4">
        <f>1</f>
        <v>1</v>
      </c>
      <c r="H99" s="4" t="str">
        <f>IF(Table113[[#This Row],[Auto Command]]=1,IF(Table113[[#This Row],[In stock]]&lt;Table113[[#This Row],[Min in stock]],1,""),"")</f>
        <v/>
      </c>
      <c r="I99" s="3" t="s">
        <v>521</v>
      </c>
      <c r="J99" s="5">
        <v>0.42</v>
      </c>
      <c r="K99" s="3" t="s">
        <v>435</v>
      </c>
      <c r="L99" s="5">
        <v>0.106</v>
      </c>
      <c r="M99" s="3"/>
      <c r="N99" s="5"/>
      <c r="O99" s="3"/>
      <c r="P99" s="5"/>
      <c r="Q99" s="3"/>
      <c r="R99" s="5"/>
      <c r="S99" s="3"/>
      <c r="T99" s="5"/>
      <c r="U99" s="3"/>
      <c r="V99" s="5">
        <v>0.106</v>
      </c>
    </row>
    <row r="100" spans="1:22" x14ac:dyDescent="0.25">
      <c r="A100" s="3" t="s">
        <v>20</v>
      </c>
      <c r="B100" s="4" t="s">
        <v>42</v>
      </c>
      <c r="C100" s="4" t="s">
        <v>424</v>
      </c>
      <c r="D100" s="4" t="s">
        <v>19</v>
      </c>
      <c r="E100" s="4">
        <v>0</v>
      </c>
      <c r="F100" s="4">
        <f>10</f>
        <v>10</v>
      </c>
      <c r="G100" s="4">
        <f>1</f>
        <v>1</v>
      </c>
      <c r="H100" s="4">
        <f>IF(Table113[[#This Row],[Auto Command]]=1,IF(Table113[[#This Row],[In stock]]&lt;Table113[[#This Row],[Min in stock]],1,""),"")</f>
        <v>1</v>
      </c>
      <c r="I100" s="3"/>
      <c r="J100" s="5"/>
      <c r="K100" s="3" t="s">
        <v>423</v>
      </c>
      <c r="L100" s="5">
        <v>3.64</v>
      </c>
      <c r="M100" s="3"/>
      <c r="N100" s="5"/>
      <c r="O100" s="3"/>
      <c r="P100" s="5"/>
      <c r="Q100" s="3"/>
      <c r="R100" s="5"/>
      <c r="S100" s="3"/>
      <c r="T100" s="5"/>
      <c r="U100" s="3"/>
      <c r="V100" s="5"/>
    </row>
  </sheetData>
  <dataConsolidate/>
  <conditionalFormatting sqref="E2:E100">
    <cfRule type="containsBlanks" priority="5" stopIfTrue="1">
      <formula>LEN(TRIM(E2))=0</formula>
    </cfRule>
    <cfRule type="cellIs" dxfId="25" priority="28" operator="equal">
      <formula>0</formula>
    </cfRule>
  </conditionalFormatting>
  <conditionalFormatting sqref="A2:A100">
    <cfRule type="duplicateValues" dxfId="24" priority="1"/>
  </conditionalFormatting>
  <conditionalFormatting sqref="H1:H1048576">
    <cfRule type="cellIs" dxfId="23" priority="4" operator="equal">
      <formula>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2"/>
  <sheetViews>
    <sheetView tabSelected="1" workbookViewId="0">
      <selection activeCell="M10" sqref="M10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9" bestFit="1" customWidth="1"/>
    <col min="11" max="11" width="12.5703125" style="29" bestFit="1" customWidth="1"/>
    <col min="12" max="12" width="12.5703125" style="22" customWidth="1"/>
    <col min="13" max="13" width="32.5703125" style="22" bestFit="1" customWidth="1"/>
    <col min="14" max="14" width="27.5703125" style="27" bestFit="1" customWidth="1"/>
    <col min="15" max="15" width="28.7109375" style="27" bestFit="1" customWidth="1"/>
  </cols>
  <sheetData>
    <row r="1" spans="1:15" ht="15.75" thickBot="1" x14ac:dyDescent="0.3">
      <c r="A1" s="2" t="s">
        <v>1</v>
      </c>
      <c r="B1" s="2" t="s">
        <v>607</v>
      </c>
      <c r="C1" s="2" t="s">
        <v>6</v>
      </c>
      <c r="D1" s="2" t="s">
        <v>4</v>
      </c>
      <c r="E1" s="2" t="s">
        <v>358</v>
      </c>
      <c r="F1" s="24" t="s">
        <v>2</v>
      </c>
      <c r="G1" s="2" t="s">
        <v>3</v>
      </c>
      <c r="H1" s="30" t="s">
        <v>604</v>
      </c>
      <c r="I1" s="21" t="s">
        <v>8</v>
      </c>
      <c r="J1" s="35" t="s">
        <v>138</v>
      </c>
      <c r="K1" s="32" t="s">
        <v>605</v>
      </c>
      <c r="L1" s="32" t="s">
        <v>462</v>
      </c>
      <c r="M1" s="32" t="s">
        <v>464</v>
      </c>
      <c r="N1" s="26"/>
      <c r="O1" s="4"/>
    </row>
    <row r="2" spans="1:15" x14ac:dyDescent="0.25">
      <c r="A2" s="4" t="s">
        <v>139</v>
      </c>
      <c r="B2" s="4" t="s">
        <v>67</v>
      </c>
      <c r="C2" s="4" t="s">
        <v>69</v>
      </c>
      <c r="D2" s="4" t="s">
        <v>82</v>
      </c>
      <c r="E2" s="4" t="s">
        <v>422</v>
      </c>
      <c r="F2" s="4" t="s">
        <v>68</v>
      </c>
      <c r="G2" s="4">
        <v>1</v>
      </c>
      <c r="H2" s="4">
        <v>10</v>
      </c>
      <c r="I2" s="4">
        <v>4.88</v>
      </c>
      <c r="J2" s="28">
        <f>ROUNDUP(Table8[[#This Row],[Min Stock]]-Table8[[#This Row],[In stock]],0)</f>
        <v>9</v>
      </c>
      <c r="K2" s="31">
        <f>Table8[[#This Row],[Quantity]]*Table8[[#This Row],[Unit price]]</f>
        <v>43.92</v>
      </c>
      <c r="L2" s="33">
        <f>Table8[[#This Row],[Quantity]]</f>
        <v>9</v>
      </c>
      <c r="M2" s="33" t="str">
        <f>Table8[[#This Row],[Ret. Art. Number]]</f>
        <v>PB1175CT-ND</v>
      </c>
      <c r="O2"/>
    </row>
    <row r="3" spans="1:15" x14ac:dyDescent="0.25">
      <c r="A3" s="4" t="s">
        <v>141</v>
      </c>
      <c r="B3" s="4" t="s">
        <v>140</v>
      </c>
      <c r="C3" s="4" t="s">
        <v>160</v>
      </c>
      <c r="D3" s="4" t="s">
        <v>82</v>
      </c>
      <c r="E3" s="4" t="s">
        <v>359</v>
      </c>
      <c r="F3" s="4" t="s">
        <v>142</v>
      </c>
      <c r="G3" s="4">
        <v>5</v>
      </c>
      <c r="H3" s="4">
        <v>10</v>
      </c>
      <c r="I3" s="4">
        <v>0.45</v>
      </c>
      <c r="J3" s="28">
        <f>ROUNDUP(Table8[[#This Row],[Min Stock]]-Table8[[#This Row],[In stock]],0)</f>
        <v>5</v>
      </c>
      <c r="K3" s="31">
        <f>Table8[[#This Row],[Quantity]]*Table8[[#This Row],[Unit price]]</f>
        <v>2.25</v>
      </c>
      <c r="L3" s="33">
        <f>Table8[[#This Row],[Quantity]]</f>
        <v>5</v>
      </c>
      <c r="M3" s="33" t="str">
        <f>Table8[[#This Row],[Ret. Art. Number]]</f>
        <v>732-4998-1-ND</v>
      </c>
      <c r="O3"/>
    </row>
    <row r="4" spans="1:15" x14ac:dyDescent="0.25">
      <c r="A4" s="4" t="s">
        <v>77</v>
      </c>
      <c r="B4" s="4" t="s">
        <v>74</v>
      </c>
      <c r="C4" s="4" t="s">
        <v>76</v>
      </c>
      <c r="D4" s="4" t="s">
        <v>82</v>
      </c>
      <c r="E4" s="4" t="s">
        <v>359</v>
      </c>
      <c r="F4" s="4" t="s">
        <v>75</v>
      </c>
      <c r="G4" s="4">
        <v>1</v>
      </c>
      <c r="H4" s="4">
        <v>10</v>
      </c>
      <c r="I4" s="4">
        <v>2.98</v>
      </c>
      <c r="J4" s="28">
        <f>ROUNDUP(Table8[[#This Row],[Min Stock]]-Table8[[#This Row],[In stock]],0)</f>
        <v>9</v>
      </c>
      <c r="K4" s="31">
        <f>Table8[[#This Row],[Quantity]]*Table8[[#This Row],[Unit price]]</f>
        <v>26.82</v>
      </c>
      <c r="L4" s="33">
        <f>Table8[[#This Row],[Quantity]]</f>
        <v>9</v>
      </c>
      <c r="M4" s="33" t="str">
        <f>Table8[[#This Row],[Ret. Art. Number]]</f>
        <v>668-1204-ND</v>
      </c>
      <c r="O4"/>
    </row>
    <row r="5" spans="1:15" x14ac:dyDescent="0.25">
      <c r="A5" s="4" t="s">
        <v>73</v>
      </c>
      <c r="B5" s="4" t="s">
        <v>70</v>
      </c>
      <c r="C5" s="4" t="s">
        <v>72</v>
      </c>
      <c r="D5" s="4" t="s">
        <v>82</v>
      </c>
      <c r="E5" s="4" t="s">
        <v>359</v>
      </c>
      <c r="F5" s="4" t="s">
        <v>71</v>
      </c>
      <c r="G5" s="4">
        <v>3</v>
      </c>
      <c r="H5" s="4">
        <v>10</v>
      </c>
      <c r="I5" s="4">
        <v>1.07</v>
      </c>
      <c r="J5" s="28">
        <f>ROUNDUP(Table8[[#This Row],[Min Stock]]-Table8[[#This Row],[In stock]],0)</f>
        <v>7</v>
      </c>
      <c r="K5" s="31">
        <f>Table8[[#This Row],[Quantity]]*Table8[[#This Row],[Unit price]]</f>
        <v>7.49</v>
      </c>
      <c r="L5" s="33">
        <f>Table8[[#This Row],[Quantity]]</f>
        <v>7</v>
      </c>
      <c r="M5" s="33" t="str">
        <f>Table8[[#This Row],[Ret. Art. Number]]</f>
        <v>NSL-19M51-ND</v>
      </c>
      <c r="O5"/>
    </row>
    <row r="6" spans="1:15" x14ac:dyDescent="0.25">
      <c r="A6" s="4" t="s">
        <v>153</v>
      </c>
      <c r="B6" s="4" t="s">
        <v>152</v>
      </c>
      <c r="C6" s="4" t="s">
        <v>80</v>
      </c>
      <c r="D6" s="4" t="s">
        <v>82</v>
      </c>
      <c r="E6" s="4" t="s">
        <v>359</v>
      </c>
      <c r="F6" s="4" t="s">
        <v>154</v>
      </c>
      <c r="G6" s="4">
        <v>3</v>
      </c>
      <c r="H6" s="4">
        <v>10</v>
      </c>
      <c r="I6" s="4">
        <v>1.53</v>
      </c>
      <c r="J6" s="28">
        <f>ROUNDUP(Table8[[#This Row],[Min Stock]]-Table8[[#This Row],[In stock]],0)</f>
        <v>7</v>
      </c>
      <c r="K6" s="31">
        <f>Table8[[#This Row],[Quantity]]*Table8[[#This Row],[Unit price]]</f>
        <v>10.71</v>
      </c>
      <c r="L6" s="33">
        <f>Table8[[#This Row],[Quantity]]</f>
        <v>7</v>
      </c>
      <c r="M6" s="33" t="str">
        <f>Table8[[#This Row],[Ret. Art. Number]]</f>
        <v>PIC16F18346-I/P-ND</v>
      </c>
      <c r="O6"/>
    </row>
    <row r="7" spans="1:15" x14ac:dyDescent="0.25">
      <c r="A7" s="4" t="s">
        <v>81</v>
      </c>
      <c r="B7" s="4" t="s">
        <v>78</v>
      </c>
      <c r="C7" s="4" t="s">
        <v>80</v>
      </c>
      <c r="D7" s="4" t="s">
        <v>82</v>
      </c>
      <c r="E7" s="4" t="s">
        <v>359</v>
      </c>
      <c r="F7" s="4" t="s">
        <v>79</v>
      </c>
      <c r="G7" s="4">
        <v>2</v>
      </c>
      <c r="H7" s="4">
        <v>10</v>
      </c>
      <c r="I7" s="4">
        <v>1.57</v>
      </c>
      <c r="J7" s="28">
        <f>ROUNDUP(Table8[[#This Row],[Min Stock]]-Table8[[#This Row],[In stock]],0)</f>
        <v>8</v>
      </c>
      <c r="K7" s="31">
        <f>Table8[[#This Row],[Quantity]]*Table8[[#This Row],[Unit price]]</f>
        <v>12.56</v>
      </c>
      <c r="L7" s="33">
        <f>Table8[[#This Row],[Quantity]]</f>
        <v>8</v>
      </c>
      <c r="M7" s="33" t="str">
        <f>Table8[[#This Row],[Ret. Art. Number]]</f>
        <v>PIC16LF1827-I/P-ND</v>
      </c>
      <c r="O7"/>
    </row>
    <row r="8" spans="1:15" x14ac:dyDescent="0.25">
      <c r="A8" s="4" t="s">
        <v>147</v>
      </c>
      <c r="B8" s="4" t="s">
        <v>146</v>
      </c>
      <c r="C8" s="4" t="s">
        <v>80</v>
      </c>
      <c r="D8" s="4" t="s">
        <v>82</v>
      </c>
      <c r="E8" s="4" t="s">
        <v>419</v>
      </c>
      <c r="F8" s="4" t="s">
        <v>148</v>
      </c>
      <c r="G8" s="4">
        <v>3</v>
      </c>
      <c r="H8" s="4">
        <v>10</v>
      </c>
      <c r="I8" s="4">
        <v>1.47</v>
      </c>
      <c r="J8" s="28">
        <f>ROUNDUP(Table8[[#This Row],[Min Stock]]-Table8[[#This Row],[In stock]],0)</f>
        <v>7</v>
      </c>
      <c r="K8" s="31">
        <f>Table8[[#This Row],[Quantity]]*Table8[[#This Row],[Unit price]]</f>
        <v>10.29</v>
      </c>
      <c r="L8" s="33">
        <f>Table8[[#This Row],[Quantity]]</f>
        <v>7</v>
      </c>
      <c r="M8" s="33" t="str">
        <f>Table8[[#This Row],[Ret. Art. Number]]</f>
        <v>PIC16LF1827-I/SS-ND</v>
      </c>
      <c r="O8"/>
    </row>
    <row r="9" spans="1:15" x14ac:dyDescent="0.25">
      <c r="A9" s="4" t="s">
        <v>150</v>
      </c>
      <c r="B9" s="4" t="s">
        <v>149</v>
      </c>
      <c r="C9" s="4" t="s">
        <v>80</v>
      </c>
      <c r="D9" s="4" t="s">
        <v>82</v>
      </c>
      <c r="E9" s="4" t="s">
        <v>418</v>
      </c>
      <c r="F9" s="4" t="s">
        <v>151</v>
      </c>
      <c r="G9" s="4">
        <v>3</v>
      </c>
      <c r="H9" s="4">
        <v>10</v>
      </c>
      <c r="I9" s="4">
        <v>1.43</v>
      </c>
      <c r="J9" s="28">
        <f>ROUNDUP(Table8[[#This Row],[Min Stock]]-Table8[[#This Row],[In stock]],0)</f>
        <v>7</v>
      </c>
      <c r="K9" s="31">
        <f>Table8[[#This Row],[Quantity]]*Table8[[#This Row],[Unit price]]</f>
        <v>10.01</v>
      </c>
      <c r="L9" s="33">
        <f>Table8[[#This Row],[Quantity]]</f>
        <v>7</v>
      </c>
      <c r="M9" s="33" t="str">
        <f>Table8[[#This Row],[Ret. Art. Number]]</f>
        <v>PIC16LF18346-E/SO-ND</v>
      </c>
      <c r="O9"/>
    </row>
    <row r="10" spans="1:15" x14ac:dyDescent="0.25">
      <c r="A10" s="4" t="s">
        <v>158</v>
      </c>
      <c r="B10" s="4" t="s">
        <v>64</v>
      </c>
      <c r="C10" s="4" t="s">
        <v>95</v>
      </c>
      <c r="D10" s="4" t="s">
        <v>82</v>
      </c>
      <c r="E10" s="4" t="s">
        <v>359</v>
      </c>
      <c r="F10" s="4" t="s">
        <v>66</v>
      </c>
      <c r="G10" s="4">
        <v>1</v>
      </c>
      <c r="H10" s="4">
        <v>10</v>
      </c>
      <c r="I10" s="4">
        <v>15.9</v>
      </c>
      <c r="J10" s="28">
        <f>ROUNDUP(Table8[[#This Row],[Min Stock]]-Table8[[#This Row],[In stock]],0)</f>
        <v>9</v>
      </c>
      <c r="K10" s="31">
        <f>Table8[[#This Row],[Quantity]]*Table8[[#This Row],[Unit price]]</f>
        <v>143.1</v>
      </c>
      <c r="L10" s="33">
        <f>Table8[[#This Row],[Quantity]]</f>
        <v>9</v>
      </c>
      <c r="M10" s="33" t="str">
        <f>Table8[[#This Row],[Ret. Art. Number]]</f>
        <v>377-2428-ND</v>
      </c>
      <c r="O10"/>
    </row>
    <row r="11" spans="1:15" x14ac:dyDescent="0.25">
      <c r="A11" s="4" t="s">
        <v>144</v>
      </c>
      <c r="B11" s="4" t="s">
        <v>143</v>
      </c>
      <c r="C11" s="4" t="s">
        <v>161</v>
      </c>
      <c r="D11" s="4" t="s">
        <v>82</v>
      </c>
      <c r="E11" s="4" t="s">
        <v>359</v>
      </c>
      <c r="F11" s="4" t="s">
        <v>145</v>
      </c>
      <c r="G11" s="4">
        <v>2</v>
      </c>
      <c r="H11" s="4">
        <v>10</v>
      </c>
      <c r="I11" s="4">
        <v>2.52</v>
      </c>
      <c r="J11" s="28">
        <f>ROUNDUP(Table8[[#This Row],[Min Stock]]-Table8[[#This Row],[In stock]],0)</f>
        <v>8</v>
      </c>
      <c r="K11" s="31">
        <f>Table8[[#This Row],[Quantity]]*Table8[[#This Row],[Unit price]]</f>
        <v>20.16</v>
      </c>
      <c r="L11" s="33">
        <f>Table8[[#This Row],[Quantity]]</f>
        <v>8</v>
      </c>
      <c r="M11" s="33" t="str">
        <f>Table8[[#This Row],[Ret. Art. Number]]</f>
        <v>VEML6040A3OGCT-ND</v>
      </c>
      <c r="O11"/>
    </row>
    <row r="12" spans="1:15" x14ac:dyDescent="0.25">
      <c r="A12" s="4" t="s">
        <v>181</v>
      </c>
      <c r="B12" s="4" t="s">
        <v>180</v>
      </c>
      <c r="C12" s="4" t="s">
        <v>179</v>
      </c>
      <c r="D12" s="4" t="s">
        <v>82</v>
      </c>
      <c r="E12" s="4" t="s">
        <v>359</v>
      </c>
      <c r="F12" s="4" t="s">
        <v>182</v>
      </c>
      <c r="G12" s="4">
        <v>4</v>
      </c>
      <c r="H12" s="4">
        <v>10</v>
      </c>
      <c r="I12" s="4">
        <v>1.82</v>
      </c>
      <c r="J12" s="28">
        <f>ROUNDUP(Table8[[#This Row],[Min Stock]]-Table8[[#This Row],[In stock]],0)</f>
        <v>6</v>
      </c>
      <c r="K12" s="31">
        <f>Table8[[#This Row],[Quantity]]*Table8[[#This Row],[Unit price]]</f>
        <v>10.92</v>
      </c>
      <c r="L12" s="33">
        <f>Table8[[#This Row],[Quantity]]</f>
        <v>6</v>
      </c>
      <c r="M12" s="33" t="str">
        <f>Table8[[#This Row],[Ret. Art. Number]]</f>
        <v>F10794-ND</v>
      </c>
      <c r="O12"/>
    </row>
    <row r="13" spans="1:15" x14ac:dyDescent="0.25">
      <c r="A13" s="4" t="s">
        <v>184</v>
      </c>
      <c r="B13" s="4" t="s">
        <v>183</v>
      </c>
      <c r="C13" s="4" t="s">
        <v>179</v>
      </c>
      <c r="D13" s="4" t="s">
        <v>82</v>
      </c>
      <c r="E13" s="4" t="s">
        <v>359</v>
      </c>
      <c r="F13" s="4" t="s">
        <v>185</v>
      </c>
      <c r="G13" s="4">
        <v>1</v>
      </c>
      <c r="H13" s="4">
        <v>10</v>
      </c>
      <c r="I13" s="4">
        <v>0.8</v>
      </c>
      <c r="J13" s="28">
        <f>ROUNDUP(Table8[[#This Row],[Min Stock]]-Table8[[#This Row],[In stock]],0)</f>
        <v>9</v>
      </c>
      <c r="K13" s="31">
        <f>Table8[[#This Row],[Quantity]]*Table8[[#This Row],[Unit price]]</f>
        <v>7.2</v>
      </c>
      <c r="L13" s="33">
        <f>Table8[[#This Row],[Quantity]]</f>
        <v>9</v>
      </c>
      <c r="M13" s="33" t="str">
        <f>Table8[[#This Row],[Ret. Art. Number]]</f>
        <v>XQDAWT-00-0000-00000BF50CT-ND</v>
      </c>
      <c r="O13"/>
    </row>
    <row r="14" spans="1:15" x14ac:dyDescent="0.25">
      <c r="A14" s="4" t="s">
        <v>187</v>
      </c>
      <c r="B14" s="4" t="s">
        <v>186</v>
      </c>
      <c r="C14" s="4" t="s">
        <v>179</v>
      </c>
      <c r="D14" s="4" t="s">
        <v>82</v>
      </c>
      <c r="E14" s="4" t="s">
        <v>359</v>
      </c>
      <c r="F14" s="4" t="s">
        <v>188</v>
      </c>
      <c r="G14" s="4">
        <v>2</v>
      </c>
      <c r="H14" s="4">
        <v>10</v>
      </c>
      <c r="I14" s="4">
        <v>1.06</v>
      </c>
      <c r="J14" s="28">
        <f>ROUNDUP(Table8[[#This Row],[Min Stock]]-Table8[[#This Row],[In stock]],0)</f>
        <v>8</v>
      </c>
      <c r="K14" s="31">
        <f>Table8[[#This Row],[Quantity]]*Table8[[#This Row],[Unit price]]</f>
        <v>8.48</v>
      </c>
      <c r="L14" s="33">
        <f>Table8[[#This Row],[Quantity]]</f>
        <v>8</v>
      </c>
      <c r="M14" s="33" t="str">
        <f>Table8[[#This Row],[Ret. Art. Number]]</f>
        <v>XTEAWT-00-0000-000000KE1CT-ND</v>
      </c>
      <c r="O14"/>
    </row>
    <row r="15" spans="1:15" x14ac:dyDescent="0.25">
      <c r="A15" s="4" t="s">
        <v>193</v>
      </c>
      <c r="B15" s="4" t="s">
        <v>192</v>
      </c>
      <c r="C15" s="4" t="s">
        <v>179</v>
      </c>
      <c r="D15" s="4" t="s">
        <v>82</v>
      </c>
      <c r="E15" s="4" t="s">
        <v>359</v>
      </c>
      <c r="F15" s="4" t="s">
        <v>194</v>
      </c>
      <c r="G15" s="4">
        <v>1</v>
      </c>
      <c r="H15" s="4">
        <v>10</v>
      </c>
      <c r="I15" s="4">
        <v>1.82</v>
      </c>
      <c r="J15" s="28">
        <f>ROUNDUP(Table8[[#This Row],[Min Stock]]-Table8[[#This Row],[In stock]],0)</f>
        <v>9</v>
      </c>
      <c r="K15" s="31">
        <f>Table8[[#This Row],[Quantity]]*Table8[[#This Row],[Unit price]]</f>
        <v>16.38</v>
      </c>
      <c r="L15" s="33">
        <f>Table8[[#This Row],[Quantity]]</f>
        <v>9</v>
      </c>
      <c r="M15" s="33" t="str">
        <f>Table8[[#This Row],[Ret. Art. Number]]</f>
        <v>296-46314-1-ND</v>
      </c>
      <c r="O15"/>
    </row>
    <row r="16" spans="1:15" x14ac:dyDescent="0.25">
      <c r="A16" s="4" t="s">
        <v>196</v>
      </c>
      <c r="B16" s="4" t="s">
        <v>195</v>
      </c>
      <c r="C16" s="4" t="s">
        <v>179</v>
      </c>
      <c r="D16" s="4" t="s">
        <v>82</v>
      </c>
      <c r="E16" s="4" t="s">
        <v>359</v>
      </c>
      <c r="F16" s="4" t="s">
        <v>197</v>
      </c>
      <c r="G16" s="4">
        <v>2</v>
      </c>
      <c r="H16" s="4">
        <v>10</v>
      </c>
      <c r="I16" s="4">
        <v>2.64</v>
      </c>
      <c r="J16" s="28">
        <f>ROUNDUP(Table8[[#This Row],[Min Stock]]-Table8[[#This Row],[In stock]],0)</f>
        <v>8</v>
      </c>
      <c r="K16" s="31">
        <f>Table8[[#This Row],[Quantity]]*Table8[[#This Row],[Unit price]]</f>
        <v>21.12</v>
      </c>
      <c r="L16" s="33">
        <f>Table8[[#This Row],[Quantity]]</f>
        <v>8</v>
      </c>
      <c r="M16" s="33" t="str">
        <f>Table8[[#This Row],[Ret. Art. Number]]</f>
        <v>1510-2262-1-ND</v>
      </c>
      <c r="O16"/>
    </row>
    <row r="17" spans="1:15" x14ac:dyDescent="0.25">
      <c r="A17" s="4" t="s">
        <v>199</v>
      </c>
      <c r="B17" s="4" t="s">
        <v>198</v>
      </c>
      <c r="C17" s="4" t="s">
        <v>179</v>
      </c>
      <c r="D17" s="4" t="s">
        <v>82</v>
      </c>
      <c r="E17" s="4" t="s">
        <v>359</v>
      </c>
      <c r="F17" s="4" t="s">
        <v>200</v>
      </c>
      <c r="G17" s="4">
        <v>1</v>
      </c>
      <c r="H17" s="4">
        <v>10</v>
      </c>
      <c r="I17" s="4">
        <v>15.95</v>
      </c>
      <c r="J17" s="28">
        <f>ROUNDUP(Table8[[#This Row],[Min Stock]]-Table8[[#This Row],[In stock]],0)</f>
        <v>9</v>
      </c>
      <c r="K17" s="31">
        <f>Table8[[#This Row],[Quantity]]*Table8[[#This Row],[Unit price]]</f>
        <v>143.54999999999998</v>
      </c>
      <c r="L17" s="33">
        <f>Table8[[#This Row],[Quantity]]</f>
        <v>9</v>
      </c>
      <c r="M17" s="33" t="str">
        <f>Table8[[#This Row],[Ret. Art. Number]]</f>
        <v>SMD291-ND</v>
      </c>
      <c r="O17"/>
    </row>
    <row r="18" spans="1:15" x14ac:dyDescent="0.25">
      <c r="A18" s="4" t="s">
        <v>219</v>
      </c>
      <c r="B18" s="4" t="s">
        <v>221</v>
      </c>
      <c r="C18" s="4" t="s">
        <v>222</v>
      </c>
      <c r="D18" s="4" t="s">
        <v>82</v>
      </c>
      <c r="E18" s="4" t="s">
        <v>421</v>
      </c>
      <c r="F18" s="4" t="s">
        <v>220</v>
      </c>
      <c r="G18" s="4">
        <v>4</v>
      </c>
      <c r="H18" s="4">
        <v>10</v>
      </c>
      <c r="I18" s="4">
        <v>2.64</v>
      </c>
      <c r="J18" s="28">
        <f>ROUNDUP(Table8[[#This Row],[Min Stock]]-Table8[[#This Row],[In stock]],0)</f>
        <v>6</v>
      </c>
      <c r="K18" s="31">
        <f>Table8[[#This Row],[Quantity]]*Table8[[#This Row],[Unit price]]</f>
        <v>15.84</v>
      </c>
      <c r="L18" s="33">
        <f>Table8[[#This Row],[Quantity]]</f>
        <v>6</v>
      </c>
      <c r="M18" s="33" t="str">
        <f>Table8[[#This Row],[Ret. Art. Number]]</f>
        <v>MMA8452QR1CT-ND</v>
      </c>
      <c r="O18"/>
    </row>
    <row r="19" spans="1:15" x14ac:dyDescent="0.25">
      <c r="A19" s="4" t="s">
        <v>218</v>
      </c>
      <c r="B19" s="4" t="s">
        <v>223</v>
      </c>
      <c r="C19" s="4" t="s">
        <v>80</v>
      </c>
      <c r="D19" s="4" t="s">
        <v>82</v>
      </c>
      <c r="E19" s="4" t="s">
        <v>420</v>
      </c>
      <c r="F19" s="4" t="s">
        <v>217</v>
      </c>
      <c r="G19" s="4">
        <v>4</v>
      </c>
      <c r="H19" s="4">
        <v>10</v>
      </c>
      <c r="I19" s="4">
        <v>0.92</v>
      </c>
      <c r="J19" s="28">
        <f>ROUNDUP(Table8[[#This Row],[Min Stock]]-Table8[[#This Row],[In stock]],0)</f>
        <v>6</v>
      </c>
      <c r="K19" s="31">
        <f>Table8[[#This Row],[Quantity]]*Table8[[#This Row],[Unit price]]</f>
        <v>5.5200000000000005</v>
      </c>
      <c r="L19" s="33">
        <f>Table8[[#This Row],[Quantity]]</f>
        <v>6</v>
      </c>
      <c r="M19" s="33" t="str">
        <f>Table8[[#This Row],[Ret. Art. Number]]</f>
        <v>PIC16LF18324-I/SL-ND</v>
      </c>
      <c r="O19"/>
    </row>
    <row r="20" spans="1:15" x14ac:dyDescent="0.25">
      <c r="A20" s="4" t="s">
        <v>228</v>
      </c>
      <c r="B20" s="4" t="s">
        <v>227</v>
      </c>
      <c r="C20" s="4" t="s">
        <v>229</v>
      </c>
      <c r="D20" s="4" t="s">
        <v>82</v>
      </c>
      <c r="E20" s="4" t="s">
        <v>359</v>
      </c>
      <c r="F20" s="4" t="s">
        <v>230</v>
      </c>
      <c r="G20" s="4">
        <v>4</v>
      </c>
      <c r="H20" s="4">
        <v>10</v>
      </c>
      <c r="I20" s="4">
        <v>1.21</v>
      </c>
      <c r="J20" s="28">
        <f>ROUNDUP(Table8[[#This Row],[Min Stock]]-Table8[[#This Row],[In stock]],0)</f>
        <v>6</v>
      </c>
      <c r="K20" s="31">
        <f>Table8[[#This Row],[Quantity]]*Table8[[#This Row],[Unit price]]</f>
        <v>7.26</v>
      </c>
      <c r="L20" s="33">
        <f>Table8[[#This Row],[Quantity]]</f>
        <v>6</v>
      </c>
      <c r="M20" s="33" t="str">
        <f>Table8[[#This Row],[Ret. Art. Number]]</f>
        <v>BU2032SM-JJ-GCT-ND</v>
      </c>
      <c r="O20"/>
    </row>
    <row r="21" spans="1:15" x14ac:dyDescent="0.25">
      <c r="A21" s="4" t="s">
        <v>232</v>
      </c>
      <c r="B21" s="4" t="s">
        <v>231</v>
      </c>
      <c r="C21" s="4" t="s">
        <v>160</v>
      </c>
      <c r="D21" s="4" t="s">
        <v>82</v>
      </c>
      <c r="E21" s="4" t="s">
        <v>426</v>
      </c>
      <c r="F21" s="4" t="s">
        <v>233</v>
      </c>
      <c r="G21" s="4">
        <v>9</v>
      </c>
      <c r="H21" s="4">
        <v>10</v>
      </c>
      <c r="I21" s="4">
        <v>0.14000000000000001</v>
      </c>
      <c r="J21" s="28">
        <f>ROUNDUP(Table8[[#This Row],[Min Stock]]-Table8[[#This Row],[In stock]],0)</f>
        <v>1</v>
      </c>
      <c r="K21" s="31">
        <f>Table8[[#This Row],[Quantity]]*Table8[[#This Row],[Unit price]]</f>
        <v>0.14000000000000001</v>
      </c>
      <c r="L21" s="33">
        <f>Table8[[#This Row],[Quantity]]</f>
        <v>1</v>
      </c>
      <c r="M21" s="33" t="str">
        <f>Table8[[#This Row],[Ret. Art. Number]]</f>
        <v>732-4980-1-ND</v>
      </c>
      <c r="O21"/>
    </row>
    <row r="22" spans="1:15" x14ac:dyDescent="0.25">
      <c r="A22" s="4" t="s">
        <v>234</v>
      </c>
      <c r="B22" s="4" t="s">
        <v>234</v>
      </c>
      <c r="C22" s="4" t="s">
        <v>161</v>
      </c>
      <c r="D22" s="4" t="s">
        <v>82</v>
      </c>
      <c r="E22" s="4" t="s">
        <v>425</v>
      </c>
      <c r="F22" s="4" t="s">
        <v>235</v>
      </c>
      <c r="G22" s="4">
        <v>9</v>
      </c>
      <c r="H22" s="4">
        <v>10</v>
      </c>
      <c r="I22" s="4">
        <v>0.52</v>
      </c>
      <c r="J22" s="28">
        <f>ROUNDUP(Table8[[#This Row],[Min Stock]]-Table8[[#This Row],[In stock]],0)</f>
        <v>1</v>
      </c>
      <c r="K22" s="31">
        <f>Table8[[#This Row],[Quantity]]*Table8[[#This Row],[Unit price]]</f>
        <v>0.52</v>
      </c>
      <c r="L22" s="33">
        <f>Table8[[#This Row],[Quantity]]</f>
        <v>1</v>
      </c>
      <c r="M22" s="33" t="str">
        <f>Table8[[#This Row],[Ret. Art. Number]]</f>
        <v>TLMS1000-GS08</v>
      </c>
      <c r="O22"/>
    </row>
    <row r="23" spans="1:15" x14ac:dyDescent="0.25">
      <c r="A23" s="4" t="s">
        <v>237</v>
      </c>
      <c r="B23" s="4" t="s">
        <v>236</v>
      </c>
      <c r="C23" s="4" t="s">
        <v>238</v>
      </c>
      <c r="D23" s="4" t="s">
        <v>82</v>
      </c>
      <c r="E23" s="4" t="s">
        <v>359</v>
      </c>
      <c r="F23" s="4" t="s">
        <v>239</v>
      </c>
      <c r="G23" s="4">
        <v>4</v>
      </c>
      <c r="H23" s="4">
        <v>10</v>
      </c>
      <c r="I23" s="4">
        <v>1.39</v>
      </c>
      <c r="J23" s="28">
        <f>ROUNDUP(Table8[[#This Row],[Min Stock]]-Table8[[#This Row],[In stock]],0)</f>
        <v>6</v>
      </c>
      <c r="K23" s="31">
        <f>Table8[[#This Row],[Quantity]]*Table8[[#This Row],[Unit price]]</f>
        <v>8.34</v>
      </c>
      <c r="L23" s="33">
        <f>Table8[[#This Row],[Quantity]]</f>
        <v>6</v>
      </c>
      <c r="M23" s="33" t="str">
        <f>Table8[[#This Row],[Ret. Art. Number]]</f>
        <v>679-3547-ND</v>
      </c>
      <c r="O23"/>
    </row>
    <row r="24" spans="1:15" x14ac:dyDescent="0.25">
      <c r="A24" s="4" t="s">
        <v>241</v>
      </c>
      <c r="B24" s="4" t="s">
        <v>240</v>
      </c>
      <c r="C24" s="4" t="s">
        <v>242</v>
      </c>
      <c r="D24" s="4" t="s">
        <v>82</v>
      </c>
      <c r="E24" s="4" t="s">
        <v>359</v>
      </c>
      <c r="F24" s="4" t="s">
        <v>243</v>
      </c>
      <c r="G24" s="4">
        <v>4</v>
      </c>
      <c r="H24" s="4">
        <v>10</v>
      </c>
      <c r="I24" s="4">
        <v>0.85</v>
      </c>
      <c r="J24" s="28">
        <f>ROUNDUP(Table8[[#This Row],[Min Stock]]-Table8[[#This Row],[In stock]],0)</f>
        <v>6</v>
      </c>
      <c r="K24" s="31">
        <f>Table8[[#This Row],[Quantity]]*Table8[[#This Row],[Unit price]]</f>
        <v>5.0999999999999996</v>
      </c>
      <c r="L24" s="33">
        <f>Table8[[#This Row],[Quantity]]</f>
        <v>6</v>
      </c>
      <c r="M24" s="33" t="str">
        <f>Table8[[#This Row],[Ret. Art. Number]]</f>
        <v>1-1825059-3-ND</v>
      </c>
      <c r="O24"/>
    </row>
    <row r="25" spans="1:15" x14ac:dyDescent="0.25">
      <c r="A25" s="4" t="s">
        <v>597</v>
      </c>
      <c r="B25" s="4" t="s">
        <v>265</v>
      </c>
      <c r="C25" s="4" t="s">
        <v>262</v>
      </c>
      <c r="D25" s="4" t="s">
        <v>82</v>
      </c>
      <c r="E25" s="4" t="s">
        <v>359</v>
      </c>
      <c r="F25" s="4" t="s">
        <v>266</v>
      </c>
      <c r="G25" s="4">
        <v>3</v>
      </c>
      <c r="H25" s="4">
        <v>10</v>
      </c>
      <c r="I25" s="4">
        <v>0.31</v>
      </c>
      <c r="J25" s="28">
        <f>ROUNDUP(Table8[[#This Row],[Min Stock]]-Table8[[#This Row],[In stock]],0)</f>
        <v>7</v>
      </c>
      <c r="K25" s="31">
        <f>Table8[[#This Row],[Quantity]]*Table8[[#This Row],[Unit price]]</f>
        <v>2.17</v>
      </c>
      <c r="L25" s="33">
        <f>Table8[[#This Row],[Quantity]]</f>
        <v>7</v>
      </c>
      <c r="M25" s="33" t="str">
        <f>Table8[[#This Row],[Ret. Art. Number]]</f>
        <v>A129415CT-ND</v>
      </c>
      <c r="O25"/>
    </row>
    <row r="26" spans="1:15" x14ac:dyDescent="0.25">
      <c r="A26" s="4" t="s">
        <v>598</v>
      </c>
      <c r="B26" s="4" t="s">
        <v>267</v>
      </c>
      <c r="C26" s="4" t="s">
        <v>262</v>
      </c>
      <c r="D26" s="4" t="s">
        <v>82</v>
      </c>
      <c r="E26" s="4" t="s">
        <v>359</v>
      </c>
      <c r="F26" s="4" t="s">
        <v>268</v>
      </c>
      <c r="G26" s="4">
        <v>1</v>
      </c>
      <c r="H26" s="4">
        <v>10</v>
      </c>
      <c r="I26" s="4">
        <v>0.93</v>
      </c>
      <c r="J26" s="28">
        <f>ROUNDUP(Table8[[#This Row],[Min Stock]]-Table8[[#This Row],[In stock]],0)</f>
        <v>9</v>
      </c>
      <c r="K26" s="31">
        <f>Table8[[#This Row],[Quantity]]*Table8[[#This Row],[Unit price]]</f>
        <v>8.370000000000001</v>
      </c>
      <c r="L26" s="33">
        <f>Table8[[#This Row],[Quantity]]</f>
        <v>9</v>
      </c>
      <c r="M26" s="33" t="str">
        <f>Table8[[#This Row],[Ret. Art. Number]]</f>
        <v>495-5633-1-ND</v>
      </c>
      <c r="O26"/>
    </row>
    <row r="27" spans="1:15" x14ac:dyDescent="0.25">
      <c r="A27" s="4" t="s">
        <v>599</v>
      </c>
      <c r="B27" s="4" t="s">
        <v>269</v>
      </c>
      <c r="C27" s="4" t="s">
        <v>262</v>
      </c>
      <c r="D27" s="4" t="s">
        <v>82</v>
      </c>
      <c r="E27" s="4" t="s">
        <v>359</v>
      </c>
      <c r="F27" s="4" t="s">
        <v>270</v>
      </c>
      <c r="G27" s="4">
        <v>1</v>
      </c>
      <c r="H27" s="4">
        <v>10</v>
      </c>
      <c r="I27" s="4">
        <v>0.72</v>
      </c>
      <c r="J27" s="28">
        <f>ROUNDUP(Table8[[#This Row],[Min Stock]]-Table8[[#This Row],[In stock]],0)</f>
        <v>9</v>
      </c>
      <c r="K27" s="31">
        <f>Table8[[#This Row],[Quantity]]*Table8[[#This Row],[Unit price]]</f>
        <v>6.4799999999999995</v>
      </c>
      <c r="L27" s="33">
        <f>Table8[[#This Row],[Quantity]]</f>
        <v>9</v>
      </c>
      <c r="M27" s="33" t="str">
        <f>Table8[[#This Row],[Ret. Art. Number]]</f>
        <v>495-5623-1-ND</v>
      </c>
      <c r="O27"/>
    </row>
    <row r="28" spans="1:15" x14ac:dyDescent="0.25">
      <c r="A28" s="4">
        <v>860021374008</v>
      </c>
      <c r="B28" s="4" t="s">
        <v>271</v>
      </c>
      <c r="C28" s="4" t="s">
        <v>262</v>
      </c>
      <c r="D28" s="4" t="s">
        <v>82</v>
      </c>
      <c r="E28" s="4" t="s">
        <v>359</v>
      </c>
      <c r="F28" s="4" t="s">
        <v>272</v>
      </c>
      <c r="G28" s="4">
        <v>4</v>
      </c>
      <c r="H28" s="4">
        <v>10</v>
      </c>
      <c r="I28" s="4">
        <v>0.43</v>
      </c>
      <c r="J28" s="28">
        <f>ROUNDUP(Table8[[#This Row],[Min Stock]]-Table8[[#This Row],[In stock]],0)</f>
        <v>6</v>
      </c>
      <c r="K28" s="31">
        <f>Table8[[#This Row],[Quantity]]*Table8[[#This Row],[Unit price]]</f>
        <v>2.58</v>
      </c>
      <c r="L28" s="33">
        <f>Table8[[#This Row],[Quantity]]</f>
        <v>6</v>
      </c>
      <c r="M28" s="33" t="str">
        <f>Table8[[#This Row],[Ret. Art. Number]]</f>
        <v>732-8886-1-ND</v>
      </c>
      <c r="O28"/>
    </row>
    <row r="29" spans="1:15" x14ac:dyDescent="0.25">
      <c r="A29" s="4" t="s">
        <v>600</v>
      </c>
      <c r="B29" s="4" t="s">
        <v>273</v>
      </c>
      <c r="C29" s="4" t="s">
        <v>262</v>
      </c>
      <c r="D29" s="4" t="s">
        <v>82</v>
      </c>
      <c r="E29" s="4" t="s">
        <v>359</v>
      </c>
      <c r="F29" s="4" t="s">
        <v>274</v>
      </c>
      <c r="G29" s="4">
        <v>3</v>
      </c>
      <c r="H29" s="4">
        <v>10</v>
      </c>
      <c r="I29" s="4">
        <v>0.48</v>
      </c>
      <c r="J29" s="28">
        <f>ROUNDUP(Table8[[#This Row],[Min Stock]]-Table8[[#This Row],[In stock]],0)</f>
        <v>7</v>
      </c>
      <c r="K29" s="31">
        <f>Table8[[#This Row],[Quantity]]*Table8[[#This Row],[Unit price]]</f>
        <v>3.36</v>
      </c>
      <c r="L29" s="33">
        <f>Table8[[#This Row],[Quantity]]</f>
        <v>7</v>
      </c>
      <c r="M29" s="33" t="str">
        <f>Table8[[#This Row],[Ret. Art. Number]]</f>
        <v>495-1433-ND</v>
      </c>
      <c r="O29"/>
    </row>
    <row r="30" spans="1:15" x14ac:dyDescent="0.25">
      <c r="A30" s="4" t="s">
        <v>601</v>
      </c>
      <c r="B30" s="4" t="s">
        <v>292</v>
      </c>
      <c r="C30" s="4" t="s">
        <v>293</v>
      </c>
      <c r="D30" s="4" t="s">
        <v>82</v>
      </c>
      <c r="E30" s="4" t="s">
        <v>359</v>
      </c>
      <c r="F30" s="4" t="s">
        <v>294</v>
      </c>
      <c r="G30" s="4">
        <v>0</v>
      </c>
      <c r="H30" s="4">
        <v>10</v>
      </c>
      <c r="I30" s="4">
        <v>0.62</v>
      </c>
      <c r="J30" s="28">
        <f>ROUNDUP(Table8[[#This Row],[Min Stock]]-Table8[[#This Row],[In stock]],0)</f>
        <v>10</v>
      </c>
      <c r="K30" s="31">
        <f>Table8[[#This Row],[Quantity]]*Table8[[#This Row],[Unit price]]</f>
        <v>6.2</v>
      </c>
      <c r="L30" s="33">
        <f>Table8[[#This Row],[Quantity]]</f>
        <v>10</v>
      </c>
      <c r="M30" s="33" t="str">
        <f>Table8[[#This Row],[Ret. Art. Number]]</f>
        <v>MFU0805.63CT-ND</v>
      </c>
      <c r="O30"/>
    </row>
    <row r="31" spans="1:15" x14ac:dyDescent="0.25">
      <c r="A31" s="4" t="s">
        <v>295</v>
      </c>
      <c r="B31" s="4" t="s">
        <v>465</v>
      </c>
      <c r="C31" s="4" t="s">
        <v>293</v>
      </c>
      <c r="D31" s="4" t="s">
        <v>82</v>
      </c>
      <c r="E31" s="4" t="s">
        <v>359</v>
      </c>
      <c r="F31" s="4" t="s">
        <v>296</v>
      </c>
      <c r="G31" s="4">
        <v>0</v>
      </c>
      <c r="H31" s="4">
        <v>10</v>
      </c>
      <c r="I31" s="4">
        <v>0.97</v>
      </c>
      <c r="J31" s="28">
        <f>ROUNDUP(Table8[[#This Row],[Min Stock]]-Table8[[#This Row],[In stock]],0)</f>
        <v>10</v>
      </c>
      <c r="K31" s="31">
        <f>Table8[[#This Row],[Quantity]]*Table8[[#This Row],[Unit price]]</f>
        <v>9.6999999999999993</v>
      </c>
      <c r="L31" s="33">
        <f>Table8[[#This Row],[Quantity]]</f>
        <v>10</v>
      </c>
      <c r="M31" s="33" t="str">
        <f>Table8[[#This Row],[Ret. Art. Number]]</f>
        <v>MFU1206.63CT-ND</v>
      </c>
      <c r="O31"/>
    </row>
    <row r="32" spans="1:15" x14ac:dyDescent="0.25">
      <c r="A32" s="4" t="s">
        <v>276</v>
      </c>
      <c r="B32" s="4" t="s">
        <v>478</v>
      </c>
      <c r="C32" s="4" t="s">
        <v>277</v>
      </c>
      <c r="D32" s="4" t="s">
        <v>82</v>
      </c>
      <c r="E32" s="4" t="s">
        <v>359</v>
      </c>
      <c r="F32" s="4" t="s">
        <v>279</v>
      </c>
      <c r="G32" s="4">
        <v>5</v>
      </c>
      <c r="H32" s="4">
        <v>10</v>
      </c>
      <c r="I32" s="4">
        <v>1.34</v>
      </c>
      <c r="J32" s="28">
        <f>ROUNDUP(Table8[[#This Row],[Min Stock]]-Table8[[#This Row],[In stock]],0)</f>
        <v>5</v>
      </c>
      <c r="K32" s="31">
        <f>Table8[[#This Row],[Quantity]]*Table8[[#This Row],[Unit price]]</f>
        <v>6.7</v>
      </c>
      <c r="L32" s="33">
        <f>Table8[[#This Row],[Quantity]]</f>
        <v>5</v>
      </c>
      <c r="M32" s="33" t="str">
        <f>Table8[[#This Row],[Ret. Art. Number]]</f>
        <v>596-1023-5-ND</v>
      </c>
      <c r="O32"/>
    </row>
    <row r="33" spans="1:15" x14ac:dyDescent="0.25">
      <c r="A33" s="4">
        <v>61304011021</v>
      </c>
      <c r="B33" s="4" t="s">
        <v>480</v>
      </c>
      <c r="C33" s="4" t="s">
        <v>112</v>
      </c>
      <c r="D33" s="4" t="s">
        <v>82</v>
      </c>
      <c r="E33" s="4" t="s">
        <v>359</v>
      </c>
      <c r="F33" s="4" t="s">
        <v>110</v>
      </c>
      <c r="G33" s="4">
        <v>9.85</v>
      </c>
      <c r="H33" s="4">
        <v>10</v>
      </c>
      <c r="I33" s="4">
        <v>1.44</v>
      </c>
      <c r="J33" s="28">
        <f>ROUNDUP(Table8[[#This Row],[Min Stock]]-Table8[[#This Row],[In stock]],0)</f>
        <v>1</v>
      </c>
      <c r="K33" s="31">
        <f>Table8[[#This Row],[Quantity]]*Table8[[#This Row],[Unit price]]</f>
        <v>1.44</v>
      </c>
      <c r="L33" s="33">
        <f>Table8[[#This Row],[Quantity]]</f>
        <v>1</v>
      </c>
      <c r="M33" s="33" t="str">
        <f>Table8[[#This Row],[Ret. Art. Number]]</f>
        <v>732-5350-ND</v>
      </c>
      <c r="O33"/>
    </row>
    <row r="34" spans="1:15" x14ac:dyDescent="0.25">
      <c r="A34" s="4">
        <v>31.8201</v>
      </c>
      <c r="B34" s="4" t="s">
        <v>483</v>
      </c>
      <c r="C34" s="4" t="s">
        <v>93</v>
      </c>
      <c r="D34" s="4" t="s">
        <v>82</v>
      </c>
      <c r="E34" s="4" t="s">
        <v>359</v>
      </c>
      <c r="F34" s="4" t="s">
        <v>29</v>
      </c>
      <c r="G34" s="4">
        <v>4</v>
      </c>
      <c r="H34" s="4">
        <v>10</v>
      </c>
      <c r="I34" s="4">
        <v>0.91</v>
      </c>
      <c r="J34" s="28">
        <f>ROUNDUP(Table8[[#This Row],[Min Stock]]-Table8[[#This Row],[In stock]],0)</f>
        <v>6</v>
      </c>
      <c r="K34" s="31">
        <f>Table8[[#This Row],[Quantity]]*Table8[[#This Row],[Unit price]]</f>
        <v>5.46</v>
      </c>
      <c r="L34" s="33">
        <f>Table8[[#This Row],[Quantity]]</f>
        <v>6</v>
      </c>
      <c r="M34" s="33" t="str">
        <f>Table8[[#This Row],[Ret. Art. Number]]</f>
        <v>486-1258-ND</v>
      </c>
      <c r="O34"/>
    </row>
    <row r="35" spans="1:15" x14ac:dyDescent="0.25">
      <c r="A35" s="4">
        <v>853.12009999999998</v>
      </c>
      <c r="B35" s="4" t="s">
        <v>485</v>
      </c>
      <c r="C35" s="4" t="s">
        <v>93</v>
      </c>
      <c r="D35" s="4" t="s">
        <v>82</v>
      </c>
      <c r="E35" s="4" t="s">
        <v>359</v>
      </c>
      <c r="F35" s="4" t="s">
        <v>30</v>
      </c>
      <c r="G35" s="4">
        <v>4</v>
      </c>
      <c r="H35" s="4">
        <v>10</v>
      </c>
      <c r="I35" s="4">
        <v>1.27</v>
      </c>
      <c r="J35" s="28">
        <f>ROUNDUP(Table8[[#This Row],[Min Stock]]-Table8[[#This Row],[In stock]],0)</f>
        <v>6</v>
      </c>
      <c r="K35" s="31">
        <f>Table8[[#This Row],[Quantity]]*Table8[[#This Row],[Unit price]]</f>
        <v>7.62</v>
      </c>
      <c r="L35" s="33">
        <f>Table8[[#This Row],[Quantity]]</f>
        <v>6</v>
      </c>
      <c r="M35" s="33" t="str">
        <f>Table8[[#This Row],[Ret. Art. Number]]</f>
        <v>486-3662-ND</v>
      </c>
      <c r="O35"/>
    </row>
    <row r="36" spans="1:15" x14ac:dyDescent="0.25">
      <c r="A36" s="4" t="s">
        <v>38</v>
      </c>
      <c r="B36" s="4" t="s">
        <v>168</v>
      </c>
      <c r="C36" s="4" t="s">
        <v>92</v>
      </c>
      <c r="D36" s="4" t="s">
        <v>82</v>
      </c>
      <c r="E36" s="4" t="s">
        <v>359</v>
      </c>
      <c r="F36" s="4" t="s">
        <v>37</v>
      </c>
      <c r="G36" s="4">
        <v>2</v>
      </c>
      <c r="H36" s="4">
        <v>10</v>
      </c>
      <c r="I36" s="4">
        <v>2.08</v>
      </c>
      <c r="J36" s="28">
        <f>ROUNDUP(Table8[[#This Row],[Min Stock]]-Table8[[#This Row],[In stock]],0)</f>
        <v>8</v>
      </c>
      <c r="K36" s="31">
        <f>Table8[[#This Row],[Quantity]]*Table8[[#This Row],[Unit price]]</f>
        <v>16.64</v>
      </c>
      <c r="L36" s="33">
        <f>Table8[[#This Row],[Quantity]]</f>
        <v>8</v>
      </c>
      <c r="M36" s="33" t="str">
        <f>Table8[[#This Row],[Ret. Art. Number]]</f>
        <v>3006P-1-100LF-ND</v>
      </c>
      <c r="O36"/>
    </row>
    <row r="37" spans="1:15" x14ac:dyDescent="0.25">
      <c r="A37" s="4" t="s">
        <v>90</v>
      </c>
      <c r="B37" s="4" t="s">
        <v>503</v>
      </c>
      <c r="C37" s="4" t="s">
        <v>91</v>
      </c>
      <c r="D37" s="4" t="s">
        <v>82</v>
      </c>
      <c r="E37" s="4" t="s">
        <v>359</v>
      </c>
      <c r="F37" s="4" t="s">
        <v>96</v>
      </c>
      <c r="G37" s="4">
        <v>0</v>
      </c>
      <c r="H37" s="4">
        <v>10</v>
      </c>
      <c r="I37" s="4">
        <v>1.38</v>
      </c>
      <c r="J37" s="28">
        <f>ROUNDUP(Table8[[#This Row],[Min Stock]]-Table8[[#This Row],[In stock]],0)</f>
        <v>10</v>
      </c>
      <c r="K37" s="31">
        <f>Table8[[#This Row],[Quantity]]*Table8[[#This Row],[Unit price]]</f>
        <v>13.799999999999999</v>
      </c>
      <c r="L37" s="33">
        <f>Table8[[#This Row],[Quantity]]</f>
        <v>10</v>
      </c>
      <c r="M37" s="33" t="str">
        <f>Table8[[#This Row],[Ret. Art. Number]]</f>
        <v>A106373-ND</v>
      </c>
      <c r="O37"/>
    </row>
    <row r="38" spans="1:15" x14ac:dyDescent="0.25">
      <c r="A38" s="4" t="s">
        <v>24</v>
      </c>
      <c r="B38" s="4" t="s">
        <v>510</v>
      </c>
      <c r="C38" s="4" t="s">
        <v>94</v>
      </c>
      <c r="D38" s="4" t="s">
        <v>82</v>
      </c>
      <c r="E38" s="4" t="s">
        <v>411</v>
      </c>
      <c r="F38" s="4" t="s">
        <v>23</v>
      </c>
      <c r="G38" s="4">
        <v>4</v>
      </c>
      <c r="H38" s="4">
        <v>10</v>
      </c>
      <c r="I38" s="4">
        <v>0.52</v>
      </c>
      <c r="J38" s="28">
        <f>ROUNDUP(Table8[[#This Row],[Min Stock]]-Table8[[#This Row],[In stock]],0)</f>
        <v>6</v>
      </c>
      <c r="K38" s="31">
        <f>Table8[[#This Row],[Quantity]]*Table8[[#This Row],[Unit price]]</f>
        <v>3.12</v>
      </c>
      <c r="L38" s="33">
        <f>Table8[[#This Row],[Quantity]]</f>
        <v>6</v>
      </c>
      <c r="M38" s="33" t="str">
        <f>Table8[[#This Row],[Ret. Art. Number]]</f>
        <v>MCP121T-315E/TTCT-ND</v>
      </c>
      <c r="O38"/>
    </row>
    <row r="39" spans="1:15" x14ac:dyDescent="0.25">
      <c r="A39" s="4" t="s">
        <v>27</v>
      </c>
      <c r="B39" s="4" t="s">
        <v>512</v>
      </c>
      <c r="C39" s="4" t="s">
        <v>45</v>
      </c>
      <c r="D39" s="4" t="s">
        <v>82</v>
      </c>
      <c r="E39" s="4" t="s">
        <v>415</v>
      </c>
      <c r="F39" s="4" t="s">
        <v>25</v>
      </c>
      <c r="G39" s="4">
        <v>9</v>
      </c>
      <c r="H39" s="4">
        <v>10</v>
      </c>
      <c r="I39" s="4">
        <v>0.35</v>
      </c>
      <c r="J39" s="28">
        <f>ROUNDUP(Table8[[#This Row],[Min Stock]]-Table8[[#This Row],[In stock]],0)</f>
        <v>1</v>
      </c>
      <c r="K39" s="31">
        <f>Table8[[#This Row],[Quantity]]*Table8[[#This Row],[Unit price]]</f>
        <v>0.35</v>
      </c>
      <c r="L39" s="33">
        <f>Table8[[#This Row],[Quantity]]</f>
        <v>1</v>
      </c>
      <c r="M39" s="33" t="str">
        <f>Table8[[#This Row],[Ret. Art. Number]]</f>
        <v>NCP114ASN330T1GOSCT-ND</v>
      </c>
      <c r="O39"/>
    </row>
    <row r="40" spans="1:15" x14ac:dyDescent="0.25">
      <c r="A40" s="4" t="s">
        <v>49</v>
      </c>
      <c r="B40" s="4" t="s">
        <v>518</v>
      </c>
      <c r="C40" s="4" t="s">
        <v>48</v>
      </c>
      <c r="D40" s="4" t="s">
        <v>82</v>
      </c>
      <c r="E40" s="4" t="s">
        <v>359</v>
      </c>
      <c r="F40" s="4" t="s">
        <v>47</v>
      </c>
      <c r="G40" s="4">
        <v>1</v>
      </c>
      <c r="H40" s="4">
        <v>10</v>
      </c>
      <c r="I40" s="4">
        <v>1.81</v>
      </c>
      <c r="J40" s="28">
        <f>ROUNDUP(Table8[[#This Row],[Min Stock]]-Table8[[#This Row],[In stock]],0)</f>
        <v>9</v>
      </c>
      <c r="K40" s="31">
        <f>Table8[[#This Row],[Quantity]]*Table8[[#This Row],[Unit price]]</f>
        <v>16.29</v>
      </c>
      <c r="L40" s="33">
        <f>Table8[[#This Row],[Quantity]]</f>
        <v>9</v>
      </c>
      <c r="M40" s="33" t="str">
        <f>Table8[[#This Row],[Ret. Art. Number]]</f>
        <v>T93XA-100K-ND</v>
      </c>
      <c r="O40"/>
    </row>
    <row r="41" spans="1:15" x14ac:dyDescent="0.25">
      <c r="A41" s="4"/>
      <c r="B41" s="4"/>
      <c r="C41" s="4"/>
      <c r="D41" s="4"/>
      <c r="E41" s="4"/>
      <c r="F41" s="4"/>
      <c r="G41" s="4"/>
      <c r="H41" s="4"/>
      <c r="I41" s="4"/>
      <c r="J41" s="28">
        <f>ROUNDUP(Table8[[#This Row],[Min Stock]]-Table8[[#This Row],[In stock]],0)</f>
        <v>0</v>
      </c>
      <c r="K41" s="31">
        <f>Table8[[#This Row],[Quantity]]*Table8[[#This Row],[Unit price]]</f>
        <v>0</v>
      </c>
      <c r="L41" s="33">
        <f>Table8[[#This Row],[Quantity]]</f>
        <v>0</v>
      </c>
      <c r="M41" s="33">
        <f>Table8[[#This Row],[Ret. Art. Number]]</f>
        <v>0</v>
      </c>
      <c r="O41"/>
    </row>
    <row r="42" spans="1:15" x14ac:dyDescent="0.25">
      <c r="A42" s="4" t="s">
        <v>606</v>
      </c>
      <c r="B42" s="4"/>
      <c r="C42" s="4"/>
      <c r="D42" s="4"/>
      <c r="E42" s="4"/>
      <c r="F42" s="4"/>
      <c r="G42" s="4"/>
      <c r="H42" s="4"/>
      <c r="I42" s="4"/>
      <c r="J42" s="31"/>
      <c r="K42" s="28">
        <f>SUBTOTAL(109,Table8[Total price])</f>
        <v>647.96000000000026</v>
      </c>
      <c r="L42" s="34"/>
      <c r="M42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RefreshCommands">
                <anchor>
                  <from>
                    <xdr:col>13</xdr:col>
                    <xdr:colOff>1409700</xdr:colOff>
                    <xdr:row>1</xdr:row>
                    <xdr:rowOff>9525</xdr:rowOff>
                  </from>
                  <to>
                    <xdr:col>14</xdr:col>
                    <xdr:colOff>790575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_ClearCommands">
                <anchor>
                  <from>
                    <xdr:col>13</xdr:col>
                    <xdr:colOff>1419225</xdr:colOff>
                    <xdr:row>3</xdr:row>
                    <xdr:rowOff>180975</xdr:rowOff>
                  </from>
                  <to>
                    <xdr:col>14</xdr:col>
                    <xdr:colOff>800100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297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318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321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99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303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322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299</v>
      </c>
      <c r="D11" s="4">
        <v>4</v>
      </c>
      <c r="E11" s="4">
        <f>VLOOKUP(Table14[[#This Row],[Man. Number]],Articles!B:H,COLUMN(Table1[[#Headers],[In stock]])-1,FALSE)</f>
        <v>90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301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3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3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300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295</v>
      </c>
      <c r="B17" s="4" t="str">
        <f>VLOOKUP(Table14[[#This Row],[Man. Number]],Articles!B:H,COLUMN(Table1[[#Headers],[Description]]) - 1,FALSE)</f>
        <v>FUSE BOARD MNT 630MA 63VDC 1206</v>
      </c>
      <c r="C17" s="4" t="s">
        <v>298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319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304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320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332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330</v>
      </c>
      <c r="B23" s="4" t="str">
        <f>VLOOKUP(Table14[[#This Row],[Man. Number]],Articles!B:H,COLUMN(Table1[[#Headers],[Description]]) - 1,FALSE)</f>
        <v>PCB Led adaptateur v1</v>
      </c>
      <c r="C23" s="4" t="s">
        <v>307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302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321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308</v>
      </c>
      <c r="D27" s="4">
        <v>2</v>
      </c>
      <c r="E27" s="4">
        <f>VLOOKUP(Table14[[#This Row],[Man. Number]],Articles!B:H,COLUMN(Table1[[#Headers],[In stock]])-1,FALSE)</f>
        <v>1</v>
      </c>
      <c r="F27" s="4" t="str">
        <f>IF(Table14[[#This Row],[In stock]] &gt;= Table14[[#This Row],[Quantity]],"YES","NO")</f>
        <v>NO</v>
      </c>
      <c r="G27" s="4">
        <f>Table14[[#This Row],[Quantity]]*$K$1</f>
        <v>2</v>
      </c>
      <c r="H27" s="4" t="str">
        <f>IF(Table14[[#This Row],[In stock]] &gt;= Table14[[#This Row],[Total quantity]],"YES","NO")</f>
        <v>NO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311</v>
      </c>
      <c r="D28" s="4">
        <v>1</v>
      </c>
      <c r="E28" s="4">
        <f>VLOOKUP(Table14[[#This Row],[Man. Number]],Articles!B:H,COLUMN(Table1[[#Headers],[In stock]])-1,FALSE)</f>
        <v>0</v>
      </c>
      <c r="F28" s="4" t="str">
        <f>IF(Table14[[#This Row],[In stock]] &gt;= Table14[[#This Row],[Quantity]],"YES","NO")</f>
        <v>NO</v>
      </c>
      <c r="G28" s="4">
        <f>Table14[[#This Row],[Quantity]]*$K$1</f>
        <v>1</v>
      </c>
      <c r="H28" s="4" t="str">
        <f>IF(Table14[[#This Row],[In stock]] &gt;= Table14[[#This Row],[Total quantity]],"YES","NO")</f>
        <v>NO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306</v>
      </c>
      <c r="D29" s="4">
        <v>1</v>
      </c>
      <c r="E29" s="4">
        <f>VLOOKUP(Table14[[#This Row],[Man. Number]],Articles!B:H,COLUMN(Table1[[#Headers],[In stock]])-1,FALSE)</f>
        <v>8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317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312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327</v>
      </c>
      <c r="B32" s="4" t="str">
        <f>VLOOKUP(Table14[[#This Row],[Man. Number]],Articles!B:H,COLUMN(Table1[[#Headers],[Description]]) - 1,FALSE)</f>
        <v>Résistance SMD 1k OHM 0805</v>
      </c>
      <c r="C32" s="4" t="s">
        <v>313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326</v>
      </c>
      <c r="B33" s="4" t="str">
        <f>VLOOKUP(Table14[[#This Row],[Man. Number]],Articles!B:H,COLUMN(Table1[[#Headers],[Description]]) - 1,FALSE)</f>
        <v>Résistance SMD 3.3k OHM 0805</v>
      </c>
      <c r="C33" s="4" t="s">
        <v>323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316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314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315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305</v>
      </c>
      <c r="D38" s="4">
        <v>1</v>
      </c>
      <c r="E38" s="4">
        <f>VLOOKUP(Table14[[#This Row],[Man. Number]],Articles!B:H,COLUMN(Table1[[#Headers],[In stock]])-1,FALSE)</f>
        <v>3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310</v>
      </c>
      <c r="D39" s="4">
        <v>5</v>
      </c>
      <c r="E39" s="4">
        <f>VLOOKUP(Table14[[#This Row],[Man. Number]],Articles!B:H,COLUMN(Table1[[#Headers],[In stock]])-1,FALSE)</f>
        <v>15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309</v>
      </c>
      <c r="D40" s="4">
        <v>2</v>
      </c>
      <c r="E40" s="4">
        <f>VLOOKUP(Table14[[#This Row],[Man. Number]],Articles!B:H,COLUMN(Table1[[#Headers],[In stock]])-1,FALSE)</f>
        <v>23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22" priority="3" operator="containsText" text="NO">
      <formula>NOT(ISERROR(SEARCH("NO",F2)))</formula>
    </cfRule>
  </conditionalFormatting>
  <conditionalFormatting sqref="A24">
    <cfRule type="duplicateValues" dxfId="21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90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331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19" priority="4" operator="containsText" text="NO">
      <formula>NOT(ISERROR(SEARCH("NO",F2)))</formula>
    </cfRule>
  </conditionalFormatting>
  <conditionalFormatting sqref="H2:H1048576">
    <cfRule type="containsText" dxfId="18" priority="3" operator="containsText" text="NO">
      <formula>NOT(ISERROR(SEARCH("NO",H2)))</formula>
    </cfRule>
  </conditionalFormatting>
  <conditionalFormatting sqref="A13:A14">
    <cfRule type="duplicateValues" dxfId="17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VLOOKUP(Table146810[[#This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VLOOKUP(Table146810[[#This Row],[Man. Number]],Articles!B:H,COLUMN(Table1[[#Headers],[In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16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VLOOKUP(Table146811[[#This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VLOOKUP(Table146811[[#This Row],[Man. Number]],Articles!B:H,COLUMN(Table1[[#Headers],[In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15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4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366</v>
      </c>
      <c r="B1" t="s">
        <v>216</v>
      </c>
      <c r="C1" t="s">
        <v>475</v>
      </c>
      <c r="D1" t="s">
        <v>477</v>
      </c>
    </row>
    <row r="3" spans="1:4" s="37" customFormat="1" ht="23.25" x14ac:dyDescent="0.35">
      <c r="A3" s="37" t="s">
        <v>211</v>
      </c>
    </row>
    <row r="6" spans="1:4" x14ac:dyDescent="0.25">
      <c r="A6" t="s">
        <v>212</v>
      </c>
      <c r="B6" t="s">
        <v>213</v>
      </c>
      <c r="C6" t="s">
        <v>214</v>
      </c>
    </row>
    <row r="7" spans="1:4" x14ac:dyDescent="0.25">
      <c r="A7">
        <v>0</v>
      </c>
      <c r="B7" t="s">
        <v>365</v>
      </c>
      <c r="C7" t="s">
        <v>366</v>
      </c>
    </row>
    <row r="8" spans="1:4" x14ac:dyDescent="0.25">
      <c r="A8">
        <v>1</v>
      </c>
      <c r="B8" t="s">
        <v>215</v>
      </c>
      <c r="C8" t="s">
        <v>216</v>
      </c>
    </row>
    <row r="9" spans="1:4" x14ac:dyDescent="0.25">
      <c r="A9">
        <v>2</v>
      </c>
      <c r="B9" t="s">
        <v>474</v>
      </c>
      <c r="C9" t="s">
        <v>475</v>
      </c>
    </row>
    <row r="10" spans="1:4" x14ac:dyDescent="0.25">
      <c r="A10">
        <v>3</v>
      </c>
      <c r="B10" t="s">
        <v>476</v>
      </c>
      <c r="C10" t="s">
        <v>477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M8" sqref="M8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8" t="s">
        <v>360</v>
      </c>
      <c r="B2" s="38"/>
      <c r="C2" s="38"/>
      <c r="D2" s="38"/>
      <c r="F2" s="39" t="str">
        <f>IF(ISNUMBER(C5),"","Man. Number must be set")</f>
        <v/>
      </c>
      <c r="G2" s="39"/>
      <c r="H2" s="39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357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8</v>
      </c>
      <c r="B5" s="17">
        <v>3</v>
      </c>
      <c r="C5" s="17">
        <v>1</v>
      </c>
      <c r="D5" s="17">
        <v>2</v>
      </c>
      <c r="E5" s="17" t="s">
        <v>82</v>
      </c>
      <c r="F5" s="17">
        <v>13</v>
      </c>
      <c r="G5" s="17">
        <v>9</v>
      </c>
      <c r="H5" s="17">
        <v>2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8" t="s">
        <v>523</v>
      </c>
      <c r="P8" t="s">
        <v>138</v>
      </c>
      <c r="Q8" t="s">
        <v>264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263</v>
      </c>
    </row>
    <row r="9" spans="1:23" x14ac:dyDescent="0.25">
      <c r="O9" s="25"/>
      <c r="P9" s="25">
        <v>8</v>
      </c>
      <c r="Q9" s="25">
        <v>3</v>
      </c>
      <c r="R9" s="25">
        <v>1</v>
      </c>
      <c r="S9" s="25">
        <v>2</v>
      </c>
      <c r="T9" s="25" t="s">
        <v>82</v>
      </c>
      <c r="U9" s="25">
        <v>13</v>
      </c>
      <c r="V9" s="25">
        <v>9</v>
      </c>
      <c r="W9" s="25">
        <v>2</v>
      </c>
    </row>
  </sheetData>
  <mergeCells count="2">
    <mergeCell ref="A2:D2"/>
    <mergeCell ref="F2:H2"/>
  </mergeCells>
  <conditionalFormatting sqref="F2:H2">
    <cfRule type="cellIs" dxfId="13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19"/>
  <sheetViews>
    <sheetView workbookViewId="0">
      <selection activeCell="H2" sqref="H2:H19"/>
    </sheetView>
  </sheetViews>
  <sheetFormatPr defaultColWidth="20.7109375" defaultRowHeight="15" x14ac:dyDescent="0.25"/>
  <cols>
    <col min="1" max="16384" width="20.7109375" style="20"/>
  </cols>
  <sheetData>
    <row r="1" spans="1:17" x14ac:dyDescent="0.25">
      <c r="A1" t="s">
        <v>524</v>
      </c>
      <c r="B1" s="20" t="s">
        <v>6</v>
      </c>
      <c r="C1" s="20" t="s">
        <v>525</v>
      </c>
      <c r="D1" s="20" t="s">
        <v>526</v>
      </c>
      <c r="E1" s="20" t="s">
        <v>527</v>
      </c>
      <c r="F1" s="20" t="s">
        <v>528</v>
      </c>
      <c r="G1" s="20" t="s">
        <v>529</v>
      </c>
      <c r="H1" s="20" t="s">
        <v>138</v>
      </c>
      <c r="I1" s="20" t="s">
        <v>530</v>
      </c>
      <c r="J1" s="20" t="s">
        <v>531</v>
      </c>
      <c r="K1" s="20" t="s">
        <v>532</v>
      </c>
      <c r="L1" s="20" t="s">
        <v>533</v>
      </c>
      <c r="M1" s="20" t="s">
        <v>2</v>
      </c>
      <c r="N1" s="20" t="s">
        <v>534</v>
      </c>
      <c r="O1" s="20" t="s">
        <v>535</v>
      </c>
      <c r="P1" s="20" t="s">
        <v>536</v>
      </c>
      <c r="Q1" s="20" t="s">
        <v>537</v>
      </c>
    </row>
    <row r="2" spans="1:17" x14ac:dyDescent="0.25">
      <c r="A2" s="20" t="s">
        <v>276</v>
      </c>
      <c r="B2" s="20" t="s">
        <v>277</v>
      </c>
      <c r="C2" s="20" t="s">
        <v>478</v>
      </c>
      <c r="D2" s="20" t="s">
        <v>538</v>
      </c>
      <c r="E2" s="20" t="s">
        <v>538</v>
      </c>
      <c r="F2" s="20" t="s">
        <v>539</v>
      </c>
      <c r="G2" s="20" t="s">
        <v>540</v>
      </c>
      <c r="H2" s="20" t="s">
        <v>338</v>
      </c>
      <c r="I2" s="20">
        <v>1.34</v>
      </c>
      <c r="J2" s="20" t="s">
        <v>541</v>
      </c>
      <c r="K2" s="20">
        <v>10279</v>
      </c>
      <c r="L2" s="20" t="s">
        <v>542</v>
      </c>
      <c r="M2" s="20" t="s">
        <v>479</v>
      </c>
      <c r="N2" s="20" t="s">
        <v>543</v>
      </c>
      <c r="O2" s="20" t="s">
        <v>544</v>
      </c>
      <c r="P2" s="20" t="s">
        <v>545</v>
      </c>
      <c r="Q2" s="20" t="s">
        <v>538</v>
      </c>
    </row>
    <row r="3" spans="1:17" x14ac:dyDescent="0.25">
      <c r="A3" s="20">
        <v>61304011021</v>
      </c>
      <c r="B3" s="20" t="s">
        <v>160</v>
      </c>
      <c r="C3" s="20" t="s">
        <v>480</v>
      </c>
      <c r="D3" s="20" t="s">
        <v>538</v>
      </c>
      <c r="E3" s="20" t="s">
        <v>538</v>
      </c>
      <c r="F3" s="20" t="s">
        <v>546</v>
      </c>
      <c r="G3" s="20" t="s">
        <v>540</v>
      </c>
      <c r="H3" s="20" t="s">
        <v>338</v>
      </c>
      <c r="I3" s="20">
        <v>1.44</v>
      </c>
      <c r="J3" s="20" t="s">
        <v>547</v>
      </c>
      <c r="K3" s="20">
        <v>881</v>
      </c>
      <c r="L3" s="20" t="s">
        <v>548</v>
      </c>
      <c r="M3" s="20" t="s">
        <v>481</v>
      </c>
      <c r="N3" s="20" t="s">
        <v>543</v>
      </c>
      <c r="O3" s="20" t="s">
        <v>544</v>
      </c>
      <c r="P3" s="20" t="s">
        <v>545</v>
      </c>
      <c r="Q3" s="20" t="s">
        <v>538</v>
      </c>
    </row>
    <row r="4" spans="1:17" x14ac:dyDescent="0.25">
      <c r="A4" s="20" t="s">
        <v>117</v>
      </c>
      <c r="B4" s="20" t="s">
        <v>482</v>
      </c>
      <c r="C4" s="20" t="s">
        <v>483</v>
      </c>
      <c r="D4" s="20" t="s">
        <v>538</v>
      </c>
      <c r="E4" s="20" t="s">
        <v>538</v>
      </c>
      <c r="F4" s="20" t="s">
        <v>549</v>
      </c>
      <c r="G4" s="20" t="s">
        <v>540</v>
      </c>
      <c r="H4" s="20" t="s">
        <v>338</v>
      </c>
      <c r="I4" s="20">
        <v>0.91</v>
      </c>
      <c r="J4" s="20" t="s">
        <v>550</v>
      </c>
      <c r="K4" s="20">
        <v>43328</v>
      </c>
      <c r="L4" s="20" t="s">
        <v>551</v>
      </c>
      <c r="M4" s="20" t="s">
        <v>484</v>
      </c>
      <c r="N4" s="20" t="s">
        <v>543</v>
      </c>
      <c r="O4" s="20" t="s">
        <v>544</v>
      </c>
      <c r="P4" s="20" t="s">
        <v>545</v>
      </c>
      <c r="Q4" s="20" t="s">
        <v>538</v>
      </c>
    </row>
    <row r="5" spans="1:17" x14ac:dyDescent="0.25">
      <c r="A5" s="20" t="s">
        <v>31</v>
      </c>
      <c r="B5" s="20" t="s">
        <v>482</v>
      </c>
      <c r="C5" s="20" t="s">
        <v>485</v>
      </c>
      <c r="D5" s="20" t="s">
        <v>538</v>
      </c>
      <c r="E5" s="20" t="s">
        <v>538</v>
      </c>
      <c r="F5" s="20" t="s">
        <v>549</v>
      </c>
      <c r="G5" s="20" t="s">
        <v>540</v>
      </c>
      <c r="H5" s="20" t="s">
        <v>338</v>
      </c>
      <c r="I5" s="20">
        <v>1.27</v>
      </c>
      <c r="J5" s="20" t="s">
        <v>552</v>
      </c>
      <c r="K5" s="20">
        <v>2972</v>
      </c>
      <c r="L5" s="20" t="s">
        <v>553</v>
      </c>
      <c r="M5" s="20" t="s">
        <v>486</v>
      </c>
      <c r="N5" s="20" t="s">
        <v>543</v>
      </c>
      <c r="O5" s="20" t="s">
        <v>544</v>
      </c>
      <c r="P5" s="20" t="s">
        <v>545</v>
      </c>
      <c r="Q5" s="20" t="s">
        <v>538</v>
      </c>
    </row>
    <row r="6" spans="1:17" x14ac:dyDescent="0.25">
      <c r="A6" s="20" t="s">
        <v>123</v>
      </c>
      <c r="B6" s="20" t="s">
        <v>487</v>
      </c>
      <c r="C6" s="20" t="s">
        <v>488</v>
      </c>
      <c r="D6" s="20" t="s">
        <v>538</v>
      </c>
      <c r="E6" s="20" t="s">
        <v>538</v>
      </c>
      <c r="F6" s="20" t="s">
        <v>539</v>
      </c>
      <c r="G6" s="20" t="s">
        <v>540</v>
      </c>
      <c r="H6" s="20" t="s">
        <v>338</v>
      </c>
      <c r="I6" s="20">
        <v>0.28000000000000003</v>
      </c>
      <c r="J6" s="20" t="s">
        <v>554</v>
      </c>
      <c r="K6" s="20">
        <v>7675</v>
      </c>
      <c r="L6" s="20" t="s">
        <v>555</v>
      </c>
      <c r="M6" s="20" t="s">
        <v>489</v>
      </c>
      <c r="N6" s="20" t="s">
        <v>543</v>
      </c>
      <c r="O6" s="20" t="s">
        <v>544</v>
      </c>
      <c r="P6" s="20" t="s">
        <v>556</v>
      </c>
      <c r="Q6" s="20" t="s">
        <v>557</v>
      </c>
    </row>
    <row r="7" spans="1:17" x14ac:dyDescent="0.25">
      <c r="A7" s="20" t="s">
        <v>118</v>
      </c>
      <c r="B7" s="20" t="s">
        <v>487</v>
      </c>
      <c r="C7" s="20" t="s">
        <v>490</v>
      </c>
      <c r="D7" s="20" t="s">
        <v>538</v>
      </c>
      <c r="E7" s="20" t="s">
        <v>538</v>
      </c>
      <c r="F7" s="20" t="s">
        <v>546</v>
      </c>
      <c r="G7" s="20" t="s">
        <v>540</v>
      </c>
      <c r="H7" s="20" t="s">
        <v>338</v>
      </c>
      <c r="I7" s="20">
        <v>0.26</v>
      </c>
      <c r="J7" s="20" t="s">
        <v>558</v>
      </c>
      <c r="K7" s="20">
        <v>44189</v>
      </c>
      <c r="L7" s="20" t="s">
        <v>559</v>
      </c>
      <c r="M7" s="20" t="s">
        <v>491</v>
      </c>
      <c r="N7" s="20" t="s">
        <v>543</v>
      </c>
      <c r="O7" s="20" t="s">
        <v>544</v>
      </c>
      <c r="P7" s="20" t="s">
        <v>556</v>
      </c>
      <c r="Q7" s="20" t="s">
        <v>538</v>
      </c>
    </row>
    <row r="8" spans="1:17" x14ac:dyDescent="0.25">
      <c r="A8" s="20" t="s">
        <v>492</v>
      </c>
      <c r="B8" s="20" t="s">
        <v>493</v>
      </c>
      <c r="C8" s="20" t="s">
        <v>494</v>
      </c>
      <c r="D8" s="20" t="s">
        <v>538</v>
      </c>
      <c r="E8" s="20" t="s">
        <v>538</v>
      </c>
      <c r="F8" s="20" t="s">
        <v>560</v>
      </c>
      <c r="G8" s="20" t="s">
        <v>540</v>
      </c>
      <c r="H8" s="20" t="s">
        <v>338</v>
      </c>
      <c r="I8" s="20">
        <v>0.1</v>
      </c>
      <c r="J8" s="20" t="s">
        <v>561</v>
      </c>
      <c r="K8" s="20">
        <v>1460808</v>
      </c>
      <c r="L8" s="20" t="s">
        <v>562</v>
      </c>
      <c r="M8" s="20" t="s">
        <v>495</v>
      </c>
      <c r="N8" s="20" t="s">
        <v>543</v>
      </c>
      <c r="O8" s="20" t="s">
        <v>544</v>
      </c>
      <c r="P8" s="20" t="s">
        <v>545</v>
      </c>
      <c r="Q8" s="20" t="s">
        <v>557</v>
      </c>
    </row>
    <row r="9" spans="1:17" x14ac:dyDescent="0.25">
      <c r="A9" s="20" t="s">
        <v>496</v>
      </c>
      <c r="B9" s="20" t="s">
        <v>497</v>
      </c>
      <c r="C9" s="20" t="s">
        <v>498</v>
      </c>
      <c r="D9" s="20" t="s">
        <v>538</v>
      </c>
      <c r="E9" s="20" t="s">
        <v>538</v>
      </c>
      <c r="F9" s="20" t="s">
        <v>549</v>
      </c>
      <c r="G9" s="20" t="s">
        <v>540</v>
      </c>
      <c r="H9" s="20" t="s">
        <v>338</v>
      </c>
      <c r="I9" s="20">
        <v>1.02</v>
      </c>
      <c r="J9" s="20" t="s">
        <v>563</v>
      </c>
      <c r="K9" s="20">
        <v>7886</v>
      </c>
      <c r="L9" s="20" t="s">
        <v>559</v>
      </c>
      <c r="M9" s="20" t="s">
        <v>499</v>
      </c>
      <c r="N9" s="20" t="s">
        <v>543</v>
      </c>
      <c r="O9" s="20" t="s">
        <v>544</v>
      </c>
      <c r="P9" s="20" t="s">
        <v>545</v>
      </c>
      <c r="Q9" s="20" t="s">
        <v>538</v>
      </c>
    </row>
    <row r="10" spans="1:17" x14ac:dyDescent="0.25">
      <c r="A10" s="20" t="s">
        <v>38</v>
      </c>
      <c r="B10" s="20" t="s">
        <v>169</v>
      </c>
      <c r="C10" s="20" t="s">
        <v>168</v>
      </c>
      <c r="D10" s="20" t="s">
        <v>538</v>
      </c>
      <c r="E10" s="20" t="s">
        <v>538</v>
      </c>
      <c r="F10" s="20" t="s">
        <v>539</v>
      </c>
      <c r="G10" s="20" t="s">
        <v>540</v>
      </c>
      <c r="H10" s="20" t="s">
        <v>338</v>
      </c>
      <c r="I10" s="20">
        <v>2.08</v>
      </c>
      <c r="J10" s="20" t="s">
        <v>564</v>
      </c>
      <c r="K10" s="20">
        <v>0</v>
      </c>
      <c r="L10" s="20" t="s">
        <v>565</v>
      </c>
      <c r="M10" s="20" t="s">
        <v>500</v>
      </c>
      <c r="N10" s="20" t="s">
        <v>543</v>
      </c>
      <c r="O10" s="20" t="s">
        <v>544</v>
      </c>
      <c r="P10" s="20" t="s">
        <v>545</v>
      </c>
      <c r="Q10" s="20" t="s">
        <v>538</v>
      </c>
    </row>
    <row r="11" spans="1:17" x14ac:dyDescent="0.25">
      <c r="A11" s="20" t="s">
        <v>133</v>
      </c>
      <c r="B11" s="20" t="s">
        <v>7</v>
      </c>
      <c r="C11" s="20" t="s">
        <v>501</v>
      </c>
      <c r="D11" s="20" t="s">
        <v>538</v>
      </c>
      <c r="E11" s="20" t="s">
        <v>538</v>
      </c>
      <c r="F11" s="20" t="s">
        <v>539</v>
      </c>
      <c r="G11" s="20" t="s">
        <v>540</v>
      </c>
      <c r="H11" s="20" t="s">
        <v>338</v>
      </c>
      <c r="I11" s="20">
        <v>0.61</v>
      </c>
      <c r="J11" s="20" t="s">
        <v>566</v>
      </c>
      <c r="K11" s="20">
        <v>7152</v>
      </c>
      <c r="L11" s="20" t="s">
        <v>551</v>
      </c>
      <c r="M11" s="20" t="s">
        <v>502</v>
      </c>
      <c r="N11" s="20" t="s">
        <v>543</v>
      </c>
      <c r="O11" s="20" t="s">
        <v>544</v>
      </c>
      <c r="P11" s="20" t="s">
        <v>556</v>
      </c>
      <c r="Q11" s="20" t="s">
        <v>538</v>
      </c>
    </row>
    <row r="12" spans="1:17" x14ac:dyDescent="0.25">
      <c r="A12" s="20" t="s">
        <v>90</v>
      </c>
      <c r="B12" s="20" t="s">
        <v>487</v>
      </c>
      <c r="C12" s="20" t="s">
        <v>503</v>
      </c>
      <c r="D12" s="20" t="s">
        <v>538</v>
      </c>
      <c r="E12" s="20" t="s">
        <v>538</v>
      </c>
      <c r="F12" s="20" t="s">
        <v>567</v>
      </c>
      <c r="G12" s="20" t="s">
        <v>540</v>
      </c>
      <c r="H12" s="20" t="s">
        <v>338</v>
      </c>
      <c r="I12" s="20">
        <v>1.38</v>
      </c>
      <c r="J12" s="20" t="s">
        <v>568</v>
      </c>
      <c r="K12" s="20">
        <v>3678</v>
      </c>
      <c r="L12" s="20" t="s">
        <v>569</v>
      </c>
      <c r="M12" s="20" t="s">
        <v>504</v>
      </c>
      <c r="N12" s="20" t="s">
        <v>543</v>
      </c>
      <c r="O12" s="20" t="s">
        <v>544</v>
      </c>
      <c r="P12" s="20" t="s">
        <v>556</v>
      </c>
      <c r="Q12" s="20" t="s">
        <v>538</v>
      </c>
    </row>
    <row r="13" spans="1:17" x14ac:dyDescent="0.25">
      <c r="A13" s="20" t="s">
        <v>505</v>
      </c>
      <c r="B13" s="20" t="s">
        <v>7</v>
      </c>
      <c r="C13" s="20" t="s">
        <v>506</v>
      </c>
      <c r="D13" s="20" t="s">
        <v>538</v>
      </c>
      <c r="E13" s="20" t="s">
        <v>538</v>
      </c>
      <c r="F13" s="20" t="s">
        <v>549</v>
      </c>
      <c r="G13" s="20" t="s">
        <v>540</v>
      </c>
      <c r="H13" s="20" t="s">
        <v>338</v>
      </c>
      <c r="I13" s="20">
        <v>3.12</v>
      </c>
      <c r="J13" s="20" t="s">
        <v>570</v>
      </c>
      <c r="K13" s="20">
        <v>7509</v>
      </c>
      <c r="L13" s="20" t="s">
        <v>542</v>
      </c>
      <c r="M13" s="20" t="s">
        <v>507</v>
      </c>
      <c r="N13" s="20" t="s">
        <v>543</v>
      </c>
      <c r="O13" s="20" t="s">
        <v>544</v>
      </c>
      <c r="P13" s="20" t="s">
        <v>556</v>
      </c>
      <c r="Q13" s="20" t="s">
        <v>538</v>
      </c>
    </row>
    <row r="14" spans="1:17" x14ac:dyDescent="0.25">
      <c r="A14" s="20" t="s">
        <v>46</v>
      </c>
      <c r="B14" s="20" t="s">
        <v>493</v>
      </c>
      <c r="C14" s="20" t="s">
        <v>508</v>
      </c>
      <c r="D14" s="20" t="s">
        <v>538</v>
      </c>
      <c r="E14" s="20" t="s">
        <v>538</v>
      </c>
      <c r="F14" s="20" t="s">
        <v>560</v>
      </c>
      <c r="G14" s="20" t="s">
        <v>540</v>
      </c>
      <c r="H14" s="20" t="s">
        <v>338</v>
      </c>
      <c r="I14" s="20">
        <v>0.55000000000000004</v>
      </c>
      <c r="J14" s="20" t="s">
        <v>571</v>
      </c>
      <c r="K14" s="20">
        <v>119349</v>
      </c>
      <c r="L14" s="20" t="s">
        <v>572</v>
      </c>
      <c r="M14" s="20" t="s">
        <v>509</v>
      </c>
      <c r="N14" s="20" t="s">
        <v>543</v>
      </c>
      <c r="O14" s="20" t="s">
        <v>544</v>
      </c>
      <c r="P14" s="20" t="s">
        <v>545</v>
      </c>
      <c r="Q14" s="20" t="s">
        <v>538</v>
      </c>
    </row>
    <row r="15" spans="1:17" x14ac:dyDescent="0.25">
      <c r="A15" s="20" t="s">
        <v>24</v>
      </c>
      <c r="B15" s="20" t="s">
        <v>80</v>
      </c>
      <c r="C15" s="20" t="s">
        <v>510</v>
      </c>
      <c r="D15" s="20" t="s">
        <v>538</v>
      </c>
      <c r="E15" s="20" t="s">
        <v>538</v>
      </c>
      <c r="F15" s="20" t="s">
        <v>560</v>
      </c>
      <c r="G15" s="20" t="s">
        <v>540</v>
      </c>
      <c r="H15" s="20" t="s">
        <v>338</v>
      </c>
      <c r="I15" s="20">
        <v>0.52</v>
      </c>
      <c r="J15" s="20" t="s">
        <v>573</v>
      </c>
      <c r="K15" s="20">
        <v>5017</v>
      </c>
      <c r="L15" s="20" t="s">
        <v>562</v>
      </c>
      <c r="M15" s="20" t="s">
        <v>511</v>
      </c>
      <c r="N15" s="20" t="s">
        <v>543</v>
      </c>
      <c r="O15" s="20" t="s">
        <v>544</v>
      </c>
      <c r="P15" s="20" t="s">
        <v>545</v>
      </c>
      <c r="Q15" s="20" t="s">
        <v>538</v>
      </c>
    </row>
    <row r="16" spans="1:17" x14ac:dyDescent="0.25">
      <c r="A16" s="20" t="s">
        <v>27</v>
      </c>
      <c r="B16" s="20" t="s">
        <v>493</v>
      </c>
      <c r="C16" s="20" t="s">
        <v>512</v>
      </c>
      <c r="D16" s="20" t="s">
        <v>538</v>
      </c>
      <c r="E16" s="20" t="s">
        <v>538</v>
      </c>
      <c r="F16" s="20" t="s">
        <v>560</v>
      </c>
      <c r="G16" s="20" t="s">
        <v>540</v>
      </c>
      <c r="H16" s="20" t="s">
        <v>338</v>
      </c>
      <c r="I16" s="20">
        <v>0.35</v>
      </c>
      <c r="J16" s="20" t="s">
        <v>574</v>
      </c>
      <c r="K16" s="20">
        <v>41617</v>
      </c>
      <c r="L16" s="20" t="s">
        <v>575</v>
      </c>
      <c r="M16" s="20" t="s">
        <v>513</v>
      </c>
      <c r="N16" s="20" t="s">
        <v>543</v>
      </c>
      <c r="O16" s="20" t="s">
        <v>544</v>
      </c>
      <c r="P16" s="20" t="s">
        <v>545</v>
      </c>
      <c r="Q16" s="20" t="s">
        <v>557</v>
      </c>
    </row>
    <row r="17" spans="1:17" x14ac:dyDescent="0.25">
      <c r="A17" s="20" t="s">
        <v>43</v>
      </c>
      <c r="B17" s="20" t="s">
        <v>514</v>
      </c>
      <c r="C17" s="20" t="s">
        <v>515</v>
      </c>
      <c r="D17" s="20" t="s">
        <v>538</v>
      </c>
      <c r="E17" s="20" t="s">
        <v>538</v>
      </c>
      <c r="F17" s="20" t="s">
        <v>560</v>
      </c>
      <c r="G17" s="20" t="s">
        <v>540</v>
      </c>
      <c r="H17" s="20" t="s">
        <v>338</v>
      </c>
      <c r="I17" s="20">
        <v>0.56999999999999995</v>
      </c>
      <c r="J17" s="20" t="s">
        <v>576</v>
      </c>
      <c r="K17" s="20">
        <v>14790</v>
      </c>
      <c r="L17" s="20" t="s">
        <v>556</v>
      </c>
      <c r="M17" s="20" t="s">
        <v>516</v>
      </c>
      <c r="N17" s="20" t="s">
        <v>543</v>
      </c>
      <c r="O17" s="20" t="s">
        <v>544</v>
      </c>
      <c r="P17" s="20" t="s">
        <v>556</v>
      </c>
      <c r="Q17" s="20" t="s">
        <v>557</v>
      </c>
    </row>
    <row r="18" spans="1:17" x14ac:dyDescent="0.25">
      <c r="A18" s="20" t="s">
        <v>49</v>
      </c>
      <c r="B18" s="20" t="s">
        <v>517</v>
      </c>
      <c r="C18" s="20" t="s">
        <v>518</v>
      </c>
      <c r="D18" s="20" t="s">
        <v>538</v>
      </c>
      <c r="E18" s="20" t="s">
        <v>538</v>
      </c>
      <c r="F18" s="20" t="s">
        <v>539</v>
      </c>
      <c r="G18" s="20" t="s">
        <v>540</v>
      </c>
      <c r="H18" s="20" t="s">
        <v>338</v>
      </c>
      <c r="I18" s="20">
        <v>1.81</v>
      </c>
      <c r="J18" s="20" t="s">
        <v>577</v>
      </c>
      <c r="K18" s="20">
        <v>717</v>
      </c>
      <c r="L18" s="20" t="s">
        <v>553</v>
      </c>
      <c r="M18" s="20" t="s">
        <v>519</v>
      </c>
      <c r="N18" s="20" t="s">
        <v>543</v>
      </c>
      <c r="O18" s="20" t="s">
        <v>544</v>
      </c>
      <c r="P18" s="20" t="s">
        <v>556</v>
      </c>
      <c r="Q18" s="20" t="s">
        <v>538</v>
      </c>
    </row>
    <row r="19" spans="1:17" x14ac:dyDescent="0.25">
      <c r="A19" s="20" t="s">
        <v>36</v>
      </c>
      <c r="B19" s="20" t="s">
        <v>520</v>
      </c>
      <c r="C19" s="20" t="s">
        <v>521</v>
      </c>
      <c r="D19" s="20" t="s">
        <v>538</v>
      </c>
      <c r="E19" s="20" t="s">
        <v>538</v>
      </c>
      <c r="F19" s="20" t="s">
        <v>560</v>
      </c>
      <c r="G19" s="20" t="s">
        <v>540</v>
      </c>
      <c r="H19" s="20" t="s">
        <v>338</v>
      </c>
      <c r="I19" s="20">
        <v>0.42</v>
      </c>
      <c r="J19" s="20" t="s">
        <v>578</v>
      </c>
      <c r="K19" s="20">
        <v>1702</v>
      </c>
      <c r="L19" s="20" t="s">
        <v>569</v>
      </c>
      <c r="M19" s="20" t="s">
        <v>522</v>
      </c>
      <c r="N19" s="20" t="s">
        <v>543</v>
      </c>
      <c r="O19" s="20" t="s">
        <v>544</v>
      </c>
      <c r="P19" s="20" t="s">
        <v>556</v>
      </c>
      <c r="Q19" s="20" t="s">
        <v>579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Articles</vt:lpstr>
      <vt:lpstr>Articles_commandes</vt:lpstr>
      <vt:lpstr>Articles Command List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2019-04-19T15:07:11Z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