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92406E7-2EB4-482F-92DB-43056C48282A}" xr6:coauthVersionLast="41" xr6:coauthVersionMax="43" xr10:uidLastSave="{00000000-0000-0000-0000-000000000000}"/>
  <bookViews>
    <workbookView xWindow="-120" yWindow="-120" windowWidth="29040" windowHeight="158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5" l="1"/>
  <c r="J3" i="15"/>
  <c r="K2" i="15"/>
  <c r="J2" i="15"/>
  <c r="L3" i="15" l="1"/>
  <c r="E36" i="24"/>
  <c r="B33" i="24"/>
  <c r="C33" i="24"/>
  <c r="F33" i="24"/>
  <c r="G33" i="24" s="1"/>
  <c r="I33" i="24"/>
  <c r="B32" i="24"/>
  <c r="C32" i="24"/>
  <c r="F32" i="24"/>
  <c r="G32" i="24" s="1"/>
  <c r="I32" i="24"/>
  <c r="B16" i="24"/>
  <c r="C16" i="24"/>
  <c r="F16" i="24"/>
  <c r="G16" i="24" s="1"/>
  <c r="I16" i="24"/>
  <c r="B23" i="24"/>
  <c r="C23" i="24"/>
  <c r="F23" i="24"/>
  <c r="G23" i="24" s="1"/>
  <c r="I23" i="24"/>
  <c r="I292" i="19"/>
  <c r="J292" i="19"/>
  <c r="K292" i="19"/>
  <c r="AC292" i="19"/>
  <c r="I180" i="19"/>
  <c r="J180" i="19"/>
  <c r="K180" i="19"/>
  <c r="AC180" i="19"/>
  <c r="I190" i="19"/>
  <c r="J190" i="19"/>
  <c r="K190" i="19"/>
  <c r="AC190" i="19"/>
  <c r="I192" i="19"/>
  <c r="J192" i="19"/>
  <c r="K192" i="19"/>
  <c r="AC192" i="19"/>
  <c r="I268" i="19"/>
  <c r="J268" i="19"/>
  <c r="K268" i="19"/>
  <c r="AC268" i="19"/>
  <c r="I246" i="19"/>
  <c r="J246" i="19"/>
  <c r="K246" i="19"/>
  <c r="AC246" i="19"/>
  <c r="I224" i="19"/>
  <c r="J224" i="19"/>
  <c r="K224" i="19"/>
  <c r="AC224" i="19"/>
  <c r="I200" i="19"/>
  <c r="J200" i="19"/>
  <c r="K200" i="19"/>
  <c r="AC200" i="19"/>
  <c r="I277" i="19"/>
  <c r="J277" i="19"/>
  <c r="K277" i="19"/>
  <c r="AC277" i="19"/>
  <c r="I305" i="19"/>
  <c r="J305" i="19"/>
  <c r="K305" i="19"/>
  <c r="AC305" i="19"/>
  <c r="I301" i="19"/>
  <c r="J301" i="19"/>
  <c r="K301" i="19"/>
  <c r="AC301" i="19"/>
  <c r="I239" i="19"/>
  <c r="J239" i="19"/>
  <c r="K239" i="19"/>
  <c r="AC239" i="19"/>
  <c r="I261" i="19"/>
  <c r="J261" i="19"/>
  <c r="K261" i="19"/>
  <c r="AC261" i="19"/>
  <c r="I240" i="19"/>
  <c r="J240" i="19"/>
  <c r="K240" i="19"/>
  <c r="AC240" i="19"/>
  <c r="I179" i="19"/>
  <c r="J179" i="19"/>
  <c r="K179" i="19"/>
  <c r="AC179" i="19"/>
  <c r="I194" i="19"/>
  <c r="J194" i="19"/>
  <c r="K194" i="19"/>
  <c r="AC194" i="19"/>
  <c r="I233" i="19"/>
  <c r="J233" i="19"/>
  <c r="K233" i="19"/>
  <c r="AC233" i="19"/>
  <c r="I275" i="19"/>
  <c r="J275" i="19"/>
  <c r="K275" i="19"/>
  <c r="AC275" i="19"/>
  <c r="I302" i="19"/>
  <c r="J302" i="19"/>
  <c r="K302" i="19"/>
  <c r="AC302" i="19"/>
  <c r="I256" i="19"/>
  <c r="J256" i="19"/>
  <c r="K256" i="19"/>
  <c r="AC256" i="19"/>
  <c r="I213" i="19"/>
  <c r="J213" i="19"/>
  <c r="K213" i="19"/>
  <c r="AC213" i="19"/>
  <c r="I280" i="19"/>
  <c r="J280" i="19"/>
  <c r="K280" i="19"/>
  <c r="AC280" i="19"/>
  <c r="I273" i="19"/>
  <c r="J273" i="19"/>
  <c r="K273" i="19"/>
  <c r="AC273" i="19"/>
  <c r="I262" i="19"/>
  <c r="J262" i="19"/>
  <c r="K262" i="19"/>
  <c r="AC262" i="19"/>
  <c r="I187" i="19"/>
  <c r="J187" i="19"/>
  <c r="K187" i="19"/>
  <c r="AC187" i="19"/>
  <c r="I229" i="19"/>
  <c r="J229" i="19"/>
  <c r="K229" i="19"/>
  <c r="AC229" i="19"/>
  <c r="I294" i="19"/>
  <c r="J294" i="19"/>
  <c r="K294" i="19"/>
  <c r="AC294" i="19"/>
  <c r="I232" i="19"/>
  <c r="J232" i="19"/>
  <c r="K232" i="19"/>
  <c r="AC232" i="19"/>
  <c r="I186" i="19"/>
  <c r="J186" i="19"/>
  <c r="K186" i="19"/>
  <c r="AC186" i="19"/>
  <c r="I284" i="19"/>
  <c r="J284" i="19"/>
  <c r="K284" i="19"/>
  <c r="AC284" i="19"/>
  <c r="I225" i="19"/>
  <c r="J225" i="19"/>
  <c r="K225" i="19"/>
  <c r="AC225" i="19"/>
  <c r="I252" i="19"/>
  <c r="J252" i="19"/>
  <c r="K252" i="19"/>
  <c r="AC252" i="19"/>
  <c r="I183" i="19"/>
  <c r="J183" i="19"/>
  <c r="K183" i="19"/>
  <c r="AC183" i="19"/>
  <c r="I300" i="19"/>
  <c r="J300" i="19"/>
  <c r="K300" i="19"/>
  <c r="AC300" i="19"/>
  <c r="I201" i="19"/>
  <c r="J201" i="19"/>
  <c r="K201" i="19"/>
  <c r="AC201" i="19"/>
  <c r="I286" i="19"/>
  <c r="J286" i="19"/>
  <c r="K286" i="19"/>
  <c r="AC286" i="19"/>
  <c r="I244" i="19"/>
  <c r="J244" i="19"/>
  <c r="K244" i="19"/>
  <c r="AC244" i="19"/>
  <c r="I241" i="19"/>
  <c r="J241" i="19"/>
  <c r="K241" i="19"/>
  <c r="AC241" i="19"/>
  <c r="I193" i="19"/>
  <c r="J193" i="19"/>
  <c r="K193" i="19"/>
  <c r="AC193" i="19"/>
  <c r="I196" i="19"/>
  <c r="J196" i="19"/>
  <c r="K196" i="19"/>
  <c r="AC196" i="19"/>
  <c r="I296" i="19"/>
  <c r="J296" i="19"/>
  <c r="K296" i="19"/>
  <c r="AC296" i="19"/>
  <c r="I249" i="19"/>
  <c r="J249" i="19"/>
  <c r="K249" i="19"/>
  <c r="AC249" i="19"/>
  <c r="I297" i="19"/>
  <c r="J297" i="19"/>
  <c r="K297" i="19"/>
  <c r="AC297" i="19"/>
  <c r="I251" i="19"/>
  <c r="J251" i="19"/>
  <c r="K251" i="19"/>
  <c r="AC251" i="19"/>
  <c r="I208" i="19"/>
  <c r="J208" i="19"/>
  <c r="K208" i="19"/>
  <c r="AC208" i="19"/>
  <c r="I172" i="19"/>
  <c r="J172" i="19"/>
  <c r="K172" i="19"/>
  <c r="AC172" i="19"/>
  <c r="I298" i="19"/>
  <c r="J298" i="19"/>
  <c r="K298" i="19"/>
  <c r="AC298" i="19"/>
  <c r="I209" i="19"/>
  <c r="J209" i="19"/>
  <c r="K209" i="19"/>
  <c r="AC209" i="19"/>
  <c r="I174" i="19"/>
  <c r="J174" i="19"/>
  <c r="K174" i="19"/>
  <c r="AC174" i="19"/>
  <c r="I299" i="19"/>
  <c r="J299" i="19"/>
  <c r="K299" i="19"/>
  <c r="AC299" i="19"/>
  <c r="I293" i="19"/>
  <c r="J293" i="19"/>
  <c r="K293" i="19"/>
  <c r="AC293" i="19"/>
  <c r="I281" i="19"/>
  <c r="J281" i="19"/>
  <c r="K281" i="19"/>
  <c r="AC281" i="19"/>
  <c r="I269" i="19"/>
  <c r="J269" i="19"/>
  <c r="K269" i="19"/>
  <c r="AC269" i="19"/>
  <c r="I234" i="19"/>
  <c r="J234" i="19"/>
  <c r="K234" i="19"/>
  <c r="AC234" i="19"/>
  <c r="I215" i="19"/>
  <c r="J215" i="19"/>
  <c r="K215" i="19"/>
  <c r="AC215" i="19"/>
  <c r="I198" i="19"/>
  <c r="J198" i="19"/>
  <c r="K198" i="19"/>
  <c r="AC198" i="19"/>
  <c r="I197" i="19"/>
  <c r="J197" i="19"/>
  <c r="K197" i="19"/>
  <c r="AC197" i="19"/>
  <c r="I274" i="19"/>
  <c r="J274" i="19"/>
  <c r="K274" i="19"/>
  <c r="AC274" i="19"/>
  <c r="I253" i="19"/>
  <c r="J253" i="19"/>
  <c r="K253" i="19"/>
  <c r="AC253" i="19"/>
  <c r="I227" i="19"/>
  <c r="J227" i="19"/>
  <c r="K227" i="19"/>
  <c r="AC227" i="19"/>
  <c r="I173" i="19"/>
  <c r="J173" i="19"/>
  <c r="K173" i="19"/>
  <c r="AC173" i="19"/>
  <c r="I285" i="19"/>
  <c r="J285" i="19"/>
  <c r="K285" i="19"/>
  <c r="AC285" i="19"/>
  <c r="I279" i="19"/>
  <c r="J279" i="19"/>
  <c r="K279" i="19"/>
  <c r="AC279" i="19"/>
  <c r="I263" i="19"/>
  <c r="J263" i="19"/>
  <c r="K263" i="19"/>
  <c r="AC263" i="19"/>
  <c r="I304" i="19"/>
  <c r="J304" i="19"/>
  <c r="K304" i="19"/>
  <c r="AC304" i="19"/>
  <c r="I303" i="19"/>
  <c r="J303" i="19"/>
  <c r="K303" i="19"/>
  <c r="AC303" i="19"/>
  <c r="I289" i="19"/>
  <c r="J289" i="19"/>
  <c r="K289" i="19"/>
  <c r="AC289" i="19"/>
  <c r="I288" i="19"/>
  <c r="J288" i="19"/>
  <c r="K288" i="19"/>
  <c r="AC288" i="19"/>
  <c r="I287" i="19"/>
  <c r="J287" i="19"/>
  <c r="K287" i="19"/>
  <c r="AC287" i="19"/>
  <c r="I278" i="19"/>
  <c r="J278" i="19"/>
  <c r="K278" i="19"/>
  <c r="AC278" i="19"/>
  <c r="I272" i="19"/>
  <c r="J272" i="19"/>
  <c r="K272" i="19"/>
  <c r="AC272" i="19"/>
  <c r="I255" i="19"/>
  <c r="J255" i="19"/>
  <c r="K255" i="19"/>
  <c r="AC255" i="19"/>
  <c r="I248" i="19"/>
  <c r="J248" i="19"/>
  <c r="K248" i="19"/>
  <c r="AC248" i="19"/>
  <c r="I245" i="19"/>
  <c r="J245" i="19"/>
  <c r="K245" i="19"/>
  <c r="AC245" i="19"/>
  <c r="I238" i="19"/>
  <c r="J238" i="19"/>
  <c r="K238" i="19"/>
  <c r="AC238" i="19"/>
  <c r="I230" i="19"/>
  <c r="J230" i="19"/>
  <c r="K230" i="19"/>
  <c r="AC230" i="19"/>
  <c r="I214" i="19"/>
  <c r="J214" i="19"/>
  <c r="K214" i="19"/>
  <c r="AC214" i="19"/>
  <c r="I191" i="19"/>
  <c r="J191" i="19"/>
  <c r="K191" i="19"/>
  <c r="AC191" i="19"/>
  <c r="I189" i="19"/>
  <c r="J189" i="19"/>
  <c r="K189" i="19"/>
  <c r="AC189" i="19"/>
  <c r="I188" i="19"/>
  <c r="J188" i="19"/>
  <c r="K188" i="19"/>
  <c r="AC188" i="19"/>
  <c r="I181" i="19"/>
  <c r="J181" i="19"/>
  <c r="K181" i="19"/>
  <c r="AC181" i="19"/>
  <c r="I171" i="19"/>
  <c r="J171" i="19"/>
  <c r="K171" i="19"/>
  <c r="AC171" i="19"/>
  <c r="I170" i="19"/>
  <c r="J170" i="19"/>
  <c r="K170" i="19"/>
  <c r="AC170" i="19"/>
  <c r="I169" i="19"/>
  <c r="J169" i="19"/>
  <c r="K169" i="19"/>
  <c r="AC169" i="19"/>
  <c r="I282" i="19"/>
  <c r="J282" i="19"/>
  <c r="K282" i="19"/>
  <c r="AC282" i="19"/>
  <c r="I257" i="19"/>
  <c r="J257" i="19"/>
  <c r="K257" i="19"/>
  <c r="AC257" i="19"/>
  <c r="I250" i="19"/>
  <c r="J250" i="19"/>
  <c r="K250" i="19"/>
  <c r="AC250" i="19"/>
  <c r="I231" i="19"/>
  <c r="J231" i="19"/>
  <c r="K231" i="19"/>
  <c r="AC231" i="19"/>
  <c r="I217" i="19"/>
  <c r="J217" i="19"/>
  <c r="K217" i="19"/>
  <c r="AC217" i="19"/>
  <c r="I216" i="19"/>
  <c r="J216" i="19"/>
  <c r="K216" i="19"/>
  <c r="AC216" i="19"/>
  <c r="I271" i="19"/>
  <c r="J271" i="19"/>
  <c r="K271" i="19"/>
  <c r="AC271" i="19"/>
  <c r="I270" i="19"/>
  <c r="J270" i="19"/>
  <c r="K270" i="19"/>
  <c r="AC270" i="19"/>
  <c r="I206" i="19"/>
  <c r="J206" i="19"/>
  <c r="K206" i="19"/>
  <c r="AC206" i="19"/>
  <c r="I258" i="19"/>
  <c r="J258" i="19"/>
  <c r="K258" i="19"/>
  <c r="AC258" i="19"/>
  <c r="I290" i="19"/>
  <c r="J290" i="19"/>
  <c r="K290" i="19"/>
  <c r="AC290" i="19"/>
  <c r="I182" i="19"/>
  <c r="J182" i="19"/>
  <c r="K182" i="19"/>
  <c r="AC182" i="19"/>
  <c r="I204" i="19"/>
  <c r="J204" i="19"/>
  <c r="K204" i="19"/>
  <c r="AC204" i="19"/>
  <c r="I243" i="19"/>
  <c r="J243" i="19"/>
  <c r="K243" i="19"/>
  <c r="AC243" i="19"/>
  <c r="I295" i="19"/>
  <c r="J295" i="19"/>
  <c r="K295" i="19"/>
  <c r="AC295" i="19"/>
  <c r="I207" i="19"/>
  <c r="J207" i="19"/>
  <c r="K207" i="19"/>
  <c r="AC207" i="19"/>
  <c r="I283" i="19"/>
  <c r="J283" i="19"/>
  <c r="K283" i="19"/>
  <c r="AC283" i="19"/>
  <c r="I228" i="19"/>
  <c r="J228" i="19"/>
  <c r="K228" i="19"/>
  <c r="AC228" i="19"/>
  <c r="I242" i="19"/>
  <c r="J242" i="19"/>
  <c r="K242" i="19"/>
  <c r="AC242" i="19"/>
  <c r="I291" i="19"/>
  <c r="J291" i="19"/>
  <c r="K291" i="19"/>
  <c r="AC291" i="19"/>
  <c r="I178" i="19"/>
  <c r="J178" i="19"/>
  <c r="K178" i="19"/>
  <c r="AC178" i="19"/>
  <c r="I203" i="19"/>
  <c r="J203" i="19"/>
  <c r="K203" i="19"/>
  <c r="AC203" i="19"/>
  <c r="I219" i="19"/>
  <c r="J219" i="19"/>
  <c r="K219" i="19"/>
  <c r="AC219" i="19"/>
  <c r="I267" i="19"/>
  <c r="J267" i="19"/>
  <c r="K267" i="19"/>
  <c r="AC267" i="19"/>
  <c r="I260" i="19"/>
  <c r="J260" i="19"/>
  <c r="K260" i="19"/>
  <c r="AC260" i="19"/>
  <c r="I222" i="19"/>
  <c r="J222" i="19"/>
  <c r="K222" i="19"/>
  <c r="AC222" i="19"/>
  <c r="I205" i="19"/>
  <c r="J205" i="19"/>
  <c r="K205" i="19"/>
  <c r="AC205" i="19"/>
  <c r="I264" i="19"/>
  <c r="J264" i="19"/>
  <c r="K264" i="19"/>
  <c r="AC264" i="19"/>
  <c r="I265" i="19"/>
  <c r="J265" i="19"/>
  <c r="K265" i="19"/>
  <c r="AC265" i="19"/>
  <c r="I164" i="19"/>
  <c r="J164" i="19"/>
  <c r="K164" i="19"/>
  <c r="AC164" i="19"/>
  <c r="I212" i="19"/>
  <c r="J212" i="19"/>
  <c r="K212" i="19"/>
  <c r="AC212" i="19"/>
  <c r="I167" i="19"/>
  <c r="J167" i="19"/>
  <c r="H16" i="24" s="1"/>
  <c r="K167" i="19"/>
  <c r="AC167" i="19"/>
  <c r="I211" i="19"/>
  <c r="J211" i="19"/>
  <c r="K211" i="19"/>
  <c r="AC211" i="19"/>
  <c r="I195" i="19"/>
  <c r="J195" i="19"/>
  <c r="K195" i="19"/>
  <c r="AC195" i="19"/>
  <c r="I199" i="19"/>
  <c r="J199" i="19"/>
  <c r="K199" i="19"/>
  <c r="AC199" i="19"/>
  <c r="I177" i="19"/>
  <c r="J177" i="19"/>
  <c r="K177" i="19"/>
  <c r="AC177" i="19"/>
  <c r="I259" i="19"/>
  <c r="J259" i="19"/>
  <c r="K259" i="19"/>
  <c r="AC259" i="19"/>
  <c r="I218" i="19"/>
  <c r="J218" i="19"/>
  <c r="K218" i="19"/>
  <c r="AC218" i="19"/>
  <c r="I254" i="19"/>
  <c r="J254" i="19"/>
  <c r="K254" i="19"/>
  <c r="AC254" i="19"/>
  <c r="I235" i="19"/>
  <c r="J235" i="19"/>
  <c r="K235" i="19"/>
  <c r="AC235" i="19"/>
  <c r="I220" i="19"/>
  <c r="J220" i="19"/>
  <c r="K220" i="19"/>
  <c r="AC220" i="19"/>
  <c r="I202" i="19"/>
  <c r="J202" i="19"/>
  <c r="K202" i="19"/>
  <c r="AC202" i="19"/>
  <c r="I276" i="19"/>
  <c r="J276" i="19"/>
  <c r="K276" i="19"/>
  <c r="AC276" i="19"/>
  <c r="I266" i="19"/>
  <c r="J266" i="19"/>
  <c r="K266" i="19"/>
  <c r="AC266" i="19"/>
  <c r="I176" i="19"/>
  <c r="J176" i="19"/>
  <c r="K176" i="19"/>
  <c r="AC176" i="19"/>
  <c r="I226" i="19"/>
  <c r="J226" i="19"/>
  <c r="K226" i="19"/>
  <c r="AC226" i="19"/>
  <c r="I175" i="19"/>
  <c r="J175" i="19"/>
  <c r="K175" i="19"/>
  <c r="AC175" i="19"/>
  <c r="I165" i="19"/>
  <c r="J165" i="19"/>
  <c r="K165" i="19"/>
  <c r="AC165" i="19"/>
  <c r="I185" i="19"/>
  <c r="J185" i="19"/>
  <c r="K185" i="19"/>
  <c r="AC185" i="19"/>
  <c r="I221" i="19"/>
  <c r="J221" i="19"/>
  <c r="H23" i="24" s="1"/>
  <c r="K221" i="19"/>
  <c r="AC221" i="19"/>
  <c r="I184" i="19"/>
  <c r="J184" i="19"/>
  <c r="K184" i="19"/>
  <c r="AC184" i="19"/>
  <c r="I20" i="24"/>
  <c r="I157" i="19"/>
  <c r="J157" i="19"/>
  <c r="K157" i="19"/>
  <c r="AC157" i="19"/>
  <c r="I237" i="19"/>
  <c r="J237" i="19"/>
  <c r="K237" i="19"/>
  <c r="AC237" i="19"/>
  <c r="AA131" i="19"/>
  <c r="AA130" i="19"/>
  <c r="AA129" i="19"/>
  <c r="AA128" i="19"/>
  <c r="AA127" i="19"/>
  <c r="AA126" i="19"/>
  <c r="AA125" i="19"/>
  <c r="AA124" i="19"/>
  <c r="AA123" i="19"/>
  <c r="AA122" i="19"/>
  <c r="AA121" i="19"/>
  <c r="AA120" i="19"/>
  <c r="AA70" i="19"/>
  <c r="AA69" i="19"/>
  <c r="E9" i="23"/>
  <c r="I4" i="22"/>
  <c r="A35" i="19"/>
  <c r="A32" i="19"/>
  <c r="A19" i="19"/>
  <c r="I2" i="16"/>
  <c r="C23" i="16"/>
  <c r="C2" i="3"/>
  <c r="C30" i="3"/>
  <c r="C32" i="3"/>
  <c r="C34" i="3"/>
  <c r="C36" i="3"/>
  <c r="C37" i="3"/>
  <c r="C2" i="20"/>
  <c r="C33" i="20"/>
  <c r="C43" i="20"/>
  <c r="J33" i="24" l="1"/>
  <c r="J32" i="24"/>
  <c r="J16" i="24"/>
  <c r="J2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26" i="19"/>
  <c r="J126" i="19"/>
  <c r="K126" i="19"/>
  <c r="AC126" i="19"/>
  <c r="I125" i="19"/>
  <c r="J125" i="19"/>
  <c r="K125" i="19"/>
  <c r="AC125" i="19"/>
  <c r="I131" i="19"/>
  <c r="J131" i="19"/>
  <c r="H4" i="22" s="1"/>
  <c r="K131" i="19"/>
  <c r="AC131" i="19"/>
  <c r="I110" i="19"/>
  <c r="J110" i="19"/>
  <c r="K110" i="19"/>
  <c r="AC110" i="19"/>
  <c r="I163" i="19"/>
  <c r="J163" i="19"/>
  <c r="K163" i="19"/>
  <c r="AC163" i="19"/>
  <c r="I161" i="19"/>
  <c r="J161" i="19"/>
  <c r="K161" i="19"/>
  <c r="AC161" i="19"/>
  <c r="I153" i="19"/>
  <c r="J153" i="19"/>
  <c r="K153" i="19"/>
  <c r="AC153" i="19"/>
  <c r="I155" i="19"/>
  <c r="J155" i="19"/>
  <c r="K155" i="19"/>
  <c r="AC155" i="19"/>
  <c r="I307" i="19"/>
  <c r="J307" i="19"/>
  <c r="K307" i="19"/>
  <c r="AC307" i="19"/>
  <c r="I223" i="19"/>
  <c r="J223" i="19"/>
  <c r="K223" i="19"/>
  <c r="AC223" i="19"/>
  <c r="J4" i="22" l="1"/>
  <c r="J2" i="16"/>
  <c r="J20" i="24"/>
  <c r="I41" i="19"/>
  <c r="J41" i="19"/>
  <c r="K41" i="19"/>
  <c r="AC41" i="19"/>
  <c r="I42" i="19"/>
  <c r="J42" i="19"/>
  <c r="K42" i="19"/>
  <c r="AC42" i="19"/>
  <c r="I66" i="19" l="1"/>
  <c r="J66" i="19"/>
  <c r="K66" i="19"/>
  <c r="AC66" i="19"/>
  <c r="I17" i="19" l="1"/>
  <c r="J17" i="19"/>
  <c r="K17" i="19"/>
  <c r="AC17" i="19"/>
  <c r="I40" i="19" l="1"/>
  <c r="J40" i="19"/>
  <c r="K40" i="19"/>
  <c r="AC40" i="19"/>
  <c r="I70" i="19"/>
  <c r="J70" i="19"/>
  <c r="K70" i="19"/>
  <c r="AC70" i="19"/>
  <c r="I69" i="19"/>
  <c r="J69" i="19"/>
  <c r="K69" i="19"/>
  <c r="AC69" i="19"/>
  <c r="I124" i="19" l="1"/>
  <c r="J124" i="19"/>
  <c r="K124" i="19"/>
  <c r="AC124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C3" i="24"/>
  <c r="B3" i="24"/>
  <c r="I2" i="24"/>
  <c r="H2" i="24"/>
  <c r="F2" i="24"/>
  <c r="J2" i="24" s="1"/>
  <c r="C2" i="24"/>
  <c r="B2" i="24"/>
  <c r="I11" i="19"/>
  <c r="J11" i="19"/>
  <c r="H33" i="24" s="1"/>
  <c r="K11" i="19"/>
  <c r="AC11" i="19"/>
  <c r="J3" i="24" l="1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49" i="19"/>
  <c r="J49" i="19"/>
  <c r="K49" i="19"/>
  <c r="AC49" i="19"/>
  <c r="I50" i="19"/>
  <c r="J50" i="19"/>
  <c r="K50" i="19"/>
  <c r="AC50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44" i="19"/>
  <c r="J44" i="19"/>
  <c r="K44" i="19"/>
  <c r="AC44" i="19"/>
  <c r="I53" i="19"/>
  <c r="J53" i="19"/>
  <c r="K53" i="19"/>
  <c r="AC53" i="19"/>
  <c r="I52" i="19"/>
  <c r="J52" i="19"/>
  <c r="K52" i="19"/>
  <c r="AC52" i="19"/>
  <c r="I51" i="19"/>
  <c r="J51" i="19"/>
  <c r="K51" i="19"/>
  <c r="AC51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54" i="19"/>
  <c r="J54" i="19"/>
  <c r="K54" i="19"/>
  <c r="AC54" i="19"/>
  <c r="I63" i="19"/>
  <c r="J63" i="19"/>
  <c r="K63" i="19"/>
  <c r="AC63" i="19"/>
  <c r="I43" i="19"/>
  <c r="J43" i="19"/>
  <c r="K43" i="19"/>
  <c r="AC43" i="19"/>
  <c r="I328" i="19"/>
  <c r="J328" i="19"/>
  <c r="K328" i="19"/>
  <c r="AC32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27" i="19" l="1"/>
  <c r="J327" i="19"/>
  <c r="K327" i="19"/>
  <c r="AC327" i="19"/>
  <c r="I72" i="19" l="1"/>
  <c r="J72" i="19"/>
  <c r="K72" i="19"/>
  <c r="AC72" i="19"/>
  <c r="H132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2" i="19"/>
  <c r="J82" i="19"/>
  <c r="K82" i="19"/>
  <c r="AC82" i="19"/>
  <c r="I103" i="19" l="1"/>
  <c r="J103" i="19"/>
  <c r="K103" i="19"/>
  <c r="AC103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95" i="19"/>
  <c r="J95" i="19"/>
  <c r="H15" i="22" s="1"/>
  <c r="K95" i="19"/>
  <c r="AC95" i="19"/>
  <c r="B7" i="23"/>
  <c r="F7" i="23"/>
  <c r="I7" i="23"/>
  <c r="G30" i="22" l="1"/>
  <c r="J30" i="22"/>
  <c r="J15" i="22"/>
  <c r="J19" i="22"/>
  <c r="J7" i="23"/>
  <c r="G7" i="23"/>
  <c r="I102" i="19"/>
  <c r="J102" i="19"/>
  <c r="H7" i="23" s="1"/>
  <c r="K102" i="19"/>
  <c r="AC102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4" i="19"/>
  <c r="J64" i="19"/>
  <c r="K64" i="19"/>
  <c r="AC64" i="19"/>
  <c r="I337" i="19"/>
  <c r="J337" i="19"/>
  <c r="K337" i="19"/>
  <c r="AC337" i="19"/>
  <c r="B5" i="21" l="1"/>
  <c r="F5" i="21"/>
  <c r="G5" i="21" s="1"/>
  <c r="I5" i="21"/>
  <c r="I314" i="19"/>
  <c r="J314" i="19"/>
  <c r="K314" i="19"/>
  <c r="AC314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18" i="19"/>
  <c r="H3" i="22" s="1"/>
  <c r="I313" i="19"/>
  <c r="J313" i="19"/>
  <c r="K313" i="19"/>
  <c r="AC313" i="19"/>
  <c r="I118" i="19"/>
  <c r="K118" i="19"/>
  <c r="AC118" i="19"/>
  <c r="I321" i="19"/>
  <c r="J321" i="19"/>
  <c r="H2" i="22" s="1"/>
  <c r="K321" i="19"/>
  <c r="AC321" i="19"/>
  <c r="I315" i="19"/>
  <c r="J315" i="19"/>
  <c r="K315" i="19"/>
  <c r="AC315" i="19"/>
  <c r="I316" i="19"/>
  <c r="J316" i="19"/>
  <c r="K316" i="19"/>
  <c r="AC316" i="19"/>
  <c r="I317" i="19"/>
  <c r="J317" i="19"/>
  <c r="K317" i="19"/>
  <c r="AC317" i="19"/>
  <c r="I320" i="19"/>
  <c r="J320" i="19"/>
  <c r="K320" i="19"/>
  <c r="AC320" i="19"/>
  <c r="I318" i="19"/>
  <c r="J318" i="19"/>
  <c r="K318" i="19"/>
  <c r="AC318" i="19"/>
  <c r="I20" i="19"/>
  <c r="J20" i="19"/>
  <c r="K20" i="19"/>
  <c r="AC20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28" i="19"/>
  <c r="J128" i="19"/>
  <c r="K128" i="19"/>
  <c r="AC128" i="19"/>
  <c r="E31" i="21"/>
  <c r="B30" i="21" l="1"/>
  <c r="F30" i="21"/>
  <c r="G30" i="21" s="1"/>
  <c r="I30" i="21"/>
  <c r="I123" i="19"/>
  <c r="J123" i="19"/>
  <c r="K123" i="19"/>
  <c r="AC123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4" i="19"/>
  <c r="J84" i="19"/>
  <c r="K84" i="19"/>
  <c r="AC84" i="19"/>
  <c r="I90" i="19"/>
  <c r="J90" i="19"/>
  <c r="K90" i="19"/>
  <c r="AC90" i="19"/>
  <c r="I333" i="19"/>
  <c r="J333" i="19"/>
  <c r="K333" i="19"/>
  <c r="AC333" i="19"/>
  <c r="I117" i="19"/>
  <c r="J117" i="19"/>
  <c r="K117" i="19"/>
  <c r="AC117" i="19"/>
  <c r="H30" i="21" l="1"/>
  <c r="H31" i="24"/>
  <c r="H2" i="14"/>
  <c r="H3" i="14" s="1"/>
  <c r="I89" i="19" l="1"/>
  <c r="J89" i="19"/>
  <c r="H3" i="24" s="1"/>
  <c r="K89" i="19"/>
  <c r="AC89" i="19"/>
  <c r="E33" i="20"/>
  <c r="B2" i="20"/>
  <c r="I37" i="19"/>
  <c r="J37" i="19"/>
  <c r="H10" i="23" s="1"/>
  <c r="K37" i="19"/>
  <c r="AC37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31" i="19"/>
  <c r="K332" i="19"/>
  <c r="K67" i="19"/>
  <c r="K5" i="19"/>
  <c r="K6" i="19"/>
  <c r="K8" i="19"/>
  <c r="K101" i="19"/>
  <c r="K81" i="19"/>
  <c r="K83" i="19"/>
  <c r="K93" i="19"/>
  <c r="K100" i="19"/>
  <c r="K92" i="19"/>
  <c r="K108" i="19"/>
  <c r="K106" i="19"/>
  <c r="K107" i="19"/>
  <c r="K85" i="19"/>
  <c r="K138" i="19"/>
  <c r="K135" i="19"/>
  <c r="K94" i="19"/>
  <c r="K98" i="19"/>
  <c r="K29" i="19"/>
  <c r="K28" i="19"/>
  <c r="K311" i="19"/>
  <c r="K308" i="19"/>
  <c r="K148" i="19"/>
  <c r="K312" i="19"/>
  <c r="K309" i="19"/>
  <c r="K310" i="19"/>
  <c r="K143" i="19"/>
  <c r="K144" i="19"/>
  <c r="K145" i="19"/>
  <c r="K2" i="19"/>
  <c r="K3" i="19"/>
  <c r="K4" i="19"/>
  <c r="K7" i="19"/>
  <c r="K10" i="19"/>
  <c r="K12" i="19"/>
  <c r="K15" i="19"/>
  <c r="K16" i="19"/>
  <c r="K18" i="19"/>
  <c r="K19" i="19"/>
  <c r="K21" i="19"/>
  <c r="K22" i="19"/>
  <c r="K23" i="19"/>
  <c r="K24" i="19"/>
  <c r="K26" i="19"/>
  <c r="K27" i="19"/>
  <c r="K25" i="19"/>
  <c r="K38" i="19"/>
  <c r="K30" i="19"/>
  <c r="K31" i="19"/>
  <c r="K33" i="19"/>
  <c r="K34" i="19"/>
  <c r="K32" i="19"/>
  <c r="K36" i="19"/>
  <c r="K35" i="19"/>
  <c r="K39" i="19"/>
  <c r="K65" i="19"/>
  <c r="K68" i="19"/>
  <c r="K71" i="19"/>
  <c r="K73" i="19"/>
  <c r="K74" i="19"/>
  <c r="K75" i="19"/>
  <c r="K76" i="19"/>
  <c r="K78" i="19"/>
  <c r="K79" i="19"/>
  <c r="K77" i="19"/>
  <c r="K80" i="19"/>
  <c r="K86" i="19"/>
  <c r="K87" i="19"/>
  <c r="K88" i="19"/>
  <c r="K91" i="19"/>
  <c r="K96" i="19"/>
  <c r="K134" i="19"/>
  <c r="K97" i="19"/>
  <c r="K99" i="19"/>
  <c r="K104" i="19"/>
  <c r="K105" i="19"/>
  <c r="K109" i="19"/>
  <c r="K111" i="19"/>
  <c r="K112" i="19"/>
  <c r="K113" i="19"/>
  <c r="K115" i="19"/>
  <c r="K114" i="19"/>
  <c r="K116" i="19"/>
  <c r="K119" i="19"/>
  <c r="K120" i="19"/>
  <c r="K121" i="19"/>
  <c r="K122" i="19"/>
  <c r="K127" i="19"/>
  <c r="K129" i="19"/>
  <c r="K130" i="19"/>
  <c r="K132" i="19"/>
  <c r="K133" i="19"/>
  <c r="K136" i="19"/>
  <c r="K137" i="19"/>
  <c r="K141" i="19"/>
  <c r="K146" i="19"/>
  <c r="K147" i="19"/>
  <c r="K149" i="19"/>
  <c r="K150" i="19"/>
  <c r="K152" i="19"/>
  <c r="K154" i="19"/>
  <c r="K151" i="19"/>
  <c r="K156" i="19"/>
  <c r="K159" i="19"/>
  <c r="K160" i="19"/>
  <c r="K158" i="19"/>
  <c r="K166" i="19"/>
  <c r="K168" i="19"/>
  <c r="K210" i="19"/>
  <c r="K236" i="19"/>
  <c r="K247" i="19"/>
  <c r="K306" i="19"/>
  <c r="K162" i="19"/>
  <c r="K322" i="19"/>
  <c r="K323" i="19"/>
  <c r="K324" i="19"/>
  <c r="K325" i="19"/>
  <c r="K326" i="19"/>
  <c r="K329" i="19"/>
  <c r="K330" i="19"/>
  <c r="K334" i="19"/>
  <c r="K335" i="19"/>
  <c r="K336" i="19"/>
  <c r="K13" i="19"/>
  <c r="K14" i="19"/>
  <c r="K142" i="19"/>
  <c r="K139" i="19"/>
  <c r="K140" i="19"/>
  <c r="I140" i="19" l="1"/>
  <c r="J140" i="19"/>
  <c r="H12" i="20" s="1"/>
  <c r="AC140" i="19"/>
  <c r="I139" i="19"/>
  <c r="J139" i="19"/>
  <c r="AC139" i="19"/>
  <c r="H10" i="20" l="1"/>
  <c r="I145" i="19"/>
  <c r="J145" i="19"/>
  <c r="AC145" i="19"/>
  <c r="I143" i="19"/>
  <c r="J143" i="19"/>
  <c r="AC143" i="19"/>
  <c r="I144" i="19"/>
  <c r="J144" i="19"/>
  <c r="AC144" i="19"/>
  <c r="H18" i="20" l="1"/>
  <c r="E37" i="20"/>
  <c r="I14" i="19"/>
  <c r="J14" i="19"/>
  <c r="AC14" i="19"/>
  <c r="I13" i="19"/>
  <c r="J13" i="19"/>
  <c r="AC13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5" i="19"/>
  <c r="I25" i="19"/>
  <c r="J25" i="19"/>
  <c r="H8" i="24" s="1"/>
  <c r="AC130" i="19" l="1"/>
  <c r="I130" i="19"/>
  <c r="J130" i="19"/>
  <c r="H2" i="16" s="1"/>
  <c r="E12" i="16"/>
  <c r="I12" i="16" s="1"/>
  <c r="B12" i="16"/>
  <c r="F12" i="16"/>
  <c r="AC168" i="19"/>
  <c r="I168" i="19"/>
  <c r="J168" i="19"/>
  <c r="H19" i="24" s="1"/>
  <c r="H24" i="22"/>
  <c r="AC236" i="19"/>
  <c r="I236" i="19"/>
  <c r="J236" i="19"/>
  <c r="H21" i="24" s="1"/>
  <c r="AC247" i="19"/>
  <c r="I247" i="19"/>
  <c r="J247" i="19"/>
  <c r="H17" i="24" s="1"/>
  <c r="AC154" i="19"/>
  <c r="I154" i="19"/>
  <c r="J154" i="19"/>
  <c r="AC158" i="19"/>
  <c r="I158" i="19"/>
  <c r="J158" i="19"/>
  <c r="AC159" i="19"/>
  <c r="I159" i="19"/>
  <c r="J159" i="19"/>
  <c r="AC166" i="19"/>
  <c r="I166" i="19"/>
  <c r="J166" i="19"/>
  <c r="AC160" i="19"/>
  <c r="I160" i="19"/>
  <c r="J160" i="19"/>
  <c r="H4" i="23" s="1"/>
  <c r="H151" i="19"/>
  <c r="AC151" i="19" s="1"/>
  <c r="I151" i="19"/>
  <c r="J151" i="19"/>
  <c r="AC210" i="19"/>
  <c r="I210" i="19"/>
  <c r="J210" i="19"/>
  <c r="AC162" i="19"/>
  <c r="I162" i="19"/>
  <c r="J162" i="19"/>
  <c r="H22" i="22" s="1"/>
  <c r="AC156" i="19"/>
  <c r="I156" i="19"/>
  <c r="J156" i="19"/>
  <c r="H20" i="22" s="1"/>
  <c r="H23" i="22"/>
  <c r="H21" i="22"/>
  <c r="AC149" i="19"/>
  <c r="I149" i="19"/>
  <c r="J149" i="19"/>
  <c r="H150" i="19"/>
  <c r="AC150" i="19" s="1"/>
  <c r="I150" i="19"/>
  <c r="J150" i="19"/>
  <c r="AC152" i="19"/>
  <c r="I152" i="19"/>
  <c r="J152" i="19"/>
  <c r="H5" i="23" s="1"/>
  <c r="B19" i="16"/>
  <c r="F19" i="16"/>
  <c r="G19" i="16" s="1"/>
  <c r="I19" i="16"/>
  <c r="H22" i="24"/>
  <c r="AC306" i="19"/>
  <c r="I306" i="19"/>
  <c r="J306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2" i="19"/>
  <c r="J22" i="19"/>
  <c r="I24" i="19"/>
  <c r="J24" i="19"/>
  <c r="AC23" i="19"/>
  <c r="I23" i="19"/>
  <c r="J23" i="19"/>
  <c r="I21" i="19"/>
  <c r="J21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4" i="19"/>
  <c r="J12" i="16"/>
  <c r="J19" i="16"/>
  <c r="AC22" i="19"/>
  <c r="AC21" i="19"/>
  <c r="J13" i="16"/>
  <c r="J14" i="16"/>
  <c r="J20" i="16"/>
  <c r="J25" i="16"/>
  <c r="AC30" i="19"/>
  <c r="AC32" i="19"/>
  <c r="AC113" i="19"/>
  <c r="AC114" i="19"/>
  <c r="AC35" i="19"/>
  <c r="AC36" i="19"/>
  <c r="AC15" i="19"/>
  <c r="AC6" i="19"/>
  <c r="AC7" i="19"/>
  <c r="AC85" i="19"/>
  <c r="AC335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5" i="19"/>
  <c r="H34" i="3" s="1"/>
  <c r="J6" i="19"/>
  <c r="J7" i="19"/>
  <c r="J8" i="19"/>
  <c r="J10" i="19"/>
  <c r="J12" i="19"/>
  <c r="J15" i="19"/>
  <c r="J16" i="19"/>
  <c r="J18" i="19"/>
  <c r="J19" i="19"/>
  <c r="J26" i="19"/>
  <c r="J27" i="19"/>
  <c r="H7" i="21" s="1"/>
  <c r="J28" i="19"/>
  <c r="H6" i="21" s="1"/>
  <c r="J29" i="19"/>
  <c r="H2" i="23" s="1"/>
  <c r="J30" i="19"/>
  <c r="J38" i="19"/>
  <c r="J35" i="19"/>
  <c r="J31" i="19"/>
  <c r="J32" i="19"/>
  <c r="H36" i="24" s="1"/>
  <c r="J33" i="19"/>
  <c r="J34" i="19"/>
  <c r="J36" i="19"/>
  <c r="J39" i="19"/>
  <c r="H5" i="8" s="1"/>
  <c r="J65" i="19"/>
  <c r="J67" i="19"/>
  <c r="J68" i="19"/>
  <c r="J71" i="19"/>
  <c r="J74" i="19"/>
  <c r="J75" i="19"/>
  <c r="J76" i="19"/>
  <c r="J77" i="19"/>
  <c r="H33" i="3" s="1"/>
  <c r="J78" i="19"/>
  <c r="J79" i="19"/>
  <c r="J73" i="19"/>
  <c r="J80" i="19"/>
  <c r="J81" i="19"/>
  <c r="J83" i="19"/>
  <c r="J85" i="19"/>
  <c r="H3" i="8" s="1"/>
  <c r="J86" i="19"/>
  <c r="J87" i="19"/>
  <c r="J88" i="19"/>
  <c r="H3" i="21" s="1"/>
  <c r="J91" i="19"/>
  <c r="J92" i="19"/>
  <c r="H4" i="8" s="1"/>
  <c r="J93" i="19"/>
  <c r="H29" i="24" s="1"/>
  <c r="J94" i="19"/>
  <c r="H12" i="24" s="1"/>
  <c r="J96" i="19"/>
  <c r="J97" i="19"/>
  <c r="J134" i="19"/>
  <c r="J98" i="19"/>
  <c r="H10" i="24" s="1"/>
  <c r="J99" i="19"/>
  <c r="J100" i="19"/>
  <c r="J101" i="19"/>
  <c r="H29" i="21" s="1"/>
  <c r="J104" i="19"/>
  <c r="J105" i="19"/>
  <c r="H28" i="3" s="1"/>
  <c r="J106" i="19"/>
  <c r="H30" i="24" s="1"/>
  <c r="J107" i="19"/>
  <c r="H2" i="8" s="1"/>
  <c r="J108" i="19"/>
  <c r="J109" i="19"/>
  <c r="J111" i="19"/>
  <c r="J112" i="19"/>
  <c r="J113" i="19"/>
  <c r="J114" i="19"/>
  <c r="H32" i="24" s="1"/>
  <c r="J115" i="19"/>
  <c r="J116" i="19"/>
  <c r="J119" i="19"/>
  <c r="J120" i="19"/>
  <c r="J121" i="19"/>
  <c r="J122" i="19"/>
  <c r="H2" i="21" s="1"/>
  <c r="J127" i="19"/>
  <c r="J129" i="19"/>
  <c r="H15" i="8" s="1"/>
  <c r="J132" i="19"/>
  <c r="J133" i="19"/>
  <c r="J135" i="19"/>
  <c r="H35" i="3" s="1"/>
  <c r="J136" i="19"/>
  <c r="J137" i="19"/>
  <c r="J138" i="19"/>
  <c r="J141" i="19"/>
  <c r="H14" i="8" s="1"/>
  <c r="J142" i="19"/>
  <c r="J146" i="19"/>
  <c r="H20" i="3"/>
  <c r="J147" i="19"/>
  <c r="J148" i="19"/>
  <c r="H39" i="3" s="1"/>
  <c r="J308" i="19"/>
  <c r="H14" i="3" s="1"/>
  <c r="J309" i="19"/>
  <c r="H15" i="3" s="1"/>
  <c r="J310" i="19"/>
  <c r="J311" i="19"/>
  <c r="H18" i="3" s="1"/>
  <c r="J312" i="19"/>
  <c r="H38" i="3" s="1"/>
  <c r="J322" i="19"/>
  <c r="J323" i="19"/>
  <c r="J324" i="19"/>
  <c r="J325" i="19"/>
  <c r="H9" i="8" s="1"/>
  <c r="J326" i="19"/>
  <c r="H25" i="22" s="1"/>
  <c r="J329" i="19"/>
  <c r="J330" i="19"/>
  <c r="J331" i="19"/>
  <c r="J332" i="19"/>
  <c r="J334" i="19"/>
  <c r="H15" i="24" s="1"/>
  <c r="J335" i="19"/>
  <c r="H17" i="3" s="1"/>
  <c r="J336" i="19"/>
  <c r="I2" i="19"/>
  <c r="I3" i="19"/>
  <c r="I4" i="19"/>
  <c r="I5" i="19"/>
  <c r="I6" i="19"/>
  <c r="I7" i="19"/>
  <c r="I8" i="19"/>
  <c r="I10" i="19"/>
  <c r="I12" i="19"/>
  <c r="I15" i="19"/>
  <c r="I16" i="19"/>
  <c r="I18" i="19"/>
  <c r="I19" i="19"/>
  <c r="I26" i="19"/>
  <c r="I27" i="19"/>
  <c r="I28" i="19"/>
  <c r="I29" i="19"/>
  <c r="I30" i="19"/>
  <c r="I38" i="19"/>
  <c r="I35" i="19"/>
  <c r="I31" i="19"/>
  <c r="I32" i="19"/>
  <c r="I33" i="19"/>
  <c r="I34" i="19"/>
  <c r="I36" i="19"/>
  <c r="I39" i="19"/>
  <c r="I65" i="19"/>
  <c r="I67" i="19"/>
  <c r="I68" i="19"/>
  <c r="I71" i="19"/>
  <c r="I74" i="19"/>
  <c r="I75" i="19"/>
  <c r="I76" i="19"/>
  <c r="I77" i="19"/>
  <c r="I78" i="19"/>
  <c r="I79" i="19"/>
  <c r="I73" i="19"/>
  <c r="I80" i="19"/>
  <c r="I81" i="19"/>
  <c r="I83" i="19"/>
  <c r="I85" i="19"/>
  <c r="I86" i="19"/>
  <c r="I87" i="19"/>
  <c r="I88" i="19"/>
  <c r="I91" i="19"/>
  <c r="I92" i="19"/>
  <c r="I93" i="19"/>
  <c r="I94" i="19"/>
  <c r="I96" i="19"/>
  <c r="I97" i="19"/>
  <c r="I134" i="19"/>
  <c r="I98" i="19"/>
  <c r="I99" i="19"/>
  <c r="I100" i="19"/>
  <c r="I101" i="19"/>
  <c r="I104" i="19"/>
  <c r="I105" i="19"/>
  <c r="I106" i="19"/>
  <c r="I107" i="19"/>
  <c r="I108" i="19"/>
  <c r="I109" i="19"/>
  <c r="I111" i="19"/>
  <c r="I112" i="19"/>
  <c r="I113" i="19"/>
  <c r="I114" i="19"/>
  <c r="I115" i="19"/>
  <c r="I116" i="19"/>
  <c r="I119" i="19"/>
  <c r="I120" i="19"/>
  <c r="I121" i="19"/>
  <c r="I122" i="19"/>
  <c r="I127" i="19"/>
  <c r="I129" i="19"/>
  <c r="I132" i="19"/>
  <c r="I133" i="19"/>
  <c r="I135" i="19"/>
  <c r="I136" i="19"/>
  <c r="I137" i="19"/>
  <c r="I138" i="19"/>
  <c r="I141" i="19"/>
  <c r="I142" i="19"/>
  <c r="I146" i="19"/>
  <c r="I147" i="19"/>
  <c r="I148" i="19"/>
  <c r="I308" i="19"/>
  <c r="I309" i="19"/>
  <c r="I310" i="19"/>
  <c r="I311" i="19"/>
  <c r="I312" i="19"/>
  <c r="I322" i="19"/>
  <c r="I323" i="19"/>
  <c r="I324" i="19"/>
  <c r="I325" i="19"/>
  <c r="I326" i="19"/>
  <c r="I329" i="19"/>
  <c r="I330" i="19"/>
  <c r="I331" i="19"/>
  <c r="I332" i="19"/>
  <c r="I334" i="19"/>
  <c r="I335" i="19"/>
  <c r="I336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3" i="19"/>
  <c r="AC109" i="19"/>
  <c r="AC116" i="19"/>
  <c r="AC119" i="19"/>
  <c r="AC115" i="19" l="1"/>
  <c r="AC4" i="19"/>
  <c r="AC33" i="19"/>
  <c r="AC34" i="19"/>
  <c r="AC10" i="19"/>
  <c r="AC111" i="19"/>
  <c r="H38" i="19"/>
  <c r="AC38" i="19" s="1"/>
  <c r="AC133" i="19"/>
  <c r="AC112" i="19"/>
  <c r="AC75" i="19"/>
  <c r="AC329" i="19"/>
  <c r="AC138" i="19"/>
  <c r="AC96" i="19"/>
  <c r="AC16" i="19"/>
  <c r="AC132" i="19"/>
  <c r="AC104" i="19"/>
  <c r="AC105" i="19"/>
  <c r="H106" i="19"/>
  <c r="AC106" i="19" s="1"/>
  <c r="AC108" i="19"/>
  <c r="AC12" i="19"/>
  <c r="AC99" i="19"/>
  <c r="H74" i="19"/>
  <c r="AC74" i="19" s="1"/>
  <c r="AC136" i="19"/>
  <c r="AC137" i="19"/>
  <c r="AC142" i="19"/>
  <c r="AC91" i="19"/>
  <c r="AC134" i="19"/>
  <c r="H71" i="19"/>
  <c r="AC71" i="19" s="1"/>
  <c r="AC107" i="19"/>
  <c r="AC92" i="19"/>
  <c r="AC39" i="19"/>
  <c r="H94" i="19"/>
  <c r="AC98" i="19"/>
  <c r="H326" i="19"/>
  <c r="AC326" i="19" s="1"/>
  <c r="H325" i="19"/>
  <c r="AC325" i="19" s="1"/>
  <c r="AC26" i="19"/>
  <c r="AC147" i="19"/>
  <c r="AC141" i="19"/>
  <c r="AC146" i="19"/>
  <c r="AC87" i="19"/>
  <c r="AC86" i="19"/>
  <c r="AC19" i="19"/>
  <c r="AC336" i="19"/>
  <c r="AC78" i="19"/>
  <c r="AC79" i="19"/>
  <c r="AC80" i="19"/>
  <c r="AC330" i="19"/>
  <c r="AC18" i="19"/>
  <c r="H76" i="19"/>
  <c r="AC76" i="19" s="1"/>
  <c r="AC120" i="19"/>
  <c r="AC121" i="19"/>
  <c r="AC122" i="19"/>
  <c r="AC127" i="19"/>
  <c r="AC129" i="19"/>
  <c r="AC2" i="19"/>
  <c r="AC3" i="19"/>
  <c r="H322" i="19"/>
  <c r="AC322" i="19" s="1"/>
  <c r="H65" i="19"/>
  <c r="AC31" i="19"/>
  <c r="AC334" i="19"/>
  <c r="H323" i="19"/>
  <c r="AC323" i="19" s="1"/>
  <c r="H97" i="19"/>
  <c r="AC97" i="19" s="1"/>
  <c r="AC148" i="19"/>
  <c r="H331" i="19"/>
  <c r="H77" i="19"/>
  <c r="AC77" i="19" s="1"/>
  <c r="H27" i="19"/>
  <c r="AC27" i="19" s="1"/>
  <c r="AC28" i="19"/>
  <c r="AC310" i="19"/>
  <c r="AC81" i="19"/>
  <c r="AC5" i="19"/>
  <c r="AC8" i="19"/>
  <c r="H83" i="19"/>
  <c r="AC83" i="19" s="1"/>
  <c r="AC311" i="19"/>
  <c r="AC312" i="19"/>
  <c r="H93" i="19"/>
  <c r="AC93" i="19" s="1"/>
  <c r="H332" i="19"/>
  <c r="AC332" i="19" s="1"/>
  <c r="AC100" i="19"/>
  <c r="AC101" i="19"/>
  <c r="H324" i="19"/>
  <c r="AC324" i="19" s="1"/>
  <c r="AC67" i="19"/>
  <c r="AC68" i="19"/>
  <c r="AC29" i="19"/>
  <c r="AC135" i="19"/>
  <c r="G94" i="19"/>
  <c r="G65" i="19"/>
  <c r="G331" i="19"/>
  <c r="AC88" i="19" l="1"/>
  <c r="AC309" i="19"/>
  <c r="AC308" i="19"/>
  <c r="AC65" i="19"/>
  <c r="AC331" i="19"/>
  <c r="AC94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<sst xmlns="http://schemas.openxmlformats.org/spreadsheetml/2006/main" count="9673" uniqueCount="2047">
  <si>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</si>
  <si>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</si>
  <si>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</si>
  <si>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</si>
  <si>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</si>
  <si>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</si>
  <si>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</si>
  <si>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</si>
  <si>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</si>
  <si>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</si>
  <si>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</si>
  <si>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</si>
  <si>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</si>
  <si>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</si>
  <si>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</si>
  <si>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</si>
  <si>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</si>
  <si>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</si>
  <si>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</si>
  <si>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</si>
  <si>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</si>
  <si>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</si>
  <si>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</si>
  <si>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</si>
  <si>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</si>
  <si>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</si>
  <si>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</si>
  <si>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</si>
  <si>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</si>
  <si>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</si>
  <si>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</si>
  <si>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</si>
  <si>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</si>
  <si>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</si>
  <si>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</si>
  <si>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</si>
  <si>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</si>
  <si>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</si>
  <si>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</si>
  <si>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</si>
  <si>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</si>
  <si>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</si>
  <si>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</si>
  <si>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</si>
  <si>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</si>
  <si>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</si>
  <si>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</si>
  <si>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</si>
  <si>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</si>
  <si>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</si>
  <si>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</si>
  <si>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</si>
  <si>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</si>
  <si>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</si>
  <si>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</si>
  <si>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</si>
  <si>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</si>
  <si>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</si>
  <si>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</si>
  <si>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</si>
  <si>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</si>
  <si>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</si>
  <si>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</si>
  <si>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</si>
  <si>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</si>
  <si>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</si>
  <si>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</si>
  <si>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</si>
  <si>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</si>
  <si>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</si>
  <si>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</si>
  <si>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</si>
  <si>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</si>
  <si>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</si>
  <si>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</si>
  <si>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</si>
  <si>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</si>
  <si>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</si>
  <si>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</si>
  <si>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</si>
  <si>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</si>
  <si>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</si>
  <si>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</si>
  <si>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</si>
  <si>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</si>
  <si>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</si>
  <si>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</si>
  <si>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</si>
  <si>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</si>
  <si>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</si>
  <si>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</si>
  <si>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</si>
  <si>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</si>
  <si>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</si>
  <si>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</si>
  <si>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</si>
  <si>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</si>
  <si>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</si>
  <si>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</si>
  <si>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</si>
  <si>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</si>
  <si>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</si>
  <si>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</si>
  <si>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</si>
  <si>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</si>
  <si>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</si>
  <si>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</si>
  <si>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</si>
  <si>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</si>
  <si>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</si>
  <si>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</si>
  <si>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</si>
  <si>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</si>
  <si>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</si>
  <si>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</si>
  <si>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</si>
  <si>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</si>
  <si>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</si>
  <si>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</si>
  <si>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</si>
  <si>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</si>
  <si>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</si>
  <si>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</si>
  <si>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</si>
  <si>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</si>
  <si>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</si>
  <si>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</si>
  <si>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</si>
  <si>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</si>
  <si>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</si>
  <si>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</si>
  <si>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</si>
  <si>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</si>
  <si>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</si>
  <si>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</si>
  <si>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</si>
  <si>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</si>
  <si>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</si>
  <si>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</si>
  <si>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</si>
  <si>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</si>
  <si>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</si>
  <si>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</si>
  <si>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</si>
  <si>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</si>
  <si>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</si>
  <si>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</si>
  <si>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</si>
  <si>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</si>
  <si>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</si>
  <si>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</si>
  <si>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</si>
  <si>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</si>
  <si>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</si>
  <si>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</si>
  <si>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</si>
  <si>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</si>
  <si>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</si>
  <si>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</si>
  <si>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</si>
  <si>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</si>
  <si>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</si>
  <si>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</si>
  <si>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</si>
  <si>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</si>
  <si>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</si>
  <si>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</si>
  <si>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</si>
  <si>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</si>
  <si>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</si>
  <si>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</si>
  <si>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</si>
  <si>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</si>
  <si>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</si>
  <si>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</si>
  <si>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</si>
  <si>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</si>
  <si>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</si>
  <si>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</si>
  <si>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</si>
  <si>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</si>
  <si>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</si>
  <si>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</si>
  <si>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</si>
  <si>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</si>
  <si>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</si>
  <si>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</si>
  <si>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</si>
  <si>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</si>
  <si>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</si>
  <si>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</si>
  <si>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</si>
  <si>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</si>
  <si>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</si>
  <si>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</si>
  <si>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</si>
  <si>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</si>
  <si>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</si>
  <si>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</si>
  <si>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</si>
  <si>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</si>
  <si>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</si>
  <si>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</si>
  <si>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</si>
  <si>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</si>
  <si>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</si>
  <si>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</si>
  <si>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</si>
  <si>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</si>
  <si>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</si>
  <si>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</si>
  <si>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</si>
  <si>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</si>
  <si>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</si>
  <si>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</si>
  <si>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</si>
  <si>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</si>
  <si>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</si>
  <si>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</si>
  <si>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</si>
  <si>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</si>
  <si>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</si>
  <si>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</si>
  <si>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</si>
  <si>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</si>
  <si>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</si>
  <si>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</si>
  <si>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</si>
  <si>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</si>
  <si>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</si>
  <si>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</si>
  <si>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</si>
  <si>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</si>
  <si>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</si>
  <si>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</si>
  <si>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</si>
  <si>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</si>
  <si>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</si>
  <si>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</si>
  <si>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</si>
  <si>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</si>
  <si>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</si>
  <si>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</si>
  <si>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</si>
  <si>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</si>
  <si>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</si>
  <si>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</si>
  <si>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</si>
  <si>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</si>
  <si>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</si>
  <si>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</si>
  <si>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</si>
  <si>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</si>
  <si>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</si>
  <si>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</si>
  <si>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</si>
  <si>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</si>
  <si>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</si>
  <si>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</si>
  <si>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</si>
  <si>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</si>
  <si>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</si>
  <si>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</si>
  <si>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</si>
  <si>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</si>
  <si>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</si>
  <si>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</si>
  <si>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</si>
  <si>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</si>
  <si>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</si>
  <si>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</si>
  <si>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</si>
  <si>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</si>
  <si>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</si>
  <si>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</si>
  <si>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</si>
  <si>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</si>
  <si>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</si>
  <si>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</si>
  <si>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</si>
  <si>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</si>
  <si>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</si>
  <si>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</si>
  <si>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</si>
  <si>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</si>
  <si>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</si>
  <si>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</si>
  <si>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</si>
  <si>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</si>
  <si>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</si>
  <si>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</si>
  <si>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</si>
  <si>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</si>
  <si>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</si>
  <si>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</si>
  <si>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</si>
  <si>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</si>
  <si>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</si>
  <si>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</si>
  <si>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</si>
  <si>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</si>
  <si>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</si>
  <si>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</si>
  <si>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</si>
  <si>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</si>
  <si>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</si>
  <si>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</si>
  <si>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</si>
  <si>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</si>
  <si>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</si>
  <si>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</si>
  <si>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</si>
  <si>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</si>
  <si>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</si>
  <si>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</si>
  <si>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</si>
  <si>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</si>
  <si>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</si>
  <si>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</si>
  <si>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</si>
  <si>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</si>
  <si>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</si>
  <si>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</si>
  <si>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</si>
  <si>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</si>
  <si>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</si>
  <si>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</si>
  <si>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</si>
  <si>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</si>
  <si>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</si>
  <si>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</si>
  <si>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</si>
  <si>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</si>
  <si>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</si>
  <si>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</si>
  <si>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</si>
  <si>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</si>
  <si>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</si>
  <si>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</si>
  <si>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</si>
  <si>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</si>
  <si>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</si>
  <si>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</si>
  <si>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</si>
  <si>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</si>
  <si>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</si>
  <si>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</si>
  <si>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</si>
  <si>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</si>
  <si>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</si>
  <si>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</si>
  <si>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</si>
  <si>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</si>
  <si>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</si>
  <si>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</si>
  <si>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</si>
  <si>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</si>
  <si>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</si>
  <si>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</si>
  <si>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</si>
  <si>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</si>
  <si>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</si>
  <si>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</si>
  <si>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</si>
  <si>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</si>
  <si>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</si>
  <si>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</si>
  <si>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</si>
  <si>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</si>
  <si>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</si>
  <si>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</si>
  <si>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</si>
  <si>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</si>
  <si>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</si>
  <si>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</si>
  <si>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</si>
  <si>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</si>
  <si>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</si>
  <si>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</si>
  <si>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</si>
  <si>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</si>
  <si>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</si>
  <si>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</si>
  <si>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</si>
  <si>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</si>
  <si>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</si>
  <si>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</si>
  <si>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</si>
  <si>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</si>
  <si>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</si>
  <si>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</si>
  <si>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</si>
  <si>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</si>
  <si>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</si>
  <si>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</si>
  <si>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</si>
  <si>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</si>
  <si>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</si>
  <si>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</si>
  <si>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</si>
  <si>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</si>
  <si>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</si>
  <si>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</si>
  <si>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</si>
  <si>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</si>
  <si>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</si>
  <si>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</si>
  <si>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</si>
  <si>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</si>
  <si>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</si>
  <si>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</si>
  <si>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</si>
  <si>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</si>
  <si>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</si>
  <si>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</si>
  <si>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</si>
  <si>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</si>
  <si>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</si>
  <si>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</si>
  <si>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</si>
  <si>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</si>
  <si>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</si>
  <si>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</si>
  <si>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</si>
  <si>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</si>
  <si>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</si>
  <si>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</si>
  <si>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</si>
  <si>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</si>
  <si>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</si>
  <si>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</si>
  <si>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</si>
  <si>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</si>
  <si>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</si>
  <si>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</si>
  <si>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</si>
  <si>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</si>
  <si>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</si>
  <si>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</si>
  <si>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</si>
  <si>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</si>
  <si>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</si>
  <si>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</si>
  <si>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</si>
  <si>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</si>
  <si>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</si>
  <si>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</si>
  <si>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</si>
  <si>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</si>
  <si>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</si>
  <si>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</si>
  <si>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</si>
  <si>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</si>
  <si>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</si>
  <si>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</si>
  <si>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</si>
  <si>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</si>
  <si>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</si>
  <si>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</si>
  <si>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</si>
  <si>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</si>
  <si>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</si>
  <si>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</si>
  <si>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</si>
  <si>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</si>
  <si>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</si>
  <si>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</si>
  <si>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</si>
  <si>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</si>
  <si>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</si>
  <si>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</si>
  <si>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</si>
  <si>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</si>
  <si>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</si>
  <si>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</si>
  <si>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</si>
  <si>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</si>
  <si>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</si>
  <si>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</si>
  <si>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</si>
  <si>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</si>
  <si>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</si>
  <si>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</si>
  <si>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</si>
  <si>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</si>
  <si>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</si>
  <si>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</si>
  <si>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</si>
  <si>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</si>
  <si>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</si>
  <si>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</si>
  <si>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</si>
  <si>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</si>
  <si>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</si>
  <si>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</si>
  <si>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</si>
  <si>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</si>
  <si>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</si>
  <si>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</si>
  <si>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</si>
  <si>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</si>
  <si>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</si>
  <si>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</si>
  <si>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</si>
  <si>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</si>
  <si>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</si>
  <si>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</si>
  <si>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</si>
  <si>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</si>
  <si>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</si>
  <si>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</si>
  <si>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</si>
  <si>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</si>
  <si>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</si>
  <si>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</si>
  <si>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</si>
  <si>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</si>
  <si>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</si>
  <si>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</si>
  <si>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</si>
  <si>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</si>
  <si>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</si>
  <si>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</si>
  <si>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</si>
  <si>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</si>
  <si>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</si>
  <si>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</si>
  <si>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</si>
  <si>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</si>
  <si>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</si>
  <si>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</si>
  <si>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</si>
  <si>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</si>
  <si>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</si>
  <si>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</si>
  <si>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</si>
  <si>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</si>
  <si>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</si>
  <si>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</si>
  <si>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</si>
  <si>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</si>
  <si>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</si>
  <si>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</si>
  <si>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</si>
  <si>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</si>
  <si>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</si>
  <si>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</si>
  <si>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</si>
  <si>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</si>
  <si>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</si>
  <si>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</si>
  <si>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</si>
  <si>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</si>
  <si>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</si>
  <si>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</si>
  <si>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</si>
  <si>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</si>
  <si>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</si>
  <si>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</si>
  <si>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</si>
  <si>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</si>
  <si>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</si>
  <si>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</si>
  <si>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</si>
  <si>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</si>
  <si>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</si>
  <si>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</si>
  <si>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</si>
  <si>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</si>
  <si>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</si>
  <si>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</si>
  <si>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</si>
  <si>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</si>
  <si>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</si>
  <si>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</si>
  <si>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</si>
  <si>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</si>
  <si>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</si>
  <si>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</si>
  <si>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</si>
  <si>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</si>
  <si>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</si>
  <si>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</si>
  <si>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</si>
  <si>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</si>
  <si>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</si>
  <si>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</si>
  <si>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</si>
  <si>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</si>
  <si>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</si>
  <si>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</si>
  <si>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</si>
  <si>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</si>
  <si>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</si>
  <si>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</si>
  <si>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</si>
  <si>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</si>
  <si>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</si>
  <si>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</si>
  <si>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</si>
  <si>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</si>
  <si>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</si>
  <si>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</si>
  <si>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</si>
  <si>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</si>
  <si>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</si>
  <si>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</si>
  <si>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</si>
  <si>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</si>
  <si>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</si>
  <si>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</si>
  <si>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</si>
  <si>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</si>
  <si>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</si>
  <si>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</si>
  <si>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</si>
  <si>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</si>
  <si>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</si>
  <si>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</si>
  <si>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</si>
  <si>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</si>
  <si>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</si>
  <si>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</si>
  <si>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</si>
  <si>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</si>
  <si>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</si>
  <si>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</si>
  <si>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</si>
  <si>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</si>
  <si>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</si>
  <si>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</si>
  <si>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</si>
  <si>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</si>
  <si>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</si>
  <si>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</si>
  <si>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</si>
  <si>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</si>
  <si>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</si>
  <si>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</si>
  <si>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</si>
  <si>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</si>
  <si>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</si>
  <si>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</si>
  <si>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</si>
  <si>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</si>
  <si>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</si>
  <si>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</si>
  <si>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</si>
  <si>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</si>
  <si>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</si>
  <si>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</si>
  <si>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</si>
  <si>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</si>
  <si>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</si>
  <si>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</si>
  <si>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</si>
  <si>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</si>
  <si>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</si>
  <si>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</si>
  <si>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</si>
  <si>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</si>
  <si>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</si>
  <si>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</si>
  <si>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</si>
  <si>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</si>
  <si>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</si>
  <si>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</si>
  <si>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</si>
  <si>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</si>
  <si>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</si>
  <si>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</si>
  <si>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</si>
  <si>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</si>
  <si>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</si>
  <si>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</si>
  <si>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</si>
  <si>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</si>
  <si>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</si>
  <si>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</si>
  <si>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</si>
  <si>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</si>
  <si>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</si>
  <si>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</si>
  <si>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</si>
  <si>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</si>
  <si>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</si>
  <si>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</si>
  <si>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</si>
  <si>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</si>
  <si>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</si>
  <si>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</si>
  <si>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</si>
  <si>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</si>
  <si>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</si>
  <si>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</si>
  <si>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</si>
  <si>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</si>
  <si>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</si>
  <si>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</si>
  <si>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</si>
  <si>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</si>
  <si>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</si>
  <si>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</si>
  <si>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</si>
  <si>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</si>
  <si>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</si>
  <si>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</si>
  <si>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</si>
  <si>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</si>
  <si>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</si>
  <si>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</si>
  <si>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</si>
  <si>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</si>
  <si>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</si>
  <si>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</si>
  <si>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</si>
  <si>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</si>
  <si>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</si>
  <si>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</si>
  <si>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</si>
  <si>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</si>
  <si>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</si>
  <si>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</si>
  <si>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</si>
  <si>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</si>
  <si>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</si>
  <si>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</si>
  <si>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</si>
  <si>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</si>
  <si>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</si>
  <si>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</si>
  <si>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</si>
  <si>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</si>
  <si>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</si>
  <si>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</si>
  <si>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</si>
  <si>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</si>
  <si>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</si>
  <si>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</si>
  <si>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</si>
  <si>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</si>
  <si>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</si>
  <si>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</si>
  <si>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</si>
  <si>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</si>
  <si>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</si>
  <si>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</si>
  <si>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</si>
  <si>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</si>
  <si>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</si>
  <si>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</si>
  <si>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</si>
  <si>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</si>
  <si>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</si>
  <si>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</si>
  <si>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</si>
  <si>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</si>
  <si>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</si>
  <si>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</si>
  <si>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</si>
  <si>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</si>
  <si>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</si>
  <si>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</si>
  <si>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</si>
  <si>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</si>
  <si>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</si>
  <si>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</si>
  <si>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</si>
  <si>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</si>
  <si>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</si>
  <si>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</si>
  <si>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</si>
  <si>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</si>
  <si>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</si>
  <si>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</si>
  <si>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</si>
  <si>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</si>
  <si>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</si>
  <si>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</si>
  <si>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</si>
  <si>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</si>
  <si>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</si>
  <si>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</si>
  <si>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</si>
  <si>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</si>
  <si>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</si>
  <si>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</si>
  <si>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</si>
  <si>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</si>
  <si>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</si>
  <si>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</si>
  <si>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</si>
  <si>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</si>
  <si>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</si>
  <si>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</si>
  <si>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</si>
  <si>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</si>
  <si>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</si>
  <si>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</si>
  <si>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</si>
  <si>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</si>
  <si>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</si>
  <si>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</si>
  <si>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</si>
  <si>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</si>
  <si>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</si>
  <si>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</si>
  <si>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</si>
  <si>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</si>
  <si>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</si>
  <si>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</si>
  <si>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</si>
  <si>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</si>
  <si>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</si>
  <si>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</si>
  <si>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</si>
  <si>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</si>
  <si>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</si>
  <si>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</si>
  <si>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</si>
  <si>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</si>
  <si>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</si>
  <si>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</si>
  <si>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</si>
  <si>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</si>
  <si>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</si>
  <si>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</si>
  <si>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</si>
  <si>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</si>
  <si>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</si>
  <si>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</si>
  <si>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</si>
  <si>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</si>
  <si>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</si>
  <si>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</si>
  <si>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</si>
  <si>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</si>
  <si>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</si>
  <si>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</si>
  <si>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</si>
  <si>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</si>
  <si>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</si>
  <si>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</si>
  <si>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</si>
  <si>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</si>
  <si>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</si>
  <si>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</si>
  <si>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</si>
  <si>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</si>
  <si>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</si>
  <si>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</si>
  <si>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</si>
  <si>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</si>
  <si>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</si>
  <si>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</si>
  <si>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</si>
  <si>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</si>
  <si>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</si>
  <si>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</si>
  <si>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</si>
  <si>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</si>
  <si>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</si>
  <si>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</si>
  <si>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</si>
  <si>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</si>
  <si>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</si>
  <si>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</si>
  <si>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</si>
  <si>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</si>
  <si>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</si>
  <si>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</si>
  <si>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</si>
  <si>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</si>
  <si>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</si>
  <si>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</si>
  <si>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</si>
  <si>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</si>
  <si>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</si>
  <si>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</si>
  <si>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</si>
  <si>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</si>
  <si>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</si>
  <si>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</si>
  <si>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</si>
  <si>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</si>
  <si>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</si>
  <si>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</si>
  <si>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</si>
  <si>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</si>
  <si>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</si>
  <si>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</si>
  <si>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</si>
  <si>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</si>
  <si>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</si>
  <si>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</si>
  <si>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</si>
  <si>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</si>
  <si>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</si>
  <si>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</si>
  <si>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</si>
  <si>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</si>
  <si>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</si>
  <si>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</si>
  <si>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</si>
  <si>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</si>
  <si>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</si>
  <si>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</si>
  <si>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</si>
  <si>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</si>
  <si>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</si>
  <si>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</si>
  <si>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</si>
  <si>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</si>
  <si>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</si>
  <si>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</si>
  <si>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</si>
  <si>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</si>
  <si>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</si>
  <si>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</si>
  <si>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</si>
  <si>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</si>
  <si>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</si>
  <si>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</si>
  <si>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</si>
  <si>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</si>
  <si>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</si>
  <si>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</si>
  <si>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</si>
  <si>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</si>
  <si>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</si>
  <si>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</si>
  <si>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</si>
  <si>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</si>
  <si>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</si>
  <si>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</si>
  <si>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</si>
  <si>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</si>
  <si>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</si>
  <si>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</si>
  <si>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</si>
  <si>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</si>
  <si>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</si>
  <si>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</si>
  <si>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</si>
  <si>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</si>
  <si>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</si>
  <si>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</si>
  <si>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</si>
  <si>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</si>
  <si>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</si>
  <si>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</si>
  <si>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</si>
  <si>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</si>
  <si>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</si>
  <si>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</si>
  <si>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</si>
  <si>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</si>
  <si>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</si>
  <si>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</si>
  <si>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</si>
  <si>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</si>
  <si>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</si>
  <si>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</si>
  <si>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</si>
  <si>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</si>
  <si>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</si>
  <si>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</si>
  <si>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</si>
  <si>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</si>
  <si>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</si>
  <si>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</si>
  <si>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</si>
  <si>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</si>
  <si>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</si>
  <si>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</si>
  <si>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</si>
  <si>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</si>
  <si>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</si>
  <si>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</si>
  <si>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</si>
  <si>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</si>
  <si>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</si>
  <si>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</si>
  <si>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</si>
  <si>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</si>
  <si>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</si>
  <si>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</si>
  <si>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</si>
  <si>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</si>
  <si>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</si>
  <si>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</si>
  <si>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</si>
  <si>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</si>
  <si>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</si>
  <si>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</si>
  <si>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</si>
  <si>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</si>
  <si>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</si>
  <si>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</si>
  <si>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</si>
  <si>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</si>
  <si>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</si>
  <si>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</si>
  <si>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</si>
  <si>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RHM1.0KKCT-ND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</si>
  <si>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</si>
  <si>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</si>
  <si>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</si>
  <si>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</si>
  <si>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</si>
  <si>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</si>
  <si>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</si>
  <si>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</si>
  <si>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</si>
  <si>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</si>
  <si>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</si>
  <si>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</si>
  <si>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</si>
  <si>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</si>
  <si>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</si>
  <si>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</si>
  <si>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</si>
  <si>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</si>
  <si>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</si>
  <si>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</si>
  <si>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</si>
  <si>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</si>
  <si>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</si>
  <si>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</si>
  <si>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</si>
  <si>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</si>
  <si>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</si>
  <si>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</si>
  <si>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</si>
  <si>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</si>
  <si>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</si>
  <si>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</si>
  <si>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</si>
  <si>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</si>
  <si>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</si>
  <si>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</si>
  <si>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</si>
  <si>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</si>
  <si>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</si>
  <si>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</si>
  <si>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</si>
  <si>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</si>
  <si>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</si>
  <si>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</si>
  <si>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</si>
  <si>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</si>
  <si>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</si>
  <si>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</si>
  <si>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</si>
  <si>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</si>
  <si>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</si>
  <si>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</si>
  <si>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</si>
  <si>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</si>
  <si>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</si>
  <si>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</si>
  <si>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</si>
  <si>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</si>
  <si>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</si>
  <si>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</si>
  <si>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</si>
  <si>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</si>
  <si>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</si>
  <si>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</si>
  <si>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</si>
  <si>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</si>
  <si>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</si>
  <si>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</si>
  <si>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</si>
  <si>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</si>
  <si>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</si>
  <si>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</si>
  <si>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</si>
  <si>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</si>
  <si>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</si>
  <si>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</si>
  <si>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</si>
  <si>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</si>
  <si>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</si>
  <si>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</si>
  <si>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</si>
  <si>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</si>
  <si>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</si>
  <si>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</si>
  <si>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</si>
  <si>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</si>
  <si>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</si>
  <si>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</si>
  <si>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</si>
  <si>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</si>
  <si>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</si>
  <si>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</si>
  <si>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</si>
  <si>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</si>
  <si>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</si>
  <si>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</si>
  <si>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</si>
  <si>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</si>
  <si>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</si>
  <si>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</si>
  <si>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</si>
  <si>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</si>
  <si>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</si>
  <si>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</si>
  <si>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</si>
  <si>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</si>
  <si>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</si>
  <si>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</si>
  <si>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</si>
  <si>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</si>
  <si>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</si>
  <si>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</si>
  <si>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</si>
  <si>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</si>
  <si>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</si>
  <si>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</si>
  <si>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</si>
  <si>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</si>
  <si>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</si>
  <si>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</si>
  <si>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</si>
  <si>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</si>
  <si>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</si>
  <si>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</si>
  <si>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</si>
  <si>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</si>
  <si>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</si>
  <si>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</si>
  <si>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</si>
  <si>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</si>
  <si>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</si>
  <si>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</si>
  <si>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</si>
  <si>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</si>
  <si>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</si>
  <si>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</si>
  <si>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</si>
  <si>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</si>
  <si>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</si>
  <si>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</si>
  <si>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</si>
  <si>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</si>
  <si>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</si>
  <si>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</si>
  <si>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</si>
  <si>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</si>
  <si>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</si>
  <si>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</si>
  <si>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</si>
  <si>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</si>
  <si>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</si>
  <si>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</si>
  <si>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</si>
  <si>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</si>
  <si>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</si>
  <si>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</si>
  <si>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</si>
  <si>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</si>
  <si>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</si>
  <si>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</si>
  <si>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</si>
  <si>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</si>
  <si>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</si>
  <si>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</si>
  <si>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</si>
  <si>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</si>
  <si>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</si>
  <si>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</si>
  <si>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</si>
  <si>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</si>
  <si>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</si>
  <si>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</si>
  <si>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</si>
  <si>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</si>
  <si>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</si>
  <si>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</si>
  <si>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</si>
  <si>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</si>
  <si>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</si>
  <si>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</si>
  <si>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</si>
  <si>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</si>
  <si>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</si>
  <si>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</si>
  <si>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</si>
  <si>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</si>
  <si>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</si>
  <si>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</si>
  <si>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</si>
  <si>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</si>
  <si>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</si>
  <si>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</si>
  <si>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</si>
  <si>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</si>
  <si>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</si>
  <si>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</si>
  <si>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</si>
  <si>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</si>
  <si>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</si>
  <si>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</si>
  <si>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</si>
  <si>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</si>
  <si>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</si>
  <si>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</si>
  <si>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</si>
  <si>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</si>
  <si>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</si>
  <si>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</si>
  <si>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</si>
  <si>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</si>
  <si>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</si>
  <si>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</si>
  <si>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</si>
  <si>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</si>
  <si>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</si>
  <si>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</si>
  <si>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</si>
  <si>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</si>
  <si>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</si>
  <si>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</si>
  <si>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</si>
  <si>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</si>
  <si>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</si>
  <si>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</si>
  <si>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</si>
  <si>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</si>
  <si>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</si>
  <si>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</si>
  <si>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</si>
  <si>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</si>
  <si>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</si>
  <si>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</si>
  <si>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</si>
  <si>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</si>
  <si>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</si>
  <si>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</si>
  <si>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</si>
  <si>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</si>
  <si>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</si>
  <si>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</si>
  <si>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</si>
  <si>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</si>
  <si>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</si>
  <si>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</si>
  <si>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</si>
  <si>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</si>
  <si>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</si>
  <si>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</si>
  <si>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</si>
  <si>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</si>
  <si>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</si>
  <si>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</si>
  <si>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</si>
  <si>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</si>
  <si>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</si>
  <si>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</si>
  <si>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</si>
  <si>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</si>
  <si>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</si>
  <si>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</si>
  <si>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</si>
  <si>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</si>
  <si>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</si>
  <si>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</si>
  <si>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</si>
  <si>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</si>
  <si>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</si>
  <si>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</si>
  <si>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</si>
  <si>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</si>
  <si>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</si>
  <si>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</si>
  <si>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</si>
  <si>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</si>
  <si>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</si>
  <si>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</si>
  <si>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</si>
  <si>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</si>
  <si>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</si>
  <si>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</si>
  <si>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</si>
  <si>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</si>
  <si>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</si>
  <si>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</si>
  <si>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</si>
  <si>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</si>
  <si>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</si>
  <si>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</si>
  <si>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</si>
  <si>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</si>
  <si>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</si>
  <si>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</si>
  <si>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</si>
  <si>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</si>
  <si>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</si>
  <si>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</si>
  <si>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</si>
  <si>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</si>
  <si>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</si>
  <si>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</si>
  <si>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</si>
  <si>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</si>
  <si>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</si>
  <si>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</si>
  <si>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</si>
  <si>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</si>
  <si>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</si>
  <si>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</si>
  <si>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</si>
  <si>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</si>
  <si>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</si>
  <si>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</si>
  <si>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</si>
  <si>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</si>
  <si>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</si>
  <si>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</si>
  <si>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</si>
  <si>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</si>
  <si>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</si>
  <si>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</si>
  <si>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</si>
  <si>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</si>
  <si>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</si>
  <si>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</si>
  <si>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</si>
  <si>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</si>
  <si>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</si>
  <si>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</si>
  <si>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</si>
  <si>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</si>
  <si>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</si>
  <si>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</si>
  <si>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</si>
  <si>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</si>
  <si>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</si>
  <si>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</si>
  <si>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</si>
  <si>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</si>
  <si>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</si>
  <si>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</si>
  <si>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</si>
  <si>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</si>
  <si>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</si>
  <si>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</si>
  <si>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</si>
  <si>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</si>
  <si>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</si>
  <si>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</si>
  <si>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</si>
  <si>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</si>
  <si>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</si>
  <si>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</si>
  <si>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</si>
  <si>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</si>
  <si>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</si>
  <si>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</si>
  <si>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</si>
  <si>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</si>
  <si>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</si>
  <si>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</si>
  <si>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</si>
  <si>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</si>
  <si>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</si>
  <si>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</si>
  <si>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</si>
  <si>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</si>
  <si>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</si>
  <si>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</si>
  <si>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</si>
  <si>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</si>
  <si>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</si>
  <si>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</si>
  <si>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</si>
  <si>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</si>
  <si>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</si>
  <si>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</si>
  <si>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</si>
  <si>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</si>
  <si>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</si>
  <si>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</si>
  <si>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</si>
  <si>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</si>
  <si>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</si>
  <si>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</si>
  <si>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</si>
  <si>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</si>
  <si>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</si>
  <si>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</si>
  <si>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</si>
  <si>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</si>
  <si>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</si>
  <si>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</si>
  <si>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</si>
  <si>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</si>
  <si>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</si>
  <si>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</si>
  <si>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</si>
  <si>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</si>
  <si>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</si>
  <si>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</si>
  <si>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</si>
  <si>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</si>
  <si>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</si>
  <si>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</si>
  <si>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</si>
  <si>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</si>
  <si>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</si>
  <si>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</si>
  <si>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</si>
  <si>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</si>
  <si>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</si>
  <si>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</si>
  <si>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</si>
  <si>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</si>
  <si>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</si>
  <si>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</si>
  <si>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</si>
  <si>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</si>
  <si>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</si>
  <si>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</si>
  <si>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</si>
  <si>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</si>
  <si>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</si>
  <si>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</si>
  <si>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</si>
  <si>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</si>
  <si>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</si>
  <si>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</si>
  <si>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</si>
  <si>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</si>
  <si>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</si>
  <si>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</si>
  <si>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</si>
  <si>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</si>
  <si>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</si>
  <si>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</si>
  <si>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</si>
  <si>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</si>
  <si>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</si>
  <si>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</si>
  <si>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RHM3.3KKCT-ND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</si>
  <si>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</si>
  <si>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</si>
  <si>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</si>
  <si>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</si>
  <si>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</si>
  <si>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</si>
  <si>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</si>
  <si>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</si>
  <si>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</si>
  <si>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</si>
  <si>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</si>
  <si>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</si>
  <si>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150 OHM 5% 0.4W 0805</t>
  </si>
  <si>
    <t>RHM270KCT-ND</t>
  </si>
  <si>
    <t>RHM150KCT-ND</t>
  </si>
  <si>
    <t>RES SMD 1.5K OHM 5% 0.4W 0805</t>
  </si>
  <si>
    <t>ESR10EZPJ152</t>
  </si>
  <si>
    <t>RHM1.5KKCT-ND</t>
  </si>
  <si>
    <t>Digi-Key Part Number</t>
  </si>
  <si>
    <t>Unit Price (CHF)</t>
  </si>
  <si>
    <t>RHM1.8KKCT-ND</t>
  </si>
  <si>
    <t>ESR10EZPJ182</t>
  </si>
  <si>
    <t>RES SMD 1.8K OHM 5% 0.4W 0805</t>
  </si>
  <si>
    <t>0.10000</t>
  </si>
  <si>
    <t>RHM220KCT-ND</t>
  </si>
  <si>
    <t>ESR10EZPJ221</t>
  </si>
  <si>
    <t>RES SMD 220 OHM 5% 0.4W 0805</t>
  </si>
  <si>
    <t>RHM10KKCT-ND</t>
  </si>
  <si>
    <t>ESR10EZPJ103</t>
  </si>
  <si>
    <t>RES SMD 10K OHM 5% 0.4W 0805</t>
  </si>
  <si>
    <t>RHM2.2KKCT-ND</t>
  </si>
  <si>
    <t>ESR10EZPJ222</t>
  </si>
  <si>
    <t>RES SMD 2.2K OHM 5% 0.4W 0805</t>
  </si>
  <si>
    <t>RHM10KCT-ND</t>
  </si>
  <si>
    <t>ESR10EZPJ100</t>
  </si>
  <si>
    <t>RES SMD 10 OHM 5% 0.4W 0805</t>
  </si>
  <si>
    <t>RHM51KCT-ND</t>
  </si>
  <si>
    <t>ESR10EZPJ510</t>
  </si>
  <si>
    <t>RES SMD 51 OHM 5% 0.4W 0805</t>
  </si>
  <si>
    <t>RHM4.7KCT-ND</t>
  </si>
  <si>
    <t>ESR10EZPJ4R7</t>
  </si>
  <si>
    <t>RES SMD 4.7 OHM 5% 0.4W 0805</t>
  </si>
  <si>
    <t>RHM100KCT-ND</t>
  </si>
  <si>
    <t>ESR10EZPJ101</t>
  </si>
  <si>
    <t>RES SMD 100 OHM 5% 0.4W 0805</t>
  </si>
  <si>
    <t>RHM12KCT-ND</t>
  </si>
  <si>
    <t>ESR10EZPJ120</t>
  </si>
  <si>
    <t>RES SMD 12 OHM 5% 0.4W 0805</t>
  </si>
  <si>
    <t>RHM2.2KCT-ND</t>
  </si>
  <si>
    <t>ESR10EZPJ2R2</t>
  </si>
  <si>
    <t>RES SMD 2.2 OHM 5% 0.4W 0805</t>
  </si>
  <si>
    <t>RHM120KCT-ND</t>
  </si>
  <si>
    <t>ESR10EZPJ121</t>
  </si>
  <si>
    <t>RES SMD 120 OHM 5% 0.4W 0805</t>
  </si>
  <si>
    <t>RHM510KCT-ND</t>
  </si>
  <si>
    <t>ESR10EZPJ511</t>
  </si>
  <si>
    <t>RES SMD 510 OHM 5% 0.4W 0805</t>
  </si>
  <si>
    <t>RHM5.1KCT-ND</t>
  </si>
  <si>
    <t>ESR10EZPJ5R1</t>
  </si>
  <si>
    <t>RES SMD 5.1 OHM 5% 0.4W 0805</t>
  </si>
  <si>
    <t>RHM1.5KCT-ND</t>
  </si>
  <si>
    <t>ESR10EZPJ1R5</t>
  </si>
  <si>
    <t>RES SMD 1.5 OHM 5% 0.4W 0805</t>
  </si>
  <si>
    <t>RHM27KCT-ND</t>
  </si>
  <si>
    <t>ESR10EZPJ270</t>
  </si>
  <si>
    <t>RES SMD 27 OHM 5% 0.4W 0805</t>
  </si>
  <si>
    <t>RHM33KCT-ND</t>
  </si>
  <si>
    <t>ESR10EZPJ330</t>
  </si>
  <si>
    <t>RES SMD 33 OHM 5% 0.4W 0805</t>
  </si>
  <si>
    <t>RHM430KCT-ND</t>
  </si>
  <si>
    <t>ESR10EZPJ431</t>
  </si>
  <si>
    <t>RES SMD 430 OHM 5% 0.4W 0805</t>
  </si>
  <si>
    <t>RHM2.4KKCT-ND</t>
  </si>
  <si>
    <t>ESR10EZPJ242</t>
  </si>
  <si>
    <t>RES SMD 2.4K OHM 5% 0.4W 0805</t>
  </si>
  <si>
    <t>RHM4.7KKCT-ND</t>
  </si>
  <si>
    <t>ESR10EZPJ472</t>
  </si>
  <si>
    <t>RES SMD 4.7K OHM 5% 0.4W 0805</t>
  </si>
  <si>
    <t>RHM1.2KKCT-ND</t>
  </si>
  <si>
    <t>ESR10EZPJ122</t>
  </si>
  <si>
    <t>RES SMD 1.2K OHM 5% 0.4W 0805</t>
  </si>
  <si>
    <t>RHM1KCT-ND</t>
  </si>
  <si>
    <t>ESR10EZPJ1R0</t>
  </si>
  <si>
    <t>RES SMD 1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</si>
  <si>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</si>
  <si>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</si>
  <si>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</si>
  <si>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</si>
  <si>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</si>
  <si>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</si>
  <si>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</si>
  <si>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</si>
  <si>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</si>
  <si>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</si>
  <si>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</si>
  <si>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</si>
  <si>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</si>
  <si>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</si>
  <si>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</si>
  <si>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</si>
  <si>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</si>
  <si>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</si>
  <si>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</si>
  <si>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</si>
  <si>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</si>
  <si>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</si>
  <si>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</si>
  <si>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</si>
  <si>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</si>
  <si>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</si>
  <si>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</si>
  <si>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</si>
  <si>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</si>
  <si>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</si>
  <si>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0.4W, 2/5W</t>
  </si>
  <si>
    <t>Thick Film</t>
  </si>
  <si>
    <t>Automotive AEC-Q200, Pulse Withstanding</t>
  </si>
  <si>
    <t>±200ppm/°C</t>
  </si>
  <si>
    <t>-55°C ~ 155°C</t>
  </si>
  <si>
    <t>0805 (2012 Metric)</t>
  </si>
  <si>
    <t>0.079" L x 0.049" W (2.00mm x 1.25mm)</t>
  </si>
  <si>
    <t>0.026" (0.65mm)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</si>
  <si>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</si>
  <si>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</si>
  <si>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</si>
  <si>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</si>
  <si>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</si>
  <si>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</si>
  <si>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</si>
  <si>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</si>
  <si>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</si>
  <si>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</si>
  <si>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</si>
  <si>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</si>
  <si>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</si>
  <si>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</si>
  <si>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</si>
  <si>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</si>
  <si>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</si>
  <si>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</si>
  <si>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</si>
  <si>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</si>
  <si>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</si>
  <si>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</si>
  <si>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</si>
  <si>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</si>
  <si>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RHM200KCT-ND</t>
  </si>
  <si>
    <t>ESR10EZPJ201</t>
  </si>
  <si>
    <t>RES SMD 200 OHM 5% 0.4W 0805</t>
  </si>
  <si>
    <t>200 Ohms</t>
  </si>
  <si>
    <t>RHM2.7KKCT-ND</t>
  </si>
  <si>
    <t>ESR10EZPJ272</t>
  </si>
  <si>
    <t>RES SMD 2.7K OHM 5% 0.4W 0805</t>
  </si>
  <si>
    <t>2,7 kOhms</t>
  </si>
  <si>
    <t>RHM47KKCT-ND</t>
  </si>
  <si>
    <t>ESR10EZPJ473</t>
  </si>
  <si>
    <t>RES SMD 47K OHM 5% 0.4W 0805</t>
  </si>
  <si>
    <t>47 kOhms</t>
  </si>
  <si>
    <t>RHM5.1KKCT-ND</t>
  </si>
  <si>
    <t>ESR10EZPJ512</t>
  </si>
  <si>
    <t>RES SMD 5.1K OHM 5% 0.4W 0805</t>
  </si>
  <si>
    <t>5,1 kOhms</t>
  </si>
  <si>
    <t>RHM24KKCT-ND</t>
  </si>
  <si>
    <t>ESR10EZPJ243</t>
  </si>
  <si>
    <t>RES SMD 24K OHM 5% 0.4W 0805</t>
  </si>
  <si>
    <t>24 kOhms</t>
  </si>
  <si>
    <t>RHM1.8KCT-ND</t>
  </si>
  <si>
    <t>ESR10EZPJ1R8</t>
  </si>
  <si>
    <t>RES SMD 1.8 OHM 5% 0.4W 0805</t>
  </si>
  <si>
    <t>1,8 Ohms</t>
  </si>
  <si>
    <t>RHM12KKCT-ND</t>
  </si>
  <si>
    <t>ESR10EZPJ123</t>
  </si>
  <si>
    <t>RES SMD 12K OHM 5% 0.4W 0805</t>
  </si>
  <si>
    <t>12 kOhms</t>
  </si>
  <si>
    <t>27 kOhms</t>
  </si>
  <si>
    <t>RHM7.5KKCT-ND</t>
  </si>
  <si>
    <t>ESR10EZPJ752</t>
  </si>
  <si>
    <t>RES SMD 7.5K OHM 5% 0.4W 0805</t>
  </si>
  <si>
    <t>7,5 kOhms</t>
  </si>
  <si>
    <t>RHM360KCT-ND</t>
  </si>
  <si>
    <t>ESR10EZPJ361</t>
  </si>
  <si>
    <t>RES SMD 360 OHM 5% 0.4W 0805</t>
  </si>
  <si>
    <t>360 Ohms</t>
  </si>
  <si>
    <t>RHM2.7KCT-ND</t>
  </si>
  <si>
    <t>ESR10EZPJ2R7</t>
  </si>
  <si>
    <t>RES SMD 2.7 OHM 5% 0.4W 0805</t>
  </si>
  <si>
    <t>2,7 Ohms</t>
  </si>
  <si>
    <t>RHM680KCT-ND</t>
  </si>
  <si>
    <t>ESR10EZPJ681</t>
  </si>
  <si>
    <t>RES SMD 680 OHM 5% 0.4W 0805</t>
  </si>
  <si>
    <t>680 Ohms</t>
  </si>
  <si>
    <t>RHM20KKCT-ND</t>
  </si>
  <si>
    <t>ESR10EZPJ203</t>
  </si>
  <si>
    <t>RES SMD 20K OHM 5% 0.4W 0805</t>
  </si>
  <si>
    <t>20 kOhms</t>
  </si>
  <si>
    <t>RHM82KCT-ND</t>
  </si>
  <si>
    <t>ESR10EZPJ820</t>
  </si>
  <si>
    <t>RES SMD 82 OHM 5% 0.4W 0805</t>
  </si>
  <si>
    <t>82 Ohms</t>
  </si>
  <si>
    <t>RHM3.6KKCT-ND</t>
  </si>
  <si>
    <t>ESR10EZPJ362</t>
  </si>
  <si>
    <t>RES SMD 3.6K OHM 5% 0.4W 0805</t>
  </si>
  <si>
    <t>3,6 kOhms</t>
  </si>
  <si>
    <t>RHM20KCT-ND</t>
  </si>
  <si>
    <t>ESR10EZPJ200</t>
  </si>
  <si>
    <t>RES SMD 20 OHM 5% 0.4W 0805</t>
  </si>
  <si>
    <t>20 Ohms</t>
  </si>
  <si>
    <t>RHM13KKCT-ND</t>
  </si>
  <si>
    <t>ESR10EZPJ133</t>
  </si>
  <si>
    <t>RES SMD 13K OHM 5% 0.4W 0805</t>
  </si>
  <si>
    <t>13 kOhms</t>
  </si>
  <si>
    <t>RHM750KCT-ND</t>
  </si>
  <si>
    <t>ESR10EZPJ751</t>
  </si>
  <si>
    <t>RES SMD 750 OHM 5% 0.4W 0805</t>
  </si>
  <si>
    <t>750 Ohms</t>
  </si>
  <si>
    <t>RHM470KCT-ND</t>
  </si>
  <si>
    <t>ESR10EZPJ471</t>
  </si>
  <si>
    <t>RES SMD 470 OHM 5% 0.4W 0805</t>
  </si>
  <si>
    <t>470 Ohms</t>
  </si>
  <si>
    <t>RHM2.0KKCT-ND</t>
  </si>
  <si>
    <t>ESR10EZPJ202</t>
  </si>
  <si>
    <t>RES SMD 2K OHM 5% 0.4W 0805</t>
  </si>
  <si>
    <t>2 kOhms</t>
  </si>
  <si>
    <t>RHM56KCT-ND</t>
  </si>
  <si>
    <t>ESR10EZPJ560</t>
  </si>
  <si>
    <t>RES SMD 56 OHM 5% 0.4W 0805</t>
  </si>
  <si>
    <t>56 Ohms</t>
  </si>
  <si>
    <t>RHM560KCT-ND</t>
  </si>
  <si>
    <t>ESR10EZPJ561</t>
  </si>
  <si>
    <t>RES SMD 560 OHM 5% 0.4W 0805</t>
  </si>
  <si>
    <t>560 Ohms</t>
  </si>
  <si>
    <t>RHM24KCT-ND</t>
  </si>
  <si>
    <t>ESR10EZPJ240</t>
  </si>
  <si>
    <t>RES SMD 24 OHM 5% 0.4W 0805</t>
  </si>
  <si>
    <t>24 Ohms</t>
  </si>
  <si>
    <t>100 kOhms</t>
  </si>
  <si>
    <t>1,5 kOhms</t>
  </si>
  <si>
    <t>RHM240KCT-ND</t>
  </si>
  <si>
    <t>ESR10EZPJ241</t>
  </si>
  <si>
    <t>RES SMD 240 OHM 5% 0.4W 0805</t>
  </si>
  <si>
    <t>240 Ohms</t>
  </si>
  <si>
    <t>RHM3.0KKCT-ND</t>
  </si>
  <si>
    <t>ESR10EZPJ302</t>
  </si>
  <si>
    <t>RES SMD 3K OHM 5% 0.4W 0805</t>
  </si>
  <si>
    <t>3 kOhms</t>
  </si>
  <si>
    <t>3,9 kOhms</t>
  </si>
  <si>
    <t>RHM3.3KCT-ND</t>
  </si>
  <si>
    <t>ESR10EZPJ3R3</t>
  </si>
  <si>
    <t>RES SMD 3.3 OHM 5% 0.4W 0805</t>
  </si>
  <si>
    <t>3,3 Ohms</t>
  </si>
  <si>
    <t>RHM47KCT-ND</t>
  </si>
  <si>
    <t>ESR10EZPJ470</t>
  </si>
  <si>
    <t>RES SMD 47 OHM 5% 0.4W 0805</t>
  </si>
  <si>
    <t>47 Ohms</t>
  </si>
  <si>
    <t>RHM68KCT-ND</t>
  </si>
  <si>
    <t>ESR10EZPJ680</t>
  </si>
  <si>
    <t>RES SMD 68 OHM 5% 0.4W 0805</t>
  </si>
  <si>
    <t>68 Ohms</t>
  </si>
  <si>
    <t>RHM1.0MKCT-ND</t>
  </si>
  <si>
    <t>ESR10EZPJ105</t>
  </si>
  <si>
    <t>RES SMD 1M OHM 5% 0.4W 0805</t>
  </si>
  <si>
    <t>1 MOhms</t>
  </si>
  <si>
    <t>RHM10MKCT-ND</t>
  </si>
  <si>
    <t>ESR10EZPJ106</t>
  </si>
  <si>
    <t>RES SMD 10M OHM 5% 0.4W 0805</t>
  </si>
  <si>
    <t>10 MOhms</t>
  </si>
  <si>
    <t>RHM11KCT-ND</t>
  </si>
  <si>
    <t>ESR10EZPJ110</t>
  </si>
  <si>
    <t>RES SMD 11 OHM 5% 0.4W 0805</t>
  </si>
  <si>
    <t>11 Ohms</t>
  </si>
  <si>
    <t>RHM130KCT-ND</t>
  </si>
  <si>
    <t>ESR10EZPJ131</t>
  </si>
  <si>
    <t>RES SMD 130 OHM 5% 0.4W 0805</t>
  </si>
  <si>
    <t>130 Ohms</t>
  </si>
  <si>
    <t>RHM1.5MKCT-ND</t>
  </si>
  <si>
    <t>ESR10EZPJ155</t>
  </si>
  <si>
    <t>RES SMD 1.5M OHM 5% 0.4W 0805</t>
  </si>
  <si>
    <t>1,5 MOhms</t>
  </si>
  <si>
    <t>RHM16KCT-ND</t>
  </si>
  <si>
    <t>ESR10EZPJ160</t>
  </si>
  <si>
    <t>RES SMD 16 OHM 5% 0.4W 0805</t>
  </si>
  <si>
    <t>16 Ohms</t>
  </si>
  <si>
    <t>RHM1.6KKCT-ND</t>
  </si>
  <si>
    <t>ESR10EZPJ162</t>
  </si>
  <si>
    <t>RES SMD 1.6K OHM 5% 0.4W 0805</t>
  </si>
  <si>
    <t>1,6 kOhms</t>
  </si>
  <si>
    <t>RHM220KKCT-ND</t>
  </si>
  <si>
    <t>ESR10EZPJ224</t>
  </si>
  <si>
    <t>RES SMD 220K OHM 5% 0.4W 0805</t>
  </si>
  <si>
    <t>220 kOhms</t>
  </si>
  <si>
    <t>RHM300KCT-ND</t>
  </si>
  <si>
    <t>ESR10EZPJ301</t>
  </si>
  <si>
    <t>RES SMD 300 OHM 5% 0.4W 0805</t>
  </si>
  <si>
    <t>300 Ohms</t>
  </si>
  <si>
    <t>RHM33KKCT-ND</t>
  </si>
  <si>
    <t>ESR10EZPJ333</t>
  </si>
  <si>
    <t>RES SMD 33K OHM 5% 0.4W 0805</t>
  </si>
  <si>
    <t>33 kOhms</t>
  </si>
  <si>
    <t>RHM39KCT-ND</t>
  </si>
  <si>
    <t>ESR10EZPJ390</t>
  </si>
  <si>
    <t>RES SMD 39 OHM 5% 0.4W 0805</t>
  </si>
  <si>
    <t>39 Ohms</t>
  </si>
  <si>
    <t>RHM39KKCT-ND</t>
  </si>
  <si>
    <t>ESR10EZPJ393</t>
  </si>
  <si>
    <t>RES SMD 39K OHM 5% 0.4W 0805</t>
  </si>
  <si>
    <t>39 kOhms</t>
  </si>
  <si>
    <t>RHM4.3KKCT-ND</t>
  </si>
  <si>
    <t>ESR10EZPJ432</t>
  </si>
  <si>
    <t>RES SMD 4.3K OHM 5% 0.4W 0805</t>
  </si>
  <si>
    <t>4,3 kOhms</t>
  </si>
  <si>
    <t>RHM5.6KKCT-ND</t>
  </si>
  <si>
    <t>ESR10EZPJ562</t>
  </si>
  <si>
    <t>RES SMD 5.6K OHM 5% 0.4W 0805</t>
  </si>
  <si>
    <t>5,6 kOhms</t>
  </si>
  <si>
    <t>RHM62KCT-ND</t>
  </si>
  <si>
    <t>ESR10EZPJ620</t>
  </si>
  <si>
    <t>RES SMD 62 OHM 5% 0.4W 0805</t>
  </si>
  <si>
    <t>62 Ohms</t>
  </si>
  <si>
    <t>RHM6.2KCT-ND</t>
  </si>
  <si>
    <t>ESR10EZPJ6R2</t>
  </si>
  <si>
    <t>RES SMD 6.2 OHM 5% 0.4W 0805</t>
  </si>
  <si>
    <t>6,2 Ohms</t>
  </si>
  <si>
    <t>RHM6.8KCT-ND</t>
  </si>
  <si>
    <t>ESR10EZPJ6R8</t>
  </si>
  <si>
    <t>RES SMD 6.8 OHM 5% 0.4W 0805</t>
  </si>
  <si>
    <t>6,8 Ohms</t>
  </si>
  <si>
    <t>RHM75KCT-ND</t>
  </si>
  <si>
    <t>ESR10EZPJ750</t>
  </si>
  <si>
    <t>RES SMD 75 OHM 5% 0.4W 0805</t>
  </si>
  <si>
    <t>75 Ohms</t>
  </si>
  <si>
    <t>RHM9.1KKCT-ND</t>
  </si>
  <si>
    <t>ESR10EZPJ912</t>
  </si>
  <si>
    <t>RES SMD 9.1K OHM 5% 0.4W 0805</t>
  </si>
  <si>
    <t>9,1 kOhms</t>
  </si>
  <si>
    <t>RHM91KKCT-ND</t>
  </si>
  <si>
    <t>ESR10EZPJ913</t>
  </si>
  <si>
    <t>RES SMD 91K OHM 5% 0.4W 0805</t>
  </si>
  <si>
    <t>91 kOhms</t>
  </si>
  <si>
    <t>RHM4.3KCT-ND</t>
  </si>
  <si>
    <t>ESR10EZPJ4R3</t>
  </si>
  <si>
    <t>RES SMD 4.3 OHM 5% 0.4W 0805</t>
  </si>
  <si>
    <t>4,3 Ohms</t>
  </si>
  <si>
    <t>RHM620KCT-ND</t>
  </si>
  <si>
    <t>ESR10EZPJ621</t>
  </si>
  <si>
    <t>RES SMD 620 OHM 5% 0.4W 0805</t>
  </si>
  <si>
    <t>620 Ohms</t>
  </si>
  <si>
    <t>RHM680KKCT-ND</t>
  </si>
  <si>
    <t>ESR10EZPJ684</t>
  </si>
  <si>
    <t>RES SMD 680K OHM 5% 0.4W 0805</t>
  </si>
  <si>
    <t>680 kOhms</t>
  </si>
  <si>
    <t>RHM1.1KKCT-ND</t>
  </si>
  <si>
    <t>ESR10EZPJ112</t>
  </si>
  <si>
    <t>RES SMD 1.1K OHM 5% 0.4W 0805</t>
  </si>
  <si>
    <t>1,1 kOhms</t>
  </si>
  <si>
    <t>RHM2.4KCT-ND</t>
  </si>
  <si>
    <t>ESR10EZPJ2R4</t>
  </si>
  <si>
    <t>RES SMD 2.4 OHM 5% 0.4W 0805</t>
  </si>
  <si>
    <t>2,4 Ohms</t>
  </si>
  <si>
    <t>RHM43KCT-ND</t>
  </si>
  <si>
    <t>ESR10EZPJ430</t>
  </si>
  <si>
    <t>RES SMD 43 OHM 5% 0.4W 0805</t>
  </si>
  <si>
    <t>43 Ohms</t>
  </si>
  <si>
    <t>RHM560KKCT-ND</t>
  </si>
  <si>
    <t>ESR10EZPJ564</t>
  </si>
  <si>
    <t>RES SMD 560K OHM 5% 0.4W 0805</t>
  </si>
  <si>
    <t>560 kOhms</t>
  </si>
  <si>
    <t>RHM180KKCT-ND</t>
  </si>
  <si>
    <t>ESR10EZPJ184</t>
  </si>
  <si>
    <t>RES SMD 180K OHM 5% 0.4W 0805</t>
  </si>
  <si>
    <t>180 kOhms</t>
  </si>
  <si>
    <t>RHM1.8MKCT-ND</t>
  </si>
  <si>
    <t>ESR10EZPJ185</t>
  </si>
  <si>
    <t>RES SMD 1.8M OHM 5% 0.4W 0805</t>
  </si>
  <si>
    <t>1,8 MOhms</t>
  </si>
  <si>
    <t>RHM2.2MKCT-ND</t>
  </si>
  <si>
    <t>ESR10EZPJ225</t>
  </si>
  <si>
    <t>RES SMD 2.2M OHM 5% 0.4W 0805</t>
  </si>
  <si>
    <t>2,2 MOhms</t>
  </si>
  <si>
    <t>RHM3MKCT-ND</t>
  </si>
  <si>
    <t>ESR10EZPJ305</t>
  </si>
  <si>
    <t>RES SMD 3M OHM 5% 0.4W 0805</t>
  </si>
  <si>
    <t>3 MOhms</t>
  </si>
  <si>
    <t>RHM5.1MKCT-ND</t>
  </si>
  <si>
    <t>ESR10EZPJ515</t>
  </si>
  <si>
    <t>RES SMD 5.1M OHM 5% 0.4W 0805</t>
  </si>
  <si>
    <t>5,1 MOhms</t>
  </si>
  <si>
    <t>RHM6.2MKCT-ND</t>
  </si>
  <si>
    <t>ESR10EZPJ625</t>
  </si>
  <si>
    <t>RES SMD 6.2M OHM 5% 0.4W 0805</t>
  </si>
  <si>
    <t>6,2 MOhms</t>
  </si>
  <si>
    <t>RHM7.5MKCT-ND</t>
  </si>
  <si>
    <t>ESR10EZPJ755</t>
  </si>
  <si>
    <t>RES SMD 7.5M OHM 5% 0.4W 0805</t>
  </si>
  <si>
    <t>7,5 MOhms</t>
  </si>
  <si>
    <t>RHM8.2MKCT-ND</t>
  </si>
  <si>
    <t>ESR10EZPJ825</t>
  </si>
  <si>
    <t>RES SMD 8.2M OHM 5% 0.4W 0805</t>
  </si>
  <si>
    <t>8,2 MOhms</t>
  </si>
  <si>
    <t>RHM1.1MKCT-ND</t>
  </si>
  <si>
    <t>ESR10EZPJ115</t>
  </si>
  <si>
    <t>RES SMD 1.1M OHM 5% 0.4W 0805</t>
  </si>
  <si>
    <t>1,1 MOhms</t>
  </si>
  <si>
    <t>RHM2.0MKCT-ND</t>
  </si>
  <si>
    <t>ESR10EZPJ205</t>
  </si>
  <si>
    <t>RES SMD 2M OHM 5% 0.4W 0805</t>
  </si>
  <si>
    <t>2 MOhms</t>
  </si>
  <si>
    <t>RHM82KKCT-ND</t>
  </si>
  <si>
    <t>ESR10EZPJ823</t>
  </si>
  <si>
    <t>RES SMD 82K OHM 5% 0.4W 0805</t>
  </si>
  <si>
    <t>82 kOhms</t>
  </si>
  <si>
    <t>RHM110KCT-ND</t>
  </si>
  <si>
    <t>ESR10EZPJ111</t>
  </si>
  <si>
    <t>RES SMD 110 OHM 5% 0.4W 0805</t>
  </si>
  <si>
    <t>110 Ohms</t>
  </si>
  <si>
    <t>RHM200KKCT-ND</t>
  </si>
  <si>
    <t>ESR10EZPJ204</t>
  </si>
  <si>
    <t>RES SMD 200K OHM 5% 0.4W 0805</t>
  </si>
  <si>
    <t>200 kOhms</t>
  </si>
  <si>
    <t>RHM3.6KCT-ND</t>
  </si>
  <si>
    <t>ESR10EZPJ3R6</t>
  </si>
  <si>
    <t>RES SMD 3.6 OHM 5% 0.4W 0805</t>
  </si>
  <si>
    <t>3,6 Ohms</t>
  </si>
  <si>
    <t>3,3 kOhms</t>
  </si>
  <si>
    <t>RHM8.2KKCT-ND</t>
  </si>
  <si>
    <t>ESR10EZPJ822</t>
  </si>
  <si>
    <t>RES SMD 8.2K OHM 5% 0.4W 0805</t>
  </si>
  <si>
    <t>8,2 kOhms</t>
  </si>
  <si>
    <t>RHM3KCT-ND</t>
  </si>
  <si>
    <t>ESR10EZPJ3R0</t>
  </si>
  <si>
    <t>RES SMD 3 OHM 5% 0.4W 0805</t>
  </si>
  <si>
    <t>3 Ohms</t>
  </si>
  <si>
    <t>RHM820KCT-ND</t>
  </si>
  <si>
    <t>ESR10EZPJ821</t>
  </si>
  <si>
    <t>RES SMD 820 OHM 5% 0.4W 0805</t>
  </si>
  <si>
    <t>820 Ohms</t>
  </si>
  <si>
    <t>RHM18KKCT-ND</t>
  </si>
  <si>
    <t>ESR10EZPJ183</t>
  </si>
  <si>
    <t>RES SMD 18K OHM 5% 0.4W 0805</t>
  </si>
  <si>
    <t>18 kOhms</t>
  </si>
  <si>
    <t>RHM18KCT-ND</t>
  </si>
  <si>
    <t>ESR10EZPJ180</t>
  </si>
  <si>
    <t>RES SMD 18 OHM 5% 0.4W 0805</t>
  </si>
  <si>
    <t>18 Ohms</t>
  </si>
  <si>
    <t>RHM36KCT-ND</t>
  </si>
  <si>
    <t>ESR10EZPJ360</t>
  </si>
  <si>
    <t>RES SMD 36 OHM 5% 0.4W 0805</t>
  </si>
  <si>
    <t>36 Ohms</t>
  </si>
  <si>
    <t>RHM36KKCT-ND</t>
  </si>
  <si>
    <t>ESR10EZPJ363</t>
  </si>
  <si>
    <t>RES SMD 36K OHM 5% 0.4W 0805</t>
  </si>
  <si>
    <t>36 kOhms</t>
  </si>
  <si>
    <t>RHM6.8MKCT-ND</t>
  </si>
  <si>
    <t>ESR10EZPJ685</t>
  </si>
  <si>
    <t>RES SMD 6.8M OHM 5% 0.4W 0805</t>
  </si>
  <si>
    <t>6,8 MOhms</t>
  </si>
  <si>
    <t>RHM1.2KCT-ND</t>
  </si>
  <si>
    <t>ESR10EZPJ1R2</t>
  </si>
  <si>
    <t>RES SMD 1.2 OHM 5% 0.4W 0805</t>
  </si>
  <si>
    <t>1,2 Ohms</t>
  </si>
  <si>
    <t>RHM8.2KCT-ND</t>
  </si>
  <si>
    <t>ESR10EZPJ8R2</t>
  </si>
  <si>
    <t>RES SMD 8.2 OHM 5% 0.4W 0805</t>
  </si>
  <si>
    <t>8,2 Ohms</t>
  </si>
  <si>
    <t>RHM15KCT-ND</t>
  </si>
  <si>
    <t>ESR10EZPJ150</t>
  </si>
  <si>
    <t>RES SMD 15 OHM 5% 0.4W 0805</t>
  </si>
  <si>
    <t>15 Ohms</t>
  </si>
  <si>
    <t>RHM3.9KCT-ND</t>
  </si>
  <si>
    <t>ESR10EZPJ3R9</t>
  </si>
  <si>
    <t>RES SMD 3.9 OHM 5% 0.4W 0805</t>
  </si>
  <si>
    <t>3,9 Ohms</t>
  </si>
  <si>
    <t>RHM2KCT-ND</t>
  </si>
  <si>
    <t>ESR10EZPJ2R0</t>
  </si>
  <si>
    <t>RES SMD 2 OHM 5% 0.4W 0805</t>
  </si>
  <si>
    <t>2 Ohms</t>
  </si>
  <si>
    <t>RHM68KKCT-ND</t>
  </si>
  <si>
    <t>ESR10EZPJ683</t>
  </si>
  <si>
    <t>RES SMD 68K OHM 5% 0.4W 0805</t>
  </si>
  <si>
    <t>68 kOhms</t>
  </si>
  <si>
    <t>RHM15KKCT-ND</t>
  </si>
  <si>
    <t>ESR10EZPJ153</t>
  </si>
  <si>
    <t>RES SMD 15K OHM 5% 0.4W 0805</t>
  </si>
  <si>
    <t>15 kOhms</t>
  </si>
  <si>
    <t>RHM30KKCT-ND</t>
  </si>
  <si>
    <t>ESR10EZPJ303</t>
  </si>
  <si>
    <t>RES SMD 30K OHM 5% 0.4W 0805</t>
  </si>
  <si>
    <t>30 kOhms</t>
  </si>
  <si>
    <t>RHM7.5KCT-ND</t>
  </si>
  <si>
    <t>ESR10EZPJ7R5</t>
  </si>
  <si>
    <t>RES SMD 7.5 OHM 5% 0.4W 0805</t>
  </si>
  <si>
    <t>7,5 Ohms</t>
  </si>
  <si>
    <t>RHM30KCT-ND</t>
  </si>
  <si>
    <t>ESR10EZPJ300</t>
  </si>
  <si>
    <t>RES SMD 30 OHM 5% 0.4W 0805</t>
  </si>
  <si>
    <t>30 Ohms</t>
  </si>
  <si>
    <t>RHM150KKCT-ND</t>
  </si>
  <si>
    <t>ESR10EZPJ154</t>
  </si>
  <si>
    <t>RES SMD 150K OHM 5% 0.4W 0805</t>
  </si>
  <si>
    <t>150 kOhms</t>
  </si>
  <si>
    <t>RHM4.7MKCT-ND</t>
  </si>
  <si>
    <t>ESR10EZPJ475</t>
  </si>
  <si>
    <t>RES SMD 4.7M OHM 5% 0.4W 0805</t>
  </si>
  <si>
    <t>4,7 MOhms</t>
  </si>
  <si>
    <t>RHM56KKCT-ND</t>
  </si>
  <si>
    <t>ESR10EZPJ563</t>
  </si>
  <si>
    <t>RES SMD 56K OHM 5% 0.4W 0805</t>
  </si>
  <si>
    <t>56 kOhms</t>
  </si>
  <si>
    <t>RHM6.2KKCT-ND</t>
  </si>
  <si>
    <t>ESR10EZPJ622</t>
  </si>
  <si>
    <t>RES SMD 6.2K OHM 5% 0.4W 0805</t>
  </si>
  <si>
    <t>6,2 kOhms</t>
  </si>
  <si>
    <t>RHM22KKCT-ND</t>
  </si>
  <si>
    <t>ESR10EZPJ223</t>
  </si>
  <si>
    <t>RES SMD 22K OHM 5% 0.4W 0805</t>
  </si>
  <si>
    <t>22 kOhms</t>
  </si>
  <si>
    <t>RHM430KKCT-ND</t>
  </si>
  <si>
    <t>ESR10EZPJ434</t>
  </si>
  <si>
    <t>RES SMD 430K OHM 5% 0.4W 0805</t>
  </si>
  <si>
    <t>430 kOhms</t>
  </si>
  <si>
    <t>RHM910KCT-ND</t>
  </si>
  <si>
    <t>ESR10EZPJ911</t>
  </si>
  <si>
    <t>RES SMD 910 OHM 5% 0.4W 0805</t>
  </si>
  <si>
    <t>910 Ohms</t>
  </si>
  <si>
    <t>RHM5.6MKCT-ND</t>
  </si>
  <si>
    <t>ESR10EZPJ565</t>
  </si>
  <si>
    <t>RES SMD 5.6M OHM 5% 0.4W 0805</t>
  </si>
  <si>
    <t>5,6 MOhms</t>
  </si>
  <si>
    <t>RHM300KKCT-ND</t>
  </si>
  <si>
    <t>ESR10EZPJ304</t>
  </si>
  <si>
    <t>RES SMD 300K OHM 5% 0.4W 0805</t>
  </si>
  <si>
    <t>300 kOhms</t>
  </si>
  <si>
    <t>RHM180KCT-ND</t>
  </si>
  <si>
    <t>ESR10EZPJ181</t>
  </si>
  <si>
    <t>RES SMD 180 OHM 5% 0.4W 0805</t>
  </si>
  <si>
    <t>180 Ohms</t>
  </si>
  <si>
    <t>RHM120KKCT-ND</t>
  </si>
  <si>
    <t>ESR10EZPJ124</t>
  </si>
  <si>
    <t>RES SMD 120K OHM 5% 0.4W 0805</t>
  </si>
  <si>
    <t>120 kOhms</t>
  </si>
  <si>
    <t>RHM3.5MKCT-ND</t>
  </si>
  <si>
    <t>ESR10EZPJ335</t>
  </si>
  <si>
    <t>RES SMD 3.3M OHM 5% 0.4W 0805</t>
  </si>
  <si>
    <t>3,3 MOhms</t>
  </si>
  <si>
    <t>RHM470KKCT-ND</t>
  </si>
  <si>
    <t>ESR10EZPJ474</t>
  </si>
  <si>
    <t>RES SMD 470K OHM 5% 0.4W 0805</t>
  </si>
  <si>
    <t>470 kOhms</t>
  </si>
  <si>
    <t>RHM330KKCT-ND</t>
  </si>
  <si>
    <t>ESR10EZPJ334</t>
  </si>
  <si>
    <t>RES SMD 330K OHM 5% 0.4W 0805</t>
  </si>
  <si>
    <t>330 kOhms</t>
  </si>
  <si>
    <t>RHM91KCT-ND</t>
  </si>
  <si>
    <t>ESR10EZPJ910</t>
  </si>
  <si>
    <t>RES SMD 91 OHM 5% 0.4W 0805</t>
  </si>
  <si>
    <t>91 Ohms</t>
  </si>
  <si>
    <t>RHM9.1KCT-ND</t>
  </si>
  <si>
    <t>ESR10EZPJ9R1</t>
  </si>
  <si>
    <t>RES SMD 9.1 OHM 5% 0.4W 0805</t>
  </si>
  <si>
    <t>9,1 Ohms</t>
  </si>
  <si>
    <t>RHM5.6KCT-ND</t>
  </si>
  <si>
    <t>ESR10EZPJ5R6</t>
  </si>
  <si>
    <t>RES SMD 5.6 OHM 5% 0.4W 0805</t>
  </si>
  <si>
    <t>5,6 Ohms</t>
  </si>
  <si>
    <t>RHM1.1KCT-ND</t>
  </si>
  <si>
    <t>ESR10EZPJ1R1</t>
  </si>
  <si>
    <t>RES SMD 1.1 OHM 5% 0.4W 0805</t>
  </si>
  <si>
    <t>1,1 Ohms</t>
  </si>
  <si>
    <t>RHM2.7MKCT-ND</t>
  </si>
  <si>
    <t>ESR10EZPJ275</t>
  </si>
  <si>
    <t>RES SMD 2.7M OHM 5% 0.4W 0805</t>
  </si>
  <si>
    <t>2,7 MOhms</t>
  </si>
  <si>
    <t>RHM390KCT-ND</t>
  </si>
  <si>
    <t>ESR10EZPJ391</t>
  </si>
  <si>
    <t>RES SMD 390 OHM 5% 0.4W 0805</t>
  </si>
  <si>
    <t>390 Ohms</t>
  </si>
  <si>
    <t>RHM510KKCT-ND</t>
  </si>
  <si>
    <t>ESR10EZPJ514</t>
  </si>
  <si>
    <t>RES SMD 510K OHM 5% 0.4W 0805</t>
  </si>
  <si>
    <t>510 kOhms</t>
  </si>
  <si>
    <t>330 Ohms</t>
  </si>
  <si>
    <t>RHM16KKCT-ND</t>
  </si>
  <si>
    <t>ESR10EZPJ163</t>
  </si>
  <si>
    <t>RES SMD 16K OHM 5% 0.4W 0805</t>
  </si>
  <si>
    <t>16 kOhms</t>
  </si>
  <si>
    <t>RHM160KCT-ND</t>
  </si>
  <si>
    <t>ESR10EZPJ161</t>
  </si>
  <si>
    <t>RES SMD 160 OHM 5% 0.4W 0805</t>
  </si>
  <si>
    <t>160 Ohms</t>
  </si>
  <si>
    <t>RHM13KCT-ND</t>
  </si>
  <si>
    <t>ESR10EZPJ130</t>
  </si>
  <si>
    <t>RES SMD 13 OHM 5% 0.4W 0805</t>
  </si>
  <si>
    <t>13 Ohms</t>
  </si>
  <si>
    <t>RHM75KKCT-ND</t>
  </si>
  <si>
    <t>ESR10EZPJ753</t>
  </si>
  <si>
    <t>RES SMD 75K OHM 5% 0.4W 0805</t>
  </si>
  <si>
    <t>75 kOhms</t>
  </si>
  <si>
    <t>R8,R16</t>
  </si>
  <si>
    <t>R17,R18</t>
  </si>
  <si>
    <t>U8</t>
  </si>
  <si>
    <t>V2</t>
  </si>
  <si>
    <t>W3..5,X1,X2,X4,X6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</si>
</sst>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8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4" xfId="0" applyNumberFormat="1" applyFont="1" applyFill="1" applyBorder="1" applyAlignment="1">
      <alignment horizontal="left" wrapText="1"/>
    </xf>
  </cellXfs>
  <cellStyles count="2">
    <cellStyle name="Normal" xfId="0" builtinId="0"/>
    <cellStyle name="Normal 2" xfId="1" xr:uid="{A8DFCB13-E247-44C2-83FC-BB74B94EE917}"/>
  </cellStyles>
  <dxfs count="350"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103" totalsRowShown="0" headerRowDxfId="347">
  <autoFilter ref="A1:F1103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40" dataDxfId="338" headerRowBorderDxfId="339" tableBorderDxfId="337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11"/>
    <tableColumn id="1" xr3:uid="{B10D53AF-03D1-4287-B98C-B2EBD99019D4}" name="Ret. Art. Number" dataDxfId="335" totalsRowDxfId="10"/>
    <tableColumn id="3" xr3:uid="{4C487402-2AAB-4AF3-BE67-7394C36C842C}" name="Manufacturer" dataDxfId="334" totalsRowDxfId="9"/>
    <tableColumn id="4" xr3:uid="{8EC0DC8E-76AD-4B9F-83B7-1A0DD14BB27F}" name="Retailer" dataDxfId="333" totalsRowDxfId="8"/>
    <tableColumn id="5" xr3:uid="{F034F88F-58E3-461F-AA98-A329A317450C}" name="Place" dataDxfId="332" totalsRowDxfId="7"/>
    <tableColumn id="6" xr3:uid="{270626A5-5AC9-4B4B-BFA1-CB61FB278FF7}" name="Description" dataDxfId="331" totalsRowDxfId="6"/>
    <tableColumn id="7" xr3:uid="{6AED47F2-55E6-446F-831B-A118A7B0B1ED}" name="In stock" dataDxfId="330" totalsRowDxfId="5"/>
    <tableColumn id="8" xr3:uid="{AC92F839-E54E-493C-ABE5-5E0757E61859}" name="Min Stock" dataDxfId="329" totalsRowDxfId="4"/>
    <tableColumn id="11" xr3:uid="{FA19872E-A366-497E-9D69-828A97ECF042}" name="Unit price" dataDxfId="328" totalsRowDxfId="3"/>
    <tableColumn id="13" xr3:uid="{EA825846-8448-46C3-B6A4-847B2F364E4E}" name="Quantity" dataDxfId="327" totalsRowDxfId="2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26" totalsRowDxfId="1">
      <calculatedColumnFormula>Table8[[#This Row],[Quantity]]*Table8[[#This Row],[Unit price]]</calculatedColumnFormula>
    </tableColumn>
    <tableColumn id="9" xr3:uid="{CF148814-A309-4554-8503-283AD3C9BC12}" name="Bulk Add" dataDxfId="325" totalsRowDxfId="0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37" totalsRowShown="0" headerRowDxfId="324" dataDxfId="323" tableBorderDxfId="322">
  <autoFilter ref="A1:AC337" xr:uid="{D4CB05D4-73DA-43F1-913F-071595400883}"/>
  <tableColumns count="29">
    <tableColumn id="1" xr3:uid="{435165AF-465B-418C-8DDE-9CFA2D278BBE}" name="Art. Number" dataDxfId="321" totalsRowDxfId="320"/>
    <tableColumn id="2" xr3:uid="{FBC6B9C9-57F8-45DA-AF22-C249E2B185F4}" name="Manufacturer" dataDxfId="319" totalsRowDxfId="318"/>
    <tableColumn id="3" xr3:uid="{288AF9C9-A6A1-4913-A84A-1B41F0951CD7}" name="Place" dataDxfId="317" totalsRowDxfId="316"/>
    <tableColumn id="4" xr3:uid="{991CB349-C1A2-4024-AD86-41FE070F01AA}" name="Description" dataDxfId="315" totalsRowDxfId="314"/>
    <tableColumn id="28" xr3:uid="{2D19DEDD-0807-4720-910B-711676B70DD0}" name="Category" dataDxfId="313"/>
    <tableColumn id="5" xr3:uid="{AF531B20-C2C7-43E4-88F6-C002EAFA6EF0}" name="In stock" dataDxfId="312" totalsRowDxfId="311"/>
    <tableColumn id="6" xr3:uid="{4AE22FEC-1D74-4166-880B-DE3C3B0F48C3}" name="Min in stock" dataDxfId="310" totalsRowDxfId="309"/>
    <tableColumn id="7" xr3:uid="{DDF25EC9-10A6-4A51-A3FF-5F173DC0429C}" name="Auto Order" dataDxfId="308" totalsRowDxfId="307"/>
    <tableColumn id="8" xr3:uid="{8FB77B6F-1796-445F-A628-6683E80A406B}" name="Default Art. Number" dataDxfId="306" totalsRowDxfId="30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304" totalsRowDxfId="30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302" totalsRowDxfId="301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300" totalsRowDxfId="299"/>
    <tableColumn id="11" xr3:uid="{904ACEAE-3EBB-4B5A-B40F-F27BEC67197D}" name="Unit price - Digikey" dataDxfId="298" totalsRowDxfId="297"/>
    <tableColumn id="12" xr3:uid="{1C8E6FC8-F976-4331-BE85-AE9F5CCE5385}" name="Farnell" dataDxfId="296" totalsRowDxfId="295"/>
    <tableColumn id="13" xr3:uid="{9CEB0B0D-E776-4EE1-BA17-F20F36573DF1}" name="Unit price - Farnell" dataDxfId="294" totalsRowDxfId="293"/>
    <tableColumn id="14" xr3:uid="{4835AE8C-6AA4-4E3D-AA3C-47D081785B10}" name="Distrelec" dataDxfId="292" totalsRowDxfId="291"/>
    <tableColumn id="15" xr3:uid="{CFC19F72-EB6A-4DA4-8140-6E03AC8C87E2}" name="Unit price - Distrelec" dataDxfId="290" totalsRowDxfId="289"/>
    <tableColumn id="16" xr3:uid="{440F2FEC-A527-4DB9-8F02-E02C455DD168}" name="Conrad" dataDxfId="288" totalsRowDxfId="287"/>
    <tableColumn id="17" xr3:uid="{C15F9ED7-FCDD-4ED8-8193-766AD4AACE12}" name="Unit price - Conrad" dataDxfId="286" totalsRowDxfId="285"/>
    <tableColumn id="18" xr3:uid="{E8BE4F49-80E3-4D58-8712-2588048DD5B2}" name="Mouser" dataDxfId="284" totalsRowDxfId="283"/>
    <tableColumn id="19" xr3:uid="{71B82CF1-AA7C-485A-B22F-DFCA002E3E0B}" name="Unit price - Mouser" dataDxfId="282" totalsRowDxfId="281"/>
    <tableColumn id="20" xr3:uid="{B372D927-D0BD-4305-A32A-0C014ACEEBAB}" name="Aliexpress" dataDxfId="280" totalsRowDxfId="279"/>
    <tableColumn id="21" xr3:uid="{56A9B167-940C-4D6B-8B5D-F91623F90BD6}" name="Unit price - Aliexpress" dataDxfId="278" totalsRowDxfId="277"/>
    <tableColumn id="22" xr3:uid="{2E67C835-F42C-4886-A3E6-A86A66CF03DE}" name="Banggood" dataDxfId="276" totalsRowDxfId="275"/>
    <tableColumn id="23" xr3:uid="{96EE1B48-7059-4798-A1ED-B830DB9D7D70}" name="Unit price - Banggood" dataDxfId="274" totalsRowDxfId="273"/>
    <tableColumn id="29" xr3:uid="{D6F9B11D-16CF-4797-AFD2-F208CE8FD675}" name="Other - Name" dataDxfId="272" totalsRowDxfId="271"/>
    <tableColumn id="24" xr3:uid="{DFC2A0A6-4951-479C-8775-526D9FDB26B4}" name="Other" dataDxfId="270"/>
    <tableColumn id="25" xr3:uid="{09619815-DA2C-43CD-A998-2BAAC30ACE14}" name="Unit price - Other" dataDxfId="269" totalsRowDxfId="268"/>
    <tableColumn id="26" xr3:uid="{CBAAFE5B-29D9-4E86-8241-3FA6E46052BB}" name="In next order" dataDxfId="267" totalsRowDxfId="266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65" dataDxfId="263" headerRowBorderDxfId="264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68" totalsRowDxfId="67"/>
    <tableColumn id="5" xr3:uid="{4E1A69D7-B842-45A1-BFE4-95F84DEF4755}" name="Description" dataDxfId="69" totalsRowDxfId="66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62" totalsRowDxfId="65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61" totalsRowDxfId="64"/>
    <tableColumn id="8" xr3:uid="{A1798CB4-3555-4139-9F90-6F7C37DD16CE}" name="Quantity" dataDxfId="260" totalsRowDxfId="63"/>
    <tableColumn id="6" xr3:uid="{2F8D53B9-D62E-4784-9B86-A31E1773D411}" name="In stock" dataDxfId="259" totalsRowDxfId="62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58" totalsRowDxfId="61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57" totalsRowDxfId="60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56" totalsRowDxfId="59">
      <calculatedColumnFormula>Table1411314[[#This Row],[Quantity]]*$M$1</calculatedColumnFormula>
    </tableColumn>
    <tableColumn id="4" xr3:uid="{893BABD3-9B59-48D3-A31C-D2909166C22E}" name="Total available" dataDxfId="255" totalsRowDxfId="58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54" dataDxfId="252" headerRowBorderDxfId="253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51" totalsRowDxfId="250"/>
    <tableColumn id="5" xr3:uid="{E0A4C7BE-9780-40B2-9139-D4958FD92F57}" name="Description" dataDxfId="249" totalsRowDxfId="248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47" totalsRowDxfId="246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45" totalsRowDxfId="244"/>
    <tableColumn id="8" xr3:uid="{DE9DE279-0ECD-46C6-B40F-146EE0CF2811}" name="Quantity" dataDxfId="243" totalsRowDxfId="242"/>
    <tableColumn id="6" xr3:uid="{9281657B-B3CE-4A4B-90BB-A2508C24B80E}" name="In stock" dataDxfId="241" totalsRowDxfId="240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39" totalsRowDxfId="238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37" totalsRowDxfId="236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35" totalsRowDxfId="234">
      <calculatedColumnFormula>Table14113[[#This Row],[Quantity]]*$M$1</calculatedColumnFormula>
    </tableColumn>
    <tableColumn id="4" xr3:uid="{21625822-F558-4C24-A1DF-CA1415AF72CC}" name="Total available" dataDxfId="233" totalsRowDxfId="232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231" dataDxfId="229" headerRowBorderDxfId="230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228" totalsRowDxfId="227"/>
    <tableColumn id="5" xr3:uid="{0807D2E3-C08E-4A05-95EC-685278834536}" name="Description" dataDxfId="226" totalsRowDxfId="225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224" totalsRowDxfId="223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222" totalsRowDxfId="221"/>
    <tableColumn id="8" xr3:uid="{27D63D9B-1923-4857-A374-5FF3D8D6B64C}" name="Quantity" dataDxfId="220" totalsRowDxfId="219"/>
    <tableColumn id="6" xr3:uid="{39724770-BCF0-4F8C-A311-212B97612672}" name="In stock" dataDxfId="218" totalsRowDxfId="217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216" totalsRowDxfId="215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214" totalsRowDxfId="213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212" totalsRowDxfId="211">
      <calculatedColumnFormula>Table1411[[#This Row],[Quantity]]*$M$1</calculatedColumnFormula>
    </tableColumn>
    <tableColumn id="4" xr3:uid="{CEA2F06F-2F21-492E-B2A3-DF977A078F50}" name="Total available" dataDxfId="210" totalsRowDxfId="209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208" dataDxfId="206" headerRowBorderDxfId="207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205" totalsRowDxfId="204"/>
    <tableColumn id="5" xr3:uid="{B1418FC9-8422-4A82-9D50-1C20CEF4A1DB}" name="Description" dataDxfId="203" totalsRowDxfId="202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201" totalsRowDxfId="200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99" totalsRowDxfId="198"/>
    <tableColumn id="8" xr3:uid="{D163A9E2-18FC-4EE8-99AB-60D6C92BBDB6}" name="Quantity" dataDxfId="197" totalsRowDxfId="196"/>
    <tableColumn id="6" xr3:uid="{1583B055-BD93-4929-B8EC-DA75D23B688F}" name="In stock" dataDxfId="195" totalsRowDxfId="19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93" totalsRowDxfId="192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91" totalsRowDxfId="190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89" totalsRowDxfId="188">
      <calculatedColumnFormula>Table14[[#This Row],[Quantity]]*$M$1</calculatedColumnFormula>
    </tableColumn>
    <tableColumn id="4" xr3:uid="{3C7D2E86-E417-47F0-B642-14D96896F255}" name="Total available" dataDxfId="187" totalsRowDxfId="186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85" dataDxfId="183" headerRowBorderDxfId="184">
  <autoFilter ref="A1:J15" xr:uid="{06E2CB8E-61AB-472E-BCF2-E6E1E6F7BC5B}"/>
  <tableColumns count="10">
    <tableColumn id="2" xr3:uid="{9E0E6405-0958-4064-8395-03A32BA24ED3}" name="Man. Number" dataDxfId="182" totalsRowDxfId="181"/>
    <tableColumn id="5" xr3:uid="{BA21CA97-DCD9-408A-9894-96A639A19D11}" name="Description" dataDxfId="180" totalsRowDxfId="179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78" totalsRowDxfId="177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76" totalsRowDxfId="175"/>
    <tableColumn id="8" xr3:uid="{79E97D26-BF86-43B2-AEF5-CE725327DF74}" name="Quantity" dataDxfId="174" totalsRowDxfId="173"/>
    <tableColumn id="6" xr3:uid="{55CA5BD7-34A5-4A62-9044-29A0D9B81880}" name="In stock" dataDxfId="172" totalsRowDxfId="17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70" totalsRowDxfId="16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68" totalsRowDxfId="16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66" totalsRowDxfId="165">
      <calculatedColumnFormula>Table146[[#This Row],[Quantity]]*$M$1</calculatedColumnFormula>
    </tableColumn>
    <tableColumn id="4" xr3:uid="{04D63216-7DC3-4D59-A043-09BBD0852B90}" name="Total available" dataDxfId="164" totalsRowDxfId="16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62" dataDxfId="160" headerRowBorderDxfId="161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59" totalsRowDxfId="158"/>
    <tableColumn id="5" xr3:uid="{8149F83F-B4D5-4C51-A87E-B863B43D92B1}" name="Description" dataDxfId="157" totalsRowDxfId="156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55" totalsRowDxfId="154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53" totalsRowDxfId="152"/>
    <tableColumn id="8" xr3:uid="{4A2F7A9A-01D2-44CD-B775-ECE675E39975}" name="Quantity" dataDxfId="151" totalsRowDxfId="150"/>
    <tableColumn id="6" xr3:uid="{E35C4648-7918-49E6-8585-13FE1A3EB382}" name="In stock" dataDxfId="149" totalsRowDxfId="148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47" totalsRowDxfId="146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45" totalsRowDxfId="144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43" totalsRowDxfId="142">
      <calculatedColumnFormula>Table14681012[[#This Row],[Quantity]]*$M$1</calculatedColumnFormula>
    </tableColumn>
    <tableColumn id="4" xr3:uid="{B277331F-9B8C-48C1-AF3B-39B0DF714F6F}" name="Total available" dataDxfId="141" totalsRowDxfId="140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139" dataDxfId="137" headerRowBorderDxfId="138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136" totalsRowDxfId="135"/>
    <tableColumn id="5" xr3:uid="{EE74CBB7-B4AE-4E4F-A276-4111D2262064}" name="Description" dataDxfId="134" totalsRowDxfId="133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132" totalsRowDxfId="131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130" totalsRowDxfId="129"/>
    <tableColumn id="8" xr3:uid="{C50EC552-0304-4799-AAF5-38B8D35A381E}" name="Quantity" dataDxfId="128" totalsRowDxfId="127"/>
    <tableColumn id="6" xr3:uid="{F740468C-0E09-4D56-BD5D-693ECC8337EF}" name="In stock" dataDxfId="126" totalsRowDxfId="125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24" totalsRowDxfId="123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22" totalsRowDxfId="121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120" totalsRowDxfId="119">
      <calculatedColumnFormula>Table146810[[#This Row],[Quantity]]*$M$1</calculatedColumnFormula>
    </tableColumn>
    <tableColumn id="4" xr3:uid="{562176AD-2473-43BF-B998-A5B71A21527C}" name="Total available" dataDxfId="118" totalsRowDxfId="11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116" dataDxfId="114" headerRowBorderDxfId="115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113" totalsRowDxfId="112"/>
    <tableColumn id="5" xr3:uid="{CF0B01EC-618C-443A-ADA2-893AECA5731E}" name="Description" dataDxfId="111" totalsRowDxfId="110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109" totalsRowDxfId="108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107" totalsRowDxfId="106"/>
    <tableColumn id="8" xr3:uid="{A3056CA7-0C80-4B5D-9B6F-73CB8A25354E}" name="Quantity" dataDxfId="105" totalsRowDxfId="104"/>
    <tableColumn id="6" xr3:uid="{BA70C052-8998-43C4-8E48-C451C5F8F0BC}" name="In stock" dataDxfId="103" totalsRowDxfId="102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101" totalsRowDxfId="100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99" totalsRowDxfId="98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97" totalsRowDxfId="96">
      <calculatedColumnFormula>Table146813[[#This Row],[Quantity]]*$M$1</calculatedColumnFormula>
    </tableColumn>
    <tableColumn id="4" xr3:uid="{E6CEFFBA-DFD9-451F-8F56-7A7D38A06BC8}" name="Total available" dataDxfId="95" totalsRowDxfId="94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93" dataDxfId="91" headerRowBorderDxfId="92">
  <autoFilter ref="A1:J2" xr:uid="{06E2CB8E-61AB-472E-BCF2-E6E1E6F7BC5B}"/>
  <tableColumns count="10">
    <tableColumn id="2" xr3:uid="{82F37E31-D1D4-4FFD-A09E-64F3B03018B7}" name="Man. Number" totalsRowLabel="Total" dataDxfId="90" totalsRowDxfId="89"/>
    <tableColumn id="5" xr3:uid="{524F6B01-486E-4166-AE6A-BDBA58BD1A60}" name="Description" dataDxfId="88" totalsRowDxfId="87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86" totalsRowDxfId="85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84" totalsRowDxfId="83"/>
    <tableColumn id="8" xr3:uid="{A834D686-252C-4BF4-9FDE-28A4A6AFDD1F}" name="Quantity" dataDxfId="82" totalsRowDxfId="81"/>
    <tableColumn id="6" xr3:uid="{66DB620F-4FDE-44EB-BF35-96CAEBE4C1C6}" name="In stock" dataDxfId="80" totalsRowDxfId="7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78" totalsRowDxfId="7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6" totalsRowDxfId="7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74" totalsRowDxfId="73">
      <calculatedColumnFormula>Table1468[[#This Row],[Quantity]]*$M$1</calculatedColumnFormula>
    </tableColumn>
    <tableColumn id="4" xr3:uid="{56337732-A0D6-4CED-A2E1-0A9BD957CBCA}" name="Total available" dataDxfId="72" totalsRowDxfId="7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7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103"/>
  <sheetViews>
    <sheetView workbookViewId="0">
      <pane ySplit="1" topLeftCell="A955" activePane="bottomLeft" state="frozen"/>
      <selection pane="bottomLeft" activeCell="F971" sqref="F971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155</v>
      </c>
      <c r="B1" s="3" t="s">
        <v>437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8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8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8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8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8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8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8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8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8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8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8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8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8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8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8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8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8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8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8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8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8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8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8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8">
        <v>43463.663310185184</v>
      </c>
      <c r="B46" s="3" t="s">
        <v>301</v>
      </c>
      <c r="C46" s="12">
        <v>10</v>
      </c>
      <c r="D46" s="12">
        <v>0</v>
      </c>
      <c r="E46" s="12">
        <v>10</v>
      </c>
      <c r="F46" s="3" t="s">
        <v>235</v>
      </c>
    </row>
    <row r="47" spans="1:6" x14ac:dyDescent="0.25">
      <c r="A47" s="38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253</v>
      </c>
    </row>
    <row r="48" spans="1:6" x14ac:dyDescent="0.25">
      <c r="A48" s="38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254</v>
      </c>
    </row>
    <row r="49" spans="1:6" x14ac:dyDescent="0.25">
      <c r="A49" s="38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255</v>
      </c>
    </row>
    <row r="50" spans="1:6" x14ac:dyDescent="0.25">
      <c r="A50" s="38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256</v>
      </c>
    </row>
    <row r="51" spans="1:6" x14ac:dyDescent="0.25">
      <c r="A51" s="38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257</v>
      </c>
    </row>
    <row r="52" spans="1:6" x14ac:dyDescent="0.25">
      <c r="A52" s="38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258</v>
      </c>
    </row>
    <row r="53" spans="1:6" x14ac:dyDescent="0.25">
      <c r="A53" s="38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259</v>
      </c>
    </row>
    <row r="54" spans="1:6" x14ac:dyDescent="0.25">
      <c r="A54" s="38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260</v>
      </c>
    </row>
    <row r="55" spans="1:6" x14ac:dyDescent="0.25">
      <c r="A55" s="38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261</v>
      </c>
    </row>
    <row r="56" spans="1:6" x14ac:dyDescent="0.25">
      <c r="A56" s="38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262</v>
      </c>
    </row>
    <row r="57" spans="1:6" x14ac:dyDescent="0.25">
      <c r="A57" s="38">
        <v>43464.637476851851</v>
      </c>
      <c r="B57" s="3" t="s">
        <v>228</v>
      </c>
      <c r="C57" s="12">
        <v>100</v>
      </c>
      <c r="D57" s="12">
        <v>0</v>
      </c>
      <c r="E57" s="12">
        <v>100</v>
      </c>
      <c r="F57" s="3" t="s">
        <v>263</v>
      </c>
    </row>
    <row r="58" spans="1:6" x14ac:dyDescent="0.25">
      <c r="A58" s="38">
        <v>43464.637476851851</v>
      </c>
      <c r="B58" s="3" t="s">
        <v>225</v>
      </c>
      <c r="C58" s="12">
        <v>100</v>
      </c>
      <c r="D58" s="12">
        <v>0</v>
      </c>
      <c r="E58" s="12">
        <v>100</v>
      </c>
      <c r="F58" s="3" t="s">
        <v>264</v>
      </c>
    </row>
    <row r="59" spans="1:6" x14ac:dyDescent="0.25">
      <c r="A59" s="38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8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8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8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8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8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8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8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8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8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8">
        <v>43470.960046296299</v>
      </c>
      <c r="B70" s="3" t="s">
        <v>225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8">
        <v>43470.960046296299</v>
      </c>
      <c r="B71" s="3" t="s">
        <v>228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8">
        <v>43470.960046296299</v>
      </c>
      <c r="B72" s="3" t="s">
        <v>301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8">
        <v>43497.628275462965</v>
      </c>
      <c r="B73" s="3" t="s">
        <v>305</v>
      </c>
      <c r="C73" s="12" t="s">
        <v>308</v>
      </c>
      <c r="D73" s="12">
        <v>0</v>
      </c>
      <c r="E73" s="12" t="s">
        <v>308</v>
      </c>
      <c r="F73" s="3" t="s">
        <v>309</v>
      </c>
    </row>
    <row r="74" spans="1:6" x14ac:dyDescent="0.25">
      <c r="A74" s="38">
        <v>43497.784837962965</v>
      </c>
      <c r="B74" s="3" t="s">
        <v>311</v>
      </c>
      <c r="C74" s="12" t="s">
        <v>308</v>
      </c>
      <c r="D74" s="12">
        <v>0</v>
      </c>
      <c r="E74" s="12" t="s">
        <v>308</v>
      </c>
      <c r="F74" s="3" t="s">
        <v>309</v>
      </c>
    </row>
    <row r="75" spans="1:6" x14ac:dyDescent="0.25">
      <c r="A75" s="38">
        <v>43500.455185185187</v>
      </c>
      <c r="B75" s="3" t="s">
        <v>315</v>
      </c>
      <c r="C75" s="12" t="s">
        <v>308</v>
      </c>
      <c r="D75" s="12">
        <v>0</v>
      </c>
      <c r="E75" s="12" t="s">
        <v>308</v>
      </c>
      <c r="F75" s="3" t="s">
        <v>309</v>
      </c>
    </row>
    <row r="76" spans="1:6" x14ac:dyDescent="0.25">
      <c r="A76" s="38">
        <v>43500.457152777781</v>
      </c>
      <c r="B76" s="3" t="s">
        <v>319</v>
      </c>
      <c r="C76" s="12" t="s">
        <v>308</v>
      </c>
      <c r="D76" s="12">
        <v>0</v>
      </c>
      <c r="E76" s="12" t="s">
        <v>308</v>
      </c>
      <c r="F76" s="3" t="s">
        <v>309</v>
      </c>
    </row>
    <row r="77" spans="1:6" x14ac:dyDescent="0.25">
      <c r="A77" s="38">
        <v>43500.458449074074</v>
      </c>
      <c r="B77" s="3" t="s">
        <v>323</v>
      </c>
      <c r="C77" s="12" t="s">
        <v>308</v>
      </c>
      <c r="D77" s="12">
        <v>0</v>
      </c>
      <c r="E77" s="12" t="s">
        <v>308</v>
      </c>
      <c r="F77" s="3" t="s">
        <v>309</v>
      </c>
    </row>
    <row r="78" spans="1:6" x14ac:dyDescent="0.25">
      <c r="A78" s="38">
        <v>43502.505069444444</v>
      </c>
      <c r="B78" s="3" t="s">
        <v>336</v>
      </c>
      <c r="C78" s="12" t="s">
        <v>339</v>
      </c>
      <c r="D78" s="12">
        <v>0</v>
      </c>
      <c r="E78" s="12" t="s">
        <v>339</v>
      </c>
      <c r="F78" s="3" t="s">
        <v>309</v>
      </c>
    </row>
    <row r="79" spans="1:6" x14ac:dyDescent="0.25">
      <c r="A79" s="38">
        <v>43502.508912037039</v>
      </c>
      <c r="B79" s="3" t="s">
        <v>340</v>
      </c>
      <c r="C79" s="12" t="s">
        <v>339</v>
      </c>
      <c r="D79" s="12">
        <v>0</v>
      </c>
      <c r="E79" s="12" t="s">
        <v>339</v>
      </c>
      <c r="F79" s="3" t="s">
        <v>309</v>
      </c>
    </row>
    <row r="80" spans="1:6" x14ac:dyDescent="0.25">
      <c r="A80" s="38">
        <v>43502.509687500002</v>
      </c>
      <c r="B80" s="3" t="s">
        <v>343</v>
      </c>
      <c r="C80" s="12" t="s">
        <v>339</v>
      </c>
      <c r="D80" s="12">
        <v>0</v>
      </c>
      <c r="E80" s="12" t="s">
        <v>339</v>
      </c>
      <c r="F80" s="3" t="s">
        <v>309</v>
      </c>
    </row>
    <row r="81" spans="1:6" x14ac:dyDescent="0.25">
      <c r="A81" s="38">
        <v>43502.509965277779</v>
      </c>
      <c r="B81" s="3" t="s">
        <v>345</v>
      </c>
      <c r="C81" s="12" t="s">
        <v>339</v>
      </c>
      <c r="D81" s="12">
        <v>0</v>
      </c>
      <c r="E81" s="12" t="s">
        <v>339</v>
      </c>
      <c r="F81" s="3" t="s">
        <v>309</v>
      </c>
    </row>
    <row r="82" spans="1:6" x14ac:dyDescent="0.25">
      <c r="A82" s="38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364</v>
      </c>
    </row>
    <row r="83" spans="1:6" x14ac:dyDescent="0.25">
      <c r="A83" s="38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364</v>
      </c>
    </row>
    <row r="84" spans="1:6" x14ac:dyDescent="0.25">
      <c r="A84" s="38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364</v>
      </c>
    </row>
    <row r="85" spans="1:6" x14ac:dyDescent="0.25">
      <c r="A85" s="38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364</v>
      </c>
    </row>
    <row r="86" spans="1:6" x14ac:dyDescent="0.25">
      <c r="A86" s="38">
        <v>43506.59097222222</v>
      </c>
      <c r="B86" s="3" t="s">
        <v>323</v>
      </c>
      <c r="C86" s="12">
        <v>1</v>
      </c>
      <c r="D86" s="12">
        <v>0</v>
      </c>
      <c r="E86" s="12" t="s">
        <v>339</v>
      </c>
      <c r="F86" s="3" t="s">
        <v>371</v>
      </c>
    </row>
    <row r="87" spans="1:6" x14ac:dyDescent="0.25">
      <c r="A87" s="38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364</v>
      </c>
    </row>
    <row r="88" spans="1:6" x14ac:dyDescent="0.25">
      <c r="A88" s="38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364</v>
      </c>
    </row>
    <row r="89" spans="1:6" x14ac:dyDescent="0.25">
      <c r="A89" s="38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364</v>
      </c>
    </row>
    <row r="90" spans="1:6" x14ac:dyDescent="0.25">
      <c r="A90" s="38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364</v>
      </c>
    </row>
    <row r="91" spans="1:6" x14ac:dyDescent="0.25">
      <c r="A91" s="38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364</v>
      </c>
    </row>
    <row r="92" spans="1:6" x14ac:dyDescent="0.25">
      <c r="A92" s="38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364</v>
      </c>
    </row>
    <row r="93" spans="1:6" x14ac:dyDescent="0.25">
      <c r="A93" s="38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364</v>
      </c>
    </row>
    <row r="94" spans="1:6" x14ac:dyDescent="0.25">
      <c r="A94" s="38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364</v>
      </c>
    </row>
    <row r="95" spans="1:6" x14ac:dyDescent="0.25">
      <c r="A95" s="38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364</v>
      </c>
    </row>
    <row r="96" spans="1:6" x14ac:dyDescent="0.25">
      <c r="A96" s="38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364</v>
      </c>
    </row>
    <row r="97" spans="1:6" x14ac:dyDescent="0.25">
      <c r="A97" s="38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364</v>
      </c>
    </row>
    <row r="98" spans="1:6" x14ac:dyDescent="0.25">
      <c r="A98" s="38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364</v>
      </c>
    </row>
    <row r="99" spans="1:6" x14ac:dyDescent="0.25">
      <c r="A99" s="38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364</v>
      </c>
    </row>
    <row r="100" spans="1:6" x14ac:dyDescent="0.25">
      <c r="A100" s="38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388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388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388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388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388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388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388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388</v>
      </c>
    </row>
    <row r="109" spans="1:6" x14ac:dyDescent="0.25">
      <c r="A109" s="38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388</v>
      </c>
    </row>
    <row r="110" spans="1:6" x14ac:dyDescent="0.25">
      <c r="A110" s="38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388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388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388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388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388</v>
      </c>
    </row>
    <row r="115" spans="1:6" x14ac:dyDescent="0.25">
      <c r="A115" s="38">
        <v>43506.62771990741</v>
      </c>
      <c r="B115" s="3" t="s">
        <v>36</v>
      </c>
      <c r="C115" s="12" t="s">
        <v>389</v>
      </c>
      <c r="D115" s="12">
        <v>-0.63900000000000001</v>
      </c>
      <c r="E115" s="12">
        <v>0</v>
      </c>
      <c r="F115" s="3" t="s">
        <v>388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388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388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388</v>
      </c>
    </row>
    <row r="119" spans="1:6" x14ac:dyDescent="0.25">
      <c r="A119" s="38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388</v>
      </c>
    </row>
    <row r="120" spans="1:6" x14ac:dyDescent="0.25">
      <c r="A120" s="38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388</v>
      </c>
    </row>
    <row r="121" spans="1:6" x14ac:dyDescent="0.25">
      <c r="A121" s="38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388</v>
      </c>
    </row>
    <row r="122" spans="1:6" x14ac:dyDescent="0.25">
      <c r="A122" s="38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388</v>
      </c>
    </row>
    <row r="123" spans="1:6" x14ac:dyDescent="0.25">
      <c r="A123" s="38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388</v>
      </c>
    </row>
    <row r="124" spans="1:6" x14ac:dyDescent="0.25">
      <c r="A124" s="38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388</v>
      </c>
    </row>
    <row r="125" spans="1:6" x14ac:dyDescent="0.25">
      <c r="A125" s="38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388</v>
      </c>
    </row>
    <row r="126" spans="1:6" x14ac:dyDescent="0.25">
      <c r="A126" s="38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388</v>
      </c>
    </row>
    <row r="127" spans="1:6" x14ac:dyDescent="0.25">
      <c r="A127" s="38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388</v>
      </c>
    </row>
    <row r="128" spans="1:6" x14ac:dyDescent="0.25">
      <c r="A128" s="38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388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388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388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388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388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388</v>
      </c>
    </row>
    <row r="134" spans="1:6" x14ac:dyDescent="0.25">
      <c r="A134" s="38">
        <v>43512.96502314815</v>
      </c>
      <c r="B134" s="3" t="s">
        <v>390</v>
      </c>
      <c r="C134" s="12"/>
      <c r="D134" s="12">
        <v>0</v>
      </c>
      <c r="E134" s="12"/>
      <c r="F134" s="3" t="s">
        <v>309</v>
      </c>
    </row>
    <row r="135" spans="1:6" x14ac:dyDescent="0.25">
      <c r="A135" s="38">
        <v>43512.966874999998</v>
      </c>
      <c r="B135" s="3" t="s">
        <v>390</v>
      </c>
      <c r="C135" s="12" t="s">
        <v>393</v>
      </c>
      <c r="D135" s="12">
        <v>0</v>
      </c>
      <c r="E135" s="12" t="s">
        <v>393</v>
      </c>
      <c r="F135" s="3" t="s">
        <v>309</v>
      </c>
    </row>
    <row r="136" spans="1:6" x14ac:dyDescent="0.25">
      <c r="A136" s="38">
        <v>43519.51699074074</v>
      </c>
      <c r="B136" s="3" t="s">
        <v>302</v>
      </c>
      <c r="C136" s="12" t="s">
        <v>394</v>
      </c>
      <c r="D136" s="12">
        <v>0</v>
      </c>
      <c r="E136" s="12">
        <v>10</v>
      </c>
      <c r="F136" s="3" t="s">
        <v>404</v>
      </c>
    </row>
    <row r="137" spans="1:6" x14ac:dyDescent="0.25">
      <c r="A137" s="38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403</v>
      </c>
    </row>
    <row r="138" spans="1:6" x14ac:dyDescent="0.25">
      <c r="A138" s="38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403</v>
      </c>
    </row>
    <row r="139" spans="1:6" x14ac:dyDescent="0.25">
      <c r="A139" s="38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402</v>
      </c>
    </row>
    <row r="140" spans="1:6" x14ac:dyDescent="0.25">
      <c r="A140" s="38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402</v>
      </c>
    </row>
    <row r="141" spans="1:6" x14ac:dyDescent="0.25">
      <c r="A141" s="38">
        <v>43519.518576388888</v>
      </c>
      <c r="B141" s="3" t="s">
        <v>297</v>
      </c>
      <c r="C141" s="12" t="s">
        <v>58</v>
      </c>
      <c r="D141" s="12" t="s">
        <v>58</v>
      </c>
      <c r="E141" s="12" t="s">
        <v>58</v>
      </c>
      <c r="F141" s="3" t="s">
        <v>402</v>
      </c>
    </row>
    <row r="142" spans="1:6" x14ac:dyDescent="0.25">
      <c r="A142" s="38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402</v>
      </c>
    </row>
    <row r="143" spans="1:6" x14ac:dyDescent="0.25">
      <c r="A143" s="38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402</v>
      </c>
    </row>
    <row r="144" spans="1:6" x14ac:dyDescent="0.25">
      <c r="A144" s="38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402</v>
      </c>
    </row>
    <row r="145" spans="1:6" x14ac:dyDescent="0.25">
      <c r="A145" s="38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402</v>
      </c>
    </row>
    <row r="146" spans="1:6" x14ac:dyDescent="0.25">
      <c r="A146" s="38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402</v>
      </c>
    </row>
    <row r="147" spans="1:6" x14ac:dyDescent="0.25">
      <c r="A147" s="38">
        <v>43519.518773148149</v>
      </c>
      <c r="B147" s="3" t="s">
        <v>296</v>
      </c>
      <c r="C147" s="12" t="s">
        <v>58</v>
      </c>
      <c r="D147" s="12" t="s">
        <v>58</v>
      </c>
      <c r="E147" s="12" t="s">
        <v>58</v>
      </c>
      <c r="F147" s="3" t="s">
        <v>402</v>
      </c>
    </row>
    <row r="148" spans="1:6" x14ac:dyDescent="0.25">
      <c r="A148" s="38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402</v>
      </c>
    </row>
    <row r="149" spans="1:6" x14ac:dyDescent="0.25">
      <c r="A149" s="38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402</v>
      </c>
    </row>
    <row r="150" spans="1:6" x14ac:dyDescent="0.25">
      <c r="A150" s="38">
        <v>43540.741203703707</v>
      </c>
      <c r="B150" s="3" t="s">
        <v>323</v>
      </c>
      <c r="C150" s="12">
        <v>-1</v>
      </c>
      <c r="D150" s="12">
        <v>1</v>
      </c>
      <c r="E150" s="12">
        <v>0</v>
      </c>
      <c r="F150" s="3" t="s">
        <v>406</v>
      </c>
    </row>
    <row r="151" spans="1:6" x14ac:dyDescent="0.25">
      <c r="A151" s="38">
        <v>43569.402199074073</v>
      </c>
      <c r="B151" s="3" t="s">
        <v>323</v>
      </c>
      <c r="C151" s="12" t="s">
        <v>339</v>
      </c>
      <c r="D151" s="12">
        <v>0</v>
      </c>
      <c r="E151" s="12">
        <v>1</v>
      </c>
      <c r="F151" s="3" t="s">
        <v>407</v>
      </c>
    </row>
    <row r="152" spans="1:6" x14ac:dyDescent="0.25">
      <c r="A152" s="38">
        <v>43572.368414351855</v>
      </c>
      <c r="B152" s="3" t="s">
        <v>268</v>
      </c>
      <c r="C152" s="12" t="s">
        <v>58</v>
      </c>
      <c r="D152" s="12" t="s">
        <v>58</v>
      </c>
      <c r="E152" s="12" t="s">
        <v>58</v>
      </c>
      <c r="F152" s="3" t="s">
        <v>364</v>
      </c>
    </row>
    <row r="153" spans="1:6" x14ac:dyDescent="0.25">
      <c r="A153" s="38">
        <v>43574.645150462966</v>
      </c>
      <c r="B153" s="3" t="s">
        <v>250</v>
      </c>
      <c r="C153" s="12" t="s">
        <v>308</v>
      </c>
      <c r="D153" s="12">
        <v>0</v>
      </c>
      <c r="E153" s="12" t="s">
        <v>308</v>
      </c>
      <c r="F153" s="3" t="s">
        <v>445</v>
      </c>
    </row>
    <row r="154" spans="1:6" x14ac:dyDescent="0.25">
      <c r="A154" s="38">
        <v>43574.645150462966</v>
      </c>
      <c r="B154" s="3">
        <v>61304011021</v>
      </c>
      <c r="C154" s="12" t="s">
        <v>308</v>
      </c>
      <c r="D154" s="12">
        <v>0</v>
      </c>
      <c r="E154" s="12" t="s">
        <v>308</v>
      </c>
      <c r="F154" s="3" t="s">
        <v>445</v>
      </c>
    </row>
    <row r="155" spans="1:6" x14ac:dyDescent="0.25">
      <c r="A155" s="38">
        <v>43574.645150462966</v>
      </c>
      <c r="B155" s="3" t="s">
        <v>103</v>
      </c>
      <c r="C155" s="12" t="s">
        <v>308</v>
      </c>
      <c r="D155" s="12">
        <v>0</v>
      </c>
      <c r="E155" s="12" t="s">
        <v>308</v>
      </c>
      <c r="F155" s="3" t="s">
        <v>445</v>
      </c>
    </row>
    <row r="156" spans="1:6" x14ac:dyDescent="0.25">
      <c r="A156" s="38">
        <v>43574.645150462966</v>
      </c>
      <c r="B156" s="3" t="s">
        <v>28</v>
      </c>
      <c r="C156" s="12" t="s">
        <v>308</v>
      </c>
      <c r="D156" s="12">
        <v>0</v>
      </c>
      <c r="E156" s="12" t="s">
        <v>308</v>
      </c>
      <c r="F156" s="3" t="s">
        <v>445</v>
      </c>
    </row>
    <row r="157" spans="1:6" x14ac:dyDescent="0.25">
      <c r="A157" s="38">
        <v>43574.645150462966</v>
      </c>
      <c r="B157" s="3" t="s">
        <v>109</v>
      </c>
      <c r="C157" s="12" t="s">
        <v>308</v>
      </c>
      <c r="D157" s="12">
        <v>0</v>
      </c>
      <c r="E157" s="12" t="s">
        <v>308</v>
      </c>
      <c r="F157" s="3" t="s">
        <v>445</v>
      </c>
    </row>
    <row r="158" spans="1:6" x14ac:dyDescent="0.25">
      <c r="A158" s="38">
        <v>43574.645150462966</v>
      </c>
      <c r="B158" s="3" t="s">
        <v>104</v>
      </c>
      <c r="C158" s="12" t="s">
        <v>308</v>
      </c>
      <c r="D158" s="12">
        <v>0</v>
      </c>
      <c r="E158" s="12" t="s">
        <v>308</v>
      </c>
      <c r="F158" s="3" t="s">
        <v>445</v>
      </c>
    </row>
    <row r="159" spans="1:6" x14ac:dyDescent="0.25">
      <c r="A159" s="38">
        <v>43574.645150462966</v>
      </c>
      <c r="B159" s="3" t="s">
        <v>426</v>
      </c>
      <c r="C159" s="12" t="s">
        <v>308</v>
      </c>
      <c r="D159" s="12">
        <v>0</v>
      </c>
      <c r="E159" s="12" t="s">
        <v>308</v>
      </c>
      <c r="F159" s="3" t="s">
        <v>445</v>
      </c>
    </row>
    <row r="160" spans="1:6" x14ac:dyDescent="0.25">
      <c r="A160" s="38">
        <v>43574.645162037035</v>
      </c>
      <c r="B160" s="3" t="s">
        <v>427</v>
      </c>
      <c r="C160" s="12" t="s">
        <v>308</v>
      </c>
      <c r="D160" s="12">
        <v>0</v>
      </c>
      <c r="E160" s="12" t="s">
        <v>308</v>
      </c>
      <c r="F160" s="3" t="s">
        <v>445</v>
      </c>
    </row>
    <row r="161" spans="1:6" x14ac:dyDescent="0.25">
      <c r="A161" s="38">
        <v>43574.645162037035</v>
      </c>
      <c r="B161" s="3" t="s">
        <v>35</v>
      </c>
      <c r="C161" s="12" t="s">
        <v>308</v>
      </c>
      <c r="D161" s="12">
        <v>0</v>
      </c>
      <c r="E161" s="12" t="s">
        <v>308</v>
      </c>
      <c r="F161" s="3" t="s">
        <v>445</v>
      </c>
    </row>
    <row r="162" spans="1:6" x14ac:dyDescent="0.25">
      <c r="A162" s="38">
        <v>43574.645162037035</v>
      </c>
      <c r="B162" s="3" t="s">
        <v>119</v>
      </c>
      <c r="C162" s="12" t="s">
        <v>308</v>
      </c>
      <c r="D162" s="12">
        <v>0</v>
      </c>
      <c r="E162" s="12" t="s">
        <v>308</v>
      </c>
      <c r="F162" s="3" t="s">
        <v>445</v>
      </c>
    </row>
    <row r="163" spans="1:6" x14ac:dyDescent="0.25">
      <c r="A163" s="38">
        <v>43574.645162037035</v>
      </c>
      <c r="B163" s="3" t="s">
        <v>81</v>
      </c>
      <c r="C163" s="12" t="s">
        <v>308</v>
      </c>
      <c r="D163" s="12">
        <v>0</v>
      </c>
      <c r="E163" s="12" t="s">
        <v>308</v>
      </c>
      <c r="F163" s="3" t="s">
        <v>445</v>
      </c>
    </row>
    <row r="164" spans="1:6" x14ac:dyDescent="0.25">
      <c r="A164" s="38">
        <v>43574.645162037035</v>
      </c>
      <c r="B164" s="3" t="s">
        <v>429</v>
      </c>
      <c r="C164" s="12" t="s">
        <v>308</v>
      </c>
      <c r="D164" s="12">
        <v>0</v>
      </c>
      <c r="E164" s="12" t="s">
        <v>308</v>
      </c>
      <c r="F164" s="3" t="s">
        <v>445</v>
      </c>
    </row>
    <row r="165" spans="1:6" x14ac:dyDescent="0.25">
      <c r="A165" s="38">
        <v>43574.645162037035</v>
      </c>
      <c r="B165" s="3" t="s">
        <v>42</v>
      </c>
      <c r="C165" s="12" t="s">
        <v>308</v>
      </c>
      <c r="D165" s="12">
        <v>0</v>
      </c>
      <c r="E165" s="12" t="s">
        <v>308</v>
      </c>
      <c r="F165" s="3" t="s">
        <v>445</v>
      </c>
    </row>
    <row r="166" spans="1:6" x14ac:dyDescent="0.25">
      <c r="A166" s="38">
        <v>43574.645162037035</v>
      </c>
      <c r="B166" s="3" t="s">
        <v>22</v>
      </c>
      <c r="C166" s="12" t="s">
        <v>308</v>
      </c>
      <c r="D166" s="12">
        <v>0</v>
      </c>
      <c r="E166" s="12" t="s">
        <v>308</v>
      </c>
      <c r="F166" s="3" t="s">
        <v>445</v>
      </c>
    </row>
    <row r="167" spans="1:6" x14ac:dyDescent="0.25">
      <c r="A167" s="38">
        <v>43574.645162037035</v>
      </c>
      <c r="B167" s="3" t="s">
        <v>24</v>
      </c>
      <c r="C167" s="12" t="s">
        <v>308</v>
      </c>
      <c r="D167" s="12">
        <v>0</v>
      </c>
      <c r="E167" s="12" t="s">
        <v>308</v>
      </c>
      <c r="F167" s="3" t="s">
        <v>445</v>
      </c>
    </row>
    <row r="168" spans="1:6" x14ac:dyDescent="0.25">
      <c r="A168" s="38">
        <v>43574.645173611112</v>
      </c>
      <c r="B168" s="3" t="s">
        <v>39</v>
      </c>
      <c r="C168" s="12" t="s">
        <v>308</v>
      </c>
      <c r="D168" s="12">
        <v>0</v>
      </c>
      <c r="E168" s="12" t="s">
        <v>308</v>
      </c>
      <c r="F168" s="3" t="s">
        <v>445</v>
      </c>
    </row>
    <row r="169" spans="1:6" x14ac:dyDescent="0.25">
      <c r="A169" s="38">
        <v>43574.645173611112</v>
      </c>
      <c r="B169" s="3" t="s">
        <v>45</v>
      </c>
      <c r="C169" s="12" t="s">
        <v>308</v>
      </c>
      <c r="D169" s="12">
        <v>0</v>
      </c>
      <c r="E169" s="12" t="s">
        <v>308</v>
      </c>
      <c r="F169" s="3" t="s">
        <v>445</v>
      </c>
    </row>
    <row r="170" spans="1:6" x14ac:dyDescent="0.25">
      <c r="A170" s="38">
        <v>43574.645173611112</v>
      </c>
      <c r="B170" s="3" t="s">
        <v>33</v>
      </c>
      <c r="C170" s="12" t="s">
        <v>308</v>
      </c>
      <c r="D170" s="12">
        <v>0</v>
      </c>
      <c r="E170" s="12" t="s">
        <v>308</v>
      </c>
      <c r="F170" s="3" t="s">
        <v>445</v>
      </c>
    </row>
    <row r="171" spans="1:6" x14ac:dyDescent="0.25">
      <c r="A171" s="38">
        <v>43574.754791666666</v>
      </c>
      <c r="B171" s="3" t="s">
        <v>250</v>
      </c>
      <c r="C171" s="12">
        <v>1</v>
      </c>
      <c r="D171" s="12">
        <v>4</v>
      </c>
      <c r="E171" s="12" t="s">
        <v>393</v>
      </c>
      <c r="F171" s="3" t="s">
        <v>455</v>
      </c>
    </row>
    <row r="172" spans="1:6" x14ac:dyDescent="0.25">
      <c r="A172" s="38">
        <v>43574.755428240744</v>
      </c>
      <c r="B172" s="3">
        <v>61304011021</v>
      </c>
      <c r="C172" s="12" t="s">
        <v>339</v>
      </c>
      <c r="D172" s="12">
        <v>8.85</v>
      </c>
      <c r="E172" s="12">
        <v>9.85</v>
      </c>
      <c r="F172" s="3" t="s">
        <v>455</v>
      </c>
    </row>
    <row r="173" spans="1:6" x14ac:dyDescent="0.25">
      <c r="A173" s="38">
        <v>43574.755497685182</v>
      </c>
      <c r="B173" s="3" t="s">
        <v>103</v>
      </c>
      <c r="C173" s="12" t="s">
        <v>339</v>
      </c>
      <c r="D173" s="12">
        <v>3</v>
      </c>
      <c r="E173" s="12">
        <v>4</v>
      </c>
      <c r="F173" s="3" t="s">
        <v>455</v>
      </c>
    </row>
    <row r="174" spans="1:6" x14ac:dyDescent="0.25">
      <c r="A174" s="38">
        <v>43574.755694444444</v>
      </c>
      <c r="B174" s="3" t="s">
        <v>28</v>
      </c>
      <c r="C174" s="12" t="s">
        <v>339</v>
      </c>
      <c r="D174" s="12">
        <v>3</v>
      </c>
      <c r="E174" s="12">
        <v>4</v>
      </c>
      <c r="F174" s="3" t="s">
        <v>455</v>
      </c>
    </row>
    <row r="175" spans="1:6" x14ac:dyDescent="0.25">
      <c r="A175" s="38">
        <v>43574.755856481483</v>
      </c>
      <c r="B175" s="3" t="s">
        <v>109</v>
      </c>
      <c r="C175" s="12" t="s">
        <v>339</v>
      </c>
      <c r="D175" s="12">
        <v>18</v>
      </c>
      <c r="E175" s="12">
        <v>19</v>
      </c>
      <c r="F175" s="3" t="s">
        <v>455</v>
      </c>
    </row>
    <row r="176" spans="1:6" x14ac:dyDescent="0.25">
      <c r="A176" s="38">
        <v>43574.755891203706</v>
      </c>
      <c r="B176" s="3" t="s">
        <v>104</v>
      </c>
      <c r="C176" s="12" t="s">
        <v>339</v>
      </c>
      <c r="D176" s="12">
        <v>99</v>
      </c>
      <c r="E176" s="12">
        <v>100</v>
      </c>
      <c r="F176" s="3" t="s">
        <v>455</v>
      </c>
    </row>
    <row r="177" spans="1:6" x14ac:dyDescent="0.25">
      <c r="A177" s="38">
        <v>43574.756099537037</v>
      </c>
      <c r="B177" s="3" t="s">
        <v>35</v>
      </c>
      <c r="C177" s="12" t="s">
        <v>339</v>
      </c>
      <c r="D177" s="12">
        <v>1</v>
      </c>
      <c r="E177" s="12">
        <v>2</v>
      </c>
      <c r="F177" s="3" t="s">
        <v>455</v>
      </c>
    </row>
    <row r="178" spans="1:6" x14ac:dyDescent="0.25">
      <c r="A178" s="38">
        <v>43574.756180555552</v>
      </c>
      <c r="B178" s="3" t="s">
        <v>119</v>
      </c>
      <c r="C178" s="12" t="s">
        <v>339</v>
      </c>
      <c r="D178" s="12">
        <v>9</v>
      </c>
      <c r="E178" s="12">
        <v>10</v>
      </c>
      <c r="F178" s="3" t="s">
        <v>455</v>
      </c>
    </row>
    <row r="179" spans="1:6" x14ac:dyDescent="0.25">
      <c r="A179" s="38">
        <v>43574.756296296298</v>
      </c>
      <c r="B179" s="3" t="s">
        <v>81</v>
      </c>
      <c r="C179" s="12" t="s">
        <v>339</v>
      </c>
      <c r="D179" s="12">
        <v>-1</v>
      </c>
      <c r="E179" s="12">
        <v>0</v>
      </c>
      <c r="F179" s="3" t="s">
        <v>455</v>
      </c>
    </row>
    <row r="180" spans="1:6" x14ac:dyDescent="0.25">
      <c r="A180" s="38">
        <v>43574.75640046296</v>
      </c>
      <c r="B180" s="3" t="s">
        <v>42</v>
      </c>
      <c r="C180" s="12" t="s">
        <v>339</v>
      </c>
      <c r="D180" s="12">
        <v>15</v>
      </c>
      <c r="E180" s="12">
        <v>16</v>
      </c>
      <c r="F180" s="3" t="s">
        <v>455</v>
      </c>
    </row>
    <row r="181" spans="1:6" x14ac:dyDescent="0.25">
      <c r="A181" s="38">
        <v>43574.756585648145</v>
      </c>
      <c r="B181" s="3" t="s">
        <v>22</v>
      </c>
      <c r="C181" s="12" t="s">
        <v>339</v>
      </c>
      <c r="D181" s="12">
        <v>3</v>
      </c>
      <c r="E181" s="12">
        <v>4</v>
      </c>
      <c r="F181" s="3" t="s">
        <v>455</v>
      </c>
    </row>
    <row r="182" spans="1:6" x14ac:dyDescent="0.25">
      <c r="A182" s="38">
        <v>43574.756793981483</v>
      </c>
      <c r="B182" s="3" t="s">
        <v>24</v>
      </c>
      <c r="C182" s="12" t="s">
        <v>339</v>
      </c>
      <c r="D182" s="12">
        <v>8</v>
      </c>
      <c r="E182" s="12">
        <v>9</v>
      </c>
      <c r="F182" s="3" t="s">
        <v>455</v>
      </c>
    </row>
    <row r="183" spans="1:6" x14ac:dyDescent="0.25">
      <c r="A183" s="38">
        <v>43574.756944444445</v>
      </c>
      <c r="B183" s="3" t="s">
        <v>39</v>
      </c>
      <c r="C183" s="12" t="s">
        <v>339</v>
      </c>
      <c r="D183" s="12">
        <v>23</v>
      </c>
      <c r="E183" s="12">
        <v>24</v>
      </c>
      <c r="F183" s="3" t="s">
        <v>455</v>
      </c>
    </row>
    <row r="184" spans="1:6" x14ac:dyDescent="0.25">
      <c r="A184" s="38">
        <v>43574.757152777776</v>
      </c>
      <c r="B184" s="3" t="s">
        <v>45</v>
      </c>
      <c r="C184" s="12" t="s">
        <v>339</v>
      </c>
      <c r="D184" s="12">
        <v>0</v>
      </c>
      <c r="E184" s="12">
        <v>1</v>
      </c>
      <c r="F184" s="3" t="s">
        <v>455</v>
      </c>
    </row>
    <row r="185" spans="1:6" x14ac:dyDescent="0.25">
      <c r="A185" s="38">
        <v>43574.757256944446</v>
      </c>
      <c r="B185" s="3" t="s">
        <v>33</v>
      </c>
      <c r="C185" s="12" t="s">
        <v>339</v>
      </c>
      <c r="D185" s="12">
        <v>90</v>
      </c>
      <c r="E185" s="12">
        <v>91</v>
      </c>
      <c r="F185" s="3" t="s">
        <v>455</v>
      </c>
    </row>
    <row r="186" spans="1:6" x14ac:dyDescent="0.25">
      <c r="A186" s="38">
        <v>43576.402766203704</v>
      </c>
      <c r="B186" s="3" t="s">
        <v>461</v>
      </c>
      <c r="C186" s="12" t="s">
        <v>308</v>
      </c>
      <c r="D186" s="12">
        <v>0</v>
      </c>
      <c r="E186" s="12" t="s">
        <v>308</v>
      </c>
      <c r="F186" s="3" t="s">
        <v>476</v>
      </c>
    </row>
    <row r="187" spans="1:6" x14ac:dyDescent="0.25">
      <c r="A187" s="38">
        <v>43576.402766203704</v>
      </c>
      <c r="B187" s="3" t="s">
        <v>142</v>
      </c>
      <c r="C187" s="12" t="s">
        <v>308</v>
      </c>
      <c r="D187" s="12">
        <v>10</v>
      </c>
      <c r="E187" s="12">
        <v>10</v>
      </c>
      <c r="F187" s="3" t="s">
        <v>477</v>
      </c>
    </row>
    <row r="188" spans="1:6" x14ac:dyDescent="0.25">
      <c r="A188" s="38">
        <v>43576.402766203704</v>
      </c>
      <c r="B188" s="3" t="s">
        <v>464</v>
      </c>
      <c r="C188" s="12" t="s">
        <v>308</v>
      </c>
      <c r="D188" s="12">
        <v>0</v>
      </c>
      <c r="E188" s="12" t="s">
        <v>308</v>
      </c>
      <c r="F188" s="3" t="s">
        <v>476</v>
      </c>
    </row>
    <row r="189" spans="1:6" x14ac:dyDescent="0.25">
      <c r="A189" s="38">
        <v>43576.402766203704</v>
      </c>
      <c r="B189" s="3" t="s">
        <v>210</v>
      </c>
      <c r="C189" s="12" t="s">
        <v>308</v>
      </c>
      <c r="D189" s="12">
        <v>9</v>
      </c>
      <c r="E189" s="12">
        <v>9</v>
      </c>
      <c r="F189" s="3" t="s">
        <v>477</v>
      </c>
    </row>
    <row r="190" spans="1:6" x14ac:dyDescent="0.25">
      <c r="A190" s="38">
        <v>43576.402766203704</v>
      </c>
      <c r="B190" s="3" t="s">
        <v>467</v>
      </c>
      <c r="C190" s="12" t="s">
        <v>308</v>
      </c>
      <c r="D190" s="12">
        <v>0</v>
      </c>
      <c r="E190" s="12" t="s">
        <v>308</v>
      </c>
      <c r="F190" s="3" t="s">
        <v>476</v>
      </c>
    </row>
    <row r="191" spans="1:6" x14ac:dyDescent="0.25">
      <c r="A191" s="38">
        <v>43576.402766203704</v>
      </c>
      <c r="B191" s="3" t="s">
        <v>469</v>
      </c>
      <c r="C191" s="12" t="s">
        <v>308</v>
      </c>
      <c r="D191" s="12">
        <v>0</v>
      </c>
      <c r="E191" s="12" t="s">
        <v>308</v>
      </c>
      <c r="F191" s="3" t="s">
        <v>476</v>
      </c>
    </row>
    <row r="192" spans="1:6" x14ac:dyDescent="0.25">
      <c r="A192" s="38">
        <v>43576.402766203704</v>
      </c>
      <c r="B192" s="3" t="s">
        <v>472</v>
      </c>
      <c r="C192" s="12" t="s">
        <v>308</v>
      </c>
      <c r="D192" s="12">
        <v>0</v>
      </c>
      <c r="E192" s="12" t="s">
        <v>308</v>
      </c>
      <c r="F192" s="3" t="s">
        <v>476</v>
      </c>
    </row>
    <row r="193" spans="1:6" x14ac:dyDescent="0.25">
      <c r="A193" s="38">
        <v>43577.507824074077</v>
      </c>
      <c r="B193" s="3" t="s">
        <v>427</v>
      </c>
      <c r="C193" s="12"/>
      <c r="D193" s="12">
        <v>0</v>
      </c>
      <c r="E193" s="12"/>
      <c r="F193" s="3" t="s">
        <v>476</v>
      </c>
    </row>
    <row r="194" spans="1:6" x14ac:dyDescent="0.25">
      <c r="A194" s="38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364</v>
      </c>
    </row>
    <row r="195" spans="1:6" x14ac:dyDescent="0.25">
      <c r="A195" s="38">
        <v>43578.430439814816</v>
      </c>
      <c r="B195" s="3" t="s">
        <v>543</v>
      </c>
      <c r="C195" s="12" t="s">
        <v>58</v>
      </c>
      <c r="D195" s="12" t="s">
        <v>58</v>
      </c>
      <c r="E195" s="12" t="s">
        <v>58</v>
      </c>
      <c r="F195" s="3" t="s">
        <v>364</v>
      </c>
    </row>
    <row r="196" spans="1:6" x14ac:dyDescent="0.25">
      <c r="A196" s="38">
        <v>43578.430578703701</v>
      </c>
      <c r="B196" s="3" t="s">
        <v>544</v>
      </c>
      <c r="C196" s="12" t="s">
        <v>58</v>
      </c>
      <c r="D196" s="12" t="s">
        <v>58</v>
      </c>
      <c r="E196" s="12" t="s">
        <v>58</v>
      </c>
      <c r="F196" s="3" t="s">
        <v>364</v>
      </c>
    </row>
    <row r="197" spans="1:6" x14ac:dyDescent="0.25">
      <c r="A197" s="38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364</v>
      </c>
    </row>
    <row r="198" spans="1:6" x14ac:dyDescent="0.25">
      <c r="A198" s="38">
        <v>43579.466527777775</v>
      </c>
      <c r="B198" s="3" t="s">
        <v>171</v>
      </c>
      <c r="C198" s="12" t="s">
        <v>308</v>
      </c>
      <c r="D198" s="12">
        <v>99</v>
      </c>
      <c r="E198" s="12">
        <v>99</v>
      </c>
      <c r="F198" s="3" t="s">
        <v>477</v>
      </c>
    </row>
    <row r="199" spans="1:6" x14ac:dyDescent="0.25">
      <c r="A199" s="38">
        <v>43579.466527777775</v>
      </c>
      <c r="B199" s="3" t="s">
        <v>548</v>
      </c>
      <c r="C199" s="12" t="s">
        <v>308</v>
      </c>
      <c r="D199" s="12">
        <v>0</v>
      </c>
      <c r="E199" s="12" t="s">
        <v>308</v>
      </c>
      <c r="F199" s="3" t="s">
        <v>476</v>
      </c>
    </row>
    <row r="200" spans="1:6" x14ac:dyDescent="0.25">
      <c r="A200" s="38">
        <v>43579.466539351852</v>
      </c>
      <c r="B200" s="3" t="s">
        <v>549</v>
      </c>
      <c r="C200" s="12" t="s">
        <v>308</v>
      </c>
      <c r="D200" s="12">
        <v>0</v>
      </c>
      <c r="E200" s="12" t="s">
        <v>308</v>
      </c>
      <c r="F200" s="3" t="s">
        <v>476</v>
      </c>
    </row>
    <row r="201" spans="1:6" x14ac:dyDescent="0.25">
      <c r="A201" s="38">
        <v>43579.466539351852</v>
      </c>
      <c r="B201" s="3" t="s">
        <v>550</v>
      </c>
      <c r="C201" s="12" t="s">
        <v>308</v>
      </c>
      <c r="D201" s="12">
        <v>0</v>
      </c>
      <c r="E201" s="12" t="s">
        <v>308</v>
      </c>
      <c r="F201" s="3" t="s">
        <v>476</v>
      </c>
    </row>
    <row r="202" spans="1:6" x14ac:dyDescent="0.25">
      <c r="A202" s="38">
        <v>43579.466539351852</v>
      </c>
      <c r="B202" s="3" t="s">
        <v>551</v>
      </c>
      <c r="C202" s="12" t="s">
        <v>308</v>
      </c>
      <c r="D202" s="12">
        <v>0</v>
      </c>
      <c r="E202" s="12" t="s">
        <v>308</v>
      </c>
      <c r="F202" s="3" t="s">
        <v>476</v>
      </c>
    </row>
    <row r="203" spans="1:6" x14ac:dyDescent="0.25">
      <c r="A203" s="38">
        <v>43579.466539351852</v>
      </c>
      <c r="B203" s="3" t="s">
        <v>552</v>
      </c>
      <c r="C203" s="12" t="s">
        <v>308</v>
      </c>
      <c r="D203" s="12">
        <v>0</v>
      </c>
      <c r="E203" s="12" t="s">
        <v>308</v>
      </c>
      <c r="F203" s="3" t="s">
        <v>476</v>
      </c>
    </row>
    <row r="204" spans="1:6" x14ac:dyDescent="0.25">
      <c r="A204" s="38">
        <v>43579.466539351852</v>
      </c>
      <c r="B204" s="3" t="s">
        <v>553</v>
      </c>
      <c r="C204" s="12" t="s">
        <v>308</v>
      </c>
      <c r="D204" s="12">
        <v>0</v>
      </c>
      <c r="E204" s="12" t="s">
        <v>308</v>
      </c>
      <c r="F204" s="3" t="s">
        <v>476</v>
      </c>
    </row>
    <row r="205" spans="1:6" x14ac:dyDescent="0.25">
      <c r="A205" s="38">
        <v>43579.466539351852</v>
      </c>
      <c r="B205" s="3" t="s">
        <v>554</v>
      </c>
      <c r="C205" s="12" t="s">
        <v>308</v>
      </c>
      <c r="D205" s="12">
        <v>0</v>
      </c>
      <c r="E205" s="12" t="s">
        <v>308</v>
      </c>
      <c r="F205" s="3" t="s">
        <v>476</v>
      </c>
    </row>
    <row r="206" spans="1:6" x14ac:dyDescent="0.25">
      <c r="A206" s="38">
        <v>43579.466550925928</v>
      </c>
      <c r="B206" s="3" t="s">
        <v>555</v>
      </c>
      <c r="C206" s="12" t="s">
        <v>308</v>
      </c>
      <c r="D206" s="12">
        <v>0</v>
      </c>
      <c r="E206" s="12" t="s">
        <v>308</v>
      </c>
      <c r="F206" s="3" t="s">
        <v>476</v>
      </c>
    </row>
    <row r="207" spans="1:6" x14ac:dyDescent="0.25">
      <c r="A207" s="38">
        <v>43579.466550925928</v>
      </c>
      <c r="B207" s="3" t="s">
        <v>556</v>
      </c>
      <c r="C207" s="12" t="s">
        <v>308</v>
      </c>
      <c r="D207" s="12">
        <v>0</v>
      </c>
      <c r="E207" s="12" t="s">
        <v>308</v>
      </c>
      <c r="F207" s="3" t="s">
        <v>476</v>
      </c>
    </row>
    <row r="208" spans="1:6" x14ac:dyDescent="0.25">
      <c r="A208" s="38">
        <v>43579.466550925928</v>
      </c>
      <c r="B208" s="3" t="s">
        <v>557</v>
      </c>
      <c r="C208" s="12" t="s">
        <v>308</v>
      </c>
      <c r="D208" s="12">
        <v>0</v>
      </c>
      <c r="E208" s="12" t="s">
        <v>308</v>
      </c>
      <c r="F208" s="3" t="s">
        <v>476</v>
      </c>
    </row>
    <row r="209" spans="1:6" x14ac:dyDescent="0.25">
      <c r="A209" s="38">
        <v>43579.466550925928</v>
      </c>
      <c r="B209" s="3" t="s">
        <v>558</v>
      </c>
      <c r="C209" s="12" t="s">
        <v>308</v>
      </c>
      <c r="D209" s="12">
        <v>0</v>
      </c>
      <c r="E209" s="12" t="s">
        <v>308</v>
      </c>
      <c r="F209" s="3" t="s">
        <v>476</v>
      </c>
    </row>
    <row r="210" spans="1:6" x14ac:dyDescent="0.25">
      <c r="A210" s="38">
        <v>43579.466550925928</v>
      </c>
      <c r="B210" s="3" t="s">
        <v>559</v>
      </c>
      <c r="C210" s="12" t="s">
        <v>308</v>
      </c>
      <c r="D210" s="12">
        <v>0</v>
      </c>
      <c r="E210" s="12" t="s">
        <v>308</v>
      </c>
      <c r="F210" s="3" t="s">
        <v>476</v>
      </c>
    </row>
    <row r="211" spans="1:6" x14ac:dyDescent="0.25">
      <c r="A211" s="38">
        <v>43579.466550925928</v>
      </c>
      <c r="B211" s="3" t="s">
        <v>228</v>
      </c>
      <c r="C211" s="12" t="s">
        <v>308</v>
      </c>
      <c r="D211" s="12">
        <v>99</v>
      </c>
      <c r="E211" s="12">
        <v>99</v>
      </c>
      <c r="F211" s="3" t="s">
        <v>477</v>
      </c>
    </row>
    <row r="212" spans="1:6" x14ac:dyDescent="0.25">
      <c r="A212" s="38">
        <v>43579.466562499998</v>
      </c>
      <c r="B212" s="3" t="s">
        <v>560</v>
      </c>
      <c r="C212" s="12" t="s">
        <v>308</v>
      </c>
      <c r="D212" s="12">
        <v>0</v>
      </c>
      <c r="E212" s="12" t="s">
        <v>308</v>
      </c>
      <c r="F212" s="3" t="s">
        <v>476</v>
      </c>
    </row>
    <row r="213" spans="1:6" x14ac:dyDescent="0.25">
      <c r="A213" s="38">
        <v>43579.466562499998</v>
      </c>
      <c r="B213" s="3" t="s">
        <v>561</v>
      </c>
      <c r="C213" s="12" t="s">
        <v>308</v>
      </c>
      <c r="D213" s="12">
        <v>0</v>
      </c>
      <c r="E213" s="12" t="s">
        <v>308</v>
      </c>
      <c r="F213" s="3" t="s">
        <v>476</v>
      </c>
    </row>
    <row r="214" spans="1:6" x14ac:dyDescent="0.25">
      <c r="A214" s="38">
        <v>43579.466562499998</v>
      </c>
      <c r="B214" s="3" t="s">
        <v>562</v>
      </c>
      <c r="C214" s="12" t="s">
        <v>308</v>
      </c>
      <c r="D214" s="12">
        <v>0</v>
      </c>
      <c r="E214" s="12" t="s">
        <v>308</v>
      </c>
      <c r="F214" s="3" t="s">
        <v>476</v>
      </c>
    </row>
    <row r="215" spans="1:6" x14ac:dyDescent="0.25">
      <c r="A215" s="38">
        <v>43579.466562499998</v>
      </c>
      <c r="B215" s="3" t="s">
        <v>563</v>
      </c>
      <c r="C215" s="12" t="s">
        <v>308</v>
      </c>
      <c r="D215" s="12">
        <v>0</v>
      </c>
      <c r="E215" s="12" t="s">
        <v>308</v>
      </c>
      <c r="F215" s="3" t="s">
        <v>476</v>
      </c>
    </row>
    <row r="216" spans="1:6" x14ac:dyDescent="0.25">
      <c r="A216" s="38">
        <v>43579.466562499998</v>
      </c>
      <c r="B216" s="3" t="s">
        <v>564</v>
      </c>
      <c r="C216" s="12" t="s">
        <v>308</v>
      </c>
      <c r="D216" s="12">
        <v>0</v>
      </c>
      <c r="E216" s="12" t="s">
        <v>308</v>
      </c>
      <c r="F216" s="3" t="s">
        <v>476</v>
      </c>
    </row>
    <row r="217" spans="1:6" x14ac:dyDescent="0.25">
      <c r="A217" s="38">
        <v>43579.466574074075</v>
      </c>
      <c r="B217" s="3" t="s">
        <v>565</v>
      </c>
      <c r="C217" s="12" t="s">
        <v>308</v>
      </c>
      <c r="D217" s="12">
        <v>0</v>
      </c>
      <c r="E217" s="12" t="s">
        <v>308</v>
      </c>
      <c r="F217" s="3" t="s">
        <v>476</v>
      </c>
    </row>
    <row r="218" spans="1:6" x14ac:dyDescent="0.25">
      <c r="A218" s="38">
        <v>43579.466574074075</v>
      </c>
      <c r="B218" s="3" t="s">
        <v>566</v>
      </c>
      <c r="C218" s="12" t="s">
        <v>308</v>
      </c>
      <c r="D218" s="12">
        <v>0</v>
      </c>
      <c r="E218" s="12" t="s">
        <v>308</v>
      </c>
      <c r="F218" s="3" t="s">
        <v>476</v>
      </c>
    </row>
    <row r="219" spans="1:6" x14ac:dyDescent="0.25">
      <c r="A219" s="38">
        <v>43579.466574074075</v>
      </c>
      <c r="B219" s="3" t="s">
        <v>567</v>
      </c>
      <c r="C219" s="12" t="s">
        <v>308</v>
      </c>
      <c r="D219" s="12">
        <v>0</v>
      </c>
      <c r="E219" s="12" t="s">
        <v>308</v>
      </c>
      <c r="F219" s="3" t="s">
        <v>476</v>
      </c>
    </row>
    <row r="220" spans="1:6" x14ac:dyDescent="0.25">
      <c r="A220" s="38">
        <v>43579.466574074075</v>
      </c>
      <c r="B220" s="3" t="s">
        <v>568</v>
      </c>
      <c r="C220" s="12" t="s">
        <v>308</v>
      </c>
      <c r="D220" s="12">
        <v>0</v>
      </c>
      <c r="E220" s="12" t="s">
        <v>308</v>
      </c>
      <c r="F220" s="3" t="s">
        <v>476</v>
      </c>
    </row>
    <row r="221" spans="1:6" x14ac:dyDescent="0.25">
      <c r="A221" s="38">
        <v>43579.466574074075</v>
      </c>
      <c r="B221" s="3" t="s">
        <v>569</v>
      </c>
      <c r="C221" s="12" t="s">
        <v>308</v>
      </c>
      <c r="D221" s="12">
        <v>0</v>
      </c>
      <c r="E221" s="12" t="s">
        <v>308</v>
      </c>
      <c r="F221" s="3" t="s">
        <v>476</v>
      </c>
    </row>
    <row r="222" spans="1:6" x14ac:dyDescent="0.25">
      <c r="A222" s="38">
        <v>43579.466574074075</v>
      </c>
      <c r="B222" s="3" t="s">
        <v>171</v>
      </c>
      <c r="C222" s="12" t="s">
        <v>308</v>
      </c>
      <c r="D222" s="12">
        <v>99</v>
      </c>
      <c r="E222" s="12">
        <v>99</v>
      </c>
      <c r="F222" s="3" t="s">
        <v>477</v>
      </c>
    </row>
    <row r="223" spans="1:6" x14ac:dyDescent="0.25">
      <c r="A223" s="38">
        <v>43579.466574074075</v>
      </c>
      <c r="B223" s="3" t="s">
        <v>570</v>
      </c>
      <c r="C223" s="12" t="s">
        <v>308</v>
      </c>
      <c r="D223" s="12">
        <v>0</v>
      </c>
      <c r="E223" s="12" t="s">
        <v>308</v>
      </c>
      <c r="F223" s="3" t="s">
        <v>476</v>
      </c>
    </row>
    <row r="224" spans="1:6" x14ac:dyDescent="0.25">
      <c r="A224" s="38">
        <v>43579.466585648152</v>
      </c>
      <c r="B224" s="3" t="s">
        <v>571</v>
      </c>
      <c r="C224" s="12" t="s">
        <v>308</v>
      </c>
      <c r="D224" s="12">
        <v>0</v>
      </c>
      <c r="E224" s="12" t="s">
        <v>308</v>
      </c>
      <c r="F224" s="3" t="s">
        <v>476</v>
      </c>
    </row>
    <row r="225" spans="1:6" x14ac:dyDescent="0.25">
      <c r="A225" s="38">
        <v>43579.466585648152</v>
      </c>
      <c r="B225" s="3" t="s">
        <v>572</v>
      </c>
      <c r="C225" s="12" t="s">
        <v>308</v>
      </c>
      <c r="D225" s="12">
        <v>0</v>
      </c>
      <c r="E225" s="12" t="s">
        <v>308</v>
      </c>
      <c r="F225" s="3" t="s">
        <v>476</v>
      </c>
    </row>
    <row r="226" spans="1:6" x14ac:dyDescent="0.25">
      <c r="A226" s="38">
        <v>43579.466585648152</v>
      </c>
      <c r="B226" s="3" t="s">
        <v>573</v>
      </c>
      <c r="C226" s="12" t="s">
        <v>308</v>
      </c>
      <c r="D226" s="12">
        <v>0</v>
      </c>
      <c r="E226" s="12" t="s">
        <v>308</v>
      </c>
      <c r="F226" s="3" t="s">
        <v>476</v>
      </c>
    </row>
    <row r="227" spans="1:6" x14ac:dyDescent="0.25">
      <c r="A227" s="38">
        <v>43579.466585648152</v>
      </c>
      <c r="B227" s="3" t="s">
        <v>574</v>
      </c>
      <c r="C227" s="12" t="s">
        <v>308</v>
      </c>
      <c r="D227" s="12">
        <v>0</v>
      </c>
      <c r="E227" s="12" t="s">
        <v>308</v>
      </c>
      <c r="F227" s="3" t="s">
        <v>476</v>
      </c>
    </row>
    <row r="228" spans="1:6" x14ac:dyDescent="0.25">
      <c r="A228" s="38">
        <v>43579.466585648152</v>
      </c>
      <c r="B228" s="3" t="s">
        <v>575</v>
      </c>
      <c r="C228" s="12" t="s">
        <v>308</v>
      </c>
      <c r="D228" s="12">
        <v>0</v>
      </c>
      <c r="E228" s="12" t="s">
        <v>308</v>
      </c>
      <c r="F228" s="3" t="s">
        <v>476</v>
      </c>
    </row>
    <row r="229" spans="1:6" x14ac:dyDescent="0.25">
      <c r="A229" s="38">
        <v>43579.466585648152</v>
      </c>
      <c r="B229" s="3" t="s">
        <v>576</v>
      </c>
      <c r="C229" s="12" t="s">
        <v>308</v>
      </c>
      <c r="D229" s="12">
        <v>0</v>
      </c>
      <c r="E229" s="12" t="s">
        <v>308</v>
      </c>
      <c r="F229" s="3" t="s">
        <v>476</v>
      </c>
    </row>
    <row r="230" spans="1:6" x14ac:dyDescent="0.25">
      <c r="A230" s="38">
        <v>43579.466597222221</v>
      </c>
      <c r="B230" s="3" t="s">
        <v>577</v>
      </c>
      <c r="C230" s="12" t="s">
        <v>308</v>
      </c>
      <c r="D230" s="12">
        <v>0</v>
      </c>
      <c r="E230" s="12" t="s">
        <v>308</v>
      </c>
      <c r="F230" s="3" t="s">
        <v>476</v>
      </c>
    </row>
    <row r="231" spans="1:6" x14ac:dyDescent="0.25">
      <c r="A231" s="38">
        <v>43579.466597222221</v>
      </c>
      <c r="B231" s="3" t="s">
        <v>578</v>
      </c>
      <c r="C231" s="12" t="s">
        <v>308</v>
      </c>
      <c r="D231" s="12">
        <v>0</v>
      </c>
      <c r="E231" s="12" t="s">
        <v>308</v>
      </c>
      <c r="F231" s="3" t="s">
        <v>476</v>
      </c>
    </row>
    <row r="232" spans="1:6" x14ac:dyDescent="0.25">
      <c r="A232" s="38">
        <v>43579.466597222221</v>
      </c>
      <c r="B232" s="3" t="s">
        <v>579</v>
      </c>
      <c r="C232" s="12" t="s">
        <v>308</v>
      </c>
      <c r="D232" s="12">
        <v>0</v>
      </c>
      <c r="E232" s="12" t="s">
        <v>308</v>
      </c>
      <c r="F232" s="3" t="s">
        <v>476</v>
      </c>
    </row>
    <row r="233" spans="1:6" x14ac:dyDescent="0.25">
      <c r="A233" s="38">
        <v>43579.466597222221</v>
      </c>
      <c r="B233" s="3" t="s">
        <v>580</v>
      </c>
      <c r="C233" s="12" t="s">
        <v>308</v>
      </c>
      <c r="D233" s="12">
        <v>0</v>
      </c>
      <c r="E233" s="12" t="s">
        <v>308</v>
      </c>
      <c r="F233" s="3" t="s">
        <v>476</v>
      </c>
    </row>
    <row r="234" spans="1:6" x14ac:dyDescent="0.25">
      <c r="A234" s="38">
        <v>43579.466597222221</v>
      </c>
      <c r="B234" s="3" t="s">
        <v>581</v>
      </c>
      <c r="C234" s="12" t="s">
        <v>308</v>
      </c>
      <c r="D234" s="12">
        <v>0</v>
      </c>
      <c r="E234" s="12" t="s">
        <v>308</v>
      </c>
      <c r="F234" s="3" t="s">
        <v>476</v>
      </c>
    </row>
    <row r="235" spans="1:6" x14ac:dyDescent="0.25">
      <c r="A235" s="38">
        <v>43579.466597222221</v>
      </c>
      <c r="B235" s="3" t="s">
        <v>582</v>
      </c>
      <c r="C235" s="12" t="s">
        <v>308</v>
      </c>
      <c r="D235" s="12">
        <v>0</v>
      </c>
      <c r="E235" s="12" t="s">
        <v>308</v>
      </c>
      <c r="F235" s="3" t="s">
        <v>476</v>
      </c>
    </row>
    <row r="236" spans="1:6" x14ac:dyDescent="0.25">
      <c r="A236" s="38">
        <v>43579.466597222221</v>
      </c>
      <c r="B236" s="3" t="s">
        <v>583</v>
      </c>
      <c r="C236" s="12" t="s">
        <v>308</v>
      </c>
      <c r="D236" s="12">
        <v>0</v>
      </c>
      <c r="E236" s="12" t="s">
        <v>308</v>
      </c>
      <c r="F236" s="3" t="s">
        <v>476</v>
      </c>
    </row>
    <row r="237" spans="1:6" x14ac:dyDescent="0.25">
      <c r="A237" s="38">
        <v>43579.588634259257</v>
      </c>
      <c r="B237" s="3" t="s">
        <v>461</v>
      </c>
      <c r="C237" s="12" t="s">
        <v>58</v>
      </c>
      <c r="D237" s="12" t="s">
        <v>58</v>
      </c>
      <c r="E237" s="12" t="s">
        <v>58</v>
      </c>
      <c r="F237" s="3" t="s">
        <v>364</v>
      </c>
    </row>
    <row r="238" spans="1:6" x14ac:dyDescent="0.25">
      <c r="A238" s="38">
        <v>43580.400092592594</v>
      </c>
      <c r="B238" s="3" t="s">
        <v>536</v>
      </c>
      <c r="C238" s="12" t="s">
        <v>308</v>
      </c>
      <c r="D238" s="12">
        <v>0</v>
      </c>
      <c r="E238" s="12" t="s">
        <v>308</v>
      </c>
      <c r="F238" s="3" t="s">
        <v>476</v>
      </c>
    </row>
    <row r="239" spans="1:6" x14ac:dyDescent="0.25">
      <c r="A239" s="38">
        <v>43580.400925925926</v>
      </c>
      <c r="B239" s="3" t="s">
        <v>535</v>
      </c>
      <c r="C239" s="12" t="s">
        <v>308</v>
      </c>
      <c r="D239" s="12">
        <v>0</v>
      </c>
      <c r="E239" s="12" t="s">
        <v>308</v>
      </c>
      <c r="F239" s="3" t="s">
        <v>476</v>
      </c>
    </row>
    <row r="240" spans="1:6" x14ac:dyDescent="0.25">
      <c r="A240" s="38">
        <v>43580.401284722226</v>
      </c>
      <c r="B240" s="3" t="s">
        <v>537</v>
      </c>
      <c r="C240" s="12" t="s">
        <v>308</v>
      </c>
      <c r="D240" s="12">
        <v>0</v>
      </c>
      <c r="E240" s="12" t="s">
        <v>308</v>
      </c>
      <c r="F240" s="3" t="s">
        <v>476</v>
      </c>
    </row>
    <row r="241" spans="1:6" x14ac:dyDescent="0.25">
      <c r="A241" s="38">
        <v>43580.401620370372</v>
      </c>
      <c r="B241" s="3" t="s">
        <v>538</v>
      </c>
      <c r="C241" s="12" t="s">
        <v>308</v>
      </c>
      <c r="D241" s="12">
        <v>0</v>
      </c>
      <c r="E241" s="12" t="s">
        <v>308</v>
      </c>
      <c r="F241" s="3" t="s">
        <v>476</v>
      </c>
    </row>
    <row r="242" spans="1:6" x14ac:dyDescent="0.25">
      <c r="A242" s="38">
        <v>43580.414942129632</v>
      </c>
      <c r="B242" s="3" t="s">
        <v>540</v>
      </c>
      <c r="C242" s="12" t="s">
        <v>308</v>
      </c>
      <c r="D242" s="12">
        <v>0</v>
      </c>
      <c r="E242" s="12" t="s">
        <v>308</v>
      </c>
      <c r="F242" s="3" t="s">
        <v>476</v>
      </c>
    </row>
    <row r="243" spans="1:6" x14ac:dyDescent="0.25">
      <c r="A243" s="38">
        <v>43580.415138888886</v>
      </c>
      <c r="B243" s="3" t="s">
        <v>539</v>
      </c>
      <c r="C243" s="12" t="s">
        <v>308</v>
      </c>
      <c r="D243" s="12">
        <v>0</v>
      </c>
      <c r="E243" s="12" t="s">
        <v>308</v>
      </c>
      <c r="F243" s="3" t="s">
        <v>476</v>
      </c>
    </row>
    <row r="244" spans="1:6" x14ac:dyDescent="0.25">
      <c r="A244" s="38">
        <v>43580.423252314817</v>
      </c>
      <c r="B244" s="3" t="s">
        <v>598</v>
      </c>
      <c r="C244" s="12" t="s">
        <v>308</v>
      </c>
      <c r="D244" s="12">
        <v>0</v>
      </c>
      <c r="E244" s="12" t="s">
        <v>308</v>
      </c>
      <c r="F244" s="3" t="s">
        <v>476</v>
      </c>
    </row>
    <row r="245" spans="1:6" x14ac:dyDescent="0.25">
      <c r="A245" s="38">
        <v>43580.423252314817</v>
      </c>
      <c r="B245" s="3" t="s">
        <v>599</v>
      </c>
      <c r="C245" s="12" t="s">
        <v>308</v>
      </c>
      <c r="D245" s="12">
        <v>0</v>
      </c>
      <c r="E245" s="12" t="s">
        <v>308</v>
      </c>
      <c r="F245" s="3" t="s">
        <v>476</v>
      </c>
    </row>
    <row r="246" spans="1:6" x14ac:dyDescent="0.25">
      <c r="A246" s="38">
        <v>43580.423252314817</v>
      </c>
      <c r="B246" s="3" t="s">
        <v>600</v>
      </c>
      <c r="C246" s="12" t="s">
        <v>308</v>
      </c>
      <c r="D246" s="12">
        <v>0</v>
      </c>
      <c r="E246" s="12" t="s">
        <v>308</v>
      </c>
      <c r="F246" s="3" t="s">
        <v>476</v>
      </c>
    </row>
    <row r="247" spans="1:6" x14ac:dyDescent="0.25">
      <c r="A247" s="38">
        <v>43580.423252314817</v>
      </c>
      <c r="B247" s="3" t="s">
        <v>601</v>
      </c>
      <c r="C247" s="12" t="s">
        <v>308</v>
      </c>
      <c r="D247" s="12">
        <v>0</v>
      </c>
      <c r="E247" s="12" t="s">
        <v>308</v>
      </c>
      <c r="F247" s="3" t="s">
        <v>476</v>
      </c>
    </row>
    <row r="248" spans="1:6" x14ac:dyDescent="0.25">
      <c r="A248" s="38">
        <v>43580.423263888886</v>
      </c>
      <c r="B248" s="3" t="s">
        <v>602</v>
      </c>
      <c r="C248" s="12" t="s">
        <v>308</v>
      </c>
      <c r="D248" s="12">
        <v>0</v>
      </c>
      <c r="E248" s="12" t="s">
        <v>308</v>
      </c>
      <c r="F248" s="3" t="s">
        <v>476</v>
      </c>
    </row>
    <row r="249" spans="1:6" x14ac:dyDescent="0.25">
      <c r="A249" s="38">
        <v>43580.423263888886</v>
      </c>
      <c r="B249" s="3" t="s">
        <v>603</v>
      </c>
      <c r="C249" s="12" t="s">
        <v>308</v>
      </c>
      <c r="D249" s="12">
        <v>0</v>
      </c>
      <c r="E249" s="12" t="s">
        <v>308</v>
      </c>
      <c r="F249" s="3" t="s">
        <v>476</v>
      </c>
    </row>
    <row r="250" spans="1:6" x14ac:dyDescent="0.25">
      <c r="A250" s="38">
        <v>43580.423263888886</v>
      </c>
      <c r="B250" s="3" t="s">
        <v>604</v>
      </c>
      <c r="C250" s="12" t="s">
        <v>308</v>
      </c>
      <c r="D250" s="12">
        <v>0</v>
      </c>
      <c r="E250" s="12" t="s">
        <v>308</v>
      </c>
      <c r="F250" s="3" t="s">
        <v>476</v>
      </c>
    </row>
    <row r="251" spans="1:6" x14ac:dyDescent="0.25">
      <c r="A251" s="38">
        <v>43580.423263888886</v>
      </c>
      <c r="B251" s="3" t="s">
        <v>605</v>
      </c>
      <c r="C251" s="12" t="s">
        <v>308</v>
      </c>
      <c r="D251" s="12">
        <v>0</v>
      </c>
      <c r="E251" s="12" t="s">
        <v>308</v>
      </c>
      <c r="F251" s="3" t="s">
        <v>476</v>
      </c>
    </row>
    <row r="252" spans="1:6" x14ac:dyDescent="0.25">
      <c r="A252" s="38">
        <v>43580.423263888886</v>
      </c>
      <c r="B252" s="3" t="s">
        <v>606</v>
      </c>
      <c r="C252" s="12" t="s">
        <v>308</v>
      </c>
      <c r="D252" s="12">
        <v>0</v>
      </c>
      <c r="E252" s="12" t="s">
        <v>308</v>
      </c>
      <c r="F252" s="3" t="s">
        <v>476</v>
      </c>
    </row>
    <row r="253" spans="1:6" x14ac:dyDescent="0.25">
      <c r="A253" s="38">
        <v>43580.423263888886</v>
      </c>
      <c r="B253" s="3" t="s">
        <v>607</v>
      </c>
      <c r="C253" s="12" t="s">
        <v>308</v>
      </c>
      <c r="D253" s="12">
        <v>0</v>
      </c>
      <c r="E253" s="12" t="s">
        <v>308</v>
      </c>
      <c r="F253" s="3" t="s">
        <v>476</v>
      </c>
    </row>
    <row r="254" spans="1:6" x14ac:dyDescent="0.25">
      <c r="A254" s="38">
        <v>43580.423263888886</v>
      </c>
      <c r="B254" s="3" t="s">
        <v>608</v>
      </c>
      <c r="C254" s="12" t="s">
        <v>308</v>
      </c>
      <c r="D254" s="12">
        <v>0</v>
      </c>
      <c r="E254" s="12" t="s">
        <v>308</v>
      </c>
      <c r="F254" s="3" t="s">
        <v>476</v>
      </c>
    </row>
    <row r="255" spans="1:6" x14ac:dyDescent="0.25">
      <c r="A255" s="38">
        <v>43580.423263888886</v>
      </c>
      <c r="B255" s="3" t="s">
        <v>609</v>
      </c>
      <c r="C255" s="12" t="s">
        <v>308</v>
      </c>
      <c r="D255" s="12">
        <v>0</v>
      </c>
      <c r="E255" s="12" t="s">
        <v>308</v>
      </c>
      <c r="F255" s="3" t="s">
        <v>476</v>
      </c>
    </row>
    <row r="256" spans="1:6" x14ac:dyDescent="0.25">
      <c r="A256" s="38">
        <v>43580.423263888886</v>
      </c>
      <c r="B256" s="3" t="s">
        <v>610</v>
      </c>
      <c r="C256" s="12" t="s">
        <v>308</v>
      </c>
      <c r="D256" s="12">
        <v>0</v>
      </c>
      <c r="E256" s="12" t="s">
        <v>308</v>
      </c>
      <c r="F256" s="3" t="s">
        <v>476</v>
      </c>
    </row>
    <row r="257" spans="1:6" x14ac:dyDescent="0.25">
      <c r="A257" s="38">
        <v>43580.423263888886</v>
      </c>
      <c r="B257" s="3" t="s">
        <v>611</v>
      </c>
      <c r="C257" s="12" t="s">
        <v>308</v>
      </c>
      <c r="D257" s="12">
        <v>0</v>
      </c>
      <c r="E257" s="12" t="s">
        <v>308</v>
      </c>
      <c r="F257" s="3" t="s">
        <v>476</v>
      </c>
    </row>
    <row r="258" spans="1:6" x14ac:dyDescent="0.25">
      <c r="A258" s="38">
        <v>43580.423263888886</v>
      </c>
      <c r="B258" s="3" t="s">
        <v>612</v>
      </c>
      <c r="C258" s="12" t="s">
        <v>308</v>
      </c>
      <c r="D258" s="12">
        <v>0</v>
      </c>
      <c r="E258" s="12" t="s">
        <v>308</v>
      </c>
      <c r="F258" s="3" t="s">
        <v>476</v>
      </c>
    </row>
    <row r="259" spans="1:6" x14ac:dyDescent="0.25">
      <c r="A259" s="38">
        <v>43580.423275462963</v>
      </c>
      <c r="B259" s="3" t="s">
        <v>613</v>
      </c>
      <c r="C259" s="12" t="s">
        <v>308</v>
      </c>
      <c r="D259" s="12">
        <v>0</v>
      </c>
      <c r="E259" s="12" t="s">
        <v>308</v>
      </c>
      <c r="F259" s="3" t="s">
        <v>476</v>
      </c>
    </row>
    <row r="260" spans="1:6" x14ac:dyDescent="0.25">
      <c r="A260" s="38">
        <v>43580.423275462963</v>
      </c>
      <c r="B260" s="3" t="s">
        <v>614</v>
      </c>
      <c r="C260" s="12" t="s">
        <v>308</v>
      </c>
      <c r="D260" s="12">
        <v>0</v>
      </c>
      <c r="E260" s="12" t="s">
        <v>308</v>
      </c>
      <c r="F260" s="3" t="s">
        <v>476</v>
      </c>
    </row>
    <row r="261" spans="1:6" x14ac:dyDescent="0.25">
      <c r="A261" s="38">
        <v>43580.423275462963</v>
      </c>
      <c r="B261" s="3" t="s">
        <v>615</v>
      </c>
      <c r="C261" s="12" t="s">
        <v>308</v>
      </c>
      <c r="D261" s="12">
        <v>0</v>
      </c>
      <c r="E261" s="12" t="s">
        <v>308</v>
      </c>
      <c r="F261" s="3" t="s">
        <v>476</v>
      </c>
    </row>
    <row r="262" spans="1:6" x14ac:dyDescent="0.25">
      <c r="A262" s="38">
        <v>43580.423275462963</v>
      </c>
      <c r="B262" s="3" t="s">
        <v>616</v>
      </c>
      <c r="C262" s="12" t="s">
        <v>308</v>
      </c>
      <c r="D262" s="12">
        <v>0</v>
      </c>
      <c r="E262" s="12" t="s">
        <v>308</v>
      </c>
      <c r="F262" s="3" t="s">
        <v>476</v>
      </c>
    </row>
    <row r="263" spans="1:6" x14ac:dyDescent="0.25">
      <c r="A263" s="38">
        <v>43580.423275462963</v>
      </c>
      <c r="B263" s="3" t="s">
        <v>617</v>
      </c>
      <c r="C263" s="12" t="s">
        <v>308</v>
      </c>
      <c r="D263" s="12">
        <v>0</v>
      </c>
      <c r="E263" s="12" t="s">
        <v>308</v>
      </c>
      <c r="F263" s="3" t="s">
        <v>476</v>
      </c>
    </row>
    <row r="264" spans="1:6" x14ac:dyDescent="0.25">
      <c r="A264" s="38">
        <v>43580.423275462963</v>
      </c>
      <c r="B264" s="3" t="s">
        <v>618</v>
      </c>
      <c r="C264" s="12" t="s">
        <v>308</v>
      </c>
      <c r="D264" s="12">
        <v>0</v>
      </c>
      <c r="E264" s="12" t="s">
        <v>308</v>
      </c>
      <c r="F264" s="3" t="s">
        <v>476</v>
      </c>
    </row>
    <row r="265" spans="1:6" x14ac:dyDescent="0.25">
      <c r="A265" s="38">
        <v>43580.423275462963</v>
      </c>
      <c r="B265" s="3" t="s">
        <v>619</v>
      </c>
      <c r="C265" s="12" t="s">
        <v>308</v>
      </c>
      <c r="D265" s="12">
        <v>0</v>
      </c>
      <c r="E265" s="12" t="s">
        <v>308</v>
      </c>
      <c r="F265" s="3" t="s">
        <v>476</v>
      </c>
    </row>
    <row r="266" spans="1:6" x14ac:dyDescent="0.25">
      <c r="A266" s="38">
        <v>43580.423275462963</v>
      </c>
      <c r="B266" s="3" t="s">
        <v>620</v>
      </c>
      <c r="C266" s="12" t="s">
        <v>308</v>
      </c>
      <c r="D266" s="12">
        <v>0</v>
      </c>
      <c r="E266" s="12" t="s">
        <v>308</v>
      </c>
      <c r="F266" s="3" t="s">
        <v>476</v>
      </c>
    </row>
    <row r="267" spans="1:6" x14ac:dyDescent="0.25">
      <c r="A267" s="38">
        <v>43580.423275462963</v>
      </c>
      <c r="B267" s="3" t="s">
        <v>621</v>
      </c>
      <c r="C267" s="12" t="s">
        <v>308</v>
      </c>
      <c r="D267" s="12">
        <v>0</v>
      </c>
      <c r="E267" s="12" t="s">
        <v>308</v>
      </c>
      <c r="F267" s="3" t="s">
        <v>476</v>
      </c>
    </row>
    <row r="268" spans="1:6" x14ac:dyDescent="0.25">
      <c r="A268" s="38">
        <v>43580.423275462963</v>
      </c>
      <c r="B268" s="3" t="s">
        <v>622</v>
      </c>
      <c r="C268" s="12" t="s">
        <v>308</v>
      </c>
      <c r="D268" s="12">
        <v>0</v>
      </c>
      <c r="E268" s="12" t="s">
        <v>308</v>
      </c>
      <c r="F268" s="3" t="s">
        <v>476</v>
      </c>
    </row>
    <row r="269" spans="1:6" x14ac:dyDescent="0.25">
      <c r="A269" s="38">
        <v>43580.423275462963</v>
      </c>
      <c r="B269" s="3" t="s">
        <v>623</v>
      </c>
      <c r="C269" s="12" t="s">
        <v>308</v>
      </c>
      <c r="D269" s="12">
        <v>0</v>
      </c>
      <c r="E269" s="12" t="s">
        <v>308</v>
      </c>
      <c r="F269" s="3" t="s">
        <v>476</v>
      </c>
    </row>
    <row r="270" spans="1:6" x14ac:dyDescent="0.25">
      <c r="A270" s="38">
        <v>43580.42328703704</v>
      </c>
      <c r="B270" s="3" t="s">
        <v>624</v>
      </c>
      <c r="C270" s="12" t="s">
        <v>308</v>
      </c>
      <c r="D270" s="12">
        <v>0</v>
      </c>
      <c r="E270" s="12" t="s">
        <v>308</v>
      </c>
      <c r="F270" s="3" t="s">
        <v>476</v>
      </c>
    </row>
    <row r="271" spans="1:6" x14ac:dyDescent="0.25">
      <c r="A271" s="38">
        <v>43580.42328703704</v>
      </c>
      <c r="B271" s="3" t="s">
        <v>625</v>
      </c>
      <c r="C271" s="12" t="s">
        <v>308</v>
      </c>
      <c r="D271" s="12">
        <v>0</v>
      </c>
      <c r="E271" s="12" t="s">
        <v>308</v>
      </c>
      <c r="F271" s="3" t="s">
        <v>476</v>
      </c>
    </row>
    <row r="272" spans="1:6" x14ac:dyDescent="0.25">
      <c r="A272" s="38">
        <v>43580.42328703704</v>
      </c>
      <c r="B272" s="3" t="s">
        <v>626</v>
      </c>
      <c r="C272" s="12" t="s">
        <v>308</v>
      </c>
      <c r="D272" s="12">
        <v>0</v>
      </c>
      <c r="E272" s="12" t="s">
        <v>308</v>
      </c>
      <c r="F272" s="3" t="s">
        <v>476</v>
      </c>
    </row>
    <row r="273" spans="1:6" x14ac:dyDescent="0.25">
      <c r="A273" s="38">
        <v>43580.42328703704</v>
      </c>
      <c r="B273" s="3" t="s">
        <v>627</v>
      </c>
      <c r="C273" s="12" t="s">
        <v>308</v>
      </c>
      <c r="D273" s="12">
        <v>0</v>
      </c>
      <c r="E273" s="12" t="s">
        <v>308</v>
      </c>
      <c r="F273" s="3" t="s">
        <v>476</v>
      </c>
    </row>
    <row r="274" spans="1:6" x14ac:dyDescent="0.25">
      <c r="A274" s="38">
        <v>43580.42328703704</v>
      </c>
      <c r="B274" s="3" t="s">
        <v>628</v>
      </c>
      <c r="C274" s="12" t="s">
        <v>308</v>
      </c>
      <c r="D274" s="12">
        <v>0</v>
      </c>
      <c r="E274" s="12" t="s">
        <v>308</v>
      </c>
      <c r="F274" s="3" t="s">
        <v>476</v>
      </c>
    </row>
    <row r="275" spans="1:6" x14ac:dyDescent="0.25">
      <c r="A275" s="38">
        <v>43580.42328703704</v>
      </c>
      <c r="B275" s="3" t="s">
        <v>629</v>
      </c>
      <c r="C275" s="12" t="s">
        <v>308</v>
      </c>
      <c r="D275" s="12">
        <v>0</v>
      </c>
      <c r="E275" s="12" t="s">
        <v>308</v>
      </c>
      <c r="F275" s="3" t="s">
        <v>476</v>
      </c>
    </row>
    <row r="276" spans="1:6" x14ac:dyDescent="0.25">
      <c r="A276" s="38">
        <v>43580.42328703704</v>
      </c>
      <c r="B276" s="3" t="s">
        <v>630</v>
      </c>
      <c r="C276" s="12" t="s">
        <v>308</v>
      </c>
      <c r="D276" s="12">
        <v>0</v>
      </c>
      <c r="E276" s="12" t="s">
        <v>308</v>
      </c>
      <c r="F276" s="3" t="s">
        <v>476</v>
      </c>
    </row>
    <row r="277" spans="1:6" x14ac:dyDescent="0.25">
      <c r="A277" s="38">
        <v>43580.42328703704</v>
      </c>
      <c r="B277" s="3" t="s">
        <v>631</v>
      </c>
      <c r="C277" s="12" t="s">
        <v>308</v>
      </c>
      <c r="D277" s="12">
        <v>0</v>
      </c>
      <c r="E277" s="12" t="s">
        <v>308</v>
      </c>
      <c r="F277" s="3" t="s">
        <v>476</v>
      </c>
    </row>
    <row r="278" spans="1:6" x14ac:dyDescent="0.25">
      <c r="A278" s="38">
        <v>43580.42328703704</v>
      </c>
      <c r="B278" s="3" t="s">
        <v>632</v>
      </c>
      <c r="C278" s="12" t="s">
        <v>308</v>
      </c>
      <c r="D278" s="12">
        <v>0</v>
      </c>
      <c r="E278" s="12" t="s">
        <v>308</v>
      </c>
      <c r="F278" s="3" t="s">
        <v>476</v>
      </c>
    </row>
    <row r="279" spans="1:6" x14ac:dyDescent="0.25">
      <c r="A279" s="38">
        <v>43580.42328703704</v>
      </c>
      <c r="B279" s="3" t="s">
        <v>633</v>
      </c>
      <c r="C279" s="12" t="s">
        <v>308</v>
      </c>
      <c r="D279" s="12">
        <v>0</v>
      </c>
      <c r="E279" s="12" t="s">
        <v>308</v>
      </c>
      <c r="F279" s="3" t="s">
        <v>476</v>
      </c>
    </row>
    <row r="280" spans="1:6" x14ac:dyDescent="0.25">
      <c r="A280" s="38">
        <v>43580.423298611109</v>
      </c>
      <c r="B280" s="3" t="s">
        <v>634</v>
      </c>
      <c r="C280" s="12" t="s">
        <v>308</v>
      </c>
      <c r="D280" s="12">
        <v>0</v>
      </c>
      <c r="E280" s="12" t="s">
        <v>308</v>
      </c>
      <c r="F280" s="3" t="s">
        <v>476</v>
      </c>
    </row>
    <row r="281" spans="1:6" x14ac:dyDescent="0.25">
      <c r="A281" s="38">
        <v>43580.423298611109</v>
      </c>
      <c r="B281" s="3" t="s">
        <v>635</v>
      </c>
      <c r="C281" s="12" t="s">
        <v>308</v>
      </c>
      <c r="D281" s="12">
        <v>0</v>
      </c>
      <c r="E281" s="12" t="s">
        <v>308</v>
      </c>
      <c r="F281" s="3" t="s">
        <v>476</v>
      </c>
    </row>
    <row r="282" spans="1:6" x14ac:dyDescent="0.25">
      <c r="A282" s="38">
        <v>43580.423298611109</v>
      </c>
      <c r="B282" s="3" t="s">
        <v>636</v>
      </c>
      <c r="C282" s="12" t="s">
        <v>308</v>
      </c>
      <c r="D282" s="12">
        <v>0</v>
      </c>
      <c r="E282" s="12" t="s">
        <v>308</v>
      </c>
      <c r="F282" s="3" t="s">
        <v>476</v>
      </c>
    </row>
    <row r="283" spans="1:6" x14ac:dyDescent="0.25">
      <c r="A283" s="38">
        <v>43580.423298611109</v>
      </c>
      <c r="B283" s="3" t="s">
        <v>637</v>
      </c>
      <c r="C283" s="12" t="s">
        <v>308</v>
      </c>
      <c r="D283" s="12">
        <v>0</v>
      </c>
      <c r="E283" s="12" t="s">
        <v>308</v>
      </c>
      <c r="F283" s="3" t="s">
        <v>476</v>
      </c>
    </row>
    <row r="284" spans="1:6" x14ac:dyDescent="0.25">
      <c r="A284" s="38">
        <v>43580.423298611109</v>
      </c>
      <c r="B284" s="3" t="s">
        <v>638</v>
      </c>
      <c r="C284" s="12" t="s">
        <v>308</v>
      </c>
      <c r="D284" s="12">
        <v>0</v>
      </c>
      <c r="E284" s="12" t="s">
        <v>308</v>
      </c>
      <c r="F284" s="3" t="s">
        <v>476</v>
      </c>
    </row>
    <row r="285" spans="1:6" x14ac:dyDescent="0.25">
      <c r="A285" s="38">
        <v>43580.423298611109</v>
      </c>
      <c r="B285" s="3" t="s">
        <v>639</v>
      </c>
      <c r="C285" s="12" t="s">
        <v>308</v>
      </c>
      <c r="D285" s="12">
        <v>0</v>
      </c>
      <c r="E285" s="12" t="s">
        <v>308</v>
      </c>
      <c r="F285" s="3" t="s">
        <v>476</v>
      </c>
    </row>
    <row r="286" spans="1:6" x14ac:dyDescent="0.25">
      <c r="A286" s="38">
        <v>43580.423298611109</v>
      </c>
      <c r="B286" s="3" t="s">
        <v>640</v>
      </c>
      <c r="C286" s="12" t="s">
        <v>308</v>
      </c>
      <c r="D286" s="12">
        <v>0</v>
      </c>
      <c r="E286" s="12" t="s">
        <v>308</v>
      </c>
      <c r="F286" s="3" t="s">
        <v>476</v>
      </c>
    </row>
    <row r="287" spans="1:6" x14ac:dyDescent="0.25">
      <c r="A287" s="38">
        <v>43580.423298611109</v>
      </c>
      <c r="B287" s="3" t="s">
        <v>641</v>
      </c>
      <c r="C287" s="12" t="s">
        <v>308</v>
      </c>
      <c r="D287" s="12">
        <v>0</v>
      </c>
      <c r="E287" s="12" t="s">
        <v>308</v>
      </c>
      <c r="F287" s="3" t="s">
        <v>476</v>
      </c>
    </row>
    <row r="288" spans="1:6" x14ac:dyDescent="0.25">
      <c r="A288" s="38">
        <v>43580.423298611109</v>
      </c>
      <c r="B288" s="3" t="s">
        <v>642</v>
      </c>
      <c r="C288" s="12" t="s">
        <v>308</v>
      </c>
      <c r="D288" s="12">
        <v>0</v>
      </c>
      <c r="E288" s="12" t="s">
        <v>308</v>
      </c>
      <c r="F288" s="3" t="s">
        <v>476</v>
      </c>
    </row>
    <row r="289" spans="1:6" x14ac:dyDescent="0.25">
      <c r="A289" s="38">
        <v>43580.423298611109</v>
      </c>
      <c r="B289" s="3" t="s">
        <v>643</v>
      </c>
      <c r="C289" s="12" t="s">
        <v>308</v>
      </c>
      <c r="D289" s="12">
        <v>0</v>
      </c>
      <c r="E289" s="12" t="s">
        <v>308</v>
      </c>
      <c r="F289" s="3" t="s">
        <v>476</v>
      </c>
    </row>
    <row r="290" spans="1:6" x14ac:dyDescent="0.25">
      <c r="A290" s="38">
        <v>43580.423310185186</v>
      </c>
      <c r="B290" s="3" t="s">
        <v>644</v>
      </c>
      <c r="C290" s="12" t="s">
        <v>308</v>
      </c>
      <c r="D290" s="12">
        <v>0</v>
      </c>
      <c r="E290" s="12" t="s">
        <v>308</v>
      </c>
      <c r="F290" s="3" t="s">
        <v>476</v>
      </c>
    </row>
    <row r="291" spans="1:6" x14ac:dyDescent="0.25">
      <c r="A291" s="38">
        <v>43580.423310185186</v>
      </c>
      <c r="B291" s="3" t="s">
        <v>645</v>
      </c>
      <c r="C291" s="12" t="s">
        <v>308</v>
      </c>
      <c r="D291" s="12">
        <v>0</v>
      </c>
      <c r="E291" s="12" t="s">
        <v>308</v>
      </c>
      <c r="F291" s="3" t="s">
        <v>476</v>
      </c>
    </row>
    <row r="292" spans="1:6" x14ac:dyDescent="0.25">
      <c r="A292" s="38">
        <v>43580.423310185186</v>
      </c>
      <c r="B292" s="3" t="s">
        <v>646</v>
      </c>
      <c r="C292" s="12" t="s">
        <v>308</v>
      </c>
      <c r="D292" s="12">
        <v>0</v>
      </c>
      <c r="E292" s="12" t="s">
        <v>308</v>
      </c>
      <c r="F292" s="3" t="s">
        <v>476</v>
      </c>
    </row>
    <row r="293" spans="1:6" x14ac:dyDescent="0.25">
      <c r="A293" s="38">
        <v>43580.423310185186</v>
      </c>
      <c r="B293" s="3" t="s">
        <v>647</v>
      </c>
      <c r="C293" s="12" t="s">
        <v>308</v>
      </c>
      <c r="D293" s="12">
        <v>0</v>
      </c>
      <c r="E293" s="12" t="s">
        <v>308</v>
      </c>
      <c r="F293" s="3" t="s">
        <v>476</v>
      </c>
    </row>
    <row r="294" spans="1:6" x14ac:dyDescent="0.25">
      <c r="A294" s="38">
        <v>43580.423310185186</v>
      </c>
      <c r="B294" s="3" t="s">
        <v>648</v>
      </c>
      <c r="C294" s="12" t="s">
        <v>308</v>
      </c>
      <c r="D294" s="12">
        <v>0</v>
      </c>
      <c r="E294" s="12" t="s">
        <v>308</v>
      </c>
      <c r="F294" s="3" t="s">
        <v>476</v>
      </c>
    </row>
    <row r="295" spans="1:6" x14ac:dyDescent="0.25">
      <c r="A295" s="38">
        <v>43580.423310185186</v>
      </c>
      <c r="B295" s="3" t="s">
        <v>649</v>
      </c>
      <c r="C295" s="12" t="s">
        <v>308</v>
      </c>
      <c r="D295" s="12">
        <v>0</v>
      </c>
      <c r="E295" s="12" t="s">
        <v>308</v>
      </c>
      <c r="F295" s="3" t="s">
        <v>476</v>
      </c>
    </row>
    <row r="296" spans="1:6" x14ac:dyDescent="0.25">
      <c r="A296" s="38">
        <v>43580.423310185186</v>
      </c>
      <c r="B296" s="3" t="s">
        <v>650</v>
      </c>
      <c r="C296" s="12" t="s">
        <v>308</v>
      </c>
      <c r="D296" s="12">
        <v>0</v>
      </c>
      <c r="E296" s="12" t="s">
        <v>308</v>
      </c>
      <c r="F296" s="3" t="s">
        <v>476</v>
      </c>
    </row>
    <row r="297" spans="1:6" x14ac:dyDescent="0.25">
      <c r="A297" s="38">
        <v>43580.423310185186</v>
      </c>
      <c r="B297" s="3" t="s">
        <v>651</v>
      </c>
      <c r="C297" s="12" t="s">
        <v>308</v>
      </c>
      <c r="D297" s="12">
        <v>0</v>
      </c>
      <c r="E297" s="12" t="s">
        <v>308</v>
      </c>
      <c r="F297" s="3" t="s">
        <v>476</v>
      </c>
    </row>
    <row r="298" spans="1:6" x14ac:dyDescent="0.25">
      <c r="A298" s="38">
        <v>43580.423310185186</v>
      </c>
      <c r="B298" s="3" t="s">
        <v>652</v>
      </c>
      <c r="C298" s="12" t="s">
        <v>308</v>
      </c>
      <c r="D298" s="12">
        <v>0</v>
      </c>
      <c r="E298" s="12" t="s">
        <v>308</v>
      </c>
      <c r="F298" s="3" t="s">
        <v>476</v>
      </c>
    </row>
    <row r="299" spans="1:6" x14ac:dyDescent="0.25">
      <c r="A299" s="38">
        <v>43580.423310185186</v>
      </c>
      <c r="B299" s="3" t="s">
        <v>653</v>
      </c>
      <c r="C299" s="12" t="s">
        <v>308</v>
      </c>
      <c r="D299" s="12">
        <v>0</v>
      </c>
      <c r="E299" s="12" t="s">
        <v>308</v>
      </c>
      <c r="F299" s="3" t="s">
        <v>476</v>
      </c>
    </row>
    <row r="300" spans="1:6" x14ac:dyDescent="0.25">
      <c r="A300" s="38">
        <v>43580.423321759263</v>
      </c>
      <c r="B300" s="3" t="s">
        <v>654</v>
      </c>
      <c r="C300" s="12" t="s">
        <v>308</v>
      </c>
      <c r="D300" s="12">
        <v>0</v>
      </c>
      <c r="E300" s="12" t="s">
        <v>308</v>
      </c>
      <c r="F300" s="3" t="s">
        <v>476</v>
      </c>
    </row>
    <row r="301" spans="1:6" x14ac:dyDescent="0.25">
      <c r="A301" s="38">
        <v>43580.423321759263</v>
      </c>
      <c r="B301" s="3" t="s">
        <v>655</v>
      </c>
      <c r="C301" s="12" t="s">
        <v>308</v>
      </c>
      <c r="D301" s="12">
        <v>0</v>
      </c>
      <c r="E301" s="12" t="s">
        <v>308</v>
      </c>
      <c r="F301" s="3" t="s">
        <v>476</v>
      </c>
    </row>
    <row r="302" spans="1:6" x14ac:dyDescent="0.25">
      <c r="A302" s="38">
        <v>43580.423321759263</v>
      </c>
      <c r="B302" s="3" t="s">
        <v>656</v>
      </c>
      <c r="C302" s="12" t="s">
        <v>308</v>
      </c>
      <c r="D302" s="12">
        <v>0</v>
      </c>
      <c r="E302" s="12" t="s">
        <v>308</v>
      </c>
      <c r="F302" s="3" t="s">
        <v>476</v>
      </c>
    </row>
    <row r="303" spans="1:6" x14ac:dyDescent="0.25">
      <c r="A303" s="38">
        <v>43580.423321759263</v>
      </c>
      <c r="B303" s="3" t="s">
        <v>657</v>
      </c>
      <c r="C303" s="12" t="s">
        <v>308</v>
      </c>
      <c r="D303" s="12">
        <v>0</v>
      </c>
      <c r="E303" s="12" t="s">
        <v>308</v>
      </c>
      <c r="F303" s="3" t="s">
        <v>476</v>
      </c>
    </row>
    <row r="304" spans="1:6" x14ac:dyDescent="0.25">
      <c r="A304" s="38">
        <v>43580.423321759263</v>
      </c>
      <c r="B304" s="3" t="s">
        <v>658</v>
      </c>
      <c r="C304" s="12" t="s">
        <v>308</v>
      </c>
      <c r="D304" s="12">
        <v>0</v>
      </c>
      <c r="E304" s="12" t="s">
        <v>308</v>
      </c>
      <c r="F304" s="3" t="s">
        <v>476</v>
      </c>
    </row>
    <row r="305" spans="1:6" x14ac:dyDescent="0.25">
      <c r="A305" s="38">
        <v>43580.423321759263</v>
      </c>
      <c r="B305" s="3" t="s">
        <v>659</v>
      </c>
      <c r="C305" s="12" t="s">
        <v>308</v>
      </c>
      <c r="D305" s="12">
        <v>0</v>
      </c>
      <c r="E305" s="12" t="s">
        <v>308</v>
      </c>
      <c r="F305" s="3" t="s">
        <v>476</v>
      </c>
    </row>
    <row r="306" spans="1:6" x14ac:dyDescent="0.25">
      <c r="A306" s="38">
        <v>43580.423321759263</v>
      </c>
      <c r="B306" s="3" t="s">
        <v>660</v>
      </c>
      <c r="C306" s="12" t="s">
        <v>308</v>
      </c>
      <c r="D306" s="12">
        <v>0</v>
      </c>
      <c r="E306" s="12" t="s">
        <v>308</v>
      </c>
      <c r="F306" s="3" t="s">
        <v>476</v>
      </c>
    </row>
    <row r="307" spans="1:6" x14ac:dyDescent="0.25">
      <c r="A307" s="38">
        <v>43580.423321759263</v>
      </c>
      <c r="B307" s="3" t="s">
        <v>661</v>
      </c>
      <c r="C307" s="12" t="s">
        <v>308</v>
      </c>
      <c r="D307" s="12">
        <v>0</v>
      </c>
      <c r="E307" s="12" t="s">
        <v>308</v>
      </c>
      <c r="F307" s="3" t="s">
        <v>476</v>
      </c>
    </row>
    <row r="308" spans="1:6" x14ac:dyDescent="0.25">
      <c r="A308" s="38">
        <v>43580.423321759263</v>
      </c>
      <c r="B308" s="3" t="s">
        <v>662</v>
      </c>
      <c r="C308" s="12" t="s">
        <v>308</v>
      </c>
      <c r="D308" s="12">
        <v>0</v>
      </c>
      <c r="E308" s="12" t="s">
        <v>308</v>
      </c>
      <c r="F308" s="3" t="s">
        <v>476</v>
      </c>
    </row>
    <row r="309" spans="1:6" x14ac:dyDescent="0.25">
      <c r="A309" s="38">
        <v>43580.423333333332</v>
      </c>
      <c r="B309" s="3" t="s">
        <v>663</v>
      </c>
      <c r="C309" s="12" t="s">
        <v>308</v>
      </c>
      <c r="D309" s="12">
        <v>0</v>
      </c>
      <c r="E309" s="12" t="s">
        <v>308</v>
      </c>
      <c r="F309" s="3" t="s">
        <v>476</v>
      </c>
    </row>
    <row r="310" spans="1:6" x14ac:dyDescent="0.25">
      <c r="A310" s="38">
        <v>43580.423333333332</v>
      </c>
      <c r="B310" s="3" t="s">
        <v>664</v>
      </c>
      <c r="C310" s="12" t="s">
        <v>308</v>
      </c>
      <c r="D310" s="12">
        <v>0</v>
      </c>
      <c r="E310" s="12" t="s">
        <v>308</v>
      </c>
      <c r="F310" s="3" t="s">
        <v>476</v>
      </c>
    </row>
    <row r="311" spans="1:6" x14ac:dyDescent="0.25">
      <c r="A311" s="38">
        <v>43580.423333333332</v>
      </c>
      <c r="B311" s="3" t="s">
        <v>665</v>
      </c>
      <c r="C311" s="12" t="s">
        <v>308</v>
      </c>
      <c r="D311" s="12">
        <v>0</v>
      </c>
      <c r="E311" s="12" t="s">
        <v>308</v>
      </c>
      <c r="F311" s="3" t="s">
        <v>476</v>
      </c>
    </row>
    <row r="312" spans="1:6" x14ac:dyDescent="0.25">
      <c r="A312" s="38">
        <v>43580.423333333332</v>
      </c>
      <c r="B312" s="3" t="s">
        <v>666</v>
      </c>
      <c r="C312" s="12" t="s">
        <v>308</v>
      </c>
      <c r="D312" s="12">
        <v>0</v>
      </c>
      <c r="E312" s="12" t="s">
        <v>308</v>
      </c>
      <c r="F312" s="3" t="s">
        <v>476</v>
      </c>
    </row>
    <row r="313" spans="1:6" x14ac:dyDescent="0.25">
      <c r="A313" s="38">
        <v>43580.423333333332</v>
      </c>
      <c r="B313" s="3" t="s">
        <v>667</v>
      </c>
      <c r="C313" s="12" t="s">
        <v>308</v>
      </c>
      <c r="D313" s="12">
        <v>0</v>
      </c>
      <c r="E313" s="12" t="s">
        <v>308</v>
      </c>
      <c r="F313" s="3" t="s">
        <v>476</v>
      </c>
    </row>
    <row r="314" spans="1:6" x14ac:dyDescent="0.25">
      <c r="A314" s="38">
        <v>43580.423333333332</v>
      </c>
      <c r="B314" s="3" t="s">
        <v>668</v>
      </c>
      <c r="C314" s="12" t="s">
        <v>308</v>
      </c>
      <c r="D314" s="12">
        <v>0</v>
      </c>
      <c r="E314" s="12" t="s">
        <v>308</v>
      </c>
      <c r="F314" s="3" t="s">
        <v>476</v>
      </c>
    </row>
    <row r="315" spans="1:6" x14ac:dyDescent="0.25">
      <c r="A315" s="38">
        <v>43580.423333333332</v>
      </c>
      <c r="B315" s="3" t="s">
        <v>669</v>
      </c>
      <c r="C315" s="12" t="s">
        <v>308</v>
      </c>
      <c r="D315" s="12">
        <v>0</v>
      </c>
      <c r="E315" s="12" t="s">
        <v>308</v>
      </c>
      <c r="F315" s="3" t="s">
        <v>476</v>
      </c>
    </row>
    <row r="316" spans="1:6" x14ac:dyDescent="0.25">
      <c r="A316" s="38">
        <v>43580.423333333332</v>
      </c>
      <c r="B316" s="3" t="s">
        <v>670</v>
      </c>
      <c r="C316" s="12" t="s">
        <v>308</v>
      </c>
      <c r="D316" s="12">
        <v>0</v>
      </c>
      <c r="E316" s="12" t="s">
        <v>308</v>
      </c>
      <c r="F316" s="3" t="s">
        <v>476</v>
      </c>
    </row>
    <row r="317" spans="1:6" x14ac:dyDescent="0.25">
      <c r="A317" s="38">
        <v>43580.423333333332</v>
      </c>
      <c r="B317" s="3" t="s">
        <v>671</v>
      </c>
      <c r="C317" s="12" t="s">
        <v>308</v>
      </c>
      <c r="D317" s="12">
        <v>0</v>
      </c>
      <c r="E317" s="12" t="s">
        <v>308</v>
      </c>
      <c r="F317" s="3" t="s">
        <v>476</v>
      </c>
    </row>
    <row r="318" spans="1:6" x14ac:dyDescent="0.25">
      <c r="A318" s="38">
        <v>43580.423333333332</v>
      </c>
      <c r="B318" s="3" t="s">
        <v>672</v>
      </c>
      <c r="C318" s="12" t="s">
        <v>308</v>
      </c>
      <c r="D318" s="12">
        <v>0</v>
      </c>
      <c r="E318" s="12" t="s">
        <v>308</v>
      </c>
      <c r="F318" s="3" t="s">
        <v>476</v>
      </c>
    </row>
    <row r="319" spans="1:6" x14ac:dyDescent="0.25">
      <c r="A319" s="38">
        <v>43580.423344907409</v>
      </c>
      <c r="B319" s="3" t="s">
        <v>673</v>
      </c>
      <c r="C319" s="12" t="s">
        <v>308</v>
      </c>
      <c r="D319" s="12">
        <v>0</v>
      </c>
      <c r="E319" s="12" t="s">
        <v>308</v>
      </c>
      <c r="F319" s="3" t="s">
        <v>476</v>
      </c>
    </row>
    <row r="320" spans="1:6" x14ac:dyDescent="0.25">
      <c r="A320" s="38">
        <v>43580.423344907409</v>
      </c>
      <c r="B320" s="3" t="s">
        <v>674</v>
      </c>
      <c r="C320" s="12" t="s">
        <v>308</v>
      </c>
      <c r="D320" s="12">
        <v>0</v>
      </c>
      <c r="E320" s="12" t="s">
        <v>308</v>
      </c>
      <c r="F320" s="3" t="s">
        <v>476</v>
      </c>
    </row>
    <row r="321" spans="1:6" x14ac:dyDescent="0.25">
      <c r="A321" s="38">
        <v>43580.423344907409</v>
      </c>
      <c r="B321" s="3" t="s">
        <v>675</v>
      </c>
      <c r="C321" s="12" t="s">
        <v>308</v>
      </c>
      <c r="D321" s="12">
        <v>0</v>
      </c>
      <c r="E321" s="12" t="s">
        <v>308</v>
      </c>
      <c r="F321" s="3" t="s">
        <v>476</v>
      </c>
    </row>
    <row r="322" spans="1:6" x14ac:dyDescent="0.25">
      <c r="A322" s="38">
        <v>43580.423344907409</v>
      </c>
      <c r="B322" s="3" t="s">
        <v>676</v>
      </c>
      <c r="C322" s="12" t="s">
        <v>308</v>
      </c>
      <c r="D322" s="12">
        <v>0</v>
      </c>
      <c r="E322" s="12" t="s">
        <v>308</v>
      </c>
      <c r="F322" s="3" t="s">
        <v>476</v>
      </c>
    </row>
    <row r="323" spans="1:6" x14ac:dyDescent="0.25">
      <c r="A323" s="38">
        <v>43580.423344907409</v>
      </c>
      <c r="B323" s="3" t="s">
        <v>677</v>
      </c>
      <c r="C323" s="12" t="s">
        <v>308</v>
      </c>
      <c r="D323" s="12">
        <v>0</v>
      </c>
      <c r="E323" s="12" t="s">
        <v>308</v>
      </c>
      <c r="F323" s="3" t="s">
        <v>476</v>
      </c>
    </row>
    <row r="324" spans="1:6" x14ac:dyDescent="0.25">
      <c r="A324" s="38">
        <v>43580.423344907409</v>
      </c>
      <c r="B324" s="3" t="s">
        <v>678</v>
      </c>
      <c r="C324" s="12" t="s">
        <v>308</v>
      </c>
      <c r="D324" s="12">
        <v>0</v>
      </c>
      <c r="E324" s="12" t="s">
        <v>308</v>
      </c>
      <c r="F324" s="3" t="s">
        <v>476</v>
      </c>
    </row>
    <row r="325" spans="1:6" x14ac:dyDescent="0.25">
      <c r="A325" s="38">
        <v>43580.423344907409</v>
      </c>
      <c r="B325" s="3" t="s">
        <v>679</v>
      </c>
      <c r="C325" s="12" t="s">
        <v>308</v>
      </c>
      <c r="D325" s="12">
        <v>0</v>
      </c>
      <c r="E325" s="12" t="s">
        <v>308</v>
      </c>
      <c r="F325" s="3" t="s">
        <v>476</v>
      </c>
    </row>
    <row r="326" spans="1:6" x14ac:dyDescent="0.25">
      <c r="A326" s="38">
        <v>43580.423344907409</v>
      </c>
      <c r="B326" s="3" t="s">
        <v>680</v>
      </c>
      <c r="C326" s="12" t="s">
        <v>308</v>
      </c>
      <c r="D326" s="12">
        <v>0</v>
      </c>
      <c r="E326" s="12" t="s">
        <v>308</v>
      </c>
      <c r="F326" s="3" t="s">
        <v>476</v>
      </c>
    </row>
    <row r="327" spans="1:6" x14ac:dyDescent="0.25">
      <c r="A327" s="38">
        <v>43580.423344907409</v>
      </c>
      <c r="B327" s="3" t="s">
        <v>681</v>
      </c>
      <c r="C327" s="12" t="s">
        <v>308</v>
      </c>
      <c r="D327" s="12">
        <v>0</v>
      </c>
      <c r="E327" s="12" t="s">
        <v>308</v>
      </c>
      <c r="F327" s="3" t="s">
        <v>476</v>
      </c>
    </row>
    <row r="328" spans="1:6" x14ac:dyDescent="0.25">
      <c r="A328" s="38">
        <v>43580.423344907409</v>
      </c>
      <c r="B328" s="3" t="s">
        <v>682</v>
      </c>
      <c r="C328" s="12" t="s">
        <v>308</v>
      </c>
      <c r="D328" s="12">
        <v>0</v>
      </c>
      <c r="E328" s="12" t="s">
        <v>308</v>
      </c>
      <c r="F328" s="3" t="s">
        <v>476</v>
      </c>
    </row>
    <row r="329" spans="1:6" x14ac:dyDescent="0.25">
      <c r="A329" s="38">
        <v>43580.423356481479</v>
      </c>
      <c r="B329" s="3" t="s">
        <v>683</v>
      </c>
      <c r="C329" s="12" t="s">
        <v>308</v>
      </c>
      <c r="D329" s="12">
        <v>0</v>
      </c>
      <c r="E329" s="12" t="s">
        <v>308</v>
      </c>
      <c r="F329" s="3" t="s">
        <v>476</v>
      </c>
    </row>
    <row r="330" spans="1:6" x14ac:dyDescent="0.25">
      <c r="A330" s="38">
        <v>43580.423356481479</v>
      </c>
      <c r="B330" s="3" t="s">
        <v>684</v>
      </c>
      <c r="C330" s="12" t="s">
        <v>308</v>
      </c>
      <c r="D330" s="12">
        <v>0</v>
      </c>
      <c r="E330" s="12" t="s">
        <v>308</v>
      </c>
      <c r="F330" s="3" t="s">
        <v>476</v>
      </c>
    </row>
    <row r="331" spans="1:6" x14ac:dyDescent="0.25">
      <c r="A331" s="38">
        <v>43580.423356481479</v>
      </c>
      <c r="B331" s="3" t="s">
        <v>685</v>
      </c>
      <c r="C331" s="12" t="s">
        <v>308</v>
      </c>
      <c r="D331" s="12">
        <v>0</v>
      </c>
      <c r="E331" s="12" t="s">
        <v>308</v>
      </c>
      <c r="F331" s="3" t="s">
        <v>476</v>
      </c>
    </row>
    <row r="332" spans="1:6" x14ac:dyDescent="0.25">
      <c r="A332" s="38">
        <v>43580.423356481479</v>
      </c>
      <c r="B332" s="3" t="s">
        <v>686</v>
      </c>
      <c r="C332" s="12" t="s">
        <v>308</v>
      </c>
      <c r="D332" s="12">
        <v>0</v>
      </c>
      <c r="E332" s="12" t="s">
        <v>308</v>
      </c>
      <c r="F332" s="3" t="s">
        <v>476</v>
      </c>
    </row>
    <row r="333" spans="1:6" x14ac:dyDescent="0.25">
      <c r="A333" s="38">
        <v>43580.423356481479</v>
      </c>
      <c r="B333" s="3" t="s">
        <v>687</v>
      </c>
      <c r="C333" s="12" t="s">
        <v>308</v>
      </c>
      <c r="D333" s="12">
        <v>0</v>
      </c>
      <c r="E333" s="12" t="s">
        <v>308</v>
      </c>
      <c r="F333" s="3" t="s">
        <v>476</v>
      </c>
    </row>
    <row r="334" spans="1:6" x14ac:dyDescent="0.25">
      <c r="A334" s="38">
        <v>43580.423356481479</v>
      </c>
      <c r="B334" s="3" t="s">
        <v>688</v>
      </c>
      <c r="C334" s="12" t="s">
        <v>308</v>
      </c>
      <c r="D334" s="12">
        <v>0</v>
      </c>
      <c r="E334" s="12" t="s">
        <v>308</v>
      </c>
      <c r="F334" s="3" t="s">
        <v>476</v>
      </c>
    </row>
    <row r="335" spans="1:6" x14ac:dyDescent="0.25">
      <c r="A335" s="38">
        <v>43580.423356481479</v>
      </c>
      <c r="B335" s="3" t="s">
        <v>689</v>
      </c>
      <c r="C335" s="12" t="s">
        <v>308</v>
      </c>
      <c r="D335" s="12">
        <v>0</v>
      </c>
      <c r="E335" s="12" t="s">
        <v>308</v>
      </c>
      <c r="F335" s="3" t="s">
        <v>476</v>
      </c>
    </row>
    <row r="336" spans="1:6" x14ac:dyDescent="0.25">
      <c r="A336" s="38">
        <v>43580.423356481479</v>
      </c>
      <c r="B336" s="3" t="s">
        <v>690</v>
      </c>
      <c r="C336" s="12" t="s">
        <v>308</v>
      </c>
      <c r="D336" s="12">
        <v>0</v>
      </c>
      <c r="E336" s="12" t="s">
        <v>308</v>
      </c>
      <c r="F336" s="3" t="s">
        <v>476</v>
      </c>
    </row>
    <row r="337" spans="1:6" x14ac:dyDescent="0.25">
      <c r="A337" s="38">
        <v>43580.423356481479</v>
      </c>
      <c r="B337" s="3" t="s">
        <v>691</v>
      </c>
      <c r="C337" s="12" t="s">
        <v>308</v>
      </c>
      <c r="D337" s="12">
        <v>0</v>
      </c>
      <c r="E337" s="12" t="s">
        <v>308</v>
      </c>
      <c r="F337" s="3" t="s">
        <v>476</v>
      </c>
    </row>
    <row r="338" spans="1:6" x14ac:dyDescent="0.25">
      <c r="A338" s="38">
        <v>43580.423356481479</v>
      </c>
      <c r="B338" s="3" t="s">
        <v>692</v>
      </c>
      <c r="C338" s="12" t="s">
        <v>308</v>
      </c>
      <c r="D338" s="12">
        <v>0</v>
      </c>
      <c r="E338" s="12" t="s">
        <v>308</v>
      </c>
      <c r="F338" s="3" t="s">
        <v>476</v>
      </c>
    </row>
    <row r="339" spans="1:6" x14ac:dyDescent="0.25">
      <c r="A339" s="38">
        <v>43580.423368055555</v>
      </c>
      <c r="B339" s="3" t="s">
        <v>693</v>
      </c>
      <c r="C339" s="12" t="s">
        <v>308</v>
      </c>
      <c r="D339" s="12">
        <v>0</v>
      </c>
      <c r="E339" s="12" t="s">
        <v>308</v>
      </c>
      <c r="F339" s="3" t="s">
        <v>476</v>
      </c>
    </row>
    <row r="340" spans="1:6" x14ac:dyDescent="0.25">
      <c r="A340" s="38">
        <v>43580.423368055555</v>
      </c>
      <c r="B340" s="3" t="s">
        <v>694</v>
      </c>
      <c r="C340" s="12" t="s">
        <v>308</v>
      </c>
      <c r="D340" s="12">
        <v>0</v>
      </c>
      <c r="E340" s="12" t="s">
        <v>308</v>
      </c>
      <c r="F340" s="3" t="s">
        <v>476</v>
      </c>
    </row>
    <row r="341" spans="1:6" x14ac:dyDescent="0.25">
      <c r="A341" s="38">
        <v>43580.423368055555</v>
      </c>
      <c r="B341" s="3" t="s">
        <v>695</v>
      </c>
      <c r="C341" s="12" t="s">
        <v>308</v>
      </c>
      <c r="D341" s="12">
        <v>0</v>
      </c>
      <c r="E341" s="12" t="s">
        <v>308</v>
      </c>
      <c r="F341" s="3" t="s">
        <v>476</v>
      </c>
    </row>
    <row r="342" spans="1:6" x14ac:dyDescent="0.25">
      <c r="A342" s="38">
        <v>43580.423368055555</v>
      </c>
      <c r="B342" s="3" t="s">
        <v>696</v>
      </c>
      <c r="C342" s="12" t="s">
        <v>308</v>
      </c>
      <c r="D342" s="12">
        <v>0</v>
      </c>
      <c r="E342" s="12" t="s">
        <v>308</v>
      </c>
      <c r="F342" s="3" t="s">
        <v>476</v>
      </c>
    </row>
    <row r="343" spans="1:6" x14ac:dyDescent="0.25">
      <c r="A343" s="38">
        <v>43580.423368055555</v>
      </c>
      <c r="B343" s="3" t="s">
        <v>697</v>
      </c>
      <c r="C343" s="12" t="s">
        <v>308</v>
      </c>
      <c r="D343" s="12">
        <v>0</v>
      </c>
      <c r="E343" s="12" t="s">
        <v>308</v>
      </c>
      <c r="F343" s="3" t="s">
        <v>476</v>
      </c>
    </row>
    <row r="344" spans="1:6" x14ac:dyDescent="0.25">
      <c r="A344" s="38">
        <v>43580.423368055555</v>
      </c>
      <c r="B344" s="3" t="s">
        <v>698</v>
      </c>
      <c r="C344" s="12" t="s">
        <v>308</v>
      </c>
      <c r="D344" s="12">
        <v>0</v>
      </c>
      <c r="E344" s="12" t="s">
        <v>308</v>
      </c>
      <c r="F344" s="3" t="s">
        <v>476</v>
      </c>
    </row>
    <row r="345" spans="1:6" x14ac:dyDescent="0.25">
      <c r="A345" s="38">
        <v>43580.423368055555</v>
      </c>
      <c r="B345" s="3" t="s">
        <v>699</v>
      </c>
      <c r="C345" s="12" t="s">
        <v>308</v>
      </c>
      <c r="D345" s="12">
        <v>0</v>
      </c>
      <c r="E345" s="12" t="s">
        <v>308</v>
      </c>
      <c r="F345" s="3" t="s">
        <v>476</v>
      </c>
    </row>
    <row r="346" spans="1:6" x14ac:dyDescent="0.25">
      <c r="A346" s="38">
        <v>43580.423368055555</v>
      </c>
      <c r="B346" s="3" t="s">
        <v>700</v>
      </c>
      <c r="C346" s="12" t="s">
        <v>308</v>
      </c>
      <c r="D346" s="12">
        <v>0</v>
      </c>
      <c r="E346" s="12" t="s">
        <v>308</v>
      </c>
      <c r="F346" s="3" t="s">
        <v>476</v>
      </c>
    </row>
    <row r="347" spans="1:6" x14ac:dyDescent="0.25">
      <c r="A347" s="38">
        <v>43580.423368055555</v>
      </c>
      <c r="B347" s="3" t="s">
        <v>701</v>
      </c>
      <c r="C347" s="12" t="s">
        <v>308</v>
      </c>
      <c r="D347" s="12">
        <v>0</v>
      </c>
      <c r="E347" s="12" t="s">
        <v>308</v>
      </c>
      <c r="F347" s="3" t="s">
        <v>476</v>
      </c>
    </row>
    <row r="348" spans="1:6" x14ac:dyDescent="0.25">
      <c r="A348" s="38">
        <v>43580.423379629632</v>
      </c>
      <c r="B348" s="3" t="s">
        <v>702</v>
      </c>
      <c r="C348" s="12" t="s">
        <v>308</v>
      </c>
      <c r="D348" s="12">
        <v>0</v>
      </c>
      <c r="E348" s="12" t="s">
        <v>308</v>
      </c>
      <c r="F348" s="3" t="s">
        <v>476</v>
      </c>
    </row>
    <row r="349" spans="1:6" x14ac:dyDescent="0.25">
      <c r="A349" s="38">
        <v>43580.423379629632</v>
      </c>
      <c r="B349" s="3" t="s">
        <v>703</v>
      </c>
      <c r="C349" s="12" t="s">
        <v>308</v>
      </c>
      <c r="D349" s="12">
        <v>0</v>
      </c>
      <c r="E349" s="12" t="s">
        <v>308</v>
      </c>
      <c r="F349" s="3" t="s">
        <v>476</v>
      </c>
    </row>
    <row r="350" spans="1:6" x14ac:dyDescent="0.25">
      <c r="A350" s="38">
        <v>43580.423379629632</v>
      </c>
      <c r="B350" s="3" t="s">
        <v>704</v>
      </c>
      <c r="C350" s="12" t="s">
        <v>308</v>
      </c>
      <c r="D350" s="12">
        <v>0</v>
      </c>
      <c r="E350" s="12" t="s">
        <v>308</v>
      </c>
      <c r="F350" s="3" t="s">
        <v>476</v>
      </c>
    </row>
    <row r="351" spans="1:6" x14ac:dyDescent="0.25">
      <c r="A351" s="38">
        <v>43580.423379629632</v>
      </c>
      <c r="B351" s="3" t="s">
        <v>705</v>
      </c>
      <c r="C351" s="12" t="s">
        <v>308</v>
      </c>
      <c r="D351" s="12">
        <v>0</v>
      </c>
      <c r="E351" s="12" t="s">
        <v>308</v>
      </c>
      <c r="F351" s="3" t="s">
        <v>476</v>
      </c>
    </row>
    <row r="352" spans="1:6" x14ac:dyDescent="0.25">
      <c r="A352" s="38">
        <v>43580.423379629632</v>
      </c>
      <c r="B352" s="3" t="s">
        <v>706</v>
      </c>
      <c r="C352" s="12" t="s">
        <v>308</v>
      </c>
      <c r="D352" s="12">
        <v>0</v>
      </c>
      <c r="E352" s="12" t="s">
        <v>308</v>
      </c>
      <c r="F352" s="3" t="s">
        <v>476</v>
      </c>
    </row>
    <row r="353" spans="1:6" x14ac:dyDescent="0.25">
      <c r="A353" s="38">
        <v>43580.423379629632</v>
      </c>
      <c r="B353" s="3" t="s">
        <v>707</v>
      </c>
      <c r="C353" s="12" t="s">
        <v>308</v>
      </c>
      <c r="D353" s="12">
        <v>0</v>
      </c>
      <c r="E353" s="12" t="s">
        <v>308</v>
      </c>
      <c r="F353" s="3" t="s">
        <v>476</v>
      </c>
    </row>
    <row r="354" spans="1:6" x14ac:dyDescent="0.25">
      <c r="A354" s="38">
        <v>43580.423379629632</v>
      </c>
      <c r="B354" s="3" t="s">
        <v>708</v>
      </c>
      <c r="C354" s="12" t="s">
        <v>308</v>
      </c>
      <c r="D354" s="12">
        <v>0</v>
      </c>
      <c r="E354" s="12" t="s">
        <v>308</v>
      </c>
      <c r="F354" s="3" t="s">
        <v>476</v>
      </c>
    </row>
    <row r="355" spans="1:6" x14ac:dyDescent="0.25">
      <c r="A355" s="38">
        <v>43580.423379629632</v>
      </c>
      <c r="B355" s="3" t="s">
        <v>709</v>
      </c>
      <c r="C355" s="12" t="s">
        <v>308</v>
      </c>
      <c r="D355" s="12">
        <v>0</v>
      </c>
      <c r="E355" s="12" t="s">
        <v>308</v>
      </c>
      <c r="F355" s="3" t="s">
        <v>476</v>
      </c>
    </row>
    <row r="356" spans="1:6" x14ac:dyDescent="0.25">
      <c r="A356" s="38">
        <v>43580.423379629632</v>
      </c>
      <c r="B356" s="3" t="s">
        <v>710</v>
      </c>
      <c r="C356" s="12" t="s">
        <v>308</v>
      </c>
      <c r="D356" s="12">
        <v>0</v>
      </c>
      <c r="E356" s="12" t="s">
        <v>308</v>
      </c>
      <c r="F356" s="3" t="s">
        <v>476</v>
      </c>
    </row>
    <row r="357" spans="1:6" x14ac:dyDescent="0.25">
      <c r="A357" s="38">
        <v>43580.423391203702</v>
      </c>
      <c r="B357" s="3" t="s">
        <v>711</v>
      </c>
      <c r="C357" s="12" t="s">
        <v>308</v>
      </c>
      <c r="D357" s="12">
        <v>0</v>
      </c>
      <c r="E357" s="12" t="s">
        <v>308</v>
      </c>
      <c r="F357" s="3" t="s">
        <v>476</v>
      </c>
    </row>
    <row r="358" spans="1:6" x14ac:dyDescent="0.25">
      <c r="A358" s="38">
        <v>43580.423391203702</v>
      </c>
      <c r="B358" s="3" t="s">
        <v>712</v>
      </c>
      <c r="C358" s="12" t="s">
        <v>308</v>
      </c>
      <c r="D358" s="12">
        <v>0</v>
      </c>
      <c r="E358" s="12" t="s">
        <v>308</v>
      </c>
      <c r="F358" s="3" t="s">
        <v>476</v>
      </c>
    </row>
    <row r="359" spans="1:6" x14ac:dyDescent="0.25">
      <c r="A359" s="38">
        <v>43580.423391203702</v>
      </c>
      <c r="B359" s="3" t="s">
        <v>715</v>
      </c>
      <c r="C359" s="12" t="s">
        <v>308</v>
      </c>
      <c r="D359" s="12">
        <v>0</v>
      </c>
      <c r="E359" s="12" t="s">
        <v>308</v>
      </c>
      <c r="F359" s="3" t="s">
        <v>476</v>
      </c>
    </row>
    <row r="360" spans="1:6" x14ac:dyDescent="0.25">
      <c r="A360" s="38">
        <v>43580.423391203702</v>
      </c>
      <c r="B360" s="3" t="s">
        <v>716</v>
      </c>
      <c r="C360" s="12" t="s">
        <v>308</v>
      </c>
      <c r="D360" s="12">
        <v>0</v>
      </c>
      <c r="E360" s="12" t="s">
        <v>308</v>
      </c>
      <c r="F360" s="3" t="s">
        <v>476</v>
      </c>
    </row>
    <row r="361" spans="1:6" x14ac:dyDescent="0.25">
      <c r="A361" s="38">
        <v>43580.423391203702</v>
      </c>
      <c r="B361" s="3" t="s">
        <v>717</v>
      </c>
      <c r="C361" s="12" t="s">
        <v>308</v>
      </c>
      <c r="D361" s="12">
        <v>0</v>
      </c>
      <c r="E361" s="12" t="s">
        <v>308</v>
      </c>
      <c r="F361" s="3" t="s">
        <v>476</v>
      </c>
    </row>
    <row r="362" spans="1:6" x14ac:dyDescent="0.25">
      <c r="A362" s="38">
        <v>43580.423391203702</v>
      </c>
      <c r="B362" s="3" t="s">
        <v>718</v>
      </c>
      <c r="C362" s="12" t="s">
        <v>308</v>
      </c>
      <c r="D362" s="12">
        <v>0</v>
      </c>
      <c r="E362" s="12" t="s">
        <v>308</v>
      </c>
      <c r="F362" s="3" t="s">
        <v>476</v>
      </c>
    </row>
    <row r="363" spans="1:6" x14ac:dyDescent="0.25">
      <c r="A363" s="38">
        <v>43580.423391203702</v>
      </c>
      <c r="B363" s="3" t="s">
        <v>719</v>
      </c>
      <c r="C363" s="12" t="s">
        <v>308</v>
      </c>
      <c r="D363" s="12">
        <v>0</v>
      </c>
      <c r="E363" s="12" t="s">
        <v>308</v>
      </c>
      <c r="F363" s="3" t="s">
        <v>476</v>
      </c>
    </row>
    <row r="364" spans="1:6" x14ac:dyDescent="0.25">
      <c r="A364" s="38">
        <v>43580.423391203702</v>
      </c>
      <c r="B364" s="3" t="s">
        <v>720</v>
      </c>
      <c r="C364" s="12" t="s">
        <v>308</v>
      </c>
      <c r="D364" s="12">
        <v>0</v>
      </c>
      <c r="E364" s="12" t="s">
        <v>308</v>
      </c>
      <c r="F364" s="3" t="s">
        <v>476</v>
      </c>
    </row>
    <row r="365" spans="1:6" x14ac:dyDescent="0.25">
      <c r="A365" s="38">
        <v>43580.423391203702</v>
      </c>
      <c r="B365" s="3" t="s">
        <v>721</v>
      </c>
      <c r="C365" s="12" t="s">
        <v>308</v>
      </c>
      <c r="D365" s="12">
        <v>0</v>
      </c>
      <c r="E365" s="12" t="s">
        <v>308</v>
      </c>
      <c r="F365" s="3" t="s">
        <v>476</v>
      </c>
    </row>
    <row r="366" spans="1:6" x14ac:dyDescent="0.25">
      <c r="A366" s="38">
        <v>43580.423391203702</v>
      </c>
      <c r="B366" s="3" t="s">
        <v>722</v>
      </c>
      <c r="C366" s="12" t="s">
        <v>308</v>
      </c>
      <c r="D366" s="12">
        <v>0</v>
      </c>
      <c r="E366" s="12" t="s">
        <v>308</v>
      </c>
      <c r="F366" s="3" t="s">
        <v>476</v>
      </c>
    </row>
    <row r="367" spans="1:6" x14ac:dyDescent="0.25">
      <c r="A367" s="38">
        <v>43580.423402777778</v>
      </c>
      <c r="B367" s="3" t="s">
        <v>723</v>
      </c>
      <c r="C367" s="12" t="s">
        <v>308</v>
      </c>
      <c r="D367" s="12">
        <v>0</v>
      </c>
      <c r="E367" s="12" t="s">
        <v>308</v>
      </c>
      <c r="F367" s="3" t="s">
        <v>476</v>
      </c>
    </row>
    <row r="368" spans="1:6" x14ac:dyDescent="0.25">
      <c r="A368" s="38">
        <v>43580.423402777778</v>
      </c>
      <c r="B368" s="3" t="s">
        <v>724</v>
      </c>
      <c r="C368" s="12" t="s">
        <v>308</v>
      </c>
      <c r="D368" s="12">
        <v>0</v>
      </c>
      <c r="E368" s="12" t="s">
        <v>308</v>
      </c>
      <c r="F368" s="3" t="s">
        <v>476</v>
      </c>
    </row>
    <row r="369" spans="1:6" x14ac:dyDescent="0.25">
      <c r="A369" s="38">
        <v>43580.423402777778</v>
      </c>
      <c r="B369" s="3" t="s">
        <v>725</v>
      </c>
      <c r="C369" s="12" t="s">
        <v>308</v>
      </c>
      <c r="D369" s="12">
        <v>0</v>
      </c>
      <c r="E369" s="12" t="s">
        <v>308</v>
      </c>
      <c r="F369" s="3" t="s">
        <v>476</v>
      </c>
    </row>
    <row r="370" spans="1:6" x14ac:dyDescent="0.25">
      <c r="A370" s="38">
        <v>43580.423402777778</v>
      </c>
      <c r="B370" s="3" t="s">
        <v>726</v>
      </c>
      <c r="C370" s="12" t="s">
        <v>308</v>
      </c>
      <c r="D370" s="12">
        <v>0</v>
      </c>
      <c r="E370" s="12" t="s">
        <v>308</v>
      </c>
      <c r="F370" s="3" t="s">
        <v>476</v>
      </c>
    </row>
    <row r="371" spans="1:6" x14ac:dyDescent="0.25">
      <c r="A371" s="38">
        <v>43580.423402777778</v>
      </c>
      <c r="B371" s="3" t="s">
        <v>727</v>
      </c>
      <c r="C371" s="12" t="s">
        <v>308</v>
      </c>
      <c r="D371" s="12">
        <v>0</v>
      </c>
      <c r="E371" s="12" t="s">
        <v>308</v>
      </c>
      <c r="F371" s="3" t="s">
        <v>476</v>
      </c>
    </row>
    <row r="372" spans="1:6" x14ac:dyDescent="0.25">
      <c r="A372" s="38">
        <v>43580.423402777778</v>
      </c>
      <c r="B372" s="3" t="s">
        <v>728</v>
      </c>
      <c r="C372" s="12" t="s">
        <v>308</v>
      </c>
      <c r="D372" s="12">
        <v>0</v>
      </c>
      <c r="E372" s="12" t="s">
        <v>308</v>
      </c>
      <c r="F372" s="3" t="s">
        <v>476</v>
      </c>
    </row>
    <row r="373" spans="1:6" x14ac:dyDescent="0.25">
      <c r="A373" s="38">
        <v>43580.423402777778</v>
      </c>
      <c r="B373" s="3" t="s">
        <v>729</v>
      </c>
      <c r="C373" s="12" t="s">
        <v>308</v>
      </c>
      <c r="D373" s="12">
        <v>0</v>
      </c>
      <c r="E373" s="12" t="s">
        <v>308</v>
      </c>
      <c r="F373" s="3" t="s">
        <v>476</v>
      </c>
    </row>
    <row r="374" spans="1:6" x14ac:dyDescent="0.25">
      <c r="A374" s="38">
        <v>43580.423402777778</v>
      </c>
      <c r="B374" s="3" t="s">
        <v>730</v>
      </c>
      <c r="C374" s="12" t="s">
        <v>308</v>
      </c>
      <c r="D374" s="12">
        <v>0</v>
      </c>
      <c r="E374" s="12" t="s">
        <v>308</v>
      </c>
      <c r="F374" s="3" t="s">
        <v>476</v>
      </c>
    </row>
    <row r="375" spans="1:6" x14ac:dyDescent="0.25">
      <c r="A375" s="38">
        <v>43580.423402777778</v>
      </c>
      <c r="B375" s="3" t="s">
        <v>731</v>
      </c>
      <c r="C375" s="12" t="s">
        <v>308</v>
      </c>
      <c r="D375" s="12">
        <v>0</v>
      </c>
      <c r="E375" s="12" t="s">
        <v>308</v>
      </c>
      <c r="F375" s="3" t="s">
        <v>476</v>
      </c>
    </row>
    <row r="376" spans="1:6" x14ac:dyDescent="0.25">
      <c r="A376" s="38">
        <v>43580.423414351855</v>
      </c>
      <c r="B376" s="3" t="s">
        <v>732</v>
      </c>
      <c r="C376" s="12" t="s">
        <v>308</v>
      </c>
      <c r="D376" s="12">
        <v>0</v>
      </c>
      <c r="E376" s="12" t="s">
        <v>308</v>
      </c>
      <c r="F376" s="3" t="s">
        <v>476</v>
      </c>
    </row>
    <row r="377" spans="1:6" x14ac:dyDescent="0.25">
      <c r="A377" s="38">
        <v>43580.423414351855</v>
      </c>
      <c r="B377" s="3" t="s">
        <v>733</v>
      </c>
      <c r="C377" s="12" t="s">
        <v>308</v>
      </c>
      <c r="D377" s="12">
        <v>0</v>
      </c>
      <c r="E377" s="12" t="s">
        <v>308</v>
      </c>
      <c r="F377" s="3" t="s">
        <v>476</v>
      </c>
    </row>
    <row r="378" spans="1:6" x14ac:dyDescent="0.25">
      <c r="A378" s="38">
        <v>43580.423414351855</v>
      </c>
      <c r="B378" s="3" t="s">
        <v>734</v>
      </c>
      <c r="C378" s="12" t="s">
        <v>308</v>
      </c>
      <c r="D378" s="12">
        <v>0</v>
      </c>
      <c r="E378" s="12" t="s">
        <v>308</v>
      </c>
      <c r="F378" s="3" t="s">
        <v>476</v>
      </c>
    </row>
    <row r="379" spans="1:6" x14ac:dyDescent="0.25">
      <c r="A379" s="38">
        <v>43580.423414351855</v>
      </c>
      <c r="B379" s="3" t="s">
        <v>735</v>
      </c>
      <c r="C379" s="12" t="s">
        <v>308</v>
      </c>
      <c r="D379" s="12">
        <v>0</v>
      </c>
      <c r="E379" s="12" t="s">
        <v>308</v>
      </c>
      <c r="F379" s="3" t="s">
        <v>476</v>
      </c>
    </row>
    <row r="380" spans="1:6" x14ac:dyDescent="0.25">
      <c r="A380" s="38">
        <v>43580.423414351855</v>
      </c>
      <c r="B380" s="3" t="s">
        <v>736</v>
      </c>
      <c r="C380" s="12" t="s">
        <v>308</v>
      </c>
      <c r="D380" s="12">
        <v>0</v>
      </c>
      <c r="E380" s="12" t="s">
        <v>308</v>
      </c>
      <c r="F380" s="3" t="s">
        <v>476</v>
      </c>
    </row>
    <row r="381" spans="1:6" x14ac:dyDescent="0.25">
      <c r="A381" s="38">
        <v>43580.423414351855</v>
      </c>
      <c r="B381" s="3" t="s">
        <v>737</v>
      </c>
      <c r="C381" s="12" t="s">
        <v>308</v>
      </c>
      <c r="D381" s="12">
        <v>0</v>
      </c>
      <c r="E381" s="12" t="s">
        <v>308</v>
      </c>
      <c r="F381" s="3" t="s">
        <v>476</v>
      </c>
    </row>
    <row r="382" spans="1:6" x14ac:dyDescent="0.25">
      <c r="A382" s="38">
        <v>43580.423414351855</v>
      </c>
      <c r="B382" s="3" t="s">
        <v>738</v>
      </c>
      <c r="C382" s="12" t="s">
        <v>308</v>
      </c>
      <c r="D382" s="12">
        <v>0</v>
      </c>
      <c r="E382" s="12" t="s">
        <v>308</v>
      </c>
      <c r="F382" s="3" t="s">
        <v>476</v>
      </c>
    </row>
    <row r="383" spans="1:6" x14ac:dyDescent="0.25">
      <c r="A383" s="38">
        <v>43580.423414351855</v>
      </c>
      <c r="B383" s="3" t="s">
        <v>739</v>
      </c>
      <c r="C383" s="12" t="s">
        <v>308</v>
      </c>
      <c r="D383" s="12">
        <v>0</v>
      </c>
      <c r="E383" s="12" t="s">
        <v>308</v>
      </c>
      <c r="F383" s="3" t="s">
        <v>476</v>
      </c>
    </row>
    <row r="384" spans="1:6" x14ac:dyDescent="0.25">
      <c r="A384" s="38">
        <v>43580.423425925925</v>
      </c>
      <c r="B384" s="3" t="s">
        <v>740</v>
      </c>
      <c r="C384" s="12" t="s">
        <v>308</v>
      </c>
      <c r="D384" s="12">
        <v>0</v>
      </c>
      <c r="E384" s="12" t="s">
        <v>308</v>
      </c>
      <c r="F384" s="3" t="s">
        <v>476</v>
      </c>
    </row>
    <row r="385" spans="1:6" x14ac:dyDescent="0.25">
      <c r="A385" s="38">
        <v>43580.423425925925</v>
      </c>
      <c r="B385" s="3" t="s">
        <v>741</v>
      </c>
      <c r="C385" s="12" t="s">
        <v>308</v>
      </c>
      <c r="D385" s="12">
        <v>0</v>
      </c>
      <c r="E385" s="12" t="s">
        <v>308</v>
      </c>
      <c r="F385" s="3" t="s">
        <v>476</v>
      </c>
    </row>
    <row r="386" spans="1:6" x14ac:dyDescent="0.25">
      <c r="A386" s="38">
        <v>43580.423425925925</v>
      </c>
      <c r="B386" s="3" t="s">
        <v>742</v>
      </c>
      <c r="C386" s="12" t="s">
        <v>308</v>
      </c>
      <c r="D386" s="12">
        <v>0</v>
      </c>
      <c r="E386" s="12" t="s">
        <v>308</v>
      </c>
      <c r="F386" s="3" t="s">
        <v>476</v>
      </c>
    </row>
    <row r="387" spans="1:6" x14ac:dyDescent="0.25">
      <c r="A387" s="38">
        <v>43580.423425925925</v>
      </c>
      <c r="B387" s="3" t="s">
        <v>743</v>
      </c>
      <c r="C387" s="12" t="s">
        <v>308</v>
      </c>
      <c r="D387" s="12">
        <v>0</v>
      </c>
      <c r="E387" s="12" t="s">
        <v>308</v>
      </c>
      <c r="F387" s="3" t="s">
        <v>476</v>
      </c>
    </row>
    <row r="388" spans="1:6" x14ac:dyDescent="0.25">
      <c r="A388" s="38">
        <v>43580.423425925925</v>
      </c>
      <c r="B388" s="3" t="s">
        <v>744</v>
      </c>
      <c r="C388" s="12" t="s">
        <v>308</v>
      </c>
      <c r="D388" s="12">
        <v>0</v>
      </c>
      <c r="E388" s="12" t="s">
        <v>308</v>
      </c>
      <c r="F388" s="3" t="s">
        <v>476</v>
      </c>
    </row>
    <row r="389" spans="1:6" x14ac:dyDescent="0.25">
      <c r="A389" s="38">
        <v>43580.423425925925</v>
      </c>
      <c r="B389" s="3" t="s">
        <v>745</v>
      </c>
      <c r="C389" s="12" t="s">
        <v>308</v>
      </c>
      <c r="D389" s="12">
        <v>0</v>
      </c>
      <c r="E389" s="12" t="s">
        <v>308</v>
      </c>
      <c r="F389" s="3" t="s">
        <v>476</v>
      </c>
    </row>
    <row r="390" spans="1:6" x14ac:dyDescent="0.25">
      <c r="A390" s="38">
        <v>43580.423425925925</v>
      </c>
      <c r="B390" s="3" t="s">
        <v>746</v>
      </c>
      <c r="C390" s="12" t="s">
        <v>308</v>
      </c>
      <c r="D390" s="12">
        <v>0</v>
      </c>
      <c r="E390" s="12" t="s">
        <v>308</v>
      </c>
      <c r="F390" s="3" t="s">
        <v>476</v>
      </c>
    </row>
    <row r="391" spans="1:6" x14ac:dyDescent="0.25">
      <c r="A391" s="38">
        <v>43580.423425925925</v>
      </c>
      <c r="B391" s="3" t="s">
        <v>747</v>
      </c>
      <c r="C391" s="12" t="s">
        <v>308</v>
      </c>
      <c r="D391" s="12">
        <v>0</v>
      </c>
      <c r="E391" s="12" t="s">
        <v>308</v>
      </c>
      <c r="F391" s="3" t="s">
        <v>476</v>
      </c>
    </row>
    <row r="392" spans="1:6" x14ac:dyDescent="0.25">
      <c r="A392" s="38">
        <v>43580.423425925925</v>
      </c>
      <c r="B392" s="3" t="s">
        <v>748</v>
      </c>
      <c r="C392" s="12" t="s">
        <v>308</v>
      </c>
      <c r="D392" s="12">
        <v>0</v>
      </c>
      <c r="E392" s="12" t="s">
        <v>308</v>
      </c>
      <c r="F392" s="3" t="s">
        <v>476</v>
      </c>
    </row>
    <row r="393" spans="1:6" x14ac:dyDescent="0.25">
      <c r="A393" s="38">
        <v>43580.423437500001</v>
      </c>
      <c r="B393" s="3" t="s">
        <v>749</v>
      </c>
      <c r="C393" s="12" t="s">
        <v>308</v>
      </c>
      <c r="D393" s="12">
        <v>0</v>
      </c>
      <c r="E393" s="12" t="s">
        <v>308</v>
      </c>
      <c r="F393" s="3" t="s">
        <v>476</v>
      </c>
    </row>
    <row r="394" spans="1:6" x14ac:dyDescent="0.25">
      <c r="A394" s="38">
        <v>43580.423437500001</v>
      </c>
      <c r="B394" s="3" t="s">
        <v>750</v>
      </c>
      <c r="C394" s="12" t="s">
        <v>308</v>
      </c>
      <c r="D394" s="12">
        <v>0</v>
      </c>
      <c r="E394" s="12" t="s">
        <v>308</v>
      </c>
      <c r="F394" s="3" t="s">
        <v>476</v>
      </c>
    </row>
    <row r="395" spans="1:6" x14ac:dyDescent="0.25">
      <c r="A395" s="38">
        <v>43580.423437500001</v>
      </c>
      <c r="B395" s="3" t="s">
        <v>751</v>
      </c>
      <c r="C395" s="12" t="s">
        <v>308</v>
      </c>
      <c r="D395" s="12">
        <v>0</v>
      </c>
      <c r="E395" s="12" t="s">
        <v>308</v>
      </c>
      <c r="F395" s="3" t="s">
        <v>476</v>
      </c>
    </row>
    <row r="396" spans="1:6" x14ac:dyDescent="0.25">
      <c r="A396" s="38">
        <v>43580.423437500001</v>
      </c>
      <c r="B396" s="3" t="s">
        <v>752</v>
      </c>
      <c r="C396" s="12" t="s">
        <v>308</v>
      </c>
      <c r="D396" s="12">
        <v>0</v>
      </c>
      <c r="E396" s="12" t="s">
        <v>308</v>
      </c>
      <c r="F396" s="3" t="s">
        <v>476</v>
      </c>
    </row>
    <row r="397" spans="1:6" x14ac:dyDescent="0.25">
      <c r="A397" s="38">
        <v>43580.423437500001</v>
      </c>
      <c r="B397" s="3" t="s">
        <v>753</v>
      </c>
      <c r="C397" s="12" t="s">
        <v>308</v>
      </c>
      <c r="D397" s="12">
        <v>0</v>
      </c>
      <c r="E397" s="12" t="s">
        <v>308</v>
      </c>
      <c r="F397" s="3" t="s">
        <v>476</v>
      </c>
    </row>
    <row r="398" spans="1:6" x14ac:dyDescent="0.25">
      <c r="A398" s="38">
        <v>43580.423437500001</v>
      </c>
      <c r="B398" s="3" t="s">
        <v>754</v>
      </c>
      <c r="C398" s="12" t="s">
        <v>308</v>
      </c>
      <c r="D398" s="12">
        <v>0</v>
      </c>
      <c r="E398" s="12" t="s">
        <v>308</v>
      </c>
      <c r="F398" s="3" t="s">
        <v>476</v>
      </c>
    </row>
    <row r="399" spans="1:6" x14ac:dyDescent="0.25">
      <c r="A399" s="38">
        <v>43580.423437500001</v>
      </c>
      <c r="B399" s="3" t="s">
        <v>755</v>
      </c>
      <c r="C399" s="12" t="s">
        <v>308</v>
      </c>
      <c r="D399" s="12">
        <v>0</v>
      </c>
      <c r="E399" s="12" t="s">
        <v>308</v>
      </c>
      <c r="F399" s="3" t="s">
        <v>476</v>
      </c>
    </row>
    <row r="400" spans="1:6" x14ac:dyDescent="0.25">
      <c r="A400" s="38">
        <v>43580.423437500001</v>
      </c>
      <c r="B400" s="3" t="s">
        <v>756</v>
      </c>
      <c r="C400" s="12" t="s">
        <v>308</v>
      </c>
      <c r="D400" s="12">
        <v>0</v>
      </c>
      <c r="E400" s="12" t="s">
        <v>308</v>
      </c>
      <c r="F400" s="3" t="s">
        <v>476</v>
      </c>
    </row>
    <row r="401" spans="1:6" x14ac:dyDescent="0.25">
      <c r="A401" s="38">
        <v>43580.423437500001</v>
      </c>
      <c r="B401" s="3" t="s">
        <v>757</v>
      </c>
      <c r="C401" s="12" t="s">
        <v>308</v>
      </c>
      <c r="D401" s="12">
        <v>0</v>
      </c>
      <c r="E401" s="12" t="s">
        <v>308</v>
      </c>
      <c r="F401" s="3" t="s">
        <v>476</v>
      </c>
    </row>
    <row r="402" spans="1:6" x14ac:dyDescent="0.25">
      <c r="A402" s="38">
        <v>43580.423449074071</v>
      </c>
      <c r="B402" s="3" t="s">
        <v>758</v>
      </c>
      <c r="C402" s="12" t="s">
        <v>308</v>
      </c>
      <c r="D402" s="12">
        <v>0</v>
      </c>
      <c r="E402" s="12" t="s">
        <v>308</v>
      </c>
      <c r="F402" s="3" t="s">
        <v>476</v>
      </c>
    </row>
    <row r="403" spans="1:6" x14ac:dyDescent="0.25">
      <c r="A403" s="38">
        <v>43580.423449074071</v>
      </c>
      <c r="B403" s="3" t="s">
        <v>759</v>
      </c>
      <c r="C403" s="12" t="s">
        <v>308</v>
      </c>
      <c r="D403" s="12">
        <v>0</v>
      </c>
      <c r="E403" s="12" t="s">
        <v>308</v>
      </c>
      <c r="F403" s="3" t="s">
        <v>476</v>
      </c>
    </row>
    <row r="404" spans="1:6" x14ac:dyDescent="0.25">
      <c r="A404" s="38">
        <v>43580.423449074071</v>
      </c>
      <c r="B404" s="3" t="s">
        <v>760</v>
      </c>
      <c r="C404" s="12" t="s">
        <v>308</v>
      </c>
      <c r="D404" s="12">
        <v>0</v>
      </c>
      <c r="E404" s="12" t="s">
        <v>308</v>
      </c>
      <c r="F404" s="3" t="s">
        <v>476</v>
      </c>
    </row>
    <row r="405" spans="1:6" x14ac:dyDescent="0.25">
      <c r="A405" s="38">
        <v>43580.423449074071</v>
      </c>
      <c r="B405" s="3" t="s">
        <v>761</v>
      </c>
      <c r="C405" s="12" t="s">
        <v>308</v>
      </c>
      <c r="D405" s="12">
        <v>0</v>
      </c>
      <c r="E405" s="12" t="s">
        <v>308</v>
      </c>
      <c r="F405" s="3" t="s">
        <v>476</v>
      </c>
    </row>
    <row r="406" spans="1:6" x14ac:dyDescent="0.25">
      <c r="A406" s="38">
        <v>43580.423449074071</v>
      </c>
      <c r="B406" s="3" t="s">
        <v>762</v>
      </c>
      <c r="C406" s="12" t="s">
        <v>308</v>
      </c>
      <c r="D406" s="12">
        <v>0</v>
      </c>
      <c r="E406" s="12" t="s">
        <v>308</v>
      </c>
      <c r="F406" s="3" t="s">
        <v>476</v>
      </c>
    </row>
    <row r="407" spans="1:6" x14ac:dyDescent="0.25">
      <c r="A407" s="38">
        <v>43580.423449074071</v>
      </c>
      <c r="B407" s="3" t="s">
        <v>763</v>
      </c>
      <c r="C407" s="12" t="s">
        <v>308</v>
      </c>
      <c r="D407" s="12">
        <v>0</v>
      </c>
      <c r="E407" s="12" t="s">
        <v>308</v>
      </c>
      <c r="F407" s="3" t="s">
        <v>476</v>
      </c>
    </row>
    <row r="408" spans="1:6" x14ac:dyDescent="0.25">
      <c r="A408" s="38">
        <v>43580.423449074071</v>
      </c>
      <c r="B408" s="3" t="s">
        <v>764</v>
      </c>
      <c r="C408" s="12" t="s">
        <v>308</v>
      </c>
      <c r="D408" s="12">
        <v>0</v>
      </c>
      <c r="E408" s="12" t="s">
        <v>308</v>
      </c>
      <c r="F408" s="3" t="s">
        <v>476</v>
      </c>
    </row>
    <row r="409" spans="1:6" x14ac:dyDescent="0.25">
      <c r="A409" s="38">
        <v>43580.423449074071</v>
      </c>
      <c r="B409" s="3" t="s">
        <v>765</v>
      </c>
      <c r="C409" s="12" t="s">
        <v>308</v>
      </c>
      <c r="D409" s="12">
        <v>0</v>
      </c>
      <c r="E409" s="12" t="s">
        <v>308</v>
      </c>
      <c r="F409" s="3" t="s">
        <v>476</v>
      </c>
    </row>
    <row r="410" spans="1:6" x14ac:dyDescent="0.25">
      <c r="A410" s="38">
        <v>43580.423449074071</v>
      </c>
      <c r="B410" s="3" t="s">
        <v>766</v>
      </c>
      <c r="C410" s="12" t="s">
        <v>308</v>
      </c>
      <c r="D410" s="12">
        <v>0</v>
      </c>
      <c r="E410" s="12" t="s">
        <v>308</v>
      </c>
      <c r="F410" s="3" t="s">
        <v>476</v>
      </c>
    </row>
    <row r="411" spans="1:6" x14ac:dyDescent="0.25">
      <c r="A411" s="38">
        <v>43580.423460648148</v>
      </c>
      <c r="B411" s="3" t="s">
        <v>767</v>
      </c>
      <c r="C411" s="12" t="s">
        <v>308</v>
      </c>
      <c r="D411" s="12">
        <v>0</v>
      </c>
      <c r="E411" s="12" t="s">
        <v>308</v>
      </c>
      <c r="F411" s="3" t="s">
        <v>476</v>
      </c>
    </row>
    <row r="412" spans="1:6" x14ac:dyDescent="0.25">
      <c r="A412" s="38">
        <v>43580.423460648148</v>
      </c>
      <c r="B412" s="3" t="s">
        <v>768</v>
      </c>
      <c r="C412" s="12" t="s">
        <v>308</v>
      </c>
      <c r="D412" s="12">
        <v>0</v>
      </c>
      <c r="E412" s="12" t="s">
        <v>308</v>
      </c>
      <c r="F412" s="3" t="s">
        <v>476</v>
      </c>
    </row>
    <row r="413" spans="1:6" x14ac:dyDescent="0.25">
      <c r="A413" s="38">
        <v>43580.423460648148</v>
      </c>
      <c r="B413" s="3" t="s">
        <v>769</v>
      </c>
      <c r="C413" s="12" t="s">
        <v>308</v>
      </c>
      <c r="D413" s="12">
        <v>0</v>
      </c>
      <c r="E413" s="12" t="s">
        <v>308</v>
      </c>
      <c r="F413" s="3" t="s">
        <v>476</v>
      </c>
    </row>
    <row r="414" spans="1:6" x14ac:dyDescent="0.25">
      <c r="A414" s="38">
        <v>43580.423460648148</v>
      </c>
      <c r="B414" s="3" t="s">
        <v>770</v>
      </c>
      <c r="C414" s="12" t="s">
        <v>308</v>
      </c>
      <c r="D414" s="12">
        <v>0</v>
      </c>
      <c r="E414" s="12" t="s">
        <v>308</v>
      </c>
      <c r="F414" s="3" t="s">
        <v>476</v>
      </c>
    </row>
    <row r="415" spans="1:6" x14ac:dyDescent="0.25">
      <c r="A415" s="38">
        <v>43580.423460648148</v>
      </c>
      <c r="B415" s="3" t="s">
        <v>771</v>
      </c>
      <c r="C415" s="12" t="s">
        <v>308</v>
      </c>
      <c r="D415" s="12">
        <v>0</v>
      </c>
      <c r="E415" s="12" t="s">
        <v>308</v>
      </c>
      <c r="F415" s="3" t="s">
        <v>476</v>
      </c>
    </row>
    <row r="416" spans="1:6" x14ac:dyDescent="0.25">
      <c r="A416" s="38">
        <v>43580.423460648148</v>
      </c>
      <c r="B416" s="3" t="s">
        <v>772</v>
      </c>
      <c r="C416" s="12" t="s">
        <v>308</v>
      </c>
      <c r="D416" s="12">
        <v>0</v>
      </c>
      <c r="E416" s="12" t="s">
        <v>308</v>
      </c>
      <c r="F416" s="3" t="s">
        <v>476</v>
      </c>
    </row>
    <row r="417" spans="1:6" x14ac:dyDescent="0.25">
      <c r="A417" s="38">
        <v>43580.423460648148</v>
      </c>
      <c r="B417" s="3" t="s">
        <v>773</v>
      </c>
      <c r="C417" s="12" t="s">
        <v>308</v>
      </c>
      <c r="D417" s="12">
        <v>0</v>
      </c>
      <c r="E417" s="12" t="s">
        <v>308</v>
      </c>
      <c r="F417" s="3" t="s">
        <v>476</v>
      </c>
    </row>
    <row r="418" spans="1:6" x14ac:dyDescent="0.25">
      <c r="A418" s="38">
        <v>43580.423460648148</v>
      </c>
      <c r="B418" s="3" t="s">
        <v>774</v>
      </c>
      <c r="C418" s="12" t="s">
        <v>308</v>
      </c>
      <c r="D418" s="12">
        <v>0</v>
      </c>
      <c r="E418" s="12" t="s">
        <v>308</v>
      </c>
      <c r="F418" s="3" t="s">
        <v>476</v>
      </c>
    </row>
    <row r="419" spans="1:6" x14ac:dyDescent="0.25">
      <c r="A419" s="38">
        <v>43580.423472222225</v>
      </c>
      <c r="B419" s="3" t="s">
        <v>775</v>
      </c>
      <c r="C419" s="12" t="s">
        <v>308</v>
      </c>
      <c r="D419" s="12">
        <v>0</v>
      </c>
      <c r="E419" s="12" t="s">
        <v>308</v>
      </c>
      <c r="F419" s="3" t="s">
        <v>476</v>
      </c>
    </row>
    <row r="420" spans="1:6" x14ac:dyDescent="0.25">
      <c r="A420" s="38">
        <v>43580.423472222225</v>
      </c>
      <c r="B420" s="3" t="s">
        <v>776</v>
      </c>
      <c r="C420" s="12" t="s">
        <v>308</v>
      </c>
      <c r="D420" s="12">
        <v>0</v>
      </c>
      <c r="E420" s="12" t="s">
        <v>308</v>
      </c>
      <c r="F420" s="3" t="s">
        <v>476</v>
      </c>
    </row>
    <row r="421" spans="1:6" x14ac:dyDescent="0.25">
      <c r="A421" s="38">
        <v>43580.423472222225</v>
      </c>
      <c r="B421" s="3" t="s">
        <v>777</v>
      </c>
      <c r="C421" s="12" t="s">
        <v>308</v>
      </c>
      <c r="D421" s="12">
        <v>0</v>
      </c>
      <c r="E421" s="12" t="s">
        <v>308</v>
      </c>
      <c r="F421" s="3" t="s">
        <v>476</v>
      </c>
    </row>
    <row r="422" spans="1:6" x14ac:dyDescent="0.25">
      <c r="A422" s="38">
        <v>43580.423472222225</v>
      </c>
      <c r="B422" s="3" t="s">
        <v>778</v>
      </c>
      <c r="C422" s="12" t="s">
        <v>308</v>
      </c>
      <c r="D422" s="12">
        <v>0</v>
      </c>
      <c r="E422" s="12" t="s">
        <v>308</v>
      </c>
      <c r="F422" s="3" t="s">
        <v>476</v>
      </c>
    </row>
    <row r="423" spans="1:6" x14ac:dyDescent="0.25">
      <c r="A423" s="38">
        <v>43580.423472222225</v>
      </c>
      <c r="B423" s="3" t="s">
        <v>779</v>
      </c>
      <c r="C423" s="12" t="s">
        <v>308</v>
      </c>
      <c r="D423" s="12">
        <v>0</v>
      </c>
      <c r="E423" s="12" t="s">
        <v>308</v>
      </c>
      <c r="F423" s="3" t="s">
        <v>476</v>
      </c>
    </row>
    <row r="424" spans="1:6" x14ac:dyDescent="0.25">
      <c r="A424" s="38">
        <v>43580.423472222225</v>
      </c>
      <c r="B424" s="3" t="s">
        <v>780</v>
      </c>
      <c r="C424" s="12" t="s">
        <v>308</v>
      </c>
      <c r="D424" s="12">
        <v>0</v>
      </c>
      <c r="E424" s="12" t="s">
        <v>308</v>
      </c>
      <c r="F424" s="3" t="s">
        <v>476</v>
      </c>
    </row>
    <row r="425" spans="1:6" x14ac:dyDescent="0.25">
      <c r="A425" s="38">
        <v>43580.423472222225</v>
      </c>
      <c r="B425" s="3" t="s">
        <v>781</v>
      </c>
      <c r="C425" s="12" t="s">
        <v>308</v>
      </c>
      <c r="D425" s="12">
        <v>0</v>
      </c>
      <c r="E425" s="12" t="s">
        <v>308</v>
      </c>
      <c r="F425" s="3" t="s">
        <v>476</v>
      </c>
    </row>
    <row r="426" spans="1:6" x14ac:dyDescent="0.25">
      <c r="A426" s="38">
        <v>43580.423472222225</v>
      </c>
      <c r="B426" s="3" t="s">
        <v>782</v>
      </c>
      <c r="C426" s="12" t="s">
        <v>308</v>
      </c>
      <c r="D426" s="12">
        <v>0</v>
      </c>
      <c r="E426" s="12" t="s">
        <v>308</v>
      </c>
      <c r="F426" s="3" t="s">
        <v>476</v>
      </c>
    </row>
    <row r="427" spans="1:6" x14ac:dyDescent="0.25">
      <c r="A427" s="38">
        <v>43580.423472222225</v>
      </c>
      <c r="B427" s="3" t="s">
        <v>783</v>
      </c>
      <c r="C427" s="12" t="s">
        <v>308</v>
      </c>
      <c r="D427" s="12">
        <v>0</v>
      </c>
      <c r="E427" s="12" t="s">
        <v>308</v>
      </c>
      <c r="F427" s="3" t="s">
        <v>476</v>
      </c>
    </row>
    <row r="428" spans="1:6" x14ac:dyDescent="0.25">
      <c r="A428" s="38">
        <v>43580.423483796294</v>
      </c>
      <c r="B428" s="3" t="s">
        <v>784</v>
      </c>
      <c r="C428" s="12" t="s">
        <v>308</v>
      </c>
      <c r="D428" s="12">
        <v>0</v>
      </c>
      <c r="E428" s="12" t="s">
        <v>308</v>
      </c>
      <c r="F428" s="3" t="s">
        <v>476</v>
      </c>
    </row>
    <row r="429" spans="1:6" x14ac:dyDescent="0.25">
      <c r="A429" s="38">
        <v>43580.423483796294</v>
      </c>
      <c r="B429" s="3" t="s">
        <v>785</v>
      </c>
      <c r="C429" s="12" t="s">
        <v>308</v>
      </c>
      <c r="D429" s="12">
        <v>0</v>
      </c>
      <c r="E429" s="12" t="s">
        <v>308</v>
      </c>
      <c r="F429" s="3" t="s">
        <v>476</v>
      </c>
    </row>
    <row r="430" spans="1:6" x14ac:dyDescent="0.25">
      <c r="A430" s="38">
        <v>43580.423483796294</v>
      </c>
      <c r="B430" s="3" t="s">
        <v>786</v>
      </c>
      <c r="C430" s="12" t="s">
        <v>308</v>
      </c>
      <c r="D430" s="12">
        <v>0</v>
      </c>
      <c r="E430" s="12" t="s">
        <v>308</v>
      </c>
      <c r="F430" s="3" t="s">
        <v>476</v>
      </c>
    </row>
    <row r="431" spans="1:6" x14ac:dyDescent="0.25">
      <c r="A431" s="38">
        <v>43580.423483796294</v>
      </c>
      <c r="B431" s="3" t="s">
        <v>787</v>
      </c>
      <c r="C431" s="12" t="s">
        <v>308</v>
      </c>
      <c r="D431" s="12">
        <v>0</v>
      </c>
      <c r="E431" s="12" t="s">
        <v>308</v>
      </c>
      <c r="F431" s="3" t="s">
        <v>476</v>
      </c>
    </row>
    <row r="432" spans="1:6" x14ac:dyDescent="0.25">
      <c r="A432" s="38">
        <v>43580.423483796294</v>
      </c>
      <c r="B432" s="3" t="s">
        <v>788</v>
      </c>
      <c r="C432" s="12" t="s">
        <v>308</v>
      </c>
      <c r="D432" s="12">
        <v>0</v>
      </c>
      <c r="E432" s="12" t="s">
        <v>308</v>
      </c>
      <c r="F432" s="3" t="s">
        <v>476</v>
      </c>
    </row>
    <row r="433" spans="1:6" x14ac:dyDescent="0.25">
      <c r="A433" s="38">
        <v>43580.423483796294</v>
      </c>
      <c r="B433" s="3" t="s">
        <v>789</v>
      </c>
      <c r="C433" s="12" t="s">
        <v>308</v>
      </c>
      <c r="D433" s="12">
        <v>0</v>
      </c>
      <c r="E433" s="12" t="s">
        <v>308</v>
      </c>
      <c r="F433" s="3" t="s">
        <v>476</v>
      </c>
    </row>
    <row r="434" spans="1:6" x14ac:dyDescent="0.25">
      <c r="A434" s="38">
        <v>43580.423483796294</v>
      </c>
      <c r="B434" s="3" t="s">
        <v>790</v>
      </c>
      <c r="C434" s="12" t="s">
        <v>308</v>
      </c>
      <c r="D434" s="12">
        <v>0</v>
      </c>
      <c r="E434" s="12" t="s">
        <v>308</v>
      </c>
      <c r="F434" s="3" t="s">
        <v>476</v>
      </c>
    </row>
    <row r="435" spans="1:6" x14ac:dyDescent="0.25">
      <c r="A435" s="38">
        <v>43580.423483796294</v>
      </c>
      <c r="B435" s="3" t="s">
        <v>791</v>
      </c>
      <c r="C435" s="12" t="s">
        <v>308</v>
      </c>
      <c r="D435" s="12">
        <v>0</v>
      </c>
      <c r="E435" s="12" t="s">
        <v>308</v>
      </c>
      <c r="F435" s="3" t="s">
        <v>476</v>
      </c>
    </row>
    <row r="436" spans="1:6" x14ac:dyDescent="0.25">
      <c r="A436" s="38">
        <v>43580.423495370371</v>
      </c>
      <c r="B436" s="3" t="s">
        <v>792</v>
      </c>
      <c r="C436" s="12" t="s">
        <v>308</v>
      </c>
      <c r="D436" s="12">
        <v>0</v>
      </c>
      <c r="E436" s="12" t="s">
        <v>308</v>
      </c>
      <c r="F436" s="3" t="s">
        <v>476</v>
      </c>
    </row>
    <row r="437" spans="1:6" x14ac:dyDescent="0.25">
      <c r="A437" s="38">
        <v>43580.423495370371</v>
      </c>
      <c r="B437" s="3" t="s">
        <v>793</v>
      </c>
      <c r="C437" s="12" t="s">
        <v>308</v>
      </c>
      <c r="D437" s="12">
        <v>0</v>
      </c>
      <c r="E437" s="12" t="s">
        <v>308</v>
      </c>
      <c r="F437" s="3" t="s">
        <v>476</v>
      </c>
    </row>
    <row r="438" spans="1:6" x14ac:dyDescent="0.25">
      <c r="A438" s="38">
        <v>43580.423495370371</v>
      </c>
      <c r="B438" s="3" t="s">
        <v>794</v>
      </c>
      <c r="C438" s="12" t="s">
        <v>308</v>
      </c>
      <c r="D438" s="12">
        <v>0</v>
      </c>
      <c r="E438" s="12" t="s">
        <v>308</v>
      </c>
      <c r="F438" s="3" t="s">
        <v>476</v>
      </c>
    </row>
    <row r="439" spans="1:6" x14ac:dyDescent="0.25">
      <c r="A439" s="38">
        <v>43580.423495370371</v>
      </c>
      <c r="B439" s="3" t="s">
        <v>795</v>
      </c>
      <c r="C439" s="12" t="s">
        <v>308</v>
      </c>
      <c r="D439" s="12">
        <v>0</v>
      </c>
      <c r="E439" s="12" t="s">
        <v>308</v>
      </c>
      <c r="F439" s="3" t="s">
        <v>476</v>
      </c>
    </row>
    <row r="440" spans="1:6" x14ac:dyDescent="0.25">
      <c r="A440" s="38">
        <v>43580.423495370371</v>
      </c>
      <c r="B440" s="3" t="s">
        <v>796</v>
      </c>
      <c r="C440" s="12" t="s">
        <v>308</v>
      </c>
      <c r="D440" s="12">
        <v>0</v>
      </c>
      <c r="E440" s="12" t="s">
        <v>308</v>
      </c>
      <c r="F440" s="3" t="s">
        <v>476</v>
      </c>
    </row>
    <row r="441" spans="1:6" x14ac:dyDescent="0.25">
      <c r="A441" s="38">
        <v>43580.423495370371</v>
      </c>
      <c r="B441" s="3" t="s">
        <v>797</v>
      </c>
      <c r="C441" s="12" t="s">
        <v>308</v>
      </c>
      <c r="D441" s="12">
        <v>0</v>
      </c>
      <c r="E441" s="12" t="s">
        <v>308</v>
      </c>
      <c r="F441" s="3" t="s">
        <v>476</v>
      </c>
    </row>
    <row r="442" spans="1:6" x14ac:dyDescent="0.25">
      <c r="A442" s="38">
        <v>43580.423495370371</v>
      </c>
      <c r="B442" s="3" t="s">
        <v>798</v>
      </c>
      <c r="C442" s="12" t="s">
        <v>308</v>
      </c>
      <c r="D442" s="12">
        <v>0</v>
      </c>
      <c r="E442" s="12" t="s">
        <v>308</v>
      </c>
      <c r="F442" s="3" t="s">
        <v>476</v>
      </c>
    </row>
    <row r="443" spans="1:6" x14ac:dyDescent="0.25">
      <c r="A443" s="38">
        <v>43580.423495370371</v>
      </c>
      <c r="B443" s="3" t="s">
        <v>799</v>
      </c>
      <c r="C443" s="12" t="s">
        <v>308</v>
      </c>
      <c r="D443" s="12">
        <v>0</v>
      </c>
      <c r="E443" s="12" t="s">
        <v>308</v>
      </c>
      <c r="F443" s="3" t="s">
        <v>476</v>
      </c>
    </row>
    <row r="444" spans="1:6" x14ac:dyDescent="0.25">
      <c r="A444" s="38">
        <v>43580.423495370371</v>
      </c>
      <c r="B444" s="3" t="s">
        <v>800</v>
      </c>
      <c r="C444" s="12" t="s">
        <v>308</v>
      </c>
      <c r="D444" s="12">
        <v>0</v>
      </c>
      <c r="E444" s="12" t="s">
        <v>308</v>
      </c>
      <c r="F444" s="3" t="s">
        <v>476</v>
      </c>
    </row>
    <row r="445" spans="1:6" x14ac:dyDescent="0.25">
      <c r="A445" s="38">
        <v>43580.423506944448</v>
      </c>
      <c r="B445" s="3" t="s">
        <v>801</v>
      </c>
      <c r="C445" s="12" t="s">
        <v>308</v>
      </c>
      <c r="D445" s="12">
        <v>0</v>
      </c>
      <c r="E445" s="12" t="s">
        <v>308</v>
      </c>
      <c r="F445" s="3" t="s">
        <v>476</v>
      </c>
    </row>
    <row r="446" spans="1:6" x14ac:dyDescent="0.25">
      <c r="A446" s="38">
        <v>43580.423506944448</v>
      </c>
      <c r="B446" s="3" t="s">
        <v>802</v>
      </c>
      <c r="C446" s="12" t="s">
        <v>308</v>
      </c>
      <c r="D446" s="12">
        <v>0</v>
      </c>
      <c r="E446" s="12" t="s">
        <v>308</v>
      </c>
      <c r="F446" s="3" t="s">
        <v>476</v>
      </c>
    </row>
    <row r="447" spans="1:6" x14ac:dyDescent="0.25">
      <c r="A447" s="38">
        <v>43580.423506944448</v>
      </c>
      <c r="B447" s="3" t="s">
        <v>803</v>
      </c>
      <c r="C447" s="12" t="s">
        <v>308</v>
      </c>
      <c r="D447" s="12">
        <v>0</v>
      </c>
      <c r="E447" s="12" t="s">
        <v>308</v>
      </c>
      <c r="F447" s="3" t="s">
        <v>476</v>
      </c>
    </row>
    <row r="448" spans="1:6" x14ac:dyDescent="0.25">
      <c r="A448" s="38">
        <v>43580.423506944448</v>
      </c>
      <c r="B448" s="3" t="s">
        <v>804</v>
      </c>
      <c r="C448" s="12" t="s">
        <v>308</v>
      </c>
      <c r="D448" s="12">
        <v>0</v>
      </c>
      <c r="E448" s="12" t="s">
        <v>308</v>
      </c>
      <c r="F448" s="3" t="s">
        <v>476</v>
      </c>
    </row>
    <row r="449" spans="1:6" x14ac:dyDescent="0.25">
      <c r="A449" s="38">
        <v>43580.423506944448</v>
      </c>
      <c r="B449" s="3" t="s">
        <v>805</v>
      </c>
      <c r="C449" s="12" t="s">
        <v>308</v>
      </c>
      <c r="D449" s="12">
        <v>0</v>
      </c>
      <c r="E449" s="12" t="s">
        <v>308</v>
      </c>
      <c r="F449" s="3" t="s">
        <v>476</v>
      </c>
    </row>
    <row r="450" spans="1:6" x14ac:dyDescent="0.25">
      <c r="A450" s="38">
        <v>43580.423506944448</v>
      </c>
      <c r="B450" s="3" t="s">
        <v>806</v>
      </c>
      <c r="C450" s="12" t="s">
        <v>308</v>
      </c>
      <c r="D450" s="12">
        <v>0</v>
      </c>
      <c r="E450" s="12" t="s">
        <v>308</v>
      </c>
      <c r="F450" s="3" t="s">
        <v>476</v>
      </c>
    </row>
    <row r="451" spans="1:6" x14ac:dyDescent="0.25">
      <c r="A451" s="38">
        <v>43580.423506944448</v>
      </c>
      <c r="B451" s="3" t="s">
        <v>807</v>
      </c>
      <c r="C451" s="12" t="s">
        <v>308</v>
      </c>
      <c r="D451" s="12">
        <v>0</v>
      </c>
      <c r="E451" s="12" t="s">
        <v>308</v>
      </c>
      <c r="F451" s="3" t="s">
        <v>476</v>
      </c>
    </row>
    <row r="452" spans="1:6" x14ac:dyDescent="0.25">
      <c r="A452" s="38">
        <v>43580.423506944448</v>
      </c>
      <c r="B452" s="3" t="s">
        <v>808</v>
      </c>
      <c r="C452" s="12" t="s">
        <v>308</v>
      </c>
      <c r="D452" s="12">
        <v>0</v>
      </c>
      <c r="E452" s="12" t="s">
        <v>308</v>
      </c>
      <c r="F452" s="3" t="s">
        <v>476</v>
      </c>
    </row>
    <row r="453" spans="1:6" x14ac:dyDescent="0.25">
      <c r="A453" s="38">
        <v>43580.423518518517</v>
      </c>
      <c r="B453" s="3" t="s">
        <v>809</v>
      </c>
      <c r="C453" s="12" t="s">
        <v>308</v>
      </c>
      <c r="D453" s="12">
        <v>0</v>
      </c>
      <c r="E453" s="12" t="s">
        <v>308</v>
      </c>
      <c r="F453" s="3" t="s">
        <v>476</v>
      </c>
    </row>
    <row r="454" spans="1:6" x14ac:dyDescent="0.25">
      <c r="A454" s="38">
        <v>43580.423518518517</v>
      </c>
      <c r="B454" s="3" t="s">
        <v>810</v>
      </c>
      <c r="C454" s="12" t="s">
        <v>308</v>
      </c>
      <c r="D454" s="12">
        <v>0</v>
      </c>
      <c r="E454" s="12" t="s">
        <v>308</v>
      </c>
      <c r="F454" s="3" t="s">
        <v>476</v>
      </c>
    </row>
    <row r="455" spans="1:6" x14ac:dyDescent="0.25">
      <c r="A455" s="38">
        <v>43580.423518518517</v>
      </c>
      <c r="B455" s="3" t="s">
        <v>811</v>
      </c>
      <c r="C455" s="12" t="s">
        <v>308</v>
      </c>
      <c r="D455" s="12">
        <v>0</v>
      </c>
      <c r="E455" s="12" t="s">
        <v>308</v>
      </c>
      <c r="F455" s="3" t="s">
        <v>476</v>
      </c>
    </row>
    <row r="456" spans="1:6" x14ac:dyDescent="0.25">
      <c r="A456" s="38">
        <v>43580.423518518517</v>
      </c>
      <c r="B456" s="3" t="s">
        <v>812</v>
      </c>
      <c r="C456" s="12" t="s">
        <v>308</v>
      </c>
      <c r="D456" s="12">
        <v>0</v>
      </c>
      <c r="E456" s="12" t="s">
        <v>308</v>
      </c>
      <c r="F456" s="3" t="s">
        <v>476</v>
      </c>
    </row>
    <row r="457" spans="1:6" x14ac:dyDescent="0.25">
      <c r="A457" s="38">
        <v>43580.423518518517</v>
      </c>
      <c r="B457" s="3" t="s">
        <v>813</v>
      </c>
      <c r="C457" s="12" t="s">
        <v>308</v>
      </c>
      <c r="D457" s="12">
        <v>0</v>
      </c>
      <c r="E457" s="12" t="s">
        <v>308</v>
      </c>
      <c r="F457" s="3" t="s">
        <v>476</v>
      </c>
    </row>
    <row r="458" spans="1:6" x14ac:dyDescent="0.25">
      <c r="A458" s="38">
        <v>43580.423518518517</v>
      </c>
      <c r="B458" s="3" t="s">
        <v>814</v>
      </c>
      <c r="C458" s="12" t="s">
        <v>308</v>
      </c>
      <c r="D458" s="12">
        <v>0</v>
      </c>
      <c r="E458" s="12" t="s">
        <v>308</v>
      </c>
      <c r="F458" s="3" t="s">
        <v>476</v>
      </c>
    </row>
    <row r="459" spans="1:6" x14ac:dyDescent="0.25">
      <c r="A459" s="38">
        <v>43580.423518518517</v>
      </c>
      <c r="B459" s="3" t="s">
        <v>815</v>
      </c>
      <c r="C459" s="12" t="s">
        <v>308</v>
      </c>
      <c r="D459" s="12">
        <v>0</v>
      </c>
      <c r="E459" s="12" t="s">
        <v>308</v>
      </c>
      <c r="F459" s="3" t="s">
        <v>476</v>
      </c>
    </row>
    <row r="460" spans="1:6" x14ac:dyDescent="0.25">
      <c r="A460" s="38">
        <v>43580.423518518517</v>
      </c>
      <c r="B460" s="3" t="s">
        <v>816</v>
      </c>
      <c r="C460" s="12" t="s">
        <v>308</v>
      </c>
      <c r="D460" s="12">
        <v>0</v>
      </c>
      <c r="E460" s="12" t="s">
        <v>308</v>
      </c>
      <c r="F460" s="3" t="s">
        <v>476</v>
      </c>
    </row>
    <row r="461" spans="1:6" x14ac:dyDescent="0.25">
      <c r="A461" s="38">
        <v>43580.423518518517</v>
      </c>
      <c r="B461" s="3" t="s">
        <v>817</v>
      </c>
      <c r="C461" s="12" t="s">
        <v>308</v>
      </c>
      <c r="D461" s="12">
        <v>0</v>
      </c>
      <c r="E461" s="12" t="s">
        <v>308</v>
      </c>
      <c r="F461" s="3" t="s">
        <v>476</v>
      </c>
    </row>
    <row r="462" spans="1:6" x14ac:dyDescent="0.25">
      <c r="A462" s="38">
        <v>43580.423530092594</v>
      </c>
      <c r="B462" s="3" t="s">
        <v>818</v>
      </c>
      <c r="C462" s="12" t="s">
        <v>308</v>
      </c>
      <c r="D462" s="12">
        <v>0</v>
      </c>
      <c r="E462" s="12" t="s">
        <v>308</v>
      </c>
      <c r="F462" s="3" t="s">
        <v>476</v>
      </c>
    </row>
    <row r="463" spans="1:6" x14ac:dyDescent="0.25">
      <c r="A463" s="38">
        <v>43580.423530092594</v>
      </c>
      <c r="B463" s="3" t="s">
        <v>819</v>
      </c>
      <c r="C463" s="12" t="s">
        <v>308</v>
      </c>
      <c r="D463" s="12">
        <v>0</v>
      </c>
      <c r="E463" s="12" t="s">
        <v>308</v>
      </c>
      <c r="F463" s="3" t="s">
        <v>476</v>
      </c>
    </row>
    <row r="464" spans="1:6" x14ac:dyDescent="0.25">
      <c r="A464" s="38">
        <v>43580.423530092594</v>
      </c>
      <c r="B464" s="3" t="s">
        <v>820</v>
      </c>
      <c r="C464" s="12" t="s">
        <v>308</v>
      </c>
      <c r="D464" s="12">
        <v>0</v>
      </c>
      <c r="E464" s="12" t="s">
        <v>308</v>
      </c>
      <c r="F464" s="3" t="s">
        <v>476</v>
      </c>
    </row>
    <row r="465" spans="1:6" x14ac:dyDescent="0.25">
      <c r="A465" s="38">
        <v>43580.423530092594</v>
      </c>
      <c r="B465" s="3" t="s">
        <v>821</v>
      </c>
      <c r="C465" s="12" t="s">
        <v>308</v>
      </c>
      <c r="D465" s="12">
        <v>0</v>
      </c>
      <c r="E465" s="12" t="s">
        <v>308</v>
      </c>
      <c r="F465" s="3" t="s">
        <v>476</v>
      </c>
    </row>
    <row r="466" spans="1:6" x14ac:dyDescent="0.25">
      <c r="A466" s="38">
        <v>43580.423530092594</v>
      </c>
      <c r="B466" s="3" t="s">
        <v>822</v>
      </c>
      <c r="C466" s="12" t="s">
        <v>308</v>
      </c>
      <c r="D466" s="12">
        <v>0</v>
      </c>
      <c r="E466" s="12" t="s">
        <v>308</v>
      </c>
      <c r="F466" s="3" t="s">
        <v>476</v>
      </c>
    </row>
    <row r="467" spans="1:6" x14ac:dyDescent="0.25">
      <c r="A467" s="38">
        <v>43580.423530092594</v>
      </c>
      <c r="B467" s="3" t="s">
        <v>823</v>
      </c>
      <c r="C467" s="12" t="s">
        <v>308</v>
      </c>
      <c r="D467" s="12">
        <v>0</v>
      </c>
      <c r="E467" s="12" t="s">
        <v>308</v>
      </c>
      <c r="F467" s="3" t="s">
        <v>476</v>
      </c>
    </row>
    <row r="468" spans="1:6" x14ac:dyDescent="0.25">
      <c r="A468" s="38">
        <v>43580.423530092594</v>
      </c>
      <c r="B468" s="3" t="s">
        <v>824</v>
      </c>
      <c r="C468" s="12" t="s">
        <v>308</v>
      </c>
      <c r="D468" s="12">
        <v>0</v>
      </c>
      <c r="E468" s="12" t="s">
        <v>308</v>
      </c>
      <c r="F468" s="3" t="s">
        <v>476</v>
      </c>
    </row>
    <row r="469" spans="1:6" x14ac:dyDescent="0.25">
      <c r="A469" s="38">
        <v>43580.423530092594</v>
      </c>
      <c r="B469" s="3" t="s">
        <v>825</v>
      </c>
      <c r="C469" s="12" t="s">
        <v>308</v>
      </c>
      <c r="D469" s="12">
        <v>0</v>
      </c>
      <c r="E469" s="12" t="s">
        <v>308</v>
      </c>
      <c r="F469" s="3" t="s">
        <v>476</v>
      </c>
    </row>
    <row r="470" spans="1:6" x14ac:dyDescent="0.25">
      <c r="A470" s="38">
        <v>43580.423541666663</v>
      </c>
      <c r="B470" s="3" t="s">
        <v>826</v>
      </c>
      <c r="C470" s="12" t="s">
        <v>308</v>
      </c>
      <c r="D470" s="12">
        <v>0</v>
      </c>
      <c r="E470" s="12" t="s">
        <v>308</v>
      </c>
      <c r="F470" s="3" t="s">
        <v>476</v>
      </c>
    </row>
    <row r="471" spans="1:6" x14ac:dyDescent="0.25">
      <c r="A471" s="38">
        <v>43580.423541666663</v>
      </c>
      <c r="B471" s="3" t="s">
        <v>827</v>
      </c>
      <c r="C471" s="12" t="s">
        <v>308</v>
      </c>
      <c r="D471" s="12">
        <v>0</v>
      </c>
      <c r="E471" s="12" t="s">
        <v>308</v>
      </c>
      <c r="F471" s="3" t="s">
        <v>476</v>
      </c>
    </row>
    <row r="472" spans="1:6" x14ac:dyDescent="0.25">
      <c r="A472" s="38">
        <v>43580.423541666663</v>
      </c>
      <c r="B472" s="3" t="s">
        <v>828</v>
      </c>
      <c r="C472" s="12" t="s">
        <v>308</v>
      </c>
      <c r="D472" s="12">
        <v>0</v>
      </c>
      <c r="E472" s="12" t="s">
        <v>308</v>
      </c>
      <c r="F472" s="3" t="s">
        <v>476</v>
      </c>
    </row>
    <row r="473" spans="1:6" x14ac:dyDescent="0.25">
      <c r="A473" s="38">
        <v>43580.423541666663</v>
      </c>
      <c r="B473" s="3" t="s">
        <v>829</v>
      </c>
      <c r="C473" s="12" t="s">
        <v>308</v>
      </c>
      <c r="D473" s="12">
        <v>0</v>
      </c>
      <c r="E473" s="12" t="s">
        <v>308</v>
      </c>
      <c r="F473" s="3" t="s">
        <v>476</v>
      </c>
    </row>
    <row r="474" spans="1:6" x14ac:dyDescent="0.25">
      <c r="A474" s="38">
        <v>43580.423541666663</v>
      </c>
      <c r="B474" s="3" t="s">
        <v>830</v>
      </c>
      <c r="C474" s="12" t="s">
        <v>308</v>
      </c>
      <c r="D474" s="12">
        <v>0</v>
      </c>
      <c r="E474" s="12" t="s">
        <v>308</v>
      </c>
      <c r="F474" s="3" t="s">
        <v>476</v>
      </c>
    </row>
    <row r="475" spans="1:6" x14ac:dyDescent="0.25">
      <c r="A475" s="38">
        <v>43580.423541666663</v>
      </c>
      <c r="B475" s="3" t="s">
        <v>831</v>
      </c>
      <c r="C475" s="12" t="s">
        <v>308</v>
      </c>
      <c r="D475" s="12">
        <v>0</v>
      </c>
      <c r="E475" s="12" t="s">
        <v>308</v>
      </c>
      <c r="F475" s="3" t="s">
        <v>476</v>
      </c>
    </row>
    <row r="476" spans="1:6" x14ac:dyDescent="0.25">
      <c r="A476" s="38">
        <v>43580.423541666663</v>
      </c>
      <c r="B476" s="3" t="s">
        <v>832</v>
      </c>
      <c r="C476" s="12" t="s">
        <v>308</v>
      </c>
      <c r="D476" s="12">
        <v>0</v>
      </c>
      <c r="E476" s="12" t="s">
        <v>308</v>
      </c>
      <c r="F476" s="3" t="s">
        <v>476</v>
      </c>
    </row>
    <row r="477" spans="1:6" x14ac:dyDescent="0.25">
      <c r="A477" s="38">
        <v>43580.423541666663</v>
      </c>
      <c r="B477" s="3" t="s">
        <v>833</v>
      </c>
      <c r="C477" s="12" t="s">
        <v>308</v>
      </c>
      <c r="D477" s="12">
        <v>0</v>
      </c>
      <c r="E477" s="12" t="s">
        <v>308</v>
      </c>
      <c r="F477" s="3" t="s">
        <v>476</v>
      </c>
    </row>
    <row r="478" spans="1:6" x14ac:dyDescent="0.25">
      <c r="A478" s="38">
        <v>43580.423541666663</v>
      </c>
      <c r="B478" s="3" t="s">
        <v>834</v>
      </c>
      <c r="C478" s="12" t="s">
        <v>308</v>
      </c>
      <c r="D478" s="12">
        <v>0</v>
      </c>
      <c r="E478" s="12" t="s">
        <v>308</v>
      </c>
      <c r="F478" s="3" t="s">
        <v>476</v>
      </c>
    </row>
    <row r="479" spans="1:6" x14ac:dyDescent="0.25">
      <c r="A479" s="38">
        <v>43580.42355324074</v>
      </c>
      <c r="B479" s="3" t="s">
        <v>835</v>
      </c>
      <c r="C479" s="12" t="s">
        <v>308</v>
      </c>
      <c r="D479" s="12">
        <v>0</v>
      </c>
      <c r="E479" s="12" t="s">
        <v>308</v>
      </c>
      <c r="F479" s="3" t="s">
        <v>476</v>
      </c>
    </row>
    <row r="480" spans="1:6" x14ac:dyDescent="0.25">
      <c r="A480" s="38">
        <v>43580.42355324074</v>
      </c>
      <c r="B480" s="3" t="s">
        <v>836</v>
      </c>
      <c r="C480" s="12" t="s">
        <v>308</v>
      </c>
      <c r="D480" s="12">
        <v>0</v>
      </c>
      <c r="E480" s="12" t="s">
        <v>308</v>
      </c>
      <c r="F480" s="3" t="s">
        <v>476</v>
      </c>
    </row>
    <row r="481" spans="1:6" x14ac:dyDescent="0.25">
      <c r="A481" s="38">
        <v>43580.42355324074</v>
      </c>
      <c r="B481" s="3" t="s">
        <v>837</v>
      </c>
      <c r="C481" s="12" t="s">
        <v>308</v>
      </c>
      <c r="D481" s="12">
        <v>0</v>
      </c>
      <c r="E481" s="12" t="s">
        <v>308</v>
      </c>
      <c r="F481" s="3" t="s">
        <v>476</v>
      </c>
    </row>
    <row r="482" spans="1:6" x14ac:dyDescent="0.25">
      <c r="A482" s="38">
        <v>43580.42355324074</v>
      </c>
      <c r="B482" s="3" t="s">
        <v>838</v>
      </c>
      <c r="C482" s="12" t="s">
        <v>308</v>
      </c>
      <c r="D482" s="12">
        <v>0</v>
      </c>
      <c r="E482" s="12" t="s">
        <v>308</v>
      </c>
      <c r="F482" s="3" t="s">
        <v>476</v>
      </c>
    </row>
    <row r="483" spans="1:6" x14ac:dyDescent="0.25">
      <c r="A483" s="38">
        <v>43580.42355324074</v>
      </c>
      <c r="B483" s="3" t="s">
        <v>839</v>
      </c>
      <c r="C483" s="12" t="s">
        <v>308</v>
      </c>
      <c r="D483" s="12">
        <v>0</v>
      </c>
      <c r="E483" s="12" t="s">
        <v>308</v>
      </c>
      <c r="F483" s="3" t="s">
        <v>476</v>
      </c>
    </row>
    <row r="484" spans="1:6" x14ac:dyDescent="0.25">
      <c r="A484" s="38">
        <v>43580.42355324074</v>
      </c>
      <c r="B484" s="3" t="s">
        <v>840</v>
      </c>
      <c r="C484" s="12" t="s">
        <v>308</v>
      </c>
      <c r="D484" s="12">
        <v>0</v>
      </c>
      <c r="E484" s="12" t="s">
        <v>308</v>
      </c>
      <c r="F484" s="3" t="s">
        <v>476</v>
      </c>
    </row>
    <row r="485" spans="1:6" x14ac:dyDescent="0.25">
      <c r="A485" s="38">
        <v>43580.42355324074</v>
      </c>
      <c r="B485" s="3" t="s">
        <v>841</v>
      </c>
      <c r="C485" s="12" t="s">
        <v>308</v>
      </c>
      <c r="D485" s="12">
        <v>0</v>
      </c>
      <c r="E485" s="12" t="s">
        <v>308</v>
      </c>
      <c r="F485" s="3" t="s">
        <v>476</v>
      </c>
    </row>
    <row r="486" spans="1:6" x14ac:dyDescent="0.25">
      <c r="A486" s="38">
        <v>43580.42355324074</v>
      </c>
      <c r="B486" s="3" t="s">
        <v>842</v>
      </c>
      <c r="C486" s="12" t="s">
        <v>308</v>
      </c>
      <c r="D486" s="12">
        <v>0</v>
      </c>
      <c r="E486" s="12" t="s">
        <v>308</v>
      </c>
      <c r="F486" s="3" t="s">
        <v>476</v>
      </c>
    </row>
    <row r="487" spans="1:6" x14ac:dyDescent="0.25">
      <c r="A487" s="38">
        <v>43580.423564814817</v>
      </c>
      <c r="B487" s="3" t="s">
        <v>843</v>
      </c>
      <c r="C487" s="12" t="s">
        <v>308</v>
      </c>
      <c r="D487" s="12">
        <v>0</v>
      </c>
      <c r="E487" s="12" t="s">
        <v>308</v>
      </c>
      <c r="F487" s="3" t="s">
        <v>476</v>
      </c>
    </row>
    <row r="488" spans="1:6" x14ac:dyDescent="0.25">
      <c r="A488" s="38">
        <v>43580.423564814817</v>
      </c>
      <c r="B488" s="3" t="s">
        <v>844</v>
      </c>
      <c r="C488" s="12" t="s">
        <v>308</v>
      </c>
      <c r="D488" s="12">
        <v>0</v>
      </c>
      <c r="E488" s="12" t="s">
        <v>308</v>
      </c>
      <c r="F488" s="3" t="s">
        <v>476</v>
      </c>
    </row>
    <row r="489" spans="1:6" x14ac:dyDescent="0.25">
      <c r="A489" s="38">
        <v>43580.423564814817</v>
      </c>
      <c r="B489" s="3" t="s">
        <v>845</v>
      </c>
      <c r="C489" s="12" t="s">
        <v>308</v>
      </c>
      <c r="D489" s="12">
        <v>0</v>
      </c>
      <c r="E489" s="12" t="s">
        <v>308</v>
      </c>
      <c r="F489" s="3" t="s">
        <v>476</v>
      </c>
    </row>
    <row r="490" spans="1:6" x14ac:dyDescent="0.25">
      <c r="A490" s="38">
        <v>43580.423564814817</v>
      </c>
      <c r="B490" s="3" t="s">
        <v>846</v>
      </c>
      <c r="C490" s="12" t="s">
        <v>308</v>
      </c>
      <c r="D490" s="12">
        <v>0</v>
      </c>
      <c r="E490" s="12" t="s">
        <v>308</v>
      </c>
      <c r="F490" s="3" t="s">
        <v>476</v>
      </c>
    </row>
    <row r="491" spans="1:6" x14ac:dyDescent="0.25">
      <c r="A491" s="38">
        <v>43580.423564814817</v>
      </c>
      <c r="B491" s="3" t="s">
        <v>847</v>
      </c>
      <c r="C491" s="12" t="s">
        <v>308</v>
      </c>
      <c r="D491" s="12">
        <v>0</v>
      </c>
      <c r="E491" s="12" t="s">
        <v>308</v>
      </c>
      <c r="F491" s="3" t="s">
        <v>476</v>
      </c>
    </row>
    <row r="492" spans="1:6" x14ac:dyDescent="0.25">
      <c r="A492" s="38">
        <v>43580.423564814817</v>
      </c>
      <c r="B492" s="3" t="s">
        <v>848</v>
      </c>
      <c r="C492" s="12" t="s">
        <v>308</v>
      </c>
      <c r="D492" s="12">
        <v>0</v>
      </c>
      <c r="E492" s="12" t="s">
        <v>308</v>
      </c>
      <c r="F492" s="3" t="s">
        <v>476</v>
      </c>
    </row>
    <row r="493" spans="1:6" x14ac:dyDescent="0.25">
      <c r="A493" s="38">
        <v>43580.423564814817</v>
      </c>
      <c r="B493" s="3" t="s">
        <v>849</v>
      </c>
      <c r="C493" s="12" t="s">
        <v>308</v>
      </c>
      <c r="D493" s="12">
        <v>0</v>
      </c>
      <c r="E493" s="12" t="s">
        <v>308</v>
      </c>
      <c r="F493" s="3" t="s">
        <v>476</v>
      </c>
    </row>
    <row r="494" spans="1:6" x14ac:dyDescent="0.25">
      <c r="A494" s="38">
        <v>43580.423564814817</v>
      </c>
      <c r="B494" s="3" t="s">
        <v>850</v>
      </c>
      <c r="C494" s="12" t="s">
        <v>308</v>
      </c>
      <c r="D494" s="12">
        <v>0</v>
      </c>
      <c r="E494" s="12" t="s">
        <v>308</v>
      </c>
      <c r="F494" s="3" t="s">
        <v>476</v>
      </c>
    </row>
    <row r="495" spans="1:6" x14ac:dyDescent="0.25">
      <c r="A495" s="38">
        <v>43580.423576388886</v>
      </c>
      <c r="B495" s="3" t="s">
        <v>851</v>
      </c>
      <c r="C495" s="12" t="s">
        <v>308</v>
      </c>
      <c r="D495" s="12">
        <v>0</v>
      </c>
      <c r="E495" s="12" t="s">
        <v>308</v>
      </c>
      <c r="F495" s="3" t="s">
        <v>476</v>
      </c>
    </row>
    <row r="496" spans="1:6" x14ac:dyDescent="0.25">
      <c r="A496" s="38">
        <v>43580.423576388886</v>
      </c>
      <c r="B496" s="3" t="s">
        <v>852</v>
      </c>
      <c r="C496" s="12" t="s">
        <v>308</v>
      </c>
      <c r="D496" s="12">
        <v>0</v>
      </c>
      <c r="E496" s="12" t="s">
        <v>308</v>
      </c>
      <c r="F496" s="3" t="s">
        <v>476</v>
      </c>
    </row>
    <row r="497" spans="1:6" x14ac:dyDescent="0.25">
      <c r="A497" s="38">
        <v>43580.423576388886</v>
      </c>
      <c r="B497" s="3" t="s">
        <v>853</v>
      </c>
      <c r="C497" s="12" t="s">
        <v>308</v>
      </c>
      <c r="D497" s="12">
        <v>0</v>
      </c>
      <c r="E497" s="12" t="s">
        <v>308</v>
      </c>
      <c r="F497" s="3" t="s">
        <v>476</v>
      </c>
    </row>
    <row r="498" spans="1:6" x14ac:dyDescent="0.25">
      <c r="A498" s="38">
        <v>43580.423576388886</v>
      </c>
      <c r="B498" s="3" t="s">
        <v>854</v>
      </c>
      <c r="C498" s="12" t="s">
        <v>308</v>
      </c>
      <c r="D498" s="12">
        <v>0</v>
      </c>
      <c r="E498" s="12" t="s">
        <v>308</v>
      </c>
      <c r="F498" s="3" t="s">
        <v>476</v>
      </c>
    </row>
    <row r="499" spans="1:6" x14ac:dyDescent="0.25">
      <c r="A499" s="38">
        <v>43580.423576388886</v>
      </c>
      <c r="B499" s="3" t="s">
        <v>855</v>
      </c>
      <c r="C499" s="12" t="s">
        <v>308</v>
      </c>
      <c r="D499" s="12">
        <v>0</v>
      </c>
      <c r="E499" s="12" t="s">
        <v>308</v>
      </c>
      <c r="F499" s="3" t="s">
        <v>476</v>
      </c>
    </row>
    <row r="500" spans="1:6" x14ac:dyDescent="0.25">
      <c r="A500" s="38">
        <v>43580.423576388886</v>
      </c>
      <c r="B500" s="3" t="s">
        <v>856</v>
      </c>
      <c r="C500" s="12" t="s">
        <v>308</v>
      </c>
      <c r="D500" s="12">
        <v>0</v>
      </c>
      <c r="E500" s="12" t="s">
        <v>308</v>
      </c>
      <c r="F500" s="3" t="s">
        <v>476</v>
      </c>
    </row>
    <row r="501" spans="1:6" x14ac:dyDescent="0.25">
      <c r="A501" s="38">
        <v>43580.423576388886</v>
      </c>
      <c r="B501" s="3" t="s">
        <v>857</v>
      </c>
      <c r="C501" s="12" t="s">
        <v>308</v>
      </c>
      <c r="D501" s="12">
        <v>0</v>
      </c>
      <c r="E501" s="12" t="s">
        <v>308</v>
      </c>
      <c r="F501" s="3" t="s">
        <v>476</v>
      </c>
    </row>
    <row r="502" spans="1:6" x14ac:dyDescent="0.25">
      <c r="A502" s="38">
        <v>43580.423576388886</v>
      </c>
      <c r="B502" s="3" t="s">
        <v>858</v>
      </c>
      <c r="C502" s="12" t="s">
        <v>308</v>
      </c>
      <c r="D502" s="12">
        <v>0</v>
      </c>
      <c r="E502" s="12" t="s">
        <v>308</v>
      </c>
      <c r="F502" s="3" t="s">
        <v>476</v>
      </c>
    </row>
    <row r="503" spans="1:6" x14ac:dyDescent="0.25">
      <c r="A503" s="38">
        <v>43580.423587962963</v>
      </c>
      <c r="B503" s="3" t="s">
        <v>859</v>
      </c>
      <c r="C503" s="12" t="s">
        <v>308</v>
      </c>
      <c r="D503" s="12">
        <v>0</v>
      </c>
      <c r="E503" s="12" t="s">
        <v>308</v>
      </c>
      <c r="F503" s="3" t="s">
        <v>476</v>
      </c>
    </row>
    <row r="504" spans="1:6" x14ac:dyDescent="0.25">
      <c r="A504" s="38">
        <v>43580.423587962963</v>
      </c>
      <c r="B504" s="3" t="s">
        <v>860</v>
      </c>
      <c r="C504" s="12" t="s">
        <v>308</v>
      </c>
      <c r="D504" s="12">
        <v>0</v>
      </c>
      <c r="E504" s="12" t="s">
        <v>308</v>
      </c>
      <c r="F504" s="3" t="s">
        <v>476</v>
      </c>
    </row>
    <row r="505" spans="1:6" x14ac:dyDescent="0.25">
      <c r="A505" s="38">
        <v>43580.423587962963</v>
      </c>
      <c r="B505" s="3" t="s">
        <v>861</v>
      </c>
      <c r="C505" s="12" t="s">
        <v>308</v>
      </c>
      <c r="D505" s="12">
        <v>0</v>
      </c>
      <c r="E505" s="12" t="s">
        <v>308</v>
      </c>
      <c r="F505" s="3" t="s">
        <v>476</v>
      </c>
    </row>
    <row r="506" spans="1:6" x14ac:dyDescent="0.25">
      <c r="A506" s="38">
        <v>43580.423587962963</v>
      </c>
      <c r="B506" s="3" t="s">
        <v>862</v>
      </c>
      <c r="C506" s="12" t="s">
        <v>308</v>
      </c>
      <c r="D506" s="12">
        <v>0</v>
      </c>
      <c r="E506" s="12" t="s">
        <v>308</v>
      </c>
      <c r="F506" s="3" t="s">
        <v>476</v>
      </c>
    </row>
    <row r="507" spans="1:6" x14ac:dyDescent="0.25">
      <c r="A507" s="38">
        <v>43580.423587962963</v>
      </c>
      <c r="B507" s="3" t="s">
        <v>863</v>
      </c>
      <c r="C507" s="12" t="s">
        <v>308</v>
      </c>
      <c r="D507" s="12">
        <v>0</v>
      </c>
      <c r="E507" s="12" t="s">
        <v>308</v>
      </c>
      <c r="F507" s="3" t="s">
        <v>476</v>
      </c>
    </row>
    <row r="508" spans="1:6" x14ac:dyDescent="0.25">
      <c r="A508" s="38">
        <v>43580.423587962963</v>
      </c>
      <c r="B508" s="3" t="s">
        <v>864</v>
      </c>
      <c r="C508" s="12" t="s">
        <v>308</v>
      </c>
      <c r="D508" s="12">
        <v>0</v>
      </c>
      <c r="E508" s="12" t="s">
        <v>308</v>
      </c>
      <c r="F508" s="3" t="s">
        <v>476</v>
      </c>
    </row>
    <row r="509" spans="1:6" x14ac:dyDescent="0.25">
      <c r="A509" s="38">
        <v>43580.423587962963</v>
      </c>
      <c r="B509" s="3" t="s">
        <v>865</v>
      </c>
      <c r="C509" s="12" t="s">
        <v>308</v>
      </c>
      <c r="D509" s="12">
        <v>0</v>
      </c>
      <c r="E509" s="12" t="s">
        <v>308</v>
      </c>
      <c r="F509" s="3" t="s">
        <v>476</v>
      </c>
    </row>
    <row r="510" spans="1:6" x14ac:dyDescent="0.25">
      <c r="A510" s="38">
        <v>43580.42359953704</v>
      </c>
      <c r="B510" s="3" t="s">
        <v>866</v>
      </c>
      <c r="C510" s="12" t="s">
        <v>308</v>
      </c>
      <c r="D510" s="12">
        <v>0</v>
      </c>
      <c r="E510" s="12" t="s">
        <v>308</v>
      </c>
      <c r="F510" s="3" t="s">
        <v>476</v>
      </c>
    </row>
    <row r="511" spans="1:6" x14ac:dyDescent="0.25">
      <c r="A511" s="38">
        <v>43580.42359953704</v>
      </c>
      <c r="B511" s="3" t="s">
        <v>867</v>
      </c>
      <c r="C511" s="12" t="s">
        <v>308</v>
      </c>
      <c r="D511" s="12">
        <v>0</v>
      </c>
      <c r="E511" s="12" t="s">
        <v>308</v>
      </c>
      <c r="F511" s="3" t="s">
        <v>476</v>
      </c>
    </row>
    <row r="512" spans="1:6" x14ac:dyDescent="0.25">
      <c r="A512" s="38">
        <v>43580.42359953704</v>
      </c>
      <c r="B512" s="3" t="s">
        <v>868</v>
      </c>
      <c r="C512" s="12" t="s">
        <v>308</v>
      </c>
      <c r="D512" s="12">
        <v>0</v>
      </c>
      <c r="E512" s="12" t="s">
        <v>308</v>
      </c>
      <c r="F512" s="3" t="s">
        <v>476</v>
      </c>
    </row>
    <row r="513" spans="1:6" x14ac:dyDescent="0.25">
      <c r="A513" s="38">
        <v>43580.42359953704</v>
      </c>
      <c r="B513" s="3" t="s">
        <v>869</v>
      </c>
      <c r="C513" s="12" t="s">
        <v>308</v>
      </c>
      <c r="D513" s="12">
        <v>0</v>
      </c>
      <c r="E513" s="12" t="s">
        <v>308</v>
      </c>
      <c r="F513" s="3" t="s">
        <v>476</v>
      </c>
    </row>
    <row r="514" spans="1:6" x14ac:dyDescent="0.25">
      <c r="A514" s="38">
        <v>43580.42359953704</v>
      </c>
      <c r="B514" s="3" t="s">
        <v>870</v>
      </c>
      <c r="C514" s="12" t="s">
        <v>308</v>
      </c>
      <c r="D514" s="12">
        <v>0</v>
      </c>
      <c r="E514" s="12" t="s">
        <v>308</v>
      </c>
      <c r="F514" s="3" t="s">
        <v>476</v>
      </c>
    </row>
    <row r="515" spans="1:6" x14ac:dyDescent="0.25">
      <c r="A515" s="38">
        <v>43580.42359953704</v>
      </c>
      <c r="B515" s="3" t="s">
        <v>871</v>
      </c>
      <c r="C515" s="12" t="s">
        <v>308</v>
      </c>
      <c r="D515" s="12">
        <v>0</v>
      </c>
      <c r="E515" s="12" t="s">
        <v>308</v>
      </c>
      <c r="F515" s="3" t="s">
        <v>476</v>
      </c>
    </row>
    <row r="516" spans="1:6" x14ac:dyDescent="0.25">
      <c r="A516" s="38">
        <v>43580.42359953704</v>
      </c>
      <c r="B516" s="3" t="s">
        <v>872</v>
      </c>
      <c r="C516" s="12" t="s">
        <v>308</v>
      </c>
      <c r="D516" s="12">
        <v>0</v>
      </c>
      <c r="E516" s="12" t="s">
        <v>308</v>
      </c>
      <c r="F516" s="3" t="s">
        <v>476</v>
      </c>
    </row>
    <row r="517" spans="1:6" x14ac:dyDescent="0.25">
      <c r="A517" s="38">
        <v>43580.423611111109</v>
      </c>
      <c r="B517" s="3" t="s">
        <v>873</v>
      </c>
      <c r="C517" s="12" t="s">
        <v>308</v>
      </c>
      <c r="D517" s="12">
        <v>0</v>
      </c>
      <c r="E517" s="12" t="s">
        <v>308</v>
      </c>
      <c r="F517" s="3" t="s">
        <v>476</v>
      </c>
    </row>
    <row r="518" spans="1:6" x14ac:dyDescent="0.25">
      <c r="A518" s="38">
        <v>43580.423611111109</v>
      </c>
      <c r="B518" s="3" t="s">
        <v>874</v>
      </c>
      <c r="C518" s="12" t="s">
        <v>308</v>
      </c>
      <c r="D518" s="12">
        <v>0</v>
      </c>
      <c r="E518" s="12" t="s">
        <v>308</v>
      </c>
      <c r="F518" s="3" t="s">
        <v>476</v>
      </c>
    </row>
    <row r="519" spans="1:6" x14ac:dyDescent="0.25">
      <c r="A519" s="38">
        <v>43580.423611111109</v>
      </c>
      <c r="B519" s="3" t="s">
        <v>875</v>
      </c>
      <c r="C519" s="12" t="s">
        <v>308</v>
      </c>
      <c r="D519" s="12">
        <v>0</v>
      </c>
      <c r="E519" s="12" t="s">
        <v>308</v>
      </c>
      <c r="F519" s="3" t="s">
        <v>476</v>
      </c>
    </row>
    <row r="520" spans="1:6" x14ac:dyDescent="0.25">
      <c r="A520" s="38">
        <v>43580.423611111109</v>
      </c>
      <c r="B520" s="3" t="s">
        <v>876</v>
      </c>
      <c r="C520" s="12" t="s">
        <v>308</v>
      </c>
      <c r="D520" s="12">
        <v>0</v>
      </c>
      <c r="E520" s="12" t="s">
        <v>308</v>
      </c>
      <c r="F520" s="3" t="s">
        <v>476</v>
      </c>
    </row>
    <row r="521" spans="1:6" x14ac:dyDescent="0.25">
      <c r="A521" s="38">
        <v>43580.423611111109</v>
      </c>
      <c r="B521" s="3" t="s">
        <v>877</v>
      </c>
      <c r="C521" s="12" t="s">
        <v>308</v>
      </c>
      <c r="D521" s="12">
        <v>0</v>
      </c>
      <c r="E521" s="12" t="s">
        <v>308</v>
      </c>
      <c r="F521" s="3" t="s">
        <v>476</v>
      </c>
    </row>
    <row r="522" spans="1:6" x14ac:dyDescent="0.25">
      <c r="A522" s="38">
        <v>43580.423611111109</v>
      </c>
      <c r="B522" s="3" t="s">
        <v>878</v>
      </c>
      <c r="C522" s="12" t="s">
        <v>308</v>
      </c>
      <c r="D522" s="12">
        <v>0</v>
      </c>
      <c r="E522" s="12" t="s">
        <v>308</v>
      </c>
      <c r="F522" s="3" t="s">
        <v>476</v>
      </c>
    </row>
    <row r="523" spans="1:6" x14ac:dyDescent="0.25">
      <c r="A523" s="38">
        <v>43580.423611111109</v>
      </c>
      <c r="B523" s="3" t="s">
        <v>879</v>
      </c>
      <c r="C523" s="12" t="s">
        <v>308</v>
      </c>
      <c r="D523" s="12">
        <v>0</v>
      </c>
      <c r="E523" s="12" t="s">
        <v>308</v>
      </c>
      <c r="F523" s="3" t="s">
        <v>476</v>
      </c>
    </row>
    <row r="524" spans="1:6" x14ac:dyDescent="0.25">
      <c r="A524" s="38">
        <v>43580.423611111109</v>
      </c>
      <c r="B524" s="3" t="s">
        <v>880</v>
      </c>
      <c r="C524" s="12" t="s">
        <v>308</v>
      </c>
      <c r="D524" s="12">
        <v>0</v>
      </c>
      <c r="E524" s="12" t="s">
        <v>308</v>
      </c>
      <c r="F524" s="3" t="s">
        <v>476</v>
      </c>
    </row>
    <row r="525" spans="1:6" x14ac:dyDescent="0.25">
      <c r="A525" s="38">
        <v>43580.423622685186</v>
      </c>
      <c r="B525" s="3" t="s">
        <v>881</v>
      </c>
      <c r="C525" s="12" t="s">
        <v>308</v>
      </c>
      <c r="D525" s="12">
        <v>0</v>
      </c>
      <c r="E525" s="12" t="s">
        <v>308</v>
      </c>
      <c r="F525" s="3" t="s">
        <v>476</v>
      </c>
    </row>
    <row r="526" spans="1:6" x14ac:dyDescent="0.25">
      <c r="A526" s="38">
        <v>43580.423622685186</v>
      </c>
      <c r="B526" s="3" t="s">
        <v>882</v>
      </c>
      <c r="C526" s="12" t="s">
        <v>308</v>
      </c>
      <c r="D526" s="12">
        <v>0</v>
      </c>
      <c r="E526" s="12" t="s">
        <v>308</v>
      </c>
      <c r="F526" s="3" t="s">
        <v>476</v>
      </c>
    </row>
    <row r="527" spans="1:6" x14ac:dyDescent="0.25">
      <c r="A527" s="38">
        <v>43580.423622685186</v>
      </c>
      <c r="B527" s="3" t="s">
        <v>883</v>
      </c>
      <c r="C527" s="12" t="s">
        <v>308</v>
      </c>
      <c r="D527" s="12">
        <v>0</v>
      </c>
      <c r="E527" s="12" t="s">
        <v>308</v>
      </c>
      <c r="F527" s="3" t="s">
        <v>476</v>
      </c>
    </row>
    <row r="528" spans="1:6" x14ac:dyDescent="0.25">
      <c r="A528" s="38">
        <v>43580.423622685186</v>
      </c>
      <c r="B528" s="3" t="s">
        <v>884</v>
      </c>
      <c r="C528" s="12" t="s">
        <v>308</v>
      </c>
      <c r="D528" s="12">
        <v>0</v>
      </c>
      <c r="E528" s="12" t="s">
        <v>308</v>
      </c>
      <c r="F528" s="3" t="s">
        <v>476</v>
      </c>
    </row>
    <row r="529" spans="1:6" x14ac:dyDescent="0.25">
      <c r="A529" s="38">
        <v>43580.423622685186</v>
      </c>
      <c r="B529" s="3" t="s">
        <v>885</v>
      </c>
      <c r="C529" s="12" t="s">
        <v>308</v>
      </c>
      <c r="D529" s="12">
        <v>0</v>
      </c>
      <c r="E529" s="12" t="s">
        <v>308</v>
      </c>
      <c r="F529" s="3" t="s">
        <v>476</v>
      </c>
    </row>
    <row r="530" spans="1:6" x14ac:dyDescent="0.25">
      <c r="A530" s="38">
        <v>43580.423622685186</v>
      </c>
      <c r="B530" s="3" t="s">
        <v>886</v>
      </c>
      <c r="C530" s="12" t="s">
        <v>308</v>
      </c>
      <c r="D530" s="12">
        <v>0</v>
      </c>
      <c r="E530" s="12" t="s">
        <v>308</v>
      </c>
      <c r="F530" s="3" t="s">
        <v>476</v>
      </c>
    </row>
    <row r="531" spans="1:6" x14ac:dyDescent="0.25">
      <c r="A531" s="38">
        <v>43580.423622685186</v>
      </c>
      <c r="B531" s="3" t="s">
        <v>887</v>
      </c>
      <c r="C531" s="12" t="s">
        <v>308</v>
      </c>
      <c r="D531" s="12">
        <v>0</v>
      </c>
      <c r="E531" s="12" t="s">
        <v>308</v>
      </c>
      <c r="F531" s="3" t="s">
        <v>476</v>
      </c>
    </row>
    <row r="532" spans="1:6" x14ac:dyDescent="0.25">
      <c r="A532" s="38">
        <v>43580.423622685186</v>
      </c>
      <c r="B532" s="3" t="s">
        <v>888</v>
      </c>
      <c r="C532" s="12" t="s">
        <v>308</v>
      </c>
      <c r="D532" s="12">
        <v>0</v>
      </c>
      <c r="E532" s="12" t="s">
        <v>308</v>
      </c>
      <c r="F532" s="3" t="s">
        <v>476</v>
      </c>
    </row>
    <row r="533" spans="1:6" x14ac:dyDescent="0.25">
      <c r="A533" s="38">
        <v>43580.423634259256</v>
      </c>
      <c r="B533" s="3" t="s">
        <v>889</v>
      </c>
      <c r="C533" s="12" t="s">
        <v>308</v>
      </c>
      <c r="D533" s="12">
        <v>0</v>
      </c>
      <c r="E533" s="12" t="s">
        <v>308</v>
      </c>
      <c r="F533" s="3" t="s">
        <v>476</v>
      </c>
    </row>
    <row r="534" spans="1:6" x14ac:dyDescent="0.25">
      <c r="A534" s="38">
        <v>43580.423634259256</v>
      </c>
      <c r="B534" s="3" t="s">
        <v>890</v>
      </c>
      <c r="C534" s="12" t="s">
        <v>308</v>
      </c>
      <c r="D534" s="12">
        <v>0</v>
      </c>
      <c r="E534" s="12" t="s">
        <v>308</v>
      </c>
      <c r="F534" s="3" t="s">
        <v>476</v>
      </c>
    </row>
    <row r="535" spans="1:6" x14ac:dyDescent="0.25">
      <c r="A535" s="38">
        <v>43580.423634259256</v>
      </c>
      <c r="B535" s="3" t="s">
        <v>891</v>
      </c>
      <c r="C535" s="12" t="s">
        <v>308</v>
      </c>
      <c r="D535" s="12">
        <v>0</v>
      </c>
      <c r="E535" s="12" t="s">
        <v>308</v>
      </c>
      <c r="F535" s="3" t="s">
        <v>476</v>
      </c>
    </row>
    <row r="536" spans="1:6" x14ac:dyDescent="0.25">
      <c r="A536" s="38">
        <v>43580.423634259256</v>
      </c>
      <c r="B536" s="3" t="s">
        <v>892</v>
      </c>
      <c r="C536" s="12" t="s">
        <v>308</v>
      </c>
      <c r="D536" s="12">
        <v>0</v>
      </c>
      <c r="E536" s="12" t="s">
        <v>308</v>
      </c>
      <c r="F536" s="3" t="s">
        <v>476</v>
      </c>
    </row>
    <row r="537" spans="1:6" x14ac:dyDescent="0.25">
      <c r="A537" s="38">
        <v>43580.423634259256</v>
      </c>
      <c r="B537" s="3" t="s">
        <v>893</v>
      </c>
      <c r="C537" s="12" t="s">
        <v>308</v>
      </c>
      <c r="D537" s="12">
        <v>0</v>
      </c>
      <c r="E537" s="12" t="s">
        <v>308</v>
      </c>
      <c r="F537" s="3" t="s">
        <v>476</v>
      </c>
    </row>
    <row r="538" spans="1:6" x14ac:dyDescent="0.25">
      <c r="A538" s="38">
        <v>43580.423634259256</v>
      </c>
      <c r="B538" s="3" t="s">
        <v>894</v>
      </c>
      <c r="C538" s="12" t="s">
        <v>308</v>
      </c>
      <c r="D538" s="12">
        <v>0</v>
      </c>
      <c r="E538" s="12" t="s">
        <v>308</v>
      </c>
      <c r="F538" s="3" t="s">
        <v>476</v>
      </c>
    </row>
    <row r="539" spans="1:6" x14ac:dyDescent="0.25">
      <c r="A539" s="38">
        <v>43580.423634259256</v>
      </c>
      <c r="B539" s="3" t="s">
        <v>895</v>
      </c>
      <c r="C539" s="12" t="s">
        <v>308</v>
      </c>
      <c r="D539" s="12">
        <v>0</v>
      </c>
      <c r="E539" s="12" t="s">
        <v>308</v>
      </c>
      <c r="F539" s="3" t="s">
        <v>476</v>
      </c>
    </row>
    <row r="540" spans="1:6" x14ac:dyDescent="0.25">
      <c r="A540" s="38">
        <v>43580.423645833333</v>
      </c>
      <c r="B540" s="3" t="s">
        <v>896</v>
      </c>
      <c r="C540" s="12" t="s">
        <v>308</v>
      </c>
      <c r="D540" s="12">
        <v>0</v>
      </c>
      <c r="E540" s="12" t="s">
        <v>308</v>
      </c>
      <c r="F540" s="3" t="s">
        <v>476</v>
      </c>
    </row>
    <row r="541" spans="1:6" x14ac:dyDescent="0.25">
      <c r="A541" s="38">
        <v>43580.423645833333</v>
      </c>
      <c r="B541" s="3" t="s">
        <v>897</v>
      </c>
      <c r="C541" s="12" t="s">
        <v>308</v>
      </c>
      <c r="D541" s="12">
        <v>0</v>
      </c>
      <c r="E541" s="12" t="s">
        <v>308</v>
      </c>
      <c r="F541" s="3" t="s">
        <v>476</v>
      </c>
    </row>
    <row r="542" spans="1:6" x14ac:dyDescent="0.25">
      <c r="A542" s="38">
        <v>43580.423645833333</v>
      </c>
      <c r="B542" s="3" t="s">
        <v>898</v>
      </c>
      <c r="C542" s="12" t="s">
        <v>308</v>
      </c>
      <c r="D542" s="12">
        <v>0</v>
      </c>
      <c r="E542" s="12" t="s">
        <v>308</v>
      </c>
      <c r="F542" s="3" t="s">
        <v>476</v>
      </c>
    </row>
    <row r="543" spans="1:6" x14ac:dyDescent="0.25">
      <c r="A543" s="38">
        <v>43580.423645833333</v>
      </c>
      <c r="B543" s="3" t="s">
        <v>899</v>
      </c>
      <c r="C543" s="12" t="s">
        <v>308</v>
      </c>
      <c r="D543" s="12">
        <v>0</v>
      </c>
      <c r="E543" s="12" t="s">
        <v>308</v>
      </c>
      <c r="F543" s="3" t="s">
        <v>476</v>
      </c>
    </row>
    <row r="544" spans="1:6" x14ac:dyDescent="0.25">
      <c r="A544" s="38">
        <v>43580.423645833333</v>
      </c>
      <c r="B544" s="3" t="s">
        <v>900</v>
      </c>
      <c r="C544" s="12" t="s">
        <v>308</v>
      </c>
      <c r="D544" s="12">
        <v>0</v>
      </c>
      <c r="E544" s="12" t="s">
        <v>308</v>
      </c>
      <c r="F544" s="3" t="s">
        <v>476</v>
      </c>
    </row>
    <row r="545" spans="1:6" x14ac:dyDescent="0.25">
      <c r="A545" s="38">
        <v>43580.423645833333</v>
      </c>
      <c r="B545" s="3" t="s">
        <v>901</v>
      </c>
      <c r="C545" s="12" t="s">
        <v>308</v>
      </c>
      <c r="D545" s="12">
        <v>0</v>
      </c>
      <c r="E545" s="12" t="s">
        <v>308</v>
      </c>
      <c r="F545" s="3" t="s">
        <v>476</v>
      </c>
    </row>
    <row r="546" spans="1:6" x14ac:dyDescent="0.25">
      <c r="A546" s="38">
        <v>43580.423645833333</v>
      </c>
      <c r="B546" s="3" t="s">
        <v>902</v>
      </c>
      <c r="C546" s="12" t="s">
        <v>308</v>
      </c>
      <c r="D546" s="12">
        <v>0</v>
      </c>
      <c r="E546" s="12" t="s">
        <v>308</v>
      </c>
      <c r="F546" s="3" t="s">
        <v>476</v>
      </c>
    </row>
    <row r="547" spans="1:6" x14ac:dyDescent="0.25">
      <c r="A547" s="38">
        <v>43580.423645833333</v>
      </c>
      <c r="B547" s="3" t="s">
        <v>903</v>
      </c>
      <c r="C547" s="12" t="s">
        <v>308</v>
      </c>
      <c r="D547" s="12">
        <v>0</v>
      </c>
      <c r="E547" s="12" t="s">
        <v>308</v>
      </c>
      <c r="F547" s="3" t="s">
        <v>476</v>
      </c>
    </row>
    <row r="548" spans="1:6" x14ac:dyDescent="0.25">
      <c r="A548" s="38">
        <v>43580.423657407409</v>
      </c>
      <c r="B548" s="3" t="s">
        <v>904</v>
      </c>
      <c r="C548" s="12" t="s">
        <v>308</v>
      </c>
      <c r="D548" s="12">
        <v>0</v>
      </c>
      <c r="E548" s="12" t="s">
        <v>308</v>
      </c>
      <c r="F548" s="3" t="s">
        <v>476</v>
      </c>
    </row>
    <row r="549" spans="1:6" x14ac:dyDescent="0.25">
      <c r="A549" s="38">
        <v>43580.423657407409</v>
      </c>
      <c r="B549" s="3" t="s">
        <v>905</v>
      </c>
      <c r="C549" s="12" t="s">
        <v>308</v>
      </c>
      <c r="D549" s="12">
        <v>0</v>
      </c>
      <c r="E549" s="12" t="s">
        <v>308</v>
      </c>
      <c r="F549" s="3" t="s">
        <v>476</v>
      </c>
    </row>
    <row r="550" spans="1:6" x14ac:dyDescent="0.25">
      <c r="A550" s="38">
        <v>43580.423657407409</v>
      </c>
      <c r="B550" s="3" t="s">
        <v>906</v>
      </c>
      <c r="C550" s="12" t="s">
        <v>308</v>
      </c>
      <c r="D550" s="12">
        <v>0</v>
      </c>
      <c r="E550" s="12" t="s">
        <v>308</v>
      </c>
      <c r="F550" s="3" t="s">
        <v>476</v>
      </c>
    </row>
    <row r="551" spans="1:6" x14ac:dyDescent="0.25">
      <c r="A551" s="38">
        <v>43580.423657407409</v>
      </c>
      <c r="B551" s="3" t="s">
        <v>907</v>
      </c>
      <c r="C551" s="12" t="s">
        <v>308</v>
      </c>
      <c r="D551" s="12">
        <v>0</v>
      </c>
      <c r="E551" s="12" t="s">
        <v>308</v>
      </c>
      <c r="F551" s="3" t="s">
        <v>476</v>
      </c>
    </row>
    <row r="552" spans="1:6" x14ac:dyDescent="0.25">
      <c r="A552" s="38">
        <v>43580.423657407409</v>
      </c>
      <c r="B552" s="3" t="s">
        <v>908</v>
      </c>
      <c r="C552" s="12" t="s">
        <v>308</v>
      </c>
      <c r="D552" s="12">
        <v>0</v>
      </c>
      <c r="E552" s="12" t="s">
        <v>308</v>
      </c>
      <c r="F552" s="3" t="s">
        <v>476</v>
      </c>
    </row>
    <row r="553" spans="1:6" x14ac:dyDescent="0.25">
      <c r="A553" s="38">
        <v>43580.423657407409</v>
      </c>
      <c r="B553" s="3" t="s">
        <v>909</v>
      </c>
      <c r="C553" s="12" t="s">
        <v>308</v>
      </c>
      <c r="D553" s="12">
        <v>0</v>
      </c>
      <c r="E553" s="12" t="s">
        <v>308</v>
      </c>
      <c r="F553" s="3" t="s">
        <v>476</v>
      </c>
    </row>
    <row r="554" spans="1:6" x14ac:dyDescent="0.25">
      <c r="A554" s="38">
        <v>43580.423657407409</v>
      </c>
      <c r="B554" s="3" t="s">
        <v>910</v>
      </c>
      <c r="C554" s="12" t="s">
        <v>308</v>
      </c>
      <c r="D554" s="12">
        <v>0</v>
      </c>
      <c r="E554" s="12" t="s">
        <v>308</v>
      </c>
      <c r="F554" s="3" t="s">
        <v>476</v>
      </c>
    </row>
    <row r="555" spans="1:6" x14ac:dyDescent="0.25">
      <c r="A555" s="38">
        <v>43580.423668981479</v>
      </c>
      <c r="B555" s="3" t="s">
        <v>911</v>
      </c>
      <c r="C555" s="12" t="s">
        <v>308</v>
      </c>
      <c r="D555" s="12">
        <v>0</v>
      </c>
      <c r="E555" s="12" t="s">
        <v>308</v>
      </c>
      <c r="F555" s="3" t="s">
        <v>476</v>
      </c>
    </row>
    <row r="556" spans="1:6" x14ac:dyDescent="0.25">
      <c r="A556" s="38">
        <v>43580.423668981479</v>
      </c>
      <c r="B556" s="3" t="s">
        <v>912</v>
      </c>
      <c r="C556" s="12" t="s">
        <v>308</v>
      </c>
      <c r="D556" s="12">
        <v>0</v>
      </c>
      <c r="E556" s="12" t="s">
        <v>308</v>
      </c>
      <c r="F556" s="3" t="s">
        <v>476</v>
      </c>
    </row>
    <row r="557" spans="1:6" x14ac:dyDescent="0.25">
      <c r="A557" s="38">
        <v>43580.423668981479</v>
      </c>
      <c r="B557" s="3" t="s">
        <v>913</v>
      </c>
      <c r="C557" s="12" t="s">
        <v>308</v>
      </c>
      <c r="D557" s="12">
        <v>0</v>
      </c>
      <c r="E557" s="12" t="s">
        <v>308</v>
      </c>
      <c r="F557" s="3" t="s">
        <v>476</v>
      </c>
    </row>
    <row r="558" spans="1:6" x14ac:dyDescent="0.25">
      <c r="A558" s="38">
        <v>43580.423668981479</v>
      </c>
      <c r="B558" s="3" t="s">
        <v>914</v>
      </c>
      <c r="C558" s="12" t="s">
        <v>308</v>
      </c>
      <c r="D558" s="12">
        <v>0</v>
      </c>
      <c r="E558" s="12" t="s">
        <v>308</v>
      </c>
      <c r="F558" s="3" t="s">
        <v>476</v>
      </c>
    </row>
    <row r="559" spans="1:6" x14ac:dyDescent="0.25">
      <c r="A559" s="38">
        <v>43580.423668981479</v>
      </c>
      <c r="B559" s="3" t="s">
        <v>915</v>
      </c>
      <c r="C559" s="12" t="s">
        <v>308</v>
      </c>
      <c r="D559" s="12">
        <v>0</v>
      </c>
      <c r="E559" s="12" t="s">
        <v>308</v>
      </c>
      <c r="F559" s="3" t="s">
        <v>476</v>
      </c>
    </row>
    <row r="560" spans="1:6" x14ac:dyDescent="0.25">
      <c r="A560" s="38">
        <v>43580.423668981479</v>
      </c>
      <c r="B560" s="3" t="s">
        <v>916</v>
      </c>
      <c r="C560" s="12" t="s">
        <v>308</v>
      </c>
      <c r="D560" s="12">
        <v>0</v>
      </c>
      <c r="E560" s="12" t="s">
        <v>308</v>
      </c>
      <c r="F560" s="3" t="s">
        <v>476</v>
      </c>
    </row>
    <row r="561" spans="1:6" x14ac:dyDescent="0.25">
      <c r="A561" s="38">
        <v>43580.423668981479</v>
      </c>
      <c r="B561" s="3" t="s">
        <v>917</v>
      </c>
      <c r="C561" s="12" t="s">
        <v>308</v>
      </c>
      <c r="D561" s="12">
        <v>0</v>
      </c>
      <c r="E561" s="12" t="s">
        <v>308</v>
      </c>
      <c r="F561" s="3" t="s">
        <v>476</v>
      </c>
    </row>
    <row r="562" spans="1:6" x14ac:dyDescent="0.25">
      <c r="A562" s="38">
        <v>43580.423680555556</v>
      </c>
      <c r="B562" s="3" t="s">
        <v>918</v>
      </c>
      <c r="C562" s="12" t="s">
        <v>308</v>
      </c>
      <c r="D562" s="12">
        <v>0</v>
      </c>
      <c r="E562" s="12" t="s">
        <v>308</v>
      </c>
      <c r="F562" s="3" t="s">
        <v>476</v>
      </c>
    </row>
    <row r="563" spans="1:6" x14ac:dyDescent="0.25">
      <c r="A563" s="38">
        <v>43580.423680555556</v>
      </c>
      <c r="B563" s="3" t="s">
        <v>919</v>
      </c>
      <c r="C563" s="12" t="s">
        <v>308</v>
      </c>
      <c r="D563" s="12">
        <v>0</v>
      </c>
      <c r="E563" s="12" t="s">
        <v>308</v>
      </c>
      <c r="F563" s="3" t="s">
        <v>476</v>
      </c>
    </row>
    <row r="564" spans="1:6" x14ac:dyDescent="0.25">
      <c r="A564" s="38">
        <v>43580.423680555556</v>
      </c>
      <c r="B564" s="3" t="s">
        <v>920</v>
      </c>
      <c r="C564" s="12" t="s">
        <v>308</v>
      </c>
      <c r="D564" s="12">
        <v>0</v>
      </c>
      <c r="E564" s="12" t="s">
        <v>308</v>
      </c>
      <c r="F564" s="3" t="s">
        <v>476</v>
      </c>
    </row>
    <row r="565" spans="1:6" x14ac:dyDescent="0.25">
      <c r="A565" s="38">
        <v>43580.423680555556</v>
      </c>
      <c r="B565" s="3" t="s">
        <v>921</v>
      </c>
      <c r="C565" s="12" t="s">
        <v>308</v>
      </c>
      <c r="D565" s="12">
        <v>0</v>
      </c>
      <c r="E565" s="12" t="s">
        <v>308</v>
      </c>
      <c r="F565" s="3" t="s">
        <v>476</v>
      </c>
    </row>
    <row r="566" spans="1:6" x14ac:dyDescent="0.25">
      <c r="A566" s="38">
        <v>43580.423680555556</v>
      </c>
      <c r="B566" s="3" t="s">
        <v>922</v>
      </c>
      <c r="C566" s="12" t="s">
        <v>308</v>
      </c>
      <c r="D566" s="12">
        <v>0</v>
      </c>
      <c r="E566" s="12" t="s">
        <v>308</v>
      </c>
      <c r="F566" s="3" t="s">
        <v>476</v>
      </c>
    </row>
    <row r="567" spans="1:6" x14ac:dyDescent="0.25">
      <c r="A567" s="38">
        <v>43580.423680555556</v>
      </c>
      <c r="B567" s="3" t="s">
        <v>923</v>
      </c>
      <c r="C567" s="12" t="s">
        <v>308</v>
      </c>
      <c r="D567" s="12">
        <v>0</v>
      </c>
      <c r="E567" s="12" t="s">
        <v>308</v>
      </c>
      <c r="F567" s="3" t="s">
        <v>476</v>
      </c>
    </row>
    <row r="568" spans="1:6" x14ac:dyDescent="0.25">
      <c r="A568" s="38">
        <v>43580.423680555556</v>
      </c>
      <c r="B568" s="3" t="s">
        <v>924</v>
      </c>
      <c r="C568" s="12" t="s">
        <v>308</v>
      </c>
      <c r="D568" s="12">
        <v>0</v>
      </c>
      <c r="E568" s="12" t="s">
        <v>308</v>
      </c>
      <c r="F568" s="3" t="s">
        <v>476</v>
      </c>
    </row>
    <row r="569" spans="1:6" x14ac:dyDescent="0.25">
      <c r="A569" s="38">
        <v>43580.423680555556</v>
      </c>
      <c r="B569" s="3" t="s">
        <v>925</v>
      </c>
      <c r="C569" s="12" t="s">
        <v>308</v>
      </c>
      <c r="D569" s="12">
        <v>0</v>
      </c>
      <c r="E569" s="12" t="s">
        <v>308</v>
      </c>
      <c r="F569" s="3" t="s">
        <v>476</v>
      </c>
    </row>
    <row r="570" spans="1:6" x14ac:dyDescent="0.25">
      <c r="A570" s="38">
        <v>43580.423692129632</v>
      </c>
      <c r="B570" s="3" t="s">
        <v>926</v>
      </c>
      <c r="C570" s="12" t="s">
        <v>308</v>
      </c>
      <c r="D570" s="12">
        <v>0</v>
      </c>
      <c r="E570" s="12" t="s">
        <v>308</v>
      </c>
      <c r="F570" s="3" t="s">
        <v>476</v>
      </c>
    </row>
    <row r="571" spans="1:6" x14ac:dyDescent="0.25">
      <c r="A571" s="38">
        <v>43580.423692129632</v>
      </c>
      <c r="B571" s="3" t="s">
        <v>927</v>
      </c>
      <c r="C571" s="12" t="s">
        <v>308</v>
      </c>
      <c r="D571" s="12">
        <v>0</v>
      </c>
      <c r="E571" s="12" t="s">
        <v>308</v>
      </c>
      <c r="F571" s="3" t="s">
        <v>476</v>
      </c>
    </row>
    <row r="572" spans="1:6" x14ac:dyDescent="0.25">
      <c r="A572" s="38">
        <v>43580.423692129632</v>
      </c>
      <c r="B572" s="3" t="s">
        <v>928</v>
      </c>
      <c r="C572" s="12" t="s">
        <v>308</v>
      </c>
      <c r="D572" s="12">
        <v>0</v>
      </c>
      <c r="E572" s="12" t="s">
        <v>308</v>
      </c>
      <c r="F572" s="3" t="s">
        <v>476</v>
      </c>
    </row>
    <row r="573" spans="1:6" x14ac:dyDescent="0.25">
      <c r="A573" s="38">
        <v>43580.423692129632</v>
      </c>
      <c r="B573" s="3" t="s">
        <v>929</v>
      </c>
      <c r="C573" s="12" t="s">
        <v>308</v>
      </c>
      <c r="D573" s="12">
        <v>0</v>
      </c>
      <c r="E573" s="12" t="s">
        <v>308</v>
      </c>
      <c r="F573" s="3" t="s">
        <v>476</v>
      </c>
    </row>
    <row r="574" spans="1:6" x14ac:dyDescent="0.25">
      <c r="A574" s="38">
        <v>43580.423692129632</v>
      </c>
      <c r="B574" s="3" t="s">
        <v>930</v>
      </c>
      <c r="C574" s="12" t="s">
        <v>308</v>
      </c>
      <c r="D574" s="12">
        <v>0</v>
      </c>
      <c r="E574" s="12" t="s">
        <v>308</v>
      </c>
      <c r="F574" s="3" t="s">
        <v>476</v>
      </c>
    </row>
    <row r="575" spans="1:6" x14ac:dyDescent="0.25">
      <c r="A575" s="38">
        <v>43580.423692129632</v>
      </c>
      <c r="B575" s="3" t="s">
        <v>933</v>
      </c>
      <c r="C575" s="12" t="s">
        <v>308</v>
      </c>
      <c r="D575" s="12">
        <v>0</v>
      </c>
      <c r="E575" s="12" t="s">
        <v>308</v>
      </c>
      <c r="F575" s="3" t="s">
        <v>476</v>
      </c>
    </row>
    <row r="576" spans="1:6" x14ac:dyDescent="0.25">
      <c r="A576" s="38">
        <v>43580.423692129632</v>
      </c>
      <c r="B576" s="3" t="s">
        <v>934</v>
      </c>
      <c r="C576" s="12" t="s">
        <v>308</v>
      </c>
      <c r="D576" s="12">
        <v>0</v>
      </c>
      <c r="E576" s="12" t="s">
        <v>308</v>
      </c>
      <c r="F576" s="3" t="s">
        <v>476</v>
      </c>
    </row>
    <row r="577" spans="1:6" x14ac:dyDescent="0.25">
      <c r="A577" s="38">
        <v>43580.423703703702</v>
      </c>
      <c r="B577" s="3" t="s">
        <v>935</v>
      </c>
      <c r="C577" s="12" t="s">
        <v>308</v>
      </c>
      <c r="D577" s="12">
        <v>0</v>
      </c>
      <c r="E577" s="12" t="s">
        <v>308</v>
      </c>
      <c r="F577" s="3" t="s">
        <v>476</v>
      </c>
    </row>
    <row r="578" spans="1:6" x14ac:dyDescent="0.25">
      <c r="A578" s="38">
        <v>43580.423703703702</v>
      </c>
      <c r="B578" s="3" t="s">
        <v>936</v>
      </c>
      <c r="C578" s="12" t="s">
        <v>308</v>
      </c>
      <c r="D578" s="12">
        <v>0</v>
      </c>
      <c r="E578" s="12" t="s">
        <v>308</v>
      </c>
      <c r="F578" s="3" t="s">
        <v>476</v>
      </c>
    </row>
    <row r="579" spans="1:6" x14ac:dyDescent="0.25">
      <c r="A579" s="38">
        <v>43580.423703703702</v>
      </c>
      <c r="B579" s="3" t="s">
        <v>937</v>
      </c>
      <c r="C579" s="12" t="s">
        <v>308</v>
      </c>
      <c r="D579" s="12">
        <v>0</v>
      </c>
      <c r="E579" s="12" t="s">
        <v>308</v>
      </c>
      <c r="F579" s="3" t="s">
        <v>476</v>
      </c>
    </row>
    <row r="580" spans="1:6" x14ac:dyDescent="0.25">
      <c r="A580" s="38">
        <v>43580.423703703702</v>
      </c>
      <c r="B580" s="3" t="s">
        <v>938</v>
      </c>
      <c r="C580" s="12" t="s">
        <v>308</v>
      </c>
      <c r="D580" s="12">
        <v>0</v>
      </c>
      <c r="E580" s="12" t="s">
        <v>308</v>
      </c>
      <c r="F580" s="3" t="s">
        <v>476</v>
      </c>
    </row>
    <row r="581" spans="1:6" x14ac:dyDescent="0.25">
      <c r="A581" s="38">
        <v>43580.423703703702</v>
      </c>
      <c r="B581" s="3" t="s">
        <v>939</v>
      </c>
      <c r="C581" s="12" t="s">
        <v>308</v>
      </c>
      <c r="D581" s="12">
        <v>0</v>
      </c>
      <c r="E581" s="12" t="s">
        <v>308</v>
      </c>
      <c r="F581" s="3" t="s">
        <v>476</v>
      </c>
    </row>
    <row r="582" spans="1:6" x14ac:dyDescent="0.25">
      <c r="A582" s="38">
        <v>43580.423703703702</v>
      </c>
      <c r="B582" s="3" t="s">
        <v>940</v>
      </c>
      <c r="C582" s="12" t="s">
        <v>308</v>
      </c>
      <c r="D582" s="12">
        <v>0</v>
      </c>
      <c r="E582" s="12" t="s">
        <v>308</v>
      </c>
      <c r="F582" s="3" t="s">
        <v>476</v>
      </c>
    </row>
    <row r="583" spans="1:6" x14ac:dyDescent="0.25">
      <c r="A583" s="38">
        <v>43580.423703703702</v>
      </c>
      <c r="B583" s="3" t="s">
        <v>941</v>
      </c>
      <c r="C583" s="12" t="s">
        <v>308</v>
      </c>
      <c r="D583" s="12">
        <v>0</v>
      </c>
      <c r="E583" s="12" t="s">
        <v>308</v>
      </c>
      <c r="F583" s="3" t="s">
        <v>476</v>
      </c>
    </row>
    <row r="584" spans="1:6" x14ac:dyDescent="0.25">
      <c r="A584" s="38">
        <v>43580.423715277779</v>
      </c>
      <c r="B584" s="3" t="s">
        <v>942</v>
      </c>
      <c r="C584" s="12" t="s">
        <v>308</v>
      </c>
      <c r="D584" s="12">
        <v>0</v>
      </c>
      <c r="E584" s="12" t="s">
        <v>308</v>
      </c>
      <c r="F584" s="3" t="s">
        <v>476</v>
      </c>
    </row>
    <row r="585" spans="1:6" x14ac:dyDescent="0.25">
      <c r="A585" s="38">
        <v>43580.423715277779</v>
      </c>
      <c r="B585" s="3" t="s">
        <v>943</v>
      </c>
      <c r="C585" s="12" t="s">
        <v>308</v>
      </c>
      <c r="D585" s="12">
        <v>0</v>
      </c>
      <c r="E585" s="12" t="s">
        <v>308</v>
      </c>
      <c r="F585" s="3" t="s">
        <v>476</v>
      </c>
    </row>
    <row r="586" spans="1:6" x14ac:dyDescent="0.25">
      <c r="A586" s="38">
        <v>43580.423715277779</v>
      </c>
      <c r="B586" s="3" t="s">
        <v>944</v>
      </c>
      <c r="C586" s="12" t="s">
        <v>308</v>
      </c>
      <c r="D586" s="12">
        <v>0</v>
      </c>
      <c r="E586" s="12" t="s">
        <v>308</v>
      </c>
      <c r="F586" s="3" t="s">
        <v>476</v>
      </c>
    </row>
    <row r="587" spans="1:6" x14ac:dyDescent="0.25">
      <c r="A587" s="38">
        <v>43580.423715277779</v>
      </c>
      <c r="B587" s="3" t="s">
        <v>945</v>
      </c>
      <c r="C587" s="12" t="s">
        <v>308</v>
      </c>
      <c r="D587" s="12">
        <v>0</v>
      </c>
      <c r="E587" s="12" t="s">
        <v>308</v>
      </c>
      <c r="F587" s="3" t="s">
        <v>476</v>
      </c>
    </row>
    <row r="588" spans="1:6" x14ac:dyDescent="0.25">
      <c r="A588" s="38">
        <v>43580.423715277779</v>
      </c>
      <c r="B588" s="3" t="s">
        <v>946</v>
      </c>
      <c r="C588" s="12" t="s">
        <v>308</v>
      </c>
      <c r="D588" s="12">
        <v>0</v>
      </c>
      <c r="E588" s="12" t="s">
        <v>308</v>
      </c>
      <c r="F588" s="3" t="s">
        <v>476</v>
      </c>
    </row>
    <row r="589" spans="1:6" x14ac:dyDescent="0.25">
      <c r="A589" s="38">
        <v>43580.423715277779</v>
      </c>
      <c r="B589" s="3" t="s">
        <v>947</v>
      </c>
      <c r="C589" s="12" t="s">
        <v>308</v>
      </c>
      <c r="D589" s="12">
        <v>0</v>
      </c>
      <c r="E589" s="12" t="s">
        <v>308</v>
      </c>
      <c r="F589" s="3" t="s">
        <v>476</v>
      </c>
    </row>
    <row r="590" spans="1:6" x14ac:dyDescent="0.25">
      <c r="A590" s="38">
        <v>43580.423715277779</v>
      </c>
      <c r="B590" s="3" t="s">
        <v>948</v>
      </c>
      <c r="C590" s="12" t="s">
        <v>308</v>
      </c>
      <c r="D590" s="12">
        <v>0</v>
      </c>
      <c r="E590" s="12" t="s">
        <v>308</v>
      </c>
      <c r="F590" s="3" t="s">
        <v>476</v>
      </c>
    </row>
    <row r="591" spans="1:6" x14ac:dyDescent="0.25">
      <c r="A591" s="38">
        <v>43580.423726851855</v>
      </c>
      <c r="B591" s="3" t="s">
        <v>949</v>
      </c>
      <c r="C591" s="12" t="s">
        <v>308</v>
      </c>
      <c r="D591" s="12">
        <v>0</v>
      </c>
      <c r="E591" s="12" t="s">
        <v>308</v>
      </c>
      <c r="F591" s="3" t="s">
        <v>476</v>
      </c>
    </row>
    <row r="592" spans="1:6" x14ac:dyDescent="0.25">
      <c r="A592" s="38">
        <v>43580.423726851855</v>
      </c>
      <c r="B592" s="3" t="s">
        <v>950</v>
      </c>
      <c r="C592" s="12" t="s">
        <v>308</v>
      </c>
      <c r="D592" s="12">
        <v>0</v>
      </c>
      <c r="E592" s="12" t="s">
        <v>308</v>
      </c>
      <c r="F592" s="3" t="s">
        <v>476</v>
      </c>
    </row>
    <row r="593" spans="1:6" x14ac:dyDescent="0.25">
      <c r="A593" s="38">
        <v>43580.423726851855</v>
      </c>
      <c r="B593" s="3" t="s">
        <v>951</v>
      </c>
      <c r="C593" s="12" t="s">
        <v>308</v>
      </c>
      <c r="D593" s="12">
        <v>0</v>
      </c>
      <c r="E593" s="12" t="s">
        <v>308</v>
      </c>
      <c r="F593" s="3" t="s">
        <v>476</v>
      </c>
    </row>
    <row r="594" spans="1:6" x14ac:dyDescent="0.25">
      <c r="A594" s="38">
        <v>43580.423726851855</v>
      </c>
      <c r="B594" s="3" t="s">
        <v>952</v>
      </c>
      <c r="C594" s="12" t="s">
        <v>308</v>
      </c>
      <c r="D594" s="12">
        <v>0</v>
      </c>
      <c r="E594" s="12" t="s">
        <v>308</v>
      </c>
      <c r="F594" s="3" t="s">
        <v>476</v>
      </c>
    </row>
    <row r="595" spans="1:6" x14ac:dyDescent="0.25">
      <c r="A595" s="38">
        <v>43580.423726851855</v>
      </c>
      <c r="B595" s="3" t="s">
        <v>953</v>
      </c>
      <c r="C595" s="12" t="s">
        <v>308</v>
      </c>
      <c r="D595" s="12">
        <v>0</v>
      </c>
      <c r="E595" s="12" t="s">
        <v>308</v>
      </c>
      <c r="F595" s="3" t="s">
        <v>476</v>
      </c>
    </row>
    <row r="596" spans="1:6" x14ac:dyDescent="0.25">
      <c r="A596" s="38">
        <v>43580.423726851855</v>
      </c>
      <c r="B596" s="3" t="s">
        <v>954</v>
      </c>
      <c r="C596" s="12" t="s">
        <v>308</v>
      </c>
      <c r="D596" s="12">
        <v>0</v>
      </c>
      <c r="E596" s="12" t="s">
        <v>308</v>
      </c>
      <c r="F596" s="3" t="s">
        <v>476</v>
      </c>
    </row>
    <row r="597" spans="1:6" x14ac:dyDescent="0.25">
      <c r="A597" s="38">
        <v>43580.423726851855</v>
      </c>
      <c r="B597" s="3" t="s">
        <v>955</v>
      </c>
      <c r="C597" s="12" t="s">
        <v>308</v>
      </c>
      <c r="D597" s="12">
        <v>0</v>
      </c>
      <c r="E597" s="12" t="s">
        <v>308</v>
      </c>
      <c r="F597" s="3" t="s">
        <v>476</v>
      </c>
    </row>
    <row r="598" spans="1:6" x14ac:dyDescent="0.25">
      <c r="A598" s="38">
        <v>43580.423738425925</v>
      </c>
      <c r="B598" s="3" t="s">
        <v>956</v>
      </c>
      <c r="C598" s="12" t="s">
        <v>308</v>
      </c>
      <c r="D598" s="12">
        <v>0</v>
      </c>
      <c r="E598" s="12" t="s">
        <v>308</v>
      </c>
      <c r="F598" s="3" t="s">
        <v>476</v>
      </c>
    </row>
    <row r="599" spans="1:6" x14ac:dyDescent="0.25">
      <c r="A599" s="38">
        <v>43580.423738425925</v>
      </c>
      <c r="B599" s="3" t="s">
        <v>957</v>
      </c>
      <c r="C599" s="12" t="s">
        <v>308</v>
      </c>
      <c r="D599" s="12">
        <v>0</v>
      </c>
      <c r="E599" s="12" t="s">
        <v>308</v>
      </c>
      <c r="F599" s="3" t="s">
        <v>476</v>
      </c>
    </row>
    <row r="600" spans="1:6" x14ac:dyDescent="0.25">
      <c r="A600" s="38">
        <v>43580.423738425925</v>
      </c>
      <c r="B600" s="3" t="s">
        <v>958</v>
      </c>
      <c r="C600" s="12" t="s">
        <v>308</v>
      </c>
      <c r="D600" s="12">
        <v>0</v>
      </c>
      <c r="E600" s="12" t="s">
        <v>308</v>
      </c>
      <c r="F600" s="3" t="s">
        <v>476</v>
      </c>
    </row>
    <row r="601" spans="1:6" x14ac:dyDescent="0.25">
      <c r="A601" s="38">
        <v>43580.423738425925</v>
      </c>
      <c r="B601" s="3" t="s">
        <v>959</v>
      </c>
      <c r="C601" s="12" t="s">
        <v>308</v>
      </c>
      <c r="D601" s="12">
        <v>0</v>
      </c>
      <c r="E601" s="12" t="s">
        <v>308</v>
      </c>
      <c r="F601" s="3" t="s">
        <v>476</v>
      </c>
    </row>
    <row r="602" spans="1:6" x14ac:dyDescent="0.25">
      <c r="A602" s="38">
        <v>43580.423738425925</v>
      </c>
      <c r="B602" s="3" t="s">
        <v>960</v>
      </c>
      <c r="C602" s="12" t="s">
        <v>308</v>
      </c>
      <c r="D602" s="12">
        <v>0</v>
      </c>
      <c r="E602" s="12" t="s">
        <v>308</v>
      </c>
      <c r="F602" s="3" t="s">
        <v>476</v>
      </c>
    </row>
    <row r="603" spans="1:6" x14ac:dyDescent="0.25">
      <c r="A603" s="38">
        <v>43580.423738425925</v>
      </c>
      <c r="B603" s="3" t="s">
        <v>961</v>
      </c>
      <c r="C603" s="12" t="s">
        <v>308</v>
      </c>
      <c r="D603" s="12">
        <v>0</v>
      </c>
      <c r="E603" s="12" t="s">
        <v>308</v>
      </c>
      <c r="F603" s="3" t="s">
        <v>476</v>
      </c>
    </row>
    <row r="604" spans="1:6" x14ac:dyDescent="0.25">
      <c r="A604" s="38">
        <v>43580.423738425925</v>
      </c>
      <c r="B604" s="3" t="s">
        <v>962</v>
      </c>
      <c r="C604" s="12" t="s">
        <v>308</v>
      </c>
      <c r="D604" s="12">
        <v>0</v>
      </c>
      <c r="E604" s="12" t="s">
        <v>308</v>
      </c>
      <c r="F604" s="3" t="s">
        <v>476</v>
      </c>
    </row>
    <row r="605" spans="1:6" x14ac:dyDescent="0.25">
      <c r="A605" s="38">
        <v>43580.423750000002</v>
      </c>
      <c r="B605" s="3" t="s">
        <v>963</v>
      </c>
      <c r="C605" s="12" t="s">
        <v>308</v>
      </c>
      <c r="D605" s="12">
        <v>0</v>
      </c>
      <c r="E605" s="12" t="s">
        <v>308</v>
      </c>
      <c r="F605" s="3" t="s">
        <v>476</v>
      </c>
    </row>
    <row r="606" spans="1:6" x14ac:dyDescent="0.25">
      <c r="A606" s="38">
        <v>43580.423750000002</v>
      </c>
      <c r="B606" s="3" t="s">
        <v>964</v>
      </c>
      <c r="C606" s="12" t="s">
        <v>308</v>
      </c>
      <c r="D606" s="12">
        <v>0</v>
      </c>
      <c r="E606" s="12" t="s">
        <v>308</v>
      </c>
      <c r="F606" s="3" t="s">
        <v>476</v>
      </c>
    </row>
    <row r="607" spans="1:6" x14ac:dyDescent="0.25">
      <c r="A607" s="38">
        <v>43580.423750000002</v>
      </c>
      <c r="B607" s="3" t="s">
        <v>965</v>
      </c>
      <c r="C607" s="12" t="s">
        <v>308</v>
      </c>
      <c r="D607" s="12">
        <v>0</v>
      </c>
      <c r="E607" s="12" t="s">
        <v>308</v>
      </c>
      <c r="F607" s="3" t="s">
        <v>476</v>
      </c>
    </row>
    <row r="608" spans="1:6" x14ac:dyDescent="0.25">
      <c r="A608" s="38">
        <v>43580.423750000002</v>
      </c>
      <c r="B608" s="3" t="s">
        <v>966</v>
      </c>
      <c r="C608" s="12" t="s">
        <v>308</v>
      </c>
      <c r="D608" s="12">
        <v>0</v>
      </c>
      <c r="E608" s="12" t="s">
        <v>308</v>
      </c>
      <c r="F608" s="3" t="s">
        <v>476</v>
      </c>
    </row>
    <row r="609" spans="1:6" x14ac:dyDescent="0.25">
      <c r="A609" s="38">
        <v>43580.475428240738</v>
      </c>
      <c r="B609" s="3" t="s">
        <v>467</v>
      </c>
      <c r="C609" s="12" t="s">
        <v>58</v>
      </c>
      <c r="D609" s="12" t="s">
        <v>58</v>
      </c>
      <c r="E609" s="12" t="s">
        <v>58</v>
      </c>
      <c r="F609" s="3" t="s">
        <v>364</v>
      </c>
    </row>
    <row r="610" spans="1:6" x14ac:dyDescent="0.25">
      <c r="A610" s="38">
        <v>43580.520208333335</v>
      </c>
      <c r="B610" s="3" t="s">
        <v>1033</v>
      </c>
      <c r="C610" s="12" t="s">
        <v>58</v>
      </c>
      <c r="D610" s="12" t="s">
        <v>58</v>
      </c>
      <c r="E610" s="12" t="s">
        <v>58</v>
      </c>
      <c r="F610" s="3" t="s">
        <v>364</v>
      </c>
    </row>
    <row r="611" spans="1:6" x14ac:dyDescent="0.25">
      <c r="A611" s="38">
        <v>43580.520370370374</v>
      </c>
      <c r="B611" s="3" t="s">
        <v>1040</v>
      </c>
      <c r="C611" s="12" t="s">
        <v>58</v>
      </c>
      <c r="D611" s="12" t="s">
        <v>58</v>
      </c>
      <c r="E611" s="12" t="s">
        <v>58</v>
      </c>
      <c r="F611" s="3" t="s">
        <v>364</v>
      </c>
    </row>
    <row r="612" spans="1:6" x14ac:dyDescent="0.25">
      <c r="A612" s="38">
        <v>43580.520405092589</v>
      </c>
      <c r="B612" s="3" t="s">
        <v>1038</v>
      </c>
      <c r="C612" s="12" t="s">
        <v>58</v>
      </c>
      <c r="D612" s="12" t="s">
        <v>58</v>
      </c>
      <c r="E612" s="12" t="s">
        <v>58</v>
      </c>
      <c r="F612" s="3" t="s">
        <v>364</v>
      </c>
    </row>
    <row r="613" spans="1:6" x14ac:dyDescent="0.25">
      <c r="A613" s="38">
        <v>43580.520439814813</v>
      </c>
      <c r="B613" s="3" t="s">
        <v>1036</v>
      </c>
      <c r="C613" s="12" t="s">
        <v>58</v>
      </c>
      <c r="D613" s="12" t="s">
        <v>58</v>
      </c>
      <c r="E613" s="12" t="s">
        <v>58</v>
      </c>
      <c r="F613" s="3" t="s">
        <v>364</v>
      </c>
    </row>
    <row r="614" spans="1:6" x14ac:dyDescent="0.25">
      <c r="A614" s="38">
        <v>43580.520497685182</v>
      </c>
      <c r="B614" s="3" t="s">
        <v>1041</v>
      </c>
      <c r="C614" s="12" t="s">
        <v>58</v>
      </c>
      <c r="D614" s="12" t="s">
        <v>58</v>
      </c>
      <c r="E614" s="12" t="s">
        <v>58</v>
      </c>
      <c r="F614" s="3" t="s">
        <v>364</v>
      </c>
    </row>
    <row r="615" spans="1:6" x14ac:dyDescent="0.25">
      <c r="A615" s="38">
        <v>43580.520520833335</v>
      </c>
      <c r="B615" s="3" t="s">
        <v>1041</v>
      </c>
      <c r="C615" s="12" t="s">
        <v>58</v>
      </c>
      <c r="D615" s="12" t="s">
        <v>58</v>
      </c>
      <c r="E615" s="12" t="s">
        <v>58</v>
      </c>
      <c r="F615" s="3" t="s">
        <v>364</v>
      </c>
    </row>
    <row r="616" spans="1:6" x14ac:dyDescent="0.25">
      <c r="A616" s="38">
        <v>43580.520613425928</v>
      </c>
      <c r="B616" s="3" t="s">
        <v>1048</v>
      </c>
      <c r="C616" s="12" t="s">
        <v>58</v>
      </c>
      <c r="D616" s="12" t="s">
        <v>58</v>
      </c>
      <c r="E616" s="12" t="s">
        <v>58</v>
      </c>
      <c r="F616" s="3" t="s">
        <v>364</v>
      </c>
    </row>
    <row r="617" spans="1:6" x14ac:dyDescent="0.25">
      <c r="A617" s="38">
        <v>43580.520671296297</v>
      </c>
      <c r="B617" s="3" t="s">
        <v>1047</v>
      </c>
      <c r="C617" s="12" t="s">
        <v>58</v>
      </c>
      <c r="D617" s="12" t="s">
        <v>58</v>
      </c>
      <c r="E617" s="12" t="s">
        <v>58</v>
      </c>
      <c r="F617" s="3" t="s">
        <v>364</v>
      </c>
    </row>
    <row r="618" spans="1:6" x14ac:dyDescent="0.25">
      <c r="A618" s="38">
        <v>43580.52071759259</v>
      </c>
      <c r="B618" s="3" t="s">
        <v>1046</v>
      </c>
      <c r="C618" s="12" t="s">
        <v>58</v>
      </c>
      <c r="D618" s="12" t="s">
        <v>58</v>
      </c>
      <c r="E618" s="12" t="s">
        <v>58</v>
      </c>
      <c r="F618" s="3" t="s">
        <v>364</v>
      </c>
    </row>
    <row r="619" spans="1:6" x14ac:dyDescent="0.25">
      <c r="A619" s="38">
        <v>43580.52076388889</v>
      </c>
      <c r="B619" s="3" t="s">
        <v>1045</v>
      </c>
      <c r="C619" s="12" t="s">
        <v>58</v>
      </c>
      <c r="D619" s="12" t="s">
        <v>58</v>
      </c>
      <c r="E619" s="12" t="s">
        <v>58</v>
      </c>
      <c r="F619" s="3" t="s">
        <v>364</v>
      </c>
    </row>
    <row r="620" spans="1:6" x14ac:dyDescent="0.25">
      <c r="A620" s="38">
        <v>43580.574675925927</v>
      </c>
      <c r="B620" s="3" t="s">
        <v>972</v>
      </c>
      <c r="C620" s="12" t="s">
        <v>58</v>
      </c>
      <c r="D620" s="12" t="s">
        <v>58</v>
      </c>
      <c r="E620" s="12" t="s">
        <v>58</v>
      </c>
      <c r="F620" s="3" t="s">
        <v>364</v>
      </c>
    </row>
    <row r="621" spans="1:6" x14ac:dyDescent="0.25">
      <c r="A621" s="38">
        <v>43580.575127314813</v>
      </c>
      <c r="B621" s="3" t="s">
        <v>978</v>
      </c>
      <c r="C621" s="12" t="s">
        <v>58</v>
      </c>
      <c r="D621" s="12" t="s">
        <v>58</v>
      </c>
      <c r="E621" s="12" t="s">
        <v>58</v>
      </c>
      <c r="F621" s="3" t="s">
        <v>364</v>
      </c>
    </row>
    <row r="622" spans="1:6" x14ac:dyDescent="0.25">
      <c r="A622" s="38">
        <v>43580.575740740744</v>
      </c>
      <c r="B622" s="3" t="s">
        <v>565</v>
      </c>
      <c r="C622" s="12" t="s">
        <v>58</v>
      </c>
      <c r="D622" s="12" t="s">
        <v>58</v>
      </c>
      <c r="E622" s="12" t="s">
        <v>58</v>
      </c>
      <c r="F622" s="3" t="s">
        <v>364</v>
      </c>
    </row>
    <row r="623" spans="1:6" x14ac:dyDescent="0.25">
      <c r="A623" s="38">
        <v>43580.576412037037</v>
      </c>
      <c r="B623" s="3" t="s">
        <v>565</v>
      </c>
      <c r="C623" s="12" t="s">
        <v>58</v>
      </c>
      <c r="D623" s="12" t="s">
        <v>58</v>
      </c>
      <c r="E623" s="12" t="s">
        <v>58</v>
      </c>
      <c r="F623" s="3" t="s">
        <v>364</v>
      </c>
    </row>
    <row r="624" spans="1:6" x14ac:dyDescent="0.25">
      <c r="A624" s="38">
        <v>43580.576504629629</v>
      </c>
      <c r="B624" s="3" t="s">
        <v>565</v>
      </c>
      <c r="C624" s="12" t="s">
        <v>58</v>
      </c>
      <c r="D624" s="12" t="s">
        <v>58</v>
      </c>
      <c r="E624" s="12" t="s">
        <v>58</v>
      </c>
      <c r="F624" s="3" t="s">
        <v>364</v>
      </c>
    </row>
    <row r="625" spans="1:6" x14ac:dyDescent="0.25">
      <c r="A625" s="38">
        <v>43580.576574074075</v>
      </c>
      <c r="B625" s="3" t="s">
        <v>565</v>
      </c>
      <c r="C625" s="12" t="s">
        <v>58</v>
      </c>
      <c r="D625" s="12" t="s">
        <v>58</v>
      </c>
      <c r="E625" s="12" t="s">
        <v>58</v>
      </c>
      <c r="F625" s="3" t="s">
        <v>364</v>
      </c>
    </row>
    <row r="626" spans="1:6" x14ac:dyDescent="0.25">
      <c r="A626" s="38">
        <v>43580.577094907407</v>
      </c>
      <c r="B626" s="3" t="s">
        <v>978</v>
      </c>
      <c r="C626" s="12" t="s">
        <v>58</v>
      </c>
      <c r="D626" s="12" t="s">
        <v>58</v>
      </c>
      <c r="E626" s="12" t="s">
        <v>58</v>
      </c>
      <c r="F626" s="3" t="s">
        <v>364</v>
      </c>
    </row>
    <row r="627" spans="1:6" x14ac:dyDescent="0.25">
      <c r="A627" s="38">
        <v>43580.577870370369</v>
      </c>
      <c r="B627" s="3" t="s">
        <v>1005</v>
      </c>
      <c r="C627" s="12" t="s">
        <v>58</v>
      </c>
      <c r="D627" s="12" t="s">
        <v>58</v>
      </c>
      <c r="E627" s="12" t="s">
        <v>58</v>
      </c>
      <c r="F627" s="3" t="s">
        <v>364</v>
      </c>
    </row>
    <row r="628" spans="1:6" x14ac:dyDescent="0.25">
      <c r="A628" s="38">
        <v>43580.578564814816</v>
      </c>
      <c r="B628" s="3" t="s">
        <v>565</v>
      </c>
      <c r="C628" s="12" t="s">
        <v>58</v>
      </c>
      <c r="D628" s="12" t="s">
        <v>58</v>
      </c>
      <c r="E628" s="12" t="s">
        <v>58</v>
      </c>
      <c r="F628" s="3" t="s">
        <v>364</v>
      </c>
    </row>
    <row r="629" spans="1:6" x14ac:dyDescent="0.25">
      <c r="A629" s="38">
        <v>43580.578634259262</v>
      </c>
      <c r="B629" s="3" t="s">
        <v>565</v>
      </c>
      <c r="C629" s="12" t="s">
        <v>58</v>
      </c>
      <c r="D629" s="12" t="s">
        <v>58</v>
      </c>
      <c r="E629" s="12" t="s">
        <v>58</v>
      </c>
      <c r="F629" s="3" t="s">
        <v>364</v>
      </c>
    </row>
    <row r="630" spans="1:6" x14ac:dyDescent="0.25">
      <c r="A630" s="38">
        <v>43580.719386574077</v>
      </c>
      <c r="B630" s="3" t="s">
        <v>556</v>
      </c>
      <c r="C630" s="12" t="s">
        <v>58</v>
      </c>
      <c r="D630" s="12" t="s">
        <v>58</v>
      </c>
      <c r="E630" s="12" t="s">
        <v>58</v>
      </c>
      <c r="F630" s="3" t="s">
        <v>364</v>
      </c>
    </row>
    <row r="631" spans="1:6" x14ac:dyDescent="0.25">
      <c r="A631" s="38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364</v>
      </c>
    </row>
    <row r="632" spans="1:6" x14ac:dyDescent="0.25">
      <c r="A632" s="38">
        <v>43588.918333333335</v>
      </c>
      <c r="B632" s="3" t="s">
        <v>1100</v>
      </c>
      <c r="C632" s="12" t="s">
        <v>308</v>
      </c>
      <c r="D632" s="12">
        <v>0</v>
      </c>
      <c r="E632" s="12" t="s">
        <v>308</v>
      </c>
      <c r="F632" s="3" t="s">
        <v>476</v>
      </c>
    </row>
    <row r="633" spans="1:6" x14ac:dyDescent="0.25">
      <c r="A633" s="38">
        <v>43588.921134259261</v>
      </c>
      <c r="B633" s="3" t="s">
        <v>1100</v>
      </c>
      <c r="C633" s="12" t="s">
        <v>308</v>
      </c>
      <c r="D633" s="12">
        <v>0</v>
      </c>
      <c r="E633" s="12" t="s">
        <v>308</v>
      </c>
      <c r="F633" s="3" t="s">
        <v>476</v>
      </c>
    </row>
    <row r="634" spans="1:6" x14ac:dyDescent="0.25">
      <c r="A634" s="38">
        <v>43588.931967592594</v>
      </c>
      <c r="B634" s="3" t="s">
        <v>1105</v>
      </c>
      <c r="C634" s="12" t="s">
        <v>308</v>
      </c>
      <c r="D634" s="12">
        <v>0</v>
      </c>
      <c r="E634" s="12" t="s">
        <v>308</v>
      </c>
      <c r="F634" s="3" t="s">
        <v>476</v>
      </c>
    </row>
    <row r="635" spans="1:6" x14ac:dyDescent="0.25">
      <c r="A635" s="38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364</v>
      </c>
    </row>
    <row r="636" spans="1:6" x14ac:dyDescent="0.25">
      <c r="A636" s="38">
        <v>43631.370150462964</v>
      </c>
      <c r="B636" s="3" t="s">
        <v>1111</v>
      </c>
      <c r="C636" s="12" t="s">
        <v>308</v>
      </c>
      <c r="D636" s="12">
        <v>0</v>
      </c>
      <c r="E636" s="12" t="s">
        <v>308</v>
      </c>
      <c r="F636" s="3" t="s">
        <v>476</v>
      </c>
    </row>
    <row r="637" spans="1:6" x14ac:dyDescent="0.25">
      <c r="A637" s="38">
        <v>43631.384664351855</v>
      </c>
      <c r="B637" s="3" t="s">
        <v>1113</v>
      </c>
      <c r="C637" s="12"/>
      <c r="D637" s="12">
        <v>0</v>
      </c>
      <c r="E637" s="12"/>
      <c r="F637" s="3" t="s">
        <v>476</v>
      </c>
    </row>
    <row r="638" spans="1:6" x14ac:dyDescent="0.25">
      <c r="A638" s="38">
        <v>43631.395243055558</v>
      </c>
      <c r="B638" s="3" t="s">
        <v>1114</v>
      </c>
      <c r="C638" s="12" t="s">
        <v>308</v>
      </c>
      <c r="D638" s="12">
        <v>0</v>
      </c>
      <c r="E638" s="12" t="s">
        <v>308</v>
      </c>
      <c r="F638" s="3" t="s">
        <v>476</v>
      </c>
    </row>
    <row r="639" spans="1:6" x14ac:dyDescent="0.25">
      <c r="A639" s="38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364</v>
      </c>
    </row>
    <row r="640" spans="1:6" x14ac:dyDescent="0.25">
      <c r="A640" s="38">
        <v>43631.445011574076</v>
      </c>
      <c r="B640" s="3" t="s">
        <v>1118</v>
      </c>
      <c r="C640" s="12" t="s">
        <v>308</v>
      </c>
      <c r="D640" s="12">
        <v>0</v>
      </c>
      <c r="E640" s="12" t="s">
        <v>308</v>
      </c>
      <c r="F640" s="3" t="s">
        <v>476</v>
      </c>
    </row>
    <row r="641" spans="1:6" x14ac:dyDescent="0.25">
      <c r="A641" s="38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364</v>
      </c>
    </row>
    <row r="642" spans="1:6" x14ac:dyDescent="0.25">
      <c r="A642" s="38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364</v>
      </c>
    </row>
    <row r="643" spans="1:6" x14ac:dyDescent="0.25">
      <c r="A643" s="38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364</v>
      </c>
    </row>
    <row r="644" spans="1:6" x14ac:dyDescent="0.25">
      <c r="A644" s="38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364</v>
      </c>
    </row>
    <row r="645" spans="1:6" x14ac:dyDescent="0.25">
      <c r="A645" s="38">
        <v>43631.465162037035</v>
      </c>
      <c r="B645" s="3" t="s">
        <v>1126</v>
      </c>
      <c r="C645" s="12" t="s">
        <v>308</v>
      </c>
      <c r="D645" s="12">
        <v>0</v>
      </c>
      <c r="E645" s="12" t="s">
        <v>308</v>
      </c>
      <c r="F645" s="3" t="s">
        <v>476</v>
      </c>
    </row>
    <row r="646" spans="1:6" x14ac:dyDescent="0.25">
      <c r="A646" s="38">
        <v>43632.932939814818</v>
      </c>
      <c r="B646" s="3" t="s">
        <v>1129</v>
      </c>
      <c r="C646" s="12"/>
      <c r="D646" s="12">
        <v>0</v>
      </c>
      <c r="E646" s="12"/>
      <c r="F646" s="3" t="s">
        <v>476</v>
      </c>
    </row>
    <row r="647" spans="1:6" x14ac:dyDescent="0.25">
      <c r="A647" s="38">
        <v>43632.933495370373</v>
      </c>
      <c r="B647" s="3" t="s">
        <v>1131</v>
      </c>
      <c r="C647" s="12"/>
      <c r="D647" s="12">
        <v>0</v>
      </c>
      <c r="E647" s="12"/>
      <c r="F647" s="3" t="s">
        <v>476</v>
      </c>
    </row>
    <row r="648" spans="1:6" x14ac:dyDescent="0.25">
      <c r="A648" s="38">
        <v>43633.616215277776</v>
      </c>
      <c r="B648" s="3" t="s">
        <v>1139</v>
      </c>
      <c r="C648" s="12" t="s">
        <v>308</v>
      </c>
      <c r="D648" s="12">
        <v>0</v>
      </c>
      <c r="E648" s="12" t="s">
        <v>308</v>
      </c>
      <c r="F648" s="3" t="s">
        <v>476</v>
      </c>
    </row>
    <row r="649" spans="1:6" x14ac:dyDescent="0.25">
      <c r="A649" s="38">
        <v>43633.616585648146</v>
      </c>
      <c r="B649" s="3" t="s">
        <v>1139</v>
      </c>
      <c r="C649" s="12"/>
      <c r="D649" s="12">
        <v>0</v>
      </c>
      <c r="E649" s="12"/>
      <c r="F649" s="3" t="s">
        <v>476</v>
      </c>
    </row>
    <row r="650" spans="1:6" x14ac:dyDescent="0.25">
      <c r="A650" s="38">
        <v>43633.622581018521</v>
      </c>
      <c r="B650" s="3" t="s">
        <v>1129</v>
      </c>
      <c r="C650" s="12" t="s">
        <v>393</v>
      </c>
      <c r="D650" s="12">
        <v>0</v>
      </c>
      <c r="E650" s="12">
        <v>5</v>
      </c>
      <c r="F650" s="3" t="s">
        <v>1142</v>
      </c>
    </row>
    <row r="651" spans="1:6" x14ac:dyDescent="0.25">
      <c r="A651" s="38">
        <v>43633.622673611113</v>
      </c>
      <c r="B651" s="3" t="s">
        <v>1050</v>
      </c>
      <c r="C651" s="12" t="s">
        <v>393</v>
      </c>
      <c r="D651" s="12">
        <v>0</v>
      </c>
      <c r="E651" s="12">
        <v>5</v>
      </c>
      <c r="F651" s="3" t="s">
        <v>1142</v>
      </c>
    </row>
    <row r="652" spans="1:6" x14ac:dyDescent="0.25">
      <c r="A652" s="38">
        <v>43633.62908564815</v>
      </c>
      <c r="B652" s="3" t="s">
        <v>250</v>
      </c>
      <c r="C652" s="12">
        <v>-3</v>
      </c>
      <c r="D652" s="12">
        <v>5</v>
      </c>
      <c r="E652" s="12" t="s">
        <v>1146</v>
      </c>
      <c r="F652" s="3" t="s">
        <v>1147</v>
      </c>
    </row>
    <row r="653" spans="1:6" x14ac:dyDescent="0.25">
      <c r="A653" s="38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364</v>
      </c>
    </row>
    <row r="654" spans="1:6" x14ac:dyDescent="0.25">
      <c r="A654" s="38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1148</v>
      </c>
      <c r="F654" s="3" t="s">
        <v>1147</v>
      </c>
    </row>
    <row r="655" spans="1:6" x14ac:dyDescent="0.25">
      <c r="A655" s="38">
        <v>43633.644629629627</v>
      </c>
      <c r="B655" s="3" t="s">
        <v>164</v>
      </c>
      <c r="C655" s="12">
        <v>-1</v>
      </c>
      <c r="D655" s="12">
        <v>4</v>
      </c>
      <c r="E655" s="12" t="s">
        <v>1149</v>
      </c>
      <c r="F655" s="3" t="s">
        <v>1147</v>
      </c>
    </row>
    <row r="656" spans="1:6" x14ac:dyDescent="0.25">
      <c r="A656" s="38">
        <v>43633.664201388892</v>
      </c>
      <c r="B656" s="3" t="s">
        <v>467</v>
      </c>
      <c r="C656" s="12">
        <v>2</v>
      </c>
      <c r="D656" s="12">
        <v>0</v>
      </c>
      <c r="E656" s="12">
        <v>2</v>
      </c>
      <c r="F656" s="3" t="s">
        <v>1150</v>
      </c>
    </row>
    <row r="657" spans="1:6" x14ac:dyDescent="0.25">
      <c r="A657" s="38">
        <v>43633.665277777778</v>
      </c>
      <c r="B657" s="3" t="s">
        <v>429</v>
      </c>
      <c r="C657" s="12">
        <v>2</v>
      </c>
      <c r="D657" s="12">
        <v>0</v>
      </c>
      <c r="E657" s="12">
        <v>2</v>
      </c>
      <c r="F657" s="3" t="s">
        <v>1150</v>
      </c>
    </row>
    <row r="658" spans="1:6" x14ac:dyDescent="0.25">
      <c r="A658" s="38">
        <v>43633.665277777778</v>
      </c>
      <c r="B658" s="3" t="s">
        <v>1034</v>
      </c>
      <c r="C658" s="12">
        <v>10</v>
      </c>
      <c r="D658" s="12">
        <v>0</v>
      </c>
      <c r="E658" s="12">
        <v>10</v>
      </c>
      <c r="F658" s="3" t="s">
        <v>1150</v>
      </c>
    </row>
    <row r="659" spans="1:6" x14ac:dyDescent="0.25">
      <c r="A659" s="38">
        <v>43633.665277777778</v>
      </c>
      <c r="B659" s="3" t="s">
        <v>461</v>
      </c>
      <c r="C659" s="12">
        <v>2</v>
      </c>
      <c r="D659" s="12">
        <v>0</v>
      </c>
      <c r="E659" s="12">
        <v>2</v>
      </c>
      <c r="F659" s="3" t="s">
        <v>1150</v>
      </c>
    </row>
    <row r="660" spans="1:6" x14ac:dyDescent="0.25">
      <c r="A660" s="38">
        <v>43633.665277777778</v>
      </c>
      <c r="B660" s="3" t="s">
        <v>1087</v>
      </c>
      <c r="C660" s="12">
        <v>1</v>
      </c>
      <c r="D660" s="12">
        <v>0</v>
      </c>
      <c r="E660" s="12">
        <v>1</v>
      </c>
      <c r="F660" s="3" t="s">
        <v>1150</v>
      </c>
    </row>
    <row r="661" spans="1:6" x14ac:dyDescent="0.25">
      <c r="A661" s="38">
        <v>43633.665277777778</v>
      </c>
      <c r="B661" s="3" t="s">
        <v>469</v>
      </c>
      <c r="C661" s="12">
        <v>2</v>
      </c>
      <c r="D661" s="12">
        <v>0</v>
      </c>
      <c r="E661" s="12">
        <v>2</v>
      </c>
      <c r="F661" s="3" t="s">
        <v>1150</v>
      </c>
    </row>
    <row r="662" spans="1:6" x14ac:dyDescent="0.25">
      <c r="A662" s="38">
        <v>43633.665277777778</v>
      </c>
      <c r="B662" s="3" t="s">
        <v>1040</v>
      </c>
      <c r="C662" s="12">
        <v>6</v>
      </c>
      <c r="D662" s="12">
        <v>0</v>
      </c>
      <c r="E662" s="12">
        <v>6</v>
      </c>
      <c r="F662" s="3" t="s">
        <v>1150</v>
      </c>
    </row>
    <row r="663" spans="1:6" x14ac:dyDescent="0.25">
      <c r="A663" s="38">
        <v>43633.665277777778</v>
      </c>
      <c r="B663" s="3" t="s">
        <v>1037</v>
      </c>
      <c r="C663" s="12">
        <v>6</v>
      </c>
      <c r="D663" s="12">
        <v>0</v>
      </c>
      <c r="E663" s="12">
        <v>6</v>
      </c>
      <c r="F663" s="3" t="s">
        <v>1150</v>
      </c>
    </row>
    <row r="664" spans="1:6" x14ac:dyDescent="0.25">
      <c r="A664" s="38">
        <v>43633.665277777778</v>
      </c>
      <c r="B664" s="3" t="s">
        <v>1033</v>
      </c>
      <c r="C664" s="12">
        <v>100</v>
      </c>
      <c r="D664" s="12">
        <v>0</v>
      </c>
      <c r="E664" s="12">
        <v>100</v>
      </c>
      <c r="F664" s="3" t="s">
        <v>1150</v>
      </c>
    </row>
    <row r="665" spans="1:6" x14ac:dyDescent="0.25">
      <c r="A665" s="38">
        <v>43633.665277777778</v>
      </c>
      <c r="B665" s="3" t="s">
        <v>268</v>
      </c>
      <c r="C665" s="12">
        <v>4</v>
      </c>
      <c r="D665" s="12">
        <v>0</v>
      </c>
      <c r="E665" s="12">
        <v>4</v>
      </c>
      <c r="F665" s="3" t="s">
        <v>1150</v>
      </c>
    </row>
    <row r="666" spans="1:6" x14ac:dyDescent="0.25">
      <c r="A666" s="38">
        <v>43633.665277777778</v>
      </c>
      <c r="B666" s="3" t="s">
        <v>464</v>
      </c>
      <c r="C666" s="12">
        <v>4</v>
      </c>
      <c r="D666" s="12">
        <v>0</v>
      </c>
      <c r="E666" s="12">
        <v>4</v>
      </c>
      <c r="F666" s="3" t="s">
        <v>1150</v>
      </c>
    </row>
    <row r="667" spans="1:6" x14ac:dyDescent="0.25">
      <c r="A667" s="38">
        <v>43633.665277777778</v>
      </c>
      <c r="B667" s="3" t="s">
        <v>1085</v>
      </c>
      <c r="C667" s="12">
        <v>10</v>
      </c>
      <c r="D667" s="12">
        <v>0</v>
      </c>
      <c r="E667" s="12">
        <v>10</v>
      </c>
      <c r="F667" s="3" t="s">
        <v>1150</v>
      </c>
    </row>
    <row r="668" spans="1:6" x14ac:dyDescent="0.25">
      <c r="A668" s="38">
        <v>43633.665277777778</v>
      </c>
      <c r="B668" s="3" t="s">
        <v>1042</v>
      </c>
      <c r="C668" s="12">
        <v>10</v>
      </c>
      <c r="D668" s="12">
        <v>0</v>
      </c>
      <c r="E668" s="12">
        <v>10</v>
      </c>
      <c r="F668" s="3" t="s">
        <v>1150</v>
      </c>
    </row>
    <row r="669" spans="1:6" x14ac:dyDescent="0.25">
      <c r="A669" s="38">
        <v>43633.665277777778</v>
      </c>
      <c r="B669" s="3" t="s">
        <v>1039</v>
      </c>
      <c r="C669" s="12">
        <v>2</v>
      </c>
      <c r="D669" s="12">
        <v>0</v>
      </c>
      <c r="E669" s="12">
        <v>2</v>
      </c>
      <c r="F669" s="3" t="s">
        <v>1150</v>
      </c>
    </row>
    <row r="670" spans="1:6" x14ac:dyDescent="0.25">
      <c r="A670" s="38">
        <v>43633.665289351855</v>
      </c>
      <c r="B670" s="3" t="s">
        <v>1038</v>
      </c>
      <c r="C670" s="12">
        <v>2</v>
      </c>
      <c r="D670" s="12">
        <v>0</v>
      </c>
      <c r="E670" s="12">
        <v>2</v>
      </c>
      <c r="F670" s="3" t="s">
        <v>1150</v>
      </c>
    </row>
    <row r="671" spans="1:6" x14ac:dyDescent="0.25">
      <c r="A671" s="38">
        <v>43633.665289351855</v>
      </c>
      <c r="B671" s="3" t="s">
        <v>1047</v>
      </c>
      <c r="C671" s="12">
        <v>10</v>
      </c>
      <c r="D671" s="12">
        <v>0</v>
      </c>
      <c r="E671" s="12">
        <v>10</v>
      </c>
      <c r="F671" s="3" t="s">
        <v>1150</v>
      </c>
    </row>
    <row r="672" spans="1:6" x14ac:dyDescent="0.25">
      <c r="A672" s="38">
        <v>43633.665289351855</v>
      </c>
      <c r="B672" s="3" t="s">
        <v>1043</v>
      </c>
      <c r="C672" s="12">
        <v>10</v>
      </c>
      <c r="D672" s="12">
        <v>0</v>
      </c>
      <c r="E672" s="12">
        <v>10</v>
      </c>
      <c r="F672" s="3" t="s">
        <v>1150</v>
      </c>
    </row>
    <row r="673" spans="1:6" x14ac:dyDescent="0.25">
      <c r="A673" s="38">
        <v>43633.665289351855</v>
      </c>
      <c r="B673" s="3" t="s">
        <v>972</v>
      </c>
      <c r="C673" s="12">
        <v>100</v>
      </c>
      <c r="D673" s="12">
        <v>0</v>
      </c>
      <c r="E673" s="12">
        <v>100</v>
      </c>
      <c r="F673" s="3" t="s">
        <v>1150</v>
      </c>
    </row>
    <row r="674" spans="1:6" x14ac:dyDescent="0.25">
      <c r="A674" s="38">
        <v>43633.665289351855</v>
      </c>
      <c r="B674" s="3" t="s">
        <v>1035</v>
      </c>
      <c r="C674" s="12">
        <v>2</v>
      </c>
      <c r="D674" s="12">
        <v>0</v>
      </c>
      <c r="E674" s="12">
        <v>2</v>
      </c>
      <c r="F674" s="3" t="s">
        <v>1150</v>
      </c>
    </row>
    <row r="675" spans="1:6" x14ac:dyDescent="0.25">
      <c r="A675" s="38">
        <v>43633.665289351855</v>
      </c>
      <c r="B675" s="3" t="s">
        <v>713</v>
      </c>
      <c r="C675" s="12">
        <v>10</v>
      </c>
      <c r="D675" s="12">
        <v>0</v>
      </c>
      <c r="E675" s="12">
        <v>10</v>
      </c>
      <c r="F675" s="3" t="s">
        <v>1150</v>
      </c>
    </row>
    <row r="676" spans="1:6" x14ac:dyDescent="0.25">
      <c r="A676" s="38">
        <v>43633.665289351855</v>
      </c>
      <c r="B676" s="3" t="s">
        <v>472</v>
      </c>
      <c r="C676" s="12">
        <v>10</v>
      </c>
      <c r="D676" s="12">
        <v>0</v>
      </c>
      <c r="E676" s="12">
        <v>10</v>
      </c>
      <c r="F676" s="3" t="s">
        <v>1150</v>
      </c>
    </row>
    <row r="677" spans="1:6" x14ac:dyDescent="0.25">
      <c r="A677" s="38">
        <v>43633.665289351855</v>
      </c>
      <c r="B677" s="3" t="s">
        <v>1011</v>
      </c>
      <c r="C677" s="12">
        <v>10</v>
      </c>
      <c r="D677" s="12">
        <v>0</v>
      </c>
      <c r="E677" s="12">
        <v>10</v>
      </c>
      <c r="F677" s="3" t="s">
        <v>1150</v>
      </c>
    </row>
    <row r="678" spans="1:6" x14ac:dyDescent="0.25">
      <c r="A678" s="38">
        <v>43633.665289351855</v>
      </c>
      <c r="B678" s="3" t="s">
        <v>1026</v>
      </c>
      <c r="C678" s="12">
        <v>10</v>
      </c>
      <c r="D678" s="12">
        <v>0</v>
      </c>
      <c r="E678" s="12">
        <v>10</v>
      </c>
      <c r="F678" s="3" t="s">
        <v>1150</v>
      </c>
    </row>
    <row r="679" spans="1:6" x14ac:dyDescent="0.25">
      <c r="A679" s="38">
        <v>43633.665289351855</v>
      </c>
      <c r="B679" s="3" t="s">
        <v>1049</v>
      </c>
      <c r="C679" s="12">
        <v>3</v>
      </c>
      <c r="D679" s="12">
        <v>0</v>
      </c>
      <c r="E679" s="12">
        <v>3</v>
      </c>
      <c r="F679" s="3" t="s">
        <v>1150</v>
      </c>
    </row>
    <row r="680" spans="1:6" x14ac:dyDescent="0.25">
      <c r="A680" s="38">
        <v>43633.665289351855</v>
      </c>
      <c r="B680" s="3" t="s">
        <v>1046</v>
      </c>
      <c r="C680" s="12">
        <v>3</v>
      </c>
      <c r="D680" s="12">
        <v>0</v>
      </c>
      <c r="E680" s="12">
        <v>3</v>
      </c>
      <c r="F680" s="3" t="s">
        <v>1150</v>
      </c>
    </row>
    <row r="681" spans="1:6" x14ac:dyDescent="0.25">
      <c r="A681" s="38">
        <v>43633.665289351855</v>
      </c>
      <c r="B681" s="3" t="s">
        <v>537</v>
      </c>
      <c r="C681" s="12">
        <v>20</v>
      </c>
      <c r="D681" s="12">
        <v>0</v>
      </c>
      <c r="E681" s="12">
        <v>20</v>
      </c>
      <c r="F681" s="3" t="s">
        <v>1150</v>
      </c>
    </row>
    <row r="682" spans="1:6" x14ac:dyDescent="0.25">
      <c r="A682" s="38">
        <v>43633.665289351855</v>
      </c>
      <c r="B682" s="3" t="s">
        <v>1044</v>
      </c>
      <c r="C682" s="12">
        <v>10</v>
      </c>
      <c r="D682" s="12">
        <v>0</v>
      </c>
      <c r="E682" s="12">
        <v>10</v>
      </c>
      <c r="F682" s="3" t="s">
        <v>1150</v>
      </c>
    </row>
    <row r="683" spans="1:6" x14ac:dyDescent="0.25">
      <c r="A683" s="38">
        <v>43633.665289351855</v>
      </c>
      <c r="B683" s="3" t="s">
        <v>535</v>
      </c>
      <c r="C683" s="12">
        <v>10</v>
      </c>
      <c r="D683" s="12">
        <v>0</v>
      </c>
      <c r="E683" s="12">
        <v>10</v>
      </c>
      <c r="F683" s="3" t="s">
        <v>1150</v>
      </c>
    </row>
    <row r="684" spans="1:6" x14ac:dyDescent="0.25">
      <c r="A684" s="38">
        <v>43633.665289351855</v>
      </c>
      <c r="B684" s="3" t="s">
        <v>996</v>
      </c>
      <c r="C684" s="12">
        <v>10</v>
      </c>
      <c r="D684" s="12">
        <v>0</v>
      </c>
      <c r="E684" s="12">
        <v>10</v>
      </c>
      <c r="F684" s="3" t="s">
        <v>1150</v>
      </c>
    </row>
    <row r="685" spans="1:6" x14ac:dyDescent="0.25">
      <c r="A685" s="38">
        <v>43633.665289351855</v>
      </c>
      <c r="B685" s="3" t="s">
        <v>1017</v>
      </c>
      <c r="C685" s="12">
        <v>10</v>
      </c>
      <c r="D685" s="12">
        <v>0</v>
      </c>
      <c r="E685" s="12">
        <v>10</v>
      </c>
      <c r="F685" s="3" t="s">
        <v>1150</v>
      </c>
    </row>
    <row r="686" spans="1:6" x14ac:dyDescent="0.25">
      <c r="A686" s="38">
        <v>43633.665289351855</v>
      </c>
      <c r="B686" s="3" t="s">
        <v>1020</v>
      </c>
      <c r="C686" s="12">
        <v>10</v>
      </c>
      <c r="D686" s="12">
        <v>0</v>
      </c>
      <c r="E686" s="12">
        <v>10</v>
      </c>
      <c r="F686" s="3" t="s">
        <v>1150</v>
      </c>
    </row>
    <row r="687" spans="1:6" x14ac:dyDescent="0.25">
      <c r="A687" s="38">
        <v>43633.665289351855</v>
      </c>
      <c r="B687" s="3" t="s">
        <v>1014</v>
      </c>
      <c r="C687" s="12">
        <v>10</v>
      </c>
      <c r="D687" s="12">
        <v>0</v>
      </c>
      <c r="E687" s="12">
        <v>10</v>
      </c>
      <c r="F687" s="3" t="s">
        <v>1150</v>
      </c>
    </row>
    <row r="688" spans="1:6" x14ac:dyDescent="0.25">
      <c r="A688" s="38">
        <v>43633.665289351855</v>
      </c>
      <c r="B688" s="3" t="s">
        <v>1002</v>
      </c>
      <c r="C688" s="12">
        <v>10</v>
      </c>
      <c r="D688" s="12">
        <v>0</v>
      </c>
      <c r="E688" s="12">
        <v>10</v>
      </c>
      <c r="F688" s="3" t="s">
        <v>1150</v>
      </c>
    </row>
    <row r="689" spans="1:6" x14ac:dyDescent="0.25">
      <c r="A689" s="38">
        <v>43633.665300925924</v>
      </c>
      <c r="B689" s="3" t="s">
        <v>1008</v>
      </c>
      <c r="C689" s="12">
        <v>10</v>
      </c>
      <c r="D689" s="12">
        <v>0</v>
      </c>
      <c r="E689" s="12">
        <v>10</v>
      </c>
      <c r="F689" s="3" t="s">
        <v>1150</v>
      </c>
    </row>
    <row r="690" spans="1:6" x14ac:dyDescent="0.25">
      <c r="A690" s="38">
        <v>43633.665300925924</v>
      </c>
      <c r="B690" s="3" t="s">
        <v>538</v>
      </c>
      <c r="C690" s="12">
        <v>10</v>
      </c>
      <c r="D690" s="12">
        <v>0</v>
      </c>
      <c r="E690" s="12">
        <v>10</v>
      </c>
      <c r="F690" s="3" t="s">
        <v>1150</v>
      </c>
    </row>
    <row r="691" spans="1:6" x14ac:dyDescent="0.25">
      <c r="A691" s="38">
        <v>43633.665300925924</v>
      </c>
      <c r="B691" s="3" t="s">
        <v>1090</v>
      </c>
      <c r="C691" s="12">
        <v>1</v>
      </c>
      <c r="D691" s="12">
        <v>0</v>
      </c>
      <c r="E691" s="12">
        <v>1</v>
      </c>
      <c r="F691" s="3" t="s">
        <v>1150</v>
      </c>
    </row>
    <row r="692" spans="1:6" x14ac:dyDescent="0.25">
      <c r="A692" s="38">
        <v>43633.665300925924</v>
      </c>
      <c r="B692" s="3" t="s">
        <v>1056</v>
      </c>
      <c r="C692" s="12">
        <v>100</v>
      </c>
      <c r="D692" s="12">
        <v>0</v>
      </c>
      <c r="E692" s="12">
        <v>100</v>
      </c>
      <c r="F692" s="3" t="s">
        <v>1150</v>
      </c>
    </row>
    <row r="693" spans="1:6" x14ac:dyDescent="0.25">
      <c r="A693" s="38">
        <v>43633.665300925924</v>
      </c>
      <c r="B693" s="3" t="s">
        <v>1100</v>
      </c>
      <c r="C693" s="12">
        <v>2</v>
      </c>
      <c r="D693" s="12">
        <v>0</v>
      </c>
      <c r="E693" s="12">
        <v>2</v>
      </c>
      <c r="F693" s="3" t="s">
        <v>1150</v>
      </c>
    </row>
    <row r="694" spans="1:6" x14ac:dyDescent="0.25">
      <c r="A694" s="38">
        <v>43633.665300925924</v>
      </c>
      <c r="B694" s="3" t="s">
        <v>1105</v>
      </c>
      <c r="C694" s="12">
        <v>50</v>
      </c>
      <c r="D694" s="12">
        <v>0</v>
      </c>
      <c r="E694" s="12">
        <v>50</v>
      </c>
      <c r="F694" s="3" t="s">
        <v>1150</v>
      </c>
    </row>
    <row r="695" spans="1:6" x14ac:dyDescent="0.25">
      <c r="A695" s="38">
        <v>43633.666655092595</v>
      </c>
      <c r="B695" s="3" t="s">
        <v>429</v>
      </c>
      <c r="C695" s="12" t="s">
        <v>58</v>
      </c>
      <c r="D695" s="12" t="s">
        <v>58</v>
      </c>
      <c r="E695" s="12" t="s">
        <v>58</v>
      </c>
      <c r="F695" s="3" t="s">
        <v>364</v>
      </c>
    </row>
    <row r="696" spans="1:6" x14ac:dyDescent="0.25">
      <c r="A696" s="38">
        <v>43633.666747685187</v>
      </c>
      <c r="B696" s="3" t="s">
        <v>429</v>
      </c>
      <c r="C696" s="12" t="s">
        <v>58</v>
      </c>
      <c r="D696" s="12" t="s">
        <v>58</v>
      </c>
      <c r="E696" s="12" t="s">
        <v>58</v>
      </c>
      <c r="F696" s="3" t="s">
        <v>1140</v>
      </c>
    </row>
    <row r="697" spans="1:6" x14ac:dyDescent="0.25">
      <c r="A697" s="38">
        <v>43633.666805555556</v>
      </c>
      <c r="B697" s="3" t="s">
        <v>429</v>
      </c>
      <c r="C697" s="12" t="s">
        <v>58</v>
      </c>
      <c r="D697" s="12" t="s">
        <v>58</v>
      </c>
      <c r="E697" s="12" t="s">
        <v>58</v>
      </c>
      <c r="F697" s="3" t="s">
        <v>1151</v>
      </c>
    </row>
    <row r="698" spans="1:6" x14ac:dyDescent="0.25">
      <c r="A698" s="38">
        <v>43633.667916666665</v>
      </c>
      <c r="B698" s="3" t="s">
        <v>538</v>
      </c>
      <c r="C698" s="12">
        <v>1</v>
      </c>
      <c r="D698" s="12">
        <v>10</v>
      </c>
      <c r="E698" s="12">
        <v>9</v>
      </c>
      <c r="F698" s="3" t="s">
        <v>419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419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419</v>
      </c>
    </row>
    <row r="701" spans="1:6" x14ac:dyDescent="0.25">
      <c r="A701" s="38">
        <v>43633.667928240742</v>
      </c>
      <c r="B701" s="3" t="s">
        <v>537</v>
      </c>
      <c r="C701" s="12">
        <v>2</v>
      </c>
      <c r="D701" s="12">
        <v>20</v>
      </c>
      <c r="E701" s="12">
        <v>18</v>
      </c>
      <c r="F701" s="3" t="s">
        <v>419</v>
      </c>
    </row>
    <row r="702" spans="1:6" x14ac:dyDescent="0.25">
      <c r="A702" s="38">
        <v>43633.667928240742</v>
      </c>
      <c r="B702" s="3" t="s">
        <v>535</v>
      </c>
      <c r="C702" s="12">
        <v>1</v>
      </c>
      <c r="D702" s="12">
        <v>10</v>
      </c>
      <c r="E702" s="12">
        <v>9</v>
      </c>
      <c r="F702" s="3" t="s">
        <v>419</v>
      </c>
    </row>
    <row r="703" spans="1:6" x14ac:dyDescent="0.25">
      <c r="A703" s="38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419</v>
      </c>
    </row>
    <row r="704" spans="1:6" x14ac:dyDescent="0.25">
      <c r="A704" s="38">
        <v>43633.667928240742</v>
      </c>
      <c r="B704" s="3" t="s">
        <v>536</v>
      </c>
      <c r="C704" s="12">
        <v>0</v>
      </c>
      <c r="D704" s="12">
        <v>0</v>
      </c>
      <c r="E704" s="12">
        <v>0</v>
      </c>
      <c r="F704" s="3" t="s">
        <v>419</v>
      </c>
    </row>
    <row r="705" spans="1:6" x14ac:dyDescent="0.25">
      <c r="A705" s="38">
        <v>43633.667928240742</v>
      </c>
      <c r="B705" s="3" t="s">
        <v>472</v>
      </c>
      <c r="C705" s="12">
        <v>1</v>
      </c>
      <c r="D705" s="12">
        <v>10</v>
      </c>
      <c r="E705" s="12">
        <v>9</v>
      </c>
      <c r="F705" s="3" t="s">
        <v>419</v>
      </c>
    </row>
    <row r="706" spans="1:6" x14ac:dyDescent="0.25">
      <c r="A706" s="38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419</v>
      </c>
    </row>
    <row r="707" spans="1:6" x14ac:dyDescent="0.25">
      <c r="A707" s="38">
        <v>43633.667928240742</v>
      </c>
      <c r="B707" s="3" t="s">
        <v>544</v>
      </c>
      <c r="C707" s="12">
        <v>0.2</v>
      </c>
      <c r="D707" s="12">
        <v>9.85</v>
      </c>
      <c r="E707" s="12">
        <v>9.65</v>
      </c>
      <c r="F707" s="3" t="s">
        <v>419</v>
      </c>
    </row>
    <row r="708" spans="1:6" x14ac:dyDescent="0.25">
      <c r="A708" s="38">
        <v>43633.667928240742</v>
      </c>
      <c r="B708" s="3" t="s">
        <v>1037</v>
      </c>
      <c r="C708" s="12">
        <v>3</v>
      </c>
      <c r="D708" s="12">
        <v>6</v>
      </c>
      <c r="E708" s="12">
        <v>3</v>
      </c>
      <c r="F708" s="3" t="s">
        <v>419</v>
      </c>
    </row>
    <row r="709" spans="1:6" x14ac:dyDescent="0.25">
      <c r="A709" s="38">
        <v>43633.667928240742</v>
      </c>
      <c r="B709" s="3" t="s">
        <v>1043</v>
      </c>
      <c r="C709" s="12">
        <v>3</v>
      </c>
      <c r="D709" s="12">
        <v>10</v>
      </c>
      <c r="E709" s="12">
        <v>7</v>
      </c>
      <c r="F709" s="3" t="s">
        <v>419</v>
      </c>
    </row>
    <row r="710" spans="1:6" x14ac:dyDescent="0.25">
      <c r="A710" s="38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419</v>
      </c>
    </row>
    <row r="711" spans="1:6" x14ac:dyDescent="0.25">
      <c r="A711" s="38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419</v>
      </c>
    </row>
    <row r="712" spans="1:6" x14ac:dyDescent="0.25">
      <c r="A712" s="38">
        <v>43633.667939814812</v>
      </c>
      <c r="B712" s="3" t="s">
        <v>1014</v>
      </c>
      <c r="C712" s="12">
        <v>1</v>
      </c>
      <c r="D712" s="12">
        <v>10</v>
      </c>
      <c r="E712" s="12">
        <v>9</v>
      </c>
      <c r="F712" s="3" t="s">
        <v>419</v>
      </c>
    </row>
    <row r="713" spans="1:6" x14ac:dyDescent="0.25">
      <c r="A713" s="38">
        <v>43633.667939814812</v>
      </c>
      <c r="B713" s="3" t="s">
        <v>1002</v>
      </c>
      <c r="C713" s="12">
        <v>1</v>
      </c>
      <c r="D713" s="12">
        <v>10</v>
      </c>
      <c r="E713" s="12">
        <v>9</v>
      </c>
      <c r="F713" s="3" t="s">
        <v>419</v>
      </c>
    </row>
    <row r="714" spans="1:6" x14ac:dyDescent="0.25">
      <c r="A714" s="38">
        <v>43633.667939814812</v>
      </c>
      <c r="B714" s="3" t="s">
        <v>1011</v>
      </c>
      <c r="C714" s="12">
        <v>3</v>
      </c>
      <c r="D714" s="12">
        <v>10</v>
      </c>
      <c r="E714" s="12">
        <v>7</v>
      </c>
      <c r="F714" s="3" t="s">
        <v>419</v>
      </c>
    </row>
    <row r="715" spans="1:6" x14ac:dyDescent="0.25">
      <c r="A715" s="38">
        <v>43633.667939814812</v>
      </c>
      <c r="B715" s="3" t="s">
        <v>972</v>
      </c>
      <c r="C715" s="12">
        <v>5</v>
      </c>
      <c r="D715" s="12">
        <v>100</v>
      </c>
      <c r="E715" s="12">
        <v>95</v>
      </c>
      <c r="F715" s="3" t="s">
        <v>419</v>
      </c>
    </row>
    <row r="716" spans="1:6" x14ac:dyDescent="0.25">
      <c r="A716" s="38">
        <v>43633.667939814812</v>
      </c>
      <c r="B716" s="3" t="s">
        <v>1008</v>
      </c>
      <c r="C716" s="12">
        <v>1</v>
      </c>
      <c r="D716" s="12">
        <v>10</v>
      </c>
      <c r="E716" s="12">
        <v>9</v>
      </c>
      <c r="F716" s="3" t="s">
        <v>419</v>
      </c>
    </row>
    <row r="717" spans="1:6" x14ac:dyDescent="0.25">
      <c r="A717" s="38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419</v>
      </c>
    </row>
    <row r="718" spans="1:6" x14ac:dyDescent="0.25">
      <c r="A718" s="38">
        <v>43633.667951388888</v>
      </c>
      <c r="B718" s="3" t="s">
        <v>467</v>
      </c>
      <c r="C718" s="12">
        <v>1</v>
      </c>
      <c r="D718" s="12">
        <v>2</v>
      </c>
      <c r="E718" s="12">
        <v>1</v>
      </c>
      <c r="F718" s="3" t="s">
        <v>419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419</v>
      </c>
    </row>
    <row r="720" spans="1:6" x14ac:dyDescent="0.25">
      <c r="A720" s="38">
        <v>43633.667951388888</v>
      </c>
      <c r="B720" s="3" t="s">
        <v>461</v>
      </c>
      <c r="C720" s="12">
        <v>1</v>
      </c>
      <c r="D720" s="12">
        <v>2</v>
      </c>
      <c r="E720" s="12">
        <v>1</v>
      </c>
      <c r="F720" s="3" t="s">
        <v>419</v>
      </c>
    </row>
    <row r="721" spans="1:6" x14ac:dyDescent="0.25">
      <c r="A721" s="38">
        <v>43633.667951388888</v>
      </c>
      <c r="B721" s="3" t="s">
        <v>469</v>
      </c>
      <c r="C721" s="12">
        <v>1</v>
      </c>
      <c r="D721" s="12">
        <v>2</v>
      </c>
      <c r="E721" s="12">
        <v>1</v>
      </c>
      <c r="F721" s="3" t="s">
        <v>419</v>
      </c>
    </row>
    <row r="722" spans="1:6" x14ac:dyDescent="0.25">
      <c r="A722" s="38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419</v>
      </c>
    </row>
    <row r="723" spans="1:6" x14ac:dyDescent="0.25">
      <c r="A723" s="38">
        <v>43633.667951388888</v>
      </c>
      <c r="B723" s="3" t="s">
        <v>1039</v>
      </c>
      <c r="C723" s="12">
        <v>1</v>
      </c>
      <c r="D723" s="12">
        <v>2</v>
      </c>
      <c r="E723" s="12">
        <v>1</v>
      </c>
      <c r="F723" s="3" t="s">
        <v>419</v>
      </c>
    </row>
    <row r="724" spans="1:6" x14ac:dyDescent="0.25">
      <c r="A724" s="38">
        <v>43633.667951388888</v>
      </c>
      <c r="B724" s="3" t="s">
        <v>1049</v>
      </c>
      <c r="C724" s="12">
        <v>1</v>
      </c>
      <c r="D724" s="12">
        <v>3</v>
      </c>
      <c r="E724" s="12">
        <v>2</v>
      </c>
      <c r="F724" s="3" t="s">
        <v>419</v>
      </c>
    </row>
    <row r="725" spans="1:6" x14ac:dyDescent="0.25">
      <c r="A725" s="38">
        <v>43633.667951388888</v>
      </c>
      <c r="B725" s="3" t="s">
        <v>1040</v>
      </c>
      <c r="C725" s="12">
        <v>2</v>
      </c>
      <c r="D725" s="12">
        <v>6</v>
      </c>
      <c r="E725" s="12">
        <v>4</v>
      </c>
      <c r="F725" s="3" t="s">
        <v>419</v>
      </c>
    </row>
    <row r="726" spans="1:6" x14ac:dyDescent="0.25">
      <c r="A726" s="38">
        <v>43633.667951388888</v>
      </c>
      <c r="B726" s="3" t="s">
        <v>1047</v>
      </c>
      <c r="C726" s="12">
        <v>2</v>
      </c>
      <c r="D726" s="12">
        <v>10</v>
      </c>
      <c r="E726" s="12">
        <v>8</v>
      </c>
      <c r="F726" s="3" t="s">
        <v>419</v>
      </c>
    </row>
    <row r="727" spans="1:6" x14ac:dyDescent="0.25">
      <c r="A727" s="38">
        <v>43633.667951388888</v>
      </c>
      <c r="B727" s="3" t="s">
        <v>1038</v>
      </c>
      <c r="C727" s="12">
        <v>1</v>
      </c>
      <c r="D727" s="12">
        <v>2</v>
      </c>
      <c r="E727" s="12">
        <v>1</v>
      </c>
      <c r="F727" s="3" t="s">
        <v>419</v>
      </c>
    </row>
    <row r="728" spans="1:6" x14ac:dyDescent="0.25">
      <c r="A728" s="38">
        <v>43633.667962962965</v>
      </c>
      <c r="B728" s="3" t="s">
        <v>1046</v>
      </c>
      <c r="C728" s="12">
        <v>1</v>
      </c>
      <c r="D728" s="12">
        <v>3</v>
      </c>
      <c r="E728" s="12">
        <v>2</v>
      </c>
      <c r="F728" s="3" t="s">
        <v>419</v>
      </c>
    </row>
    <row r="729" spans="1:6" x14ac:dyDescent="0.25">
      <c r="A729" s="38">
        <v>43633.667962962965</v>
      </c>
      <c r="B729" s="3" t="s">
        <v>1034</v>
      </c>
      <c r="C729" s="12">
        <v>1</v>
      </c>
      <c r="D729" s="12">
        <v>10</v>
      </c>
      <c r="E729" s="12">
        <v>9</v>
      </c>
      <c r="F729" s="3" t="s">
        <v>419</v>
      </c>
    </row>
    <row r="730" spans="1:6" x14ac:dyDescent="0.25">
      <c r="A730" s="38">
        <v>43633.667962962965</v>
      </c>
      <c r="B730" s="3" t="s">
        <v>1042</v>
      </c>
      <c r="C730" s="12">
        <v>1</v>
      </c>
      <c r="D730" s="12">
        <v>10</v>
      </c>
      <c r="E730" s="12">
        <v>9</v>
      </c>
      <c r="F730" s="3" t="s">
        <v>419</v>
      </c>
    </row>
    <row r="731" spans="1:6" x14ac:dyDescent="0.25">
      <c r="A731" s="38">
        <v>43633.667962962965</v>
      </c>
      <c r="B731" s="3" t="s">
        <v>464</v>
      </c>
      <c r="C731" s="12">
        <v>1</v>
      </c>
      <c r="D731" s="12">
        <v>4</v>
      </c>
      <c r="E731" s="12">
        <v>3</v>
      </c>
      <c r="F731" s="3" t="s">
        <v>419</v>
      </c>
    </row>
    <row r="732" spans="1:6" x14ac:dyDescent="0.25">
      <c r="A732" s="38">
        <v>43633.690555555557</v>
      </c>
      <c r="B732" s="3" t="s">
        <v>1002</v>
      </c>
      <c r="C732" s="12">
        <v>-1</v>
      </c>
      <c r="D732" s="12">
        <v>9</v>
      </c>
      <c r="E732" s="12">
        <v>8</v>
      </c>
      <c r="F732" s="3" t="s">
        <v>1152</v>
      </c>
    </row>
    <row r="733" spans="1:6" x14ac:dyDescent="0.25">
      <c r="A733" s="38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364</v>
      </c>
    </row>
    <row r="734" spans="1:6" x14ac:dyDescent="0.25">
      <c r="A734" s="38">
        <v>43633.891898148147</v>
      </c>
      <c r="B734" s="3" t="s">
        <v>1154</v>
      </c>
      <c r="C734" s="12" t="s">
        <v>308</v>
      </c>
      <c r="D734" s="12">
        <v>0</v>
      </c>
      <c r="E734" s="12" t="s">
        <v>308</v>
      </c>
      <c r="F734" s="3" t="s">
        <v>476</v>
      </c>
    </row>
    <row r="735" spans="1:6" x14ac:dyDescent="0.25">
      <c r="A735" s="38">
        <v>43633.895196759258</v>
      </c>
      <c r="B735" s="3" t="s">
        <v>1157</v>
      </c>
      <c r="C735" s="12" t="s">
        <v>308</v>
      </c>
      <c r="D735" s="12">
        <v>0</v>
      </c>
      <c r="E735" s="12" t="s">
        <v>308</v>
      </c>
      <c r="F735" s="3" t="s">
        <v>476</v>
      </c>
    </row>
    <row r="736" spans="1:6" x14ac:dyDescent="0.25">
      <c r="A736" s="38">
        <v>43633.89539351852</v>
      </c>
      <c r="B736" s="3" t="s">
        <v>1162</v>
      </c>
      <c r="C736" s="12" t="s">
        <v>308</v>
      </c>
      <c r="D736" s="12">
        <v>0</v>
      </c>
      <c r="E736" s="12" t="s">
        <v>308</v>
      </c>
      <c r="F736" s="3" t="s">
        <v>476</v>
      </c>
    </row>
    <row r="737" spans="1:6" x14ac:dyDescent="0.25">
      <c r="A737" s="38">
        <v>43633.897592592592</v>
      </c>
      <c r="B737" s="3" t="s">
        <v>1165</v>
      </c>
      <c r="C737" s="12" t="s">
        <v>308</v>
      </c>
      <c r="D737" s="12">
        <v>0</v>
      </c>
      <c r="E737" s="12" t="s">
        <v>308</v>
      </c>
      <c r="F737" s="3" t="s">
        <v>476</v>
      </c>
    </row>
    <row r="738" spans="1:6" x14ac:dyDescent="0.25">
      <c r="A738" s="38">
        <v>43633.897847222222</v>
      </c>
      <c r="B738" s="3" t="s">
        <v>1168</v>
      </c>
      <c r="C738" s="12" t="s">
        <v>308</v>
      </c>
      <c r="D738" s="12">
        <v>0</v>
      </c>
      <c r="E738" s="12" t="s">
        <v>308</v>
      </c>
      <c r="F738" s="3" t="s">
        <v>476</v>
      </c>
    </row>
    <row r="739" spans="1:6" x14ac:dyDescent="0.25">
      <c r="A739" s="38">
        <v>43633.897962962961</v>
      </c>
      <c r="B739" s="3" t="s">
        <v>1171</v>
      </c>
      <c r="C739" s="12" t="s">
        <v>308</v>
      </c>
      <c r="D739" s="12">
        <v>0</v>
      </c>
      <c r="E739" s="12" t="s">
        <v>308</v>
      </c>
      <c r="F739" s="3" t="s">
        <v>476</v>
      </c>
    </row>
    <row r="740" spans="1:6" x14ac:dyDescent="0.25">
      <c r="A740" s="38">
        <v>43633.903298611112</v>
      </c>
      <c r="B740" s="3" t="s">
        <v>1174</v>
      </c>
      <c r="C740" s="12" t="s">
        <v>308</v>
      </c>
      <c r="D740" s="12">
        <v>0</v>
      </c>
      <c r="E740" s="12" t="s">
        <v>308</v>
      </c>
      <c r="F740" s="3" t="s">
        <v>476</v>
      </c>
    </row>
    <row r="741" spans="1:6" x14ac:dyDescent="0.25">
      <c r="A741" s="38">
        <v>43633.903993055559</v>
      </c>
      <c r="B741" s="3" t="s">
        <v>1184</v>
      </c>
      <c r="C741" s="12" t="s">
        <v>308</v>
      </c>
      <c r="D741" s="12">
        <v>0</v>
      </c>
      <c r="E741" s="12" t="s">
        <v>308</v>
      </c>
      <c r="F741" s="3" t="s">
        <v>476</v>
      </c>
    </row>
    <row r="742" spans="1:6" x14ac:dyDescent="0.25">
      <c r="A742" s="38">
        <v>43633.904236111113</v>
      </c>
      <c r="B742" s="3" t="s">
        <v>1179</v>
      </c>
      <c r="C742" s="12" t="s">
        <v>308</v>
      </c>
      <c r="D742" s="12">
        <v>0</v>
      </c>
      <c r="E742" s="12" t="s">
        <v>308</v>
      </c>
      <c r="F742" s="3" t="s">
        <v>476</v>
      </c>
    </row>
    <row r="743" spans="1:6" x14ac:dyDescent="0.25">
      <c r="A743" s="38">
        <v>43634.023993055554</v>
      </c>
      <c r="B743" s="3" t="s">
        <v>1187</v>
      </c>
      <c r="C743" s="12" t="s">
        <v>308</v>
      </c>
      <c r="D743" s="12">
        <v>0</v>
      </c>
      <c r="E743" s="12" t="s">
        <v>308</v>
      </c>
      <c r="F743" s="3" t="s">
        <v>476</v>
      </c>
    </row>
    <row r="744" spans="1:6" x14ac:dyDescent="0.25">
      <c r="A744" s="38">
        <v>43634.029189814813</v>
      </c>
      <c r="B744" s="3" t="s">
        <v>467</v>
      </c>
      <c r="C744" s="12" t="s">
        <v>339</v>
      </c>
      <c r="D744" s="12">
        <v>1</v>
      </c>
      <c r="E744" s="12">
        <v>2</v>
      </c>
      <c r="F744" s="3" t="s">
        <v>1193</v>
      </c>
    </row>
    <row r="745" spans="1:6" x14ac:dyDescent="0.25">
      <c r="A745" s="38">
        <v>43634.029363425929</v>
      </c>
      <c r="B745" s="3" t="s">
        <v>115</v>
      </c>
      <c r="C745" s="12" t="s">
        <v>339</v>
      </c>
      <c r="D745" s="12">
        <v>9</v>
      </c>
      <c r="E745" s="12">
        <v>10</v>
      </c>
      <c r="F745" s="3" t="s">
        <v>1193</v>
      </c>
    </row>
    <row r="746" spans="1:6" x14ac:dyDescent="0.25">
      <c r="A746" s="38">
        <v>43634.794664351852</v>
      </c>
      <c r="B746" s="3" t="s">
        <v>1194</v>
      </c>
      <c r="C746" s="12" t="s">
        <v>308</v>
      </c>
      <c r="D746" s="12">
        <v>0</v>
      </c>
      <c r="E746" s="12" t="s">
        <v>308</v>
      </c>
      <c r="F746" s="3" t="s">
        <v>476</v>
      </c>
    </row>
    <row r="747" spans="1:6" x14ac:dyDescent="0.25">
      <c r="A747" s="38">
        <v>43634.796168981484</v>
      </c>
      <c r="B747" s="3" t="s">
        <v>1199</v>
      </c>
      <c r="C747" s="12" t="s">
        <v>308</v>
      </c>
      <c r="D747" s="12">
        <v>0</v>
      </c>
      <c r="E747" s="12" t="s">
        <v>308</v>
      </c>
      <c r="F747" s="3" t="s">
        <v>476</v>
      </c>
    </row>
    <row r="748" spans="1:6" x14ac:dyDescent="0.25">
      <c r="A748" s="38">
        <v>43634.96980324074</v>
      </c>
      <c r="B748" s="3" t="s">
        <v>225</v>
      </c>
      <c r="C748" s="12" t="s">
        <v>58</v>
      </c>
      <c r="D748" s="12" t="s">
        <v>58</v>
      </c>
      <c r="E748" s="12" t="s">
        <v>58</v>
      </c>
      <c r="F748" s="3" t="s">
        <v>364</v>
      </c>
    </row>
    <row r="749" spans="1:6" x14ac:dyDescent="0.25">
      <c r="A749" s="38">
        <v>43634.983715277776</v>
      </c>
      <c r="B749" s="3" t="s">
        <v>1216</v>
      </c>
      <c r="C749" s="12" t="s">
        <v>308</v>
      </c>
      <c r="D749" s="12">
        <v>0</v>
      </c>
      <c r="E749" s="12" t="s">
        <v>308</v>
      </c>
      <c r="F749" s="3" t="s">
        <v>476</v>
      </c>
    </row>
    <row r="750" spans="1:6" x14ac:dyDescent="0.25">
      <c r="A750" s="38">
        <v>43635.00503472222</v>
      </c>
      <c r="B750" s="3" t="s">
        <v>1219</v>
      </c>
      <c r="C750" s="12" t="s">
        <v>308</v>
      </c>
      <c r="D750" s="12">
        <v>0</v>
      </c>
      <c r="E750" s="12" t="s">
        <v>308</v>
      </c>
      <c r="F750" s="3" t="s">
        <v>476</v>
      </c>
    </row>
    <row r="751" spans="1:6" x14ac:dyDescent="0.25">
      <c r="A751" s="38">
        <v>43637.457407407404</v>
      </c>
      <c r="B751" s="3" t="s">
        <v>1222</v>
      </c>
      <c r="C751" s="12" t="s">
        <v>308</v>
      </c>
      <c r="D751" s="12">
        <v>0</v>
      </c>
      <c r="E751" s="12" t="s">
        <v>308</v>
      </c>
      <c r="F751" s="3" t="s">
        <v>476</v>
      </c>
    </row>
    <row r="752" spans="1:6" x14ac:dyDescent="0.25">
      <c r="A752" s="38">
        <v>43637.491770833331</v>
      </c>
      <c r="B752" s="3" t="s">
        <v>1225</v>
      </c>
      <c r="C752" s="12" t="s">
        <v>308</v>
      </c>
      <c r="D752" s="12">
        <v>0</v>
      </c>
      <c r="E752" s="12" t="s">
        <v>308</v>
      </c>
      <c r="F752" s="3" t="s">
        <v>476</v>
      </c>
    </row>
    <row r="753" spans="1:6" x14ac:dyDescent="0.25">
      <c r="A753" s="38">
        <v>43637.491782407407</v>
      </c>
      <c r="B753" s="3" t="s">
        <v>1225</v>
      </c>
      <c r="C753" s="12" t="s">
        <v>308</v>
      </c>
      <c r="D753" s="12">
        <v>0</v>
      </c>
      <c r="E753" s="12" t="s">
        <v>308</v>
      </c>
      <c r="F753" s="3" t="s">
        <v>476</v>
      </c>
    </row>
    <row r="754" spans="1:6" x14ac:dyDescent="0.25">
      <c r="A754" s="38">
        <v>43639.97519675926</v>
      </c>
      <c r="B754" s="3" t="s">
        <v>1240</v>
      </c>
      <c r="C754" s="12" t="s">
        <v>308</v>
      </c>
      <c r="D754" s="12">
        <v>0</v>
      </c>
      <c r="E754" s="12" t="s">
        <v>308</v>
      </c>
      <c r="F754" s="3" t="s">
        <v>476</v>
      </c>
    </row>
    <row r="755" spans="1:6" x14ac:dyDescent="0.25">
      <c r="A755" s="38">
        <v>43640.463703703703</v>
      </c>
      <c r="B755" s="3" t="s">
        <v>1243</v>
      </c>
      <c r="C755" s="12" t="s">
        <v>308</v>
      </c>
      <c r="D755" s="12">
        <v>0</v>
      </c>
      <c r="E755" s="12" t="s">
        <v>308</v>
      </c>
      <c r="F755" s="3" t="s">
        <v>476</v>
      </c>
    </row>
    <row r="756" spans="1:6" x14ac:dyDescent="0.25">
      <c r="A756" s="38">
        <v>43647.728217592594</v>
      </c>
      <c r="B756" s="3" t="s">
        <v>1056</v>
      </c>
      <c r="C756" s="12" t="s">
        <v>58</v>
      </c>
      <c r="D756" s="12" t="s">
        <v>58</v>
      </c>
      <c r="E756" s="12" t="s">
        <v>58</v>
      </c>
      <c r="F756" s="3" t="s">
        <v>364</v>
      </c>
    </row>
    <row r="757" spans="1:6" x14ac:dyDescent="0.25">
      <c r="A757" s="38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364</v>
      </c>
    </row>
    <row r="758" spans="1:6" x14ac:dyDescent="0.25">
      <c r="A758" s="38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364</v>
      </c>
    </row>
    <row r="759" spans="1:6" x14ac:dyDescent="0.25">
      <c r="A759" s="38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364</v>
      </c>
    </row>
    <row r="760" spans="1:6" x14ac:dyDescent="0.25">
      <c r="A760" s="38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364</v>
      </c>
    </row>
    <row r="761" spans="1:6" x14ac:dyDescent="0.25">
      <c r="A761" s="38">
        <v>43648.771967592591</v>
      </c>
      <c r="B761" s="3" t="s">
        <v>1263</v>
      </c>
      <c r="C761" s="12" t="s">
        <v>308</v>
      </c>
      <c r="D761" s="12">
        <v>0</v>
      </c>
      <c r="E761" s="12" t="s">
        <v>308</v>
      </c>
      <c r="F761" s="3" t="s">
        <v>476</v>
      </c>
    </row>
    <row r="762" spans="1:6" x14ac:dyDescent="0.25">
      <c r="A762" s="38">
        <v>43658.438807870371</v>
      </c>
      <c r="B762" s="3" t="s">
        <v>1266</v>
      </c>
      <c r="C762" s="12" t="s">
        <v>308</v>
      </c>
      <c r="D762" s="12">
        <v>0</v>
      </c>
      <c r="E762" s="12" t="s">
        <v>308</v>
      </c>
      <c r="F762" s="3" t="s">
        <v>476</v>
      </c>
    </row>
    <row r="763" spans="1:6" x14ac:dyDescent="0.25">
      <c r="A763" s="38">
        <v>43658.464224537034</v>
      </c>
      <c r="B763" s="3" t="s">
        <v>1267</v>
      </c>
      <c r="C763" s="12" t="s">
        <v>308</v>
      </c>
      <c r="D763" s="12">
        <v>0</v>
      </c>
      <c r="E763" s="12" t="s">
        <v>308</v>
      </c>
      <c r="F763" s="3" t="s">
        <v>476</v>
      </c>
    </row>
    <row r="764" spans="1:6" x14ac:dyDescent="0.25">
      <c r="A764" s="38">
        <v>43658.466874999998</v>
      </c>
      <c r="B764" s="3" t="s">
        <v>1270</v>
      </c>
      <c r="C764" s="12" t="s">
        <v>308</v>
      </c>
      <c r="D764" s="12">
        <v>0</v>
      </c>
      <c r="E764" s="12" t="s">
        <v>308</v>
      </c>
      <c r="F764" s="3" t="s">
        <v>476</v>
      </c>
    </row>
    <row r="765" spans="1:6" x14ac:dyDescent="0.25">
      <c r="A765" s="38">
        <v>43658.467222222222</v>
      </c>
      <c r="B765" s="3" t="s">
        <v>1273</v>
      </c>
      <c r="C765" s="12" t="s">
        <v>308</v>
      </c>
      <c r="D765" s="12">
        <v>0</v>
      </c>
      <c r="E765" s="12" t="s">
        <v>308</v>
      </c>
      <c r="F765" s="3" t="s">
        <v>476</v>
      </c>
    </row>
    <row r="766" spans="1:6" x14ac:dyDescent="0.25">
      <c r="A766" s="38">
        <v>43658.467685185184</v>
      </c>
      <c r="B766" s="3" t="s">
        <v>1276</v>
      </c>
      <c r="C766" s="12" t="s">
        <v>308</v>
      </c>
      <c r="D766" s="12">
        <v>0</v>
      </c>
      <c r="E766" s="12" t="s">
        <v>308</v>
      </c>
      <c r="F766" s="3" t="s">
        <v>476</v>
      </c>
    </row>
    <row r="767" spans="1:6" x14ac:dyDescent="0.25">
      <c r="A767" s="38">
        <v>43658.467835648145</v>
      </c>
      <c r="B767" s="3" t="s">
        <v>1279</v>
      </c>
      <c r="C767" s="12" t="s">
        <v>308</v>
      </c>
      <c r="D767" s="12">
        <v>0</v>
      </c>
      <c r="E767" s="12" t="s">
        <v>308</v>
      </c>
      <c r="F767" s="3" t="s">
        <v>476</v>
      </c>
    </row>
    <row r="768" spans="1:6" x14ac:dyDescent="0.25">
      <c r="A768" s="38">
        <v>43658.467997685184</v>
      </c>
      <c r="B768" s="3" t="s">
        <v>1282</v>
      </c>
      <c r="C768" s="12" t="s">
        <v>308</v>
      </c>
      <c r="D768" s="12">
        <v>0</v>
      </c>
      <c r="E768" s="12" t="s">
        <v>308</v>
      </c>
      <c r="F768" s="3" t="s">
        <v>476</v>
      </c>
    </row>
    <row r="769" spans="1:6" x14ac:dyDescent="0.25">
      <c r="A769" s="38">
        <v>43658.468136574076</v>
      </c>
      <c r="B769" s="3" t="s">
        <v>1285</v>
      </c>
      <c r="C769" s="12" t="s">
        <v>308</v>
      </c>
      <c r="D769" s="12">
        <v>0</v>
      </c>
      <c r="E769" s="12" t="s">
        <v>308</v>
      </c>
      <c r="F769" s="3" t="s">
        <v>476</v>
      </c>
    </row>
    <row r="770" spans="1:6" x14ac:dyDescent="0.25">
      <c r="A770" s="38">
        <v>43658.468275462961</v>
      </c>
      <c r="B770" s="3" t="s">
        <v>1263</v>
      </c>
      <c r="C770" s="12" t="s">
        <v>308</v>
      </c>
      <c r="D770" s="12">
        <v>0</v>
      </c>
      <c r="E770" s="12" t="s">
        <v>308</v>
      </c>
      <c r="F770" s="3" t="s">
        <v>476</v>
      </c>
    </row>
    <row r="771" spans="1:6" x14ac:dyDescent="0.25">
      <c r="A771" s="38">
        <v>43658.468414351853</v>
      </c>
      <c r="B771" s="3" t="s">
        <v>1289</v>
      </c>
      <c r="C771" s="12" t="s">
        <v>308</v>
      </c>
      <c r="D771" s="12">
        <v>0</v>
      </c>
      <c r="E771" s="12" t="s">
        <v>308</v>
      </c>
      <c r="F771" s="3" t="s">
        <v>476</v>
      </c>
    </row>
    <row r="772" spans="1:6" x14ac:dyDescent="0.25">
      <c r="A772" s="38">
        <v>43658.468634259261</v>
      </c>
      <c r="B772" s="3" t="s">
        <v>1292</v>
      </c>
      <c r="C772" s="12" t="s">
        <v>308</v>
      </c>
      <c r="D772" s="12">
        <v>0</v>
      </c>
      <c r="E772" s="12" t="s">
        <v>308</v>
      </c>
      <c r="F772" s="3" t="s">
        <v>476</v>
      </c>
    </row>
    <row r="773" spans="1:6" x14ac:dyDescent="0.25">
      <c r="A773" s="38">
        <v>43658.469247685185</v>
      </c>
      <c r="B773" s="3" t="s">
        <v>1295</v>
      </c>
      <c r="C773" s="12" t="s">
        <v>308</v>
      </c>
      <c r="D773" s="12">
        <v>0</v>
      </c>
      <c r="E773" s="12" t="s">
        <v>308</v>
      </c>
      <c r="F773" s="3" t="s">
        <v>476</v>
      </c>
    </row>
    <row r="774" spans="1:6" x14ac:dyDescent="0.25">
      <c r="A774" s="38">
        <v>43658.470046296294</v>
      </c>
      <c r="B774" s="3" t="s">
        <v>1298</v>
      </c>
      <c r="C774" s="12" t="s">
        <v>308</v>
      </c>
      <c r="D774" s="12">
        <v>0</v>
      </c>
      <c r="E774" s="12" t="s">
        <v>308</v>
      </c>
      <c r="F774" s="3" t="s">
        <v>476</v>
      </c>
    </row>
    <row r="775" spans="1:6" x14ac:dyDescent="0.25">
      <c r="A775" s="38">
        <v>43658.471250000002</v>
      </c>
      <c r="B775" s="3" t="s">
        <v>1301</v>
      </c>
      <c r="C775" s="12" t="s">
        <v>308</v>
      </c>
      <c r="D775" s="12">
        <v>0</v>
      </c>
      <c r="E775" s="12" t="s">
        <v>308</v>
      </c>
      <c r="F775" s="3" t="s">
        <v>476</v>
      </c>
    </row>
    <row r="776" spans="1:6" x14ac:dyDescent="0.25">
      <c r="A776" s="38">
        <v>43658.471400462964</v>
      </c>
      <c r="B776" s="3" t="s">
        <v>1304</v>
      </c>
      <c r="C776" s="12" t="s">
        <v>308</v>
      </c>
      <c r="D776" s="12">
        <v>0</v>
      </c>
      <c r="E776" s="12" t="s">
        <v>308</v>
      </c>
      <c r="F776" s="3" t="s">
        <v>476</v>
      </c>
    </row>
    <row r="777" spans="1:6" x14ac:dyDescent="0.25">
      <c r="A777" s="38">
        <v>43658.471516203703</v>
      </c>
      <c r="B777" s="3" t="s">
        <v>1307</v>
      </c>
      <c r="C777" s="12" t="s">
        <v>308</v>
      </c>
      <c r="D777" s="12">
        <v>0</v>
      </c>
      <c r="E777" s="12" t="s">
        <v>308</v>
      </c>
      <c r="F777" s="3" t="s">
        <v>476</v>
      </c>
    </row>
    <row r="778" spans="1:6" x14ac:dyDescent="0.25">
      <c r="A778" s="38">
        <v>43658.471620370372</v>
      </c>
      <c r="B778" s="3" t="s">
        <v>1310</v>
      </c>
      <c r="C778" s="12" t="s">
        <v>308</v>
      </c>
      <c r="D778" s="12">
        <v>0</v>
      </c>
      <c r="E778" s="12" t="s">
        <v>308</v>
      </c>
      <c r="F778" s="3" t="s">
        <v>476</v>
      </c>
    </row>
    <row r="779" spans="1:6" x14ac:dyDescent="0.25">
      <c r="A779" s="38">
        <v>43658.471724537034</v>
      </c>
      <c r="B779" s="3" t="s">
        <v>1313</v>
      </c>
      <c r="C779" s="12" t="s">
        <v>308</v>
      </c>
      <c r="D779" s="12">
        <v>0</v>
      </c>
      <c r="E779" s="12" t="s">
        <v>308</v>
      </c>
      <c r="F779" s="3" t="s">
        <v>476</v>
      </c>
    </row>
    <row r="780" spans="1:6" x14ac:dyDescent="0.25">
      <c r="A780" s="38">
        <v>43658.471863425926</v>
      </c>
      <c r="B780" s="3" t="s">
        <v>1316</v>
      </c>
      <c r="C780" s="12" t="s">
        <v>308</v>
      </c>
      <c r="D780" s="12">
        <v>0</v>
      </c>
      <c r="E780" s="12" t="s">
        <v>308</v>
      </c>
      <c r="F780" s="3" t="s">
        <v>476</v>
      </c>
    </row>
    <row r="781" spans="1:6" x14ac:dyDescent="0.25">
      <c r="A781" s="38">
        <v>43658.471990740742</v>
      </c>
      <c r="B781" s="3" t="s">
        <v>1319</v>
      </c>
      <c r="C781" s="12" t="s">
        <v>308</v>
      </c>
      <c r="D781" s="12">
        <v>0</v>
      </c>
      <c r="E781" s="12" t="s">
        <v>308</v>
      </c>
      <c r="F781" s="3" t="s">
        <v>476</v>
      </c>
    </row>
    <row r="782" spans="1:6" x14ac:dyDescent="0.25">
      <c r="A782" s="38">
        <v>43658.472141203703</v>
      </c>
      <c r="B782" s="3" t="s">
        <v>1322</v>
      </c>
      <c r="C782" s="12" t="s">
        <v>308</v>
      </c>
      <c r="D782" s="12">
        <v>0</v>
      </c>
      <c r="E782" s="12" t="s">
        <v>308</v>
      </c>
      <c r="F782" s="3" t="s">
        <v>476</v>
      </c>
    </row>
    <row r="783" spans="1:6" x14ac:dyDescent="0.25">
      <c r="A783" s="38">
        <v>43658.472256944442</v>
      </c>
      <c r="B783" s="3" t="s">
        <v>1325</v>
      </c>
      <c r="C783" s="12" t="s">
        <v>308</v>
      </c>
      <c r="D783" s="12">
        <v>0</v>
      </c>
      <c r="E783" s="12" t="s">
        <v>308</v>
      </c>
      <c r="F783" s="3" t="s">
        <v>476</v>
      </c>
    </row>
    <row r="784" spans="1:6" x14ac:dyDescent="0.25">
      <c r="A784" s="38">
        <v>43676.585543981484</v>
      </c>
      <c r="B784" s="3" t="s">
        <v>1328</v>
      </c>
      <c r="C784" s="12" t="s">
        <v>308</v>
      </c>
      <c r="D784" s="12">
        <v>0</v>
      </c>
      <c r="E784" s="12" t="s">
        <v>308</v>
      </c>
      <c r="F784" s="3" t="s">
        <v>476</v>
      </c>
    </row>
    <row r="785" spans="1:6" x14ac:dyDescent="0.25">
      <c r="A785" s="38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1152</v>
      </c>
    </row>
    <row r="786" spans="1:6" x14ac:dyDescent="0.25">
      <c r="A786" s="38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1152</v>
      </c>
    </row>
    <row r="787" spans="1:6" x14ac:dyDescent="0.25">
      <c r="A787" s="38">
        <v>43685.720405092594</v>
      </c>
      <c r="B787" s="3" t="s">
        <v>1341</v>
      </c>
      <c r="C787" s="12" t="s">
        <v>1146</v>
      </c>
      <c r="D787" s="12">
        <v>0</v>
      </c>
      <c r="E787" s="12" t="s">
        <v>1146</v>
      </c>
      <c r="F787" s="3" t="s">
        <v>476</v>
      </c>
    </row>
    <row r="788" spans="1:6" x14ac:dyDescent="0.25">
      <c r="A788" s="38">
        <v>43685.720486111109</v>
      </c>
      <c r="B788" s="3" t="s">
        <v>1344</v>
      </c>
      <c r="C788" s="12" t="s">
        <v>1146</v>
      </c>
      <c r="D788" s="12">
        <v>0</v>
      </c>
      <c r="E788" s="12" t="s">
        <v>1146</v>
      </c>
      <c r="F788" s="3" t="s">
        <v>476</v>
      </c>
    </row>
    <row r="789" spans="1:6" x14ac:dyDescent="0.25">
      <c r="A789" s="38">
        <v>43685.72148148148</v>
      </c>
      <c r="B789" s="3" t="s">
        <v>1033</v>
      </c>
      <c r="C789" s="12" t="s">
        <v>58</v>
      </c>
      <c r="D789" s="12" t="s">
        <v>58</v>
      </c>
      <c r="E789" s="12" t="s">
        <v>58</v>
      </c>
      <c r="F789" s="3" t="s">
        <v>1347</v>
      </c>
    </row>
    <row r="790" spans="1:6" x14ac:dyDescent="0.25">
      <c r="A790" s="38">
        <v>43685.721666666665</v>
      </c>
      <c r="B790" s="3" t="s">
        <v>1346</v>
      </c>
      <c r="C790" s="12" t="s">
        <v>58</v>
      </c>
      <c r="D790" s="12" t="s">
        <v>58</v>
      </c>
      <c r="E790" s="12" t="s">
        <v>58</v>
      </c>
      <c r="F790" s="3" t="s">
        <v>1347</v>
      </c>
    </row>
    <row r="791" spans="1:6" x14ac:dyDescent="0.25">
      <c r="A791" s="38">
        <v>43685.721701388888</v>
      </c>
      <c r="B791" s="3" t="s">
        <v>1348</v>
      </c>
      <c r="C791" s="12" t="s">
        <v>58</v>
      </c>
      <c r="D791" s="12" t="s">
        <v>58</v>
      </c>
      <c r="E791" s="12" t="s">
        <v>58</v>
      </c>
      <c r="F791" s="3" t="s">
        <v>1347</v>
      </c>
    </row>
    <row r="792" spans="1:6" x14ac:dyDescent="0.25">
      <c r="A792" s="38">
        <v>43685.817743055559</v>
      </c>
      <c r="B792" s="3" t="s">
        <v>1349</v>
      </c>
      <c r="C792" s="12" t="s">
        <v>308</v>
      </c>
      <c r="D792" s="12">
        <v>0</v>
      </c>
      <c r="E792" s="12" t="s">
        <v>308</v>
      </c>
      <c r="F792" s="3" t="s">
        <v>476</v>
      </c>
    </row>
    <row r="793" spans="1:6" x14ac:dyDescent="0.25">
      <c r="A793" s="38">
        <v>43687.514305555553</v>
      </c>
      <c r="B793" s="3" t="s">
        <v>1360</v>
      </c>
      <c r="C793" s="12" t="s">
        <v>308</v>
      </c>
      <c r="D793" s="12">
        <v>0</v>
      </c>
      <c r="E793" s="12" t="s">
        <v>308</v>
      </c>
      <c r="F793" s="3" t="s">
        <v>476</v>
      </c>
    </row>
    <row r="794" spans="1:6" x14ac:dyDescent="0.25">
      <c r="A794" s="38">
        <v>43688.444745370369</v>
      </c>
      <c r="B794" s="3" t="s">
        <v>1363</v>
      </c>
      <c r="C794" s="12" t="s">
        <v>308</v>
      </c>
      <c r="D794" s="12">
        <v>0</v>
      </c>
      <c r="E794" s="12" t="s">
        <v>308</v>
      </c>
      <c r="F794" s="3" t="s">
        <v>476</v>
      </c>
    </row>
    <row r="795" spans="1:6" x14ac:dyDescent="0.25">
      <c r="A795" s="38">
        <v>43689.025277777779</v>
      </c>
      <c r="B795" s="3" t="s">
        <v>1367</v>
      </c>
      <c r="C795" s="12" t="s">
        <v>308</v>
      </c>
      <c r="D795" s="12">
        <v>0</v>
      </c>
      <c r="E795" s="12" t="s">
        <v>308</v>
      </c>
      <c r="F795" s="3" t="s">
        <v>476</v>
      </c>
    </row>
    <row r="796" spans="1:6" x14ac:dyDescent="0.25">
      <c r="A796" s="38">
        <v>43689.028182870374</v>
      </c>
      <c r="B796" s="3" t="s">
        <v>1370</v>
      </c>
      <c r="C796" s="12" t="s">
        <v>308</v>
      </c>
      <c r="D796" s="12">
        <v>0</v>
      </c>
      <c r="E796" s="12" t="s">
        <v>308</v>
      </c>
      <c r="F796" s="3" t="s">
        <v>476</v>
      </c>
    </row>
    <row r="797" spans="1:6" x14ac:dyDescent="0.25">
      <c r="A797" s="38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364</v>
      </c>
    </row>
    <row r="798" spans="1:6" x14ac:dyDescent="0.25">
      <c r="A798" s="38">
        <v>43692.548009259262</v>
      </c>
      <c r="B798" s="3" t="s">
        <v>228</v>
      </c>
      <c r="C798" s="12" t="s">
        <v>58</v>
      </c>
      <c r="D798" s="12" t="s">
        <v>58</v>
      </c>
      <c r="E798" s="12" t="s">
        <v>58</v>
      </c>
      <c r="F798" s="3" t="s">
        <v>364</v>
      </c>
    </row>
    <row r="799" spans="1:6" x14ac:dyDescent="0.25">
      <c r="A799" s="38">
        <v>43692.582824074074</v>
      </c>
      <c r="B799" s="3" t="s">
        <v>1187</v>
      </c>
      <c r="C799" s="12" t="s">
        <v>1389</v>
      </c>
      <c r="D799" s="12">
        <v>0</v>
      </c>
      <c r="E799" s="12">
        <v>4</v>
      </c>
      <c r="F799" s="3" t="s">
        <v>1390</v>
      </c>
    </row>
    <row r="800" spans="1:6" x14ac:dyDescent="0.25">
      <c r="A800" s="38">
        <v>43692.582824074074</v>
      </c>
      <c r="B800" s="3" t="s">
        <v>536</v>
      </c>
      <c r="C800" s="12" t="s">
        <v>394</v>
      </c>
      <c r="D800" s="12" t="s">
        <v>308</v>
      </c>
      <c r="E800" s="12" t="s">
        <v>394</v>
      </c>
      <c r="F800" s="3" t="s">
        <v>1390</v>
      </c>
    </row>
    <row r="801" spans="1:6" x14ac:dyDescent="0.25">
      <c r="A801" s="38">
        <v>43692.582824074074</v>
      </c>
      <c r="B801" s="3" t="s">
        <v>1154</v>
      </c>
      <c r="C801" s="12" t="s">
        <v>394</v>
      </c>
      <c r="D801" s="12" t="s">
        <v>308</v>
      </c>
      <c r="E801" s="12" t="s">
        <v>394</v>
      </c>
      <c r="F801" s="3" t="s">
        <v>1390</v>
      </c>
    </row>
    <row r="802" spans="1:6" x14ac:dyDescent="0.25">
      <c r="A802" s="38">
        <v>43692.582835648151</v>
      </c>
      <c r="B802" s="3" t="s">
        <v>540</v>
      </c>
      <c r="C802" s="12" t="s">
        <v>394</v>
      </c>
      <c r="D802" s="12">
        <v>0</v>
      </c>
      <c r="E802" s="12" t="s">
        <v>394</v>
      </c>
      <c r="F802" s="3" t="s">
        <v>1390</v>
      </c>
    </row>
    <row r="803" spans="1:6" x14ac:dyDescent="0.25">
      <c r="A803" s="38">
        <v>43692.582835648151</v>
      </c>
      <c r="B803" s="3" t="s">
        <v>931</v>
      </c>
      <c r="C803" s="12" t="s">
        <v>1149</v>
      </c>
      <c r="D803" s="12">
        <v>0</v>
      </c>
      <c r="E803" s="12" t="s">
        <v>1149</v>
      </c>
      <c r="F803" s="3" t="s">
        <v>1390</v>
      </c>
    </row>
    <row r="804" spans="1:6" x14ac:dyDescent="0.25">
      <c r="A804" s="38">
        <v>43692.582835648151</v>
      </c>
      <c r="B804" s="3" t="s">
        <v>1126</v>
      </c>
      <c r="C804" s="12" t="s">
        <v>1149</v>
      </c>
      <c r="D804" s="12">
        <v>0</v>
      </c>
      <c r="E804" s="12">
        <v>3</v>
      </c>
      <c r="F804" s="3" t="s">
        <v>1390</v>
      </c>
    </row>
    <row r="805" spans="1:6" x14ac:dyDescent="0.25">
      <c r="A805" s="38">
        <v>43692.582835648151</v>
      </c>
      <c r="B805" s="3" t="s">
        <v>1118</v>
      </c>
      <c r="C805" s="12" t="s">
        <v>1149</v>
      </c>
      <c r="D805" s="12">
        <v>0</v>
      </c>
      <c r="E805" s="12">
        <v>3</v>
      </c>
      <c r="F805" s="3" t="s">
        <v>1390</v>
      </c>
    </row>
    <row r="806" spans="1:6" x14ac:dyDescent="0.25">
      <c r="A806" s="38">
        <v>43692.582835648151</v>
      </c>
      <c r="B806" s="3" t="s">
        <v>1174</v>
      </c>
      <c r="C806" s="12" t="s">
        <v>394</v>
      </c>
      <c r="D806" s="12">
        <v>0</v>
      </c>
      <c r="E806" s="12">
        <v>10</v>
      </c>
      <c r="F806" s="3" t="s">
        <v>1390</v>
      </c>
    </row>
    <row r="807" spans="1:6" x14ac:dyDescent="0.25">
      <c r="A807" s="38">
        <v>43692.582835648151</v>
      </c>
      <c r="B807" s="3">
        <v>4689</v>
      </c>
      <c r="C807" s="12" t="s">
        <v>394</v>
      </c>
      <c r="D807" s="12">
        <v>0</v>
      </c>
      <c r="E807" s="12">
        <v>10</v>
      </c>
      <c r="F807" s="3" t="s">
        <v>1390</v>
      </c>
    </row>
    <row r="808" spans="1:6" x14ac:dyDescent="0.25">
      <c r="A808" s="38">
        <v>43692.582835648151</v>
      </c>
      <c r="B808" s="3" t="s">
        <v>1240</v>
      </c>
      <c r="C808" s="12" t="s">
        <v>393</v>
      </c>
      <c r="D808" s="12">
        <v>0</v>
      </c>
      <c r="E808" s="12">
        <v>5</v>
      </c>
      <c r="F808" s="3" t="s">
        <v>1390</v>
      </c>
    </row>
    <row r="809" spans="1:6" x14ac:dyDescent="0.25">
      <c r="A809" s="38">
        <v>43692.582835648151</v>
      </c>
      <c r="B809" s="3" t="s">
        <v>1219</v>
      </c>
      <c r="C809" s="12" t="s">
        <v>394</v>
      </c>
      <c r="D809" s="12">
        <v>0</v>
      </c>
      <c r="E809" s="12">
        <v>10</v>
      </c>
      <c r="F809" s="3" t="s">
        <v>1390</v>
      </c>
    </row>
    <row r="810" spans="1:6" x14ac:dyDescent="0.25">
      <c r="A810" s="38">
        <v>43692.58284722222</v>
      </c>
      <c r="B810" s="3" t="s">
        <v>987</v>
      </c>
      <c r="C810" s="12" t="s">
        <v>394</v>
      </c>
      <c r="D810" s="12">
        <v>0</v>
      </c>
      <c r="E810" s="12" t="s">
        <v>394</v>
      </c>
      <c r="F810" s="3" t="s">
        <v>1390</v>
      </c>
    </row>
    <row r="811" spans="1:6" x14ac:dyDescent="0.25">
      <c r="A811" s="38">
        <v>43692.58284722222</v>
      </c>
      <c r="B811" s="3" t="s">
        <v>990</v>
      </c>
      <c r="C811" s="12" t="s">
        <v>394</v>
      </c>
      <c r="D811" s="12">
        <v>0</v>
      </c>
      <c r="E811" s="12">
        <v>10</v>
      </c>
      <c r="F811" s="3" t="s">
        <v>1390</v>
      </c>
    </row>
    <row r="812" spans="1:6" x14ac:dyDescent="0.25">
      <c r="A812" s="38">
        <v>43692.58284722222</v>
      </c>
      <c r="B812" s="3" t="s">
        <v>981</v>
      </c>
      <c r="C812" s="12" t="s">
        <v>394</v>
      </c>
      <c r="D812" s="12">
        <v>0</v>
      </c>
      <c r="E812" s="12" t="s">
        <v>394</v>
      </c>
      <c r="F812" s="3" t="s">
        <v>1390</v>
      </c>
    </row>
    <row r="813" spans="1:6" x14ac:dyDescent="0.25">
      <c r="A813" s="38">
        <v>43692.58284722222</v>
      </c>
      <c r="B813" s="3" t="s">
        <v>993</v>
      </c>
      <c r="C813" s="12" t="s">
        <v>1391</v>
      </c>
      <c r="D813" s="12">
        <v>0</v>
      </c>
      <c r="E813" s="12">
        <v>20</v>
      </c>
      <c r="F813" s="3" t="s">
        <v>1390</v>
      </c>
    </row>
    <row r="814" spans="1:6" x14ac:dyDescent="0.25">
      <c r="A814" s="38">
        <v>43692.58284722222</v>
      </c>
      <c r="B814" s="3" t="s">
        <v>984</v>
      </c>
      <c r="C814" s="12" t="s">
        <v>394</v>
      </c>
      <c r="D814" s="12">
        <v>0</v>
      </c>
      <c r="E814" s="12" t="s">
        <v>394</v>
      </c>
      <c r="F814" s="3" t="s">
        <v>1390</v>
      </c>
    </row>
    <row r="815" spans="1:6" x14ac:dyDescent="0.25">
      <c r="A815" s="38">
        <v>43692.582858796297</v>
      </c>
      <c r="B815" s="3" t="s">
        <v>1023</v>
      </c>
      <c r="C815" s="12" t="s">
        <v>394</v>
      </c>
      <c r="D815" s="12">
        <v>0</v>
      </c>
      <c r="E815" s="12" t="s">
        <v>394</v>
      </c>
      <c r="F815" s="3" t="s">
        <v>1390</v>
      </c>
    </row>
    <row r="816" spans="1:6" x14ac:dyDescent="0.25">
      <c r="A816" s="38">
        <v>43692.582858796297</v>
      </c>
      <c r="B816" s="3" t="s">
        <v>1225</v>
      </c>
      <c r="C816" s="12" t="s">
        <v>1149</v>
      </c>
      <c r="D816" s="12">
        <v>0</v>
      </c>
      <c r="E816" s="12">
        <v>3</v>
      </c>
      <c r="F816" s="3" t="s">
        <v>1390</v>
      </c>
    </row>
    <row r="817" spans="1:6" x14ac:dyDescent="0.25">
      <c r="A817" s="38">
        <v>43692.582858796297</v>
      </c>
      <c r="B817" s="3" t="s">
        <v>1216</v>
      </c>
      <c r="C817" s="12" t="s">
        <v>1146</v>
      </c>
      <c r="D817" s="12">
        <v>0</v>
      </c>
      <c r="E817" s="12">
        <v>2</v>
      </c>
      <c r="F817" s="3" t="s">
        <v>1390</v>
      </c>
    </row>
    <row r="818" spans="1:6" x14ac:dyDescent="0.25">
      <c r="A818" s="38">
        <v>43692.582870370374</v>
      </c>
      <c r="B818" s="3" t="s">
        <v>1388</v>
      </c>
      <c r="C818" s="12" t="s">
        <v>339</v>
      </c>
      <c r="D818" s="12">
        <v>0</v>
      </c>
      <c r="E818" s="12" t="s">
        <v>339</v>
      </c>
      <c r="F818" s="3" t="s">
        <v>1390</v>
      </c>
    </row>
    <row r="819" spans="1:6" x14ac:dyDescent="0.25">
      <c r="A819" s="38">
        <v>43692.582870370374</v>
      </c>
      <c r="B819" s="3" t="s">
        <v>1194</v>
      </c>
      <c r="C819" s="12" t="s">
        <v>339</v>
      </c>
      <c r="D819" s="12" t="s">
        <v>308</v>
      </c>
      <c r="E819" s="12" t="s">
        <v>339</v>
      </c>
      <c r="F819" s="3" t="s">
        <v>1390</v>
      </c>
    </row>
    <row r="820" spans="1:6" x14ac:dyDescent="0.25">
      <c r="A820" s="38">
        <v>43692.582870370374</v>
      </c>
      <c r="B820" s="3" t="s">
        <v>1199</v>
      </c>
      <c r="C820" s="12" t="s">
        <v>339</v>
      </c>
      <c r="D820" s="12" t="s">
        <v>308</v>
      </c>
      <c r="E820" s="12" t="s">
        <v>339</v>
      </c>
      <c r="F820" s="3" t="s">
        <v>1390</v>
      </c>
    </row>
    <row r="821" spans="1:6" x14ac:dyDescent="0.25">
      <c r="A821" s="38">
        <v>43692.582870370374</v>
      </c>
      <c r="B821" s="3" t="s">
        <v>1157</v>
      </c>
      <c r="C821" s="12" t="s">
        <v>339</v>
      </c>
      <c r="D821" s="12">
        <v>0</v>
      </c>
      <c r="E821" s="12">
        <v>1</v>
      </c>
      <c r="F821" s="3" t="s">
        <v>1390</v>
      </c>
    </row>
    <row r="822" spans="1:6" x14ac:dyDescent="0.25">
      <c r="A822" s="38">
        <v>43692.582870370374</v>
      </c>
      <c r="B822" s="3" t="s">
        <v>1251</v>
      </c>
      <c r="C822" s="12" t="s">
        <v>339</v>
      </c>
      <c r="D822" s="12">
        <v>0</v>
      </c>
      <c r="E822" s="12">
        <v>1</v>
      </c>
      <c r="F822" s="3" t="s">
        <v>1390</v>
      </c>
    </row>
    <row r="823" spans="1:6" x14ac:dyDescent="0.25">
      <c r="A823" s="38">
        <v>43692.582870370374</v>
      </c>
      <c r="B823" s="3" t="s">
        <v>1165</v>
      </c>
      <c r="C823" s="12" t="s">
        <v>339</v>
      </c>
      <c r="D823" s="12">
        <v>0</v>
      </c>
      <c r="E823" s="12">
        <v>1</v>
      </c>
      <c r="F823" s="3" t="s">
        <v>1390</v>
      </c>
    </row>
    <row r="824" spans="1:6" x14ac:dyDescent="0.25">
      <c r="A824" s="38">
        <v>43692.582870370374</v>
      </c>
      <c r="B824" s="3" t="s">
        <v>1162</v>
      </c>
      <c r="C824" s="12" t="s">
        <v>339</v>
      </c>
      <c r="D824" s="12">
        <v>0</v>
      </c>
      <c r="E824" s="12">
        <v>1</v>
      </c>
      <c r="F824" s="3" t="s">
        <v>1390</v>
      </c>
    </row>
    <row r="825" spans="1:6" x14ac:dyDescent="0.25">
      <c r="A825" s="38">
        <v>43692.582870370374</v>
      </c>
      <c r="B825" s="3" t="s">
        <v>1254</v>
      </c>
      <c r="C825" s="12" t="s">
        <v>339</v>
      </c>
      <c r="D825" s="12">
        <v>0</v>
      </c>
      <c r="E825" s="12">
        <v>1</v>
      </c>
      <c r="F825" s="3" t="s">
        <v>1390</v>
      </c>
    </row>
    <row r="826" spans="1:6" x14ac:dyDescent="0.25">
      <c r="A826" s="38">
        <v>43692.585138888891</v>
      </c>
      <c r="B826" s="3" t="s">
        <v>1131</v>
      </c>
      <c r="C826" s="12" t="s">
        <v>393</v>
      </c>
      <c r="D826" s="12">
        <v>0</v>
      </c>
      <c r="E826" s="12">
        <v>5</v>
      </c>
      <c r="F826" s="3" t="s">
        <v>1142</v>
      </c>
    </row>
    <row r="827" spans="1:6" x14ac:dyDescent="0.25">
      <c r="A827" s="38">
        <v>43692.585243055553</v>
      </c>
      <c r="B827" s="3" t="s">
        <v>1141</v>
      </c>
      <c r="C827" s="12" t="s">
        <v>393</v>
      </c>
      <c r="D827" s="12">
        <v>0</v>
      </c>
      <c r="E827" s="12">
        <v>5</v>
      </c>
      <c r="F827" s="3" t="s">
        <v>1142</v>
      </c>
    </row>
    <row r="828" spans="1:6" x14ac:dyDescent="0.25">
      <c r="A828" s="38">
        <v>43692.585590277777</v>
      </c>
      <c r="B828" s="3" t="s">
        <v>1392</v>
      </c>
      <c r="C828" s="12" t="s">
        <v>308</v>
      </c>
      <c r="D828" s="12">
        <v>0</v>
      </c>
      <c r="E828" s="12" t="s">
        <v>308</v>
      </c>
      <c r="F828" s="3" t="s">
        <v>476</v>
      </c>
    </row>
    <row r="829" spans="1:6" x14ac:dyDescent="0.25">
      <c r="A829" s="38">
        <v>43692.585763888892</v>
      </c>
      <c r="B829" s="3" t="s">
        <v>1392</v>
      </c>
      <c r="C829" s="12" t="s">
        <v>393</v>
      </c>
      <c r="D829" s="12">
        <v>0</v>
      </c>
      <c r="E829" s="12">
        <v>5</v>
      </c>
      <c r="F829" s="3" t="s">
        <v>1142</v>
      </c>
    </row>
    <row r="830" spans="1:6" x14ac:dyDescent="0.25">
      <c r="A830" s="38">
        <v>43692.586226851854</v>
      </c>
      <c r="B830" s="3" t="s">
        <v>1393</v>
      </c>
      <c r="C830" s="12" t="s">
        <v>393</v>
      </c>
      <c r="D830" s="12">
        <v>0</v>
      </c>
      <c r="E830" s="12" t="s">
        <v>393</v>
      </c>
      <c r="F830" s="3" t="s">
        <v>476</v>
      </c>
    </row>
    <row r="831" spans="1:6" x14ac:dyDescent="0.25">
      <c r="A831" s="38">
        <v>43692.586284722223</v>
      </c>
      <c r="B831" s="3" t="s">
        <v>1395</v>
      </c>
      <c r="C831" s="12" t="s">
        <v>308</v>
      </c>
      <c r="D831" s="12">
        <v>0</v>
      </c>
      <c r="E831" s="12" t="s">
        <v>308</v>
      </c>
      <c r="F831" s="3" t="s">
        <v>476</v>
      </c>
    </row>
    <row r="832" spans="1:6" x14ac:dyDescent="0.25">
      <c r="A832" s="38">
        <v>43692.594039351854</v>
      </c>
      <c r="B832" s="3" t="s">
        <v>1393</v>
      </c>
      <c r="C832" s="12">
        <v>1</v>
      </c>
      <c r="D832" s="12">
        <v>5</v>
      </c>
      <c r="E832" s="12">
        <v>4</v>
      </c>
      <c r="F832" s="3" t="s">
        <v>1137</v>
      </c>
    </row>
    <row r="833" spans="1:6" x14ac:dyDescent="0.25">
      <c r="A833" s="38">
        <v>43692.594039351854</v>
      </c>
      <c r="B833" s="3" t="s">
        <v>1105</v>
      </c>
      <c r="C833" s="12">
        <v>19</v>
      </c>
      <c r="D833" s="12">
        <v>50</v>
      </c>
      <c r="E833" s="12">
        <v>31</v>
      </c>
      <c r="F833" s="3" t="s">
        <v>1137</v>
      </c>
    </row>
    <row r="834" spans="1:6" x14ac:dyDescent="0.25">
      <c r="A834" s="38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1137</v>
      </c>
    </row>
    <row r="835" spans="1:6" x14ac:dyDescent="0.25">
      <c r="A835" s="38">
        <v>43692.594039351854</v>
      </c>
      <c r="B835" s="3" t="s">
        <v>1187</v>
      </c>
      <c r="C835" s="12">
        <v>2</v>
      </c>
      <c r="D835" s="12">
        <v>4</v>
      </c>
      <c r="E835" s="12">
        <v>2</v>
      </c>
      <c r="F835" s="3" t="s">
        <v>1137</v>
      </c>
    </row>
    <row r="836" spans="1:6" x14ac:dyDescent="0.25">
      <c r="A836" s="38">
        <v>43692.594039351854</v>
      </c>
      <c r="B836" s="3" t="s">
        <v>536</v>
      </c>
      <c r="C836" s="12">
        <v>4</v>
      </c>
      <c r="D836" s="12">
        <v>10</v>
      </c>
      <c r="E836" s="12">
        <v>6</v>
      </c>
      <c r="F836" s="3" t="s">
        <v>1137</v>
      </c>
    </row>
    <row r="837" spans="1:6" x14ac:dyDescent="0.25">
      <c r="A837" s="38">
        <v>43692.594039351854</v>
      </c>
      <c r="B837" s="3" t="s">
        <v>1154</v>
      </c>
      <c r="C837" s="12">
        <v>1</v>
      </c>
      <c r="D837" s="12">
        <v>10</v>
      </c>
      <c r="E837" s="12">
        <v>9</v>
      </c>
      <c r="F837" s="3" t="s">
        <v>1137</v>
      </c>
    </row>
    <row r="838" spans="1:6" x14ac:dyDescent="0.25">
      <c r="A838" s="38">
        <v>43692.594039351854</v>
      </c>
      <c r="B838" s="3" t="s">
        <v>1056</v>
      </c>
      <c r="C838" s="12">
        <v>7</v>
      </c>
      <c r="D838" s="12">
        <v>100</v>
      </c>
      <c r="E838" s="12">
        <v>93</v>
      </c>
      <c r="F838" s="3" t="s">
        <v>1137</v>
      </c>
    </row>
    <row r="839" spans="1:6" x14ac:dyDescent="0.25">
      <c r="A839" s="38">
        <v>43692.594039351854</v>
      </c>
      <c r="B839" s="3" t="s">
        <v>268</v>
      </c>
      <c r="C839" s="12">
        <v>1</v>
      </c>
      <c r="D839" s="12">
        <v>4</v>
      </c>
      <c r="E839" s="12">
        <v>3</v>
      </c>
      <c r="F839" s="3" t="s">
        <v>1137</v>
      </c>
    </row>
    <row r="840" spans="1:6" x14ac:dyDescent="0.25">
      <c r="A840" s="38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1137</v>
      </c>
    </row>
    <row r="841" spans="1:6" x14ac:dyDescent="0.25">
      <c r="A841" s="38">
        <v>43692.594039351854</v>
      </c>
      <c r="B841" s="3" t="s">
        <v>300</v>
      </c>
      <c r="C841" s="12">
        <v>1</v>
      </c>
      <c r="D841" s="12">
        <v>9</v>
      </c>
      <c r="E841" s="12">
        <v>8</v>
      </c>
      <c r="F841" s="3" t="s">
        <v>1137</v>
      </c>
    </row>
    <row r="842" spans="1:6" x14ac:dyDescent="0.25">
      <c r="A842" s="38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1137</v>
      </c>
    </row>
    <row r="843" spans="1:6" x14ac:dyDescent="0.25">
      <c r="A843" s="38">
        <v>43692.594039351854</v>
      </c>
      <c r="B843" s="3" t="s">
        <v>540</v>
      </c>
      <c r="C843" s="12">
        <v>1</v>
      </c>
      <c r="D843" s="12">
        <v>10</v>
      </c>
      <c r="E843" s="12">
        <v>9</v>
      </c>
      <c r="F843" s="3" t="s">
        <v>1137</v>
      </c>
    </row>
    <row r="844" spans="1:6" x14ac:dyDescent="0.25">
      <c r="A844" s="38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1137</v>
      </c>
    </row>
    <row r="845" spans="1:6" x14ac:dyDescent="0.25">
      <c r="A845" s="38">
        <v>43692.594039351854</v>
      </c>
      <c r="B845" s="3" t="s">
        <v>1017</v>
      </c>
      <c r="C845" s="12">
        <v>1</v>
      </c>
      <c r="D845" s="12">
        <v>10</v>
      </c>
      <c r="E845" s="12">
        <v>9</v>
      </c>
      <c r="F845" s="3" t="s">
        <v>1137</v>
      </c>
    </row>
    <row r="846" spans="1:6" x14ac:dyDescent="0.25">
      <c r="A846" s="38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1137</v>
      </c>
    </row>
    <row r="847" spans="1:6" x14ac:dyDescent="0.25">
      <c r="A847" s="38">
        <v>43692.594050925924</v>
      </c>
      <c r="B847" s="3" t="s">
        <v>1026</v>
      </c>
      <c r="C847" s="12">
        <v>2</v>
      </c>
      <c r="D847" s="12">
        <v>10</v>
      </c>
      <c r="E847" s="12">
        <v>8</v>
      </c>
      <c r="F847" s="3" t="s">
        <v>1137</v>
      </c>
    </row>
    <row r="848" spans="1:6" x14ac:dyDescent="0.25">
      <c r="A848" s="38">
        <v>43692.594050925924</v>
      </c>
      <c r="B848" s="3" t="s">
        <v>1020</v>
      </c>
      <c r="C848" s="12">
        <v>1</v>
      </c>
      <c r="D848" s="12">
        <v>10</v>
      </c>
      <c r="E848" s="12">
        <v>9</v>
      </c>
      <c r="F848" s="3" t="s">
        <v>1137</v>
      </c>
    </row>
    <row r="849" spans="1:6" x14ac:dyDescent="0.25">
      <c r="A849" s="38">
        <v>43692.594050925924</v>
      </c>
      <c r="B849" s="3" t="s">
        <v>931</v>
      </c>
      <c r="C849" s="12">
        <v>1</v>
      </c>
      <c r="D849" s="12">
        <v>3</v>
      </c>
      <c r="E849" s="12">
        <v>2</v>
      </c>
      <c r="F849" s="3" t="s">
        <v>1137</v>
      </c>
    </row>
    <row r="850" spans="1:6" x14ac:dyDescent="0.25">
      <c r="A850" s="38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1137</v>
      </c>
    </row>
    <row r="851" spans="1:6" x14ac:dyDescent="0.25">
      <c r="A851" s="38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1137</v>
      </c>
    </row>
    <row r="852" spans="1:6" x14ac:dyDescent="0.25">
      <c r="A852" s="38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1137</v>
      </c>
    </row>
    <row r="853" spans="1:6" x14ac:dyDescent="0.25">
      <c r="A853" s="38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1137</v>
      </c>
    </row>
    <row r="854" spans="1:6" x14ac:dyDescent="0.25">
      <c r="A854" s="38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1137</v>
      </c>
    </row>
    <row r="855" spans="1:6" x14ac:dyDescent="0.25">
      <c r="A855" s="38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1137</v>
      </c>
    </row>
    <row r="856" spans="1:6" x14ac:dyDescent="0.25">
      <c r="A856" s="38">
        <v>43692.594050925924</v>
      </c>
      <c r="B856" s="3" t="s">
        <v>467</v>
      </c>
      <c r="C856" s="12">
        <v>1</v>
      </c>
      <c r="D856" s="12">
        <v>2</v>
      </c>
      <c r="E856" s="12">
        <v>1</v>
      </c>
      <c r="F856" s="3" t="s">
        <v>1137</v>
      </c>
    </row>
    <row r="857" spans="1:6" x14ac:dyDescent="0.25">
      <c r="A857" s="38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1137</v>
      </c>
    </row>
    <row r="858" spans="1:6" x14ac:dyDescent="0.25">
      <c r="A858" s="38">
        <v>43692.594050925924</v>
      </c>
      <c r="B858" s="3" t="s">
        <v>1126</v>
      </c>
      <c r="C858" s="12">
        <v>1</v>
      </c>
      <c r="D858" s="12">
        <v>3</v>
      </c>
      <c r="E858" s="12">
        <v>2</v>
      </c>
      <c r="F858" s="3" t="s">
        <v>1137</v>
      </c>
    </row>
    <row r="859" spans="1:6" x14ac:dyDescent="0.25">
      <c r="A859" s="38">
        <v>43692.594050925924</v>
      </c>
      <c r="B859" s="3" t="s">
        <v>1118</v>
      </c>
      <c r="C859" s="12">
        <v>1</v>
      </c>
      <c r="D859" s="12">
        <v>3</v>
      </c>
      <c r="E859" s="12">
        <v>2</v>
      </c>
      <c r="F859" s="3" t="s">
        <v>1137</v>
      </c>
    </row>
    <row r="860" spans="1:6" x14ac:dyDescent="0.25">
      <c r="A860" s="38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1137</v>
      </c>
    </row>
    <row r="861" spans="1:6" x14ac:dyDescent="0.25">
      <c r="A861" s="38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1137</v>
      </c>
    </row>
    <row r="862" spans="1:6" x14ac:dyDescent="0.25">
      <c r="A862" s="38">
        <v>43692.594050925924</v>
      </c>
      <c r="B862" s="3" t="s">
        <v>543</v>
      </c>
      <c r="C862" s="12">
        <v>0.30555555555555558</v>
      </c>
      <c r="D862" s="12">
        <v>3</v>
      </c>
      <c r="E862" s="12">
        <v>2.6944444444444446</v>
      </c>
      <c r="F862" s="3" t="s">
        <v>1137</v>
      </c>
    </row>
    <row r="863" spans="1:6" x14ac:dyDescent="0.25">
      <c r="A863" s="38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1137</v>
      </c>
    </row>
    <row r="864" spans="1:6" x14ac:dyDescent="0.25">
      <c r="A864" s="38">
        <v>43692.594699074078</v>
      </c>
      <c r="B864" s="3" t="s">
        <v>211</v>
      </c>
      <c r="C864" s="12" t="s">
        <v>339</v>
      </c>
      <c r="D864" s="12">
        <v>7</v>
      </c>
      <c r="E864" s="12">
        <v>8</v>
      </c>
      <c r="F864" s="3" t="s">
        <v>1399</v>
      </c>
    </row>
    <row r="865" spans="1:6" x14ac:dyDescent="0.25">
      <c r="A865" s="38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1399</v>
      </c>
    </row>
    <row r="866" spans="1:6" x14ac:dyDescent="0.25">
      <c r="A866" s="38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1400</v>
      </c>
    </row>
    <row r="867" spans="1:6" x14ac:dyDescent="0.25">
      <c r="A867" s="38">
        <v>43692.595937500002</v>
      </c>
      <c r="B867" s="3" t="s">
        <v>543</v>
      </c>
      <c r="C867" s="12">
        <v>-0.19444444444444445</v>
      </c>
      <c r="D867" s="12">
        <v>2.694</v>
      </c>
      <c r="E867" s="12">
        <v>2.5</v>
      </c>
      <c r="F867" s="3" t="s">
        <v>1401</v>
      </c>
    </row>
    <row r="868" spans="1:6" x14ac:dyDescent="0.25">
      <c r="A868" s="38">
        <v>43692.599178240744</v>
      </c>
      <c r="B868" s="3" t="s">
        <v>45</v>
      </c>
      <c r="C868" s="12" t="s">
        <v>339</v>
      </c>
      <c r="D868" s="12">
        <v>1</v>
      </c>
      <c r="E868" s="12">
        <v>2</v>
      </c>
      <c r="F868" s="3" t="s">
        <v>1402</v>
      </c>
    </row>
    <row r="869" spans="1:6" x14ac:dyDescent="0.25">
      <c r="A869" s="38">
        <v>43692.59952546296</v>
      </c>
      <c r="B869" s="3" t="s">
        <v>35</v>
      </c>
      <c r="C869" s="12" t="s">
        <v>1146</v>
      </c>
      <c r="D869" s="12">
        <v>0</v>
      </c>
      <c r="E869" s="12">
        <v>2</v>
      </c>
      <c r="F869" s="3" t="s">
        <v>1402</v>
      </c>
    </row>
    <row r="870" spans="1:6" x14ac:dyDescent="0.25">
      <c r="A870" s="38">
        <v>43692.612337962964</v>
      </c>
      <c r="B870" s="3" t="s">
        <v>1174</v>
      </c>
      <c r="C870" s="12">
        <v>4</v>
      </c>
      <c r="D870" s="12">
        <v>10</v>
      </c>
      <c r="E870" s="12">
        <v>6</v>
      </c>
      <c r="F870" s="3" t="s">
        <v>1186</v>
      </c>
    </row>
    <row r="871" spans="1:6" x14ac:dyDescent="0.25">
      <c r="A871" s="38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1186</v>
      </c>
    </row>
    <row r="872" spans="1:6" x14ac:dyDescent="0.25">
      <c r="A872" s="38">
        <v>43692.612337962964</v>
      </c>
      <c r="B872" s="3" t="s">
        <v>538</v>
      </c>
      <c r="C872" s="12">
        <v>1</v>
      </c>
      <c r="D872" s="12">
        <v>9</v>
      </c>
      <c r="E872" s="12">
        <v>8</v>
      </c>
      <c r="F872" s="3" t="s">
        <v>1186</v>
      </c>
    </row>
    <row r="873" spans="1:6" x14ac:dyDescent="0.25">
      <c r="A873" s="38">
        <v>43692.612337962964</v>
      </c>
      <c r="B873" s="3" t="s">
        <v>1154</v>
      </c>
      <c r="C873" s="12">
        <v>1</v>
      </c>
      <c r="D873" s="12">
        <v>9</v>
      </c>
      <c r="E873" s="12">
        <v>8</v>
      </c>
      <c r="F873" s="3" t="s">
        <v>1186</v>
      </c>
    </row>
    <row r="874" spans="1:6" x14ac:dyDescent="0.25">
      <c r="A874" s="38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1186</v>
      </c>
    </row>
    <row r="875" spans="1:6" x14ac:dyDescent="0.25">
      <c r="A875" s="38">
        <v>43692.612337962964</v>
      </c>
      <c r="B875" s="3" t="s">
        <v>536</v>
      </c>
      <c r="C875" s="12">
        <v>1</v>
      </c>
      <c r="D875" s="12">
        <v>6</v>
      </c>
      <c r="E875" s="12">
        <v>5</v>
      </c>
      <c r="F875" s="3" t="s">
        <v>1186</v>
      </c>
    </row>
    <row r="876" spans="1:6" x14ac:dyDescent="0.25">
      <c r="A876" s="38">
        <v>43692.612337962964</v>
      </c>
      <c r="B876" s="3" t="s">
        <v>537</v>
      </c>
      <c r="C876" s="12">
        <v>1</v>
      </c>
      <c r="D876" s="12">
        <v>18</v>
      </c>
      <c r="E876" s="12">
        <v>17</v>
      </c>
      <c r="F876" s="3" t="s">
        <v>1186</v>
      </c>
    </row>
    <row r="877" spans="1:6" x14ac:dyDescent="0.25">
      <c r="A877" s="38">
        <v>43692.612337962964</v>
      </c>
      <c r="B877" s="3" t="s">
        <v>1240</v>
      </c>
      <c r="C877" s="12">
        <v>1</v>
      </c>
      <c r="D877" s="12">
        <v>5</v>
      </c>
      <c r="E877" s="12">
        <v>4</v>
      </c>
      <c r="F877" s="3" t="s">
        <v>1186</v>
      </c>
    </row>
    <row r="878" spans="1:6" x14ac:dyDescent="0.25">
      <c r="A878" s="38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1186</v>
      </c>
    </row>
    <row r="879" spans="1:6" x14ac:dyDescent="0.25">
      <c r="A879" s="38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1186</v>
      </c>
    </row>
    <row r="880" spans="1:6" x14ac:dyDescent="0.25">
      <c r="A880" s="38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1186</v>
      </c>
    </row>
    <row r="881" spans="1:6" x14ac:dyDescent="0.25">
      <c r="A881" s="38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1186</v>
      </c>
    </row>
    <row r="882" spans="1:6" x14ac:dyDescent="0.25">
      <c r="A882" s="38">
        <v>43692.612349537034</v>
      </c>
      <c r="B882" s="3" t="s">
        <v>1219</v>
      </c>
      <c r="C882" s="12">
        <v>2</v>
      </c>
      <c r="D882" s="12">
        <v>10</v>
      </c>
      <c r="E882" s="12">
        <v>8</v>
      </c>
      <c r="F882" s="3" t="s">
        <v>1186</v>
      </c>
    </row>
    <row r="883" spans="1:6" x14ac:dyDescent="0.25">
      <c r="A883" s="38">
        <v>43692.612349537034</v>
      </c>
      <c r="B883" s="3" t="s">
        <v>1014</v>
      </c>
      <c r="C883" s="12">
        <v>1</v>
      </c>
      <c r="D883" s="12">
        <v>9</v>
      </c>
      <c r="E883" s="12">
        <v>8</v>
      </c>
      <c r="F883" s="3" t="s">
        <v>1186</v>
      </c>
    </row>
    <row r="884" spans="1:6" x14ac:dyDescent="0.25">
      <c r="A884" s="38">
        <v>43692.612349537034</v>
      </c>
      <c r="B884" s="3" t="s">
        <v>1002</v>
      </c>
      <c r="C884" s="12">
        <v>1</v>
      </c>
      <c r="D884" s="12">
        <v>8</v>
      </c>
      <c r="E884" s="12">
        <v>7</v>
      </c>
      <c r="F884" s="3" t="s">
        <v>1186</v>
      </c>
    </row>
    <row r="885" spans="1:6" x14ac:dyDescent="0.25">
      <c r="A885" s="38">
        <v>43692.612349537034</v>
      </c>
      <c r="B885" s="3" t="s">
        <v>1008</v>
      </c>
      <c r="C885" s="12">
        <v>2</v>
      </c>
      <c r="D885" s="12">
        <v>9</v>
      </c>
      <c r="E885" s="12">
        <v>7</v>
      </c>
      <c r="F885" s="3" t="s">
        <v>1186</v>
      </c>
    </row>
    <row r="886" spans="1:6" x14ac:dyDescent="0.25">
      <c r="A886" s="38">
        <v>43692.612349537034</v>
      </c>
      <c r="B886" s="3" t="s">
        <v>987</v>
      </c>
      <c r="C886" s="12">
        <v>2</v>
      </c>
      <c r="D886" s="12">
        <v>10</v>
      </c>
      <c r="E886" s="12">
        <v>8</v>
      </c>
      <c r="F886" s="3" t="s">
        <v>1186</v>
      </c>
    </row>
    <row r="887" spans="1:6" x14ac:dyDescent="0.25">
      <c r="A887" s="38">
        <v>43692.612349537034</v>
      </c>
      <c r="B887" s="3" t="s">
        <v>990</v>
      </c>
      <c r="C887" s="12">
        <v>3</v>
      </c>
      <c r="D887" s="12">
        <v>10</v>
      </c>
      <c r="E887" s="12">
        <v>7</v>
      </c>
      <c r="F887" s="3" t="s">
        <v>1186</v>
      </c>
    </row>
    <row r="888" spans="1:6" x14ac:dyDescent="0.25">
      <c r="A888" s="38">
        <v>43692.612349537034</v>
      </c>
      <c r="B888" s="3" t="s">
        <v>981</v>
      </c>
      <c r="C888" s="12">
        <v>1</v>
      </c>
      <c r="D888" s="12">
        <v>10</v>
      </c>
      <c r="E888" s="12">
        <v>9</v>
      </c>
      <c r="F888" s="3" t="s">
        <v>1186</v>
      </c>
    </row>
    <row r="889" spans="1:6" x14ac:dyDescent="0.25">
      <c r="A889" s="38">
        <v>43692.612349537034</v>
      </c>
      <c r="B889" s="3" t="s">
        <v>993</v>
      </c>
      <c r="C889" s="12">
        <v>10</v>
      </c>
      <c r="D889" s="12">
        <v>20</v>
      </c>
      <c r="E889" s="12">
        <v>10</v>
      </c>
      <c r="F889" s="3" t="s">
        <v>1186</v>
      </c>
    </row>
    <row r="890" spans="1:6" x14ac:dyDescent="0.25">
      <c r="A890" s="38">
        <v>43692.612349537034</v>
      </c>
      <c r="B890" s="3" t="s">
        <v>984</v>
      </c>
      <c r="C890" s="12">
        <v>2</v>
      </c>
      <c r="D890" s="12">
        <v>10</v>
      </c>
      <c r="E890" s="12">
        <v>8</v>
      </c>
      <c r="F890" s="3" t="s">
        <v>1186</v>
      </c>
    </row>
    <row r="891" spans="1:6" x14ac:dyDescent="0.25">
      <c r="A891" s="38">
        <v>43692.612349537034</v>
      </c>
      <c r="B891" s="3" t="s">
        <v>1023</v>
      </c>
      <c r="C891" s="12">
        <v>1</v>
      </c>
      <c r="D891" s="12">
        <v>10</v>
      </c>
      <c r="E891" s="12">
        <v>9</v>
      </c>
      <c r="F891" s="3" t="s">
        <v>1186</v>
      </c>
    </row>
    <row r="892" spans="1:6" x14ac:dyDescent="0.25">
      <c r="A892" s="38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1186</v>
      </c>
    </row>
    <row r="893" spans="1:6" x14ac:dyDescent="0.25">
      <c r="A893" s="38">
        <v>43692.612349537034</v>
      </c>
      <c r="B893" s="3" t="s">
        <v>467</v>
      </c>
      <c r="C893" s="12">
        <v>1</v>
      </c>
      <c r="D893" s="12">
        <v>1</v>
      </c>
      <c r="E893" s="12">
        <v>0</v>
      </c>
      <c r="F893" s="3" t="s">
        <v>1186</v>
      </c>
    </row>
    <row r="894" spans="1:6" x14ac:dyDescent="0.25">
      <c r="A894" s="38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1186</v>
      </c>
    </row>
    <row r="895" spans="1:6" x14ac:dyDescent="0.25">
      <c r="A895" s="38">
        <v>43692.612361111111</v>
      </c>
      <c r="B895" s="3" t="s">
        <v>1225</v>
      </c>
      <c r="C895" s="12">
        <v>1</v>
      </c>
      <c r="D895" s="12">
        <v>3</v>
      </c>
      <c r="E895" s="12">
        <v>2</v>
      </c>
      <c r="F895" s="3" t="s">
        <v>1186</v>
      </c>
    </row>
    <row r="896" spans="1:6" x14ac:dyDescent="0.25">
      <c r="A896" s="38">
        <v>43692.612361111111</v>
      </c>
      <c r="B896" s="3" t="s">
        <v>469</v>
      </c>
      <c r="C896" s="12">
        <v>1</v>
      </c>
      <c r="D896" s="12">
        <v>1</v>
      </c>
      <c r="E896" s="12">
        <v>0</v>
      </c>
      <c r="F896" s="3" t="s">
        <v>1186</v>
      </c>
    </row>
    <row r="897" spans="1:6" x14ac:dyDescent="0.25">
      <c r="A897" s="38">
        <v>43692.612361111111</v>
      </c>
      <c r="B897" s="3" t="s">
        <v>429</v>
      </c>
      <c r="C897" s="12">
        <v>0.63888888888888884</v>
      </c>
      <c r="D897" s="12">
        <v>2</v>
      </c>
      <c r="E897" s="12">
        <v>1.3611111111111112</v>
      </c>
      <c r="F897" s="3" t="s">
        <v>1186</v>
      </c>
    </row>
    <row r="898" spans="1:6" x14ac:dyDescent="0.25">
      <c r="A898" s="38">
        <v>43692.613125000003</v>
      </c>
      <c r="B898" s="3" t="s">
        <v>1392</v>
      </c>
      <c r="C898" s="12">
        <v>-1</v>
      </c>
      <c r="D898" s="12">
        <v>5</v>
      </c>
      <c r="E898" s="12">
        <v>4</v>
      </c>
      <c r="F898" s="3" t="s">
        <v>1186</v>
      </c>
    </row>
    <row r="899" spans="1:6" x14ac:dyDescent="0.25">
      <c r="A899" s="38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1209</v>
      </c>
    </row>
    <row r="900" spans="1:6" x14ac:dyDescent="0.25">
      <c r="A900" s="38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1209</v>
      </c>
    </row>
    <row r="901" spans="1:6" x14ac:dyDescent="0.25">
      <c r="A901" s="38">
        <v>43692.613819444443</v>
      </c>
      <c r="B901" s="3" t="s">
        <v>1002</v>
      </c>
      <c r="C901" s="12">
        <v>1</v>
      </c>
      <c r="D901" s="12">
        <v>7</v>
      </c>
      <c r="E901" s="12">
        <v>6</v>
      </c>
      <c r="F901" s="3" t="s">
        <v>1209</v>
      </c>
    </row>
    <row r="902" spans="1:6" x14ac:dyDescent="0.25">
      <c r="A902" s="38">
        <v>43692.613819444443</v>
      </c>
      <c r="B902" s="3" t="s">
        <v>972</v>
      </c>
      <c r="C902" s="12">
        <v>5</v>
      </c>
      <c r="D902" s="12">
        <v>95</v>
      </c>
      <c r="E902" s="12">
        <v>90</v>
      </c>
      <c r="F902" s="3" t="s">
        <v>1209</v>
      </c>
    </row>
    <row r="903" spans="1:6" x14ac:dyDescent="0.25">
      <c r="A903" s="38">
        <v>43692.613819444443</v>
      </c>
      <c r="B903" s="3" t="s">
        <v>990</v>
      </c>
      <c r="C903" s="12">
        <v>1</v>
      </c>
      <c r="D903" s="12">
        <v>7</v>
      </c>
      <c r="E903" s="12">
        <v>6</v>
      </c>
      <c r="F903" s="3" t="s">
        <v>1209</v>
      </c>
    </row>
    <row r="904" spans="1:6" x14ac:dyDescent="0.25">
      <c r="A904" s="38">
        <v>43692.613819444443</v>
      </c>
      <c r="B904" s="3" t="s">
        <v>1216</v>
      </c>
      <c r="C904" s="12">
        <v>1</v>
      </c>
      <c r="D904" s="12">
        <v>2</v>
      </c>
      <c r="E904" s="12">
        <v>1</v>
      </c>
      <c r="F904" s="3" t="s">
        <v>1209</v>
      </c>
    </row>
    <row r="905" spans="1:6" x14ac:dyDescent="0.25">
      <c r="A905" s="38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1209</v>
      </c>
    </row>
    <row r="906" spans="1:6" x14ac:dyDescent="0.25">
      <c r="A906" s="38">
        <v>43692.61383101852</v>
      </c>
      <c r="B906" s="3" t="s">
        <v>429</v>
      </c>
      <c r="C906" s="12">
        <v>0</v>
      </c>
      <c r="D906" s="12">
        <v>1.3611111111111112</v>
      </c>
      <c r="E906" s="12">
        <v>1.3611111111111112</v>
      </c>
      <c r="F906" s="3" t="s">
        <v>1209</v>
      </c>
    </row>
    <row r="907" spans="1:6" x14ac:dyDescent="0.25">
      <c r="A907" s="38">
        <v>43692.61383101852</v>
      </c>
      <c r="B907" s="3" t="s">
        <v>1100</v>
      </c>
      <c r="C907" s="12">
        <v>0.63888888888888884</v>
      </c>
      <c r="D907" s="12">
        <v>2</v>
      </c>
      <c r="E907" s="12">
        <v>1.3611111111111112</v>
      </c>
      <c r="F907" s="3" t="s">
        <v>1209</v>
      </c>
    </row>
    <row r="908" spans="1:6" x14ac:dyDescent="0.25">
      <c r="A908" s="38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364</v>
      </c>
    </row>
    <row r="909" spans="1:6" x14ac:dyDescent="0.25">
      <c r="A909" s="38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364</v>
      </c>
    </row>
    <row r="910" spans="1:6" x14ac:dyDescent="0.25">
      <c r="A910" s="38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364</v>
      </c>
    </row>
    <row r="911" spans="1:6" x14ac:dyDescent="0.25">
      <c r="A911" s="38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364</v>
      </c>
    </row>
    <row r="912" spans="1:6" x14ac:dyDescent="0.25">
      <c r="A912" s="38">
        <v>43692.621296296296</v>
      </c>
      <c r="B912" s="3" t="s">
        <v>469</v>
      </c>
      <c r="C912" s="12">
        <v>1</v>
      </c>
      <c r="D912" s="12">
        <v>0</v>
      </c>
      <c r="E912" s="12" t="s">
        <v>339</v>
      </c>
      <c r="F912" s="3" t="s">
        <v>1147</v>
      </c>
    </row>
    <row r="913" spans="1:6" x14ac:dyDescent="0.25">
      <c r="A913" s="38">
        <v>43692.621493055558</v>
      </c>
      <c r="B913" s="3" t="s">
        <v>469</v>
      </c>
      <c r="C913" s="12" t="s">
        <v>58</v>
      </c>
      <c r="D913" s="12" t="s">
        <v>58</v>
      </c>
      <c r="E913" s="12" t="s">
        <v>58</v>
      </c>
      <c r="F913" s="3" t="s">
        <v>364</v>
      </c>
    </row>
    <row r="914" spans="1:6" x14ac:dyDescent="0.25">
      <c r="A914" s="38">
        <v>43692.622002314813</v>
      </c>
      <c r="B914" s="3" t="s">
        <v>1388</v>
      </c>
      <c r="C914" s="12">
        <v>-1</v>
      </c>
      <c r="D914" s="12">
        <v>1</v>
      </c>
      <c r="E914" s="12" t="s">
        <v>308</v>
      </c>
      <c r="F914" s="3" t="s">
        <v>1147</v>
      </c>
    </row>
    <row r="915" spans="1:6" x14ac:dyDescent="0.25">
      <c r="A915" s="38">
        <v>43692.622754629629</v>
      </c>
      <c r="B915" s="3" t="s">
        <v>1126</v>
      </c>
      <c r="C915" s="12" t="s">
        <v>58</v>
      </c>
      <c r="D915" s="12" t="s">
        <v>58</v>
      </c>
      <c r="E915" s="12" t="s">
        <v>58</v>
      </c>
      <c r="F915" s="3" t="s">
        <v>364</v>
      </c>
    </row>
    <row r="916" spans="1:6" x14ac:dyDescent="0.25">
      <c r="A916" s="38">
        <v>43692.623437499999</v>
      </c>
      <c r="B916" s="3" t="s">
        <v>461</v>
      </c>
      <c r="C916" s="12" t="s">
        <v>58</v>
      </c>
      <c r="D916" s="12" t="s">
        <v>58</v>
      </c>
      <c r="E916" s="12" t="s">
        <v>58</v>
      </c>
      <c r="F916" s="3" t="s">
        <v>364</v>
      </c>
    </row>
    <row r="917" spans="1:6" x14ac:dyDescent="0.25">
      <c r="A917" s="38">
        <v>43692.623495370368</v>
      </c>
      <c r="B917" s="3" t="s">
        <v>1225</v>
      </c>
      <c r="C917" s="12" t="s">
        <v>58</v>
      </c>
      <c r="D917" s="12" t="s">
        <v>58</v>
      </c>
      <c r="E917" s="12" t="s">
        <v>58</v>
      </c>
      <c r="F917" s="3" t="s">
        <v>364</v>
      </c>
    </row>
    <row r="918" spans="1:6" x14ac:dyDescent="0.25">
      <c r="A918" s="38">
        <v>43692.623888888891</v>
      </c>
      <c r="B918" s="3" t="s">
        <v>1118</v>
      </c>
      <c r="C918" s="12" t="s">
        <v>58</v>
      </c>
      <c r="D918" s="12" t="s">
        <v>58</v>
      </c>
      <c r="E918" s="12" t="s">
        <v>58</v>
      </c>
      <c r="F918" s="3" t="s">
        <v>364</v>
      </c>
    </row>
    <row r="919" spans="1:6" x14ac:dyDescent="0.25">
      <c r="A919" s="38">
        <v>43692.624756944446</v>
      </c>
      <c r="B919" s="3" t="s">
        <v>1216</v>
      </c>
      <c r="C919" s="12" t="s">
        <v>58</v>
      </c>
      <c r="D919" s="12" t="s">
        <v>58</v>
      </c>
      <c r="E919" s="12" t="s">
        <v>58</v>
      </c>
      <c r="F919" s="3" t="s">
        <v>364</v>
      </c>
    </row>
    <row r="920" spans="1:6" x14ac:dyDescent="0.25">
      <c r="A920" s="38">
        <v>43692.625474537039</v>
      </c>
      <c r="B920" s="3" t="s">
        <v>464</v>
      </c>
      <c r="C920" s="12" t="s">
        <v>58</v>
      </c>
      <c r="D920" s="12" t="s">
        <v>58</v>
      </c>
      <c r="E920" s="12" t="s">
        <v>58</v>
      </c>
      <c r="F920" s="3" t="s">
        <v>364</v>
      </c>
    </row>
    <row r="921" spans="1:6" x14ac:dyDescent="0.25">
      <c r="A921" s="38">
        <v>43692.625763888886</v>
      </c>
      <c r="B921" s="3" t="s">
        <v>464</v>
      </c>
      <c r="C921" s="12" t="s">
        <v>58</v>
      </c>
      <c r="D921" s="12" t="s">
        <v>58</v>
      </c>
      <c r="E921" s="12" t="s">
        <v>58</v>
      </c>
      <c r="F921" s="3" t="s">
        <v>364</v>
      </c>
    </row>
    <row r="922" spans="1:6" x14ac:dyDescent="0.25">
      <c r="A922" s="38">
        <v>43692.627152777779</v>
      </c>
      <c r="B922" s="3" t="s">
        <v>472</v>
      </c>
      <c r="C922" s="12" t="s">
        <v>58</v>
      </c>
      <c r="D922" s="12" t="s">
        <v>58</v>
      </c>
      <c r="E922" s="12" t="s">
        <v>58</v>
      </c>
      <c r="F922" s="3" t="s">
        <v>364</v>
      </c>
    </row>
    <row r="923" spans="1:6" x14ac:dyDescent="0.25">
      <c r="A923" s="38">
        <v>43692.627627314818</v>
      </c>
      <c r="B923" s="3" t="s">
        <v>1240</v>
      </c>
      <c r="C923" s="12" t="s">
        <v>58</v>
      </c>
      <c r="D923" s="12" t="s">
        <v>58</v>
      </c>
      <c r="E923" s="12" t="s">
        <v>58</v>
      </c>
      <c r="F923" s="3" t="s">
        <v>364</v>
      </c>
    </row>
    <row r="924" spans="1:6" x14ac:dyDescent="0.25">
      <c r="A924" s="38">
        <v>43692.628449074073</v>
      </c>
      <c r="B924" s="3" t="s">
        <v>268</v>
      </c>
      <c r="C924" s="12" t="s">
        <v>58</v>
      </c>
      <c r="D924" s="12" t="s">
        <v>58</v>
      </c>
      <c r="E924" s="12" t="s">
        <v>58</v>
      </c>
      <c r="F924" s="3" t="s">
        <v>364</v>
      </c>
    </row>
    <row r="925" spans="1:6" x14ac:dyDescent="0.25">
      <c r="A925" s="38">
        <v>43692.628981481481</v>
      </c>
      <c r="B925" s="3" t="s">
        <v>990</v>
      </c>
      <c r="C925" s="12" t="s">
        <v>58</v>
      </c>
      <c r="D925" s="12" t="s">
        <v>58</v>
      </c>
      <c r="E925" s="12" t="s">
        <v>58</v>
      </c>
      <c r="F925" s="3" t="s">
        <v>364</v>
      </c>
    </row>
    <row r="926" spans="1:6" x14ac:dyDescent="0.25">
      <c r="A926" s="38">
        <v>43692.629374999997</v>
      </c>
      <c r="B926" s="3" t="s">
        <v>1002</v>
      </c>
      <c r="C926" s="12" t="s">
        <v>58</v>
      </c>
      <c r="D926" s="12" t="s">
        <v>58</v>
      </c>
      <c r="E926" s="12" t="s">
        <v>58</v>
      </c>
      <c r="F926" s="3" t="s">
        <v>364</v>
      </c>
    </row>
    <row r="927" spans="1:6" x14ac:dyDescent="0.25">
      <c r="A927" s="38">
        <v>43692.629780092589</v>
      </c>
      <c r="B927" s="3" t="s">
        <v>1002</v>
      </c>
      <c r="C927" s="12">
        <v>1</v>
      </c>
      <c r="D927" s="12">
        <v>6</v>
      </c>
      <c r="E927" s="12" t="s">
        <v>1420</v>
      </c>
      <c r="F927" s="3" t="s">
        <v>1147</v>
      </c>
    </row>
    <row r="928" spans="1:6" x14ac:dyDescent="0.25">
      <c r="A928" s="38">
        <v>43692.630046296297</v>
      </c>
      <c r="B928" s="3" t="s">
        <v>972</v>
      </c>
      <c r="C928" s="12" t="s">
        <v>58</v>
      </c>
      <c r="D928" s="12" t="s">
        <v>58</v>
      </c>
      <c r="E928" s="12" t="s">
        <v>58</v>
      </c>
      <c r="F928" s="3" t="s">
        <v>364</v>
      </c>
    </row>
    <row r="929" spans="1:6" x14ac:dyDescent="0.25">
      <c r="A929" s="38">
        <v>43692.631203703706</v>
      </c>
      <c r="B929" s="3" t="s">
        <v>984</v>
      </c>
      <c r="C929" s="12" t="s">
        <v>58</v>
      </c>
      <c r="D929" s="12" t="s">
        <v>58</v>
      </c>
      <c r="E929" s="12" t="s">
        <v>58</v>
      </c>
      <c r="F929" s="3" t="s">
        <v>364</v>
      </c>
    </row>
    <row r="930" spans="1:6" x14ac:dyDescent="0.25">
      <c r="A930" s="38">
        <v>43692.632326388892</v>
      </c>
      <c r="B930" s="3" t="s">
        <v>1023</v>
      </c>
      <c r="C930" s="12" t="s">
        <v>58</v>
      </c>
      <c r="D930" s="12" t="s">
        <v>58</v>
      </c>
      <c r="E930" s="12" t="s">
        <v>58</v>
      </c>
      <c r="F930" s="3" t="s">
        <v>364</v>
      </c>
    </row>
    <row r="931" spans="1:6" x14ac:dyDescent="0.25">
      <c r="A931" s="38">
        <v>43692.632523148146</v>
      </c>
      <c r="B931" s="3" t="s">
        <v>1023</v>
      </c>
      <c r="C931" s="12" t="s">
        <v>58</v>
      </c>
      <c r="D931" s="12" t="s">
        <v>58</v>
      </c>
      <c r="E931" s="12" t="s">
        <v>58</v>
      </c>
      <c r="F931" s="3" t="s">
        <v>364</v>
      </c>
    </row>
    <row r="932" spans="1:6" x14ac:dyDescent="0.25">
      <c r="A932" s="38">
        <v>43692.632870370369</v>
      </c>
      <c r="B932" s="3" t="s">
        <v>993</v>
      </c>
      <c r="C932" s="12" t="s">
        <v>58</v>
      </c>
      <c r="D932" s="12" t="s">
        <v>58</v>
      </c>
      <c r="E932" s="12" t="s">
        <v>58</v>
      </c>
      <c r="F932" s="3" t="s">
        <v>364</v>
      </c>
    </row>
    <row r="933" spans="1:6" x14ac:dyDescent="0.25">
      <c r="A933" s="38">
        <v>43692.632916666669</v>
      </c>
      <c r="B933" s="3" t="s">
        <v>993</v>
      </c>
      <c r="C933" s="12" t="s">
        <v>58</v>
      </c>
      <c r="D933" s="12" t="s">
        <v>58</v>
      </c>
      <c r="E933" s="12" t="s">
        <v>58</v>
      </c>
      <c r="F933" s="3" t="s">
        <v>364</v>
      </c>
    </row>
    <row r="934" spans="1:6" x14ac:dyDescent="0.25">
      <c r="A934" s="38">
        <v>43692.6330787037</v>
      </c>
      <c r="B934" s="3" t="s">
        <v>993</v>
      </c>
      <c r="C934" s="12">
        <v>10</v>
      </c>
      <c r="D934" s="12">
        <v>10</v>
      </c>
      <c r="E934" s="12" t="s">
        <v>1391</v>
      </c>
      <c r="F934" s="3" t="s">
        <v>1147</v>
      </c>
    </row>
    <row r="935" spans="1:6" x14ac:dyDescent="0.25">
      <c r="A935" s="38">
        <v>43692.633263888885</v>
      </c>
      <c r="B935" s="3" t="s">
        <v>993</v>
      </c>
      <c r="C935" s="12">
        <v>-10</v>
      </c>
      <c r="D935" s="12">
        <v>20</v>
      </c>
      <c r="E935" s="12" t="s">
        <v>394</v>
      </c>
      <c r="F935" s="3" t="s">
        <v>1147</v>
      </c>
    </row>
    <row r="936" spans="1:6" x14ac:dyDescent="0.25">
      <c r="A936" s="38">
        <v>43692.633750000001</v>
      </c>
      <c r="B936" s="3" t="s">
        <v>981</v>
      </c>
      <c r="C936" s="12" t="s">
        <v>58</v>
      </c>
      <c r="D936" s="12" t="s">
        <v>58</v>
      </c>
      <c r="E936" s="12" t="s">
        <v>58</v>
      </c>
      <c r="F936" s="3" t="s">
        <v>364</v>
      </c>
    </row>
    <row r="937" spans="1:6" x14ac:dyDescent="0.25">
      <c r="A937" s="38">
        <v>43692.634108796294</v>
      </c>
      <c r="B937" s="3" t="s">
        <v>1014</v>
      </c>
      <c r="C937" s="12" t="s">
        <v>58</v>
      </c>
      <c r="D937" s="12" t="s">
        <v>58</v>
      </c>
      <c r="E937" s="12" t="s">
        <v>58</v>
      </c>
      <c r="F937" s="3" t="s">
        <v>364</v>
      </c>
    </row>
    <row r="938" spans="1:6" x14ac:dyDescent="0.25">
      <c r="A938" s="38">
        <v>43692.634467592594</v>
      </c>
      <c r="B938" s="3" t="s">
        <v>1011</v>
      </c>
      <c r="C938" s="12" t="s">
        <v>58</v>
      </c>
      <c r="D938" s="12" t="s">
        <v>58</v>
      </c>
      <c r="E938" s="12" t="s">
        <v>58</v>
      </c>
      <c r="F938" s="3" t="s">
        <v>364</v>
      </c>
    </row>
    <row r="939" spans="1:6" x14ac:dyDescent="0.25">
      <c r="A939" s="38">
        <v>43692.634733796294</v>
      </c>
      <c r="B939" s="3" t="s">
        <v>1008</v>
      </c>
      <c r="C939" s="12" t="s">
        <v>58</v>
      </c>
      <c r="D939" s="12" t="s">
        <v>58</v>
      </c>
      <c r="E939" s="12" t="s">
        <v>58</v>
      </c>
      <c r="F939" s="3" t="s">
        <v>364</v>
      </c>
    </row>
    <row r="940" spans="1:6" x14ac:dyDescent="0.25">
      <c r="A940" s="38">
        <v>43692.635266203702</v>
      </c>
      <c r="B940" s="3" t="s">
        <v>987</v>
      </c>
      <c r="C940" s="12" t="s">
        <v>58</v>
      </c>
      <c r="D940" s="12" t="s">
        <v>58</v>
      </c>
      <c r="E940" s="12" t="s">
        <v>58</v>
      </c>
      <c r="F940" s="3" t="s">
        <v>364</v>
      </c>
    </row>
    <row r="941" spans="1:6" x14ac:dyDescent="0.25">
      <c r="A941" s="38">
        <v>43692.635844907411</v>
      </c>
      <c r="B941" s="3" t="s">
        <v>1085</v>
      </c>
      <c r="C941" s="12" t="s">
        <v>58</v>
      </c>
      <c r="D941" s="12" t="s">
        <v>58</v>
      </c>
      <c r="E941" s="12" t="s">
        <v>58</v>
      </c>
      <c r="F941" s="3" t="s">
        <v>364</v>
      </c>
    </row>
    <row r="942" spans="1:6" x14ac:dyDescent="0.25">
      <c r="A942" s="38">
        <v>43692.63690972222</v>
      </c>
      <c r="B942" s="3" t="s">
        <v>996</v>
      </c>
      <c r="C942" s="12" t="s">
        <v>58</v>
      </c>
      <c r="D942" s="12" t="s">
        <v>58</v>
      </c>
      <c r="E942" s="12" t="s">
        <v>58</v>
      </c>
      <c r="F942" s="3" t="s">
        <v>364</v>
      </c>
    </row>
    <row r="943" spans="1:6" x14ac:dyDescent="0.25">
      <c r="A943" s="38">
        <v>43692.637326388889</v>
      </c>
      <c r="B943" s="3" t="s">
        <v>1020</v>
      </c>
      <c r="C943" s="12" t="s">
        <v>58</v>
      </c>
      <c r="D943" s="12" t="s">
        <v>58</v>
      </c>
      <c r="E943" s="12" t="s">
        <v>58</v>
      </c>
      <c r="F943" s="3" t="s">
        <v>364</v>
      </c>
    </row>
    <row r="944" spans="1:6" x14ac:dyDescent="0.25">
      <c r="A944" s="38">
        <v>43692.638298611113</v>
      </c>
      <c r="B944" s="3" t="s">
        <v>713</v>
      </c>
      <c r="C944" s="12" t="s">
        <v>58</v>
      </c>
      <c r="D944" s="12" t="s">
        <v>58</v>
      </c>
      <c r="E944" s="12" t="s">
        <v>58</v>
      </c>
      <c r="F944" s="3" t="s">
        <v>364</v>
      </c>
    </row>
    <row r="945" spans="1:6" x14ac:dyDescent="0.25">
      <c r="A945" s="38">
        <v>43692.638958333337</v>
      </c>
      <c r="B945" s="3" t="s">
        <v>1026</v>
      </c>
      <c r="C945" s="12" t="s">
        <v>58</v>
      </c>
      <c r="D945" s="12" t="s">
        <v>58</v>
      </c>
      <c r="E945" s="12" t="s">
        <v>58</v>
      </c>
      <c r="F945" s="3" t="s">
        <v>364</v>
      </c>
    </row>
    <row r="946" spans="1:6" x14ac:dyDescent="0.25">
      <c r="A946" s="38">
        <v>43692.639236111114</v>
      </c>
      <c r="B946" s="3" t="s">
        <v>931</v>
      </c>
      <c r="C946" s="12" t="s">
        <v>58</v>
      </c>
      <c r="D946" s="12" t="s">
        <v>58</v>
      </c>
      <c r="E946" s="12" t="s">
        <v>58</v>
      </c>
      <c r="F946" s="3" t="s">
        <v>364</v>
      </c>
    </row>
    <row r="947" spans="1:6" x14ac:dyDescent="0.25">
      <c r="A947" s="38">
        <v>43692.639537037037</v>
      </c>
      <c r="B947" s="3" t="s">
        <v>540</v>
      </c>
      <c r="C947" s="12" t="s">
        <v>58</v>
      </c>
      <c r="D947" s="12" t="s">
        <v>58</v>
      </c>
      <c r="E947" s="12" t="s">
        <v>58</v>
      </c>
      <c r="F947" s="3" t="s">
        <v>364</v>
      </c>
    </row>
    <row r="948" spans="1:6" x14ac:dyDescent="0.25">
      <c r="A948" s="38">
        <v>43692.639907407407</v>
      </c>
      <c r="B948" s="3" t="s">
        <v>1017</v>
      </c>
      <c r="C948" s="12" t="s">
        <v>58</v>
      </c>
      <c r="D948" s="12" t="s">
        <v>58</v>
      </c>
      <c r="E948" s="12" t="s">
        <v>58</v>
      </c>
      <c r="F948" s="3" t="s">
        <v>364</v>
      </c>
    </row>
    <row r="949" spans="1:6" x14ac:dyDescent="0.25">
      <c r="A949" s="38">
        <v>43692.641527777778</v>
      </c>
      <c r="B949" s="3" t="s">
        <v>537</v>
      </c>
      <c r="C949" s="12" t="s">
        <v>58</v>
      </c>
      <c r="D949" s="12" t="s">
        <v>58</v>
      </c>
      <c r="E949" s="12" t="s">
        <v>58</v>
      </c>
      <c r="F949" s="3" t="s">
        <v>364</v>
      </c>
    </row>
    <row r="950" spans="1:6" x14ac:dyDescent="0.25">
      <c r="A950" s="38">
        <v>43692.641886574071</v>
      </c>
      <c r="B950" s="3" t="s">
        <v>1154</v>
      </c>
      <c r="C950" s="12" t="s">
        <v>58</v>
      </c>
      <c r="D950" s="12" t="s">
        <v>58</v>
      </c>
      <c r="E950" s="12" t="s">
        <v>58</v>
      </c>
      <c r="F950" s="3" t="s">
        <v>364</v>
      </c>
    </row>
    <row r="951" spans="1:6" x14ac:dyDescent="0.25">
      <c r="A951" s="38">
        <v>43692.64230324074</v>
      </c>
      <c r="B951" s="3" t="s">
        <v>536</v>
      </c>
      <c r="C951" s="12" t="s">
        <v>58</v>
      </c>
      <c r="D951" s="12" t="s">
        <v>58</v>
      </c>
      <c r="E951" s="12" t="s">
        <v>58</v>
      </c>
      <c r="F951" s="3" t="s">
        <v>364</v>
      </c>
    </row>
    <row r="952" spans="1:6" x14ac:dyDescent="0.25">
      <c r="A952" s="38">
        <v>43692.642546296294</v>
      </c>
      <c r="B952" s="3" t="s">
        <v>535</v>
      </c>
      <c r="C952" s="12" t="s">
        <v>58</v>
      </c>
      <c r="D952" s="12" t="s">
        <v>58</v>
      </c>
      <c r="E952" s="12" t="s">
        <v>58</v>
      </c>
      <c r="F952" s="3" t="s">
        <v>364</v>
      </c>
    </row>
    <row r="953" spans="1:6" x14ac:dyDescent="0.25">
      <c r="A953" s="38">
        <v>43692.642766203702</v>
      </c>
      <c r="B953" s="3" t="s">
        <v>535</v>
      </c>
      <c r="C953" s="12" t="s">
        <v>58</v>
      </c>
      <c r="D953" s="12" t="s">
        <v>58</v>
      </c>
      <c r="E953" s="12" t="s">
        <v>58</v>
      </c>
      <c r="F953" s="3" t="s">
        <v>364</v>
      </c>
    </row>
    <row r="954" spans="1:6" x14ac:dyDescent="0.25">
      <c r="A954" s="38">
        <v>43692.642974537041</v>
      </c>
      <c r="B954" s="3" t="s">
        <v>538</v>
      </c>
      <c r="C954" s="12" t="s">
        <v>58</v>
      </c>
      <c r="D954" s="12" t="s">
        <v>58</v>
      </c>
      <c r="E954" s="12" t="s">
        <v>58</v>
      </c>
      <c r="F954" s="3" t="s">
        <v>364</v>
      </c>
    </row>
    <row r="955" spans="1:6" x14ac:dyDescent="0.25">
      <c r="A955" s="38">
        <v>43692.648240740738</v>
      </c>
      <c r="B955" s="3" t="s">
        <v>144</v>
      </c>
      <c r="C955" s="12" t="s">
        <v>339</v>
      </c>
      <c r="D955" s="12">
        <v>0</v>
      </c>
      <c r="E955" s="12">
        <v>1</v>
      </c>
      <c r="F955" s="3" t="s">
        <v>1142</v>
      </c>
    </row>
    <row r="956" spans="1:6" x14ac:dyDescent="0.25">
      <c r="A956" s="38">
        <v>43692.648518518516</v>
      </c>
      <c r="B956" s="3" t="s">
        <v>70</v>
      </c>
      <c r="C956" s="12" t="s">
        <v>339</v>
      </c>
      <c r="D956" s="12">
        <v>0</v>
      </c>
      <c r="E956" s="12">
        <v>1</v>
      </c>
      <c r="F956" s="3" t="s">
        <v>1142</v>
      </c>
    </row>
    <row r="957" spans="1:6" x14ac:dyDescent="0.25">
      <c r="A957" s="38">
        <v>43692.652268518519</v>
      </c>
      <c r="B957" s="3" t="s">
        <v>1443</v>
      </c>
      <c r="C957" s="12"/>
      <c r="D957" s="12">
        <v>0</v>
      </c>
      <c r="E957" s="12"/>
      <c r="F957" s="3" t="s">
        <v>476</v>
      </c>
    </row>
    <row r="958" spans="1:6" x14ac:dyDescent="0.25">
      <c r="A958" s="38">
        <v>43692.663553240738</v>
      </c>
      <c r="B958" s="3" t="s">
        <v>1450</v>
      </c>
      <c r="C958" s="12" t="s">
        <v>308</v>
      </c>
      <c r="D958" s="12">
        <v>0</v>
      </c>
      <c r="E958" s="12" t="s">
        <v>308</v>
      </c>
      <c r="F958" s="3" t="s">
        <v>476</v>
      </c>
    </row>
    <row r="959" spans="1:6" x14ac:dyDescent="0.25">
      <c r="A959" s="38">
        <v>43692.669282407405</v>
      </c>
      <c r="B959" s="3" t="s">
        <v>1020</v>
      </c>
      <c r="C959" s="12" t="s">
        <v>308</v>
      </c>
      <c r="D959" s="12">
        <v>0</v>
      </c>
      <c r="E959" s="12" t="s">
        <v>308</v>
      </c>
      <c r="F959" s="3" t="s">
        <v>476</v>
      </c>
    </row>
    <row r="960" spans="1:6" x14ac:dyDescent="0.25">
      <c r="A960" s="38">
        <v>43692.669351851851</v>
      </c>
      <c r="B960" s="3" t="s">
        <v>1455</v>
      </c>
      <c r="C960" s="12" t="s">
        <v>308</v>
      </c>
      <c r="D960" s="12">
        <v>0</v>
      </c>
      <c r="E960" s="12" t="s">
        <v>308</v>
      </c>
      <c r="F960" s="3" t="s">
        <v>476</v>
      </c>
    </row>
    <row r="961" spans="1:6" x14ac:dyDescent="0.25">
      <c r="A961" s="38">
        <v>43692.669386574074</v>
      </c>
      <c r="B961" s="3" t="s">
        <v>1456</v>
      </c>
      <c r="C961" s="12" t="s">
        <v>308</v>
      </c>
      <c r="D961" s="12">
        <v>0</v>
      </c>
      <c r="E961" s="12" t="s">
        <v>308</v>
      </c>
      <c r="F961" s="3" t="s">
        <v>476</v>
      </c>
    </row>
    <row r="962" spans="1:6" x14ac:dyDescent="0.25">
      <c r="A962" s="38">
        <v>43692.683391203704</v>
      </c>
      <c r="B962" s="3" t="s">
        <v>1467</v>
      </c>
      <c r="C962" s="12" t="s">
        <v>968</v>
      </c>
      <c r="D962" s="12">
        <v>0</v>
      </c>
      <c r="E962" s="12" t="s">
        <v>968</v>
      </c>
      <c r="F962" s="3" t="s">
        <v>477</v>
      </c>
    </row>
    <row r="963" spans="1:6" x14ac:dyDescent="0.25">
      <c r="A963" s="38">
        <v>43692.683391203704</v>
      </c>
      <c r="B963" s="3" t="s">
        <v>1471</v>
      </c>
      <c r="C963" s="12" t="s">
        <v>968</v>
      </c>
      <c r="D963" s="12">
        <v>0</v>
      </c>
      <c r="E963" s="12" t="s">
        <v>968</v>
      </c>
      <c r="F963" s="3" t="s">
        <v>477</v>
      </c>
    </row>
    <row r="964" spans="1:6" x14ac:dyDescent="0.25">
      <c r="A964" s="38">
        <v>43692.68340277778</v>
      </c>
      <c r="B964" s="3" t="s">
        <v>1474</v>
      </c>
      <c r="C964" s="12" t="s">
        <v>968</v>
      </c>
      <c r="D964" s="12">
        <v>0</v>
      </c>
      <c r="E964" s="12" t="s">
        <v>968</v>
      </c>
      <c r="F964" s="3" t="s">
        <v>477</v>
      </c>
    </row>
    <row r="965" spans="1:6" x14ac:dyDescent="0.25">
      <c r="A965" s="38">
        <v>43692.68340277778</v>
      </c>
      <c r="B965" s="3" t="s">
        <v>1477</v>
      </c>
      <c r="C965" s="12" t="s">
        <v>968</v>
      </c>
      <c r="D965" s="12">
        <v>0</v>
      </c>
      <c r="E965" s="12" t="s">
        <v>968</v>
      </c>
      <c r="F965" s="3" t="s">
        <v>477</v>
      </c>
    </row>
    <row r="966" spans="1:6" x14ac:dyDescent="0.25">
      <c r="A966" s="38">
        <v>43692.68340277778</v>
      </c>
      <c r="B966" s="3" t="s">
        <v>1480</v>
      </c>
      <c r="C966" s="12" t="s">
        <v>968</v>
      </c>
      <c r="D966" s="12">
        <v>0</v>
      </c>
      <c r="E966" s="12" t="s">
        <v>968</v>
      </c>
      <c r="F966" s="3" t="s">
        <v>477</v>
      </c>
    </row>
    <row r="967" spans="1:6" x14ac:dyDescent="0.25">
      <c r="A967" s="38">
        <v>43692.68340277778</v>
      </c>
      <c r="B967" s="3" t="s">
        <v>1483</v>
      </c>
      <c r="C967" s="12" t="s">
        <v>968</v>
      </c>
      <c r="D967" s="12">
        <v>0</v>
      </c>
      <c r="E967" s="12" t="s">
        <v>968</v>
      </c>
      <c r="F967" s="3" t="s">
        <v>477</v>
      </c>
    </row>
    <row r="968" spans="1:6" x14ac:dyDescent="0.25">
      <c r="A968" s="38">
        <v>43692.68340277778</v>
      </c>
      <c r="B968" s="3" t="s">
        <v>1486</v>
      </c>
      <c r="C968" s="12" t="s">
        <v>968</v>
      </c>
      <c r="D968" s="12">
        <v>0</v>
      </c>
      <c r="E968" s="12" t="s">
        <v>968</v>
      </c>
      <c r="F968" s="3" t="s">
        <v>477</v>
      </c>
    </row>
    <row r="969" spans="1:6" x14ac:dyDescent="0.25">
      <c r="A969" s="38">
        <v>43692.68341435185</v>
      </c>
      <c r="B969" s="3" t="s">
        <v>1005</v>
      </c>
      <c r="C969" s="12" t="s">
        <v>968</v>
      </c>
      <c r="D969" s="12">
        <v>0</v>
      </c>
      <c r="E969" s="12" t="s">
        <v>968</v>
      </c>
      <c r="F969" s="3" t="s">
        <v>477</v>
      </c>
    </row>
    <row r="970" spans="1:6" x14ac:dyDescent="0.25">
      <c r="A970" s="38">
        <v>43692.68341435185</v>
      </c>
      <c r="B970" s="3" t="s">
        <v>1489</v>
      </c>
      <c r="C970" s="12" t="s">
        <v>968</v>
      </c>
      <c r="D970" s="12">
        <v>0</v>
      </c>
      <c r="E970" s="12" t="s">
        <v>968</v>
      </c>
      <c r="F970" s="3" t="s">
        <v>477</v>
      </c>
    </row>
    <row r="971" spans="1:6" x14ac:dyDescent="0.25">
      <c r="A971" s="38">
        <v>43692.68341435185</v>
      </c>
      <c r="B971" s="3" t="s">
        <v>1492</v>
      </c>
      <c r="C971" s="12" t="s">
        <v>968</v>
      </c>
      <c r="D971" s="12">
        <v>0</v>
      </c>
      <c r="E971" s="12" t="s">
        <v>968</v>
      </c>
      <c r="F971" s="3" t="s">
        <v>477</v>
      </c>
    </row>
    <row r="972" spans="1:6" x14ac:dyDescent="0.25">
      <c r="A972" s="38">
        <v>43692.68341435185</v>
      </c>
      <c r="B972" s="3" t="s">
        <v>1456</v>
      </c>
      <c r="C972" s="12" t="s">
        <v>968</v>
      </c>
      <c r="D972" s="12">
        <v>0</v>
      </c>
      <c r="E972" s="12" t="s">
        <v>968</v>
      </c>
      <c r="F972" s="3" t="s">
        <v>477</v>
      </c>
    </row>
    <row r="973" spans="1:6" x14ac:dyDescent="0.25">
      <c r="A973" s="38">
        <v>43692.683425925927</v>
      </c>
      <c r="B973" s="3" t="s">
        <v>1495</v>
      </c>
      <c r="C973" s="12" t="s">
        <v>968</v>
      </c>
      <c r="D973" s="12">
        <v>0</v>
      </c>
      <c r="E973" s="12" t="s">
        <v>968</v>
      </c>
      <c r="F973" s="3" t="s">
        <v>477</v>
      </c>
    </row>
    <row r="974" spans="1:6" x14ac:dyDescent="0.25">
      <c r="A974" s="38">
        <v>43692.683425925927</v>
      </c>
      <c r="B974" s="3" t="s">
        <v>1498</v>
      </c>
      <c r="C974" s="12" t="s">
        <v>968</v>
      </c>
      <c r="D974" s="12">
        <v>0</v>
      </c>
      <c r="E974" s="12" t="s">
        <v>968</v>
      </c>
      <c r="F974" s="3" t="s">
        <v>477</v>
      </c>
    </row>
    <row r="975" spans="1:6" x14ac:dyDescent="0.25">
      <c r="A975" s="38">
        <v>43692.683425925927</v>
      </c>
      <c r="B975" s="3" t="s">
        <v>1501</v>
      </c>
      <c r="C975" s="12" t="s">
        <v>968</v>
      </c>
      <c r="D975" s="12">
        <v>0</v>
      </c>
      <c r="E975" s="12" t="s">
        <v>968</v>
      </c>
      <c r="F975" s="3" t="s">
        <v>477</v>
      </c>
    </row>
    <row r="976" spans="1:6" x14ac:dyDescent="0.25">
      <c r="A976" s="38">
        <v>43692.683425925927</v>
      </c>
      <c r="B976" s="3" t="s">
        <v>1504</v>
      </c>
      <c r="C976" s="12" t="s">
        <v>968</v>
      </c>
      <c r="D976" s="12">
        <v>0</v>
      </c>
      <c r="E976" s="12" t="s">
        <v>968</v>
      </c>
      <c r="F976" s="3" t="s">
        <v>477</v>
      </c>
    </row>
    <row r="977" spans="1:6" x14ac:dyDescent="0.25">
      <c r="A977" s="38">
        <v>43692.683425925927</v>
      </c>
      <c r="B977" s="3" t="s">
        <v>1455</v>
      </c>
      <c r="C977" s="12" t="s">
        <v>968</v>
      </c>
      <c r="D977" s="12">
        <v>0</v>
      </c>
      <c r="E977" s="12" t="s">
        <v>968</v>
      </c>
      <c r="F977" s="3" t="s">
        <v>477</v>
      </c>
    </row>
    <row r="978" spans="1:6" x14ac:dyDescent="0.25">
      <c r="A978" s="38">
        <v>43692.683437500003</v>
      </c>
      <c r="B978" s="3" t="s">
        <v>1507</v>
      </c>
      <c r="C978" s="12" t="s">
        <v>968</v>
      </c>
      <c r="D978" s="12">
        <v>0</v>
      </c>
      <c r="E978" s="12" t="s">
        <v>968</v>
      </c>
      <c r="F978" s="3" t="s">
        <v>477</v>
      </c>
    </row>
    <row r="979" spans="1:6" x14ac:dyDescent="0.25">
      <c r="A979" s="38">
        <v>43692.683437500003</v>
      </c>
      <c r="B979" s="3" t="s">
        <v>1510</v>
      </c>
      <c r="C979" s="12" t="s">
        <v>968</v>
      </c>
      <c r="D979" s="12">
        <v>0</v>
      </c>
      <c r="E979" s="12" t="s">
        <v>968</v>
      </c>
      <c r="F979" s="3" t="s">
        <v>477</v>
      </c>
    </row>
    <row r="980" spans="1:6" x14ac:dyDescent="0.25">
      <c r="A980" s="38">
        <v>43692.683437500003</v>
      </c>
      <c r="B980" s="3" t="s">
        <v>1513</v>
      </c>
      <c r="C980" s="12" t="s">
        <v>968</v>
      </c>
      <c r="D980" s="12">
        <v>0</v>
      </c>
      <c r="E980" s="12" t="s">
        <v>968</v>
      </c>
      <c r="F980" s="3" t="s">
        <v>477</v>
      </c>
    </row>
    <row r="981" spans="1:6" x14ac:dyDescent="0.25">
      <c r="A981" s="38">
        <v>43692.683437500003</v>
      </c>
      <c r="B981" s="3" t="s">
        <v>1516</v>
      </c>
      <c r="C981" s="12" t="s">
        <v>968</v>
      </c>
      <c r="D981" s="12">
        <v>0</v>
      </c>
      <c r="E981" s="12" t="s">
        <v>968</v>
      </c>
      <c r="F981" s="3" t="s">
        <v>477</v>
      </c>
    </row>
    <row r="982" spans="1:6" x14ac:dyDescent="0.25">
      <c r="A982" s="38">
        <v>43692.683449074073</v>
      </c>
      <c r="B982" s="3" t="s">
        <v>996</v>
      </c>
      <c r="C982" s="12" t="s">
        <v>968</v>
      </c>
      <c r="D982" s="12">
        <v>0</v>
      </c>
      <c r="E982" s="12" t="s">
        <v>968</v>
      </c>
      <c r="F982" s="3" t="s">
        <v>477</v>
      </c>
    </row>
    <row r="983" spans="1:6" x14ac:dyDescent="0.25">
      <c r="A983" s="38">
        <v>43692.683449074073</v>
      </c>
      <c r="B983" s="3" t="s">
        <v>1519</v>
      </c>
      <c r="C983" s="12" t="s">
        <v>968</v>
      </c>
      <c r="D983" s="12">
        <v>0</v>
      </c>
      <c r="E983" s="12" t="s">
        <v>968</v>
      </c>
      <c r="F983" s="3" t="s">
        <v>477</v>
      </c>
    </row>
    <row r="984" spans="1:6" x14ac:dyDescent="0.25">
      <c r="A984" s="38">
        <v>43692.683449074073</v>
      </c>
      <c r="B984" s="3" t="s">
        <v>1522</v>
      </c>
      <c r="C984" s="12" t="s">
        <v>968</v>
      </c>
      <c r="D984" s="12">
        <v>0</v>
      </c>
      <c r="E984" s="12" t="s">
        <v>968</v>
      </c>
      <c r="F984" s="3" t="s">
        <v>477</v>
      </c>
    </row>
    <row r="985" spans="1:6" x14ac:dyDescent="0.25">
      <c r="A985" s="38">
        <v>43692.683449074073</v>
      </c>
      <c r="B985" s="3" t="s">
        <v>1525</v>
      </c>
      <c r="C985" s="12" t="s">
        <v>968</v>
      </c>
      <c r="D985" s="12">
        <v>0</v>
      </c>
      <c r="E985" s="12" t="s">
        <v>968</v>
      </c>
      <c r="F985" s="3" t="s">
        <v>477</v>
      </c>
    </row>
    <row r="986" spans="1:6" x14ac:dyDescent="0.25">
      <c r="A986" s="38">
        <v>43692.68346064815</v>
      </c>
      <c r="B986" s="3" t="s">
        <v>1528</v>
      </c>
      <c r="C986" s="12" t="s">
        <v>968</v>
      </c>
      <c r="D986" s="12">
        <v>0</v>
      </c>
      <c r="E986" s="12" t="s">
        <v>968</v>
      </c>
      <c r="F986" s="3" t="s">
        <v>477</v>
      </c>
    </row>
    <row r="987" spans="1:6" x14ac:dyDescent="0.25">
      <c r="A987" s="38">
        <v>43692.68346064815</v>
      </c>
      <c r="B987" s="3" t="s">
        <v>1593</v>
      </c>
      <c r="C987" s="12" t="s">
        <v>968</v>
      </c>
      <c r="D987" s="12">
        <v>0</v>
      </c>
      <c r="E987" s="12" t="s">
        <v>968</v>
      </c>
      <c r="F987" s="3" t="s">
        <v>477</v>
      </c>
    </row>
    <row r="988" spans="1:6" x14ac:dyDescent="0.25">
      <c r="A988" s="38">
        <v>43692.68346064815</v>
      </c>
      <c r="B988" s="3" t="s">
        <v>1597</v>
      </c>
      <c r="C988" s="12" t="s">
        <v>968</v>
      </c>
      <c r="D988" s="12">
        <v>0</v>
      </c>
      <c r="E988" s="12" t="s">
        <v>968</v>
      </c>
      <c r="F988" s="3" t="s">
        <v>477</v>
      </c>
    </row>
    <row r="989" spans="1:6" x14ac:dyDescent="0.25">
      <c r="A989" s="38">
        <v>43692.68346064815</v>
      </c>
      <c r="B989" s="3" t="s">
        <v>1601</v>
      </c>
      <c r="C989" s="12" t="s">
        <v>968</v>
      </c>
      <c r="D989" s="12">
        <v>0</v>
      </c>
      <c r="E989" s="12" t="s">
        <v>968</v>
      </c>
      <c r="F989" s="3" t="s">
        <v>477</v>
      </c>
    </row>
    <row r="990" spans="1:6" x14ac:dyDescent="0.25">
      <c r="A990" s="38">
        <v>43692.68346064815</v>
      </c>
      <c r="B990" s="3" t="s">
        <v>1605</v>
      </c>
      <c r="C990" s="12" t="s">
        <v>968</v>
      </c>
      <c r="D990" s="12">
        <v>0</v>
      </c>
      <c r="E990" s="12" t="s">
        <v>968</v>
      </c>
      <c r="F990" s="3" t="s">
        <v>477</v>
      </c>
    </row>
    <row r="991" spans="1:6" x14ac:dyDescent="0.25">
      <c r="A991" s="38">
        <v>43692.683472222219</v>
      </c>
      <c r="B991" s="3" t="s">
        <v>1609</v>
      </c>
      <c r="C991" s="12" t="s">
        <v>968</v>
      </c>
      <c r="D991" s="12">
        <v>0</v>
      </c>
      <c r="E991" s="12" t="s">
        <v>968</v>
      </c>
      <c r="F991" s="3" t="s">
        <v>477</v>
      </c>
    </row>
    <row r="992" spans="1:6" x14ac:dyDescent="0.25">
      <c r="A992" s="38">
        <v>43692.683472222219</v>
      </c>
      <c r="B992" s="3" t="s">
        <v>1613</v>
      </c>
      <c r="C992" s="12" t="s">
        <v>968</v>
      </c>
      <c r="D992" s="12">
        <v>0</v>
      </c>
      <c r="E992" s="12" t="s">
        <v>968</v>
      </c>
      <c r="F992" s="3" t="s">
        <v>477</v>
      </c>
    </row>
    <row r="993" spans="1:6" x14ac:dyDescent="0.25">
      <c r="A993" s="38">
        <v>43692.683472222219</v>
      </c>
      <c r="B993" s="3" t="s">
        <v>1617</v>
      </c>
      <c r="C993" s="12" t="s">
        <v>968</v>
      </c>
      <c r="D993" s="12">
        <v>0</v>
      </c>
      <c r="E993" s="12" t="s">
        <v>968</v>
      </c>
      <c r="F993" s="3" t="s">
        <v>477</v>
      </c>
    </row>
    <row r="994" spans="1:6" x14ac:dyDescent="0.25">
      <c r="A994" s="38">
        <v>43692.683472222219</v>
      </c>
      <c r="B994" s="3" t="s">
        <v>540</v>
      </c>
      <c r="C994" s="12" t="s">
        <v>968</v>
      </c>
      <c r="D994" s="12">
        <v>0</v>
      </c>
      <c r="E994" s="12" t="s">
        <v>968</v>
      </c>
      <c r="F994" s="3" t="s">
        <v>477</v>
      </c>
    </row>
    <row r="995" spans="1:6" x14ac:dyDescent="0.25">
      <c r="A995" s="38">
        <v>43692.683483796296</v>
      </c>
      <c r="B995" s="3" t="s">
        <v>1622</v>
      </c>
      <c r="C995" s="12" t="s">
        <v>968</v>
      </c>
      <c r="D995" s="12">
        <v>0</v>
      </c>
      <c r="E995" s="12" t="s">
        <v>968</v>
      </c>
      <c r="F995" s="3" t="s">
        <v>477</v>
      </c>
    </row>
    <row r="996" spans="1:6" x14ac:dyDescent="0.25">
      <c r="A996" s="38">
        <v>43692.683483796296</v>
      </c>
      <c r="B996" s="3" t="s">
        <v>1626</v>
      </c>
      <c r="C996" s="12" t="s">
        <v>968</v>
      </c>
      <c r="D996" s="12">
        <v>0</v>
      </c>
      <c r="E996" s="12" t="s">
        <v>968</v>
      </c>
      <c r="F996" s="3" t="s">
        <v>477</v>
      </c>
    </row>
    <row r="997" spans="1:6" x14ac:dyDescent="0.25">
      <c r="A997" s="38">
        <v>43692.683483796296</v>
      </c>
      <c r="B997" s="3" t="s">
        <v>1630</v>
      </c>
      <c r="C997" s="12" t="s">
        <v>968</v>
      </c>
      <c r="D997" s="12">
        <v>0</v>
      </c>
      <c r="E997" s="12" t="s">
        <v>968</v>
      </c>
      <c r="F997" s="3" t="s">
        <v>477</v>
      </c>
    </row>
    <row r="998" spans="1:6" x14ac:dyDescent="0.25">
      <c r="A998" s="38">
        <v>43692.683495370373</v>
      </c>
      <c r="B998" s="3" t="s">
        <v>1634</v>
      </c>
      <c r="C998" s="12" t="s">
        <v>968</v>
      </c>
      <c r="D998" s="12">
        <v>0</v>
      </c>
      <c r="E998" s="12" t="s">
        <v>968</v>
      </c>
      <c r="F998" s="3" t="s">
        <v>477</v>
      </c>
    </row>
    <row r="999" spans="1:6" x14ac:dyDescent="0.25">
      <c r="A999" s="38">
        <v>43692.683495370373</v>
      </c>
      <c r="B999" s="3" t="s">
        <v>1638</v>
      </c>
      <c r="C999" s="12" t="s">
        <v>968</v>
      </c>
      <c r="D999" s="12">
        <v>0</v>
      </c>
      <c r="E999" s="12" t="s">
        <v>968</v>
      </c>
      <c r="F999" s="3" t="s">
        <v>477</v>
      </c>
    </row>
    <row r="1000" spans="1:6" x14ac:dyDescent="0.25">
      <c r="A1000" s="38">
        <v>43692.683495370373</v>
      </c>
      <c r="B1000" s="3" t="s">
        <v>1642</v>
      </c>
      <c r="C1000" s="12" t="s">
        <v>968</v>
      </c>
      <c r="D1000" s="12">
        <v>0</v>
      </c>
      <c r="E1000" s="12" t="s">
        <v>968</v>
      </c>
      <c r="F1000" s="3" t="s">
        <v>477</v>
      </c>
    </row>
    <row r="1001" spans="1:6" x14ac:dyDescent="0.25">
      <c r="A1001" s="38">
        <v>43692.683495370373</v>
      </c>
      <c r="B1001" s="3" t="s">
        <v>1646</v>
      </c>
      <c r="C1001" s="12" t="s">
        <v>968</v>
      </c>
      <c r="D1001" s="12">
        <v>0</v>
      </c>
      <c r="E1001" s="12" t="s">
        <v>968</v>
      </c>
      <c r="F1001" s="3" t="s">
        <v>477</v>
      </c>
    </row>
    <row r="1002" spans="1:6" x14ac:dyDescent="0.25">
      <c r="A1002" s="38">
        <v>43692.683506944442</v>
      </c>
      <c r="B1002" s="3" t="s">
        <v>1650</v>
      </c>
      <c r="C1002" s="12" t="s">
        <v>968</v>
      </c>
      <c r="D1002" s="12">
        <v>0</v>
      </c>
      <c r="E1002" s="12" t="s">
        <v>968</v>
      </c>
      <c r="F1002" s="3" t="s">
        <v>477</v>
      </c>
    </row>
    <row r="1003" spans="1:6" x14ac:dyDescent="0.25">
      <c r="A1003" s="38">
        <v>43692.683506944442</v>
      </c>
      <c r="B1003" s="3" t="s">
        <v>1654</v>
      </c>
      <c r="C1003" s="12" t="s">
        <v>968</v>
      </c>
      <c r="D1003" s="12">
        <v>0</v>
      </c>
      <c r="E1003" s="12" t="s">
        <v>968</v>
      </c>
      <c r="F1003" s="3" t="s">
        <v>477</v>
      </c>
    </row>
    <row r="1004" spans="1:6" x14ac:dyDescent="0.25">
      <c r="A1004" s="38">
        <v>43692.683506944442</v>
      </c>
      <c r="B1004" s="3" t="s">
        <v>1658</v>
      </c>
      <c r="C1004" s="12" t="s">
        <v>968</v>
      </c>
      <c r="D1004" s="12">
        <v>0</v>
      </c>
      <c r="E1004" s="12" t="s">
        <v>968</v>
      </c>
      <c r="F1004" s="3" t="s">
        <v>477</v>
      </c>
    </row>
    <row r="1005" spans="1:6" x14ac:dyDescent="0.25">
      <c r="A1005" s="38">
        <v>43692.683506944442</v>
      </c>
      <c r="B1005" s="3" t="s">
        <v>1662</v>
      </c>
      <c r="C1005" s="12" t="s">
        <v>968</v>
      </c>
      <c r="D1005" s="12">
        <v>0</v>
      </c>
      <c r="E1005" s="12" t="s">
        <v>968</v>
      </c>
      <c r="F1005" s="3" t="s">
        <v>477</v>
      </c>
    </row>
    <row r="1006" spans="1:6" x14ac:dyDescent="0.25">
      <c r="A1006" s="38">
        <v>43692.683518518519</v>
      </c>
      <c r="B1006" s="3" t="s">
        <v>1666</v>
      </c>
      <c r="C1006" s="12" t="s">
        <v>968</v>
      </c>
      <c r="D1006" s="12">
        <v>0</v>
      </c>
      <c r="E1006" s="12" t="s">
        <v>968</v>
      </c>
      <c r="F1006" s="3" t="s">
        <v>477</v>
      </c>
    </row>
    <row r="1007" spans="1:6" x14ac:dyDescent="0.25">
      <c r="A1007" s="38">
        <v>43692.683518518519</v>
      </c>
      <c r="B1007" s="3" t="s">
        <v>1670</v>
      </c>
      <c r="C1007" s="12" t="s">
        <v>968</v>
      </c>
      <c r="D1007" s="12">
        <v>0</v>
      </c>
      <c r="E1007" s="12" t="s">
        <v>968</v>
      </c>
      <c r="F1007" s="3" t="s">
        <v>477</v>
      </c>
    </row>
    <row r="1008" spans="1:6" x14ac:dyDescent="0.25">
      <c r="A1008" s="38">
        <v>43692.683518518519</v>
      </c>
      <c r="B1008" s="3" t="s">
        <v>1674</v>
      </c>
      <c r="C1008" s="12" t="s">
        <v>968</v>
      </c>
      <c r="D1008" s="12">
        <v>0</v>
      </c>
      <c r="E1008" s="12" t="s">
        <v>968</v>
      </c>
      <c r="F1008" s="3" t="s">
        <v>477</v>
      </c>
    </row>
    <row r="1009" spans="1:6" x14ac:dyDescent="0.25">
      <c r="A1009" s="38">
        <v>43692.683518518519</v>
      </c>
      <c r="B1009" s="3" t="s">
        <v>1678</v>
      </c>
      <c r="C1009" s="12" t="s">
        <v>968</v>
      </c>
      <c r="D1009" s="12">
        <v>0</v>
      </c>
      <c r="E1009" s="12" t="s">
        <v>968</v>
      </c>
      <c r="F1009" s="3" t="s">
        <v>477</v>
      </c>
    </row>
    <row r="1010" spans="1:6" x14ac:dyDescent="0.25">
      <c r="A1010" s="38">
        <v>43692.683530092596</v>
      </c>
      <c r="B1010" s="3" t="s">
        <v>1026</v>
      </c>
      <c r="C1010" s="12" t="s">
        <v>968</v>
      </c>
      <c r="D1010" s="12">
        <v>0</v>
      </c>
      <c r="E1010" s="12" t="s">
        <v>968</v>
      </c>
      <c r="F1010" s="3" t="s">
        <v>477</v>
      </c>
    </row>
    <row r="1011" spans="1:6" x14ac:dyDescent="0.25">
      <c r="A1011" s="38">
        <v>43692.683530092596</v>
      </c>
      <c r="B1011" s="3" t="s">
        <v>1462</v>
      </c>
      <c r="C1011" s="12" t="s">
        <v>968</v>
      </c>
      <c r="D1011" s="12">
        <v>0</v>
      </c>
      <c r="E1011" s="12" t="s">
        <v>968</v>
      </c>
      <c r="F1011" s="3" t="s">
        <v>477</v>
      </c>
    </row>
    <row r="1012" spans="1:6" x14ac:dyDescent="0.25">
      <c r="A1012" s="38">
        <v>43692.683530092596</v>
      </c>
      <c r="B1012" s="3" t="s">
        <v>1684</v>
      </c>
      <c r="C1012" s="12" t="s">
        <v>968</v>
      </c>
      <c r="D1012" s="12">
        <v>0</v>
      </c>
      <c r="E1012" s="12" t="s">
        <v>968</v>
      </c>
      <c r="F1012" s="3" t="s">
        <v>477</v>
      </c>
    </row>
    <row r="1013" spans="1:6" x14ac:dyDescent="0.25">
      <c r="A1013" s="38">
        <v>43692.683530092596</v>
      </c>
      <c r="B1013" s="3" t="s">
        <v>1688</v>
      </c>
      <c r="C1013" s="12" t="s">
        <v>968</v>
      </c>
      <c r="D1013" s="12">
        <v>0</v>
      </c>
      <c r="E1013" s="12" t="s">
        <v>968</v>
      </c>
      <c r="F1013" s="3" t="s">
        <v>477</v>
      </c>
    </row>
    <row r="1014" spans="1:6" x14ac:dyDescent="0.25">
      <c r="A1014" s="38">
        <v>43692.683541666665</v>
      </c>
      <c r="B1014" s="3" t="s">
        <v>1017</v>
      </c>
      <c r="C1014" s="12" t="s">
        <v>968</v>
      </c>
      <c r="D1014" s="12">
        <v>0</v>
      </c>
      <c r="E1014" s="12" t="s">
        <v>968</v>
      </c>
      <c r="F1014" s="3" t="s">
        <v>477</v>
      </c>
    </row>
    <row r="1015" spans="1:6" x14ac:dyDescent="0.25">
      <c r="A1015" s="38">
        <v>43692.683541666665</v>
      </c>
      <c r="B1015" s="3" t="s">
        <v>1693</v>
      </c>
      <c r="C1015" s="12" t="s">
        <v>968</v>
      </c>
      <c r="D1015" s="12">
        <v>0</v>
      </c>
      <c r="E1015" s="12" t="s">
        <v>968</v>
      </c>
      <c r="F1015" s="3" t="s">
        <v>477</v>
      </c>
    </row>
    <row r="1016" spans="1:6" x14ac:dyDescent="0.25">
      <c r="A1016" s="38">
        <v>43692.683541666665</v>
      </c>
      <c r="B1016" s="3" t="s">
        <v>1697</v>
      </c>
      <c r="C1016" s="12" t="s">
        <v>968</v>
      </c>
      <c r="D1016" s="12">
        <v>0</v>
      </c>
      <c r="E1016" s="12" t="s">
        <v>968</v>
      </c>
      <c r="F1016" s="3" t="s">
        <v>477</v>
      </c>
    </row>
    <row r="1017" spans="1:6" x14ac:dyDescent="0.25">
      <c r="A1017" s="38">
        <v>43692.683541666665</v>
      </c>
      <c r="B1017" s="3" t="s">
        <v>1701</v>
      </c>
      <c r="C1017" s="12" t="s">
        <v>968</v>
      </c>
      <c r="D1017" s="12">
        <v>0</v>
      </c>
      <c r="E1017" s="12" t="s">
        <v>968</v>
      </c>
      <c r="F1017" s="3" t="s">
        <v>477</v>
      </c>
    </row>
    <row r="1018" spans="1:6" x14ac:dyDescent="0.25">
      <c r="A1018" s="38">
        <v>43692.683553240742</v>
      </c>
      <c r="B1018" s="3" t="s">
        <v>1705</v>
      </c>
      <c r="C1018" s="12" t="s">
        <v>968</v>
      </c>
      <c r="D1018" s="12">
        <v>0</v>
      </c>
      <c r="E1018" s="12" t="s">
        <v>968</v>
      </c>
      <c r="F1018" s="3" t="s">
        <v>477</v>
      </c>
    </row>
    <row r="1019" spans="1:6" x14ac:dyDescent="0.25">
      <c r="A1019" s="38">
        <v>43692.683553240742</v>
      </c>
      <c r="B1019" s="3" t="s">
        <v>1709</v>
      </c>
      <c r="C1019" s="12" t="s">
        <v>968</v>
      </c>
      <c r="D1019" s="12">
        <v>0</v>
      </c>
      <c r="E1019" s="12" t="s">
        <v>968</v>
      </c>
      <c r="F1019" s="3" t="s">
        <v>477</v>
      </c>
    </row>
    <row r="1020" spans="1:6" x14ac:dyDescent="0.25">
      <c r="A1020" s="38">
        <v>43692.683553240742</v>
      </c>
      <c r="B1020" s="3" t="s">
        <v>1713</v>
      </c>
      <c r="C1020" s="12" t="s">
        <v>968</v>
      </c>
      <c r="D1020" s="12">
        <v>0</v>
      </c>
      <c r="E1020" s="12" t="s">
        <v>968</v>
      </c>
      <c r="F1020" s="3" t="s">
        <v>477</v>
      </c>
    </row>
    <row r="1021" spans="1:6" x14ac:dyDescent="0.25">
      <c r="A1021" s="38">
        <v>43692.683553240742</v>
      </c>
      <c r="B1021" s="3" t="s">
        <v>1717</v>
      </c>
      <c r="C1021" s="12" t="s">
        <v>968</v>
      </c>
      <c r="D1021" s="12">
        <v>0</v>
      </c>
      <c r="E1021" s="12" t="s">
        <v>968</v>
      </c>
      <c r="F1021" s="3" t="s">
        <v>477</v>
      </c>
    </row>
    <row r="1022" spans="1:6" x14ac:dyDescent="0.25">
      <c r="A1022" s="38">
        <v>43692.683564814812</v>
      </c>
      <c r="B1022" s="3" t="s">
        <v>1721</v>
      </c>
      <c r="C1022" s="12" t="s">
        <v>968</v>
      </c>
      <c r="D1022" s="12">
        <v>0</v>
      </c>
      <c r="E1022" s="12" t="s">
        <v>968</v>
      </c>
      <c r="F1022" s="3" t="s">
        <v>477</v>
      </c>
    </row>
    <row r="1023" spans="1:6" x14ac:dyDescent="0.25">
      <c r="A1023" s="38">
        <v>43692.683564814812</v>
      </c>
      <c r="B1023" s="3" t="s">
        <v>1725</v>
      </c>
      <c r="C1023" s="12" t="s">
        <v>968</v>
      </c>
      <c r="D1023" s="12">
        <v>0</v>
      </c>
      <c r="E1023" s="12" t="s">
        <v>968</v>
      </c>
      <c r="F1023" s="3" t="s">
        <v>477</v>
      </c>
    </row>
    <row r="1024" spans="1:6" x14ac:dyDescent="0.25">
      <c r="A1024" s="38">
        <v>43692.683564814812</v>
      </c>
      <c r="B1024" s="3" t="s">
        <v>1729</v>
      </c>
      <c r="C1024" s="12" t="s">
        <v>968</v>
      </c>
      <c r="D1024" s="12">
        <v>0</v>
      </c>
      <c r="E1024" s="12" t="s">
        <v>968</v>
      </c>
      <c r="F1024" s="3" t="s">
        <v>477</v>
      </c>
    </row>
    <row r="1025" spans="1:6" x14ac:dyDescent="0.25">
      <c r="A1025" s="38">
        <v>43692.683564814812</v>
      </c>
      <c r="B1025" s="3" t="s">
        <v>1733</v>
      </c>
      <c r="C1025" s="12" t="s">
        <v>968</v>
      </c>
      <c r="D1025" s="12">
        <v>0</v>
      </c>
      <c r="E1025" s="12" t="s">
        <v>968</v>
      </c>
      <c r="F1025" s="3" t="s">
        <v>477</v>
      </c>
    </row>
    <row r="1026" spans="1:6" x14ac:dyDescent="0.25">
      <c r="A1026" s="38">
        <v>43692.683576388888</v>
      </c>
      <c r="B1026" s="3" t="s">
        <v>1737</v>
      </c>
      <c r="C1026" s="12" t="s">
        <v>968</v>
      </c>
      <c r="D1026" s="12">
        <v>0</v>
      </c>
      <c r="E1026" s="12" t="s">
        <v>968</v>
      </c>
      <c r="F1026" s="3" t="s">
        <v>477</v>
      </c>
    </row>
    <row r="1027" spans="1:6" x14ac:dyDescent="0.25">
      <c r="A1027" s="38">
        <v>43692.683576388888</v>
      </c>
      <c r="B1027" s="3" t="s">
        <v>1741</v>
      </c>
      <c r="C1027" s="12" t="s">
        <v>968</v>
      </c>
      <c r="D1027" s="12">
        <v>0</v>
      </c>
      <c r="E1027" s="12" t="s">
        <v>968</v>
      </c>
      <c r="F1027" s="3" t="s">
        <v>477</v>
      </c>
    </row>
    <row r="1028" spans="1:6" x14ac:dyDescent="0.25">
      <c r="A1028" s="38">
        <v>43692.683576388888</v>
      </c>
      <c r="B1028" s="3" t="s">
        <v>1745</v>
      </c>
      <c r="C1028" s="12" t="s">
        <v>968</v>
      </c>
      <c r="D1028" s="12">
        <v>0</v>
      </c>
      <c r="E1028" s="12" t="s">
        <v>968</v>
      </c>
      <c r="F1028" s="3" t="s">
        <v>477</v>
      </c>
    </row>
    <row r="1029" spans="1:6" x14ac:dyDescent="0.25">
      <c r="A1029" s="38">
        <v>43692.683576388888</v>
      </c>
      <c r="B1029" s="3" t="s">
        <v>1749</v>
      </c>
      <c r="C1029" s="12" t="s">
        <v>968</v>
      </c>
      <c r="D1029" s="12">
        <v>0</v>
      </c>
      <c r="E1029" s="12" t="s">
        <v>968</v>
      </c>
      <c r="F1029" s="3" t="s">
        <v>477</v>
      </c>
    </row>
    <row r="1030" spans="1:6" x14ac:dyDescent="0.25">
      <c r="A1030" s="38">
        <v>43692.683587962965</v>
      </c>
      <c r="B1030" s="3" t="s">
        <v>1753</v>
      </c>
      <c r="C1030" s="12" t="s">
        <v>968</v>
      </c>
      <c r="D1030" s="12">
        <v>0</v>
      </c>
      <c r="E1030" s="12" t="s">
        <v>968</v>
      </c>
      <c r="F1030" s="3" t="s">
        <v>477</v>
      </c>
    </row>
    <row r="1031" spans="1:6" x14ac:dyDescent="0.25">
      <c r="A1031" s="38">
        <v>43692.683587962965</v>
      </c>
      <c r="B1031" s="3" t="s">
        <v>1757</v>
      </c>
      <c r="C1031" s="12" t="s">
        <v>968</v>
      </c>
      <c r="D1031" s="12">
        <v>0</v>
      </c>
      <c r="E1031" s="12" t="s">
        <v>968</v>
      </c>
      <c r="F1031" s="3" t="s">
        <v>477</v>
      </c>
    </row>
    <row r="1032" spans="1:6" x14ac:dyDescent="0.25">
      <c r="A1032" s="38">
        <v>43692.683587962965</v>
      </c>
      <c r="B1032" s="3" t="s">
        <v>1761</v>
      </c>
      <c r="C1032" s="12" t="s">
        <v>968</v>
      </c>
      <c r="D1032" s="12">
        <v>0</v>
      </c>
      <c r="E1032" s="12" t="s">
        <v>968</v>
      </c>
      <c r="F1032" s="3" t="s">
        <v>477</v>
      </c>
    </row>
    <row r="1033" spans="1:6" x14ac:dyDescent="0.25">
      <c r="A1033" s="38">
        <v>43692.683587962965</v>
      </c>
      <c r="B1033" s="3" t="s">
        <v>1765</v>
      </c>
      <c r="C1033" s="12" t="s">
        <v>968</v>
      </c>
      <c r="D1033" s="12">
        <v>0</v>
      </c>
      <c r="E1033" s="12" t="s">
        <v>968</v>
      </c>
      <c r="F1033" s="3" t="s">
        <v>477</v>
      </c>
    </row>
    <row r="1034" spans="1:6" x14ac:dyDescent="0.25">
      <c r="A1034" s="38">
        <v>43692.683599537035</v>
      </c>
      <c r="B1034" s="3" t="s">
        <v>1769</v>
      </c>
      <c r="C1034" s="12" t="s">
        <v>968</v>
      </c>
      <c r="D1034" s="12">
        <v>0</v>
      </c>
      <c r="E1034" s="12" t="s">
        <v>968</v>
      </c>
      <c r="F1034" s="3" t="s">
        <v>477</v>
      </c>
    </row>
    <row r="1035" spans="1:6" x14ac:dyDescent="0.25">
      <c r="A1035" s="38">
        <v>43692.683599537035</v>
      </c>
      <c r="B1035" s="3" t="s">
        <v>1773</v>
      </c>
      <c r="C1035" s="12" t="s">
        <v>968</v>
      </c>
      <c r="D1035" s="12">
        <v>0</v>
      </c>
      <c r="E1035" s="12" t="s">
        <v>968</v>
      </c>
      <c r="F1035" s="3" t="s">
        <v>477</v>
      </c>
    </row>
    <row r="1036" spans="1:6" x14ac:dyDescent="0.25">
      <c r="A1036" s="38">
        <v>43692.683599537035</v>
      </c>
      <c r="B1036" s="3" t="s">
        <v>1777</v>
      </c>
      <c r="C1036" s="12" t="s">
        <v>968</v>
      </c>
      <c r="D1036" s="12">
        <v>0</v>
      </c>
      <c r="E1036" s="12" t="s">
        <v>968</v>
      </c>
      <c r="F1036" s="3" t="s">
        <v>477</v>
      </c>
    </row>
    <row r="1037" spans="1:6" x14ac:dyDescent="0.25">
      <c r="A1037" s="38">
        <v>43692.683599537035</v>
      </c>
      <c r="B1037" s="3" t="s">
        <v>1781</v>
      </c>
      <c r="C1037" s="12" t="s">
        <v>968</v>
      </c>
      <c r="D1037" s="12">
        <v>0</v>
      </c>
      <c r="E1037" s="12" t="s">
        <v>968</v>
      </c>
      <c r="F1037" s="3" t="s">
        <v>477</v>
      </c>
    </row>
    <row r="1038" spans="1:6" x14ac:dyDescent="0.25">
      <c r="A1038" s="38">
        <v>43692.683599537035</v>
      </c>
      <c r="B1038" s="3" t="s">
        <v>1785</v>
      </c>
      <c r="C1038" s="12" t="s">
        <v>968</v>
      </c>
      <c r="D1038" s="12">
        <v>0</v>
      </c>
      <c r="E1038" s="12" t="s">
        <v>968</v>
      </c>
      <c r="F1038" s="3" t="s">
        <v>477</v>
      </c>
    </row>
    <row r="1039" spans="1:6" x14ac:dyDescent="0.25">
      <c r="A1039" s="38">
        <v>43692.683611111112</v>
      </c>
      <c r="B1039" s="3" t="s">
        <v>1789</v>
      </c>
      <c r="C1039" s="12" t="s">
        <v>968</v>
      </c>
      <c r="D1039" s="12">
        <v>0</v>
      </c>
      <c r="E1039" s="12" t="s">
        <v>968</v>
      </c>
      <c r="F1039" s="3" t="s">
        <v>477</v>
      </c>
    </row>
    <row r="1040" spans="1:6" x14ac:dyDescent="0.25">
      <c r="A1040" s="38">
        <v>43692.683611111112</v>
      </c>
      <c r="B1040" s="3" t="s">
        <v>1793</v>
      </c>
      <c r="C1040" s="12" t="s">
        <v>968</v>
      </c>
      <c r="D1040" s="12">
        <v>0</v>
      </c>
      <c r="E1040" s="12" t="s">
        <v>968</v>
      </c>
      <c r="F1040" s="3" t="s">
        <v>477</v>
      </c>
    </row>
    <row r="1041" spans="1:6" x14ac:dyDescent="0.25">
      <c r="A1041" s="38">
        <v>43692.683611111112</v>
      </c>
      <c r="B1041" s="3" t="s">
        <v>1797</v>
      </c>
      <c r="C1041" s="12" t="s">
        <v>968</v>
      </c>
      <c r="D1041" s="12">
        <v>0</v>
      </c>
      <c r="E1041" s="12" t="s">
        <v>968</v>
      </c>
      <c r="F1041" s="3" t="s">
        <v>477</v>
      </c>
    </row>
    <row r="1042" spans="1:6" x14ac:dyDescent="0.25">
      <c r="A1042" s="38">
        <v>43692.683611111112</v>
      </c>
      <c r="B1042" s="3" t="s">
        <v>1801</v>
      </c>
      <c r="C1042" s="12" t="s">
        <v>968</v>
      </c>
      <c r="D1042" s="12">
        <v>0</v>
      </c>
      <c r="E1042" s="12" t="s">
        <v>968</v>
      </c>
      <c r="F1042" s="3" t="s">
        <v>477</v>
      </c>
    </row>
    <row r="1043" spans="1:6" x14ac:dyDescent="0.25">
      <c r="A1043" s="38">
        <v>43692.683622685188</v>
      </c>
      <c r="B1043" s="3" t="s">
        <v>1805</v>
      </c>
      <c r="C1043" s="12" t="s">
        <v>968</v>
      </c>
      <c r="D1043" s="12">
        <v>0</v>
      </c>
      <c r="E1043" s="12" t="s">
        <v>968</v>
      </c>
      <c r="F1043" s="3" t="s">
        <v>477</v>
      </c>
    </row>
    <row r="1044" spans="1:6" x14ac:dyDescent="0.25">
      <c r="A1044" s="38">
        <v>43692.683622685188</v>
      </c>
      <c r="B1044" s="3" t="s">
        <v>1809</v>
      </c>
      <c r="C1044" s="12" t="s">
        <v>968</v>
      </c>
      <c r="D1044" s="12">
        <v>0</v>
      </c>
      <c r="E1044" s="12" t="s">
        <v>968</v>
      </c>
      <c r="F1044" s="3" t="s">
        <v>477</v>
      </c>
    </row>
    <row r="1045" spans="1:6" x14ac:dyDescent="0.25">
      <c r="A1045" s="38">
        <v>43692.683622685188</v>
      </c>
      <c r="B1045" s="3" t="s">
        <v>1813</v>
      </c>
      <c r="C1045" s="12" t="s">
        <v>968</v>
      </c>
      <c r="D1045" s="12">
        <v>0</v>
      </c>
      <c r="E1045" s="12" t="s">
        <v>968</v>
      </c>
      <c r="F1045" s="3" t="s">
        <v>477</v>
      </c>
    </row>
    <row r="1046" spans="1:6" x14ac:dyDescent="0.25">
      <c r="A1046" s="38">
        <v>43692.683622685188</v>
      </c>
      <c r="B1046" s="3" t="s">
        <v>1817</v>
      </c>
      <c r="C1046" s="12" t="s">
        <v>968</v>
      </c>
      <c r="D1046" s="12">
        <v>0</v>
      </c>
      <c r="E1046" s="12" t="s">
        <v>968</v>
      </c>
      <c r="F1046" s="3" t="s">
        <v>477</v>
      </c>
    </row>
    <row r="1047" spans="1:6" x14ac:dyDescent="0.25">
      <c r="A1047" s="38">
        <v>43692.683634259258</v>
      </c>
      <c r="B1047" s="3" t="s">
        <v>1821</v>
      </c>
      <c r="C1047" s="12" t="s">
        <v>968</v>
      </c>
      <c r="D1047" s="12">
        <v>0</v>
      </c>
      <c r="E1047" s="12" t="s">
        <v>968</v>
      </c>
      <c r="F1047" s="3" t="s">
        <v>477</v>
      </c>
    </row>
    <row r="1048" spans="1:6" x14ac:dyDescent="0.25">
      <c r="A1048" s="38">
        <v>43692.683634259258</v>
      </c>
      <c r="B1048" s="3" t="s">
        <v>1825</v>
      </c>
      <c r="C1048" s="12" t="s">
        <v>968</v>
      </c>
      <c r="D1048" s="12">
        <v>0</v>
      </c>
      <c r="E1048" s="12" t="s">
        <v>968</v>
      </c>
      <c r="F1048" s="3" t="s">
        <v>477</v>
      </c>
    </row>
    <row r="1049" spans="1:6" x14ac:dyDescent="0.25">
      <c r="A1049" s="38">
        <v>43692.683634259258</v>
      </c>
      <c r="B1049" s="3" t="s">
        <v>1829</v>
      </c>
      <c r="C1049" s="12" t="s">
        <v>968</v>
      </c>
      <c r="D1049" s="12">
        <v>0</v>
      </c>
      <c r="E1049" s="12" t="s">
        <v>968</v>
      </c>
      <c r="F1049" s="3" t="s">
        <v>477</v>
      </c>
    </row>
    <row r="1050" spans="1:6" x14ac:dyDescent="0.25">
      <c r="A1050" s="38">
        <v>43692.683634259258</v>
      </c>
      <c r="B1050" s="3" t="s">
        <v>1833</v>
      </c>
      <c r="C1050" s="12" t="s">
        <v>968</v>
      </c>
      <c r="D1050" s="12">
        <v>0</v>
      </c>
      <c r="E1050" s="12" t="s">
        <v>968</v>
      </c>
      <c r="F1050" s="3" t="s">
        <v>477</v>
      </c>
    </row>
    <row r="1051" spans="1:6" x14ac:dyDescent="0.25">
      <c r="A1051" s="38">
        <v>43692.683645833335</v>
      </c>
      <c r="B1051" s="3" t="s">
        <v>1837</v>
      </c>
      <c r="C1051" s="12" t="s">
        <v>968</v>
      </c>
      <c r="D1051" s="12">
        <v>0</v>
      </c>
      <c r="E1051" s="12" t="s">
        <v>968</v>
      </c>
      <c r="F1051" s="3" t="s">
        <v>477</v>
      </c>
    </row>
    <row r="1052" spans="1:6" x14ac:dyDescent="0.25">
      <c r="A1052" s="38">
        <v>43692.683645833335</v>
      </c>
      <c r="B1052" s="3" t="s">
        <v>1841</v>
      </c>
      <c r="C1052" s="12" t="s">
        <v>968</v>
      </c>
      <c r="D1052" s="12">
        <v>0</v>
      </c>
      <c r="E1052" s="12" t="s">
        <v>968</v>
      </c>
      <c r="F1052" s="3" t="s">
        <v>477</v>
      </c>
    </row>
    <row r="1053" spans="1:6" x14ac:dyDescent="0.25">
      <c r="A1053" s="38">
        <v>43692.683645833335</v>
      </c>
      <c r="B1053" s="3" t="s">
        <v>1845</v>
      </c>
      <c r="C1053" s="12" t="s">
        <v>968</v>
      </c>
      <c r="D1053" s="12">
        <v>0</v>
      </c>
      <c r="E1053" s="12" t="s">
        <v>968</v>
      </c>
      <c r="F1053" s="3" t="s">
        <v>477</v>
      </c>
    </row>
    <row r="1054" spans="1:6" x14ac:dyDescent="0.25">
      <c r="A1054" s="38">
        <v>43692.683657407404</v>
      </c>
      <c r="B1054" s="3" t="s">
        <v>1849</v>
      </c>
      <c r="C1054" s="12" t="s">
        <v>968</v>
      </c>
      <c r="D1054" s="12">
        <v>0</v>
      </c>
      <c r="E1054" s="12" t="s">
        <v>968</v>
      </c>
      <c r="F1054" s="3" t="s">
        <v>477</v>
      </c>
    </row>
    <row r="1055" spans="1:6" x14ac:dyDescent="0.25">
      <c r="A1055" s="38">
        <v>43692.683657407404</v>
      </c>
      <c r="B1055" s="3" t="s">
        <v>1853</v>
      </c>
      <c r="C1055" s="12" t="s">
        <v>968</v>
      </c>
      <c r="D1055" s="12">
        <v>0</v>
      </c>
      <c r="E1055" s="12" t="s">
        <v>968</v>
      </c>
      <c r="F1055" s="3" t="s">
        <v>477</v>
      </c>
    </row>
    <row r="1056" spans="1:6" x14ac:dyDescent="0.25">
      <c r="A1056" s="38">
        <v>43692.683657407404</v>
      </c>
      <c r="B1056" s="3" t="s">
        <v>1857</v>
      </c>
      <c r="C1056" s="12" t="s">
        <v>968</v>
      </c>
      <c r="D1056" s="12">
        <v>0</v>
      </c>
      <c r="E1056" s="12" t="s">
        <v>968</v>
      </c>
      <c r="F1056" s="3" t="s">
        <v>477</v>
      </c>
    </row>
    <row r="1057" spans="1:6" x14ac:dyDescent="0.25">
      <c r="A1057" s="38">
        <v>43692.683657407404</v>
      </c>
      <c r="B1057" s="3" t="s">
        <v>1861</v>
      </c>
      <c r="C1057" s="12" t="s">
        <v>968</v>
      </c>
      <c r="D1057" s="12">
        <v>0</v>
      </c>
      <c r="E1057" s="12" t="s">
        <v>968</v>
      </c>
      <c r="F1057" s="3" t="s">
        <v>477</v>
      </c>
    </row>
    <row r="1058" spans="1:6" x14ac:dyDescent="0.25">
      <c r="A1058" s="38">
        <v>43692.683668981481</v>
      </c>
      <c r="B1058" s="3" t="s">
        <v>1865</v>
      </c>
      <c r="C1058" s="12" t="s">
        <v>968</v>
      </c>
      <c r="D1058" s="12">
        <v>0</v>
      </c>
      <c r="E1058" s="12" t="s">
        <v>968</v>
      </c>
      <c r="F1058" s="3" t="s">
        <v>477</v>
      </c>
    </row>
    <row r="1059" spans="1:6" x14ac:dyDescent="0.25">
      <c r="A1059" s="38">
        <v>43692.683668981481</v>
      </c>
      <c r="B1059" s="3" t="s">
        <v>1443</v>
      </c>
      <c r="C1059" s="12" t="s">
        <v>968</v>
      </c>
      <c r="D1059" s="12">
        <v>0</v>
      </c>
      <c r="E1059" s="12" t="s">
        <v>968</v>
      </c>
      <c r="F1059" s="3" t="s">
        <v>477</v>
      </c>
    </row>
    <row r="1060" spans="1:6" x14ac:dyDescent="0.25">
      <c r="A1060" s="38">
        <v>43692.683668981481</v>
      </c>
      <c r="B1060" s="3" t="s">
        <v>1870</v>
      </c>
      <c r="C1060" s="12" t="s">
        <v>968</v>
      </c>
      <c r="D1060" s="12">
        <v>0</v>
      </c>
      <c r="E1060" s="12" t="s">
        <v>968</v>
      </c>
      <c r="F1060" s="3" t="s">
        <v>477</v>
      </c>
    </row>
    <row r="1061" spans="1:6" x14ac:dyDescent="0.25">
      <c r="A1061" s="38">
        <v>43692.683668981481</v>
      </c>
      <c r="B1061" s="3" t="s">
        <v>1874</v>
      </c>
      <c r="C1061" s="12" t="s">
        <v>968</v>
      </c>
      <c r="D1061" s="12">
        <v>0</v>
      </c>
      <c r="E1061" s="12" t="s">
        <v>968</v>
      </c>
      <c r="F1061" s="3" t="s">
        <v>477</v>
      </c>
    </row>
    <row r="1062" spans="1:6" x14ac:dyDescent="0.25">
      <c r="A1062" s="38">
        <v>43692.683680555558</v>
      </c>
      <c r="B1062" s="3" t="s">
        <v>1878</v>
      </c>
      <c r="C1062" s="12" t="s">
        <v>968</v>
      </c>
      <c r="D1062" s="12">
        <v>0</v>
      </c>
      <c r="E1062" s="12" t="s">
        <v>968</v>
      </c>
      <c r="F1062" s="3" t="s">
        <v>477</v>
      </c>
    </row>
    <row r="1063" spans="1:6" x14ac:dyDescent="0.25">
      <c r="A1063" s="38">
        <v>43692.683680555558</v>
      </c>
      <c r="B1063" s="3" t="s">
        <v>1882</v>
      </c>
      <c r="C1063" s="12" t="s">
        <v>968</v>
      </c>
      <c r="D1063" s="12">
        <v>0</v>
      </c>
      <c r="E1063" s="12" t="s">
        <v>968</v>
      </c>
      <c r="F1063" s="3" t="s">
        <v>477</v>
      </c>
    </row>
    <row r="1064" spans="1:6" x14ac:dyDescent="0.25">
      <c r="A1064" s="38">
        <v>43692.683680555558</v>
      </c>
      <c r="B1064" s="3" t="s">
        <v>1886</v>
      </c>
      <c r="C1064" s="12" t="s">
        <v>968</v>
      </c>
      <c r="D1064" s="12">
        <v>0</v>
      </c>
      <c r="E1064" s="12" t="s">
        <v>968</v>
      </c>
      <c r="F1064" s="3" t="s">
        <v>477</v>
      </c>
    </row>
    <row r="1065" spans="1:6" x14ac:dyDescent="0.25">
      <c r="A1065" s="38">
        <v>43692.683680555558</v>
      </c>
      <c r="B1065" s="3" t="s">
        <v>1890</v>
      </c>
      <c r="C1065" s="12" t="s">
        <v>968</v>
      </c>
      <c r="D1065" s="12">
        <v>0</v>
      </c>
      <c r="E1065" s="12" t="s">
        <v>968</v>
      </c>
      <c r="F1065" s="3" t="s">
        <v>477</v>
      </c>
    </row>
    <row r="1066" spans="1:6" x14ac:dyDescent="0.25">
      <c r="A1066" s="38">
        <v>43692.683692129627</v>
      </c>
      <c r="B1066" s="3" t="s">
        <v>1894</v>
      </c>
      <c r="C1066" s="12" t="s">
        <v>968</v>
      </c>
      <c r="D1066" s="12">
        <v>0</v>
      </c>
      <c r="E1066" s="12" t="s">
        <v>968</v>
      </c>
      <c r="F1066" s="3" t="s">
        <v>477</v>
      </c>
    </row>
    <row r="1067" spans="1:6" x14ac:dyDescent="0.25">
      <c r="A1067" s="38">
        <v>43692.683692129627</v>
      </c>
      <c r="B1067" s="3" t="s">
        <v>1898</v>
      </c>
      <c r="C1067" s="12" t="s">
        <v>968</v>
      </c>
      <c r="D1067" s="12">
        <v>0</v>
      </c>
      <c r="E1067" s="12" t="s">
        <v>968</v>
      </c>
      <c r="F1067" s="3" t="s">
        <v>477</v>
      </c>
    </row>
    <row r="1068" spans="1:6" x14ac:dyDescent="0.25">
      <c r="A1068" s="38">
        <v>43692.683692129627</v>
      </c>
      <c r="B1068" s="3" t="s">
        <v>1902</v>
      </c>
      <c r="C1068" s="12" t="s">
        <v>968</v>
      </c>
      <c r="D1068" s="12">
        <v>0</v>
      </c>
      <c r="E1068" s="12" t="s">
        <v>968</v>
      </c>
      <c r="F1068" s="3" t="s">
        <v>477</v>
      </c>
    </row>
    <row r="1069" spans="1:6" x14ac:dyDescent="0.25">
      <c r="A1069" s="38">
        <v>43692.683703703704</v>
      </c>
      <c r="B1069" s="3" t="s">
        <v>1906</v>
      </c>
      <c r="C1069" s="12" t="s">
        <v>968</v>
      </c>
      <c r="D1069" s="12">
        <v>0</v>
      </c>
      <c r="E1069" s="12" t="s">
        <v>968</v>
      </c>
      <c r="F1069" s="3" t="s">
        <v>477</v>
      </c>
    </row>
    <row r="1070" spans="1:6" x14ac:dyDescent="0.25">
      <c r="A1070" s="38">
        <v>43692.683703703704</v>
      </c>
      <c r="B1070" s="3" t="s">
        <v>1910</v>
      </c>
      <c r="C1070" s="12" t="s">
        <v>968</v>
      </c>
      <c r="D1070" s="12">
        <v>0</v>
      </c>
      <c r="E1070" s="12" t="s">
        <v>968</v>
      </c>
      <c r="F1070" s="3" t="s">
        <v>477</v>
      </c>
    </row>
    <row r="1071" spans="1:6" x14ac:dyDescent="0.25">
      <c r="A1071" s="38">
        <v>43692.683703703704</v>
      </c>
      <c r="B1071" s="3" t="s">
        <v>1914</v>
      </c>
      <c r="C1071" s="12" t="s">
        <v>968</v>
      </c>
      <c r="D1071" s="12">
        <v>0</v>
      </c>
      <c r="E1071" s="12" t="s">
        <v>968</v>
      </c>
      <c r="F1071" s="3" t="s">
        <v>477</v>
      </c>
    </row>
    <row r="1072" spans="1:6" x14ac:dyDescent="0.25">
      <c r="A1072" s="38">
        <v>43692.683703703704</v>
      </c>
      <c r="B1072" s="3" t="s">
        <v>1918</v>
      </c>
      <c r="C1072" s="12" t="s">
        <v>968</v>
      </c>
      <c r="D1072" s="12">
        <v>0</v>
      </c>
      <c r="E1072" s="12" t="s">
        <v>968</v>
      </c>
      <c r="F1072" s="3" t="s">
        <v>477</v>
      </c>
    </row>
    <row r="1073" spans="1:6" x14ac:dyDescent="0.25">
      <c r="A1073" s="38">
        <v>43692.683715277781</v>
      </c>
      <c r="B1073" s="3" t="s">
        <v>1922</v>
      </c>
      <c r="C1073" s="12" t="s">
        <v>968</v>
      </c>
      <c r="D1073" s="12">
        <v>0</v>
      </c>
      <c r="E1073" s="12" t="s">
        <v>968</v>
      </c>
      <c r="F1073" s="3" t="s">
        <v>477</v>
      </c>
    </row>
    <row r="1074" spans="1:6" x14ac:dyDescent="0.25">
      <c r="A1074" s="38">
        <v>43692.683715277781</v>
      </c>
      <c r="B1074" s="3" t="s">
        <v>1926</v>
      </c>
      <c r="C1074" s="12" t="s">
        <v>968</v>
      </c>
      <c r="D1074" s="12">
        <v>0</v>
      </c>
      <c r="E1074" s="12" t="s">
        <v>968</v>
      </c>
      <c r="F1074" s="3" t="s">
        <v>477</v>
      </c>
    </row>
    <row r="1075" spans="1:6" x14ac:dyDescent="0.25">
      <c r="A1075" s="38">
        <v>43692.683715277781</v>
      </c>
      <c r="B1075" s="3" t="s">
        <v>1930</v>
      </c>
      <c r="C1075" s="12" t="s">
        <v>968</v>
      </c>
      <c r="D1075" s="12">
        <v>0</v>
      </c>
      <c r="E1075" s="12" t="s">
        <v>968</v>
      </c>
      <c r="F1075" s="3" t="s">
        <v>477</v>
      </c>
    </row>
    <row r="1076" spans="1:6" x14ac:dyDescent="0.25">
      <c r="A1076" s="38">
        <v>43692.683715277781</v>
      </c>
      <c r="B1076" s="3" t="s">
        <v>1934</v>
      </c>
      <c r="C1076" s="12" t="s">
        <v>968</v>
      </c>
      <c r="D1076" s="12">
        <v>0</v>
      </c>
      <c r="E1076" s="12" t="s">
        <v>968</v>
      </c>
      <c r="F1076" s="3" t="s">
        <v>477</v>
      </c>
    </row>
    <row r="1077" spans="1:6" x14ac:dyDescent="0.25">
      <c r="A1077" s="38">
        <v>43692.68372685185</v>
      </c>
      <c r="B1077" s="3" t="s">
        <v>1938</v>
      </c>
      <c r="C1077" s="12" t="s">
        <v>968</v>
      </c>
      <c r="D1077" s="12">
        <v>0</v>
      </c>
      <c r="E1077" s="12" t="s">
        <v>968</v>
      </c>
      <c r="F1077" s="3" t="s">
        <v>477</v>
      </c>
    </row>
    <row r="1078" spans="1:6" x14ac:dyDescent="0.25">
      <c r="A1078" s="38">
        <v>43692.68372685185</v>
      </c>
      <c r="B1078" s="3" t="s">
        <v>1942</v>
      </c>
      <c r="C1078" s="12" t="s">
        <v>968</v>
      </c>
      <c r="D1078" s="12">
        <v>0</v>
      </c>
      <c r="E1078" s="12" t="s">
        <v>968</v>
      </c>
      <c r="F1078" s="3" t="s">
        <v>477</v>
      </c>
    </row>
    <row r="1079" spans="1:6" x14ac:dyDescent="0.25">
      <c r="A1079" s="38">
        <v>43692.68372685185</v>
      </c>
      <c r="B1079" s="3" t="s">
        <v>1946</v>
      </c>
      <c r="C1079" s="12" t="s">
        <v>968</v>
      </c>
      <c r="D1079" s="12">
        <v>0</v>
      </c>
      <c r="E1079" s="12" t="s">
        <v>968</v>
      </c>
      <c r="F1079" s="3" t="s">
        <v>477</v>
      </c>
    </row>
    <row r="1080" spans="1:6" x14ac:dyDescent="0.25">
      <c r="A1080" s="38">
        <v>43692.68372685185</v>
      </c>
      <c r="B1080" s="3" t="s">
        <v>1950</v>
      </c>
      <c r="C1080" s="12" t="s">
        <v>968</v>
      </c>
      <c r="D1080" s="12">
        <v>0</v>
      </c>
      <c r="E1080" s="12" t="s">
        <v>968</v>
      </c>
      <c r="F1080" s="3" t="s">
        <v>477</v>
      </c>
    </row>
    <row r="1081" spans="1:6" x14ac:dyDescent="0.25">
      <c r="A1081" s="38">
        <v>43692.683738425927</v>
      </c>
      <c r="B1081" s="3" t="s">
        <v>1954</v>
      </c>
      <c r="C1081" s="12" t="s">
        <v>968</v>
      </c>
      <c r="D1081" s="12">
        <v>0</v>
      </c>
      <c r="E1081" s="12" t="s">
        <v>968</v>
      </c>
      <c r="F1081" s="3" t="s">
        <v>477</v>
      </c>
    </row>
    <row r="1082" spans="1:6" x14ac:dyDescent="0.25">
      <c r="A1082" s="38">
        <v>43692.683738425927</v>
      </c>
      <c r="B1082" s="3" t="s">
        <v>1958</v>
      </c>
      <c r="C1082" s="12" t="s">
        <v>968</v>
      </c>
      <c r="D1082" s="12">
        <v>0</v>
      </c>
      <c r="E1082" s="12" t="s">
        <v>968</v>
      </c>
      <c r="F1082" s="3" t="s">
        <v>477</v>
      </c>
    </row>
    <row r="1083" spans="1:6" x14ac:dyDescent="0.25">
      <c r="A1083" s="38">
        <v>43692.683738425927</v>
      </c>
      <c r="B1083" s="3" t="s">
        <v>1962</v>
      </c>
      <c r="C1083" s="12" t="s">
        <v>968</v>
      </c>
      <c r="D1083" s="12">
        <v>0</v>
      </c>
      <c r="E1083" s="12" t="s">
        <v>968</v>
      </c>
      <c r="F1083" s="3" t="s">
        <v>477</v>
      </c>
    </row>
    <row r="1084" spans="1:6" x14ac:dyDescent="0.25">
      <c r="A1084" s="38">
        <v>43692.683749999997</v>
      </c>
      <c r="B1084" s="3" t="s">
        <v>1966</v>
      </c>
      <c r="C1084" s="12" t="s">
        <v>968</v>
      </c>
      <c r="D1084" s="12">
        <v>0</v>
      </c>
      <c r="E1084" s="12" t="s">
        <v>968</v>
      </c>
      <c r="F1084" s="3" t="s">
        <v>477</v>
      </c>
    </row>
    <row r="1085" spans="1:6" x14ac:dyDescent="0.25">
      <c r="A1085" s="38">
        <v>43692.683749999997</v>
      </c>
      <c r="B1085" s="3" t="s">
        <v>1970</v>
      </c>
      <c r="C1085" s="12" t="s">
        <v>968</v>
      </c>
      <c r="D1085" s="12">
        <v>0</v>
      </c>
      <c r="E1085" s="12" t="s">
        <v>968</v>
      </c>
      <c r="F1085" s="3" t="s">
        <v>477</v>
      </c>
    </row>
    <row r="1086" spans="1:6" x14ac:dyDescent="0.25">
      <c r="A1086" s="38">
        <v>43692.683749999997</v>
      </c>
      <c r="B1086" s="3" t="s">
        <v>1974</v>
      </c>
      <c r="C1086" s="12" t="s">
        <v>968</v>
      </c>
      <c r="D1086" s="12">
        <v>0</v>
      </c>
      <c r="E1086" s="12" t="s">
        <v>968</v>
      </c>
      <c r="F1086" s="3" t="s">
        <v>477</v>
      </c>
    </row>
    <row r="1087" spans="1:6" x14ac:dyDescent="0.25">
      <c r="A1087" s="38">
        <v>43692.683749999997</v>
      </c>
      <c r="B1087" s="3" t="s">
        <v>1978</v>
      </c>
      <c r="C1087" s="12" t="s">
        <v>968</v>
      </c>
      <c r="D1087" s="12">
        <v>0</v>
      </c>
      <c r="E1087" s="12" t="s">
        <v>968</v>
      </c>
      <c r="F1087" s="3" t="s">
        <v>477</v>
      </c>
    </row>
    <row r="1088" spans="1:6" x14ac:dyDescent="0.25">
      <c r="A1088" s="38">
        <v>43692.683761574073</v>
      </c>
      <c r="B1088" s="3" t="s">
        <v>1982</v>
      </c>
      <c r="C1088" s="12" t="s">
        <v>968</v>
      </c>
      <c r="D1088" s="12">
        <v>0</v>
      </c>
      <c r="E1088" s="12" t="s">
        <v>968</v>
      </c>
      <c r="F1088" s="3" t="s">
        <v>477</v>
      </c>
    </row>
    <row r="1089" spans="1:6" x14ac:dyDescent="0.25">
      <c r="A1089" s="38">
        <v>43692.683761574073</v>
      </c>
      <c r="B1089" s="3" t="s">
        <v>1986</v>
      </c>
      <c r="C1089" s="12" t="s">
        <v>968</v>
      </c>
      <c r="D1089" s="12">
        <v>0</v>
      </c>
      <c r="E1089" s="12" t="s">
        <v>968</v>
      </c>
      <c r="F1089" s="3" t="s">
        <v>477</v>
      </c>
    </row>
    <row r="1090" spans="1:6" x14ac:dyDescent="0.25">
      <c r="A1090" s="38">
        <v>43692.683761574073</v>
      </c>
      <c r="B1090" s="3" t="s">
        <v>1990</v>
      </c>
      <c r="C1090" s="12" t="s">
        <v>968</v>
      </c>
      <c r="D1090" s="12">
        <v>0</v>
      </c>
      <c r="E1090" s="12" t="s">
        <v>968</v>
      </c>
      <c r="F1090" s="3" t="s">
        <v>477</v>
      </c>
    </row>
    <row r="1091" spans="1:6" x14ac:dyDescent="0.25">
      <c r="A1091" s="38">
        <v>43692.683761574073</v>
      </c>
      <c r="B1091" s="3" t="s">
        <v>1994</v>
      </c>
      <c r="C1091" s="12" t="s">
        <v>968</v>
      </c>
      <c r="D1091" s="12">
        <v>0</v>
      </c>
      <c r="E1091" s="12" t="s">
        <v>968</v>
      </c>
      <c r="F1091" s="3" t="s">
        <v>477</v>
      </c>
    </row>
    <row r="1092" spans="1:6" x14ac:dyDescent="0.25">
      <c r="A1092" s="38">
        <v>43692.68377314815</v>
      </c>
      <c r="B1092" s="3" t="s">
        <v>1998</v>
      </c>
      <c r="C1092" s="12" t="s">
        <v>968</v>
      </c>
      <c r="D1092" s="12">
        <v>0</v>
      </c>
      <c r="E1092" s="12" t="s">
        <v>968</v>
      </c>
      <c r="F1092" s="3" t="s">
        <v>477</v>
      </c>
    </row>
    <row r="1093" spans="1:6" x14ac:dyDescent="0.25">
      <c r="A1093" s="38">
        <v>43692.68377314815</v>
      </c>
      <c r="B1093" s="3" t="s">
        <v>2002</v>
      </c>
      <c r="C1093" s="12" t="s">
        <v>968</v>
      </c>
      <c r="D1093" s="12">
        <v>0</v>
      </c>
      <c r="E1093" s="12" t="s">
        <v>968</v>
      </c>
      <c r="F1093" s="3" t="s">
        <v>477</v>
      </c>
    </row>
    <row r="1094" spans="1:6" x14ac:dyDescent="0.25">
      <c r="A1094" s="38">
        <v>43692.68377314815</v>
      </c>
      <c r="B1094" s="3" t="s">
        <v>2006</v>
      </c>
      <c r="C1094" s="12" t="s">
        <v>968</v>
      </c>
      <c r="D1094" s="12">
        <v>0</v>
      </c>
      <c r="E1094" s="12" t="s">
        <v>968</v>
      </c>
      <c r="F1094" s="3" t="s">
        <v>477</v>
      </c>
    </row>
    <row r="1095" spans="1:6" x14ac:dyDescent="0.25">
      <c r="A1095" s="38">
        <v>43692.68378472222</v>
      </c>
      <c r="B1095" s="3" t="s">
        <v>2010</v>
      </c>
      <c r="C1095" s="12" t="s">
        <v>968</v>
      </c>
      <c r="D1095" s="12">
        <v>0</v>
      </c>
      <c r="E1095" s="12" t="s">
        <v>968</v>
      </c>
      <c r="F1095" s="3" t="s">
        <v>477</v>
      </c>
    </row>
    <row r="1096" spans="1:6" x14ac:dyDescent="0.25">
      <c r="A1096" s="38">
        <v>43692.68378472222</v>
      </c>
      <c r="B1096" s="3" t="s">
        <v>2014</v>
      </c>
      <c r="C1096" s="12" t="s">
        <v>968</v>
      </c>
      <c r="D1096" s="12">
        <v>0</v>
      </c>
      <c r="E1096" s="12" t="s">
        <v>968</v>
      </c>
      <c r="F1096" s="3" t="s">
        <v>477</v>
      </c>
    </row>
    <row r="1097" spans="1:6" x14ac:dyDescent="0.25">
      <c r="A1097" s="38">
        <v>43692.68378472222</v>
      </c>
      <c r="B1097" s="3" t="s">
        <v>2018</v>
      </c>
      <c r="C1097" s="12" t="s">
        <v>968</v>
      </c>
      <c r="D1097" s="12">
        <v>0</v>
      </c>
      <c r="E1097" s="12" t="s">
        <v>968</v>
      </c>
      <c r="F1097" s="3" t="s">
        <v>477</v>
      </c>
    </row>
    <row r="1098" spans="1:6" x14ac:dyDescent="0.25">
      <c r="A1098" s="38">
        <v>43692.68378472222</v>
      </c>
      <c r="B1098" s="3" t="s">
        <v>2022</v>
      </c>
      <c r="C1098" s="12" t="s">
        <v>968</v>
      </c>
      <c r="D1098" s="12">
        <v>0</v>
      </c>
      <c r="E1098" s="12" t="s">
        <v>968</v>
      </c>
      <c r="F1098" s="3" t="s">
        <v>477</v>
      </c>
    </row>
    <row r="1099" spans="1:6" x14ac:dyDescent="0.25">
      <c r="A1099" s="38">
        <v>43692.683796296296</v>
      </c>
      <c r="B1099" s="3" t="s">
        <v>1020</v>
      </c>
      <c r="C1099" s="12" t="s">
        <v>968</v>
      </c>
      <c r="D1099" s="12">
        <v>0</v>
      </c>
      <c r="E1099" s="12" t="s">
        <v>968</v>
      </c>
      <c r="F1099" s="3" t="s">
        <v>477</v>
      </c>
    </row>
    <row r="1100" spans="1:6" x14ac:dyDescent="0.25">
      <c r="A1100" s="38">
        <v>43692.683796296296</v>
      </c>
      <c r="B1100" s="3" t="s">
        <v>2027</v>
      </c>
      <c r="C1100" s="12" t="s">
        <v>968</v>
      </c>
      <c r="D1100" s="12">
        <v>0</v>
      </c>
      <c r="E1100" s="12" t="s">
        <v>968</v>
      </c>
      <c r="F1100" s="3" t="s">
        <v>477</v>
      </c>
    </row>
    <row r="1101" spans="1:6" x14ac:dyDescent="0.25">
      <c r="A1101" s="38">
        <v>43692.683796296296</v>
      </c>
      <c r="B1101" s="3" t="s">
        <v>2031</v>
      </c>
      <c r="C1101" s="12" t="s">
        <v>968</v>
      </c>
      <c r="D1101" s="12">
        <v>0</v>
      </c>
      <c r="E1101" s="12" t="s">
        <v>968</v>
      </c>
      <c r="F1101" s="3" t="s">
        <v>477</v>
      </c>
    </row>
    <row r="1102" spans="1:6" x14ac:dyDescent="0.25">
      <c r="A1102" s="38">
        <v>43692.683807870373</v>
      </c>
      <c r="B1102" s="3" t="s">
        <v>2035</v>
      </c>
      <c r="C1102" s="12" t="s">
        <v>968</v>
      </c>
      <c r="D1102" s="12">
        <v>0</v>
      </c>
      <c r="E1102" s="12" t="s">
        <v>968</v>
      </c>
      <c r="F1102" s="3" t="s">
        <v>477</v>
      </c>
    </row>
    <row r="1103" spans="1:6" x14ac:dyDescent="0.25">
      <c r="A1103" s="38">
        <v>43692.683807870373</v>
      </c>
      <c r="B1103" s="3" t="s">
        <v>2039</v>
      </c>
      <c r="C1103" s="12" t="s">
        <v>968</v>
      </c>
      <c r="D1103" s="12">
        <v>0</v>
      </c>
      <c r="E1103" s="12" t="s">
        <v>968</v>
      </c>
      <c r="F1103" s="3" t="s">
        <v>477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6" t="s">
        <v>451</v>
      </c>
      <c r="G2" s="18" t="s">
        <v>460</v>
      </c>
      <c r="J2" s="18" t="s">
        <v>459</v>
      </c>
      <c r="M2" s="18" t="s">
        <v>1332</v>
      </c>
    </row>
    <row r="3" spans="1:14" x14ac:dyDescent="0.25">
      <c r="B3" s="76"/>
      <c r="G3" s="19" t="s">
        <v>333</v>
      </c>
      <c r="H3" s="19" t="s">
        <v>2</v>
      </c>
      <c r="J3" s="19" t="s">
        <v>333</v>
      </c>
      <c r="K3" s="19" t="s">
        <v>2</v>
      </c>
      <c r="M3" s="19" t="s">
        <v>333</v>
      </c>
      <c r="N3" s="19" t="s">
        <v>2</v>
      </c>
    </row>
    <row r="4" spans="1:14" x14ac:dyDescent="0.25">
      <c r="G4" t="s">
        <v>1358</v>
      </c>
      <c r="H4" t="s">
        <v>348</v>
      </c>
      <c r="J4" t="s">
        <v>351</v>
      </c>
      <c r="K4" t="s">
        <v>356</v>
      </c>
      <c r="M4" t="s">
        <v>1333</v>
      </c>
      <c r="N4" t="s">
        <v>1334</v>
      </c>
    </row>
    <row r="5" spans="1:14" x14ac:dyDescent="0.25">
      <c r="B5" s="76" t="s">
        <v>452</v>
      </c>
      <c r="G5" t="s">
        <v>1359</v>
      </c>
      <c r="H5" t="s">
        <v>1357</v>
      </c>
      <c r="J5" t="s">
        <v>352</v>
      </c>
      <c r="K5" t="s">
        <v>357</v>
      </c>
      <c r="M5" t="s">
        <v>1335</v>
      </c>
      <c r="N5" t="s">
        <v>1336</v>
      </c>
    </row>
    <row r="6" spans="1:14" x14ac:dyDescent="0.25">
      <c r="B6" s="76"/>
      <c r="G6" t="s">
        <v>1353</v>
      </c>
      <c r="H6" t="s">
        <v>405</v>
      </c>
      <c r="J6" t="s">
        <v>353</v>
      </c>
      <c r="K6" t="s">
        <v>359</v>
      </c>
      <c r="M6" t="s">
        <v>1337</v>
      </c>
      <c r="N6" t="s">
        <v>1338</v>
      </c>
    </row>
    <row r="7" spans="1:14" x14ac:dyDescent="0.25">
      <c r="G7" t="s">
        <v>1354</v>
      </c>
      <c r="H7" t="s">
        <v>349</v>
      </c>
      <c r="J7" t="s">
        <v>354</v>
      </c>
      <c r="K7" t="s">
        <v>410</v>
      </c>
      <c r="M7" t="s">
        <v>1339</v>
      </c>
      <c r="N7" t="s">
        <v>1340</v>
      </c>
    </row>
    <row r="8" spans="1:14" x14ac:dyDescent="0.25">
      <c r="B8" s="76" t="s">
        <v>453</v>
      </c>
      <c r="G8" t="s">
        <v>1355</v>
      </c>
      <c r="H8" t="s">
        <v>350</v>
      </c>
      <c r="J8" t="s">
        <v>355</v>
      </c>
      <c r="K8" t="s">
        <v>411</v>
      </c>
    </row>
    <row r="9" spans="1:14" x14ac:dyDescent="0.25">
      <c r="B9" s="76"/>
      <c r="G9" t="s">
        <v>1356</v>
      </c>
      <c r="H9" t="s">
        <v>347</v>
      </c>
      <c r="J9" t="s">
        <v>412</v>
      </c>
    </row>
    <row r="10" spans="1:14" x14ac:dyDescent="0.25">
      <c r="J10" t="s">
        <v>413</v>
      </c>
    </row>
    <row r="11" spans="1:14" x14ac:dyDescent="0.25">
      <c r="A11" s="36"/>
      <c r="B11" s="76" t="s">
        <v>454</v>
      </c>
      <c r="J11" t="s">
        <v>414</v>
      </c>
    </row>
    <row r="12" spans="1:14" x14ac:dyDescent="0.25">
      <c r="A12" s="36"/>
      <c r="B12" s="76"/>
      <c r="J12" t="s">
        <v>415</v>
      </c>
    </row>
    <row r="13" spans="1:14" x14ac:dyDescent="0.25">
      <c r="J13" t="s">
        <v>416</v>
      </c>
    </row>
    <row r="14" spans="1:14" x14ac:dyDescent="0.25">
      <c r="B14" s="76" t="s">
        <v>528</v>
      </c>
      <c r="J14" t="s">
        <v>417</v>
      </c>
    </row>
    <row r="15" spans="1:14" x14ac:dyDescent="0.25">
      <c r="B15" s="76"/>
    </row>
    <row r="17" spans="2:2" x14ac:dyDescent="0.25">
      <c r="B17" s="76" t="s">
        <v>1092</v>
      </c>
    </row>
    <row r="18" spans="2:2" x14ac:dyDescent="0.25">
      <c r="B18" s="76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E29" sqref="E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450</v>
      </c>
      <c r="C1" s="2" t="s">
        <v>6</v>
      </c>
      <c r="D1" s="2" t="s">
        <v>4</v>
      </c>
      <c r="E1" s="2" t="s">
        <v>327</v>
      </c>
      <c r="F1" s="20" t="s">
        <v>2</v>
      </c>
      <c r="G1" s="2" t="s">
        <v>3</v>
      </c>
      <c r="H1" s="26" t="s">
        <v>447</v>
      </c>
      <c r="I1" s="17" t="s">
        <v>8</v>
      </c>
      <c r="J1" s="31" t="s">
        <v>124</v>
      </c>
      <c r="K1" s="28" t="s">
        <v>448</v>
      </c>
      <c r="L1" s="28" t="s">
        <v>1053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449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37"/>
  <sheetViews>
    <sheetView tabSelected="1" zoomScaleNormal="100" workbookViewId="0">
      <pane ySplit="1" topLeftCell="A111" activePane="bottomLeft" state="frozen"/>
      <selection activeCell="B186" sqref="B186"/>
      <selection pane="bottomLeft" activeCell="D117" sqref="D117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13.710937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5" t="s">
        <v>1</v>
      </c>
      <c r="B1" s="55" t="s">
        <v>6</v>
      </c>
      <c r="C1" s="55" t="s">
        <v>327</v>
      </c>
      <c r="D1" s="55" t="s">
        <v>2</v>
      </c>
      <c r="E1" s="55" t="s">
        <v>493</v>
      </c>
      <c r="F1" s="56" t="s">
        <v>3</v>
      </c>
      <c r="G1" s="56" t="s">
        <v>408</v>
      </c>
      <c r="H1" s="56" t="s">
        <v>458</v>
      </c>
      <c r="I1" s="55" t="s">
        <v>456</v>
      </c>
      <c r="J1" s="57" t="s">
        <v>457</v>
      </c>
      <c r="K1" s="55" t="s">
        <v>1094</v>
      </c>
      <c r="L1" s="55" t="s">
        <v>75</v>
      </c>
      <c r="M1" s="57" t="s">
        <v>483</v>
      </c>
      <c r="N1" s="55" t="s">
        <v>5</v>
      </c>
      <c r="O1" s="57" t="s">
        <v>484</v>
      </c>
      <c r="P1" s="55" t="s">
        <v>479</v>
      </c>
      <c r="Q1" s="57" t="s">
        <v>485</v>
      </c>
      <c r="R1" s="55" t="s">
        <v>478</v>
      </c>
      <c r="S1" s="57" t="s">
        <v>486</v>
      </c>
      <c r="T1" s="55" t="s">
        <v>480</v>
      </c>
      <c r="U1" s="57" t="s">
        <v>487</v>
      </c>
      <c r="V1" s="55" t="s">
        <v>481</v>
      </c>
      <c r="W1" s="57" t="s">
        <v>488</v>
      </c>
      <c r="X1" s="55" t="s">
        <v>80</v>
      </c>
      <c r="Y1" s="57" t="s">
        <v>489</v>
      </c>
      <c r="Z1" s="57" t="s">
        <v>1052</v>
      </c>
      <c r="AA1" s="57" t="s">
        <v>482</v>
      </c>
      <c r="AB1" s="58" t="s">
        <v>490</v>
      </c>
      <c r="AC1" s="59" t="s">
        <v>446</v>
      </c>
    </row>
    <row r="2" spans="1:29" x14ac:dyDescent="0.25">
      <c r="A2" s="33" t="s">
        <v>103</v>
      </c>
      <c r="B2" s="33" t="s">
        <v>84</v>
      </c>
      <c r="C2" s="33" t="s">
        <v>328</v>
      </c>
      <c r="D2" s="33" t="s">
        <v>26</v>
      </c>
      <c r="E2" s="33" t="s">
        <v>499</v>
      </c>
      <c r="F2" s="45">
        <v>4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422</v>
      </c>
      <c r="M2" s="41">
        <v>0.91</v>
      </c>
      <c r="N2" s="33">
        <v>1162740</v>
      </c>
      <c r="O2" s="41">
        <v>0.505</v>
      </c>
      <c r="P2" s="33"/>
      <c r="Q2" s="41"/>
      <c r="R2" s="33"/>
      <c r="S2" s="41"/>
      <c r="T2" s="33"/>
      <c r="U2" s="41"/>
      <c r="V2" s="33"/>
      <c r="W2" s="41"/>
      <c r="X2" s="33"/>
      <c r="Y2" s="41">
        <v>0.505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28</v>
      </c>
      <c r="B3" s="33" t="s">
        <v>84</v>
      </c>
      <c r="C3" s="33" t="s">
        <v>328</v>
      </c>
      <c r="D3" s="33" t="s">
        <v>27</v>
      </c>
      <c r="E3" s="33" t="s">
        <v>499</v>
      </c>
      <c r="F3" s="45">
        <v>4</v>
      </c>
      <c r="G3" s="45"/>
      <c r="H3" s="45"/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423</v>
      </c>
      <c r="M3" s="41">
        <v>1.27</v>
      </c>
      <c r="N3" s="33">
        <v>1829519</v>
      </c>
      <c r="O3" s="41">
        <v>0.78900000000000003</v>
      </c>
      <c r="P3" s="33"/>
      <c r="Q3" s="41"/>
      <c r="R3" s="33"/>
      <c r="S3" s="41"/>
      <c r="T3" s="33"/>
      <c r="U3" s="41"/>
      <c r="V3" s="33"/>
      <c r="W3" s="41"/>
      <c r="X3" s="33"/>
      <c r="Y3" s="41">
        <v>0.78900000000000003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343</v>
      </c>
      <c r="B4" s="33" t="s">
        <v>341</v>
      </c>
      <c r="C4" s="33" t="s">
        <v>328</v>
      </c>
      <c r="D4" s="33" t="s">
        <v>344</v>
      </c>
      <c r="E4" s="33" t="s">
        <v>499</v>
      </c>
      <c r="F4" s="45">
        <v>1</v>
      </c>
      <c r="G4" s="45"/>
      <c r="H4" s="45"/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 t="s">
        <v>343</v>
      </c>
      <c r="W4" s="41">
        <v>1</v>
      </c>
      <c r="X4" s="33"/>
      <c r="Y4" s="41"/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85</v>
      </c>
      <c r="C5" s="33" t="s">
        <v>366</v>
      </c>
      <c r="D5" s="33" t="s">
        <v>17</v>
      </c>
      <c r="E5" s="33" t="s">
        <v>518</v>
      </c>
      <c r="F5" s="45">
        <v>19</v>
      </c>
      <c r="G5" s="45"/>
      <c r="H5" s="45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365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79" t="s">
        <v>91</v>
      </c>
      <c r="B6" s="33" t="s">
        <v>85</v>
      </c>
      <c r="C6" s="33" t="s">
        <v>367</v>
      </c>
      <c r="D6" s="33" t="s">
        <v>92</v>
      </c>
      <c r="E6" s="33" t="s">
        <v>518</v>
      </c>
      <c r="F6" s="45">
        <v>10</v>
      </c>
      <c r="G6" s="45"/>
      <c r="H6" s="45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93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33" t="s">
        <v>95</v>
      </c>
      <c r="B7" s="33" t="s">
        <v>85</v>
      </c>
      <c r="C7" s="33" t="s">
        <v>328</v>
      </c>
      <c r="D7" s="33" t="s">
        <v>94</v>
      </c>
      <c r="E7" s="33" t="s">
        <v>518</v>
      </c>
      <c r="F7" s="45">
        <v>5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96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79" t="s">
        <v>90</v>
      </c>
      <c r="B8" s="33" t="s">
        <v>85</v>
      </c>
      <c r="C8" s="33" t="s">
        <v>368</v>
      </c>
      <c r="D8" s="33" t="s">
        <v>94</v>
      </c>
      <c r="E8" s="33" t="s">
        <v>518</v>
      </c>
      <c r="F8" s="45">
        <v>10</v>
      </c>
      <c r="G8" s="45"/>
      <c r="H8" s="45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89</v>
      </c>
      <c r="O8" s="41">
        <v>0.44600000000000001</v>
      </c>
      <c r="P8" s="33"/>
      <c r="Q8" s="41"/>
      <c r="R8" s="33"/>
      <c r="S8" s="41"/>
      <c r="T8" s="33"/>
      <c r="U8" s="41"/>
      <c r="V8" s="33"/>
      <c r="W8" s="41"/>
      <c r="X8" s="33"/>
      <c r="Y8" s="41">
        <v>0.44600000000000001</v>
      </c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64" t="s">
        <v>1254</v>
      </c>
      <c r="B9" s="64" t="s">
        <v>1255</v>
      </c>
      <c r="C9" s="64" t="s">
        <v>328</v>
      </c>
      <c r="D9" s="64" t="s">
        <v>1256</v>
      </c>
      <c r="E9" s="64" t="s">
        <v>1257</v>
      </c>
      <c r="F9" s="65">
        <v>1</v>
      </c>
      <c r="G9" s="65"/>
      <c r="H9" s="65"/>
      <c r="I9" s="64" t="s">
        <v>1259</v>
      </c>
      <c r="J9" s="66">
        <v>1.8</v>
      </c>
      <c r="K9" s="67" t="s">
        <v>75</v>
      </c>
      <c r="L9" s="64" t="s">
        <v>1258</v>
      </c>
      <c r="M9" s="68">
        <v>2.13</v>
      </c>
      <c r="N9" s="64"/>
      <c r="O9" s="68"/>
      <c r="P9" s="64"/>
      <c r="Q9" s="68"/>
      <c r="R9" s="64"/>
      <c r="S9" s="68"/>
      <c r="T9" s="64"/>
      <c r="U9" s="68"/>
      <c r="V9" s="64"/>
      <c r="W9" s="68"/>
      <c r="X9" s="64"/>
      <c r="Y9" s="68"/>
      <c r="Z9" s="68"/>
      <c r="AA9" s="69"/>
      <c r="AB9" s="66"/>
      <c r="AC9" s="67" t="s">
        <v>1260</v>
      </c>
    </row>
    <row r="10" spans="1:29" x14ac:dyDescent="0.25">
      <c r="A10" s="33" t="s">
        <v>182</v>
      </c>
      <c r="B10" s="33" t="s">
        <v>58</v>
      </c>
      <c r="C10" s="33" t="s">
        <v>328</v>
      </c>
      <c r="D10" s="33" t="s">
        <v>363</v>
      </c>
      <c r="E10" s="33" t="s">
        <v>494</v>
      </c>
      <c r="F10" s="45">
        <v>0.5</v>
      </c>
      <c r="G10" s="45"/>
      <c r="H10" s="45"/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0" s="33"/>
      <c r="M10" s="41"/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 t="s">
        <v>182</v>
      </c>
      <c r="Y10" s="41">
        <v>13.1</v>
      </c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72" t="s">
        <v>1328</v>
      </c>
      <c r="B11" s="33" t="s">
        <v>1175</v>
      </c>
      <c r="C11" s="33" t="s">
        <v>328</v>
      </c>
      <c r="D11" s="33" t="s">
        <v>1329</v>
      </c>
      <c r="E11" s="33" t="s">
        <v>1330</v>
      </c>
      <c r="F11" s="45">
        <v>0</v>
      </c>
      <c r="G11" s="45"/>
      <c r="H11" s="45"/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1331</v>
      </c>
      <c r="M11" s="41">
        <v>0.56000000000000005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47" t="str">
        <f>IF(Table1[[#This Row],[Auto Order]]=1,IF(Table1[[#This Row],[In stock]]&lt;Table1[[#This Row],[Min in stock]],1,""),"")</f>
        <v/>
      </c>
    </row>
    <row r="12" spans="1:29" x14ac:dyDescent="0.25">
      <c r="A12" s="33" t="s">
        <v>144</v>
      </c>
      <c r="B12" s="33" t="s">
        <v>86</v>
      </c>
      <c r="C12" s="33" t="s">
        <v>328</v>
      </c>
      <c r="D12" s="33" t="s">
        <v>59</v>
      </c>
      <c r="E12" s="33" t="s">
        <v>521</v>
      </c>
      <c r="F12" s="45">
        <v>1</v>
      </c>
      <c r="G12" s="45"/>
      <c r="H12" s="45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57</v>
      </c>
      <c r="M12" s="41">
        <v>15.9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72" t="s">
        <v>1069</v>
      </c>
      <c r="B13" s="33" t="s">
        <v>1072</v>
      </c>
      <c r="C13" s="33" t="s">
        <v>328</v>
      </c>
      <c r="D13" s="33" t="s">
        <v>1070</v>
      </c>
      <c r="E13" s="33" t="s">
        <v>521</v>
      </c>
      <c r="F13" s="45">
        <v>0</v>
      </c>
      <c r="G13" s="45"/>
      <c r="H13" s="45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1071</v>
      </c>
      <c r="M13" s="41">
        <v>15.8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3"/>
      <c r="AC13" s="47" t="str">
        <f>IF(Table1[[#This Row],[Auto Order]]=1,IF(Table1[[#This Row],[In stock]]&lt;Table1[[#This Row],[Min in stock]],1,""),"")</f>
        <v/>
      </c>
    </row>
    <row r="14" spans="1:29" x14ac:dyDescent="0.25">
      <c r="A14" s="72" t="s">
        <v>1073</v>
      </c>
      <c r="B14" s="33" t="s">
        <v>1074</v>
      </c>
      <c r="C14" s="33" t="s">
        <v>328</v>
      </c>
      <c r="D14" s="33" t="s">
        <v>1075</v>
      </c>
      <c r="E14" s="33" t="s">
        <v>521</v>
      </c>
      <c r="F14" s="45">
        <v>0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1076</v>
      </c>
      <c r="M14" s="41">
        <v>9.6999999999999993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47" t="str">
        <f>IF(Table1[[#This Row],[Auto Order]]=1,IF(Table1[[#This Row],[In stock]]&lt;Table1[[#This Row],[Min in stock]],1,""),"")</f>
        <v/>
      </c>
    </row>
    <row r="15" spans="1:29" x14ac:dyDescent="0.25">
      <c r="A15" s="72" t="s">
        <v>461</v>
      </c>
      <c r="B15" s="33" t="s">
        <v>73</v>
      </c>
      <c r="C15" s="33" t="s">
        <v>1410</v>
      </c>
      <c r="D15" s="33" t="s">
        <v>463</v>
      </c>
      <c r="E15" s="33" t="s">
        <v>526</v>
      </c>
      <c r="F15" s="45">
        <v>1</v>
      </c>
      <c r="G15" s="45"/>
      <c r="H15" s="45"/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462</v>
      </c>
      <c r="M15" s="41">
        <v>2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70</v>
      </c>
      <c r="B16" s="33" t="s">
        <v>69</v>
      </c>
      <c r="C16" s="33" t="s">
        <v>328</v>
      </c>
      <c r="D16" s="33" t="s">
        <v>68</v>
      </c>
      <c r="E16" s="33" t="s">
        <v>510</v>
      </c>
      <c r="F16" s="45">
        <v>1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67</v>
      </c>
      <c r="M16" s="41">
        <v>2.98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72" t="s">
        <v>1360</v>
      </c>
      <c r="B17" s="33" t="s">
        <v>312</v>
      </c>
      <c r="C17" s="33" t="s">
        <v>328</v>
      </c>
      <c r="D17" s="33" t="s">
        <v>1361</v>
      </c>
      <c r="E17" s="33" t="s">
        <v>515</v>
      </c>
      <c r="F17" s="45">
        <v>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3" t="s">
        <v>1362</v>
      </c>
      <c r="M17" s="41">
        <v>28.01</v>
      </c>
      <c r="N17" s="33"/>
      <c r="O17" s="41"/>
      <c r="P17" s="33"/>
      <c r="Q17" s="41"/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3"/>
      <c r="AC17" s="47" t="str">
        <f>IF(Table1[[#This Row],[Auto Order]]=1,IF(Table1[[#This Row],[In stock]]&lt;Table1[[#This Row],[Min in stock]],1,""),"")</f>
        <v/>
      </c>
    </row>
    <row r="18" spans="1:29" x14ac:dyDescent="0.25">
      <c r="A18" s="33" t="s">
        <v>311</v>
      </c>
      <c r="B18" s="33" t="s">
        <v>312</v>
      </c>
      <c r="C18" s="33" t="s">
        <v>328</v>
      </c>
      <c r="D18" s="33" t="s">
        <v>313</v>
      </c>
      <c r="E18" s="33" t="s">
        <v>515</v>
      </c>
      <c r="F18" s="45">
        <v>0</v>
      </c>
      <c r="G18" s="45"/>
      <c r="H18" s="45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8" s="33"/>
      <c r="M18" s="41"/>
      <c r="N18" s="33"/>
      <c r="O18" s="41"/>
      <c r="P18" s="33" t="s">
        <v>310</v>
      </c>
      <c r="Q18" s="41">
        <v>27.02</v>
      </c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tr">
        <f>"860021374008"</f>
        <v>860021374008</v>
      </c>
      <c r="B19" s="33" t="s">
        <v>146</v>
      </c>
      <c r="C19" s="33" t="s">
        <v>328</v>
      </c>
      <c r="D19" s="33" t="s">
        <v>246</v>
      </c>
      <c r="E19" s="33" t="s">
        <v>500</v>
      </c>
      <c r="F19" s="45">
        <v>4</v>
      </c>
      <c r="G19" s="45"/>
      <c r="H19" s="45"/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3" t="s">
        <v>245</v>
      </c>
      <c r="M19" s="41">
        <v>0.43</v>
      </c>
      <c r="N19" s="33"/>
      <c r="O19" s="41"/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3"/>
      <c r="AC19" s="34" t="str">
        <f>IF(Table1[[#This Row],[Auto Order]]=1,IF(Table1[[#This Row],[In stock]]&lt;Table1[[#This Row],[Min in stock]],1,""),"")</f>
        <v/>
      </c>
    </row>
    <row r="20" spans="1:29" x14ac:dyDescent="0.25">
      <c r="A20" s="70" t="s">
        <v>1154</v>
      </c>
      <c r="B20" s="33" t="s">
        <v>146</v>
      </c>
      <c r="C20" s="33" t="s">
        <v>1439</v>
      </c>
      <c r="D20" s="33" t="s">
        <v>1155</v>
      </c>
      <c r="E20" s="33" t="s">
        <v>500</v>
      </c>
      <c r="F20" s="45">
        <v>8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1156</v>
      </c>
      <c r="M20" s="41">
        <v>0.18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3"/>
      <c r="AC20" s="47" t="str">
        <f>IF(Table1[[#This Row],[Auto Order]]=1,IF(Table1[[#This Row],[In stock]]&lt;Table1[[#This Row],[Min in stock]],1,""),"")</f>
        <v/>
      </c>
    </row>
    <row r="21" spans="1:29" x14ac:dyDescent="0.25">
      <c r="A21" s="72" t="s">
        <v>536</v>
      </c>
      <c r="B21" s="33" t="s">
        <v>146</v>
      </c>
      <c r="C21" s="33" t="s">
        <v>1440</v>
      </c>
      <c r="D21" s="33" t="s">
        <v>584</v>
      </c>
      <c r="E21" s="33" t="s">
        <v>500</v>
      </c>
      <c r="F21" s="45">
        <v>5</v>
      </c>
      <c r="G21" s="45"/>
      <c r="H21" s="45"/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585</v>
      </c>
      <c r="M21" s="41">
        <v>0.151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3"/>
      <c r="AC21" s="47" t="str">
        <f>IF(Table1[[#This Row],[Auto Order]]=1,IF(Table1[[#This Row],[In stock]]&lt;Table1[[#This Row],[Min in stock]],1,""),"")</f>
        <v/>
      </c>
    </row>
    <row r="22" spans="1:29" x14ac:dyDescent="0.25">
      <c r="A22" s="72" t="s">
        <v>538</v>
      </c>
      <c r="B22" s="33" t="s">
        <v>146</v>
      </c>
      <c r="C22" s="33" t="s">
        <v>1442</v>
      </c>
      <c r="D22" s="33" t="s">
        <v>590</v>
      </c>
      <c r="E22" s="33" t="s">
        <v>500</v>
      </c>
      <c r="F22" s="45">
        <v>8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3" t="s">
        <v>591</v>
      </c>
      <c r="M22" s="41">
        <v>3.5999999999999997E-2</v>
      </c>
      <c r="N22" s="33"/>
      <c r="O22" s="41"/>
      <c r="P22" s="33"/>
      <c r="Q22" s="41"/>
      <c r="R22" s="33"/>
      <c r="S22" s="41"/>
      <c r="T22" s="33"/>
      <c r="U22" s="41"/>
      <c r="V22" s="33"/>
      <c r="W22" s="41"/>
      <c r="X22" s="33"/>
      <c r="Y22" s="41"/>
      <c r="Z22" s="41"/>
      <c r="AA22" s="35"/>
      <c r="AB22" s="43"/>
      <c r="AC22" s="47" t="str">
        <f>IF(Table1[[#This Row],[Auto Order]]=1,IF(Table1[[#This Row],[In stock]]&lt;Table1[[#This Row],[Min in stock]],1,""),"")</f>
        <v/>
      </c>
    </row>
    <row r="23" spans="1:29" x14ac:dyDescent="0.25">
      <c r="A23" s="72" t="s">
        <v>535</v>
      </c>
      <c r="B23" s="33" t="s">
        <v>146</v>
      </c>
      <c r="C23" s="33" t="s">
        <v>1441</v>
      </c>
      <c r="D23" s="33" t="s">
        <v>586</v>
      </c>
      <c r="E23" s="33" t="s">
        <v>500</v>
      </c>
      <c r="F23" s="45">
        <v>9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" s="33" t="s">
        <v>587</v>
      </c>
      <c r="M23" s="41">
        <v>0.10199999999999999</v>
      </c>
      <c r="N23" s="33"/>
      <c r="O23" s="41"/>
      <c r="P23" s="33"/>
      <c r="Q23" s="41"/>
      <c r="R23" s="33"/>
      <c r="S23" s="41"/>
      <c r="T23" s="33"/>
      <c r="U23" s="41"/>
      <c r="V23" s="33"/>
      <c r="W23" s="41"/>
      <c r="X23" s="33"/>
      <c r="Y23" s="41"/>
      <c r="Z23" s="41"/>
      <c r="AA23" s="35"/>
      <c r="AB23" s="43"/>
      <c r="AC23" s="47" t="str">
        <f>IF(Table1[[#This Row],[Auto Order]]=1,IF(Table1[[#This Row],[In stock]]&lt;Table1[[#This Row],[Min in stock]],1,""),"")</f>
        <v/>
      </c>
    </row>
    <row r="24" spans="1:29" x14ac:dyDescent="0.25">
      <c r="A24" s="72" t="s">
        <v>537</v>
      </c>
      <c r="B24" s="33" t="s">
        <v>146</v>
      </c>
      <c r="C24" s="33" t="s">
        <v>1438</v>
      </c>
      <c r="D24" s="33" t="s">
        <v>588</v>
      </c>
      <c r="E24" s="33" t="s">
        <v>500</v>
      </c>
      <c r="F24" s="45">
        <v>17</v>
      </c>
      <c r="G24" s="45">
        <v>20</v>
      </c>
      <c r="H24" s="45">
        <v>1</v>
      </c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3" t="s">
        <v>589</v>
      </c>
      <c r="M24" s="41">
        <v>0.08</v>
      </c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3"/>
      <c r="AC24" s="47">
        <f>IF(Table1[[#This Row],[Auto Order]]=1,IF(Table1[[#This Row],[In stock]]&lt;Table1[[#This Row],[Min in stock]],1,""),"")</f>
        <v>1</v>
      </c>
    </row>
    <row r="25" spans="1:29" x14ac:dyDescent="0.25">
      <c r="A25" s="72" t="s">
        <v>1056</v>
      </c>
      <c r="B25" s="33" t="s">
        <v>222</v>
      </c>
      <c r="C25" s="33" t="s">
        <v>1384</v>
      </c>
      <c r="D25" s="33" t="s">
        <v>1057</v>
      </c>
      <c r="E25" s="33" t="s">
        <v>500</v>
      </c>
      <c r="F25" s="45">
        <v>93</v>
      </c>
      <c r="G25" s="45">
        <v>100</v>
      </c>
      <c r="H25" s="45">
        <v>1</v>
      </c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3" t="s">
        <v>1058</v>
      </c>
      <c r="M25" s="41">
        <v>2.7E-2</v>
      </c>
      <c r="N25" s="33"/>
      <c r="O25" s="41"/>
      <c r="P25" s="33"/>
      <c r="Q25" s="41"/>
      <c r="R25" s="33"/>
      <c r="S25" s="41"/>
      <c r="T25" s="33"/>
      <c r="U25" s="41"/>
      <c r="V25" s="33"/>
      <c r="W25" s="41"/>
      <c r="X25" s="33"/>
      <c r="Y25" s="41"/>
      <c r="Z25" s="41"/>
      <c r="AA25" s="35"/>
      <c r="AB25" s="43"/>
      <c r="AC25" s="47">
        <f>IF(Table1[[#This Row],[Auto Order]]=1,IF(Table1[[#This Row],[In stock]]&lt;Table1[[#This Row],[Min in stock]],1,""),"")</f>
        <v>1</v>
      </c>
    </row>
    <row r="26" spans="1:29" x14ac:dyDescent="0.25">
      <c r="A26" s="33" t="s">
        <v>221</v>
      </c>
      <c r="B26" s="33" t="s">
        <v>222</v>
      </c>
      <c r="C26" s="33" t="s">
        <v>1386</v>
      </c>
      <c r="D26" s="33" t="s">
        <v>223</v>
      </c>
      <c r="E26" s="33" t="s">
        <v>500</v>
      </c>
      <c r="F26" s="45">
        <v>16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" s="33" t="s">
        <v>220</v>
      </c>
      <c r="M26" s="41">
        <v>0.27</v>
      </c>
      <c r="N26" s="33"/>
      <c r="O26" s="41"/>
      <c r="P26" s="33"/>
      <c r="Q26" s="41"/>
      <c r="R26" s="33"/>
      <c r="S26" s="41"/>
      <c r="T26" s="33"/>
      <c r="U26" s="41"/>
      <c r="V26" s="33"/>
      <c r="W26" s="41"/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14</v>
      </c>
      <c r="B27" s="33" t="s">
        <v>30</v>
      </c>
      <c r="C27" s="33" t="s">
        <v>328</v>
      </c>
      <c r="D27" s="33" t="s">
        <v>13</v>
      </c>
      <c r="E27" s="33" t="s">
        <v>500</v>
      </c>
      <c r="F27" s="45">
        <v>48</v>
      </c>
      <c r="G27" s="45">
        <v>20</v>
      </c>
      <c r="H27" s="45">
        <f>1</f>
        <v>1</v>
      </c>
      <c r="I2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3"/>
      <c r="M27" s="41"/>
      <c r="N27" s="33">
        <v>9451242</v>
      </c>
      <c r="O27" s="41">
        <v>5.1700000000000003E-2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5.1700000000000003E-2</v>
      </c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12</v>
      </c>
      <c r="B28" s="33" t="s">
        <v>30</v>
      </c>
      <c r="C28" s="33" t="s">
        <v>328</v>
      </c>
      <c r="D28" s="33" t="s">
        <v>11</v>
      </c>
      <c r="E28" s="33" t="s">
        <v>500</v>
      </c>
      <c r="F28" s="45">
        <v>48</v>
      </c>
      <c r="G28" s="45">
        <v>20</v>
      </c>
      <c r="H28" s="45">
        <v>1</v>
      </c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149</v>
      </c>
      <c r="O28" s="41">
        <v>5.0900000000000001E-2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5.0900000000000001E-2</v>
      </c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33</v>
      </c>
      <c r="B29" s="33" t="s">
        <v>38</v>
      </c>
      <c r="C29" s="33" t="s">
        <v>1385</v>
      </c>
      <c r="D29" s="33" t="s">
        <v>32</v>
      </c>
      <c r="E29" s="33" t="s">
        <v>500</v>
      </c>
      <c r="F29" s="45">
        <v>83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9" s="33" t="s">
        <v>435</v>
      </c>
      <c r="M29" s="41">
        <v>0.42</v>
      </c>
      <c r="N29" s="33" t="s">
        <v>395</v>
      </c>
      <c r="O29" s="41">
        <v>0.106</v>
      </c>
      <c r="P29" s="33"/>
      <c r="Q29" s="41"/>
      <c r="R29" s="33"/>
      <c r="S29" s="41"/>
      <c r="T29" s="33"/>
      <c r="U29" s="41"/>
      <c r="V29" s="33"/>
      <c r="W29" s="41"/>
      <c r="X29" s="33"/>
      <c r="Y29" s="41">
        <v>0.106</v>
      </c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142</v>
      </c>
      <c r="B30" s="33" t="s">
        <v>148</v>
      </c>
      <c r="C30" s="33" t="s">
        <v>328</v>
      </c>
      <c r="D30" s="33" t="s">
        <v>143</v>
      </c>
      <c r="E30" s="33" t="s">
        <v>496</v>
      </c>
      <c r="F30" s="45">
        <v>8</v>
      </c>
      <c r="G30" s="45">
        <v>2</v>
      </c>
      <c r="H30" s="45"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" s="33" t="s">
        <v>141</v>
      </c>
      <c r="M30" s="41">
        <v>0.66500000000000004</v>
      </c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101</v>
      </c>
      <c r="B31" s="33" t="s">
        <v>30</v>
      </c>
      <c r="C31" s="33" t="s">
        <v>328</v>
      </c>
      <c r="D31" s="33" t="s">
        <v>1099</v>
      </c>
      <c r="E31" s="33" t="s">
        <v>496</v>
      </c>
      <c r="F31" s="45">
        <v>3.8</v>
      </c>
      <c r="G31" s="45">
        <v>5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102</v>
      </c>
      <c r="O31" s="41">
        <v>0.28699999999999998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0.28699999999999998</v>
      </c>
      <c r="Z31" s="41"/>
      <c r="AA31" s="35"/>
      <c r="AB31" s="43"/>
      <c r="AC31" s="34">
        <f>IF(Table1[[#This Row],[Auto Order]]=1,IF(Table1[[#This Row],[In stock]]&lt;Table1[[#This Row],[Min in stock]],1,""),"")</f>
        <v>1</v>
      </c>
    </row>
    <row r="32" spans="1:29" x14ac:dyDescent="0.25">
      <c r="A32" s="72" t="str">
        <f>"22284360"</f>
        <v>22284360</v>
      </c>
      <c r="B32" s="33" t="s">
        <v>97</v>
      </c>
      <c r="C32" s="33" t="s">
        <v>328</v>
      </c>
      <c r="D32" s="33" t="s">
        <v>542</v>
      </c>
      <c r="E32" s="33" t="s">
        <v>496</v>
      </c>
      <c r="F32" s="45">
        <v>2.5</v>
      </c>
      <c r="G32" s="45"/>
      <c r="H32" s="45"/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" s="33" t="s">
        <v>491</v>
      </c>
      <c r="M32" s="41">
        <v>1.02</v>
      </c>
      <c r="N32" s="33" t="s">
        <v>98</v>
      </c>
      <c r="O32" s="41">
        <v>1.55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1.55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438</v>
      </c>
      <c r="B33" s="33" t="s">
        <v>391</v>
      </c>
      <c r="C33" s="33" t="s">
        <v>328</v>
      </c>
      <c r="D33" s="33" t="s">
        <v>392</v>
      </c>
      <c r="E33" s="33" t="s">
        <v>496</v>
      </c>
      <c r="F33" s="45">
        <v>5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3" s="33"/>
      <c r="M33" s="41"/>
      <c r="N33" s="33"/>
      <c r="O33" s="41"/>
      <c r="P33" s="33"/>
      <c r="Q33" s="41"/>
      <c r="R33" s="33"/>
      <c r="S33" s="41"/>
      <c r="T33" s="33"/>
      <c r="U33" s="41"/>
      <c r="V33" s="33" t="s">
        <v>390</v>
      </c>
      <c r="W33" s="41">
        <v>0.127</v>
      </c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33" t="s">
        <v>439</v>
      </c>
      <c r="B34" s="33" t="s">
        <v>391</v>
      </c>
      <c r="C34" s="33" t="s">
        <v>328</v>
      </c>
      <c r="D34" s="33" t="s">
        <v>1138</v>
      </c>
      <c r="E34" s="33" t="s">
        <v>496</v>
      </c>
      <c r="F34" s="45">
        <v>5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4" s="33"/>
      <c r="M34" s="41"/>
      <c r="N34" s="33"/>
      <c r="O34" s="41"/>
      <c r="P34" s="33"/>
      <c r="Q34" s="41"/>
      <c r="R34" s="33"/>
      <c r="S34" s="41"/>
      <c r="T34" s="33"/>
      <c r="U34" s="41"/>
      <c r="V34" s="33" t="s">
        <v>390</v>
      </c>
      <c r="W34" s="41">
        <v>0.127</v>
      </c>
      <c r="X34" s="33"/>
      <c r="Y34" s="41"/>
      <c r="Z34" s="41"/>
      <c r="AA34" s="35"/>
      <c r="AB34" s="43"/>
      <c r="AC34" s="34" t="str">
        <f>IF(Table1[[#This Row],[Auto Order]]=1,IF(Table1[[#This Row],[In stock]]&lt;Table1[[#This Row],[Min in stock]],1,""),"")</f>
        <v/>
      </c>
    </row>
    <row r="35" spans="1:29" x14ac:dyDescent="0.25">
      <c r="A35" s="33" t="str">
        <f>"61304011021"</f>
        <v>61304011021</v>
      </c>
      <c r="B35" s="33" t="s">
        <v>100</v>
      </c>
      <c r="C35" s="33" t="s">
        <v>328</v>
      </c>
      <c r="D35" s="33" t="s">
        <v>545</v>
      </c>
      <c r="E35" s="33" t="s">
        <v>496</v>
      </c>
      <c r="F35" s="45">
        <v>9.65</v>
      </c>
      <c r="G35" s="45">
        <v>2</v>
      </c>
      <c r="H35" s="45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" s="33" t="s">
        <v>421</v>
      </c>
      <c r="M35" s="41">
        <v>1.44</v>
      </c>
      <c r="N35" s="33" t="s">
        <v>99</v>
      </c>
      <c r="O35" s="41">
        <v>1.58</v>
      </c>
      <c r="P35" s="33"/>
      <c r="Q35" s="41"/>
      <c r="R35" s="33"/>
      <c r="S35" s="41"/>
      <c r="T35" s="33"/>
      <c r="U35" s="41"/>
      <c r="V35" s="33"/>
      <c r="W35" s="41"/>
      <c r="X35" s="33"/>
      <c r="Y35" s="41">
        <v>1.58</v>
      </c>
      <c r="Z35" s="41"/>
      <c r="AA35" s="35"/>
      <c r="AB35" s="43"/>
      <c r="AC35" s="34" t="str">
        <f>IF(Table1[[#This Row],[Auto Order]]=1,IF(Table1[[#This Row],[In stock]]&lt;Table1[[#This Row],[Min in stock]],1,""),"")</f>
        <v/>
      </c>
    </row>
    <row r="36" spans="1:29" x14ac:dyDescent="0.25">
      <c r="A36" s="33" t="s">
        <v>429</v>
      </c>
      <c r="B36" s="33" t="s">
        <v>7</v>
      </c>
      <c r="C36" s="33" t="s">
        <v>328</v>
      </c>
      <c r="D36" s="33" t="s">
        <v>541</v>
      </c>
      <c r="E36" s="33" t="s">
        <v>496</v>
      </c>
      <c r="F36" s="45">
        <v>1.3611111111111112</v>
      </c>
      <c r="G36" s="45"/>
      <c r="H36" s="45"/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" s="33" t="s">
        <v>492</v>
      </c>
      <c r="M36" s="41">
        <v>3.12</v>
      </c>
      <c r="N36" s="33" t="s">
        <v>1095</v>
      </c>
      <c r="O36" s="41">
        <v>2.95</v>
      </c>
      <c r="P36" s="33"/>
      <c r="Q36" s="41"/>
      <c r="R36" s="33"/>
      <c r="S36" s="41"/>
      <c r="T36" s="33"/>
      <c r="U36" s="41"/>
      <c r="V36" s="33"/>
      <c r="W36" s="41"/>
      <c r="X36" s="33"/>
      <c r="Y36" s="41">
        <v>2.95</v>
      </c>
      <c r="Z36" s="41"/>
      <c r="AA36" s="35"/>
      <c r="AB36" s="43"/>
      <c r="AC36" s="34" t="str">
        <f>IF(Table1[[#This Row],[Auto Order]]=1,IF(Table1[[#This Row],[In stock]]&lt;Table1[[#This Row],[Min in stock]],1,""),"")</f>
        <v/>
      </c>
    </row>
    <row r="37" spans="1:29" x14ac:dyDescent="0.25">
      <c r="A37" s="72" t="s">
        <v>1100</v>
      </c>
      <c r="B37" s="33" t="s">
        <v>1101</v>
      </c>
      <c r="C37" s="33" t="s">
        <v>328</v>
      </c>
      <c r="D37" s="33" t="s">
        <v>1102</v>
      </c>
      <c r="E37" s="33" t="s">
        <v>496</v>
      </c>
      <c r="F37" s="45">
        <v>1.3611111111111112</v>
      </c>
      <c r="G37" s="45">
        <v>2</v>
      </c>
      <c r="H37" s="45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1103</v>
      </c>
      <c r="M37" s="41">
        <v>0.79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33" t="s">
        <v>185</v>
      </c>
      <c r="B38" s="33" t="s">
        <v>58</v>
      </c>
      <c r="C38" s="33" t="s">
        <v>328</v>
      </c>
      <c r="D38" s="33" t="s">
        <v>79</v>
      </c>
      <c r="E38" s="33" t="s">
        <v>496</v>
      </c>
      <c r="F38" s="45">
        <v>1.8</v>
      </c>
      <c r="G38" s="45">
        <v>1</v>
      </c>
      <c r="H38" s="45">
        <f>1</f>
        <v>1</v>
      </c>
      <c r="I3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8" s="33"/>
      <c r="M38" s="41"/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>
        <v>965083</v>
      </c>
      <c r="Y38" s="41">
        <v>3.18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33" t="s">
        <v>206</v>
      </c>
      <c r="B39" s="33" t="s">
        <v>207</v>
      </c>
      <c r="C39" s="33" t="s">
        <v>328</v>
      </c>
      <c r="D39" s="33" t="s">
        <v>208</v>
      </c>
      <c r="E39" s="33" t="s">
        <v>496</v>
      </c>
      <c r="F39" s="45">
        <v>4</v>
      </c>
      <c r="G39" s="45"/>
      <c r="H39" s="45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205</v>
      </c>
      <c r="M39" s="41">
        <v>1.21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34" t="str">
        <f>IF(Table1[[#This Row],[Auto Order]]=1,IF(Table1[[#This Row],[In stock]]&lt;Table1[[#This Row],[Min in stock]],1,""),"")</f>
        <v/>
      </c>
    </row>
    <row r="40" spans="1:29" x14ac:dyDescent="0.25">
      <c r="A40" s="72" t="s">
        <v>1349</v>
      </c>
      <c r="B40" s="33" t="s">
        <v>1350</v>
      </c>
      <c r="C40" s="33" t="s">
        <v>328</v>
      </c>
      <c r="D40" s="33" t="s">
        <v>1351</v>
      </c>
      <c r="E40" s="33" t="s">
        <v>496</v>
      </c>
      <c r="F40" s="45">
        <v>0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1352</v>
      </c>
      <c r="M40" s="41">
        <v>0.89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47" t="str">
        <f>IF(Table1[[#This Row],[Auto Order]]=1,IF(Table1[[#This Row],[In stock]]&lt;Table1[[#This Row],[Min in stock]],1,""),"")</f>
        <v/>
      </c>
    </row>
    <row r="41" spans="1:29" x14ac:dyDescent="0.25">
      <c r="A41" s="72" t="s">
        <v>1370</v>
      </c>
      <c r="B41" s="33" t="s">
        <v>1106</v>
      </c>
      <c r="C41" s="33" t="s">
        <v>328</v>
      </c>
      <c r="D41" s="33" t="s">
        <v>1371</v>
      </c>
      <c r="E41" s="33" t="s">
        <v>496</v>
      </c>
      <c r="F41" s="45">
        <v>0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1372</v>
      </c>
      <c r="M41" s="41">
        <v>0.72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47" t="str">
        <f>IF(Table1[[#This Row],[Auto Order]]=1,IF(Table1[[#This Row],[In stock]]&lt;Table1[[#This Row],[Min in stock]],1,""),"")</f>
        <v/>
      </c>
    </row>
    <row r="42" spans="1:29" x14ac:dyDescent="0.25">
      <c r="A42" s="72" t="s">
        <v>1367</v>
      </c>
      <c r="B42" s="33" t="s">
        <v>1106</v>
      </c>
      <c r="C42" s="33" t="s">
        <v>328</v>
      </c>
      <c r="D42" s="33" t="s">
        <v>1368</v>
      </c>
      <c r="E42" s="33" t="s">
        <v>496</v>
      </c>
      <c r="F42" s="45">
        <v>0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1369</v>
      </c>
      <c r="M42" s="41">
        <v>0.98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47" t="str">
        <f>IF(Table1[[#This Row],[Auto Order]]=1,IF(Table1[[#This Row],[In stock]]&lt;Table1[[#This Row],[Min in stock]],1,""),"")</f>
        <v/>
      </c>
    </row>
    <row r="43" spans="1:29" x14ac:dyDescent="0.25">
      <c r="A43" s="72" t="s">
        <v>1267</v>
      </c>
      <c r="B43" s="33" t="s">
        <v>1261</v>
      </c>
      <c r="C43" s="33" t="s">
        <v>328</v>
      </c>
      <c r="D43" s="33" t="s">
        <v>1268</v>
      </c>
      <c r="E43" s="33" t="s">
        <v>1032</v>
      </c>
      <c r="F43" s="45">
        <v>0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1269</v>
      </c>
      <c r="M43" s="41">
        <v>0.10199999999999999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47" t="str">
        <f>IF(Table1[[#This Row],[Auto Order]]=1,IF(Table1[[#This Row],[In stock]]&lt;Table1[[#This Row],[Min in stock]],1,""),"")</f>
        <v/>
      </c>
    </row>
    <row r="44" spans="1:29" x14ac:dyDescent="0.25">
      <c r="A44" s="72" t="s">
        <v>1307</v>
      </c>
      <c r="B44" s="33" t="s">
        <v>1261</v>
      </c>
      <c r="C44" s="33" t="s">
        <v>328</v>
      </c>
      <c r="D44" s="33" t="s">
        <v>1308</v>
      </c>
      <c r="E44" s="33" t="s">
        <v>1030</v>
      </c>
      <c r="F44" s="45">
        <v>0</v>
      </c>
      <c r="G44" s="45"/>
      <c r="H44" s="45"/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1309</v>
      </c>
      <c r="M44" s="41">
        <v>0.2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72" t="s">
        <v>1310</v>
      </c>
      <c r="B45" s="33" t="s">
        <v>1261</v>
      </c>
      <c r="C45" s="33" t="s">
        <v>328</v>
      </c>
      <c r="D45" s="33" t="s">
        <v>1311</v>
      </c>
      <c r="E45" s="33" t="s">
        <v>1030</v>
      </c>
      <c r="F45" s="45">
        <v>0</v>
      </c>
      <c r="G45" s="45"/>
      <c r="H45" s="45"/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1312</v>
      </c>
      <c r="M45" s="41">
        <v>0.25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72" t="s">
        <v>1313</v>
      </c>
      <c r="B46" s="33" t="s">
        <v>1261</v>
      </c>
      <c r="C46" s="33" t="s">
        <v>328</v>
      </c>
      <c r="D46" s="33" t="s">
        <v>1314</v>
      </c>
      <c r="E46" s="33" t="s">
        <v>1030</v>
      </c>
      <c r="F46" s="45">
        <v>0</v>
      </c>
      <c r="G46" s="45"/>
      <c r="H46" s="45"/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1315</v>
      </c>
      <c r="M46" s="41">
        <v>0.28000000000000003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 t="str">
        <f>IF(Table1[[#This Row],[Auto Order]]=1,IF(Table1[[#This Row],[In stock]]&lt;Table1[[#This Row],[Min in stock]],1,""),"")</f>
        <v/>
      </c>
    </row>
    <row r="47" spans="1:29" x14ac:dyDescent="0.25">
      <c r="A47" s="72" t="s">
        <v>1316</v>
      </c>
      <c r="B47" s="33" t="s">
        <v>1261</v>
      </c>
      <c r="C47" s="33" t="s">
        <v>328</v>
      </c>
      <c r="D47" s="33" t="s">
        <v>1317</v>
      </c>
      <c r="E47" s="33" t="s">
        <v>1030</v>
      </c>
      <c r="F47" s="45">
        <v>0</v>
      </c>
      <c r="G47" s="45"/>
      <c r="H47" s="45"/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1318</v>
      </c>
      <c r="M47" s="41">
        <v>0.33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72" t="s">
        <v>1319</v>
      </c>
      <c r="B48" s="33" t="s">
        <v>1261</v>
      </c>
      <c r="C48" s="33" t="s">
        <v>328</v>
      </c>
      <c r="D48" s="33" t="s">
        <v>1320</v>
      </c>
      <c r="E48" s="33" t="s">
        <v>1030</v>
      </c>
      <c r="F48" s="45">
        <v>0</v>
      </c>
      <c r="G48" s="45"/>
      <c r="H48" s="45"/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1321</v>
      </c>
      <c r="M48" s="41">
        <v>0.38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72" t="s">
        <v>1325</v>
      </c>
      <c r="B49" s="33" t="s">
        <v>1261</v>
      </c>
      <c r="C49" s="33" t="s">
        <v>328</v>
      </c>
      <c r="D49" s="33" t="s">
        <v>1326</v>
      </c>
      <c r="E49" s="33" t="s">
        <v>1030</v>
      </c>
      <c r="F49" s="45">
        <v>0</v>
      </c>
      <c r="G49" s="45"/>
      <c r="H49" s="45"/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1327</v>
      </c>
      <c r="M49" s="41">
        <v>0.42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72" t="s">
        <v>1322</v>
      </c>
      <c r="B50" s="33" t="s">
        <v>1261</v>
      </c>
      <c r="C50" s="33" t="s">
        <v>328</v>
      </c>
      <c r="D50" s="33" t="s">
        <v>1323</v>
      </c>
      <c r="E50" s="33" t="s">
        <v>1030</v>
      </c>
      <c r="F50" s="45">
        <v>0</v>
      </c>
      <c r="G50" s="45"/>
      <c r="H50" s="45"/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1324</v>
      </c>
      <c r="M50" s="41">
        <v>0.41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72" t="s">
        <v>1298</v>
      </c>
      <c r="B51" s="33" t="s">
        <v>1261</v>
      </c>
      <c r="C51" s="33" t="s">
        <v>328</v>
      </c>
      <c r="D51" s="33" t="s">
        <v>1299</v>
      </c>
      <c r="E51" s="33" t="s">
        <v>1030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1300</v>
      </c>
      <c r="M51" s="41">
        <v>0.56999999999999995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72" t="s">
        <v>1301</v>
      </c>
      <c r="B52" s="33" t="s">
        <v>1261</v>
      </c>
      <c r="C52" s="33" t="s">
        <v>328</v>
      </c>
      <c r="D52" s="33" t="s">
        <v>1302</v>
      </c>
      <c r="E52" s="33" t="s">
        <v>1030</v>
      </c>
      <c r="F52" s="45">
        <v>0</v>
      </c>
      <c r="G52" s="45"/>
      <c r="H52" s="45"/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1303</v>
      </c>
      <c r="M52" s="41">
        <v>0.13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 t="str">
        <f>IF(Table1[[#This Row],[Auto Order]]=1,IF(Table1[[#This Row],[In stock]]&lt;Table1[[#This Row],[Min in stock]],1,""),"")</f>
        <v/>
      </c>
    </row>
    <row r="53" spans="1:29" x14ac:dyDescent="0.25">
      <c r="A53" s="72" t="s">
        <v>1304</v>
      </c>
      <c r="B53" s="33" t="s">
        <v>1261</v>
      </c>
      <c r="C53" s="33" t="s">
        <v>328</v>
      </c>
      <c r="D53" s="33" t="s">
        <v>1305</v>
      </c>
      <c r="E53" s="33" t="s">
        <v>1030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1306</v>
      </c>
      <c r="M53" s="41">
        <v>0.19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72" t="s">
        <v>1273</v>
      </c>
      <c r="B54" s="33" t="s">
        <v>1261</v>
      </c>
      <c r="C54" s="33" t="s">
        <v>328</v>
      </c>
      <c r="D54" s="33" t="s">
        <v>1274</v>
      </c>
      <c r="E54" s="33" t="s">
        <v>1031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1275</v>
      </c>
      <c r="M54" s="41">
        <v>0.24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72" t="s">
        <v>1276</v>
      </c>
      <c r="B55" s="33" t="s">
        <v>1261</v>
      </c>
      <c r="C55" s="33" t="s">
        <v>328</v>
      </c>
      <c r="D55" s="33" t="s">
        <v>1277</v>
      </c>
      <c r="E55" s="33" t="s">
        <v>1031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1278</v>
      </c>
      <c r="M55" s="41">
        <v>0.27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72" t="s">
        <v>1279</v>
      </c>
      <c r="B56" s="33" t="s">
        <v>1261</v>
      </c>
      <c r="C56" s="33" t="s">
        <v>328</v>
      </c>
      <c r="D56" s="33" t="s">
        <v>1280</v>
      </c>
      <c r="E56" s="33" t="s">
        <v>1031</v>
      </c>
      <c r="F56" s="45">
        <v>0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1281</v>
      </c>
      <c r="M56" s="41">
        <v>0.36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47" t="str">
        <f>IF(Table1[[#This Row],[Auto Order]]=1,IF(Table1[[#This Row],[In stock]]&lt;Table1[[#This Row],[Min in stock]],1,""),"")</f>
        <v/>
      </c>
    </row>
    <row r="57" spans="1:29" x14ac:dyDescent="0.25">
      <c r="A57" s="72" t="s">
        <v>1282</v>
      </c>
      <c r="B57" s="33" t="s">
        <v>1261</v>
      </c>
      <c r="C57" s="33" t="s">
        <v>328</v>
      </c>
      <c r="D57" s="33" t="s">
        <v>1283</v>
      </c>
      <c r="E57" s="33" t="s">
        <v>1031</v>
      </c>
      <c r="F57" s="45">
        <v>0</v>
      </c>
      <c r="G57" s="45"/>
      <c r="H57" s="45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1284</v>
      </c>
      <c r="M57" s="41">
        <v>0.42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72" t="s">
        <v>1285</v>
      </c>
      <c r="B58" s="33" t="s">
        <v>1261</v>
      </c>
      <c r="C58" s="33" t="s">
        <v>328</v>
      </c>
      <c r="D58" s="33" t="s">
        <v>1286</v>
      </c>
      <c r="E58" s="33" t="s">
        <v>1031</v>
      </c>
      <c r="F58" s="45">
        <v>0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1287</v>
      </c>
      <c r="M58" s="41">
        <v>0.44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47" t="str">
        <f>IF(Table1[[#This Row],[Auto Order]]=1,IF(Table1[[#This Row],[In stock]]&lt;Table1[[#This Row],[Min in stock]],1,""),"")</f>
        <v/>
      </c>
    </row>
    <row r="59" spans="1:29" x14ac:dyDescent="0.25">
      <c r="A59" s="72" t="s">
        <v>1263</v>
      </c>
      <c r="B59" s="33" t="s">
        <v>1261</v>
      </c>
      <c r="C59" s="33" t="s">
        <v>328</v>
      </c>
      <c r="D59" s="33" t="s">
        <v>1288</v>
      </c>
      <c r="E59" s="33" t="s">
        <v>1031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1262</v>
      </c>
      <c r="M59" s="41">
        <v>0.54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72" t="s">
        <v>1289</v>
      </c>
      <c r="B60" s="33" t="s">
        <v>1261</v>
      </c>
      <c r="C60" s="33" t="s">
        <v>328</v>
      </c>
      <c r="D60" s="33" t="s">
        <v>1290</v>
      </c>
      <c r="E60" s="33" t="s">
        <v>1031</v>
      </c>
      <c r="F60" s="45">
        <v>0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1291</v>
      </c>
      <c r="M60" s="41">
        <v>0.61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47" t="str">
        <f>IF(Table1[[#This Row],[Auto Order]]=1,IF(Table1[[#This Row],[In stock]]&lt;Table1[[#This Row],[Min in stock]],1,""),"")</f>
        <v/>
      </c>
    </row>
    <row r="61" spans="1:29" x14ac:dyDescent="0.25">
      <c r="A61" s="70" t="s">
        <v>1292</v>
      </c>
      <c r="B61" s="33" t="s">
        <v>1261</v>
      </c>
      <c r="C61" s="33" t="s">
        <v>328</v>
      </c>
      <c r="D61" s="33" t="s">
        <v>1293</v>
      </c>
      <c r="E61" s="33" t="s">
        <v>1031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1294</v>
      </c>
      <c r="M61" s="41">
        <v>0.6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70" t="s">
        <v>1295</v>
      </c>
      <c r="B62" s="33" t="s">
        <v>1261</v>
      </c>
      <c r="C62" s="33" t="s">
        <v>328</v>
      </c>
      <c r="D62" s="33" t="s">
        <v>1296</v>
      </c>
      <c r="E62" s="33" t="s">
        <v>1031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1297</v>
      </c>
      <c r="M62" s="41">
        <v>0.74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70" t="s">
        <v>1270</v>
      </c>
      <c r="B63" s="33" t="s">
        <v>1261</v>
      </c>
      <c r="C63" s="33" t="s">
        <v>328</v>
      </c>
      <c r="D63" s="33" t="s">
        <v>1271</v>
      </c>
      <c r="E63" s="33" t="s">
        <v>1031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1272</v>
      </c>
      <c r="M63" s="41">
        <v>0.17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70" t="s">
        <v>1199</v>
      </c>
      <c r="B64" s="33" t="s">
        <v>1200</v>
      </c>
      <c r="C64" s="33" t="s">
        <v>328</v>
      </c>
      <c r="D64" s="33" t="s">
        <v>1201</v>
      </c>
      <c r="E64" s="33" t="s">
        <v>1202</v>
      </c>
      <c r="F64" s="45">
        <v>1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1203</v>
      </c>
      <c r="M64" s="41">
        <v>6.07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73" t="s">
        <v>87</v>
      </c>
      <c r="B65" s="33" t="s">
        <v>41</v>
      </c>
      <c r="C65" s="33" t="s">
        <v>328</v>
      </c>
      <c r="D65" s="33" t="s">
        <v>88</v>
      </c>
      <c r="E65" s="33" t="s">
        <v>504</v>
      </c>
      <c r="F65" s="45">
        <v>100</v>
      </c>
      <c r="G65" s="45">
        <f>10</f>
        <v>10</v>
      </c>
      <c r="H65" s="45">
        <f>1</f>
        <v>1</v>
      </c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5" s="33"/>
      <c r="M65" s="41"/>
      <c r="N65" s="33" t="s">
        <v>145</v>
      </c>
      <c r="O65" s="41">
        <v>5.8900000000000001E-2</v>
      </c>
      <c r="P65" s="33"/>
      <c r="Q65" s="41"/>
      <c r="R65" s="33"/>
      <c r="S65" s="41"/>
      <c r="T65" s="33"/>
      <c r="U65" s="41"/>
      <c r="V65" s="33"/>
      <c r="W65" s="41"/>
      <c r="X65" s="33"/>
      <c r="Y65" s="41">
        <v>5.8900000000000001E-2</v>
      </c>
      <c r="Z65" s="41"/>
      <c r="AA65" s="35"/>
      <c r="AB65" s="43"/>
      <c r="AC65" s="34" t="str">
        <f>IF(Table1[[#This Row],[Auto Order]]=1,IF(Table1[[#This Row],[In stock]]&lt;Table1[[#This Row],[Min in stock]],1,""),"")</f>
        <v/>
      </c>
    </row>
    <row r="66" spans="1:29" x14ac:dyDescent="0.25">
      <c r="A66" s="70" t="s">
        <v>1363</v>
      </c>
      <c r="B66" s="33" t="s">
        <v>1364</v>
      </c>
      <c r="C66" s="33" t="s">
        <v>328</v>
      </c>
      <c r="D66" s="33" t="s">
        <v>1365</v>
      </c>
      <c r="E66" s="33" t="s">
        <v>504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1366</v>
      </c>
      <c r="M66" s="41">
        <v>0.17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73" t="s">
        <v>115</v>
      </c>
      <c r="B67" s="33" t="s">
        <v>113</v>
      </c>
      <c r="C67" s="33" t="s">
        <v>361</v>
      </c>
      <c r="D67" s="33" t="s">
        <v>117</v>
      </c>
      <c r="E67" s="33" t="s">
        <v>524</v>
      </c>
      <c r="F67" s="45">
        <v>10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7" s="33"/>
      <c r="M67" s="41"/>
      <c r="N67" s="33" t="s">
        <v>116</v>
      </c>
      <c r="O67" s="41">
        <v>0.54600000000000004</v>
      </c>
      <c r="P67" s="33"/>
      <c r="Q67" s="41"/>
      <c r="R67" s="33"/>
      <c r="S67" s="41"/>
      <c r="T67" s="33"/>
      <c r="U67" s="41"/>
      <c r="V67" s="33"/>
      <c r="W67" s="41"/>
      <c r="X67" s="33"/>
      <c r="Y67" s="41">
        <v>0.54600000000000004</v>
      </c>
      <c r="Z67" s="41"/>
      <c r="AA67" s="35"/>
      <c r="AB67" s="43"/>
      <c r="AC67" s="34" t="str">
        <f>IF(Table1[[#This Row],[Auto Order]]=1,IF(Table1[[#This Row],[In stock]]&lt;Table1[[#This Row],[Min in stock]],1,""),"")</f>
        <v/>
      </c>
    </row>
    <row r="68" spans="1:29" x14ac:dyDescent="0.25">
      <c r="A68" s="73" t="s">
        <v>112</v>
      </c>
      <c r="B68" s="33" t="s">
        <v>113</v>
      </c>
      <c r="C68" s="33" t="s">
        <v>328</v>
      </c>
      <c r="D68" s="33" t="s">
        <v>111</v>
      </c>
      <c r="E68" s="33" t="s">
        <v>524</v>
      </c>
      <c r="F68" s="45">
        <v>5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3"/>
      <c r="M68" s="41"/>
      <c r="N68" s="33" t="s">
        <v>114</v>
      </c>
      <c r="O68" s="41">
        <v>0.68600000000000005</v>
      </c>
      <c r="P68" s="33"/>
      <c r="Q68" s="41"/>
      <c r="R68" s="33"/>
      <c r="S68" s="41"/>
      <c r="T68" s="33"/>
      <c r="U68" s="41"/>
      <c r="V68" s="33"/>
      <c r="W68" s="41"/>
      <c r="X68" s="33"/>
      <c r="Y68" s="41">
        <v>0.68600000000000005</v>
      </c>
      <c r="Z68" s="41"/>
      <c r="AA68" s="35"/>
      <c r="AB68" s="43"/>
      <c r="AC68" s="34" t="str">
        <f>IF(Table1[[#This Row],[Auto Order]]=1,IF(Table1[[#This Row],[In stock]]&lt;Table1[[#This Row],[Min in stock]],1,""),"")</f>
        <v/>
      </c>
    </row>
    <row r="69" spans="1:29" x14ac:dyDescent="0.25">
      <c r="A69" s="74" t="s">
        <v>1341</v>
      </c>
      <c r="B69" s="33" t="s">
        <v>231</v>
      </c>
      <c r="C69" s="33" t="s">
        <v>328</v>
      </c>
      <c r="D69" s="33" t="s">
        <v>1342</v>
      </c>
      <c r="E69" s="33" t="s">
        <v>1343</v>
      </c>
      <c r="F69" s="45">
        <v>2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69" s="33"/>
      <c r="M69" s="41"/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 t="str">
        <f>Table1[[#This Row],[Art. Number]]</f>
        <v>E-LED-001</v>
      </c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74" t="s">
        <v>1344</v>
      </c>
      <c r="B70" s="33" t="s">
        <v>231</v>
      </c>
      <c r="C70" s="33" t="s">
        <v>328</v>
      </c>
      <c r="D70" s="33" t="s">
        <v>1345</v>
      </c>
      <c r="E70" s="33" t="s">
        <v>1343</v>
      </c>
      <c r="F70" s="45">
        <v>2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70" s="33"/>
      <c r="M70" s="41"/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 t="str">
        <f>Table1[[#This Row],[Art. Number]]</f>
        <v>E-LED-002</v>
      </c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73" t="s">
        <v>178</v>
      </c>
      <c r="B71" s="33" t="s">
        <v>162</v>
      </c>
      <c r="C71" s="33" t="s">
        <v>328</v>
      </c>
      <c r="D71" s="33" t="s">
        <v>179</v>
      </c>
      <c r="E71" s="33" t="s">
        <v>522</v>
      </c>
      <c r="F71" s="45">
        <v>1</v>
      </c>
      <c r="G71" s="45">
        <v>1</v>
      </c>
      <c r="H71" s="45">
        <f>1</f>
        <v>1</v>
      </c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177</v>
      </c>
      <c r="M71" s="41">
        <v>15.95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34" t="str">
        <f>IF(Table1[[#This Row],[Auto Order]]=1,IF(Table1[[#This Row],[In stock]]&lt;Table1[[#This Row],[Min in stock]],1,""),"")</f>
        <v/>
      </c>
    </row>
    <row r="72" spans="1:29" x14ac:dyDescent="0.25">
      <c r="A72" s="70" t="s">
        <v>1240</v>
      </c>
      <c r="B72" s="33" t="s">
        <v>473</v>
      </c>
      <c r="C72" s="33" t="s">
        <v>1416</v>
      </c>
      <c r="D72" s="33" t="s">
        <v>1241</v>
      </c>
      <c r="E72" s="33" t="s">
        <v>495</v>
      </c>
      <c r="F72" s="45">
        <v>4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1242</v>
      </c>
      <c r="M72" s="41">
        <v>0.44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70" t="s">
        <v>472</v>
      </c>
      <c r="B73" s="33" t="s">
        <v>473</v>
      </c>
      <c r="C73" s="33" t="s">
        <v>1415</v>
      </c>
      <c r="D73" s="33" t="s">
        <v>475</v>
      </c>
      <c r="E73" s="33" t="s">
        <v>495</v>
      </c>
      <c r="F73" s="45">
        <v>9</v>
      </c>
      <c r="G73" s="45">
        <v>5</v>
      </c>
      <c r="H73" s="45">
        <v>1</v>
      </c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474</v>
      </c>
      <c r="M73" s="41">
        <v>0.34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34" t="str">
        <f>IF(Table1[[#This Row],[Auto Order]]=1,IF(Table1[[#This Row],[In stock]]&lt;Table1[[#This Row],[Min in stock]],1,""),"")</f>
        <v/>
      </c>
    </row>
    <row r="74" spans="1:29" x14ac:dyDescent="0.25">
      <c r="A74" s="73" t="s">
        <v>164</v>
      </c>
      <c r="B74" s="33" t="s">
        <v>162</v>
      </c>
      <c r="C74" s="33" t="s">
        <v>328</v>
      </c>
      <c r="D74" s="33" t="s">
        <v>165</v>
      </c>
      <c r="E74" s="33" t="s">
        <v>495</v>
      </c>
      <c r="F74" s="45">
        <v>3</v>
      </c>
      <c r="G74" s="45">
        <v>2</v>
      </c>
      <c r="H74" s="45">
        <f>1</f>
        <v>1</v>
      </c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163</v>
      </c>
      <c r="M74" s="41">
        <v>1.82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34" t="str">
        <f>IF(Table1[[#This Row],[Auto Order]]=1,IF(Table1[[#This Row],[In stock]]&lt;Table1[[#This Row],[Min in stock]],1,""),"")</f>
        <v/>
      </c>
    </row>
    <row r="75" spans="1:29" x14ac:dyDescent="0.25">
      <c r="A75" s="73" t="s">
        <v>319</v>
      </c>
      <c r="B75" s="33" t="s">
        <v>320</v>
      </c>
      <c r="C75" s="33" t="s">
        <v>328</v>
      </c>
      <c r="D75" s="33" t="s">
        <v>321</v>
      </c>
      <c r="E75" s="33" t="s">
        <v>495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5" s="33"/>
      <c r="M75" s="41"/>
      <c r="N75" s="33"/>
      <c r="O75" s="41"/>
      <c r="P75" s="33"/>
      <c r="Q75" s="41"/>
      <c r="R75" s="33" t="s">
        <v>318</v>
      </c>
      <c r="S75" s="41">
        <v>0.31</v>
      </c>
      <c r="T75" s="33"/>
      <c r="U75" s="41"/>
      <c r="V75" s="33"/>
      <c r="W75" s="41"/>
      <c r="X75" s="33"/>
      <c r="Y75" s="41"/>
      <c r="Z75" s="41"/>
      <c r="AA75" s="35"/>
      <c r="AB75" s="43"/>
      <c r="AC75" s="34" t="str">
        <f>IF(Table1[[#This Row],[Auto Order]]=1,IF(Table1[[#This Row],[In stock]]&lt;Table1[[#This Row],[Min in stock]],1,""),"")</f>
        <v/>
      </c>
    </row>
    <row r="76" spans="1:29" x14ac:dyDescent="0.25">
      <c r="A76" s="73" t="s">
        <v>315</v>
      </c>
      <c r="B76" s="33" t="s">
        <v>316</v>
      </c>
      <c r="C76" s="33" t="s">
        <v>328</v>
      </c>
      <c r="D76" s="33" t="s">
        <v>317</v>
      </c>
      <c r="E76" s="33" t="s">
        <v>495</v>
      </c>
      <c r="F76" s="45">
        <v>0</v>
      </c>
      <c r="G76" s="45">
        <v>1</v>
      </c>
      <c r="H76" s="45">
        <f>1</f>
        <v>1</v>
      </c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76" s="33"/>
      <c r="M76" s="41"/>
      <c r="N76" s="33"/>
      <c r="O76" s="41"/>
      <c r="P76" s="33" t="s">
        <v>314</v>
      </c>
      <c r="Q76" s="41">
        <v>5.39</v>
      </c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34">
        <f>IF(Table1[[#This Row],[Auto Order]]=1,IF(Table1[[#This Row],[In stock]]&lt;Table1[[#This Row],[Min in stock]],1,""),"")</f>
        <v>1</v>
      </c>
    </row>
    <row r="77" spans="1:29" x14ac:dyDescent="0.25">
      <c r="A77" s="73" t="s">
        <v>16</v>
      </c>
      <c r="B77" s="33" t="s">
        <v>30</v>
      </c>
      <c r="C77" s="33" t="s">
        <v>328</v>
      </c>
      <c r="D77" s="33" t="s">
        <v>15</v>
      </c>
      <c r="E77" s="33" t="s">
        <v>495</v>
      </c>
      <c r="F77" s="45">
        <v>14</v>
      </c>
      <c r="G77" s="45">
        <v>2</v>
      </c>
      <c r="H77" s="45">
        <f>1</f>
        <v>1</v>
      </c>
      <c r="I7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7" s="33"/>
      <c r="M77" s="41"/>
      <c r="N77" s="33">
        <v>2461217</v>
      </c>
      <c r="O77" s="41">
        <v>0.20200000000000001</v>
      </c>
      <c r="P77" s="33"/>
      <c r="Q77" s="41"/>
      <c r="R77" s="33"/>
      <c r="S77" s="41"/>
      <c r="T77" s="33"/>
      <c r="U77" s="41"/>
      <c r="V77" s="33"/>
      <c r="W77" s="41"/>
      <c r="X77" s="33"/>
      <c r="Y77" s="41">
        <v>0.20200000000000001</v>
      </c>
      <c r="Z77" s="41"/>
      <c r="AA77" s="35"/>
      <c r="AB77" s="43"/>
      <c r="AC77" s="34" t="str">
        <f>IF(Table1[[#This Row],[Auto Order]]=1,IF(Table1[[#This Row],[In stock]]&lt;Table1[[#This Row],[Min in stock]],1,""),"")</f>
        <v/>
      </c>
    </row>
    <row r="78" spans="1:29" x14ac:dyDescent="0.25">
      <c r="A78" s="73" t="s">
        <v>444</v>
      </c>
      <c r="B78" s="33" t="s">
        <v>266</v>
      </c>
      <c r="C78" s="33" t="s">
        <v>328</v>
      </c>
      <c r="D78" s="33" t="s">
        <v>267</v>
      </c>
      <c r="E78" s="33" t="s">
        <v>495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265</v>
      </c>
      <c r="M78" s="41">
        <v>0.62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34" t="str">
        <f>IF(Table1[[#This Row],[Auto Order]]=1,IF(Table1[[#This Row],[In stock]]&lt;Table1[[#This Row],[Min in stock]],1,""),"")</f>
        <v/>
      </c>
    </row>
    <row r="79" spans="1:29" x14ac:dyDescent="0.25">
      <c r="A79" s="73" t="s">
        <v>268</v>
      </c>
      <c r="B79" s="33" t="s">
        <v>266</v>
      </c>
      <c r="C79" s="33" t="s">
        <v>1417</v>
      </c>
      <c r="D79" s="33" t="s">
        <v>269</v>
      </c>
      <c r="E79" s="33" t="s">
        <v>495</v>
      </c>
      <c r="F79" s="45">
        <v>3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409</v>
      </c>
      <c r="M79" s="41">
        <v>0.97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34" t="str">
        <f>IF(Table1[[#This Row],[Auto Order]]=1,IF(Table1[[#This Row],[In stock]]&lt;Table1[[#This Row],[Min in stock]],1,""),"")</f>
        <v/>
      </c>
    </row>
    <row r="80" spans="1:29" x14ac:dyDescent="0.25">
      <c r="A80" s="73" t="s">
        <v>250</v>
      </c>
      <c r="B80" s="33" t="s">
        <v>251</v>
      </c>
      <c r="C80" s="33" t="s">
        <v>328</v>
      </c>
      <c r="D80" s="33" t="s">
        <v>252</v>
      </c>
      <c r="E80" s="33" t="s">
        <v>516</v>
      </c>
      <c r="F80" s="45">
        <v>2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0" s="33" t="s">
        <v>420</v>
      </c>
      <c r="M80" s="41">
        <v>1.34</v>
      </c>
      <c r="N80" s="33"/>
      <c r="O80" s="41"/>
      <c r="P80" s="33" t="s">
        <v>249</v>
      </c>
      <c r="Q80" s="41">
        <v>1.04</v>
      </c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34" t="str">
        <f>IF(Table1[[#This Row],[Auto Order]]=1,IF(Table1[[#This Row],[In stock]]&lt;Table1[[#This Row],[Min in stock]],1,""),"")</f>
        <v/>
      </c>
    </row>
    <row r="81" spans="1:29" x14ac:dyDescent="0.25">
      <c r="A81" s="73" t="s">
        <v>22</v>
      </c>
      <c r="B81" s="33" t="s">
        <v>85</v>
      </c>
      <c r="C81" s="33" t="s">
        <v>373</v>
      </c>
      <c r="D81" s="33" t="s">
        <v>21</v>
      </c>
      <c r="E81" s="33" t="s">
        <v>516</v>
      </c>
      <c r="F81" s="45">
        <v>3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1" s="33" t="s">
        <v>431</v>
      </c>
      <c r="M81" s="41">
        <v>0.52</v>
      </c>
      <c r="N81" s="33" t="s">
        <v>372</v>
      </c>
      <c r="O81" s="41">
        <v>0.51600000000000001</v>
      </c>
      <c r="P81" s="33"/>
      <c r="Q81" s="41"/>
      <c r="R81" s="33"/>
      <c r="S81" s="41"/>
      <c r="T81" s="33"/>
      <c r="U81" s="41"/>
      <c r="V81" s="33"/>
      <c r="W81" s="41"/>
      <c r="X81" s="33"/>
      <c r="Y81" s="41">
        <v>0.51600000000000001</v>
      </c>
      <c r="Z81" s="41"/>
      <c r="AA81" s="35"/>
      <c r="AB81" s="43"/>
      <c r="AC81" s="34" t="str">
        <f>IF(Table1[[#This Row],[Auto Order]]=1,IF(Table1[[#This Row],[In stock]]&lt;Table1[[#This Row],[Min in stock]],1,""),"")</f>
        <v/>
      </c>
    </row>
    <row r="82" spans="1:29" x14ac:dyDescent="0.25">
      <c r="A82" s="70" t="s">
        <v>1225</v>
      </c>
      <c r="B82" s="33" t="s">
        <v>73</v>
      </c>
      <c r="C82" s="33" t="s">
        <v>1411</v>
      </c>
      <c r="D82" s="33" t="s">
        <v>1226</v>
      </c>
      <c r="E82" s="33" t="s">
        <v>516</v>
      </c>
      <c r="F82" s="45">
        <v>2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1227</v>
      </c>
      <c r="M82" s="41">
        <v>2.16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73" t="s">
        <v>20</v>
      </c>
      <c r="B83" s="33" t="s">
        <v>85</v>
      </c>
      <c r="C83" s="33" t="s">
        <v>375</v>
      </c>
      <c r="D83" s="33" t="s">
        <v>1093</v>
      </c>
      <c r="E83" s="33" t="s">
        <v>516</v>
      </c>
      <c r="F83" s="45">
        <v>8</v>
      </c>
      <c r="G83" s="45">
        <v>1</v>
      </c>
      <c r="H83" s="45">
        <f>1</f>
        <v>1</v>
      </c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3" s="33"/>
      <c r="M83" s="41"/>
      <c r="N83" s="33" t="s">
        <v>374</v>
      </c>
      <c r="O83" s="41">
        <v>0.57499999999999996</v>
      </c>
      <c r="P83" s="33"/>
      <c r="Q83" s="41"/>
      <c r="R83" s="33"/>
      <c r="S83" s="41"/>
      <c r="T83" s="33"/>
      <c r="U83" s="41"/>
      <c r="V83" s="33"/>
      <c r="W83" s="41"/>
      <c r="X83" s="33"/>
      <c r="Y83" s="41">
        <v>0.57499999999999996</v>
      </c>
      <c r="Z83" s="41"/>
      <c r="AA83" s="35"/>
      <c r="AB83" s="43"/>
      <c r="AC83" s="34" t="str">
        <f>IF(Table1[[#This Row],[Auto Order]]=1,IF(Table1[[#This Row],[In stock]]&lt;Table1[[#This Row],[Min in stock]],1,""),"")</f>
        <v/>
      </c>
    </row>
    <row r="84" spans="1:29" x14ac:dyDescent="0.25">
      <c r="A84" s="70" t="s">
        <v>1126</v>
      </c>
      <c r="B84" s="33" t="s">
        <v>73</v>
      </c>
      <c r="C84" s="33" t="s">
        <v>1409</v>
      </c>
      <c r="D84" s="33" t="s">
        <v>1127</v>
      </c>
      <c r="E84" s="33" t="s">
        <v>516</v>
      </c>
      <c r="F84" s="45">
        <v>2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1128</v>
      </c>
      <c r="M84" s="41">
        <v>0.32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73" t="s">
        <v>197</v>
      </c>
      <c r="B85" s="33" t="s">
        <v>200</v>
      </c>
      <c r="C85" s="33" t="s">
        <v>383</v>
      </c>
      <c r="D85" s="33" t="s">
        <v>198</v>
      </c>
      <c r="E85" s="33" t="s">
        <v>516</v>
      </c>
      <c r="F85" s="45">
        <v>4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199</v>
      </c>
      <c r="M85" s="41">
        <v>2.64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34" t="str">
        <f>IF(Table1[[#This Row],[Auto Order]]=1,IF(Table1[[#This Row],[In stock]]&lt;Table1[[#This Row],[Min in stock]],1,""),"")</f>
        <v/>
      </c>
    </row>
    <row r="86" spans="1:29" x14ac:dyDescent="0.25">
      <c r="A86" s="73" t="s">
        <v>442</v>
      </c>
      <c r="B86" s="33" t="s">
        <v>1145</v>
      </c>
      <c r="C86" s="33" t="s">
        <v>328</v>
      </c>
      <c r="D86" s="33" t="s">
        <v>244</v>
      </c>
      <c r="E86" s="33" t="s">
        <v>511</v>
      </c>
      <c r="F86" s="45">
        <v>1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243</v>
      </c>
      <c r="M86" s="41">
        <v>0.72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34" t="str">
        <f>IF(Table1[[#This Row],[Auto Order]]=1,IF(Table1[[#This Row],[In stock]]&lt;Table1[[#This Row],[Min in stock]],1,""),"")</f>
        <v/>
      </c>
    </row>
    <row r="87" spans="1:29" x14ac:dyDescent="0.25">
      <c r="A87" s="73" t="s">
        <v>441</v>
      </c>
      <c r="B87" s="33" t="s">
        <v>1145</v>
      </c>
      <c r="C87" s="33" t="s">
        <v>328</v>
      </c>
      <c r="D87" s="33" t="s">
        <v>242</v>
      </c>
      <c r="E87" s="33" t="s">
        <v>511</v>
      </c>
      <c r="F87" s="45">
        <v>1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241</v>
      </c>
      <c r="M87" s="41">
        <v>0.93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34" t="str">
        <f>IF(Table1[[#This Row],[Auto Order]]=1,IF(Table1[[#This Row],[In stock]]&lt;Table1[[#This Row],[Min in stock]],1,""),"")</f>
        <v/>
      </c>
    </row>
    <row r="88" spans="1:29" x14ac:dyDescent="0.25">
      <c r="A88" s="73" t="s">
        <v>104</v>
      </c>
      <c r="B88" s="33" t="s">
        <v>82</v>
      </c>
      <c r="C88" s="33" t="s">
        <v>328</v>
      </c>
      <c r="D88" s="33" t="s">
        <v>25</v>
      </c>
      <c r="E88" s="33" t="s">
        <v>507</v>
      </c>
      <c r="F88" s="45">
        <v>100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8" s="33" t="s">
        <v>425</v>
      </c>
      <c r="M88" s="41">
        <v>0.26</v>
      </c>
      <c r="N88" s="33" t="s">
        <v>150</v>
      </c>
      <c r="O88" s="41">
        <v>0.112</v>
      </c>
      <c r="P88" s="33"/>
      <c r="Q88" s="41"/>
      <c r="R88" s="33"/>
      <c r="S88" s="41"/>
      <c r="T88" s="33"/>
      <c r="U88" s="41"/>
      <c r="V88" s="33"/>
      <c r="W88" s="41"/>
      <c r="X88" s="33"/>
      <c r="Y88" s="41">
        <v>0.112</v>
      </c>
      <c r="Z88" s="41"/>
      <c r="AA88" s="35"/>
      <c r="AB88" s="43"/>
      <c r="AC88" s="34" t="str">
        <f>IF(Table1[[#This Row],[Auto Order]]=1,IF(Table1[[#This Row],[In stock]]&lt;Table1[[#This Row],[Min in stock]],1,""),"")</f>
        <v/>
      </c>
    </row>
    <row r="89" spans="1:29" x14ac:dyDescent="0.25">
      <c r="A89" s="70" t="s">
        <v>1105</v>
      </c>
      <c r="B89" s="33" t="s">
        <v>1106</v>
      </c>
      <c r="C89" s="33" t="s">
        <v>328</v>
      </c>
      <c r="D89" s="33" t="s">
        <v>1107</v>
      </c>
      <c r="E89" s="33" t="s">
        <v>507</v>
      </c>
      <c r="F89" s="45">
        <v>31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1108</v>
      </c>
      <c r="M89" s="41">
        <v>3.6999999999999998E-2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74" t="s">
        <v>1118</v>
      </c>
      <c r="B90" s="33" t="s">
        <v>1119</v>
      </c>
      <c r="C90" s="33" t="s">
        <v>1412</v>
      </c>
      <c r="D90" s="33" t="s">
        <v>1120</v>
      </c>
      <c r="E90" s="33" t="s">
        <v>517</v>
      </c>
      <c r="F90" s="45">
        <v>2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1121</v>
      </c>
      <c r="M90" s="41">
        <v>0.9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47" t="str">
        <f>IF(Table1[[#This Row],[Auto Order]]=1,IF(Table1[[#This Row],[In stock]]&lt;Table1[[#This Row],[Min in stock]],1,""),"")</f>
        <v/>
      </c>
    </row>
    <row r="91" spans="1:29" x14ac:dyDescent="0.25">
      <c r="A91" s="73" t="s">
        <v>173</v>
      </c>
      <c r="B91" s="33" t="s">
        <v>162</v>
      </c>
      <c r="C91" s="33" t="s">
        <v>1404</v>
      </c>
      <c r="D91" s="33" t="s">
        <v>174</v>
      </c>
      <c r="E91" s="33" t="s">
        <v>517</v>
      </c>
      <c r="F91" s="45">
        <v>1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172</v>
      </c>
      <c r="M91" s="41">
        <v>1.82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34" t="str">
        <f>IF(Table1[[#This Row],[Auto Order]]=1,IF(Table1[[#This Row],[In stock]]&lt;Table1[[#This Row],[Min in stock]],1,""),"")</f>
        <v/>
      </c>
    </row>
    <row r="92" spans="1:29" x14ac:dyDescent="0.25">
      <c r="A92" s="73" t="s">
        <v>202</v>
      </c>
      <c r="B92" s="33" t="s">
        <v>73</v>
      </c>
      <c r="C92" s="33" t="s">
        <v>379</v>
      </c>
      <c r="D92" s="33" t="s">
        <v>203</v>
      </c>
      <c r="E92" s="33" t="s">
        <v>517</v>
      </c>
      <c r="F92" s="45">
        <v>24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204</v>
      </c>
      <c r="M92" s="41">
        <v>0.11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34" t="str">
        <f>IF(Table1[[#This Row],[Auto Order]]=1,IF(Table1[[#This Row],[In stock]]&lt;Table1[[#This Row],[Min in stock]],1,""),"")</f>
        <v/>
      </c>
    </row>
    <row r="93" spans="1:29" x14ac:dyDescent="0.25">
      <c r="A93" s="73" t="s">
        <v>24</v>
      </c>
      <c r="B93" s="33" t="s">
        <v>41</v>
      </c>
      <c r="C93" s="33" t="s">
        <v>377</v>
      </c>
      <c r="D93" s="33" t="s">
        <v>23</v>
      </c>
      <c r="E93" s="33" t="s">
        <v>517</v>
      </c>
      <c r="F93" s="45">
        <v>6</v>
      </c>
      <c r="G93" s="45">
        <v>10</v>
      </c>
      <c r="H93" s="45">
        <f>1</f>
        <v>1</v>
      </c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3" s="33" t="s">
        <v>432</v>
      </c>
      <c r="M93" s="41">
        <v>0.35</v>
      </c>
      <c r="N93" s="33" t="s">
        <v>376</v>
      </c>
      <c r="O93" s="41">
        <v>0.26500000000000001</v>
      </c>
      <c r="P93" s="33"/>
      <c r="Q93" s="41"/>
      <c r="R93" s="33"/>
      <c r="S93" s="41"/>
      <c r="T93" s="33"/>
      <c r="U93" s="41"/>
      <c r="V93" s="33"/>
      <c r="W93" s="41"/>
      <c r="X93" s="33"/>
      <c r="Y93" s="41">
        <v>0.26500000000000001</v>
      </c>
      <c r="Z93" s="41"/>
      <c r="AA93" s="35"/>
      <c r="AB93" s="43"/>
      <c r="AC93" s="34">
        <f>IF(Table1[[#This Row],[Auto Order]]=1,IF(Table1[[#This Row],[In stock]]&lt;Table1[[#This Row],[Min in stock]],1,""),"")</f>
        <v>1</v>
      </c>
    </row>
    <row r="94" spans="1:29" x14ac:dyDescent="0.25">
      <c r="A94" s="73" t="s">
        <v>210</v>
      </c>
      <c r="B94" s="33" t="s">
        <v>146</v>
      </c>
      <c r="C94" s="33" t="s">
        <v>387</v>
      </c>
      <c r="D94" s="33" t="s">
        <v>1153</v>
      </c>
      <c r="E94" s="33" t="s">
        <v>503</v>
      </c>
      <c r="F94" s="45">
        <v>4</v>
      </c>
      <c r="G94" s="45">
        <f>10</f>
        <v>10</v>
      </c>
      <c r="H94" s="45">
        <f>1</f>
        <v>1</v>
      </c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209</v>
      </c>
      <c r="M94" s="41">
        <v>0.14000000000000001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34">
        <f>IF(Table1[[#This Row],[Auto Order]]=1,IF(Table1[[#This Row],[In stock]]&lt;Table1[[#This Row],[Min in stock]],1,""),"")</f>
        <v>1</v>
      </c>
    </row>
    <row r="95" spans="1:29" x14ac:dyDescent="0.25">
      <c r="A95" s="70" t="s">
        <v>1219</v>
      </c>
      <c r="B95" s="33" t="s">
        <v>146</v>
      </c>
      <c r="C95" s="33" t="s">
        <v>1249</v>
      </c>
      <c r="D95" s="33" t="s">
        <v>1220</v>
      </c>
      <c r="E95" s="33" t="s">
        <v>503</v>
      </c>
      <c r="F95" s="45">
        <v>8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1221</v>
      </c>
      <c r="M95" s="41">
        <v>0.17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73" t="s">
        <v>127</v>
      </c>
      <c r="B96" s="33" t="s">
        <v>146</v>
      </c>
      <c r="C96" s="33" t="s">
        <v>1407</v>
      </c>
      <c r="D96" s="33" t="s">
        <v>128</v>
      </c>
      <c r="E96" s="33" t="s">
        <v>503</v>
      </c>
      <c r="F96" s="45">
        <v>3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126</v>
      </c>
      <c r="M96" s="41">
        <v>0.45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34" t="str">
        <f>IF(Table1[[#This Row],[Auto Order]]=1,IF(Table1[[#This Row],[In stock]]&lt;Table1[[#This Row],[Min in stock]],1,""),"")</f>
        <v/>
      </c>
    </row>
    <row r="97" spans="1:29" x14ac:dyDescent="0.25">
      <c r="A97" s="73" t="s">
        <v>31</v>
      </c>
      <c r="B97" s="33" t="s">
        <v>30</v>
      </c>
      <c r="C97" s="33" t="s">
        <v>328</v>
      </c>
      <c r="D97" s="33" t="s">
        <v>29</v>
      </c>
      <c r="E97" s="33" t="s">
        <v>503</v>
      </c>
      <c r="F97" s="45">
        <v>3</v>
      </c>
      <c r="G97" s="45">
        <v>2</v>
      </c>
      <c r="H97" s="45">
        <f>1</f>
        <v>1</v>
      </c>
      <c r="I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7" s="33"/>
      <c r="M97" s="41"/>
      <c r="N97" s="33">
        <v>2112100</v>
      </c>
      <c r="O97" s="41">
        <v>0.28999999999999998</v>
      </c>
      <c r="P97" s="33"/>
      <c r="Q97" s="41"/>
      <c r="R97" s="33"/>
      <c r="S97" s="41"/>
      <c r="T97" s="33"/>
      <c r="U97" s="41"/>
      <c r="V97" s="33"/>
      <c r="W97" s="41"/>
      <c r="X97" s="33"/>
      <c r="Y97" s="41">
        <v>0.28999999999999998</v>
      </c>
      <c r="Z97" s="41"/>
      <c r="AA97" s="35"/>
      <c r="AB97" s="43"/>
      <c r="AC97" s="34" t="str">
        <f>IF(Table1[[#This Row],[Auto Order]]=1,IF(Table1[[#This Row],[In stock]]&lt;Table1[[#This Row],[Min in stock]],1,""),"")</f>
        <v/>
      </c>
    </row>
    <row r="98" spans="1:29" x14ac:dyDescent="0.25">
      <c r="A98" s="73" t="s">
        <v>211</v>
      </c>
      <c r="B98" s="33" t="s">
        <v>147</v>
      </c>
      <c r="C98" s="33" t="s">
        <v>386</v>
      </c>
      <c r="D98" s="33" t="s">
        <v>1110</v>
      </c>
      <c r="E98" s="33" t="s">
        <v>503</v>
      </c>
      <c r="F98" s="45">
        <v>6</v>
      </c>
      <c r="G98" s="45">
        <v>10</v>
      </c>
      <c r="H98" s="45">
        <v>1</v>
      </c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1054</v>
      </c>
      <c r="M98" s="41">
        <v>0.52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34">
        <f>IF(Table1[[#This Row],[Auto Order]]=1,IF(Table1[[#This Row],[In stock]]&lt;Table1[[#This Row],[Min in stock]],1,""),"")</f>
        <v>1</v>
      </c>
    </row>
    <row r="99" spans="1:29" x14ac:dyDescent="0.25">
      <c r="A99" s="73" t="s">
        <v>130</v>
      </c>
      <c r="B99" s="33" t="s">
        <v>147</v>
      </c>
      <c r="C99" s="33" t="s">
        <v>1406</v>
      </c>
      <c r="D99" s="33" t="s">
        <v>131</v>
      </c>
      <c r="E99" s="33" t="s">
        <v>503</v>
      </c>
      <c r="F99" s="45">
        <v>2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129</v>
      </c>
      <c r="M99" s="41">
        <v>2.52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34" t="str">
        <f>IF(Table1[[#This Row],[Auto Order]]=1,IF(Table1[[#This Row],[In stock]]&lt;Table1[[#This Row],[Min in stock]],1,""),"")</f>
        <v/>
      </c>
    </row>
    <row r="100" spans="1:29" x14ac:dyDescent="0.25">
      <c r="A100" s="73" t="s">
        <v>122</v>
      </c>
      <c r="B100" s="33" t="s">
        <v>113</v>
      </c>
      <c r="C100" s="33" t="s">
        <v>378</v>
      </c>
      <c r="D100" s="33" t="s">
        <v>121</v>
      </c>
      <c r="E100" s="33" t="s">
        <v>523</v>
      </c>
      <c r="F100" s="45">
        <v>5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0" s="33"/>
      <c r="M100" s="41"/>
      <c r="N100" s="33" t="s">
        <v>123</v>
      </c>
      <c r="O100" s="41">
        <v>0.27100000000000002</v>
      </c>
      <c r="P100" s="33"/>
      <c r="Q100" s="41"/>
      <c r="R100" s="33"/>
      <c r="S100" s="41"/>
      <c r="T100" s="33"/>
      <c r="U100" s="41"/>
      <c r="V100" s="33"/>
      <c r="W100" s="41"/>
      <c r="X100" s="33"/>
      <c r="Y100" s="41">
        <v>0.27100000000000002</v>
      </c>
      <c r="Z100" s="41"/>
      <c r="AA100" s="35"/>
      <c r="AB100" s="43"/>
      <c r="AC100" s="34" t="str">
        <f>IF(Table1[[#This Row],[Auto Order]]=1,IF(Table1[[#This Row],[In stock]]&lt;Table1[[#This Row],[Min in stock]],1,""),"")</f>
        <v/>
      </c>
    </row>
    <row r="101" spans="1:29" x14ac:dyDescent="0.25">
      <c r="A101" s="73" t="s">
        <v>9</v>
      </c>
      <c r="B101" s="33" t="s">
        <v>7</v>
      </c>
      <c r="C101" s="33" t="s">
        <v>370</v>
      </c>
      <c r="D101" s="33" t="s">
        <v>10</v>
      </c>
      <c r="E101" s="33" t="s">
        <v>523</v>
      </c>
      <c r="F101" s="45">
        <v>4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1" s="33"/>
      <c r="M101" s="41"/>
      <c r="N101" s="33" t="s">
        <v>369</v>
      </c>
      <c r="O101" s="41">
        <v>0.33100000000000002</v>
      </c>
      <c r="P101" s="33"/>
      <c r="Q101" s="41"/>
      <c r="R101" s="33"/>
      <c r="S101" s="41"/>
      <c r="T101" s="33"/>
      <c r="U101" s="41"/>
      <c r="V101" s="33"/>
      <c r="W101" s="41"/>
      <c r="X101" s="33"/>
      <c r="Y101" s="41">
        <v>0.33100000000000002</v>
      </c>
      <c r="Z101" s="41"/>
      <c r="AA101" s="35"/>
      <c r="AB101" s="43"/>
      <c r="AC101" s="34" t="str">
        <f>IF(Table1[[#This Row],[Auto Order]]=1,IF(Table1[[#This Row],[In stock]]&lt;Table1[[#This Row],[Min in stock]],1,""),"")</f>
        <v/>
      </c>
    </row>
    <row r="102" spans="1:29" x14ac:dyDescent="0.25">
      <c r="A102" s="70" t="s">
        <v>1216</v>
      </c>
      <c r="B102" s="33" t="s">
        <v>73</v>
      </c>
      <c r="C102" s="33" t="s">
        <v>1413</v>
      </c>
      <c r="D102" s="33" t="s">
        <v>1217</v>
      </c>
      <c r="E102" s="33" t="s">
        <v>520</v>
      </c>
      <c r="F102" s="45">
        <v>1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1218</v>
      </c>
      <c r="M102" s="41">
        <v>0.74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70" t="s">
        <v>1222</v>
      </c>
      <c r="B103" s="33" t="s">
        <v>73</v>
      </c>
      <c r="C103" s="33" t="s">
        <v>328</v>
      </c>
      <c r="D103" s="33" t="s">
        <v>1223</v>
      </c>
      <c r="E103" s="33" t="s">
        <v>520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1224</v>
      </c>
      <c r="M103" s="41">
        <v>1.02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73" t="s">
        <v>139</v>
      </c>
      <c r="B104" s="33" t="s">
        <v>73</v>
      </c>
      <c r="C104" s="33" t="s">
        <v>328</v>
      </c>
      <c r="D104" s="33" t="s">
        <v>140</v>
      </c>
      <c r="E104" s="33" t="s">
        <v>520</v>
      </c>
      <c r="F104" s="45">
        <v>3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138</v>
      </c>
      <c r="M104" s="41">
        <v>1.53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34" t="str">
        <f>IF(Table1[[#This Row],[Auto Order]]=1,IF(Table1[[#This Row],[In stock]]&lt;Table1[[#This Row],[Min in stock]],1,""),"")</f>
        <v/>
      </c>
    </row>
    <row r="105" spans="1:29" x14ac:dyDescent="0.25">
      <c r="A105" s="73" t="s">
        <v>74</v>
      </c>
      <c r="B105" s="33" t="s">
        <v>73</v>
      </c>
      <c r="C105" s="33" t="s">
        <v>328</v>
      </c>
      <c r="D105" s="33" t="s">
        <v>72</v>
      </c>
      <c r="E105" s="33" t="s">
        <v>520</v>
      </c>
      <c r="F105" s="45">
        <v>2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71</v>
      </c>
      <c r="M105" s="41">
        <v>1.57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34" t="str">
        <f>IF(Table1[[#This Row],[Auto Order]]=1,IF(Table1[[#This Row],[In stock]]&lt;Table1[[#This Row],[Min in stock]],1,""),"")</f>
        <v/>
      </c>
    </row>
    <row r="106" spans="1:29" x14ac:dyDescent="0.25">
      <c r="A106" s="73" t="s">
        <v>133</v>
      </c>
      <c r="B106" s="33" t="s">
        <v>73</v>
      </c>
      <c r="C106" s="33" t="s">
        <v>381</v>
      </c>
      <c r="D106" s="33" t="s">
        <v>134</v>
      </c>
      <c r="E106" s="33" t="s">
        <v>520</v>
      </c>
      <c r="F106" s="45">
        <v>2</v>
      </c>
      <c r="G106" s="45">
        <v>1</v>
      </c>
      <c r="H106" s="45">
        <f>1</f>
        <v>1</v>
      </c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132</v>
      </c>
      <c r="M106" s="41">
        <v>1.47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34" t="str">
        <f>IF(Table1[[#This Row],[Auto Order]]=1,IF(Table1[[#This Row],[In stock]]&lt;Table1[[#This Row],[Min in stock]],1,""),"")</f>
        <v/>
      </c>
    </row>
    <row r="107" spans="1:29" x14ac:dyDescent="0.25">
      <c r="A107" s="73" t="s">
        <v>196</v>
      </c>
      <c r="B107" s="33" t="s">
        <v>73</v>
      </c>
      <c r="C107" s="33" t="s">
        <v>382</v>
      </c>
      <c r="D107" s="33" t="s">
        <v>195</v>
      </c>
      <c r="E107" s="33" t="s">
        <v>520</v>
      </c>
      <c r="F107" s="45">
        <v>4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201</v>
      </c>
      <c r="M107" s="41">
        <v>0.92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34" t="str">
        <f>IF(Table1[[#This Row],[Auto Order]]=1,IF(Table1[[#This Row],[In stock]]&lt;Table1[[#This Row],[Min in stock]],1,""),"")</f>
        <v/>
      </c>
    </row>
    <row r="108" spans="1:29" x14ac:dyDescent="0.25">
      <c r="A108" s="73" t="s">
        <v>136</v>
      </c>
      <c r="B108" s="33" t="s">
        <v>73</v>
      </c>
      <c r="C108" s="33" t="s">
        <v>380</v>
      </c>
      <c r="D108" s="33" t="s">
        <v>137</v>
      </c>
      <c r="E108" s="33" t="s">
        <v>520</v>
      </c>
      <c r="F108" s="45">
        <v>3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135</v>
      </c>
      <c r="M108" s="41">
        <v>1.43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34" t="str">
        <f>IF(Table1[[#This Row],[Auto Order]]=1,IF(Table1[[#This Row],[In stock]]&lt;Table1[[#This Row],[Min in stock]],1,""),"")</f>
        <v/>
      </c>
    </row>
    <row r="109" spans="1:29" x14ac:dyDescent="0.25">
      <c r="A109" s="70" t="s">
        <v>469</v>
      </c>
      <c r="B109" s="33" t="s">
        <v>73</v>
      </c>
      <c r="C109" s="33" t="s">
        <v>1408</v>
      </c>
      <c r="D109" s="33" t="s">
        <v>471</v>
      </c>
      <c r="E109" s="33" t="s">
        <v>520</v>
      </c>
      <c r="F109" s="45">
        <v>1</v>
      </c>
      <c r="G109" s="45">
        <v>1</v>
      </c>
      <c r="H109" s="45">
        <v>1</v>
      </c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470</v>
      </c>
      <c r="M109" s="41">
        <v>1.78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34" t="str">
        <f>IF(Table1[[#This Row],[Auto Order]]=1,IF(Table1[[#This Row],[In stock]]&lt;Table1[[#This Row],[Min in stock]],1,""),"")</f>
        <v/>
      </c>
    </row>
    <row r="110" spans="1:29" x14ac:dyDescent="0.25">
      <c r="A110" s="70" t="s">
        <v>1388</v>
      </c>
      <c r="B110" s="33" t="s">
        <v>236</v>
      </c>
      <c r="C110" s="33" t="s">
        <v>328</v>
      </c>
      <c r="D110" s="33" t="s">
        <v>471</v>
      </c>
      <c r="E110" s="33" t="s">
        <v>520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1388</v>
      </c>
      <c r="M110" s="41">
        <v>1.8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73">
        <v>912951</v>
      </c>
      <c r="B111" s="33" t="s">
        <v>58</v>
      </c>
      <c r="C111" s="33" t="s">
        <v>328</v>
      </c>
      <c r="D111" s="33" t="s">
        <v>77</v>
      </c>
      <c r="E111" s="33" t="s">
        <v>497</v>
      </c>
      <c r="F111" s="45">
        <v>0</v>
      </c>
      <c r="G111" s="45"/>
      <c r="H111" s="45"/>
      <c r="I11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1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1" s="33"/>
      <c r="M111" s="41"/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>
        <v>912951</v>
      </c>
      <c r="Y111" s="41">
        <v>3.43</v>
      </c>
      <c r="Z111" s="41"/>
      <c r="AA111" s="35"/>
      <c r="AB111" s="43"/>
      <c r="AC111" s="34" t="str">
        <f>IF(Table1[[#This Row],[Auto Order]]=1,IF(Table1[[#This Row],[In stock]]&lt;Table1[[#This Row],[Min in stock]],1,""),"")</f>
        <v/>
      </c>
    </row>
    <row r="112" spans="1:29" x14ac:dyDescent="0.25">
      <c r="A112" s="73" t="s">
        <v>184</v>
      </c>
      <c r="B112" s="33" t="s">
        <v>58</v>
      </c>
      <c r="C112" s="33" t="s">
        <v>328</v>
      </c>
      <c r="D112" s="33" t="s">
        <v>78</v>
      </c>
      <c r="E112" s="33" t="s">
        <v>497</v>
      </c>
      <c r="F112" s="45">
        <v>9</v>
      </c>
      <c r="G112" s="45"/>
      <c r="H112" s="45"/>
      <c r="I1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2" s="33"/>
      <c r="M112" s="41"/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>
        <v>1181876</v>
      </c>
      <c r="Y112" s="41">
        <v>3.79</v>
      </c>
      <c r="Z112" s="41"/>
      <c r="AA112" s="35"/>
      <c r="AB112" s="43"/>
      <c r="AC112" s="34" t="str">
        <f>IF(Table1[[#This Row],[Auto Order]]=1,IF(Table1[[#This Row],[In stock]]&lt;Table1[[#This Row],[Min in stock]],1,""),"")</f>
        <v/>
      </c>
    </row>
    <row r="113" spans="1:29" x14ac:dyDescent="0.25">
      <c r="A113" s="73" t="s">
        <v>345</v>
      </c>
      <c r="B113" s="33" t="s">
        <v>341</v>
      </c>
      <c r="C113" s="33" t="s">
        <v>328</v>
      </c>
      <c r="D113" s="33" t="s">
        <v>346</v>
      </c>
      <c r="E113" s="33" t="s">
        <v>497</v>
      </c>
      <c r="F113" s="45">
        <v>1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3" s="33"/>
      <c r="M113" s="41"/>
      <c r="N113" s="33"/>
      <c r="O113" s="41"/>
      <c r="P113" s="33"/>
      <c r="Q113" s="41"/>
      <c r="R113" s="33"/>
      <c r="S113" s="41"/>
      <c r="T113" s="33"/>
      <c r="U113" s="41"/>
      <c r="V113" s="33" t="s">
        <v>345</v>
      </c>
      <c r="W113" s="41">
        <v>4.5999999999999996</v>
      </c>
      <c r="X113" s="33"/>
      <c r="Y113" s="41"/>
      <c r="Z113" s="41"/>
      <c r="AA113" s="35"/>
      <c r="AB113" s="43"/>
      <c r="AC113" s="34" t="str">
        <f>IF(Table1[[#This Row],[Auto Order]]=1,IF(Table1[[#This Row],[In stock]]&lt;Table1[[#This Row],[Min in stock]],1,""),"")</f>
        <v/>
      </c>
    </row>
    <row r="114" spans="1:29" x14ac:dyDescent="0.25">
      <c r="A114" s="73" t="s">
        <v>340</v>
      </c>
      <c r="B114" s="33" t="s">
        <v>341</v>
      </c>
      <c r="C114" s="33" t="s">
        <v>328</v>
      </c>
      <c r="D114" s="33" t="s">
        <v>342</v>
      </c>
      <c r="E114" s="33" t="s">
        <v>497</v>
      </c>
      <c r="F114" s="45">
        <v>1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4" s="33"/>
      <c r="M114" s="41"/>
      <c r="N114" s="33"/>
      <c r="O114" s="41"/>
      <c r="P114" s="33"/>
      <c r="Q114" s="41"/>
      <c r="R114" s="33"/>
      <c r="S114" s="41"/>
      <c r="T114" s="33"/>
      <c r="U114" s="41"/>
      <c r="V114" s="33" t="s">
        <v>340</v>
      </c>
      <c r="W114" s="41">
        <v>1.1619999999999999</v>
      </c>
      <c r="X114" s="33"/>
      <c r="Y114" s="41"/>
      <c r="Z114" s="41"/>
      <c r="AA114" s="35"/>
      <c r="AB114" s="43"/>
      <c r="AC114" s="34" t="str">
        <f>IF(Table1[[#This Row],[Auto Order]]=1,IF(Table1[[#This Row],[In stock]]&lt;Table1[[#This Row],[Min in stock]],1,""),"")</f>
        <v/>
      </c>
    </row>
    <row r="115" spans="1:29" x14ac:dyDescent="0.25">
      <c r="A115" s="73" t="s">
        <v>336</v>
      </c>
      <c r="B115" s="33" t="s">
        <v>337</v>
      </c>
      <c r="C115" s="33" t="s">
        <v>328</v>
      </c>
      <c r="D115" s="33" t="s">
        <v>338</v>
      </c>
      <c r="E115" s="33" t="s">
        <v>497</v>
      </c>
      <c r="F115" s="45">
        <v>1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5" s="33"/>
      <c r="M115" s="41"/>
      <c r="N115" s="33"/>
      <c r="O115" s="41"/>
      <c r="P115" s="33"/>
      <c r="Q115" s="41"/>
      <c r="R115" s="33"/>
      <c r="S115" s="41"/>
      <c r="T115" s="33"/>
      <c r="U115" s="41"/>
      <c r="V115" s="33" t="s">
        <v>336</v>
      </c>
      <c r="W115" s="41">
        <v>7.46</v>
      </c>
      <c r="X115" s="33"/>
      <c r="Y115" s="41"/>
      <c r="Z115" s="41"/>
      <c r="AA115" s="35"/>
      <c r="AB115" s="43"/>
      <c r="AC115" s="34" t="str">
        <f>IF(Table1[[#This Row],[Auto Order]]=1,IF(Table1[[#This Row],[In stock]]&lt;Table1[[#This Row],[Min in stock]],1,""),"")</f>
        <v/>
      </c>
    </row>
    <row r="116" spans="1:29" x14ac:dyDescent="0.25">
      <c r="A116" s="70" t="s">
        <v>467</v>
      </c>
      <c r="B116" s="33" t="s">
        <v>73</v>
      </c>
      <c r="C116" s="33" t="s">
        <v>328</v>
      </c>
      <c r="D116" s="33" t="s">
        <v>1028</v>
      </c>
      <c r="E116" s="33" t="s">
        <v>497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468</v>
      </c>
      <c r="M116" s="41">
        <v>8.19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34" t="str">
        <f>IF(Table1[[#This Row],[Auto Order]]=1,IF(Table1[[#This Row],[In stock]]&lt;Table1[[#This Row],[Min in stock]],1,""),"")</f>
        <v/>
      </c>
    </row>
    <row r="117" spans="1:29" x14ac:dyDescent="0.25">
      <c r="A117" s="70" t="s">
        <v>1111</v>
      </c>
      <c r="B117" s="33" t="s">
        <v>73</v>
      </c>
      <c r="C117" s="33" t="s">
        <v>328</v>
      </c>
      <c r="D117" s="33" t="s">
        <v>1212</v>
      </c>
      <c r="E117" s="33" t="s">
        <v>497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1112</v>
      </c>
      <c r="M117" s="41">
        <v>7.17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70" t="s">
        <v>1184</v>
      </c>
      <c r="B118" s="33" t="s">
        <v>1175</v>
      </c>
      <c r="C118" s="33" t="s">
        <v>328</v>
      </c>
      <c r="D118" s="33" t="s">
        <v>1182</v>
      </c>
      <c r="E118" s="33" t="s">
        <v>1192</v>
      </c>
      <c r="F118" s="45">
        <v>6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1183</v>
      </c>
      <c r="M118" s="41">
        <v>0.15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70" t="s">
        <v>464</v>
      </c>
      <c r="B119" s="33" t="s">
        <v>73</v>
      </c>
      <c r="C119" s="33" t="s">
        <v>1414</v>
      </c>
      <c r="D119" s="33" t="s">
        <v>466</v>
      </c>
      <c r="E119" s="33" t="s">
        <v>527</v>
      </c>
      <c r="F119" s="45">
        <v>3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465</v>
      </c>
      <c r="M119" s="41">
        <v>0.93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34" t="str">
        <f>IF(Table1[[#This Row],[Auto Order]]=1,IF(Table1[[#This Row],[In stock]]&lt;Table1[[#This Row],[Min in stock]],1,""),"")</f>
        <v/>
      </c>
    </row>
    <row r="120" spans="1:29" x14ac:dyDescent="0.25">
      <c r="A120" s="73" t="s">
        <v>298</v>
      </c>
      <c r="B120" s="33" t="s">
        <v>231</v>
      </c>
      <c r="C120" s="33" t="s">
        <v>328</v>
      </c>
      <c r="D120" s="33" t="s">
        <v>232</v>
      </c>
      <c r="E120" s="33" t="s">
        <v>513</v>
      </c>
      <c r="F120" s="45">
        <v>9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0" s="33"/>
      <c r="M120" s="41"/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 t="str">
        <f>Table1[[#This Row],[Art. Number]]</f>
        <v>E-PCB-000-000</v>
      </c>
      <c r="AB120" s="43"/>
      <c r="AC120" s="34" t="str">
        <f>IF(Table1[[#This Row],[Auto Order]]=1,IF(Table1[[#This Row],[In stock]]&lt;Table1[[#This Row],[Min in stock]],1,""),"")</f>
        <v/>
      </c>
    </row>
    <row r="121" spans="1:29" x14ac:dyDescent="0.25">
      <c r="A121" s="73" t="s">
        <v>299</v>
      </c>
      <c r="B121" s="33" t="s">
        <v>231</v>
      </c>
      <c r="C121" s="33" t="s">
        <v>328</v>
      </c>
      <c r="D121" s="33" t="s">
        <v>233</v>
      </c>
      <c r="E121" s="33" t="s">
        <v>513</v>
      </c>
      <c r="F121" s="45">
        <v>10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1" s="33"/>
      <c r="M121" s="41"/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 t="str">
        <f>Table1[[#This Row],[Art. Number]]</f>
        <v>E-PCB-000-001</v>
      </c>
      <c r="AB121" s="43"/>
      <c r="AC121" s="34" t="str">
        <f>IF(Table1[[#This Row],[Auto Order]]=1,IF(Table1[[#This Row],[In stock]]&lt;Table1[[#This Row],[Min in stock]],1,""),"")</f>
        <v/>
      </c>
    </row>
    <row r="122" spans="1:29" x14ac:dyDescent="0.25">
      <c r="A122" s="73" t="s">
        <v>302</v>
      </c>
      <c r="B122" s="33" t="s">
        <v>231</v>
      </c>
      <c r="C122" s="33" t="s">
        <v>328</v>
      </c>
      <c r="D122" s="33" t="s">
        <v>303</v>
      </c>
      <c r="E122" s="33" t="s">
        <v>513</v>
      </c>
      <c r="F122" s="45">
        <v>10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2" s="33"/>
      <c r="M122" s="41"/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 t="str">
        <f>Table1[[#This Row],[Art. Number]]</f>
        <v>E-PCB-000-002</v>
      </c>
      <c r="AB122" s="43"/>
      <c r="AC122" s="34" t="str">
        <f>IF(Table1[[#This Row],[Auto Order]]=1,IF(Table1[[#This Row],[In stock]]&lt;Table1[[#This Row],[Min in stock]],1,""),"")</f>
        <v/>
      </c>
    </row>
    <row r="123" spans="1:29" x14ac:dyDescent="0.25">
      <c r="A123" s="74" t="s">
        <v>1129</v>
      </c>
      <c r="B123" s="33" t="s">
        <v>231</v>
      </c>
      <c r="C123" s="33" t="s">
        <v>328</v>
      </c>
      <c r="D123" s="33" t="s">
        <v>1130</v>
      </c>
      <c r="E123" s="33" t="s">
        <v>513</v>
      </c>
      <c r="F123" s="45">
        <v>5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3" s="33"/>
      <c r="M123" s="41"/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 t="str">
        <f>Table1[[#This Row],[Art. Number]]</f>
        <v>E-PCB-000-003</v>
      </c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74" t="s">
        <v>1131</v>
      </c>
      <c r="B124" s="33" t="s">
        <v>231</v>
      </c>
      <c r="C124" s="33" t="s">
        <v>328</v>
      </c>
      <c r="D124" s="33" t="s">
        <v>1132</v>
      </c>
      <c r="E124" s="33" t="s">
        <v>513</v>
      </c>
      <c r="F124" s="45">
        <v>5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4" s="33"/>
      <c r="M124" s="41"/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 t="str">
        <f>Table1[[#This Row],[Art. Number]]</f>
        <v>E-PCB-000-004</v>
      </c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74" t="s">
        <v>1393</v>
      </c>
      <c r="B125" s="33" t="s">
        <v>231</v>
      </c>
      <c r="C125" s="33" t="s">
        <v>328</v>
      </c>
      <c r="D125" s="33" t="s">
        <v>1394</v>
      </c>
      <c r="E125" s="33" t="s">
        <v>513</v>
      </c>
      <c r="F125" s="45">
        <v>4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5" s="33"/>
      <c r="M125" s="41"/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 t="str">
        <f>Table1[[#This Row],[Art. Number]]</f>
        <v>E-PCB-000-005</v>
      </c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74" t="s">
        <v>1395</v>
      </c>
      <c r="B126" s="33" t="s">
        <v>231</v>
      </c>
      <c r="C126" s="33" t="s">
        <v>328</v>
      </c>
      <c r="D126" s="33" t="s">
        <v>1396</v>
      </c>
      <c r="E126" s="33" t="s">
        <v>513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6" s="33"/>
      <c r="M126" s="41"/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 t="str">
        <f>Table1[[#This Row],[Art. Number]]</f>
        <v>E-PCB-000-006</v>
      </c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73" t="s">
        <v>300</v>
      </c>
      <c r="B127" s="33" t="s">
        <v>231</v>
      </c>
      <c r="C127" s="33" t="s">
        <v>328</v>
      </c>
      <c r="D127" s="33" t="s">
        <v>358</v>
      </c>
      <c r="E127" s="33" t="s">
        <v>513</v>
      </c>
      <c r="F127" s="45">
        <v>8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7" s="33"/>
      <c r="M127" s="41"/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 t="str">
        <f>Table1[[#This Row],[Art. Number]]</f>
        <v>E-PCB-001-000</v>
      </c>
      <c r="AB127" s="43"/>
      <c r="AC127" s="34" t="str">
        <f>IF(Table1[[#This Row],[Auto Order]]=1,IF(Table1[[#This Row],[In stock]]&lt;Table1[[#This Row],[Min in stock]],1,""),"")</f>
        <v/>
      </c>
    </row>
    <row r="128" spans="1:29" x14ac:dyDescent="0.25">
      <c r="A128" s="74" t="s">
        <v>1141</v>
      </c>
      <c r="B128" s="33" t="s">
        <v>231</v>
      </c>
      <c r="C128" s="33" t="s">
        <v>328</v>
      </c>
      <c r="D128" s="33" t="s">
        <v>1143</v>
      </c>
      <c r="E128" s="33" t="s">
        <v>513</v>
      </c>
      <c r="F128" s="45">
        <v>5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8" s="33"/>
      <c r="M128" s="41"/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 t="str">
        <f>Table1[[#This Row],[Art. Number]]</f>
        <v>E-PCB-001-001</v>
      </c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73" t="s">
        <v>301</v>
      </c>
      <c r="B129" s="33" t="s">
        <v>231</v>
      </c>
      <c r="C129" s="33" t="s">
        <v>328</v>
      </c>
      <c r="D129" s="33" t="s">
        <v>234</v>
      </c>
      <c r="E129" s="33" t="s">
        <v>513</v>
      </c>
      <c r="F129" s="45">
        <v>9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29" s="33"/>
      <c r="M129" s="41"/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 t="str">
        <f>Table1[[#This Row],[Art. Number]]</f>
        <v>E-PCB-002-000</v>
      </c>
      <c r="AB129" s="43"/>
      <c r="AC129" s="34" t="str">
        <f>IF(Table1[[#This Row],[Auto Order]]=1,IF(Table1[[#This Row],[In stock]]&lt;Table1[[#This Row],[Min in stock]],1,""),"")</f>
        <v/>
      </c>
    </row>
    <row r="130" spans="1:29" x14ac:dyDescent="0.25">
      <c r="A130" s="74" t="s">
        <v>1050</v>
      </c>
      <c r="B130" s="33" t="s">
        <v>231</v>
      </c>
      <c r="C130" s="33" t="s">
        <v>328</v>
      </c>
      <c r="D130" s="33" t="s">
        <v>1051</v>
      </c>
      <c r="E130" s="33" t="s">
        <v>513</v>
      </c>
      <c r="F130" s="45">
        <v>5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30" s="33"/>
      <c r="M130" s="41"/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 t="str">
        <f>Table1[[#This Row],[Art. Number]]</f>
        <v>E-PCB-003-000</v>
      </c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74" t="s">
        <v>1392</v>
      </c>
      <c r="B131" s="33" t="s">
        <v>231</v>
      </c>
      <c r="C131" s="33" t="s">
        <v>328</v>
      </c>
      <c r="D131" s="33" t="s">
        <v>1403</v>
      </c>
      <c r="E131" s="33" t="s">
        <v>513</v>
      </c>
      <c r="F131" s="45">
        <v>4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31" s="33"/>
      <c r="M131" s="41"/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 t="str">
        <f>Table1[[#This Row],[Art. Number]]</f>
        <v>E-PCB-003-001</v>
      </c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73" t="s">
        <v>66</v>
      </c>
      <c r="B132" s="33" t="s">
        <v>65</v>
      </c>
      <c r="C132" s="33" t="s">
        <v>328</v>
      </c>
      <c r="D132" s="33" t="s">
        <v>64</v>
      </c>
      <c r="E132" s="33" t="s">
        <v>519</v>
      </c>
      <c r="F132" s="45">
        <v>3</v>
      </c>
      <c r="G132" s="45">
        <v>1</v>
      </c>
      <c r="H132" s="45">
        <f>1</f>
        <v>1</v>
      </c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63</v>
      </c>
      <c r="M132" s="41">
        <v>1.07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34" t="str">
        <f>IF(Table1[[#This Row],[Auto Order]]=1,IF(Table1[[#This Row],[In stock]]&lt;Table1[[#This Row],[Min in stock]],1,""),"")</f>
        <v/>
      </c>
    </row>
    <row r="133" spans="1:29" x14ac:dyDescent="0.25">
      <c r="A133" s="73" t="s">
        <v>181</v>
      </c>
      <c r="B133" s="33" t="s">
        <v>58</v>
      </c>
      <c r="C133" s="33" t="s">
        <v>328</v>
      </c>
      <c r="D133" s="33" t="s">
        <v>76</v>
      </c>
      <c r="E133" s="33" t="s">
        <v>498</v>
      </c>
      <c r="F133" s="45">
        <v>1</v>
      </c>
      <c r="G133" s="45"/>
      <c r="H133" s="45"/>
      <c r="I13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3" s="33"/>
      <c r="M133" s="41"/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>
        <v>1004068</v>
      </c>
      <c r="Y133" s="41">
        <v>3.49</v>
      </c>
      <c r="Z133" s="41"/>
      <c r="AA133" s="35"/>
      <c r="AB133" s="43"/>
      <c r="AC133" s="34" t="str">
        <f>IF(Table1[[#This Row],[Auto Order]]=1,IF(Table1[[#This Row],[In stock]]&lt;Table1[[#This Row],[Min in stock]],1,""),"")</f>
        <v/>
      </c>
    </row>
    <row r="134" spans="1:29" x14ac:dyDescent="0.25">
      <c r="A134" s="73" t="s">
        <v>176</v>
      </c>
      <c r="B134" s="33" t="s">
        <v>162</v>
      </c>
      <c r="C134" s="33" t="s">
        <v>328</v>
      </c>
      <c r="D134" s="33" t="s">
        <v>1122</v>
      </c>
      <c r="E134" s="33" t="s">
        <v>525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175</v>
      </c>
      <c r="M134" s="41">
        <v>2.64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34" t="str">
        <f>IF(Table1[[#This Row],[Auto Order]]=1,IF(Table1[[#This Row],[In stock]]&lt;Table1[[#This Row],[Min in stock]],1,""),"")</f>
        <v/>
      </c>
    </row>
    <row r="135" spans="1:29" x14ac:dyDescent="0.25">
      <c r="A135" s="73" t="s">
        <v>19</v>
      </c>
      <c r="B135" s="33" t="s">
        <v>38</v>
      </c>
      <c r="C135" s="33" t="s">
        <v>385</v>
      </c>
      <c r="D135" s="33" t="s">
        <v>1125</v>
      </c>
      <c r="E135" s="33" t="s">
        <v>525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35" s="33"/>
      <c r="M135" s="41"/>
      <c r="N135" s="33" t="s">
        <v>384</v>
      </c>
      <c r="O135" s="41">
        <v>3.64</v>
      </c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34" t="str">
        <f>IF(Table1[[#This Row],[Auto Order]]=1,IF(Table1[[#This Row],[In stock]]&lt;Table1[[#This Row],[Min in stock]],1,""),"")</f>
        <v/>
      </c>
    </row>
    <row r="136" spans="1:29" x14ac:dyDescent="0.25">
      <c r="A136" s="73" t="s">
        <v>167</v>
      </c>
      <c r="B136" s="33" t="s">
        <v>162</v>
      </c>
      <c r="C136" s="33" t="s">
        <v>328</v>
      </c>
      <c r="D136" s="33" t="s">
        <v>1123</v>
      </c>
      <c r="E136" s="33" t="s">
        <v>525</v>
      </c>
      <c r="F136" s="45">
        <v>1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166</v>
      </c>
      <c r="M136" s="41">
        <v>0.8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34" t="str">
        <f>IF(Table1[[#This Row],[Auto Order]]=1,IF(Table1[[#This Row],[In stock]]&lt;Table1[[#This Row],[Min in stock]],1,""),"")</f>
        <v/>
      </c>
    </row>
    <row r="137" spans="1:29" x14ac:dyDescent="0.25">
      <c r="A137" s="73" t="s">
        <v>169</v>
      </c>
      <c r="B137" s="33" t="s">
        <v>162</v>
      </c>
      <c r="C137" s="33" t="s">
        <v>328</v>
      </c>
      <c r="D137" s="33" t="s">
        <v>1124</v>
      </c>
      <c r="E137" s="33" t="s">
        <v>525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168</v>
      </c>
      <c r="M137" s="41">
        <v>1.06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34" t="str">
        <f>IF(Table1[[#This Row],[Auto Order]]=1,IF(Table1[[#This Row],[In stock]]&lt;Table1[[#This Row],[Min in stock]],1,""),"")</f>
        <v/>
      </c>
    </row>
    <row r="138" spans="1:29" x14ac:dyDescent="0.25">
      <c r="A138" s="73" t="s">
        <v>125</v>
      </c>
      <c r="B138" s="33" t="s">
        <v>62</v>
      </c>
      <c r="C138" s="33" t="s">
        <v>1405</v>
      </c>
      <c r="D138" s="33" t="s">
        <v>61</v>
      </c>
      <c r="E138" s="33" t="s">
        <v>502</v>
      </c>
      <c r="F138" s="45">
        <v>1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60</v>
      </c>
      <c r="M138" s="41">
        <v>4.88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34" t="str">
        <f>IF(Table1[[#This Row],[Auto Order]]=1,IF(Table1[[#This Row],[In stock]]&lt;Table1[[#This Row],[Min in stock]],1,""),"")</f>
        <v/>
      </c>
    </row>
    <row r="139" spans="1:29" x14ac:dyDescent="0.25">
      <c r="A139" s="74" t="s">
        <v>1087</v>
      </c>
      <c r="B139" s="33" t="s">
        <v>1088</v>
      </c>
      <c r="C139" s="33" t="s">
        <v>328</v>
      </c>
      <c r="D139" s="33" t="s">
        <v>1097</v>
      </c>
      <c r="E139" s="33" t="s">
        <v>502</v>
      </c>
      <c r="F139" s="45">
        <v>1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1089</v>
      </c>
      <c r="M139" s="41">
        <v>3.72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74" t="s">
        <v>1090</v>
      </c>
      <c r="B140" s="33" t="s">
        <v>1088</v>
      </c>
      <c r="C140" s="33" t="s">
        <v>328</v>
      </c>
      <c r="D140" s="33" t="s">
        <v>1098</v>
      </c>
      <c r="E140" s="33" t="s">
        <v>502</v>
      </c>
      <c r="F140" s="45">
        <v>1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1091</v>
      </c>
      <c r="M140" s="41">
        <v>3.89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73" t="s">
        <v>228</v>
      </c>
      <c r="B141" s="33" t="s">
        <v>229</v>
      </c>
      <c r="C141" s="33" t="s">
        <v>1382</v>
      </c>
      <c r="D141" s="33" t="s">
        <v>230</v>
      </c>
      <c r="E141" s="33" t="s">
        <v>512</v>
      </c>
      <c r="F141" s="45">
        <v>99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227</v>
      </c>
      <c r="M141" s="41">
        <v>4.8000000000000001E-2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34" t="str">
        <f>IF(Table1[[#This Row],[Auto Order]]=1,IF(Table1[[#This Row],[In stock]]&lt;Table1[[#This Row],[Min in stock]],1,""),"")</f>
        <v/>
      </c>
    </row>
    <row r="142" spans="1:29" x14ac:dyDescent="0.25">
      <c r="A142" s="73" t="s">
        <v>171</v>
      </c>
      <c r="B142" s="33" t="s">
        <v>229</v>
      </c>
      <c r="C142" s="33" t="s">
        <v>1376</v>
      </c>
      <c r="D142" s="33" t="s">
        <v>1250</v>
      </c>
      <c r="E142" s="33" t="s">
        <v>512</v>
      </c>
      <c r="F142" s="45">
        <v>95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170</v>
      </c>
      <c r="M142" s="41">
        <v>1.95E-2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34" t="str">
        <f>IF(Table1[[#This Row],[Auto Order]]=1,IF(Table1[[#This Row],[In stock]]&lt;Table1[[#This Row],[Min in stock]],1,""),"")</f>
        <v/>
      </c>
    </row>
    <row r="143" spans="1:29" x14ac:dyDescent="0.25">
      <c r="A143" s="70" t="s">
        <v>1082</v>
      </c>
      <c r="B143" s="33" t="s">
        <v>229</v>
      </c>
      <c r="C143" s="33" t="s">
        <v>328</v>
      </c>
      <c r="D143" s="33" t="s">
        <v>1083</v>
      </c>
      <c r="E143" s="33" t="s">
        <v>512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1081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70" t="s">
        <v>1079</v>
      </c>
      <c r="B144" s="33" t="s">
        <v>229</v>
      </c>
      <c r="C144" s="33" t="s">
        <v>328</v>
      </c>
      <c r="D144" s="33" t="s">
        <v>1080</v>
      </c>
      <c r="E144" s="33" t="s">
        <v>512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1078</v>
      </c>
      <c r="M144" s="41">
        <v>0.42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70" t="s">
        <v>1085</v>
      </c>
      <c r="B145" s="33" t="s">
        <v>229</v>
      </c>
      <c r="C145" s="33" t="s">
        <v>1430</v>
      </c>
      <c r="D145" s="33" t="s">
        <v>1086</v>
      </c>
      <c r="E145" s="33" t="s">
        <v>512</v>
      </c>
      <c r="F145" s="45">
        <v>10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1084</v>
      </c>
      <c r="M145" s="41">
        <v>0.42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73" t="s">
        <v>440</v>
      </c>
      <c r="B146" s="33" t="s">
        <v>1144</v>
      </c>
      <c r="C146" s="33" t="s">
        <v>328</v>
      </c>
      <c r="D146" s="33" t="s">
        <v>240</v>
      </c>
      <c r="E146" s="33" t="s">
        <v>512</v>
      </c>
      <c r="F146" s="45">
        <v>3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239</v>
      </c>
      <c r="M146" s="41">
        <v>0.31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34" t="str">
        <f>IF(Table1[[#This Row],[Auto Order]]=1,IF(Table1[[#This Row],[In stock]]&lt;Table1[[#This Row],[Min in stock]],1,""),"")</f>
        <v/>
      </c>
    </row>
    <row r="147" spans="1:29" x14ac:dyDescent="0.25">
      <c r="A147" s="73" t="s">
        <v>225</v>
      </c>
      <c r="B147" s="33" t="s">
        <v>226</v>
      </c>
      <c r="C147" s="33" t="s">
        <v>1383</v>
      </c>
      <c r="D147" s="33" t="s">
        <v>1211</v>
      </c>
      <c r="E147" s="33" t="s">
        <v>512</v>
      </c>
      <c r="F147" s="45">
        <v>99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224</v>
      </c>
      <c r="M147" s="41">
        <v>8.1000000000000003E-2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34" t="str">
        <f>IF(Table1[[#This Row],[Auto Order]]=1,IF(Table1[[#This Row],[In stock]]&lt;Table1[[#This Row],[Min in stock]],1,""),"")</f>
        <v/>
      </c>
    </row>
    <row r="148" spans="1:29" x14ac:dyDescent="0.25">
      <c r="A148" s="73" t="s">
        <v>53</v>
      </c>
      <c r="B148" s="33" t="s">
        <v>52</v>
      </c>
      <c r="C148" s="33" t="s">
        <v>1380</v>
      </c>
      <c r="D148" s="33" t="s">
        <v>51</v>
      </c>
      <c r="E148" s="33" t="s">
        <v>512</v>
      </c>
      <c r="F148" s="45">
        <v>19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8" s="33"/>
      <c r="M148" s="41"/>
      <c r="N148" s="33" t="s">
        <v>398</v>
      </c>
      <c r="O148" s="41">
        <v>3.7499999999999999E-2</v>
      </c>
      <c r="P148" s="33"/>
      <c r="Q148" s="41"/>
      <c r="R148" s="33"/>
      <c r="S148" s="41"/>
      <c r="T148" s="33"/>
      <c r="U148" s="41"/>
      <c r="V148" s="33"/>
      <c r="W148" s="41"/>
      <c r="X148" s="33"/>
      <c r="Y148" s="41">
        <v>3.7499999999999999E-2</v>
      </c>
      <c r="Z148" s="41"/>
      <c r="AA148" s="35"/>
      <c r="AB148" s="43"/>
      <c r="AC148" s="34" t="str">
        <f>IF(Table1[[#This Row],[Auto Order]]=1,IF(Table1[[#This Row],[In stock]]&lt;Table1[[#This Row],[Min in stock]],1,""),"")</f>
        <v/>
      </c>
    </row>
    <row r="149" spans="1:29" x14ac:dyDescent="0.25">
      <c r="A149" s="70" t="s">
        <v>978</v>
      </c>
      <c r="B149" s="33" t="s">
        <v>594</v>
      </c>
      <c r="C149" s="33" t="s">
        <v>328</v>
      </c>
      <c r="D149" s="33" t="s">
        <v>979</v>
      </c>
      <c r="E149" s="33" t="s">
        <v>512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977</v>
      </c>
      <c r="M149" s="41">
        <v>0.13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70" t="s">
        <v>975</v>
      </c>
      <c r="B150" s="33" t="s">
        <v>594</v>
      </c>
      <c r="C150" s="33" t="s">
        <v>328</v>
      </c>
      <c r="D150" s="33" t="s">
        <v>976</v>
      </c>
      <c r="E150" s="33" t="s">
        <v>512</v>
      </c>
      <c r="F150" s="45">
        <v>0</v>
      </c>
      <c r="G150" s="45">
        <v>10</v>
      </c>
      <c r="H150" s="45">
        <f>1</f>
        <v>1</v>
      </c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974</v>
      </c>
      <c r="M150" s="41">
        <v>0.13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>
        <f>IF(Table1[[#This Row],[Auto Order]]=1,IF(Table1[[#This Row],[In stock]]&lt;Table1[[#This Row],[Min in stock]],1,""),"")</f>
        <v>1</v>
      </c>
    </row>
    <row r="151" spans="1:29" x14ac:dyDescent="0.25">
      <c r="A151" s="70" t="s">
        <v>999</v>
      </c>
      <c r="B151" s="33" t="s">
        <v>594</v>
      </c>
      <c r="C151" s="33" t="s">
        <v>328</v>
      </c>
      <c r="D151" s="33" t="s">
        <v>1000</v>
      </c>
      <c r="E151" s="33" t="s">
        <v>512</v>
      </c>
      <c r="F151" s="45">
        <v>0</v>
      </c>
      <c r="G151" s="45">
        <v>10</v>
      </c>
      <c r="H151" s="45">
        <f>1</f>
        <v>1</v>
      </c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998</v>
      </c>
      <c r="M151" s="41">
        <v>0.13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>
        <f>IF(Table1[[#This Row],[Auto Order]]=1,IF(Table1[[#This Row],[In stock]]&lt;Table1[[#This Row],[Min in stock]],1,""),"")</f>
        <v>1</v>
      </c>
    </row>
    <row r="152" spans="1:29" x14ac:dyDescent="0.25">
      <c r="A152" s="70" t="s">
        <v>972</v>
      </c>
      <c r="B152" s="33" t="s">
        <v>594</v>
      </c>
      <c r="C152" s="33" t="s">
        <v>1421</v>
      </c>
      <c r="D152" s="33" t="s">
        <v>973</v>
      </c>
      <c r="E152" s="33" t="s">
        <v>512</v>
      </c>
      <c r="F152" s="45">
        <v>90</v>
      </c>
      <c r="G152" s="45">
        <v>10</v>
      </c>
      <c r="H152" s="45">
        <v>1</v>
      </c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971</v>
      </c>
      <c r="M152" s="41">
        <v>0.1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70" t="s">
        <v>981</v>
      </c>
      <c r="B153" s="33" t="s">
        <v>594</v>
      </c>
      <c r="C153" s="33" t="s">
        <v>1425</v>
      </c>
      <c r="D153" s="33" t="s">
        <v>982</v>
      </c>
      <c r="E153" s="33" t="s">
        <v>512</v>
      </c>
      <c r="F153" s="45">
        <v>9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980</v>
      </c>
      <c r="M153" s="41">
        <v>8.4000000000000005E-2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70" t="s">
        <v>1014</v>
      </c>
      <c r="B154" s="33" t="s">
        <v>594</v>
      </c>
      <c r="C154" s="33" t="s">
        <v>1426</v>
      </c>
      <c r="D154" s="33" t="s">
        <v>1015</v>
      </c>
      <c r="E154" s="33" t="s">
        <v>512</v>
      </c>
      <c r="F154" s="45">
        <v>8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1013</v>
      </c>
      <c r="M154" s="41">
        <v>0.1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70" t="s">
        <v>987</v>
      </c>
      <c r="B155" s="33" t="s">
        <v>594</v>
      </c>
      <c r="C155" s="33" t="s">
        <v>1429</v>
      </c>
      <c r="D155" s="33" t="s">
        <v>988</v>
      </c>
      <c r="E155" s="33" t="s">
        <v>512</v>
      </c>
      <c r="F155" s="45">
        <v>8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986</v>
      </c>
      <c r="M155" s="41">
        <v>0.1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74" t="s">
        <v>990</v>
      </c>
      <c r="B156" s="33" t="s">
        <v>594</v>
      </c>
      <c r="C156" s="33" t="s">
        <v>1418</v>
      </c>
      <c r="D156" s="33" t="s">
        <v>991</v>
      </c>
      <c r="E156" s="33" t="s">
        <v>512</v>
      </c>
      <c r="F156" s="45">
        <v>6</v>
      </c>
      <c r="G156" s="45">
        <v>10</v>
      </c>
      <c r="H156" s="45">
        <v>1</v>
      </c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989</v>
      </c>
      <c r="M156" s="41">
        <v>0.1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>
        <f>IF(Table1[[#This Row],[Auto Order]]=1,IF(Table1[[#This Row],[In stock]]&lt;Table1[[#This Row],[Min in stock]],1,""),"")</f>
        <v>1</v>
      </c>
    </row>
    <row r="157" spans="1:29" x14ac:dyDescent="0.25">
      <c r="A157" s="74" t="s">
        <v>1450</v>
      </c>
      <c r="B157" s="33" t="s">
        <v>594</v>
      </c>
      <c r="C157" s="33" t="s">
        <v>328</v>
      </c>
      <c r="D157" s="33" t="s">
        <v>1451</v>
      </c>
      <c r="E157" s="33" t="s">
        <v>512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1452</v>
      </c>
      <c r="M157" s="41">
        <v>0.1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70" t="s">
        <v>1011</v>
      </c>
      <c r="B158" s="33" t="s">
        <v>594</v>
      </c>
      <c r="C158" s="33" t="s">
        <v>1427</v>
      </c>
      <c r="D158" s="33" t="s">
        <v>1012</v>
      </c>
      <c r="E158" s="33" t="s">
        <v>512</v>
      </c>
      <c r="F158" s="45">
        <v>7</v>
      </c>
      <c r="G158" s="45">
        <v>10</v>
      </c>
      <c r="H158" s="45">
        <v>1</v>
      </c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1010</v>
      </c>
      <c r="M158" s="41">
        <v>0.1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>
        <f>IF(Table1[[#This Row],[Auto Order]]=1,IF(Table1[[#This Row],[In stock]]&lt;Table1[[#This Row],[Min in stock]],1,""),"")</f>
        <v>1</v>
      </c>
    </row>
    <row r="159" spans="1:29" x14ac:dyDescent="0.25">
      <c r="A159" s="70" t="s">
        <v>1008</v>
      </c>
      <c r="B159" s="33" t="s">
        <v>594</v>
      </c>
      <c r="C159" s="33" t="s">
        <v>1428</v>
      </c>
      <c r="D159" s="33" t="s">
        <v>1009</v>
      </c>
      <c r="E159" s="33" t="s">
        <v>512</v>
      </c>
      <c r="F159" s="45">
        <v>7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1007</v>
      </c>
      <c r="M159" s="41">
        <v>0.1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70" t="s">
        <v>1002</v>
      </c>
      <c r="B160" s="33" t="s">
        <v>594</v>
      </c>
      <c r="C160" s="33" t="s">
        <v>1419</v>
      </c>
      <c r="D160" s="33" t="s">
        <v>1003</v>
      </c>
      <c r="E160" s="33" t="s">
        <v>512</v>
      </c>
      <c r="F160" s="45">
        <v>7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1001</v>
      </c>
      <c r="M160" s="41">
        <v>0.1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70" t="s">
        <v>984</v>
      </c>
      <c r="B161" s="33" t="s">
        <v>594</v>
      </c>
      <c r="C161" s="33" t="s">
        <v>1422</v>
      </c>
      <c r="D161" s="33" t="s">
        <v>985</v>
      </c>
      <c r="E161" s="33" t="s">
        <v>512</v>
      </c>
      <c r="F161" s="45">
        <v>8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983</v>
      </c>
      <c r="M161" s="41">
        <v>0.1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70" t="s">
        <v>993</v>
      </c>
      <c r="B162" s="33" t="s">
        <v>594</v>
      </c>
      <c r="C162" s="33" t="s">
        <v>1423</v>
      </c>
      <c r="D162" s="33" t="s">
        <v>994</v>
      </c>
      <c r="E162" s="33" t="s">
        <v>512</v>
      </c>
      <c r="F162" s="45">
        <v>10</v>
      </c>
      <c r="G162" s="45">
        <v>10</v>
      </c>
      <c r="H162" s="45">
        <v>1</v>
      </c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992</v>
      </c>
      <c r="M162" s="41">
        <v>0.1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70" t="s">
        <v>1023</v>
      </c>
      <c r="B163" s="33" t="s">
        <v>594</v>
      </c>
      <c r="C163" s="33" t="s">
        <v>1424</v>
      </c>
      <c r="D163" s="33" t="s">
        <v>1024</v>
      </c>
      <c r="E163" s="33" t="s">
        <v>512</v>
      </c>
      <c r="F163" s="45">
        <v>9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1022</v>
      </c>
      <c r="M163" s="41">
        <v>0.1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74" t="s">
        <v>1480</v>
      </c>
      <c r="B164" s="33" t="s">
        <v>594</v>
      </c>
      <c r="C164" s="33" t="s">
        <v>328</v>
      </c>
      <c r="D164" s="33" t="s">
        <v>1481</v>
      </c>
      <c r="E164" s="33" t="s">
        <v>512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1479</v>
      </c>
      <c r="M164" s="41">
        <v>0.1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74" t="s">
        <v>1489</v>
      </c>
      <c r="B165" s="33" t="s">
        <v>594</v>
      </c>
      <c r="C165" s="33" t="s">
        <v>328</v>
      </c>
      <c r="D165" s="33" t="s">
        <v>1490</v>
      </c>
      <c r="E165" s="33" t="s">
        <v>512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1488</v>
      </c>
      <c r="M165" s="41">
        <v>0.1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74" t="s">
        <v>1005</v>
      </c>
      <c r="B166" s="33" t="s">
        <v>594</v>
      </c>
      <c r="C166" s="33" t="s">
        <v>328</v>
      </c>
      <c r="D166" s="33" t="s">
        <v>1006</v>
      </c>
      <c r="E166" s="33" t="s">
        <v>512</v>
      </c>
      <c r="F166" s="45">
        <v>0</v>
      </c>
      <c r="G166" s="45">
        <v>10</v>
      </c>
      <c r="H166" s="45">
        <v>1</v>
      </c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1004</v>
      </c>
      <c r="M166" s="41">
        <v>0.1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>
        <f>IF(Table1[[#This Row],[Auto Order]]=1,IF(Table1[[#This Row],[In stock]]&lt;Table1[[#This Row],[Min in stock]],1,""),"")</f>
        <v>1</v>
      </c>
    </row>
    <row r="167" spans="1:29" x14ac:dyDescent="0.25">
      <c r="A167" s="74" t="s">
        <v>1474</v>
      </c>
      <c r="B167" s="33" t="s">
        <v>594</v>
      </c>
      <c r="C167" s="33" t="s">
        <v>328</v>
      </c>
      <c r="D167" s="33" t="s">
        <v>1475</v>
      </c>
      <c r="E167" s="33" t="s">
        <v>512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1473</v>
      </c>
      <c r="M167" s="41">
        <v>0.1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70" t="s">
        <v>1026</v>
      </c>
      <c r="B168" s="33" t="s">
        <v>594</v>
      </c>
      <c r="C168" s="33" t="s">
        <v>1434</v>
      </c>
      <c r="D168" s="33" t="s">
        <v>1027</v>
      </c>
      <c r="E168" s="33" t="s">
        <v>512</v>
      </c>
      <c r="F168" s="45">
        <v>8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1025</v>
      </c>
      <c r="M168" s="41">
        <v>0.1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74" t="s">
        <v>1705</v>
      </c>
      <c r="B169" s="33" t="s">
        <v>594</v>
      </c>
      <c r="C169" s="33" t="s">
        <v>328</v>
      </c>
      <c r="D169" s="33" t="s">
        <v>1706</v>
      </c>
      <c r="E169" s="33" t="s">
        <v>512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1704</v>
      </c>
      <c r="M169" s="41">
        <v>0.1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74" t="s">
        <v>1709</v>
      </c>
      <c r="B170" s="33" t="s">
        <v>594</v>
      </c>
      <c r="C170" s="33" t="s">
        <v>328</v>
      </c>
      <c r="D170" s="33" t="s">
        <v>1710</v>
      </c>
      <c r="E170" s="33" t="s">
        <v>512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1708</v>
      </c>
      <c r="M170" s="41">
        <v>0.1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74" t="s">
        <v>1713</v>
      </c>
      <c r="B171" s="33" t="s">
        <v>594</v>
      </c>
      <c r="C171" s="33" t="s">
        <v>328</v>
      </c>
      <c r="D171" s="33" t="s">
        <v>1714</v>
      </c>
      <c r="E171" s="33" t="s">
        <v>512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1712</v>
      </c>
      <c r="M171" s="41">
        <v>0.1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74" t="s">
        <v>1857</v>
      </c>
      <c r="B172" s="33" t="s">
        <v>594</v>
      </c>
      <c r="C172" s="33" t="s">
        <v>328</v>
      </c>
      <c r="D172" s="33" t="s">
        <v>1858</v>
      </c>
      <c r="E172" s="33" t="s">
        <v>512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1856</v>
      </c>
      <c r="M172" s="41">
        <v>0.1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74" t="s">
        <v>1797</v>
      </c>
      <c r="B173" s="33" t="s">
        <v>594</v>
      </c>
      <c r="C173" s="33" t="s">
        <v>328</v>
      </c>
      <c r="D173" s="33" t="s">
        <v>1798</v>
      </c>
      <c r="E173" s="33" t="s">
        <v>512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1796</v>
      </c>
      <c r="M173" s="41">
        <v>0.1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74" t="s">
        <v>1845</v>
      </c>
      <c r="B174" s="33" t="s">
        <v>594</v>
      </c>
      <c r="C174" s="33" t="s">
        <v>328</v>
      </c>
      <c r="D174" s="33" t="s">
        <v>1846</v>
      </c>
      <c r="E174" s="33" t="s">
        <v>512</v>
      </c>
      <c r="F174" s="45">
        <v>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1844</v>
      </c>
      <c r="M174" s="41">
        <v>0.1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74" t="s">
        <v>1492</v>
      </c>
      <c r="B175" s="33" t="s">
        <v>594</v>
      </c>
      <c r="C175" s="33" t="s">
        <v>328</v>
      </c>
      <c r="D175" s="33" t="s">
        <v>1493</v>
      </c>
      <c r="E175" s="33" t="s">
        <v>512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1491</v>
      </c>
      <c r="M175" s="41">
        <v>0.1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74" t="s">
        <v>1498</v>
      </c>
      <c r="B176" s="33" t="s">
        <v>594</v>
      </c>
      <c r="C176" s="33" t="s">
        <v>328</v>
      </c>
      <c r="D176" s="33" t="s">
        <v>1499</v>
      </c>
      <c r="E176" s="33" t="s">
        <v>512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1497</v>
      </c>
      <c r="M176" s="41">
        <v>0.1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74" t="s">
        <v>1525</v>
      </c>
      <c r="B177" s="33" t="s">
        <v>594</v>
      </c>
      <c r="C177" s="33" t="s">
        <v>328</v>
      </c>
      <c r="D177" s="33" t="s">
        <v>1526</v>
      </c>
      <c r="E177" s="33" t="s">
        <v>512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1524</v>
      </c>
      <c r="M177" s="41">
        <v>0.1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74" t="s">
        <v>1617</v>
      </c>
      <c r="B178" s="33" t="s">
        <v>594</v>
      </c>
      <c r="C178" s="33" t="s">
        <v>328</v>
      </c>
      <c r="D178" s="33" t="s">
        <v>1618</v>
      </c>
      <c r="E178" s="33" t="s">
        <v>512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1616</v>
      </c>
      <c r="M178" s="41">
        <v>0.1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74" t="s">
        <v>1982</v>
      </c>
      <c r="B179" s="33" t="s">
        <v>594</v>
      </c>
      <c r="C179" s="33" t="s">
        <v>328</v>
      </c>
      <c r="D179" s="33" t="s">
        <v>1983</v>
      </c>
      <c r="E179" s="33" t="s">
        <v>512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1981</v>
      </c>
      <c r="M179" s="41">
        <v>0.1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74" t="s">
        <v>2035</v>
      </c>
      <c r="B180" s="33" t="s">
        <v>594</v>
      </c>
      <c r="C180" s="33" t="s">
        <v>328</v>
      </c>
      <c r="D180" s="33" t="s">
        <v>2036</v>
      </c>
      <c r="E180" s="33" t="s">
        <v>512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2034</v>
      </c>
      <c r="M180" s="41">
        <v>0.1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74" t="s">
        <v>1717</v>
      </c>
      <c r="B181" s="33" t="s">
        <v>594</v>
      </c>
      <c r="C181" s="33" t="s">
        <v>328</v>
      </c>
      <c r="D181" s="33" t="s">
        <v>1718</v>
      </c>
      <c r="E181" s="33" t="s">
        <v>512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1716</v>
      </c>
      <c r="M181" s="41">
        <v>0.1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74" t="s">
        <v>1654</v>
      </c>
      <c r="B182" s="33" t="s">
        <v>594</v>
      </c>
      <c r="C182" s="33" t="s">
        <v>328</v>
      </c>
      <c r="D182" s="33" t="s">
        <v>1655</v>
      </c>
      <c r="E182" s="33" t="s">
        <v>512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1653</v>
      </c>
      <c r="M182" s="41">
        <v>0.1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74" t="s">
        <v>1910</v>
      </c>
      <c r="B183" s="33" t="s">
        <v>594</v>
      </c>
      <c r="C183" s="33" t="s">
        <v>328</v>
      </c>
      <c r="D183" s="33" t="s">
        <v>1911</v>
      </c>
      <c r="E183" s="33" t="s">
        <v>512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1909</v>
      </c>
      <c r="M183" s="41">
        <v>0.1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74" t="s">
        <v>1455</v>
      </c>
      <c r="B184" s="33" t="s">
        <v>594</v>
      </c>
      <c r="C184" s="33" t="s">
        <v>328</v>
      </c>
      <c r="D184" s="33" t="s">
        <v>1458</v>
      </c>
      <c r="E184" s="33" t="s">
        <v>512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1460</v>
      </c>
      <c r="M184" s="41">
        <v>0.1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74" t="s">
        <v>1462</v>
      </c>
      <c r="B185" s="33" t="s">
        <v>594</v>
      </c>
      <c r="C185" s="33" t="s">
        <v>328</v>
      </c>
      <c r="D185" s="33" t="s">
        <v>1461</v>
      </c>
      <c r="E185" s="33" t="s">
        <v>512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1463</v>
      </c>
      <c r="M185" s="41">
        <v>0.1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74" t="s">
        <v>1926</v>
      </c>
      <c r="B186" s="33" t="s">
        <v>594</v>
      </c>
      <c r="C186" s="33" t="s">
        <v>328</v>
      </c>
      <c r="D186" s="33" t="s">
        <v>1927</v>
      </c>
      <c r="E186" s="33" t="s">
        <v>512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1925</v>
      </c>
      <c r="M186" s="41">
        <v>0.1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74" t="s">
        <v>1942</v>
      </c>
      <c r="B187" s="33" t="s">
        <v>594</v>
      </c>
      <c r="C187" s="33" t="s">
        <v>328</v>
      </c>
      <c r="D187" s="33" t="s">
        <v>1943</v>
      </c>
      <c r="E187" s="33" t="s">
        <v>512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1941</v>
      </c>
      <c r="M187" s="41">
        <v>0.1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74" t="s">
        <v>1721</v>
      </c>
      <c r="B188" s="33" t="s">
        <v>594</v>
      </c>
      <c r="C188" s="33" t="s">
        <v>328</v>
      </c>
      <c r="D188" s="33" t="s">
        <v>1722</v>
      </c>
      <c r="E188" s="33" t="s">
        <v>512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1720</v>
      </c>
      <c r="M188" s="41">
        <v>0.1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74" t="s">
        <v>1725</v>
      </c>
      <c r="B189" s="33" t="s">
        <v>594</v>
      </c>
      <c r="C189" s="33" t="s">
        <v>328</v>
      </c>
      <c r="D189" s="33" t="s">
        <v>1726</v>
      </c>
      <c r="E189" s="33" t="s">
        <v>512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1724</v>
      </c>
      <c r="M189" s="41">
        <v>0.1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74" t="s">
        <v>2031</v>
      </c>
      <c r="B190" s="33" t="s">
        <v>594</v>
      </c>
      <c r="C190" s="33" t="s">
        <v>328</v>
      </c>
      <c r="D190" s="33" t="s">
        <v>2032</v>
      </c>
      <c r="E190" s="33" t="s">
        <v>512</v>
      </c>
      <c r="F190" s="45">
        <v>0</v>
      </c>
      <c r="G190" s="45"/>
      <c r="H190" s="45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2030</v>
      </c>
      <c r="M190" s="41">
        <v>0.1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47" t="str">
        <f>IF(Table1[[#This Row],[Auto Order]]=1,IF(Table1[[#This Row],[In stock]]&lt;Table1[[#This Row],[Min in stock]],1,""),"")</f>
        <v/>
      </c>
    </row>
    <row r="191" spans="1:29" x14ac:dyDescent="0.25">
      <c r="A191" s="74" t="s">
        <v>1729</v>
      </c>
      <c r="B191" s="33" t="s">
        <v>594</v>
      </c>
      <c r="C191" s="33" t="s">
        <v>328</v>
      </c>
      <c r="D191" s="33" t="s">
        <v>1730</v>
      </c>
      <c r="E191" s="33" t="s">
        <v>512</v>
      </c>
      <c r="F191" s="45">
        <v>0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1728</v>
      </c>
      <c r="M191" s="41">
        <v>0.1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47" t="str">
        <f>IF(Table1[[#This Row],[Auto Order]]=1,IF(Table1[[#This Row],[In stock]]&lt;Table1[[#This Row],[Min in stock]],1,""),"")</f>
        <v/>
      </c>
    </row>
    <row r="192" spans="1:29" x14ac:dyDescent="0.25">
      <c r="A192" s="74" t="s">
        <v>2027</v>
      </c>
      <c r="B192" s="33" t="s">
        <v>594</v>
      </c>
      <c r="C192" s="33" t="s">
        <v>328</v>
      </c>
      <c r="D192" s="33" t="s">
        <v>2028</v>
      </c>
      <c r="E192" s="33" t="s">
        <v>512</v>
      </c>
      <c r="F192" s="45">
        <v>0</v>
      </c>
      <c r="G192" s="45"/>
      <c r="H192" s="45"/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2026</v>
      </c>
      <c r="M192" s="41">
        <v>0.1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3"/>
      <c r="AC192" s="47" t="str">
        <f>IF(Table1[[#This Row],[Auto Order]]=1,IF(Table1[[#This Row],[In stock]]&lt;Table1[[#This Row],[Min in stock]],1,""),"")</f>
        <v/>
      </c>
    </row>
    <row r="193" spans="1:29" x14ac:dyDescent="0.25">
      <c r="A193" s="74" t="s">
        <v>1886</v>
      </c>
      <c r="B193" s="33" t="s">
        <v>594</v>
      </c>
      <c r="C193" s="33" t="s">
        <v>328</v>
      </c>
      <c r="D193" s="33" t="s">
        <v>1887</v>
      </c>
      <c r="E193" s="33" t="s">
        <v>512</v>
      </c>
      <c r="F193" s="45">
        <v>0</v>
      </c>
      <c r="G193" s="45"/>
      <c r="H193" s="45"/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1885</v>
      </c>
      <c r="M193" s="41">
        <v>0.1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3"/>
      <c r="AC193" s="47" t="str">
        <f>IF(Table1[[#This Row],[Auto Order]]=1,IF(Table1[[#This Row],[In stock]]&lt;Table1[[#This Row],[Min in stock]],1,""),"")</f>
        <v/>
      </c>
    </row>
    <row r="194" spans="1:29" x14ac:dyDescent="0.25">
      <c r="A194" s="74" t="s">
        <v>1978</v>
      </c>
      <c r="B194" s="33" t="s">
        <v>594</v>
      </c>
      <c r="C194" s="33" t="s">
        <v>328</v>
      </c>
      <c r="D194" s="33" t="s">
        <v>1979</v>
      </c>
      <c r="E194" s="33" t="s">
        <v>512</v>
      </c>
      <c r="F194" s="45">
        <v>0</v>
      </c>
      <c r="G194" s="45"/>
      <c r="H194" s="45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4" s="33" t="s">
        <v>1977</v>
      </c>
      <c r="M194" s="41">
        <v>0.1</v>
      </c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/>
      <c r="AA194" s="35"/>
      <c r="AB194" s="43"/>
      <c r="AC194" s="47" t="str">
        <f>IF(Table1[[#This Row],[Auto Order]]=1,IF(Table1[[#This Row],[In stock]]&lt;Table1[[#This Row],[Min in stock]],1,""),"")</f>
        <v/>
      </c>
    </row>
    <row r="195" spans="1:29" x14ac:dyDescent="0.25">
      <c r="A195" s="74" t="s">
        <v>1467</v>
      </c>
      <c r="B195" s="33" t="s">
        <v>594</v>
      </c>
      <c r="C195" s="33" t="s">
        <v>328</v>
      </c>
      <c r="D195" s="33" t="s">
        <v>1468</v>
      </c>
      <c r="E195" s="33" t="s">
        <v>512</v>
      </c>
      <c r="F195" s="45">
        <v>0</v>
      </c>
      <c r="G195" s="45"/>
      <c r="H195" s="45"/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5" s="33" t="s">
        <v>1466</v>
      </c>
      <c r="M195" s="41">
        <v>0.1</v>
      </c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74" t="s">
        <v>1882</v>
      </c>
      <c r="B196" s="33" t="s">
        <v>594</v>
      </c>
      <c r="C196" s="33" t="s">
        <v>328</v>
      </c>
      <c r="D196" s="33" t="s">
        <v>1883</v>
      </c>
      <c r="E196" s="33" t="s">
        <v>512</v>
      </c>
      <c r="F196" s="45">
        <v>0</v>
      </c>
      <c r="G196" s="45"/>
      <c r="H196" s="45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1881</v>
      </c>
      <c r="M196" s="41">
        <v>0.1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74" t="s">
        <v>1813</v>
      </c>
      <c r="B197" s="33" t="s">
        <v>594</v>
      </c>
      <c r="C197" s="33" t="s">
        <v>328</v>
      </c>
      <c r="D197" s="33" t="s">
        <v>1814</v>
      </c>
      <c r="E197" s="33" t="s">
        <v>512</v>
      </c>
      <c r="F197" s="45">
        <v>0</v>
      </c>
      <c r="G197" s="45"/>
      <c r="H197" s="45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1812</v>
      </c>
      <c r="M197" s="41">
        <v>0.1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3"/>
      <c r="AC197" s="47" t="str">
        <f>IF(Table1[[#This Row],[Auto Order]]=1,IF(Table1[[#This Row],[In stock]]&lt;Table1[[#This Row],[Min in stock]],1,""),"")</f>
        <v/>
      </c>
    </row>
    <row r="198" spans="1:29" x14ac:dyDescent="0.25">
      <c r="A198" s="74" t="s">
        <v>1817</v>
      </c>
      <c r="B198" s="33" t="s">
        <v>594</v>
      </c>
      <c r="C198" s="33" t="s">
        <v>328</v>
      </c>
      <c r="D198" s="33" t="s">
        <v>1818</v>
      </c>
      <c r="E198" s="33" t="s">
        <v>512</v>
      </c>
      <c r="F198" s="45">
        <v>0</v>
      </c>
      <c r="G198" s="45"/>
      <c r="H198" s="45"/>
      <c r="I1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8" s="33" t="s">
        <v>1816</v>
      </c>
      <c r="M198" s="41">
        <v>0.1</v>
      </c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74" t="s">
        <v>1528</v>
      </c>
      <c r="B199" s="33" t="s">
        <v>594</v>
      </c>
      <c r="C199" s="33" t="s">
        <v>328</v>
      </c>
      <c r="D199" s="33" t="s">
        <v>1529</v>
      </c>
      <c r="E199" s="33" t="s">
        <v>512</v>
      </c>
      <c r="F199" s="45">
        <v>0</v>
      </c>
      <c r="G199" s="45"/>
      <c r="H199" s="45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9" s="33" t="s">
        <v>1527</v>
      </c>
      <c r="M199" s="41">
        <v>0.1</v>
      </c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47" t="str">
        <f>IF(Table1[[#This Row],[Auto Order]]=1,IF(Table1[[#This Row],[In stock]]&lt;Table1[[#This Row],[Min in stock]],1,""),"")</f>
        <v/>
      </c>
    </row>
    <row r="200" spans="1:29" x14ac:dyDescent="0.25">
      <c r="A200" s="74" t="s">
        <v>2010</v>
      </c>
      <c r="B200" s="33" t="s">
        <v>594</v>
      </c>
      <c r="C200" s="33" t="s">
        <v>328</v>
      </c>
      <c r="D200" s="33" t="s">
        <v>2011</v>
      </c>
      <c r="E200" s="33" t="s">
        <v>512</v>
      </c>
      <c r="F200" s="45">
        <v>0</v>
      </c>
      <c r="G200" s="45"/>
      <c r="H200" s="45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2009</v>
      </c>
      <c r="M200" s="41">
        <v>0.1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74" t="s">
        <v>1902</v>
      </c>
      <c r="B201" s="33" t="s">
        <v>594</v>
      </c>
      <c r="C201" s="33" t="s">
        <v>328</v>
      </c>
      <c r="D201" s="33" t="s">
        <v>1903</v>
      </c>
      <c r="E201" s="33" t="s">
        <v>512</v>
      </c>
      <c r="F201" s="45">
        <v>0</v>
      </c>
      <c r="G201" s="45"/>
      <c r="H201" s="45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1901</v>
      </c>
      <c r="M201" s="41">
        <v>0.1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47" t="str">
        <f>IF(Table1[[#This Row],[Auto Order]]=1,IF(Table1[[#This Row],[In stock]]&lt;Table1[[#This Row],[Min in stock]],1,""),"")</f>
        <v/>
      </c>
    </row>
    <row r="202" spans="1:29" x14ac:dyDescent="0.25">
      <c r="A202" s="74" t="s">
        <v>1507</v>
      </c>
      <c r="B202" s="33" t="s">
        <v>594</v>
      </c>
      <c r="C202" s="33" t="s">
        <v>328</v>
      </c>
      <c r="D202" s="33" t="s">
        <v>1508</v>
      </c>
      <c r="E202" s="33" t="s">
        <v>512</v>
      </c>
      <c r="F202" s="45">
        <v>0</v>
      </c>
      <c r="G202" s="45"/>
      <c r="H202" s="45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2" s="33" t="s">
        <v>1506</v>
      </c>
      <c r="M202" s="41">
        <v>0.1</v>
      </c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/>
      <c r="AA202" s="35"/>
      <c r="AB202" s="43"/>
      <c r="AC202" s="47" t="str">
        <f>IF(Table1[[#This Row],[Auto Order]]=1,IF(Table1[[#This Row],[In stock]]&lt;Table1[[#This Row],[Min in stock]],1,""),"")</f>
        <v/>
      </c>
    </row>
    <row r="203" spans="1:29" x14ac:dyDescent="0.25">
      <c r="A203" s="74" t="s">
        <v>1613</v>
      </c>
      <c r="B203" s="33" t="s">
        <v>594</v>
      </c>
      <c r="C203" s="33" t="s">
        <v>328</v>
      </c>
      <c r="D203" s="33" t="s">
        <v>1614</v>
      </c>
      <c r="E203" s="33" t="s">
        <v>512</v>
      </c>
      <c r="F203" s="45">
        <v>0</v>
      </c>
      <c r="G203" s="45"/>
      <c r="H203" s="45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1612</v>
      </c>
      <c r="M203" s="41">
        <v>0.1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47" t="str">
        <f>IF(Table1[[#This Row],[Auto Order]]=1,IF(Table1[[#This Row],[In stock]]&lt;Table1[[#This Row],[Min in stock]],1,""),"")</f>
        <v/>
      </c>
    </row>
    <row r="204" spans="1:29" x14ac:dyDescent="0.25">
      <c r="A204" s="74" t="s">
        <v>1650</v>
      </c>
      <c r="B204" s="33" t="s">
        <v>594</v>
      </c>
      <c r="C204" s="33" t="s">
        <v>328</v>
      </c>
      <c r="D204" s="33" t="s">
        <v>1651</v>
      </c>
      <c r="E204" s="33" t="s">
        <v>512</v>
      </c>
      <c r="F204" s="45">
        <v>0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1649</v>
      </c>
      <c r="M204" s="41">
        <v>0.1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3"/>
      <c r="AC204" s="47" t="str">
        <f>IF(Table1[[#This Row],[Auto Order]]=1,IF(Table1[[#This Row],[In stock]]&lt;Table1[[#This Row],[Min in stock]],1,""),"")</f>
        <v/>
      </c>
    </row>
    <row r="205" spans="1:29" x14ac:dyDescent="0.25">
      <c r="A205" s="74" t="s">
        <v>1593</v>
      </c>
      <c r="B205" s="33" t="s">
        <v>594</v>
      </c>
      <c r="C205" s="33" t="s">
        <v>328</v>
      </c>
      <c r="D205" s="33" t="s">
        <v>1594</v>
      </c>
      <c r="E205" s="33" t="s">
        <v>512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1592</v>
      </c>
      <c r="M205" s="41">
        <v>0.1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74" t="s">
        <v>1666</v>
      </c>
      <c r="B206" s="33" t="s">
        <v>594</v>
      </c>
      <c r="C206" s="33" t="s">
        <v>328</v>
      </c>
      <c r="D206" s="33" t="s">
        <v>1667</v>
      </c>
      <c r="E206" s="33" t="s">
        <v>512</v>
      </c>
      <c r="F206" s="45">
        <v>0</v>
      </c>
      <c r="G206" s="45"/>
      <c r="H206" s="45"/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1665</v>
      </c>
      <c r="M206" s="41">
        <v>0.1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 t="str">
        <f>IF(Table1[[#This Row],[Auto Order]]=1,IF(Table1[[#This Row],[In stock]]&lt;Table1[[#This Row],[Min in stock]],1,""),"")</f>
        <v/>
      </c>
    </row>
    <row r="207" spans="1:29" x14ac:dyDescent="0.25">
      <c r="A207" s="74" t="s">
        <v>1638</v>
      </c>
      <c r="B207" s="33" t="s">
        <v>594</v>
      </c>
      <c r="C207" s="33" t="s">
        <v>328</v>
      </c>
      <c r="D207" s="33" t="s">
        <v>1639</v>
      </c>
      <c r="E207" s="33" t="s">
        <v>512</v>
      </c>
      <c r="F207" s="45">
        <v>0</v>
      </c>
      <c r="G207" s="45"/>
      <c r="H207" s="45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1637</v>
      </c>
      <c r="M207" s="41">
        <v>0.1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 t="str">
        <f>IF(Table1[[#This Row],[Auto Order]]=1,IF(Table1[[#This Row],[In stock]]&lt;Table1[[#This Row],[Min in stock]],1,""),"")</f>
        <v/>
      </c>
    </row>
    <row r="208" spans="1:29" x14ac:dyDescent="0.25">
      <c r="A208" s="74" t="s">
        <v>1861</v>
      </c>
      <c r="B208" s="33" t="s">
        <v>594</v>
      </c>
      <c r="C208" s="33" t="s">
        <v>328</v>
      </c>
      <c r="D208" s="33" t="s">
        <v>1862</v>
      </c>
      <c r="E208" s="33" t="s">
        <v>512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1860</v>
      </c>
      <c r="M208" s="41">
        <v>0.1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74" t="s">
        <v>1849</v>
      </c>
      <c r="B209" s="33" t="s">
        <v>594</v>
      </c>
      <c r="C209" s="33" t="s">
        <v>328</v>
      </c>
      <c r="D209" s="33" t="s">
        <v>1850</v>
      </c>
      <c r="E209" s="33" t="s">
        <v>512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1848</v>
      </c>
      <c r="M209" s="41">
        <v>0.1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70" t="s">
        <v>996</v>
      </c>
      <c r="B210" s="33" t="s">
        <v>594</v>
      </c>
      <c r="C210" s="33" t="s">
        <v>1431</v>
      </c>
      <c r="D210" s="33" t="s">
        <v>997</v>
      </c>
      <c r="E210" s="33" t="s">
        <v>512</v>
      </c>
      <c r="F210" s="45">
        <v>10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995</v>
      </c>
      <c r="M210" s="41">
        <v>0.1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74" t="s">
        <v>1471</v>
      </c>
      <c r="B211" s="33" t="s">
        <v>594</v>
      </c>
      <c r="C211" s="33" t="s">
        <v>328</v>
      </c>
      <c r="D211" s="33" t="s">
        <v>1472</v>
      </c>
      <c r="E211" s="33" t="s">
        <v>512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1470</v>
      </c>
      <c r="M211" s="41">
        <v>0.1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74" t="s">
        <v>1477</v>
      </c>
      <c r="B212" s="33" t="s">
        <v>594</v>
      </c>
      <c r="C212" s="33" t="s">
        <v>328</v>
      </c>
      <c r="D212" s="33" t="s">
        <v>1478</v>
      </c>
      <c r="E212" s="33" t="s">
        <v>512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1476</v>
      </c>
      <c r="M212" s="41">
        <v>0.1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74" t="s">
        <v>1958</v>
      </c>
      <c r="B213" s="33" t="s">
        <v>594</v>
      </c>
      <c r="C213" s="33" t="s">
        <v>328</v>
      </c>
      <c r="D213" s="33" t="s">
        <v>1959</v>
      </c>
      <c r="E213" s="33" t="s">
        <v>512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1957</v>
      </c>
      <c r="M213" s="41">
        <v>0.1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74" t="s">
        <v>1733</v>
      </c>
      <c r="B214" s="33" t="s">
        <v>594</v>
      </c>
      <c r="C214" s="33" t="s">
        <v>328</v>
      </c>
      <c r="D214" s="33" t="s">
        <v>1734</v>
      </c>
      <c r="E214" s="33" t="s">
        <v>512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1732</v>
      </c>
      <c r="M214" s="41">
        <v>0.1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74" t="s">
        <v>1821</v>
      </c>
      <c r="B215" s="33" t="s">
        <v>594</v>
      </c>
      <c r="C215" s="33" t="s">
        <v>328</v>
      </c>
      <c r="D215" s="33" t="s">
        <v>1822</v>
      </c>
      <c r="E215" s="33" t="s">
        <v>512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1820</v>
      </c>
      <c r="M215" s="41">
        <v>0.1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74" t="s">
        <v>1678</v>
      </c>
      <c r="B216" s="33" t="s">
        <v>594</v>
      </c>
      <c r="C216" s="33" t="s">
        <v>328</v>
      </c>
      <c r="D216" s="33" t="s">
        <v>1679</v>
      </c>
      <c r="E216" s="33" t="s">
        <v>512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1677</v>
      </c>
      <c r="M216" s="41">
        <v>0.1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74" t="s">
        <v>1684</v>
      </c>
      <c r="B217" s="33" t="s">
        <v>594</v>
      </c>
      <c r="C217" s="33" t="s">
        <v>328</v>
      </c>
      <c r="D217" s="33" t="s">
        <v>1685</v>
      </c>
      <c r="E217" s="33" t="s">
        <v>512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1683</v>
      </c>
      <c r="M217" s="41">
        <v>0.1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74" t="s">
        <v>1519</v>
      </c>
      <c r="B218" s="33" t="s">
        <v>594</v>
      </c>
      <c r="C218" s="33" t="s">
        <v>328</v>
      </c>
      <c r="D218" s="33" t="s">
        <v>1520</v>
      </c>
      <c r="E218" s="33" t="s">
        <v>512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1518</v>
      </c>
      <c r="M218" s="41">
        <v>0.1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74" t="s">
        <v>1609</v>
      </c>
      <c r="B219" s="33" t="s">
        <v>594</v>
      </c>
      <c r="C219" s="33" t="s">
        <v>328</v>
      </c>
      <c r="D219" s="33" t="s">
        <v>1610</v>
      </c>
      <c r="E219" s="33" t="s">
        <v>512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1608</v>
      </c>
      <c r="M219" s="41">
        <v>0.1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74" t="s">
        <v>1510</v>
      </c>
      <c r="B220" s="33" t="s">
        <v>594</v>
      </c>
      <c r="C220" s="33" t="s">
        <v>328</v>
      </c>
      <c r="D220" s="33" t="s">
        <v>1511</v>
      </c>
      <c r="E220" s="33" t="s">
        <v>512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1509</v>
      </c>
      <c r="M220" s="41">
        <v>0.1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74" t="s">
        <v>1456</v>
      </c>
      <c r="B221" s="33" t="s">
        <v>594</v>
      </c>
      <c r="C221" s="33" t="s">
        <v>328</v>
      </c>
      <c r="D221" s="33" t="s">
        <v>1457</v>
      </c>
      <c r="E221" s="33" t="s">
        <v>512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1459</v>
      </c>
      <c r="M221" s="41">
        <v>0.1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74" t="s">
        <v>1597</v>
      </c>
      <c r="B222" s="33" t="s">
        <v>594</v>
      </c>
      <c r="C222" s="33" t="s">
        <v>328</v>
      </c>
      <c r="D222" s="33" t="s">
        <v>1598</v>
      </c>
      <c r="E222" s="33" t="s">
        <v>512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1596</v>
      </c>
      <c r="M222" s="41">
        <v>0.1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70" t="s">
        <v>540</v>
      </c>
      <c r="B223" s="33" t="s">
        <v>594</v>
      </c>
      <c r="C223" s="33" t="s">
        <v>1436</v>
      </c>
      <c r="D223" s="33" t="s">
        <v>595</v>
      </c>
      <c r="E223" s="33" t="s">
        <v>512</v>
      </c>
      <c r="F223" s="45">
        <v>9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596</v>
      </c>
      <c r="M223" s="41">
        <v>0.1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74" t="s">
        <v>2014</v>
      </c>
      <c r="B224" s="33" t="s">
        <v>594</v>
      </c>
      <c r="C224" s="33" t="s">
        <v>328</v>
      </c>
      <c r="D224" s="33" t="s">
        <v>2015</v>
      </c>
      <c r="E224" s="33" t="s">
        <v>512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2013</v>
      </c>
      <c r="M224" s="41">
        <v>0.1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74" t="s">
        <v>1918</v>
      </c>
      <c r="B225" s="33" t="s">
        <v>594</v>
      </c>
      <c r="C225" s="33" t="s">
        <v>328</v>
      </c>
      <c r="D225" s="33" t="s">
        <v>1919</v>
      </c>
      <c r="E225" s="33" t="s">
        <v>512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1917</v>
      </c>
      <c r="M225" s="41">
        <v>0.1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74" t="s">
        <v>1495</v>
      </c>
      <c r="B226" s="33" t="s">
        <v>594</v>
      </c>
      <c r="C226" s="33" t="s">
        <v>328</v>
      </c>
      <c r="D226" s="33" t="s">
        <v>1496</v>
      </c>
      <c r="E226" s="33" t="s">
        <v>512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1494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74" t="s">
        <v>1801</v>
      </c>
      <c r="B227" s="33" t="s">
        <v>594</v>
      </c>
      <c r="C227" s="33" t="s">
        <v>328</v>
      </c>
      <c r="D227" s="33" t="s">
        <v>1802</v>
      </c>
      <c r="E227" s="33" t="s">
        <v>512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1800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74" t="s">
        <v>1630</v>
      </c>
      <c r="B228" s="33" t="s">
        <v>594</v>
      </c>
      <c r="C228" s="33" t="s">
        <v>328</v>
      </c>
      <c r="D228" s="33" t="s">
        <v>1631</v>
      </c>
      <c r="E228" s="33" t="s">
        <v>512</v>
      </c>
      <c r="F228" s="45">
        <v>0</v>
      </c>
      <c r="G228" s="45"/>
      <c r="H228" s="45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1629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74" t="s">
        <v>1938</v>
      </c>
      <c r="B229" s="33" t="s">
        <v>594</v>
      </c>
      <c r="C229" s="33" t="s">
        <v>328</v>
      </c>
      <c r="D229" s="33" t="s">
        <v>1939</v>
      </c>
      <c r="E229" s="33" t="s">
        <v>512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1937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74" t="s">
        <v>1737</v>
      </c>
      <c r="B230" s="33" t="s">
        <v>594</v>
      </c>
      <c r="C230" s="33" t="s">
        <v>328</v>
      </c>
      <c r="D230" s="33" t="s">
        <v>1738</v>
      </c>
      <c r="E230" s="33" t="s">
        <v>512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1736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74" t="s">
        <v>1688</v>
      </c>
      <c r="B231" s="33" t="s">
        <v>594</v>
      </c>
      <c r="C231" s="33" t="s">
        <v>328</v>
      </c>
      <c r="D231" s="33" t="s">
        <v>1689</v>
      </c>
      <c r="E231" s="33" t="s">
        <v>512</v>
      </c>
      <c r="F231" s="45">
        <v>0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1687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74" t="s">
        <v>1930</v>
      </c>
      <c r="B232" s="33" t="s">
        <v>594</v>
      </c>
      <c r="C232" s="33" t="s">
        <v>328</v>
      </c>
      <c r="D232" s="33" t="s">
        <v>1931</v>
      </c>
      <c r="E232" s="33" t="s">
        <v>512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1929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74" t="s">
        <v>1974</v>
      </c>
      <c r="B233" s="33" t="s">
        <v>594</v>
      </c>
      <c r="C233" s="33" t="s">
        <v>328</v>
      </c>
      <c r="D233" s="33" t="s">
        <v>1975</v>
      </c>
      <c r="E233" s="33" t="s">
        <v>512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1973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74" t="s">
        <v>1825</v>
      </c>
      <c r="B234" s="33" t="s">
        <v>594</v>
      </c>
      <c r="C234" s="33" t="s">
        <v>328</v>
      </c>
      <c r="D234" s="33" t="s">
        <v>1826</v>
      </c>
      <c r="E234" s="33" t="s">
        <v>512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1824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74" t="s">
        <v>1513</v>
      </c>
      <c r="B235" s="33" t="s">
        <v>594</v>
      </c>
      <c r="C235" s="33" t="s">
        <v>328</v>
      </c>
      <c r="D235" s="33" t="s">
        <v>1514</v>
      </c>
      <c r="E235" s="33" t="s">
        <v>512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1512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70" t="s">
        <v>1020</v>
      </c>
      <c r="B236" s="33" t="s">
        <v>594</v>
      </c>
      <c r="C236" s="33" t="s">
        <v>1432</v>
      </c>
      <c r="D236" s="33" t="s">
        <v>1021</v>
      </c>
      <c r="E236" s="33" t="s">
        <v>512</v>
      </c>
      <c r="F236" s="45">
        <v>9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1019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74" t="s">
        <v>1443</v>
      </c>
      <c r="B237" s="33" t="s">
        <v>594</v>
      </c>
      <c r="C237" s="33" t="s">
        <v>328</v>
      </c>
      <c r="D237" s="33" t="s">
        <v>1444</v>
      </c>
      <c r="E237" s="33" t="s">
        <v>512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1445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74" t="s">
        <v>1741</v>
      </c>
      <c r="B238" s="33" t="s">
        <v>594</v>
      </c>
      <c r="C238" s="33" t="s">
        <v>328</v>
      </c>
      <c r="D238" s="33" t="s">
        <v>1742</v>
      </c>
      <c r="E238" s="33" t="s">
        <v>512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1740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74" t="s">
        <v>1994</v>
      </c>
      <c r="B239" s="33" t="s">
        <v>594</v>
      </c>
      <c r="C239" s="33" t="s">
        <v>328</v>
      </c>
      <c r="D239" s="33" t="s">
        <v>1995</v>
      </c>
      <c r="E239" s="33" t="s">
        <v>512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1993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74" t="s">
        <v>1986</v>
      </c>
      <c r="B240" s="33" t="s">
        <v>594</v>
      </c>
      <c r="C240" s="33" t="s">
        <v>328</v>
      </c>
      <c r="D240" s="33" t="s">
        <v>1987</v>
      </c>
      <c r="E240" s="33" t="s">
        <v>512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1985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74" t="s">
        <v>1890</v>
      </c>
      <c r="B241" s="33" t="s">
        <v>594</v>
      </c>
      <c r="C241" s="33" t="s">
        <v>328</v>
      </c>
      <c r="D241" s="33" t="s">
        <v>1891</v>
      </c>
      <c r="E241" s="33" t="s">
        <v>512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1889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74" t="s">
        <v>1626</v>
      </c>
      <c r="B242" s="33" t="s">
        <v>594</v>
      </c>
      <c r="C242" s="33" t="s">
        <v>328</v>
      </c>
      <c r="D242" s="33" t="s">
        <v>1627</v>
      </c>
      <c r="E242" s="33" t="s">
        <v>512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1625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74" t="s">
        <v>1646</v>
      </c>
      <c r="B243" s="33" t="s">
        <v>594</v>
      </c>
      <c r="C243" s="33" t="s">
        <v>328</v>
      </c>
      <c r="D243" s="33" t="s">
        <v>1647</v>
      </c>
      <c r="E243" s="33" t="s">
        <v>512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1645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74" t="s">
        <v>1894</v>
      </c>
      <c r="B244" s="33" t="s">
        <v>594</v>
      </c>
      <c r="C244" s="33" t="s">
        <v>328</v>
      </c>
      <c r="D244" s="33" t="s">
        <v>1895</v>
      </c>
      <c r="E244" s="33" t="s">
        <v>512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1893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74" t="s">
        <v>1745</v>
      </c>
      <c r="B245" s="33" t="s">
        <v>594</v>
      </c>
      <c r="C245" s="33" t="s">
        <v>328</v>
      </c>
      <c r="D245" s="33" t="s">
        <v>1746</v>
      </c>
      <c r="E245" s="33" t="s">
        <v>512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1744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74" t="s">
        <v>2018</v>
      </c>
      <c r="B246" s="33" t="s">
        <v>594</v>
      </c>
      <c r="C246" s="33" t="s">
        <v>328</v>
      </c>
      <c r="D246" s="33" t="s">
        <v>2019</v>
      </c>
      <c r="E246" s="33" t="s">
        <v>512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2017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70" t="s">
        <v>1017</v>
      </c>
      <c r="B247" s="33" t="s">
        <v>594</v>
      </c>
      <c r="C247" s="33" t="s">
        <v>1437</v>
      </c>
      <c r="D247" s="33" t="s">
        <v>1018</v>
      </c>
      <c r="E247" s="33" t="s">
        <v>512</v>
      </c>
      <c r="F247" s="45">
        <v>9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1016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74" t="s">
        <v>1749</v>
      </c>
      <c r="B248" s="33" t="s">
        <v>594</v>
      </c>
      <c r="C248" s="33" t="s">
        <v>328</v>
      </c>
      <c r="D248" s="33" t="s">
        <v>1750</v>
      </c>
      <c r="E248" s="33" t="s">
        <v>512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1748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74" t="s">
        <v>1874</v>
      </c>
      <c r="B249" s="33" t="s">
        <v>594</v>
      </c>
      <c r="C249" s="33" t="s">
        <v>328</v>
      </c>
      <c r="D249" s="33" t="s">
        <v>1875</v>
      </c>
      <c r="E249" s="33" t="s">
        <v>512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1873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74" t="s">
        <v>1693</v>
      </c>
      <c r="B250" s="33" t="s">
        <v>594</v>
      </c>
      <c r="C250" s="33" t="s">
        <v>328</v>
      </c>
      <c r="D250" s="33" t="s">
        <v>1694</v>
      </c>
      <c r="E250" s="33" t="s">
        <v>512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1692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74" t="s">
        <v>1865</v>
      </c>
      <c r="B251" s="33" t="s">
        <v>594</v>
      </c>
      <c r="C251" s="33" t="s">
        <v>328</v>
      </c>
      <c r="D251" s="33" t="s">
        <v>1866</v>
      </c>
      <c r="E251" s="33" t="s">
        <v>512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1864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74" t="s">
        <v>1914</v>
      </c>
      <c r="B252" s="33" t="s">
        <v>594</v>
      </c>
      <c r="C252" s="33" t="s">
        <v>328</v>
      </c>
      <c r="D252" s="33" t="s">
        <v>1915</v>
      </c>
      <c r="E252" s="33" t="s">
        <v>512</v>
      </c>
      <c r="F252" s="45">
        <v>0</v>
      </c>
      <c r="G252" s="45"/>
      <c r="H252" s="45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1913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 t="str">
        <f>IF(Table1[[#This Row],[Auto Order]]=1,IF(Table1[[#This Row],[In stock]]&lt;Table1[[#This Row],[Min in stock]],1,""),"")</f>
        <v/>
      </c>
    </row>
    <row r="253" spans="1:29" x14ac:dyDescent="0.25">
      <c r="A253" s="74" t="s">
        <v>1805</v>
      </c>
      <c r="B253" s="33" t="s">
        <v>594</v>
      </c>
      <c r="C253" s="33" t="s">
        <v>328</v>
      </c>
      <c r="D253" s="33" t="s">
        <v>1806</v>
      </c>
      <c r="E253" s="33" t="s">
        <v>512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1804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74" t="s">
        <v>1516</v>
      </c>
      <c r="B254" s="33" t="s">
        <v>594</v>
      </c>
      <c r="C254" s="33" t="s">
        <v>328</v>
      </c>
      <c r="D254" s="33" t="s">
        <v>1517</v>
      </c>
      <c r="E254" s="33" t="s">
        <v>512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1515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74" t="s">
        <v>1753</v>
      </c>
      <c r="B255" s="33" t="s">
        <v>594</v>
      </c>
      <c r="C255" s="33" t="s">
        <v>328</v>
      </c>
      <c r="D255" s="33" t="s">
        <v>1754</v>
      </c>
      <c r="E255" s="33" t="s">
        <v>512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1752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74" t="s">
        <v>1962</v>
      </c>
      <c r="B256" s="33" t="s">
        <v>594</v>
      </c>
      <c r="C256" s="33" t="s">
        <v>328</v>
      </c>
      <c r="D256" s="33" t="s">
        <v>1963</v>
      </c>
      <c r="E256" s="33" t="s">
        <v>512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1961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74" t="s">
        <v>1697</v>
      </c>
      <c r="B257" s="33" t="s">
        <v>594</v>
      </c>
      <c r="C257" s="33" t="s">
        <v>328</v>
      </c>
      <c r="D257" s="33" t="s">
        <v>1698</v>
      </c>
      <c r="E257" s="33" t="s">
        <v>512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1696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74" t="s">
        <v>1662</v>
      </c>
      <c r="B258" s="33" t="s">
        <v>594</v>
      </c>
      <c r="C258" s="33" t="s">
        <v>328</v>
      </c>
      <c r="D258" s="33" t="s">
        <v>1663</v>
      </c>
      <c r="E258" s="33" t="s">
        <v>512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1661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74" t="s">
        <v>1522</v>
      </c>
      <c r="B259" s="33" t="s">
        <v>594</v>
      </c>
      <c r="C259" s="33" t="s">
        <v>328</v>
      </c>
      <c r="D259" s="33" t="s">
        <v>1523</v>
      </c>
      <c r="E259" s="33" t="s">
        <v>512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1521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74" t="s">
        <v>1601</v>
      </c>
      <c r="B260" s="33" t="s">
        <v>594</v>
      </c>
      <c r="C260" s="33" t="s">
        <v>328</v>
      </c>
      <c r="D260" s="33" t="s">
        <v>1602</v>
      </c>
      <c r="E260" s="33" t="s">
        <v>512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1600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74" t="s">
        <v>1990</v>
      </c>
      <c r="B261" s="33" t="s">
        <v>594</v>
      </c>
      <c r="C261" s="33" t="s">
        <v>328</v>
      </c>
      <c r="D261" s="33" t="s">
        <v>1991</v>
      </c>
      <c r="E261" s="33" t="s">
        <v>512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1989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74" t="s">
        <v>1946</v>
      </c>
      <c r="B262" s="33" t="s">
        <v>594</v>
      </c>
      <c r="C262" s="33" t="s">
        <v>328</v>
      </c>
      <c r="D262" s="33" t="s">
        <v>1947</v>
      </c>
      <c r="E262" s="33" t="s">
        <v>512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1945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74" t="s">
        <v>1785</v>
      </c>
      <c r="B263" s="33" t="s">
        <v>594</v>
      </c>
      <c r="C263" s="33" t="s">
        <v>328</v>
      </c>
      <c r="D263" s="33" t="s">
        <v>1786</v>
      </c>
      <c r="E263" s="33" t="s">
        <v>512</v>
      </c>
      <c r="F263" s="45">
        <v>0</v>
      </c>
      <c r="G263" s="45"/>
      <c r="H263" s="45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1784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 t="str">
        <f>IF(Table1[[#This Row],[Auto Order]]=1,IF(Table1[[#This Row],[In stock]]&lt;Table1[[#This Row],[Min in stock]],1,""),"")</f>
        <v/>
      </c>
    </row>
    <row r="264" spans="1:29" x14ac:dyDescent="0.25">
      <c r="A264" s="74" t="s">
        <v>1486</v>
      </c>
      <c r="B264" s="33" t="s">
        <v>594</v>
      </c>
      <c r="C264" s="33" t="s">
        <v>328</v>
      </c>
      <c r="D264" s="33" t="s">
        <v>1487</v>
      </c>
      <c r="E264" s="33" t="s">
        <v>512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1485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74" t="s">
        <v>1483</v>
      </c>
      <c r="B265" s="33" t="s">
        <v>594</v>
      </c>
      <c r="C265" s="33" t="s">
        <v>328</v>
      </c>
      <c r="D265" s="33" t="s">
        <v>1484</v>
      </c>
      <c r="E265" s="33" t="s">
        <v>512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1482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74" t="s">
        <v>1501</v>
      </c>
      <c r="B266" s="33" t="s">
        <v>594</v>
      </c>
      <c r="C266" s="33" t="s">
        <v>328</v>
      </c>
      <c r="D266" s="33" t="s">
        <v>1502</v>
      </c>
      <c r="E266" s="33" t="s">
        <v>512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1500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74" t="s">
        <v>1605</v>
      </c>
      <c r="B267" s="33" t="s">
        <v>594</v>
      </c>
      <c r="C267" s="33" t="s">
        <v>328</v>
      </c>
      <c r="D267" s="33" t="s">
        <v>1606</v>
      </c>
      <c r="E267" s="33" t="s">
        <v>512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1604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74" t="s">
        <v>2022</v>
      </c>
      <c r="B268" s="33" t="s">
        <v>594</v>
      </c>
      <c r="C268" s="33" t="s">
        <v>328</v>
      </c>
      <c r="D268" s="33" t="s">
        <v>2023</v>
      </c>
      <c r="E268" s="33" t="s">
        <v>512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2021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74" t="s">
        <v>1829</v>
      </c>
      <c r="B269" s="33" t="s">
        <v>594</v>
      </c>
      <c r="C269" s="33" t="s">
        <v>328</v>
      </c>
      <c r="D269" s="33" t="s">
        <v>1830</v>
      </c>
      <c r="E269" s="33" t="s">
        <v>512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1828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74" t="s">
        <v>1670</v>
      </c>
      <c r="B270" s="33" t="s">
        <v>594</v>
      </c>
      <c r="C270" s="33" t="s">
        <v>328</v>
      </c>
      <c r="D270" s="33" t="s">
        <v>1671</v>
      </c>
      <c r="E270" s="33" t="s">
        <v>512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1669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74" t="s">
        <v>1674</v>
      </c>
      <c r="B271" s="33" t="s">
        <v>594</v>
      </c>
      <c r="C271" s="33" t="s">
        <v>328</v>
      </c>
      <c r="D271" s="33" t="s">
        <v>1675</v>
      </c>
      <c r="E271" s="33" t="s">
        <v>512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1673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74" t="s">
        <v>1757</v>
      </c>
      <c r="B272" s="33" t="s">
        <v>594</v>
      </c>
      <c r="C272" s="33" t="s">
        <v>328</v>
      </c>
      <c r="D272" s="33" t="s">
        <v>1758</v>
      </c>
      <c r="E272" s="33" t="s">
        <v>512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1756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74" t="s">
        <v>1950</v>
      </c>
      <c r="B273" s="33" t="s">
        <v>594</v>
      </c>
      <c r="C273" s="33" t="s">
        <v>328</v>
      </c>
      <c r="D273" s="33" t="s">
        <v>1951</v>
      </c>
      <c r="E273" s="33" t="s">
        <v>512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1949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74" t="s">
        <v>1809</v>
      </c>
      <c r="B274" s="33" t="s">
        <v>594</v>
      </c>
      <c r="C274" s="33" t="s">
        <v>328</v>
      </c>
      <c r="D274" s="33" t="s">
        <v>1810</v>
      </c>
      <c r="E274" s="33" t="s">
        <v>512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1808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74" t="s">
        <v>1970</v>
      </c>
      <c r="B275" s="33" t="s">
        <v>594</v>
      </c>
      <c r="C275" s="33" t="s">
        <v>328</v>
      </c>
      <c r="D275" s="33" t="s">
        <v>1971</v>
      </c>
      <c r="E275" s="33" t="s">
        <v>512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1969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74" t="s">
        <v>1504</v>
      </c>
      <c r="B276" s="33" t="s">
        <v>594</v>
      </c>
      <c r="C276" s="33" t="s">
        <v>328</v>
      </c>
      <c r="D276" s="33" t="s">
        <v>1505</v>
      </c>
      <c r="E276" s="33" t="s">
        <v>512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1503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74" t="s">
        <v>2006</v>
      </c>
      <c r="B277" s="33" t="s">
        <v>594</v>
      </c>
      <c r="C277" s="33" t="s">
        <v>328</v>
      </c>
      <c r="D277" s="33" t="s">
        <v>2007</v>
      </c>
      <c r="E277" s="33" t="s">
        <v>512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2005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74" t="s">
        <v>1761</v>
      </c>
      <c r="B278" s="33" t="s">
        <v>594</v>
      </c>
      <c r="C278" s="33" t="s">
        <v>328</v>
      </c>
      <c r="D278" s="33" t="s">
        <v>1762</v>
      </c>
      <c r="E278" s="33" t="s">
        <v>512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1760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74" t="s">
        <v>1789</v>
      </c>
      <c r="B279" s="33" t="s">
        <v>594</v>
      </c>
      <c r="C279" s="33" t="s">
        <v>328</v>
      </c>
      <c r="D279" s="33" t="s">
        <v>1790</v>
      </c>
      <c r="E279" s="33" t="s">
        <v>512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1788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74" t="s">
        <v>1954</v>
      </c>
      <c r="B280" s="33" t="s">
        <v>594</v>
      </c>
      <c r="C280" s="33" t="s">
        <v>328</v>
      </c>
      <c r="D280" s="33" t="s">
        <v>1955</v>
      </c>
      <c r="E280" s="33" t="s">
        <v>512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1953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74" t="s">
        <v>1833</v>
      </c>
      <c r="B281" s="33" t="s">
        <v>594</v>
      </c>
      <c r="C281" s="33" t="s">
        <v>328</v>
      </c>
      <c r="D281" s="33" t="s">
        <v>1834</v>
      </c>
      <c r="E281" s="33" t="s">
        <v>512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1832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74" t="s">
        <v>1701</v>
      </c>
      <c r="B282" s="33" t="s">
        <v>594</v>
      </c>
      <c r="C282" s="33" t="s">
        <v>328</v>
      </c>
      <c r="D282" s="33" t="s">
        <v>1702</v>
      </c>
      <c r="E282" s="33" t="s">
        <v>512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1700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74" t="s">
        <v>1634</v>
      </c>
      <c r="B283" s="33" t="s">
        <v>594</v>
      </c>
      <c r="C283" s="33" t="s">
        <v>328</v>
      </c>
      <c r="D283" s="33" t="s">
        <v>1635</v>
      </c>
      <c r="E283" s="33" t="s">
        <v>512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1633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74" t="s">
        <v>1922</v>
      </c>
      <c r="B284" s="33" t="s">
        <v>594</v>
      </c>
      <c r="C284" s="33" t="s">
        <v>328</v>
      </c>
      <c r="D284" s="33" t="s">
        <v>1923</v>
      </c>
      <c r="E284" s="33" t="s">
        <v>512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1921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74" t="s">
        <v>1793</v>
      </c>
      <c r="B285" s="33" t="s">
        <v>594</v>
      </c>
      <c r="C285" s="33" t="s">
        <v>328</v>
      </c>
      <c r="D285" s="33" t="s">
        <v>1794</v>
      </c>
      <c r="E285" s="33" t="s">
        <v>512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1792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74" t="s">
        <v>1898</v>
      </c>
      <c r="B286" s="33" t="s">
        <v>594</v>
      </c>
      <c r="C286" s="33" t="s">
        <v>328</v>
      </c>
      <c r="D286" s="33" t="s">
        <v>1899</v>
      </c>
      <c r="E286" s="33" t="s">
        <v>512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1897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74" t="s">
        <v>1765</v>
      </c>
      <c r="B287" s="33" t="s">
        <v>594</v>
      </c>
      <c r="C287" s="33" t="s">
        <v>328</v>
      </c>
      <c r="D287" s="33" t="s">
        <v>1766</v>
      </c>
      <c r="E287" s="33" t="s">
        <v>512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1764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74" t="s">
        <v>1769</v>
      </c>
      <c r="B288" s="33" t="s">
        <v>594</v>
      </c>
      <c r="C288" s="33" t="s">
        <v>328</v>
      </c>
      <c r="D288" s="33" t="s">
        <v>1770</v>
      </c>
      <c r="E288" s="33" t="s">
        <v>512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1768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74" t="s">
        <v>1773</v>
      </c>
      <c r="B289" s="33" t="s">
        <v>594</v>
      </c>
      <c r="C289" s="33" t="s">
        <v>328</v>
      </c>
      <c r="D289" s="33" t="s">
        <v>1774</v>
      </c>
      <c r="E289" s="33" t="s">
        <v>512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1772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74" t="s">
        <v>1658</v>
      </c>
      <c r="B290" s="33" t="s">
        <v>594</v>
      </c>
      <c r="C290" s="33" t="s">
        <v>328</v>
      </c>
      <c r="D290" s="33" t="s">
        <v>1659</v>
      </c>
      <c r="E290" s="33" t="s">
        <v>512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1657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74" t="s">
        <v>1622</v>
      </c>
      <c r="B291" s="33" t="s">
        <v>594</v>
      </c>
      <c r="C291" s="33" t="s">
        <v>328</v>
      </c>
      <c r="D291" s="33" t="s">
        <v>1623</v>
      </c>
      <c r="E291" s="33" t="s">
        <v>512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1621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74" t="s">
        <v>2039</v>
      </c>
      <c r="B292" s="33" t="s">
        <v>594</v>
      </c>
      <c r="C292" s="33" t="s">
        <v>328</v>
      </c>
      <c r="D292" s="33" t="s">
        <v>2040</v>
      </c>
      <c r="E292" s="33" t="s">
        <v>512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2038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74" t="s">
        <v>1837</v>
      </c>
      <c r="B293" s="33" t="s">
        <v>594</v>
      </c>
      <c r="C293" s="33" t="s">
        <v>328</v>
      </c>
      <c r="D293" s="33" t="s">
        <v>1838</v>
      </c>
      <c r="E293" s="33" t="s">
        <v>512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1836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74" t="s">
        <v>1934</v>
      </c>
      <c r="B294" s="33" t="s">
        <v>594</v>
      </c>
      <c r="C294" s="33" t="s">
        <v>328</v>
      </c>
      <c r="D294" s="33" t="s">
        <v>1935</v>
      </c>
      <c r="E294" s="33" t="s">
        <v>512</v>
      </c>
      <c r="F294" s="45">
        <v>0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1933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74" t="s">
        <v>1642</v>
      </c>
      <c r="B295" s="33" t="s">
        <v>594</v>
      </c>
      <c r="C295" s="33" t="s">
        <v>328</v>
      </c>
      <c r="D295" s="33" t="s">
        <v>1643</v>
      </c>
      <c r="E295" s="33" t="s">
        <v>512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1641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74" t="s">
        <v>1878</v>
      </c>
      <c r="B296" s="33" t="s">
        <v>594</v>
      </c>
      <c r="C296" s="33" t="s">
        <v>328</v>
      </c>
      <c r="D296" s="33" t="s">
        <v>1879</v>
      </c>
      <c r="E296" s="33" t="s">
        <v>512</v>
      </c>
      <c r="F296" s="45">
        <v>0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1877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74" t="s">
        <v>1870</v>
      </c>
      <c r="B297" s="33" t="s">
        <v>594</v>
      </c>
      <c r="C297" s="33" t="s">
        <v>328</v>
      </c>
      <c r="D297" s="33" t="s">
        <v>1871</v>
      </c>
      <c r="E297" s="33" t="s">
        <v>512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RHM8.2KKCT-ND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1869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74" t="s">
        <v>1853</v>
      </c>
      <c r="B298" s="33" t="s">
        <v>594</v>
      </c>
      <c r="C298" s="33" t="s">
        <v>328</v>
      </c>
      <c r="D298" s="33" t="s">
        <v>1854</v>
      </c>
      <c r="E298" s="33" t="s">
        <v>512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1852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74" t="s">
        <v>1841</v>
      </c>
      <c r="B299" s="33" t="s">
        <v>594</v>
      </c>
      <c r="C299" s="33" t="s">
        <v>328</v>
      </c>
      <c r="D299" s="33" t="s">
        <v>1842</v>
      </c>
      <c r="E299" s="33" t="s">
        <v>512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1840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74" t="s">
        <v>1906</v>
      </c>
      <c r="B300" s="33" t="s">
        <v>594</v>
      </c>
      <c r="C300" s="33" t="s">
        <v>328</v>
      </c>
      <c r="D300" s="33" t="s">
        <v>1907</v>
      </c>
      <c r="E300" s="33" t="s">
        <v>512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1905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74" t="s">
        <v>1998</v>
      </c>
      <c r="B301" s="33" t="s">
        <v>594</v>
      </c>
      <c r="C301" s="33" t="s">
        <v>328</v>
      </c>
      <c r="D301" s="33" t="s">
        <v>1999</v>
      </c>
      <c r="E301" s="33" t="s">
        <v>512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1997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74" t="s">
        <v>1966</v>
      </c>
      <c r="B302" s="33" t="s">
        <v>594</v>
      </c>
      <c r="C302" s="33" t="s">
        <v>328</v>
      </c>
      <c r="D302" s="33" t="s">
        <v>1967</v>
      </c>
      <c r="E302" s="33" t="s">
        <v>512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1965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74" t="s">
        <v>1777</v>
      </c>
      <c r="B303" s="33" t="s">
        <v>594</v>
      </c>
      <c r="C303" s="33" t="s">
        <v>328</v>
      </c>
      <c r="D303" s="33" t="s">
        <v>1778</v>
      </c>
      <c r="E303" s="33" t="s">
        <v>512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1776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74" t="s">
        <v>1781</v>
      </c>
      <c r="B304" s="33" t="s">
        <v>594</v>
      </c>
      <c r="C304" s="33" t="s">
        <v>328</v>
      </c>
      <c r="D304" s="33" t="s">
        <v>1782</v>
      </c>
      <c r="E304" s="33" t="s">
        <v>512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1780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74" t="s">
        <v>2002</v>
      </c>
      <c r="B305" s="33" t="s">
        <v>594</v>
      </c>
      <c r="C305" s="33" t="s">
        <v>328</v>
      </c>
      <c r="D305" s="33" t="s">
        <v>2003</v>
      </c>
      <c r="E305" s="33" t="s">
        <v>512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2001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70" t="s">
        <v>713</v>
      </c>
      <c r="B306" s="33" t="s">
        <v>594</v>
      </c>
      <c r="C306" s="33" t="s">
        <v>1433</v>
      </c>
      <c r="D306" s="33" t="s">
        <v>714</v>
      </c>
      <c r="E306" s="33" t="s">
        <v>512</v>
      </c>
      <c r="F306" s="45">
        <v>10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712</v>
      </c>
      <c r="M306" s="41">
        <v>0.15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74" t="s">
        <v>931</v>
      </c>
      <c r="B307" s="33" t="s">
        <v>594</v>
      </c>
      <c r="C307" s="33" t="s">
        <v>1435</v>
      </c>
      <c r="D307" s="33" t="s">
        <v>932</v>
      </c>
      <c r="E307" s="33" t="s">
        <v>512</v>
      </c>
      <c r="F307" s="45">
        <v>2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930</v>
      </c>
      <c r="M307" s="41">
        <v>0.15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73" t="s">
        <v>55</v>
      </c>
      <c r="B308" s="33" t="s">
        <v>30</v>
      </c>
      <c r="C308" s="33" t="s">
        <v>1381</v>
      </c>
      <c r="D308" s="33" t="s">
        <v>54</v>
      </c>
      <c r="E308" s="33" t="s">
        <v>512</v>
      </c>
      <c r="F308" s="45">
        <v>9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8" s="33"/>
      <c r="M308" s="41"/>
      <c r="N308" s="33" t="s">
        <v>397</v>
      </c>
      <c r="O308" s="41">
        <v>4.4499999999999998E-2</v>
      </c>
      <c r="P308" s="33"/>
      <c r="Q308" s="41"/>
      <c r="R308" s="33"/>
      <c r="S308" s="41"/>
      <c r="T308" s="33"/>
      <c r="U308" s="41"/>
      <c r="V308" s="33"/>
      <c r="W308" s="41"/>
      <c r="X308" s="33"/>
      <c r="Y308" s="41">
        <v>4.4499999999999998E-2</v>
      </c>
      <c r="Z308" s="41"/>
      <c r="AA308" s="35"/>
      <c r="AB308" s="43"/>
      <c r="AC308" s="34" t="str">
        <f>IF(Table1[[#This Row],[Auto Order]]=1,IF(Table1[[#This Row],[In stock]]&lt;Table1[[#This Row],[Min in stock]],1,""),"")</f>
        <v/>
      </c>
    </row>
    <row r="309" spans="1:29" x14ac:dyDescent="0.25">
      <c r="A309" s="73" t="s">
        <v>50</v>
      </c>
      <c r="B309" s="33" t="s">
        <v>30</v>
      </c>
      <c r="C309" s="33" t="s">
        <v>1379</v>
      </c>
      <c r="D309" s="33" t="s">
        <v>1373</v>
      </c>
      <c r="E309" s="33" t="s">
        <v>512</v>
      </c>
      <c r="F309" s="45">
        <v>9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9" s="33"/>
      <c r="M309" s="41"/>
      <c r="N309" s="33" t="s">
        <v>400</v>
      </c>
      <c r="O309" s="41">
        <v>1.55E-2</v>
      </c>
      <c r="P309" s="33"/>
      <c r="Q309" s="41"/>
      <c r="R309" s="33"/>
      <c r="S309" s="41"/>
      <c r="T309" s="33"/>
      <c r="U309" s="41"/>
      <c r="V309" s="33"/>
      <c r="W309" s="41"/>
      <c r="X309" s="33"/>
      <c r="Y309" s="41">
        <v>1.55E-2</v>
      </c>
      <c r="Z309" s="41"/>
      <c r="AA309" s="35"/>
      <c r="AB309" s="43"/>
      <c r="AC309" s="34" t="str">
        <f>IF(Table1[[#This Row],[Auto Order]]=1,IF(Table1[[#This Row],[In stock]]&lt;Table1[[#This Row],[Min in stock]],1,""),"")</f>
        <v/>
      </c>
    </row>
    <row r="310" spans="1:29" x14ac:dyDescent="0.25">
      <c r="A310" s="73" t="s">
        <v>49</v>
      </c>
      <c r="B310" s="33" t="s">
        <v>30</v>
      </c>
      <c r="C310" s="33" t="s">
        <v>328</v>
      </c>
      <c r="D310" s="33" t="s">
        <v>48</v>
      </c>
      <c r="E310" s="33" t="s">
        <v>512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0" s="33"/>
      <c r="M310" s="41"/>
      <c r="N310" s="33" t="s">
        <v>401</v>
      </c>
      <c r="O310" s="41">
        <v>2.3E-2</v>
      </c>
      <c r="P310" s="33"/>
      <c r="Q310" s="41"/>
      <c r="R310" s="33"/>
      <c r="S310" s="41"/>
      <c r="T310" s="33"/>
      <c r="U310" s="41"/>
      <c r="V310" s="33"/>
      <c r="W310" s="41"/>
      <c r="X310" s="33"/>
      <c r="Y310" s="41">
        <v>2.3E-2</v>
      </c>
      <c r="Z310" s="41"/>
      <c r="AA310" s="35"/>
      <c r="AB310" s="43"/>
      <c r="AC310" s="34" t="str">
        <f>IF(Table1[[#This Row],[Auto Order]]=1,IF(Table1[[#This Row],[In stock]]&lt;Table1[[#This Row],[Min in stock]],1,""),"")</f>
        <v/>
      </c>
    </row>
    <row r="311" spans="1:29" x14ac:dyDescent="0.25">
      <c r="A311" s="73" t="s">
        <v>56</v>
      </c>
      <c r="B311" s="33" t="s">
        <v>30</v>
      </c>
      <c r="C311" s="33" t="s">
        <v>1378</v>
      </c>
      <c r="D311" s="33" t="s">
        <v>1374</v>
      </c>
      <c r="E311" s="33" t="s">
        <v>512</v>
      </c>
      <c r="F311" s="45">
        <v>7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1" s="33"/>
      <c r="M311" s="41"/>
      <c r="N311" s="33" t="s">
        <v>396</v>
      </c>
      <c r="O311" s="41">
        <v>2.3900000000000001E-2</v>
      </c>
      <c r="P311" s="33"/>
      <c r="Q311" s="41"/>
      <c r="R311" s="33"/>
      <c r="S311" s="41"/>
      <c r="T311" s="33"/>
      <c r="U311" s="41"/>
      <c r="V311" s="33"/>
      <c r="W311" s="41"/>
      <c r="X311" s="33"/>
      <c r="Y311" s="41">
        <v>2.3900000000000001E-2</v>
      </c>
      <c r="Z311" s="41"/>
      <c r="AA311" s="35"/>
      <c r="AB311" s="43"/>
      <c r="AC311" s="34" t="str">
        <f>IF(Table1[[#This Row],[Auto Order]]=1,IF(Table1[[#This Row],[In stock]]&lt;Table1[[#This Row],[Min in stock]],1,""),"")</f>
        <v/>
      </c>
    </row>
    <row r="312" spans="1:29" x14ac:dyDescent="0.25">
      <c r="A312" s="73" t="s">
        <v>47</v>
      </c>
      <c r="B312" s="33" t="s">
        <v>46</v>
      </c>
      <c r="C312" s="33" t="s">
        <v>1377</v>
      </c>
      <c r="D312" s="33" t="s">
        <v>1375</v>
      </c>
      <c r="E312" s="33" t="s">
        <v>512</v>
      </c>
      <c r="F312" s="45">
        <v>9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2" s="33"/>
      <c r="M312" s="41"/>
      <c r="N312" s="33" t="s">
        <v>399</v>
      </c>
      <c r="O312" s="41">
        <v>1.0999999999999999E-2</v>
      </c>
      <c r="P312" s="33"/>
      <c r="Q312" s="41"/>
      <c r="R312" s="33"/>
      <c r="S312" s="41"/>
      <c r="T312" s="33"/>
      <c r="U312" s="41"/>
      <c r="V312" s="33"/>
      <c r="W312" s="41"/>
      <c r="X312" s="33"/>
      <c r="Y312" s="41">
        <v>1.0999999999999999E-2</v>
      </c>
      <c r="Z312" s="41"/>
      <c r="AA312" s="35"/>
      <c r="AB312" s="43"/>
      <c r="AC312" s="34" t="str">
        <f>IF(Table1[[#This Row],[Auto Order]]=1,IF(Table1[[#This Row],[In stock]]&lt;Table1[[#This Row],[Min in stock]],1,""),"")</f>
        <v/>
      </c>
    </row>
    <row r="313" spans="1:29" x14ac:dyDescent="0.25">
      <c r="A313" s="70" t="s">
        <v>1179</v>
      </c>
      <c r="B313" s="33" t="s">
        <v>1175</v>
      </c>
      <c r="C313" s="33" t="s">
        <v>328</v>
      </c>
      <c r="D313" s="33" t="s">
        <v>1180</v>
      </c>
      <c r="E313" s="33" t="s">
        <v>1191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1181</v>
      </c>
      <c r="M313" s="41">
        <v>0.23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70" t="s">
        <v>1187</v>
      </c>
      <c r="B314" s="33" t="s">
        <v>1188</v>
      </c>
      <c r="C314" s="33" t="s">
        <v>328</v>
      </c>
      <c r="D314" s="33" t="s">
        <v>1189</v>
      </c>
      <c r="E314" s="33" t="s">
        <v>1191</v>
      </c>
      <c r="F314" s="45">
        <v>2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1190</v>
      </c>
      <c r="M314" s="41">
        <v>0.16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70" t="s">
        <v>1171</v>
      </c>
      <c r="B315" s="33" t="s">
        <v>1158</v>
      </c>
      <c r="C315" s="33" t="s">
        <v>328</v>
      </c>
      <c r="D315" s="33" t="s">
        <v>1172</v>
      </c>
      <c r="E315" s="33" t="s">
        <v>1160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1173</v>
      </c>
      <c r="M315" s="41">
        <v>5.05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70" t="s">
        <v>1168</v>
      </c>
      <c r="B316" s="33" t="s">
        <v>1158</v>
      </c>
      <c r="C316" s="33" t="s">
        <v>328</v>
      </c>
      <c r="D316" s="33" t="s">
        <v>1169</v>
      </c>
      <c r="E316" s="33" t="s">
        <v>1160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1170</v>
      </c>
      <c r="M316" s="41">
        <v>5.05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70" t="s">
        <v>1165</v>
      </c>
      <c r="B317" s="33" t="s">
        <v>1158</v>
      </c>
      <c r="C317" s="33" t="s">
        <v>328</v>
      </c>
      <c r="D317" s="33" t="s">
        <v>1166</v>
      </c>
      <c r="E317" s="33" t="s">
        <v>1160</v>
      </c>
      <c r="F317" s="45">
        <v>1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1167</v>
      </c>
      <c r="M317" s="41">
        <v>5.25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70" t="s">
        <v>1157</v>
      </c>
      <c r="B318" s="33" t="s">
        <v>1158</v>
      </c>
      <c r="C318" s="33" t="s">
        <v>328</v>
      </c>
      <c r="D318" s="33" t="s">
        <v>1159</v>
      </c>
      <c r="E318" s="33" t="s">
        <v>1160</v>
      </c>
      <c r="F318" s="45">
        <v>1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1161</v>
      </c>
      <c r="M318" s="41">
        <v>4.8499999999999996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75" t="s">
        <v>1251</v>
      </c>
      <c r="B319" s="64" t="s">
        <v>1158</v>
      </c>
      <c r="C319" s="64" t="s">
        <v>328</v>
      </c>
      <c r="D319" s="64" t="s">
        <v>1252</v>
      </c>
      <c r="E319" s="64" t="s">
        <v>1160</v>
      </c>
      <c r="F319" s="65">
        <v>1</v>
      </c>
      <c r="G319" s="65"/>
      <c r="H319" s="65"/>
      <c r="I319" s="64" t="s">
        <v>1246</v>
      </c>
      <c r="J319" s="66">
        <v>0.53</v>
      </c>
      <c r="K319" s="67" t="s">
        <v>75</v>
      </c>
      <c r="L319" s="64" t="s">
        <v>1253</v>
      </c>
      <c r="M319" s="68">
        <v>5.05</v>
      </c>
      <c r="N319" s="64"/>
      <c r="O319" s="68"/>
      <c r="P319" s="64"/>
      <c r="Q319" s="68"/>
      <c r="R319" s="64"/>
      <c r="S319" s="68"/>
      <c r="T319" s="64"/>
      <c r="U319" s="68"/>
      <c r="V319" s="64"/>
      <c r="W319" s="68"/>
      <c r="X319" s="64"/>
      <c r="Y319" s="68"/>
      <c r="Z319" s="68"/>
      <c r="AA319" s="69"/>
      <c r="AB319" s="66"/>
      <c r="AC319" s="67" t="s">
        <v>1260</v>
      </c>
    </row>
    <row r="320" spans="1:29" x14ac:dyDescent="0.25">
      <c r="A320" s="70" t="s">
        <v>1162</v>
      </c>
      <c r="B320" s="33" t="s">
        <v>1158</v>
      </c>
      <c r="C320" s="33" t="s">
        <v>328</v>
      </c>
      <c r="D320" s="33" t="s">
        <v>1163</v>
      </c>
      <c r="E320" s="33" t="s">
        <v>1160</v>
      </c>
      <c r="F320" s="45">
        <v>1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1164</v>
      </c>
      <c r="M320" s="41">
        <v>5.05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70" t="s">
        <v>1174</v>
      </c>
      <c r="B321" s="33" t="s">
        <v>1175</v>
      </c>
      <c r="C321" s="33" t="s">
        <v>328</v>
      </c>
      <c r="D321" s="33" t="s">
        <v>1176</v>
      </c>
      <c r="E321" s="33" t="s">
        <v>1177</v>
      </c>
      <c r="F321" s="45">
        <v>6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1178</v>
      </c>
      <c r="M321" s="41">
        <v>0.47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73" t="s">
        <v>109</v>
      </c>
      <c r="B322" s="33" t="s">
        <v>82</v>
      </c>
      <c r="C322" s="33" t="s">
        <v>328</v>
      </c>
      <c r="D322" s="33" t="s">
        <v>108</v>
      </c>
      <c r="E322" s="33" t="s">
        <v>506</v>
      </c>
      <c r="F322" s="45">
        <v>19</v>
      </c>
      <c r="G322" s="45">
        <v>2</v>
      </c>
      <c r="H322" s="45">
        <f>1</f>
        <v>1</v>
      </c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2" s="33" t="s">
        <v>424</v>
      </c>
      <c r="M322" s="41">
        <v>0.28000000000000003</v>
      </c>
      <c r="N322" s="33" t="s">
        <v>110</v>
      </c>
      <c r="O322" s="41">
        <v>0.191</v>
      </c>
      <c r="P322" s="33"/>
      <c r="Q322" s="41"/>
      <c r="R322" s="33"/>
      <c r="S322" s="41"/>
      <c r="T322" s="33"/>
      <c r="U322" s="41"/>
      <c r="V322" s="33"/>
      <c r="W322" s="41"/>
      <c r="X322" s="33"/>
      <c r="Y322" s="41">
        <v>0.191</v>
      </c>
      <c r="Z322" s="41"/>
      <c r="AA322" s="35"/>
      <c r="AB322" s="43"/>
      <c r="AC322" s="34" t="str">
        <f>IF(Table1[[#This Row],[Auto Order]]=1,IF(Table1[[#This Row],[In stock]]&lt;Table1[[#This Row],[Min in stock]],1,""),"")</f>
        <v/>
      </c>
    </row>
    <row r="323" spans="1:29" x14ac:dyDescent="0.25">
      <c r="A323" s="73" t="s">
        <v>119</v>
      </c>
      <c r="B323" s="33" t="s">
        <v>7</v>
      </c>
      <c r="C323" s="33" t="s">
        <v>328</v>
      </c>
      <c r="D323" s="33" t="s">
        <v>118</v>
      </c>
      <c r="E323" s="33" t="s">
        <v>506</v>
      </c>
      <c r="F323" s="45">
        <v>10</v>
      </c>
      <c r="G323" s="45">
        <v>2</v>
      </c>
      <c r="H323" s="45">
        <f>1</f>
        <v>1</v>
      </c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23" s="33" t="s">
        <v>428</v>
      </c>
      <c r="M323" s="41">
        <v>0.61</v>
      </c>
      <c r="N323" s="33" t="s">
        <v>120</v>
      </c>
      <c r="O323" s="41">
        <v>0.34899999999999998</v>
      </c>
      <c r="P323" s="33"/>
      <c r="Q323" s="41"/>
      <c r="R323" s="33"/>
      <c r="S323" s="41"/>
      <c r="T323" s="33"/>
      <c r="U323" s="41"/>
      <c r="V323" s="33"/>
      <c r="W323" s="41"/>
      <c r="X323" s="33"/>
      <c r="Y323" s="41">
        <v>0.34899999999999998</v>
      </c>
      <c r="Z323" s="41"/>
      <c r="AA323" s="35"/>
      <c r="AB323" s="43"/>
      <c r="AC323" s="34" t="str">
        <f>IF(Table1[[#This Row],[Auto Order]]=1,IF(Table1[[#This Row],[In stock]]&lt;Table1[[#This Row],[Min in stock]],1,""),"")</f>
        <v/>
      </c>
    </row>
    <row r="324" spans="1:29" x14ac:dyDescent="0.25">
      <c r="A324" s="73" t="s">
        <v>106</v>
      </c>
      <c r="B324" s="33" t="s">
        <v>30</v>
      </c>
      <c r="C324" s="33" t="s">
        <v>328</v>
      </c>
      <c r="D324" s="33" t="s">
        <v>105</v>
      </c>
      <c r="E324" s="33" t="s">
        <v>506</v>
      </c>
      <c r="F324" s="45">
        <v>15</v>
      </c>
      <c r="G324" s="45">
        <v>2</v>
      </c>
      <c r="H324" s="45">
        <f>1</f>
        <v>1</v>
      </c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4" s="33"/>
      <c r="M324" s="41"/>
      <c r="N324" s="33" t="s">
        <v>107</v>
      </c>
      <c r="O324" s="41">
        <v>0.26500000000000001</v>
      </c>
      <c r="P324" s="33"/>
      <c r="Q324" s="41"/>
      <c r="R324" s="33"/>
      <c r="S324" s="41"/>
      <c r="T324" s="33"/>
      <c r="U324" s="41"/>
      <c r="V324" s="33"/>
      <c r="W324" s="41"/>
      <c r="X324" s="33"/>
      <c r="Y324" s="41">
        <v>0.26500000000000001</v>
      </c>
      <c r="Z324" s="41"/>
      <c r="AA324" s="35"/>
      <c r="AB324" s="43"/>
      <c r="AC324" s="34" t="str">
        <f>IF(Table1[[#This Row],[Auto Order]]=1,IF(Table1[[#This Row],[In stock]]&lt;Table1[[#This Row],[Min in stock]],1,""),"")</f>
        <v/>
      </c>
    </row>
    <row r="325" spans="1:29" x14ac:dyDescent="0.25">
      <c r="A325" s="73" t="s">
        <v>217</v>
      </c>
      <c r="B325" s="33" t="s">
        <v>218</v>
      </c>
      <c r="C325" s="33" t="s">
        <v>328</v>
      </c>
      <c r="D325" s="33" t="s">
        <v>219</v>
      </c>
      <c r="E325" s="33" t="s">
        <v>501</v>
      </c>
      <c r="F325" s="45">
        <v>4</v>
      </c>
      <c r="G325" s="45">
        <v>2</v>
      </c>
      <c r="H325" s="45">
        <f>1</f>
        <v>1</v>
      </c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216</v>
      </c>
      <c r="M325" s="41">
        <v>0.85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34" t="str">
        <f>IF(Table1[[#This Row],[Auto Order]]=1,IF(Table1[[#This Row],[In stock]]&lt;Table1[[#This Row],[Min in stock]],1,""),"")</f>
        <v/>
      </c>
    </row>
    <row r="326" spans="1:29" x14ac:dyDescent="0.25">
      <c r="A326" s="73" t="s">
        <v>213</v>
      </c>
      <c r="B326" s="33" t="s">
        <v>214</v>
      </c>
      <c r="C326" s="33" t="s">
        <v>328</v>
      </c>
      <c r="D326" s="33" t="s">
        <v>215</v>
      </c>
      <c r="E326" s="33" t="s">
        <v>501</v>
      </c>
      <c r="F326" s="45">
        <v>2</v>
      </c>
      <c r="G326" s="45">
        <v>2</v>
      </c>
      <c r="H326" s="45">
        <f>1</f>
        <v>1</v>
      </c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212</v>
      </c>
      <c r="M326" s="41">
        <v>1.39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34" t="str">
        <f>IF(Table1[[#This Row],[Auto Order]]=1,IF(Table1[[#This Row],[In stock]]&lt;Table1[[#This Row],[Min in stock]],1,""),"")</f>
        <v/>
      </c>
    </row>
    <row r="327" spans="1:29" x14ac:dyDescent="0.25">
      <c r="A327" s="70" t="s">
        <v>1243</v>
      </c>
      <c r="B327" s="33" t="s">
        <v>1244</v>
      </c>
      <c r="C327" s="33" t="s">
        <v>328</v>
      </c>
      <c r="D327" s="33" t="s">
        <v>1245</v>
      </c>
      <c r="E327" s="33" t="s">
        <v>501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1246</v>
      </c>
      <c r="M327" s="41">
        <v>0.53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70" t="s">
        <v>1266</v>
      </c>
      <c r="B328" s="33" t="s">
        <v>1261</v>
      </c>
      <c r="C328" s="33" t="s">
        <v>328</v>
      </c>
      <c r="D328" s="33" t="s">
        <v>1264</v>
      </c>
      <c r="E328" s="33" t="s">
        <v>509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1265</v>
      </c>
      <c r="M328" s="41">
        <v>56.67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73" t="s">
        <v>323</v>
      </c>
      <c r="B329" s="33" t="s">
        <v>324</v>
      </c>
      <c r="C329" s="33" t="s">
        <v>328</v>
      </c>
      <c r="D329" s="33" t="s">
        <v>325</v>
      </c>
      <c r="E329" s="33" t="s">
        <v>509</v>
      </c>
      <c r="F329" s="45">
        <v>1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29" s="33"/>
      <c r="M329" s="41"/>
      <c r="N329" s="33"/>
      <c r="O329" s="41"/>
      <c r="P329" s="33"/>
      <c r="Q329" s="41"/>
      <c r="R329" s="33" t="s">
        <v>322</v>
      </c>
      <c r="S329" s="41">
        <v>399.95</v>
      </c>
      <c r="T329" s="33"/>
      <c r="U329" s="41"/>
      <c r="V329" s="33"/>
      <c r="W329" s="41"/>
      <c r="X329" s="33"/>
      <c r="Y329" s="41"/>
      <c r="Z329" s="41"/>
      <c r="AA329" s="35"/>
      <c r="AB329" s="43"/>
      <c r="AC329" s="34" t="str">
        <f>IF(Table1[[#This Row],[Auto Order]]=1,IF(Table1[[#This Row],[In stock]]&lt;Table1[[#This Row],[Min in stock]],1,""),"")</f>
        <v/>
      </c>
    </row>
    <row r="330" spans="1:29" x14ac:dyDescent="0.25">
      <c r="A330" s="73" t="s">
        <v>305</v>
      </c>
      <c r="B330" s="33" t="s">
        <v>306</v>
      </c>
      <c r="C330" s="33" t="s">
        <v>328</v>
      </c>
      <c r="D330" s="33" t="s">
        <v>307</v>
      </c>
      <c r="E330" s="33" t="s">
        <v>509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30" s="33"/>
      <c r="M330" s="41"/>
      <c r="N330" s="33"/>
      <c r="O330" s="41"/>
      <c r="P330" s="33" t="s">
        <v>304</v>
      </c>
      <c r="Q330" s="41">
        <v>14.6</v>
      </c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34" t="str">
        <f>IF(Table1[[#This Row],[Auto Order]]=1,IF(Table1[[#This Row],[In stock]]&lt;Table1[[#This Row],[Min in stock]],1,""),"")</f>
        <v/>
      </c>
    </row>
    <row r="331" spans="1:29" x14ac:dyDescent="0.25">
      <c r="A331" s="73" t="s">
        <v>42</v>
      </c>
      <c r="B331" s="33" t="s">
        <v>41</v>
      </c>
      <c r="C331" s="33" t="s">
        <v>362</v>
      </c>
      <c r="D331" s="33" t="s">
        <v>40</v>
      </c>
      <c r="E331" s="33" t="s">
        <v>514</v>
      </c>
      <c r="F331" s="45">
        <v>14</v>
      </c>
      <c r="G331" s="45">
        <f>10</f>
        <v>10</v>
      </c>
      <c r="H331" s="45">
        <f>1</f>
        <v>1</v>
      </c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1" s="33" t="s">
        <v>430</v>
      </c>
      <c r="M331" s="41">
        <v>0.55000000000000004</v>
      </c>
      <c r="N331" s="33">
        <v>9845356</v>
      </c>
      <c r="O331" s="41">
        <v>0.42199999999999999</v>
      </c>
      <c r="P331" s="33"/>
      <c r="Q331" s="41"/>
      <c r="R331" s="33"/>
      <c r="S331" s="41"/>
      <c r="T331" s="33"/>
      <c r="U331" s="41"/>
      <c r="V331" s="33"/>
      <c r="W331" s="41"/>
      <c r="X331" s="33"/>
      <c r="Y331" s="41">
        <v>0.42199999999999999</v>
      </c>
      <c r="Z331" s="41"/>
      <c r="AA331" s="35"/>
      <c r="AB331" s="43"/>
      <c r="AC331" s="34" t="str">
        <f>IF(Table1[[#This Row],[Auto Order]]=1,IF(Table1[[#This Row],[In stock]]&lt;Table1[[#This Row],[Min in stock]],1,""),"")</f>
        <v/>
      </c>
    </row>
    <row r="332" spans="1:29" x14ac:dyDescent="0.25">
      <c r="A332" s="73" t="s">
        <v>39</v>
      </c>
      <c r="B332" s="33" t="s">
        <v>7</v>
      </c>
      <c r="C332" s="33" t="s">
        <v>360</v>
      </c>
      <c r="D332" s="33" t="s">
        <v>37</v>
      </c>
      <c r="E332" s="33" t="s">
        <v>514</v>
      </c>
      <c r="F332" s="45">
        <v>22</v>
      </c>
      <c r="G332" s="45">
        <v>10</v>
      </c>
      <c r="H332" s="45">
        <f>1</f>
        <v>1</v>
      </c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2" s="33" t="s">
        <v>433</v>
      </c>
      <c r="M332" s="41">
        <v>0.56999999999999995</v>
      </c>
      <c r="N332" s="33">
        <v>1779259</v>
      </c>
      <c r="O332" s="41">
        <v>0.27100000000000002</v>
      </c>
      <c r="P332" s="33"/>
      <c r="Q332" s="41"/>
      <c r="R332" s="33"/>
      <c r="S332" s="41"/>
      <c r="T332" s="33"/>
      <c r="U332" s="41"/>
      <c r="V332" s="33"/>
      <c r="W332" s="41"/>
      <c r="X332" s="33"/>
      <c r="Y332" s="41">
        <v>0.27100000000000002</v>
      </c>
      <c r="Z332" s="41"/>
      <c r="AA332" s="35"/>
      <c r="AB332" s="43"/>
      <c r="AC332" s="34" t="str">
        <f>IF(Table1[[#This Row],[Auto Order]]=1,IF(Table1[[#This Row],[In stock]]&lt;Table1[[#This Row],[Min in stock]],1,""),"")</f>
        <v/>
      </c>
    </row>
    <row r="333" spans="1:29" x14ac:dyDescent="0.25">
      <c r="A333" s="70" t="s">
        <v>1114</v>
      </c>
      <c r="B333" s="33" t="s">
        <v>1115</v>
      </c>
      <c r="C333" s="33" t="s">
        <v>328</v>
      </c>
      <c r="D333" s="33" t="s">
        <v>1116</v>
      </c>
      <c r="E333" s="33" t="s">
        <v>514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1117</v>
      </c>
      <c r="M333" s="41">
        <v>0.53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73" t="s">
        <v>35</v>
      </c>
      <c r="B334" s="33" t="s">
        <v>83</v>
      </c>
      <c r="C334" s="33" t="s">
        <v>328</v>
      </c>
      <c r="D334" s="33" t="s">
        <v>34</v>
      </c>
      <c r="E334" s="33" t="s">
        <v>508</v>
      </c>
      <c r="F334" s="45">
        <v>2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4" s="33" t="s">
        <v>154</v>
      </c>
      <c r="M334" s="41">
        <v>2.08</v>
      </c>
      <c r="N334" s="33">
        <v>9352260</v>
      </c>
      <c r="O334" s="41">
        <v>2.76</v>
      </c>
      <c r="P334" s="33"/>
      <c r="Q334" s="41"/>
      <c r="R334" s="33"/>
      <c r="S334" s="41"/>
      <c r="T334" s="33"/>
      <c r="U334" s="41"/>
      <c r="V334" s="33"/>
      <c r="W334" s="41"/>
      <c r="X334" s="33"/>
      <c r="Y334" s="41">
        <v>2.76</v>
      </c>
      <c r="Z334" s="41"/>
      <c r="AA334" s="35"/>
      <c r="AB334" s="43"/>
      <c r="AC334" s="34" t="str">
        <f>IF(Table1[[#This Row],[Auto Order]]=1,IF(Table1[[#This Row],[In stock]]&lt;Table1[[#This Row],[Min in stock]],1,""),"")</f>
        <v/>
      </c>
    </row>
    <row r="335" spans="1:29" x14ac:dyDescent="0.25">
      <c r="A335" s="73" t="s">
        <v>45</v>
      </c>
      <c r="B335" s="33" t="s">
        <v>44</v>
      </c>
      <c r="C335" s="33" t="s">
        <v>328</v>
      </c>
      <c r="D335" s="33" t="s">
        <v>43</v>
      </c>
      <c r="E335" s="33" t="s">
        <v>508</v>
      </c>
      <c r="F335" s="45">
        <v>2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35" s="33" t="s">
        <v>434</v>
      </c>
      <c r="M335" s="41">
        <v>1.81</v>
      </c>
      <c r="N335" s="33">
        <v>1141380</v>
      </c>
      <c r="O335" s="41">
        <v>1.62</v>
      </c>
      <c r="P335" s="33"/>
      <c r="Q335" s="41"/>
      <c r="R335" s="33"/>
      <c r="S335" s="41"/>
      <c r="T335" s="33"/>
      <c r="U335" s="41"/>
      <c r="V335" s="33"/>
      <c r="W335" s="41"/>
      <c r="X335" s="33"/>
      <c r="Y335" s="41">
        <v>1.62</v>
      </c>
      <c r="Z335" s="41"/>
      <c r="AA335" s="35"/>
      <c r="AB335" s="43"/>
      <c r="AC335" s="34" t="str">
        <f>IF(Table1[[#This Row],[Auto Order]]=1,IF(Table1[[#This Row],[In stock]]&lt;Table1[[#This Row],[Min in stock]],1,""),"")</f>
        <v/>
      </c>
    </row>
    <row r="336" spans="1:29" x14ac:dyDescent="0.25">
      <c r="A336" s="73" t="s">
        <v>443</v>
      </c>
      <c r="B336" s="33" t="s">
        <v>1145</v>
      </c>
      <c r="C336" s="33" t="s">
        <v>328</v>
      </c>
      <c r="D336" s="33" t="s">
        <v>248</v>
      </c>
      <c r="E336" s="33" t="s">
        <v>505</v>
      </c>
      <c r="F336" s="45">
        <v>3</v>
      </c>
      <c r="G336" s="45"/>
      <c r="H336" s="45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247</v>
      </c>
      <c r="M336" s="41">
        <v>0.48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34" t="str">
        <f>IF(Table1[[#This Row],[Auto Order]]=1,IF(Table1[[#This Row],[In stock]]&lt;Table1[[#This Row],[Min in stock]],1,""),"")</f>
        <v/>
      </c>
    </row>
    <row r="337" spans="1:29" x14ac:dyDescent="0.25">
      <c r="A337" s="74" t="s">
        <v>1194</v>
      </c>
      <c r="B337" s="33" t="s">
        <v>1195</v>
      </c>
      <c r="C337" s="33" t="s">
        <v>328</v>
      </c>
      <c r="D337" s="33" t="s">
        <v>1196</v>
      </c>
      <c r="E337" s="33" t="s">
        <v>1197</v>
      </c>
      <c r="F337" s="45">
        <v>1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1198</v>
      </c>
      <c r="M337" s="41">
        <v>18.96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57" priority="67" operator="equal">
      <formula>1</formula>
    </cfRule>
  </conditionalFormatting>
  <conditionalFormatting sqref="A1:A1048576">
    <cfRule type="duplicateValues" dxfId="56" priority="7"/>
  </conditionalFormatting>
  <conditionalFormatting sqref="F1">
    <cfRule type="cellIs" dxfId="55" priority="10" stopIfTrue="1" operator="equal">
      <formula>"In stock"</formula>
    </cfRule>
  </conditionalFormatting>
  <conditionalFormatting sqref="E1:E1048576">
    <cfRule type="containsText" dxfId="54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53" priority="27" operator="lessThan">
      <formula>$G1</formula>
    </cfRule>
  </conditionalFormatting>
  <conditionalFormatting sqref="F1:G1048576">
    <cfRule type="cellIs" dxfId="52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327</v>
      </c>
      <c r="D1" s="2" t="s">
        <v>333</v>
      </c>
      <c r="E1" s="54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51">
        <v>2</v>
      </c>
      <c r="N1" t="s">
        <v>1096</v>
      </c>
    </row>
    <row r="2" spans="1:14" x14ac:dyDescent="0.25">
      <c r="A2" s="3" t="s">
        <v>1395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1105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58</v>
      </c>
      <c r="E3" s="40">
        <v>3</v>
      </c>
      <c r="F3" s="4">
        <f>VLOOKUP(Table1411314[[#This Row],[Man. Number]],Articles!A:F,COLUMN(Articles!$F$1)-COLUMN(Articles!$A$1)+1,FALSE)</f>
        <v>31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1187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58</v>
      </c>
      <c r="E5" s="40">
        <v>2</v>
      </c>
      <c r="F5" s="40">
        <f>VLOOKUP(Table1411314[[#This Row],[Man. Number]],Articles!A:F,COLUMN(Articles!$F$1)-COLUMN(Articles!$A$1)+1,FALSE)</f>
        <v>2</v>
      </c>
      <c r="G5" s="40" t="str">
        <f>IF(Table1411314[[#This Row],[In stock]] &gt;= Table1411314[[#This Row],[Quantity]],"YES","NO")</f>
        <v>YES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536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1247</v>
      </c>
      <c r="E6" s="40">
        <v>4</v>
      </c>
      <c r="F6" s="4">
        <f>VLOOKUP(Table1411314[[#This Row],[Man. Number]],Articles!A:F,COLUMN(Articles!$F$1)-COLUMN(Articles!$A$1)+1,FALSE)</f>
        <v>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1154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273</v>
      </c>
      <c r="E7" s="40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1056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1446</v>
      </c>
      <c r="E8" s="40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268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270</v>
      </c>
      <c r="E9" s="40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1447</v>
      </c>
      <c r="E10" s="40">
        <v>3</v>
      </c>
      <c r="F10" s="40">
        <f>VLOOKUP(Table1411314[[#This Row],[Man. Number]],Articles!A:F,COLUMN(Articles!$F$1)-COLUMN(Articles!$A$1)+1,FALSE)</f>
        <v>6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1.56</v>
      </c>
      <c r="I10" s="40">
        <f>Table1411314[[#This Row],[Quantity]]*$M$1</f>
        <v>6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300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279</v>
      </c>
      <c r="E11" s="40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1448</v>
      </c>
      <c r="E12" s="40">
        <v>3</v>
      </c>
      <c r="F12" s="40">
        <f>VLOOKUP(Table1411314[[#This Row],[Man. Number]],Articles!A:F,COLUMN(Articles!$F$1)-COLUMN(Articles!$A$1)+1,FALSE)</f>
        <v>4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0.42000000000000004</v>
      </c>
      <c r="I12" s="40">
        <f>Table1411314[[#This Row],[Quantity]]*$M$1</f>
        <v>6</v>
      </c>
      <c r="J12" s="40" t="str">
        <f>IF(Table1411314[[#This Row],[In stock]] &gt;= Table1411314[[#This Row],[Total quantity]],"YES","NO")</f>
        <v>NO</v>
      </c>
    </row>
    <row r="13" spans="1:14" x14ac:dyDescent="0.25">
      <c r="A13" s="74" t="s">
        <v>1443</v>
      </c>
      <c r="B13" s="4" t="str">
        <f>VLOOKUP(Table1411314[[#This Row],[Man. Number]],Articles!A:F,COLUMN(Articles!$D$1)-COLUMN(Articles!$A$1)+1,FALSE)</f>
        <v>RES SMD 3.3K OHM 5% 0.4W 0805</v>
      </c>
      <c r="C13" s="4" t="str">
        <f>VLOOKUP(Table1411314[[#This Row],[Man. Number]],Articles!A:F,COLUMN(Articles!$C$1)-COLUMN(Articles!$A$1)+1,FALSE)</f>
        <v>None</v>
      </c>
      <c r="D13" s="4" t="s">
        <v>295</v>
      </c>
      <c r="E13" s="40">
        <v>1</v>
      </c>
      <c r="F13" s="4">
        <f>VLOOKUP(Table1411314[[#This Row],[Man. Number]],Articles!A:F,COLUMN(Articles!$F$1)-COLUMN(Articles!$A$1)+1,FALSE)</f>
        <v>0</v>
      </c>
      <c r="G13" s="4" t="str">
        <f>IF(Table1411314[[#This Row],[In stock]] &gt;= Table1411314[[#This Row],[Quantity]],"YES","NO")</f>
        <v>NO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NO</v>
      </c>
    </row>
    <row r="14" spans="1:14" x14ac:dyDescent="0.25">
      <c r="A14" s="3" t="s">
        <v>540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D101-013</v>
      </c>
      <c r="D14" s="4" t="s">
        <v>1207</v>
      </c>
      <c r="E14" s="40">
        <v>1</v>
      </c>
      <c r="F14" s="40">
        <f>VLOOKUP(Table1411314[[#This Row],[Man. Number]],Articles!A:F,COLUMN(Articles!$F$1)-COLUMN(Articles!$A$1)+1,FALSE)</f>
        <v>9</v>
      </c>
      <c r="G14" s="40" t="str">
        <f>IF(Table1411314[[#This Row],[In stock]] &gt;= Table1411314[[#This Row],[Quantity]],"YES","NO")</f>
        <v>YES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YES</v>
      </c>
    </row>
    <row r="15" spans="1:14" x14ac:dyDescent="0.25">
      <c r="A15" s="74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1133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1474</v>
      </c>
      <c r="B16" s="4" t="str">
        <f>VLOOKUP(Table1411314[[#This Row],[Man. Number]],Articles!A:F,COLUMN(Articles!$D$1)-COLUMN(Articles!$A$1)+1,FALSE)</f>
        <v>RES SMD 10K OHM 5% 0.4W 0805</v>
      </c>
      <c r="C16" s="4" t="str">
        <f>VLOOKUP(Table1411314[[#This Row],[Man. Number]],Articles!A:F,COLUMN(Articles!$C$1)-COLUMN(Articles!$A$1)+1,FALSE)</f>
        <v>None</v>
      </c>
      <c r="D16" s="4" t="s">
        <v>2043</v>
      </c>
      <c r="E16" s="40">
        <v>2</v>
      </c>
      <c r="F16" s="4">
        <f>VLOOKUP(Table1411314[[#This Row],[Man. Number]],Articles!A:F,COLUMN(Articles!$F$1)-COLUMN(Articles!$A$1)+1,FALSE)</f>
        <v>0</v>
      </c>
      <c r="G16" s="4" t="str">
        <f>IF(Table1411314[[#This Row],[In stock]] &gt;= Table1411314[[#This Row],[Quantity]],"YES","NO")</f>
        <v>NO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NO</v>
      </c>
    </row>
    <row r="17" spans="1:10" x14ac:dyDescent="0.25">
      <c r="A17" s="3" t="s">
        <v>1017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283</v>
      </c>
      <c r="E17" s="40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1449</v>
      </c>
      <c r="E18" s="40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1026</v>
      </c>
      <c r="B19" s="40" t="str">
        <f>VLOOKUP(Table1411314[[#This Row],[Man. Number]],Articles!A:F,COLUMN(Articles!$D$1)-COLUMN(Articles!$A$1)+1,FALSE)</f>
        <v>RES SMD 100K OHM 5% 0.4W 0805</v>
      </c>
      <c r="C19" s="40" t="str">
        <f>VLOOKUP(Table1411314[[#This Row],[Man. Number]],Articles!A:F,COLUMN(Articles!$C$1)-COLUMN(Articles!$A$1)+1,FALSE)</f>
        <v>D101-011</v>
      </c>
      <c r="D19" s="4" t="s">
        <v>1233</v>
      </c>
      <c r="E19" s="40">
        <v>1</v>
      </c>
      <c r="F19" s="40">
        <f>VLOOKUP(Table1411314[[#This Row],[Man. Number]],Articles!A:F,COLUMN(Articles!$F$1)-COLUMN(Articles!$A$1)+1,FALSE)</f>
        <v>8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74" t="s">
        <v>1462</v>
      </c>
      <c r="B20" s="4" t="str">
        <f>VLOOKUP(Table1411314[[#This Row],[Man. Number]],Articles!A:F,COLUMN(Articles!$D$1)-COLUMN(Articles!$A$1)+1,FALSE)</f>
        <v>RES SMD 1.5K OHM 5% 0.4W 0805</v>
      </c>
      <c r="C20" s="4" t="str">
        <f>VLOOKUP(Table1411314[[#This Row],[Man. Number]],Articles!A:F,COLUMN(Articles!$C$1)-COLUMN(Articles!$A$1)+1,FALSE)</f>
        <v>None</v>
      </c>
      <c r="D20" s="4" t="s">
        <v>1453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 t="s">
        <v>1020</v>
      </c>
      <c r="B21" s="40" t="str">
        <f>VLOOKUP(Table1411314[[#This Row],[Man. Number]],Articles!A:F,COLUMN(Articles!$D$1)-COLUMN(Articles!$A$1)+1,FALSE)</f>
        <v>RES SMD 330 OHM 5% 0.4W 0805</v>
      </c>
      <c r="C21" s="40" t="str">
        <f>VLOOKUP(Table1411314[[#This Row],[Man. Number]],Articles!A:F,COLUMN(Articles!$C$1)-COLUMN(Articles!$A$1)+1,FALSE)</f>
        <v>D101-009</v>
      </c>
      <c r="D21" s="4" t="s">
        <v>1454</v>
      </c>
      <c r="E21" s="40">
        <v>2</v>
      </c>
      <c r="F21" s="40">
        <f>VLOOKUP(Table1411314[[#This Row],[Man. Number]],Articles!A:F,COLUMN(Articles!$F$1)-COLUMN(Articles!$A$1)+1,FALSE)</f>
        <v>9</v>
      </c>
      <c r="G21" s="40" t="str">
        <f>IF(Table1411314[[#This Row],[In stock]] &gt;= Table1411314[[#This Row],[Quantity]],"YES","NO")</f>
        <v>YES</v>
      </c>
      <c r="H21" s="40">
        <f>VLOOKUP(Table1411314[[#This Row],[Man. Number]],Articles!A:J,COLUMN(Articles!$J$1)-COLUMN(Articles!$A$1)+1,FALSE)*Table1411314[[#This Row],[Quantity]]</f>
        <v>0.2</v>
      </c>
      <c r="I21" s="40">
        <f>Table1411314[[#This Row],[Quantity]]*$M$1</f>
        <v>4</v>
      </c>
      <c r="J21" s="40" t="str">
        <f>IF(Table1411314[[#This Row],[In stock]] &gt;= Table1411314[[#This Row],[Total quantity]],"YES","NO")</f>
        <v>YES</v>
      </c>
    </row>
    <row r="22" spans="1:10" x14ac:dyDescent="0.25">
      <c r="A22" s="3" t="s">
        <v>931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1206</v>
      </c>
      <c r="E22" s="40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1456</v>
      </c>
      <c r="B23" s="4" t="str">
        <f>VLOOKUP(Table1411314[[#This Row],[Man. Number]],Articles!A:F,COLUMN(Articles!$D$1)-COLUMN(Articles!$A$1)+1,FALSE)</f>
        <v>RES SMD 270 OHM 5% 0.4W 0805</v>
      </c>
      <c r="C23" s="4" t="str">
        <f>VLOOKUP(Table1411314[[#This Row],[Man. Number]],Articles!A:F,COLUMN(Articles!$C$1)-COLUMN(Articles!$A$1)+1,FALSE)</f>
        <v>None</v>
      </c>
      <c r="D23" s="4" t="s">
        <v>2042</v>
      </c>
      <c r="E23" s="40">
        <v>2</v>
      </c>
      <c r="F23" s="4">
        <f>VLOOKUP(Table1411314[[#This Row],[Man. Number]],Articles!A:F,COLUMN(Articles!$F$1)-COLUMN(Articles!$A$1)+1,FALSE)</f>
        <v>0</v>
      </c>
      <c r="G23" s="4" t="str">
        <f>IF(Table1411314[[#This Row],[In stock]] &gt;= Table1411314[[#This Row],[Quantity]],"YES","NO")</f>
        <v>NO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NO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292</v>
      </c>
      <c r="E24" s="40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281</v>
      </c>
      <c r="E25" s="40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1134</v>
      </c>
      <c r="E26" s="40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275</v>
      </c>
      <c r="E27" s="40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277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278</v>
      </c>
      <c r="E29" s="40">
        <v>1</v>
      </c>
      <c r="F29" s="4">
        <f>VLOOKUP(Table1411314[[#This Row],[Man. Number]],Articles!A:F,COLUMN(Articles!$F$1)-COLUMN(Articles!$A$1)+1,FALSE)</f>
        <v>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291</v>
      </c>
      <c r="E30" s="40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1118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1135</v>
      </c>
      <c r="E31" s="40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340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2044</v>
      </c>
      <c r="E32" s="40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1328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293</v>
      </c>
      <c r="E33" s="40">
        <v>2</v>
      </c>
      <c r="F33" s="4">
        <f>VLOOKUP(Table1411314[[#This Row],[Man. Number]],Articles!A:F,COLUMN(Articles!$F$1)-COLUMN(Articles!$A$1)+1,FALSE)</f>
        <v>0</v>
      </c>
      <c r="G33" s="4" t="str">
        <f>IF(Table1411314[[#This Row],[In stock]] &gt;= Table1411314[[#This Row],[Quantity]],"YES","NO")</f>
        <v>NO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NO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293</v>
      </c>
      <c r="E34" s="40">
        <f>1/2</f>
        <v>0.5</v>
      </c>
      <c r="F34" s="4">
        <f>VLOOKUP(Table1411314[[#This Row],[Man. Number]],Articles!A:F,COLUMN(Articles!$F$1)-COLUMN(Articles!$A$1)+1,FALSE)</f>
        <v>0.5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NO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2045</v>
      </c>
      <c r="E35" s="40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543</v>
      </c>
      <c r="B36" s="40" t="str">
        <f>VLOOKUP(Table1411314[[#This Row],[Man. Number]],Articles!A:F,COLUMN(Articles!$D$1)-COLUMN(Articles!$A$1)+1,FALSE)</f>
        <v>Connector Header Through Hole, male, 36 position 0.100" (2.54mm)</v>
      </c>
      <c r="C36" s="40" t="str">
        <f>VLOOKUP(Table1411314[[#This Row],[Man. Number]],Articles!A:F,COLUMN(Articles!$C$1)-COLUMN(Articles!$A$1)+1,FALSE)</f>
        <v>None</v>
      </c>
      <c r="D36" s="4" t="s">
        <v>2046</v>
      </c>
      <c r="E36" s="40">
        <f>(3*2+5+3*2)/36</f>
        <v>0.47222222222222221</v>
      </c>
      <c r="F36" s="40">
        <f>VLOOKUP(Table1411314[[#This Row],[Man. Number]],Articles!A:F,COLUMN(Articles!$F$1)-COLUMN(Articles!$A$1)+1,FALSE)</f>
        <v>2.5</v>
      </c>
      <c r="G36" s="40" t="str">
        <f>IF(Table1411314[[#This Row],[In stock]] &gt;= Table1411314[[#This Row],[Quantity]],"YES","NO")</f>
        <v>YES</v>
      </c>
      <c r="H36" s="40">
        <f>VLOOKUP(Table1411314[[#This Row],[Man. Number]],Articles!A:J,COLUMN(Articles!$J$1)-COLUMN(Articles!$A$1)+1,FALSE)*Table1411314[[#This Row],[Quantity]]</f>
        <v>0.48166666666666669</v>
      </c>
      <c r="I36" s="40">
        <f>Table1411314[[#This Row],[Quantity]]*$M$1</f>
        <v>0.94444444444444442</v>
      </c>
      <c r="J36" s="40" t="str">
        <f>IF(Table1411314[[#This Row],[In stock]] &gt;= Table1411314[[#This Row],[Total quantity]],"YES","NO")</f>
        <v>YES</v>
      </c>
    </row>
    <row r="37" spans="1:10" x14ac:dyDescent="0.25">
      <c r="A37" s="3" t="s">
        <v>449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51" priority="11"/>
  </conditionalFormatting>
  <conditionalFormatting sqref="J1:J1048576 G1:G1048576">
    <cfRule type="containsText" dxfId="50" priority="12" operator="containsText" text="NO">
      <formula>NOT(ISERROR(SEARCH("NO",G1)))</formula>
    </cfRule>
  </conditionalFormatting>
  <conditionalFormatting sqref="N1">
    <cfRule type="cellIs" dxfId="49" priority="6" stopIfTrue="1" operator="equal">
      <formula>"Locked"</formula>
    </cfRule>
    <cfRule type="cellIs" dxfId="48" priority="7" stopIfTrue="1" operator="equal">
      <formula>"Unlocked"</formula>
    </cfRule>
  </conditionalFormatting>
  <conditionalFormatting sqref="A13">
    <cfRule type="duplicateValues" dxfId="47" priority="5"/>
  </conditionalFormatting>
  <conditionalFormatting sqref="A19">
    <cfRule type="duplicateValues" dxfId="46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54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51">
        <v>2</v>
      </c>
      <c r="N1" t="s">
        <v>1109</v>
      </c>
    </row>
    <row r="2" spans="1:14" x14ac:dyDescent="0.25">
      <c r="A2" s="3" t="s">
        <v>1393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40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1105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58</v>
      </c>
      <c r="E3" s="40">
        <v>19</v>
      </c>
      <c r="F3" s="4">
        <f>VLOOKUP(Table14113[[#This Row],[Man. Number]],Articles!A:F,COLUMN(Articles!$F$1)-COLUMN(Articles!$A$1)+1,FALSE)</f>
        <v>31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NO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1187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58</v>
      </c>
      <c r="E5" s="40">
        <v>2</v>
      </c>
      <c r="F5" s="40">
        <f>VLOOKUP(Table14113[[#This Row],[Man. Number]],Articles!A:F,COLUMN(Articles!$F$1)-COLUMN(Articles!$A$1)+1,FALSE)</f>
        <v>2</v>
      </c>
      <c r="G5" s="40" t="str">
        <f>IF(Table14113[[#This Row],[In stock]] &gt;= Table14113[[#This Row],[Quantity]],"YES","NO")</f>
        <v>YES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536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1247</v>
      </c>
      <c r="E6" s="40">
        <v>4</v>
      </c>
      <c r="F6" s="4">
        <f>VLOOKUP(Table14113[[#This Row],[Man. Number]],Articles!A:F,COLUMN(Articles!$F$1)-COLUMN(Articles!$A$1)+1,FALSE)</f>
        <v>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1154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273</v>
      </c>
      <c r="E7" s="40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1056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1248</v>
      </c>
      <c r="E8" s="40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268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270</v>
      </c>
      <c r="E9" s="40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211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276</v>
      </c>
      <c r="E10" s="40">
        <v>1</v>
      </c>
      <c r="F10" s="40">
        <f>VLOOKUP(Table14113[[#This Row],[Man. Number]],Articles!A:F,COLUMN(Articles!$F$1)-COLUMN(Articles!$A$1)+1,FALSE)</f>
        <v>6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300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279</v>
      </c>
      <c r="E11" s="40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210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1064</v>
      </c>
      <c r="E12" s="40">
        <v>1</v>
      </c>
      <c r="F12" s="40">
        <f>VLOOKUP(Table14113[[#This Row],[Man. Number]],Articles!A:F,COLUMN(Articles!$F$1)-COLUMN(Articles!$A$1)+1,FALSE)</f>
        <v>4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74" t="s">
        <v>1443</v>
      </c>
      <c r="B13" s="4" t="str">
        <f>VLOOKUP(Table14113[[#This Row],[Man. Number]],Articles!A:F,COLUMN(Articles!$D$1)-COLUMN(Articles!$A$1)+1,FALSE)</f>
        <v>RES SMD 3.3K OHM 5% 0.4W 0805</v>
      </c>
      <c r="C13" s="4" t="str">
        <f>VLOOKUP(Table14113[[#This Row],[Man. Number]],Articles!A:F,COLUMN(Articles!$C$1)-COLUMN(Articles!$A$1)+1,FALSE)</f>
        <v>None</v>
      </c>
      <c r="D13" s="4" t="s">
        <v>295</v>
      </c>
      <c r="E13" s="40">
        <v>1</v>
      </c>
      <c r="F13" s="4">
        <f>VLOOKUP(Table14113[[#This Row],[Man. Number]],Articles!A:F,COLUMN(Articles!$F$1)-COLUMN(Articles!$A$1)+1,FALSE)</f>
        <v>0</v>
      </c>
      <c r="G13" s="4" t="str">
        <f>IF(Table14113[[#This Row],[In stock]] &gt;= Table14113[[#This Row],[Quantity]],"YES","NO")</f>
        <v>NO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NO</v>
      </c>
    </row>
    <row r="14" spans="1:14" x14ac:dyDescent="0.25">
      <c r="A14" s="49" t="s">
        <v>540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D101-013</v>
      </c>
      <c r="D14" s="4" t="s">
        <v>1207</v>
      </c>
      <c r="E14" s="40">
        <v>1</v>
      </c>
      <c r="F14" s="40">
        <f>VLOOKUP(Table14113[[#This Row],[Man. Number]],Articles!A:F,COLUMN(Articles!$F$1)-COLUMN(Articles!$A$1)+1,FALSE)</f>
        <v>9</v>
      </c>
      <c r="G14" s="40" t="str">
        <f>IF(Table14113[[#This Row],[In stock]] &gt;= Table14113[[#This Row],[Quantity]],"YES","NO")</f>
        <v>YES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YES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1133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1017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283</v>
      </c>
      <c r="E16" s="40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1204</v>
      </c>
      <c r="E17" s="40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1026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D101-011</v>
      </c>
      <c r="D18" s="4" t="s">
        <v>1205</v>
      </c>
      <c r="E18" s="40">
        <v>2</v>
      </c>
      <c r="F18" s="40">
        <f>VLOOKUP(Table14113[[#This Row],[Man. Number]],Articles!A:F,COLUMN(Articles!$F$1)-COLUMN(Articles!$A$1)+1,FALSE)</f>
        <v>8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1020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D101-009</v>
      </c>
      <c r="D19" s="4" t="s">
        <v>1067</v>
      </c>
      <c r="E19" s="40">
        <v>1</v>
      </c>
      <c r="F19" s="40">
        <f>VLOOKUP(Table14113[[#This Row],[Man. Number]],Articles!A:F,COLUMN(Articles!$F$1)-COLUMN(Articles!$A$1)+1,FALSE)</f>
        <v>9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931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1206</v>
      </c>
      <c r="E20" s="40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292</v>
      </c>
      <c r="E21" s="40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281</v>
      </c>
      <c r="E22" s="40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1134</v>
      </c>
      <c r="E23" s="40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275</v>
      </c>
      <c r="E24" s="40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277</v>
      </c>
      <c r="E25" s="40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278</v>
      </c>
      <c r="E26" s="40">
        <v>1</v>
      </c>
      <c r="F26" s="4">
        <f>VLOOKUP(Table14113[[#This Row],[Man. Number]],Articles!A:F,COLUMN(Articles!$F$1)-COLUMN(Articles!$A$1)+1,FALSE)</f>
        <v>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467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294</v>
      </c>
      <c r="E27" s="40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9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291</v>
      </c>
      <c r="E28" s="40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1126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274</v>
      </c>
      <c r="E29" s="40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9" t="s">
        <v>1118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1135</v>
      </c>
      <c r="E30" s="40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293</v>
      </c>
      <c r="E31" s="40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293</v>
      </c>
      <c r="E32" s="40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9" t="s">
        <v>543</v>
      </c>
      <c r="B33" s="40" t="str">
        <f>VLOOKUP(Table14113[[#This Row],[Man. Number]],Articles!A:F,COLUMN(Articles!$D$1)-COLUMN(Articles!$A$1)+1,FALSE)</f>
        <v>Connector Header Through Hole, male, 36 position 0.100" (2.54mm)</v>
      </c>
      <c r="C33" s="40" t="str">
        <f>VLOOKUP(Table14113[[#This Row],[Man. Number]],Articles!A:F,COLUMN(Articles!$C$1)-COLUMN(Articles!$A$1)+1,FALSE)</f>
        <v>None</v>
      </c>
      <c r="D33" s="4" t="s">
        <v>1208</v>
      </c>
      <c r="E33" s="40">
        <f>(3*2+5)/36</f>
        <v>0.30555555555555558</v>
      </c>
      <c r="F33" s="40">
        <f>VLOOKUP(Table14113[[#This Row],[Man. Number]],Articles!A:F,COLUMN(Articles!$F$1)-COLUMN(Articles!$A$1)+1,FALSE)</f>
        <v>2.5</v>
      </c>
      <c r="G33" s="40" t="str">
        <f>IF(Table14113[[#This Row],[In stock]] &gt;= Table14113[[#This Row],[Quantity]],"YES","NO")</f>
        <v>YES</v>
      </c>
      <c r="H33" s="40">
        <f>VLOOKUP(Table14113[[#This Row],[Man. Number]],Articles!A:J,COLUMN(Articles!$J$1)-COLUMN(Articles!$A$1)+1,FALSE)*Table14113[[#This Row],[Quantity]]</f>
        <v>0.3116666666666667</v>
      </c>
      <c r="I33" s="40">
        <f>Table14113[[#This Row],[Quantity]]*$M$1</f>
        <v>0.61111111111111116</v>
      </c>
      <c r="J33" s="40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290</v>
      </c>
      <c r="E34" s="40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449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45" priority="5"/>
  </conditionalFormatting>
  <conditionalFormatting sqref="G1:H1048576 J1:J1048576">
    <cfRule type="containsText" dxfId="44" priority="6" operator="containsText" text="NO">
      <formula>NOT(ISERROR(SEARCH("NO",G1)))</formula>
    </cfRule>
  </conditionalFormatting>
  <conditionalFormatting sqref="N1">
    <cfRule type="cellIs" dxfId="43" priority="3" stopIfTrue="1" operator="equal">
      <formula>"Locked"</formula>
    </cfRule>
    <cfRule type="cellIs" dxfId="42" priority="4" stopIfTrue="1" operator="equal">
      <formula>"Unlocked"</formula>
    </cfRule>
  </conditionalFormatting>
  <conditionalFormatting sqref="A13">
    <cfRule type="duplicateValues" dxfId="41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51">
        <v>1</v>
      </c>
      <c r="N1" t="s">
        <v>1109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None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429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None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1.3611111111111112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1129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None</v>
      </c>
      <c r="D6" s="4" t="s">
        <v>1063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None</v>
      </c>
      <c r="D7" s="4" t="s">
        <v>273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1062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268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270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9" t="s">
        <v>1087</v>
      </c>
      <c r="B10" s="40" t="str">
        <f>VLOOKUP(Table1411[[#This Row],[Man. Number]],Articles!A:F,COLUMN(Articles!$D$1)-COLUMN(Articles!$A$1)+1,FALSE)</f>
        <v>Telecom Relay DPDT (2 Form C) Through Hole 2A 3V</v>
      </c>
      <c r="C10" s="40" t="str">
        <f>VLOOKUP(Table1411[[#This Row],[Man. Number]],Articles!A:F,COLUMN(Articles!$C$1)-COLUMN(Articles!$A$1)+1,FALSE)</f>
        <v>None</v>
      </c>
      <c r="D10" s="4" t="s">
        <v>289</v>
      </c>
      <c r="E10" s="4">
        <v>1</v>
      </c>
      <c r="F10" s="40">
        <f>VLOOKUP(Table1411[[#This Row],[Man. Number]],Articles!A:F,COLUMN(Articles!$F$1)-COLUMN(Articles!$A$1)+1,FALSE)</f>
        <v>1</v>
      </c>
      <c r="G10" s="40" t="str">
        <f>IF(Table1411[[#This Row],[In stock]] &gt;= Table1411[[#This Row],[Quantity]],"YES","NO")</f>
        <v>YES</v>
      </c>
      <c r="H10" s="40">
        <f>VLOOKUP(Table1411[[#This Row],[Man. Number]],Articles!A:J,COLUMN(Articles!$J$1)-COLUMN(Articles!$A$1)+1,FALSE)*Table1411[[#This Row],[Quantity]]</f>
        <v>3.72</v>
      </c>
      <c r="I10" s="40">
        <f>Table1411[[#This Row],[Quantity]]*$M$1</f>
        <v>1</v>
      </c>
      <c r="J10" s="40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289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9" t="s">
        <v>1090</v>
      </c>
      <c r="B12" s="40" t="str">
        <f>VLOOKUP(Table1411[[#This Row],[Man. Number]],Articles!A:F,COLUMN(Articles!$D$1)-COLUMN(Articles!$A$1)+1,FALSE)</f>
        <v>Telecom Relay DPDT (2 Form C) Surface Mount 2A 3V</v>
      </c>
      <c r="C12" s="40" t="str">
        <f>VLOOKUP(Table1411[[#This Row],[Man. Number]],Articles!A:F,COLUMN(Articles!$C$1)-COLUMN(Articles!$A$1)+1,FALSE)</f>
        <v>None</v>
      </c>
      <c r="D12" s="4" t="s">
        <v>289</v>
      </c>
      <c r="E12" s="4">
        <v>0</v>
      </c>
      <c r="F12" s="40">
        <f>VLOOKUP(Table1411[[#This Row],[Man. Number]],Articles!A:F,COLUMN(Articles!$F$1)-COLUMN(Articles!$A$1)+1,FALSE)</f>
        <v>1</v>
      </c>
      <c r="G12" s="40" t="str">
        <f>IF(Table1411[[#This Row],[In stock]] &gt;= Table1411[[#This Row],[Quantity]],"YES","NO")</f>
        <v>YES</v>
      </c>
      <c r="H12" s="40">
        <f>VLOOKUP(Table1411[[#This Row],[Man. Number]],Articles!A:J,COLUMN(Articles!$J$1)-COLUMN(Articles!$A$1)+1,FALSE)*Table1411[[#This Row],[Quantity]]</f>
        <v>0</v>
      </c>
      <c r="I12" s="40">
        <f>Table1411[[#This Row],[Quantity]]*$M$1</f>
        <v>0</v>
      </c>
      <c r="J12" s="40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None</v>
      </c>
      <c r="D13" s="4" t="s">
        <v>276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300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279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9" t="s">
        <v>211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0" t="str">
        <f>VLOOKUP(Table1411[[#This Row],[Man. Number]],Articles!A:F,COLUMN(Articles!$C$1)-COLUMN(Articles!$A$1)+1,FALSE)</f>
        <v>D001-049</v>
      </c>
      <c r="D15" s="4" t="s">
        <v>1064</v>
      </c>
      <c r="E15" s="4">
        <v>1</v>
      </c>
      <c r="F15" s="40">
        <f>VLOOKUP(Table1411[[#This Row],[Man. Number]],Articles!A:F,COLUMN(Articles!$F$1)-COLUMN(Articles!$A$1)+1,FALSE)</f>
        <v>6</v>
      </c>
      <c r="G15" s="40" t="str">
        <f>IF(Table1411[[#This Row],[In stock]] &gt;= Table1411[[#This Row],[Quantity]],"YES","NO")</f>
        <v>YES</v>
      </c>
      <c r="H15" s="40">
        <f>VLOOKUP(Table1411[[#This Row],[Man. Number]],Articles!A:J,COLUMN(Articles!$J$1)-COLUMN(Articles!$A$1)+1,FALSE)*Table1411[[#This Row],[Quantity]]</f>
        <v>0.52</v>
      </c>
      <c r="I15" s="40">
        <f>Table1411[[#This Row],[Quantity]]*$M$1</f>
        <v>1</v>
      </c>
      <c r="J15" s="40" t="str">
        <f>IF(Table1411[[#This Row],[In stock]] &gt;= Table1411[[#This Row],[Total quantity]],"YES","NO")</f>
        <v>YES</v>
      </c>
    </row>
    <row r="16" spans="1:14" x14ac:dyDescent="0.25">
      <c r="A16" s="3" t="s">
        <v>296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295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9" t="s">
        <v>996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286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50" t="s">
        <v>1085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280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9" t="s">
        <v>1017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283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1065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9" t="s">
        <v>1026</v>
      </c>
      <c r="B21" s="40" t="str">
        <f>VLOOKUP(Table1411[[#This Row],[Man. Number]],Articles!A:F,COLUMN(Articles!$D$1)-COLUMN(Articles!$A$1)+1,FALSE)</f>
        <v>RES SMD 100K OHM 5% 0.4W 0805</v>
      </c>
      <c r="C21" s="40" t="str">
        <f>VLOOKUP(Table1411[[#This Row],[Man. Number]],Articles!A:F,COLUMN(Articles!$C$1)-COLUMN(Articles!$A$1)+1,FALSE)</f>
        <v>D101-011</v>
      </c>
      <c r="D21" s="4" t="s">
        <v>1068</v>
      </c>
      <c r="E21" s="4">
        <v>2</v>
      </c>
      <c r="F21" s="40">
        <f>VLOOKUP(Table1411[[#This Row],[Man. Number]],Articles!A:F,COLUMN(Articles!$F$1)-COLUMN(Articles!$A$1)+1,FALSE)</f>
        <v>8</v>
      </c>
      <c r="G21" s="40" t="str">
        <f>IF(Table1411[[#This Row],[In stock]] &gt;= Table1411[[#This Row],[Quantity]],"YES","NO")</f>
        <v>YES</v>
      </c>
      <c r="H21" s="40">
        <f>VLOOKUP(Table1411[[#This Row],[Man. Number]],Articles!A:J,COLUMN(Articles!$J$1)-COLUMN(Articles!$A$1)+1,FALSE)*Table1411[[#This Row],[Quantity]]</f>
        <v>0.2</v>
      </c>
      <c r="I21" s="40">
        <f>Table1411[[#This Row],[Quantity]]*$M$1</f>
        <v>2</v>
      </c>
      <c r="J21" s="40" t="str">
        <f>IF(Table1411[[#This Row],[In stock]] &gt;= Table1411[[#This Row],[Total quantity]],"YES","NO")</f>
        <v>YES</v>
      </c>
    </row>
    <row r="22" spans="1:10" x14ac:dyDescent="0.25">
      <c r="A22" s="49" t="s">
        <v>713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1066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9" t="s">
        <v>1020</v>
      </c>
      <c r="B23" s="40" t="str">
        <f>VLOOKUP(Table1411[[#This Row],[Man. Number]],Articles!A:F,COLUMN(Articles!$D$1)-COLUMN(Articles!$A$1)+1,FALSE)</f>
        <v>RES SMD 330 OHM 5% 0.4W 0805</v>
      </c>
      <c r="C23" s="40" t="str">
        <f>VLOOKUP(Table1411[[#This Row],[Man. Number]],Articles!A:F,COLUMN(Articles!$C$1)-COLUMN(Articles!$A$1)+1,FALSE)</f>
        <v>D101-009</v>
      </c>
      <c r="D23" s="4" t="s">
        <v>1067</v>
      </c>
      <c r="E23" s="4">
        <v>1</v>
      </c>
      <c r="F23" s="40">
        <f>VLOOKUP(Table1411[[#This Row],[Man. Number]],Articles!A:F,COLUMN(Articles!$F$1)-COLUMN(Articles!$A$1)+1,FALSE)</f>
        <v>9</v>
      </c>
      <c r="G23" s="40" t="str">
        <f>IF(Table1411[[#This Row],[In stock]] &gt;= Table1411[[#This Row],[Quantity]],"YES","NO")</f>
        <v>YES</v>
      </c>
      <c r="H23" s="40">
        <f>VLOOKUP(Table1411[[#This Row],[Man. Number]],Articles!A:J,COLUMN(Articles!$J$1)-COLUMN(Articles!$A$1)+1,FALSE)*Table1411[[#This Row],[Quantity]]</f>
        <v>0.1</v>
      </c>
      <c r="I23" s="40">
        <f>Table1411[[#This Row],[Quantity]]*$M$1</f>
        <v>1</v>
      </c>
      <c r="J23" s="40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292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281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282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275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277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278</v>
      </c>
      <c r="E29" s="4">
        <v>1</v>
      </c>
      <c r="F29" s="4">
        <f>VLOOKUP(Table1411[[#This Row],[Man. Number]],Articles!A:F,COLUMN(Articles!$F$1)-COLUMN(Articles!$A$1)+1,FALSE)</f>
        <v>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467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294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9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291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274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293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293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9" t="s">
        <v>1035</v>
      </c>
      <c r="B35" s="40" t="e">
        <f>VLOOKUP(Table1411[[#This Row],[Man. Number]],Articles!A:F,COLUMN(Articles!$D$1)-COLUMN(Articles!$A$1)+1,FALSE)</f>
        <v>#N/A</v>
      </c>
      <c r="C35" s="40" t="e">
        <f>VLOOKUP(Table1411[[#This Row],[Man. Number]],Articles!A:F,COLUMN(Articles!$C$1)-COLUMN(Articles!$A$1)+1,FALSE)</f>
        <v>#N/A</v>
      </c>
      <c r="D35" s="4" t="s">
        <v>293</v>
      </c>
      <c r="E35" s="4">
        <v>1</v>
      </c>
      <c r="F35" s="40" t="e">
        <f>VLOOKUP(Table1411[[#This Row],[Man. Number]],Articles!A:F,COLUMN(Articles!$F$1)-COLUMN(Articles!$A$1)+1,FALSE)</f>
        <v>#N/A</v>
      </c>
      <c r="G35" s="40" t="e">
        <f>IF(Table1411[[#This Row],[In stock]] &gt;= Table1411[[#This Row],[Quantity]],"YES","NO")</f>
        <v>#N/A</v>
      </c>
      <c r="H35" s="40" t="e">
        <f>VLOOKUP(Table1411[[#This Row],[Man. Number]],Articles!A:J,COLUMN(Articles!$J$1)-COLUMN(Articles!$A$1)+1,FALSE)*Table1411[[#This Row],[Quantity]]</f>
        <v>#N/A</v>
      </c>
      <c r="I35" s="40">
        <f>Table1411[[#This Row],[Quantity]]*$M$1</f>
        <v>1</v>
      </c>
      <c r="J35" s="40" t="e">
        <f>IF(Table1411[[#This Row],[In stock]] &gt;= Table1411[[#This Row],[Total quantity]],"YES","NO")</f>
        <v>#N/A</v>
      </c>
    </row>
    <row r="36" spans="1:10" x14ac:dyDescent="0.25">
      <c r="A36" s="49" t="s">
        <v>1044</v>
      </c>
      <c r="B36" s="40" t="e">
        <f>VLOOKUP(Table1411[[#This Row],[Man. Number]],Articles!A:F,COLUMN(Articles!$D$1)-COLUMN(Articles!$A$1)+1,FALSE)</f>
        <v>#N/A</v>
      </c>
      <c r="C36" s="40" t="e">
        <f>VLOOKUP(Table1411[[#This Row],[Man. Number]],Articles!A:F,COLUMN(Articles!$C$1)-COLUMN(Articles!$A$1)+1,FALSE)</f>
        <v>#N/A</v>
      </c>
      <c r="D36" s="4" t="s">
        <v>293</v>
      </c>
      <c r="E36" s="4">
        <v>1</v>
      </c>
      <c r="F36" s="40" t="e">
        <f>VLOOKUP(Table1411[[#This Row],[Man. Number]],Articles!A:F,COLUMN(Articles!$F$1)-COLUMN(Articles!$A$1)+1,FALSE)</f>
        <v>#N/A</v>
      </c>
      <c r="G36" s="40" t="e">
        <f>IF(Table1411[[#This Row],[In stock]] &gt;= Table1411[[#This Row],[Quantity]],"YES","NO")</f>
        <v>#N/A</v>
      </c>
      <c r="H36" s="40" t="e">
        <f>VLOOKUP(Table1411[[#This Row],[Man. Number]],Articles!A:J,COLUMN(Articles!$J$1)-COLUMN(Articles!$A$1)+1,FALSE)*Table1411[[#This Row],[Quantity]]</f>
        <v>#N/A</v>
      </c>
      <c r="I36" s="40">
        <f>Table1411[[#This Row],[Quantity]]*$M$1</f>
        <v>1</v>
      </c>
      <c r="J36" s="40" t="e">
        <f>IF(Table1411[[#This Row],[In stock]] &gt;= Table1411[[#This Row],[Total quantity]],"YES","NO")</f>
        <v>#N/A</v>
      </c>
    </row>
    <row r="37" spans="1:10" x14ac:dyDescent="0.25">
      <c r="A37" s="49" t="s">
        <v>543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0" t="str">
        <f>VLOOKUP(Table1411[[#This Row],[Man. Number]],Articles!A:F,COLUMN(Articles!$C$1)-COLUMN(Articles!$A$1)+1,FALSE)</f>
        <v>None</v>
      </c>
      <c r="D37" s="4" t="s">
        <v>1077</v>
      </c>
      <c r="E37" s="4">
        <f>10/36</f>
        <v>0.27777777777777779</v>
      </c>
      <c r="F37" s="40">
        <f>VLOOKUP(Table1411[[#This Row],[Man. Number]],Articles!A:F,COLUMN(Articles!$F$1)-COLUMN(Articles!$A$1)+1,FALSE)</f>
        <v>2.5</v>
      </c>
      <c r="G37" s="40" t="str">
        <f>IF(Table1411[[#This Row],[In stock]] &gt;= Table1411[[#This Row],[Quantity]],"YES","NO")</f>
        <v>YES</v>
      </c>
      <c r="H37" s="40">
        <f>VLOOKUP(Table1411[[#This Row],[Man. Number]],Articles!A:J,COLUMN(Articles!$J$1)-COLUMN(Articles!$A$1)+1,FALSE)*Table1411[[#This Row],[Quantity]]</f>
        <v>0.28333333333333333</v>
      </c>
      <c r="I37" s="40">
        <f>Table1411[[#This Row],[Quantity]]*$M$1</f>
        <v>0.27777777777777779</v>
      </c>
      <c r="J37" s="40" t="str">
        <f>IF(Table1411[[#This Row],[In stock]] &gt;= Table1411[[#This Row],[Total quantity]],"YES","NO")</f>
        <v>YES</v>
      </c>
    </row>
    <row r="38" spans="1:10" x14ac:dyDescent="0.25">
      <c r="A38" s="49" t="s">
        <v>1033</v>
      </c>
      <c r="B38" s="40" t="e">
        <f>VLOOKUP(Table1411[[#This Row],[Man. Number]],Articles!A:F,COLUMN(Articles!$D$1)-COLUMN(Articles!$A$1)+1,FALSE)</f>
        <v>#N/A</v>
      </c>
      <c r="C38" s="40" t="e">
        <f>VLOOKUP(Table1411[[#This Row],[Man. Number]],Articles!A:F,COLUMN(Articles!$C$1)-COLUMN(Articles!$A$1)+1,FALSE)</f>
        <v>#N/A</v>
      </c>
      <c r="D38" s="4" t="s">
        <v>1061</v>
      </c>
      <c r="E38" s="4">
        <v>19</v>
      </c>
      <c r="F38" s="40" t="e">
        <f>VLOOKUP(Table1411[[#This Row],[Man. Number]],Articles!A:F,COLUMN(Articles!$F$1)-COLUMN(Articles!$A$1)+1,FALSE)</f>
        <v>#N/A</v>
      </c>
      <c r="G38" s="40" t="e">
        <f>IF(Table1411[[#This Row],[In stock]] &gt;= Table1411[[#This Row],[Quantity]],"YES","NO")</f>
        <v>#N/A</v>
      </c>
      <c r="H38" s="40" t="e">
        <f>VLOOKUP(Table1411[[#This Row],[Man. Number]],Articles!A:J,COLUMN(Articles!$J$1)-COLUMN(Articles!$A$1)+1,FALSE)*Table1411[[#This Row],[Quantity]]</f>
        <v>#N/A</v>
      </c>
      <c r="I38" s="40">
        <f>Table1411[[#This Row],[Quantity]]*$M$1</f>
        <v>19</v>
      </c>
      <c r="J38" s="40" t="e">
        <f>IF(Table1411[[#This Row],[In stock]] &gt;= Table1411[[#This Row],[Total quantity]],"YES","NO")</f>
        <v>#N/A</v>
      </c>
    </row>
    <row r="39" spans="1:10" x14ac:dyDescent="0.25">
      <c r="A39" s="49" t="s">
        <v>1034</v>
      </c>
      <c r="B39" s="40" t="e">
        <f>VLOOKUP(Table1411[[#This Row],[Man. Number]],Articles!A:F,COLUMN(Articles!$D$1)-COLUMN(Articles!$A$1)+1,FALSE)</f>
        <v>#N/A</v>
      </c>
      <c r="C39" s="40" t="e">
        <f>VLOOKUP(Table1411[[#This Row],[Man. Number]],Articles!A:F,COLUMN(Articles!$C$1)-COLUMN(Articles!$A$1)+1,FALSE)</f>
        <v>#N/A</v>
      </c>
      <c r="D39" s="4" t="s">
        <v>1060</v>
      </c>
      <c r="E39" s="4">
        <v>4</v>
      </c>
      <c r="F39" s="40" t="e">
        <f>VLOOKUP(Table1411[[#This Row],[Man. Number]],Articles!A:F,COLUMN(Articles!$F$1)-COLUMN(Articles!$A$1)+1,FALSE)</f>
        <v>#N/A</v>
      </c>
      <c r="G39" s="40" t="e">
        <f>IF(Table1411[[#This Row],[In stock]] &gt;= Table1411[[#This Row],[Quantity]],"YES","NO")</f>
        <v>#N/A</v>
      </c>
      <c r="H39" s="40" t="e">
        <f>VLOOKUP(Table1411[[#This Row],[Man. Number]],Articles!A:J,COLUMN(Articles!$J$1)-COLUMN(Articles!$A$1)+1,FALSE)*Table1411[[#This Row],[Quantity]]</f>
        <v>#N/A</v>
      </c>
      <c r="I39" s="40">
        <f>Table1411[[#This Row],[Quantity]]*$M$1</f>
        <v>4</v>
      </c>
      <c r="J39" s="40" t="e">
        <f>IF(Table1411[[#This Row],[In stock]] &gt;= Table1411[[#This Row],[Total quantity]],"YES","NO")</f>
        <v>#N/A</v>
      </c>
    </row>
    <row r="40" spans="1:10" x14ac:dyDescent="0.25">
      <c r="A40" s="49" t="s">
        <v>1042</v>
      </c>
      <c r="B40" s="40" t="e">
        <f>VLOOKUP(Table1411[[#This Row],[Man. Number]],Articles!A:F,COLUMN(Articles!$D$1)-COLUMN(Articles!$A$1)+1,FALSE)</f>
        <v>#N/A</v>
      </c>
      <c r="C40" s="40" t="e">
        <f>VLOOKUP(Table1411[[#This Row],[Man. Number]],Articles!A:F,COLUMN(Articles!$C$1)-COLUMN(Articles!$A$1)+1,FALSE)</f>
        <v>#N/A</v>
      </c>
      <c r="D40" s="4" t="s">
        <v>1060</v>
      </c>
      <c r="E40" s="4">
        <v>4</v>
      </c>
      <c r="F40" s="40" t="e">
        <f>VLOOKUP(Table1411[[#This Row],[Man. Number]],Articles!A:F,COLUMN(Articles!$F$1)-COLUMN(Articles!$A$1)+1,FALSE)</f>
        <v>#N/A</v>
      </c>
      <c r="G40" s="40" t="e">
        <f>IF(Table1411[[#This Row],[In stock]] &gt;= Table1411[[#This Row],[Quantity]],"YES","NO")</f>
        <v>#N/A</v>
      </c>
      <c r="H40" s="40" t="e">
        <f>VLOOKUP(Table1411[[#This Row],[Man. Number]],Articles!A:J,COLUMN(Articles!$J$1)-COLUMN(Articles!$A$1)+1,FALSE)*Table1411[[#This Row],[Quantity]]</f>
        <v>#N/A</v>
      </c>
      <c r="I40" s="40">
        <f>Table1411[[#This Row],[Quantity]]*$M$1</f>
        <v>4</v>
      </c>
      <c r="J40" s="40" t="e">
        <f>IF(Table1411[[#This Row],[In stock]] &gt;= Table1411[[#This Row],[Total quantity]],"YES","NO")</f>
        <v>#N/A</v>
      </c>
    </row>
    <row r="41" spans="1:10" x14ac:dyDescent="0.25">
      <c r="A41" s="49" t="s">
        <v>1040</v>
      </c>
      <c r="B41" s="40" t="e">
        <f>VLOOKUP(Table1411[[#This Row],[Man. Number]],Articles!A:F,COLUMN(Articles!$D$1)-COLUMN(Articles!$A$1)+1,FALSE)</f>
        <v>#N/A</v>
      </c>
      <c r="C41" s="40" t="e">
        <f>VLOOKUP(Table1411[[#This Row],[Man. Number]],Articles!A:F,COLUMN(Articles!$C$1)-COLUMN(Articles!$A$1)+1,FALSE)</f>
        <v>#N/A</v>
      </c>
      <c r="D41" s="4" t="s">
        <v>1059</v>
      </c>
      <c r="E41" s="4">
        <v>1</v>
      </c>
      <c r="F41" s="40" t="e">
        <f>VLOOKUP(Table1411[[#This Row],[Man. Number]],Articles!A:F,COLUMN(Articles!$F$1)-COLUMN(Articles!$A$1)+1,FALSE)</f>
        <v>#N/A</v>
      </c>
      <c r="G41" s="40" t="e">
        <f>IF(Table1411[[#This Row],[In stock]] &gt;= Table1411[[#This Row],[Quantity]],"YES","NO")</f>
        <v>#N/A</v>
      </c>
      <c r="H41" s="40" t="e">
        <f>VLOOKUP(Table1411[[#This Row],[Man. Number]],Articles!A:J,COLUMN(Articles!$J$1)-COLUMN(Articles!$A$1)+1,FALSE)*Table1411[[#This Row],[Quantity]]</f>
        <v>#N/A</v>
      </c>
      <c r="I41" s="40">
        <f>Table1411[[#This Row],[Quantity]]*$M$1</f>
        <v>1</v>
      </c>
      <c r="J41" s="40" t="e">
        <f>IF(Table1411[[#This Row],[In stock]] &gt;= Table1411[[#This Row],[Total quantity]],"YES","NO")</f>
        <v>#N/A</v>
      </c>
    </row>
    <row r="42" spans="1:10" x14ac:dyDescent="0.25">
      <c r="A42" s="49" t="s">
        <v>1047</v>
      </c>
      <c r="B42" s="40" t="e">
        <f>VLOOKUP(Table1411[[#This Row],[Man. Number]],Articles!A:F,COLUMN(Articles!$D$1)-COLUMN(Articles!$A$1)+1,FALSE)</f>
        <v>#N/A</v>
      </c>
      <c r="C42" s="40" t="e">
        <f>VLOOKUP(Table1411[[#This Row],[Man. Number]],Articles!A:F,COLUMN(Articles!$C$1)-COLUMN(Articles!$A$1)+1,FALSE)</f>
        <v>#N/A</v>
      </c>
      <c r="D42" s="4" t="s">
        <v>1059</v>
      </c>
      <c r="E42" s="4">
        <v>1</v>
      </c>
      <c r="F42" s="40" t="e">
        <f>VLOOKUP(Table1411[[#This Row],[Man. Number]],Articles!A:F,COLUMN(Articles!$F$1)-COLUMN(Articles!$A$1)+1,FALSE)</f>
        <v>#N/A</v>
      </c>
      <c r="G42" s="40" t="e">
        <f>IF(Table1411[[#This Row],[In stock]] &gt;= Table1411[[#This Row],[Quantity]],"YES","NO")</f>
        <v>#N/A</v>
      </c>
      <c r="H42" s="40" t="e">
        <f>VLOOKUP(Table1411[[#This Row],[Man. Number]],Articles!A:J,COLUMN(Articles!$J$1)-COLUMN(Articles!$A$1)+1,FALSE)*Table1411[[#This Row],[Quantity]]</f>
        <v>#N/A</v>
      </c>
      <c r="I42" s="40">
        <f>Table1411[[#This Row],[Quantity]]*$M$1</f>
        <v>1</v>
      </c>
      <c r="J42" s="40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290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449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40" priority="5"/>
  </conditionalFormatting>
  <conditionalFormatting sqref="G1:H1048576 J1:J1048576">
    <cfRule type="containsText" dxfId="39" priority="6" operator="containsText" text="NO">
      <formula>NOT(ISERROR(SEARCH("NO",G1)))</formula>
    </cfRule>
  </conditionalFormatting>
  <conditionalFormatting sqref="N1">
    <cfRule type="cellIs" dxfId="38" priority="1" stopIfTrue="1" operator="equal">
      <formula>"Locked"</formula>
    </cfRule>
    <cfRule type="cellIs" dxfId="3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None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429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None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1.3611111111111112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302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None</v>
      </c>
      <c r="D6" s="4" t="s">
        <v>272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None</v>
      </c>
      <c r="D7" s="4" t="s">
        <v>273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271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268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270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289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None</v>
      </c>
      <c r="D11" s="4" t="s">
        <v>276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300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279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296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295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287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286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None</v>
      </c>
      <c r="D16" s="4" t="s">
        <v>280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None</v>
      </c>
      <c r="D17" s="4" t="s">
        <v>283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288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284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297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285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292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281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282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275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277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278</v>
      </c>
      <c r="E26" s="4">
        <v>1</v>
      </c>
      <c r="F26" s="4">
        <f>VLOOKUP(Table14[[#This Row],[Man. Number]],Articles!A:F,COLUMN(Articles!$F$1)-COLUMN(Articles!$A$1)+1,FALSE)</f>
        <v>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294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None</v>
      </c>
      <c r="D28" s="4" t="s">
        <v>291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274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293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293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290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None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None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None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449</v>
      </c>
      <c r="G41" s="4"/>
      <c r="H41" s="40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36" priority="3"/>
  </conditionalFormatting>
  <conditionalFormatting sqref="G1:H1048576 J1:J1048576">
    <cfRule type="containsText" dxfId="35" priority="4" operator="containsText" text="NO">
      <formula>NOT(ISERROR(SEARCH("NO",G1)))</formula>
    </cfRule>
  </conditionalFormatting>
  <conditionalFormatting sqref="N1">
    <cfRule type="cellIs" dxfId="34" priority="1" stopIfTrue="1" operator="equal">
      <formula>"Locked"</formula>
    </cfRule>
    <cfRule type="cellIs" dxfId="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None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None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None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CAP CER 4.7UF 25V X7R 1206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225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228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301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9"/>
      <c r="G16" s="4"/>
      <c r="H16" s="40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32" priority="5" operator="containsText" text="NO">
      <formula>NOT(ISERROR(SEARCH("NO",G1)))</formula>
    </cfRule>
  </conditionalFormatting>
  <conditionalFormatting sqref="A1:A1048576">
    <cfRule type="duplicateValues" dxfId="31" priority="3"/>
  </conditionalFormatting>
  <conditionalFormatting sqref="N1">
    <cfRule type="cellIs" dxfId="30" priority="1" stopIfTrue="1" operator="equal">
      <formula>"Locked"</formula>
    </cfRule>
    <cfRule type="cellIs" dxfId="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A29" sqref="A29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51">
        <v>2</v>
      </c>
      <c r="N1" t="s">
        <v>1096</v>
      </c>
    </row>
    <row r="2" spans="1:14" x14ac:dyDescent="0.25">
      <c r="A2" s="40" t="s">
        <v>1174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40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e">
        <f>VLOOKUP(Table14681012[[#This Row],[Man. Number]],Articles!A:F,COLUMN(Articles!$D$1)-COLUMN(Articles!$A$1)+1,FALSE)</f>
        <v>#N/A</v>
      </c>
      <c r="C3" s="40" t="e">
        <f>VLOOKUP(Table14681012[[#This Row],[Man. Number]],Articles!A:F,COLUMN(Articles!$C$1)-COLUMN(Articles!$A$1)+1,FALSE)</f>
        <v>#N/A</v>
      </c>
      <c r="D3" s="4" t="s">
        <v>58</v>
      </c>
      <c r="E3" s="4">
        <v>4</v>
      </c>
      <c r="F3" s="4" t="e">
        <f>VLOOKUP(Table14681012[[#This Row],[Man. Number]],Articles!A:F,COLUMN(Articles!$F$1)-COLUMN(Articles!$A$1)+1,FALSE)</f>
        <v>#N/A</v>
      </c>
      <c r="G3" s="40" t="e">
        <f>IF(Table14681012[[#This Row],[In stock]] &gt;= Table14681012[[#This Row],[Quantity]],"YES","NO")</f>
        <v>#N/A</v>
      </c>
      <c r="H3" s="3" t="e">
        <f>VLOOKUP(Table14681012[[#This Row],[Man. Number]],Articles!A:J,COLUMN(Articles!$J$1)-COLUMN(Articles!$A$1)+1,FALSE)*Table14681012[[#This Row],[Quantity]]</f>
        <v>#N/A</v>
      </c>
      <c r="I3" s="40">
        <f>Table14681012[[#This Row],[Quantity]]*$M$1</f>
        <v>8</v>
      </c>
      <c r="J3" s="40" t="e">
        <f>IF(Table14681012[[#This Row],[In stock]] &gt;= Table14681012[[#This Row],[Total quantity]],"YES","NO")</f>
        <v>#N/A</v>
      </c>
    </row>
    <row r="4" spans="1:14" x14ac:dyDescent="0.25">
      <c r="A4" s="40" t="s">
        <v>1392</v>
      </c>
      <c r="B4" s="40" t="str">
        <f>VLOOKUP(Table14681012[[#This Row],[Man. Number]],Articles!A:F,COLUMN(Articles!$D$1)-COLUMN(Articles!$A$1)+1,FALSE)</f>
        <v>PCB USB Tool v4</v>
      </c>
      <c r="C4" s="40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538</v>
      </c>
      <c r="B5" s="40" t="str">
        <f>VLOOKUP(Table14681012[[#This Row],[Man. Number]],Articles!A:F,COLUMN(Articles!$D$1)-COLUMN(Articles!$A$1)+1,FALSE)</f>
        <v>4700pF ±10% 25V Ceramic Capacitor X7R 0805 (2012 Metric)</v>
      </c>
      <c r="C5" s="40" t="str">
        <f>VLOOKUP(Table14681012[[#This Row],[Man. Number]],Articles!A:F,COLUMN(Articles!$C$1)-COLUMN(Articles!$A$1)+1,FALSE)</f>
        <v>D101-153</v>
      </c>
      <c r="D5" s="4" t="s">
        <v>272</v>
      </c>
      <c r="E5" s="4">
        <v>1</v>
      </c>
      <c r="F5" s="4">
        <f>VLOOKUP(Table14681012[[#This Row],[Man. Number]],Articles!A:F,COLUMN(Articles!$F$1)-COLUMN(Articles!$A$1)+1,FALSE)</f>
        <v>8</v>
      </c>
      <c r="G5" s="40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YES</v>
      </c>
    </row>
    <row r="6" spans="1:14" x14ac:dyDescent="0.25">
      <c r="A6" s="40" t="s">
        <v>1154</v>
      </c>
      <c r="B6" s="40" t="str">
        <f>VLOOKUP(Table14681012[[#This Row],[Man. Number]],Articles!A:F,COLUMN(Articles!$D$1)-COLUMN(Articles!$A$1)+1,FALSE)</f>
        <v>10µF ±20% 10V Ceramic Capacitor X5R 0805 (2012 Metric)</v>
      </c>
      <c r="C6" s="40" t="str">
        <f>VLOOKUP(Table14681012[[#This Row],[Man. Number]],Articles!A:F,COLUMN(Articles!$C$1)-COLUMN(Articles!$A$1)+1,FALSE)</f>
        <v>D101-150</v>
      </c>
      <c r="D6" s="4" t="s">
        <v>273</v>
      </c>
      <c r="E6" s="4">
        <v>1</v>
      </c>
      <c r="F6" s="4">
        <f>VLOOKUP(Table14681012[[#This Row],[Man. Number]],Articles!A:F,COLUMN(Articles!$F$1)-COLUMN(Articles!$A$1)+1,FALSE)</f>
        <v>8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40">
        <f>Table14681012[[#This Row],[Quantity]]*$M$1</f>
        <v>2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33</v>
      </c>
      <c r="B7" s="40" t="str">
        <f>VLOOKUP(Table14681012[[#This Row],[Man. Number]],Articles!A:F,COLUMN(Articles!$D$1)-COLUMN(Articles!$A$1)+1,FALSE)</f>
        <v>Condensateur céramique multicouche CMS, 1206 [3216 Metric], 0.1 µF, 25 V, ± 10%, X7R</v>
      </c>
      <c r="C7" s="40" t="str">
        <f>VLOOKUP(Table14681012[[#This Row],[Man. Number]],Articles!A:F,COLUMN(Articles!$C$1)-COLUMN(Articles!$A$1)+1,FALSE)</f>
        <v>D100-148</v>
      </c>
      <c r="D7" s="4" t="s">
        <v>1228</v>
      </c>
      <c r="E7" s="4">
        <v>4</v>
      </c>
      <c r="F7" s="4">
        <f>VLOOKUP(Table14681012[[#This Row],[Man. Number]],Articles!A:F,COLUMN(Articles!$F$1)-COLUMN(Articles!$A$1)+1,FALSE)</f>
        <v>83</v>
      </c>
      <c r="G7" s="40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40">
        <f>Table14681012[[#This Row],[Quantity]]*$M$1</f>
        <v>8</v>
      </c>
      <c r="J7" s="40" t="str">
        <f>IF(Table14681012[[#This Row],[In stock]] &gt;= Table14681012[[#This Row],[Total quantity]],"YES","NO")</f>
        <v>YES</v>
      </c>
    </row>
    <row r="8" spans="1:14" x14ac:dyDescent="0.25">
      <c r="A8" s="40" t="s">
        <v>536</v>
      </c>
      <c r="B8" s="40" t="str">
        <f>VLOOKUP(Table14681012[[#This Row],[Man. Number]],Articles!A:F,COLUMN(Articles!$D$1)-COLUMN(Articles!$A$1)+1,FALSE)</f>
        <v>4.7µF ±20% 25V Ceramic Capacitor X5R 0805 (2012 Metric)</v>
      </c>
      <c r="C8" s="40" t="str">
        <f>VLOOKUP(Table14681012[[#This Row],[Man. Number]],Articles!A:F,COLUMN(Articles!$C$1)-COLUMN(Articles!$A$1)+1,FALSE)</f>
        <v>D101-151</v>
      </c>
      <c r="D8" s="4" t="s">
        <v>529</v>
      </c>
      <c r="E8" s="4">
        <v>1</v>
      </c>
      <c r="F8" s="4">
        <f>VLOOKUP(Table14681012[[#This Row],[Man. Number]],Articles!A:F,COLUMN(Articles!$F$1)-COLUMN(Articles!$A$1)+1,FALSE)</f>
        <v>5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537</v>
      </c>
      <c r="B9" s="40" t="str">
        <f>VLOOKUP(Table14681012[[#This Row],[Man. Number]],Articles!A:F,COLUMN(Articles!$D$1)-COLUMN(Articles!$A$1)+1,FALSE)</f>
        <v>1µF ±10% 25V Ceramic Capacitor X7R 0805 (2012 Metric)</v>
      </c>
      <c r="C9" s="40" t="str">
        <f>VLOOKUP(Table14681012[[#This Row],[Man. Number]],Articles!A:F,COLUMN(Articles!$C$1)-COLUMN(Articles!$A$1)+1,FALSE)</f>
        <v>D101-149</v>
      </c>
      <c r="D9" s="4" t="s">
        <v>1229</v>
      </c>
      <c r="E9" s="4">
        <v>1</v>
      </c>
      <c r="F9" s="4">
        <f>VLOOKUP(Table14681012[[#This Row],[Man. Number]],Articles!A:F,COLUMN(Articles!$F$1)-COLUMN(Articles!$A$1)+1,FALSE)</f>
        <v>17</v>
      </c>
      <c r="G9" s="40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YES</v>
      </c>
    </row>
    <row r="10" spans="1:14" x14ac:dyDescent="0.25">
      <c r="A10" s="40" t="s">
        <v>1240</v>
      </c>
      <c r="B10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40" t="str">
        <f>VLOOKUP(Table14681012[[#This Row],[Man. Number]],Articles!A:F,COLUMN(Articles!$C$1)-COLUMN(Articles!$A$1)+1,FALSE)</f>
        <v>D100-137</v>
      </c>
      <c r="D10" s="4" t="s">
        <v>270</v>
      </c>
      <c r="E10" s="4">
        <v>1</v>
      </c>
      <c r="F10" s="4">
        <f>VLOOKUP(Table14681012[[#This Row],[Man. Number]],Articles!A:F,COLUMN(Articles!$F$1)-COLUMN(Articles!$A$1)+1,FALSE)</f>
        <v>4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142</v>
      </c>
      <c r="B11" s="40" t="str">
        <f>VLOOKUP(Table14681012[[#This Row],[Man. Number]],Articles!A:F,COLUMN(Articles!$D$1)-COLUMN(Articles!$A$1)+1,FALSE)</f>
        <v>CONN RCPT STD MICRO USB TYPE B</v>
      </c>
      <c r="C11" s="40" t="str">
        <f>VLOOKUP(Table14681012[[#This Row],[Man. Number]],Articles!A:F,COLUMN(Articles!$C$1)-COLUMN(Articles!$A$1)+1,FALSE)</f>
        <v>None</v>
      </c>
      <c r="D11" s="4" t="s">
        <v>530</v>
      </c>
      <c r="E11" s="4">
        <v>1</v>
      </c>
      <c r="F11" s="4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211</v>
      </c>
      <c r="B12" s="40" t="str">
        <f>VLOOKUP(Table14681012[[#This Row],[Man. Number]],Articles!A:F,COLUMN(Articles!$D$1)-COLUMN(Articles!$A$1)+1,FALSE)</f>
        <v>Red 628nm LED Indication - Discrete 1.8V 0603 (1608 Metric)</v>
      </c>
      <c r="C12" s="40" t="str">
        <f>VLOOKUP(Table14681012[[#This Row],[Man. Number]],Articles!A:F,COLUMN(Articles!$C$1)-COLUMN(Articles!$A$1)+1,FALSE)</f>
        <v>D001-049</v>
      </c>
      <c r="D12" s="4" t="s">
        <v>276</v>
      </c>
      <c r="E12" s="4">
        <v>1</v>
      </c>
      <c r="F12" s="40">
        <f>VLOOKUP(Table14681012[[#This Row],[Man. Number]],Articles!A:F,COLUMN(Articles!$F$1)-COLUMN(Articles!$A$1)+1,FALSE)</f>
        <v>6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127</v>
      </c>
      <c r="B13" s="40" t="str">
        <f>VLOOKUP(Table14681012[[#This Row],[Man. Number]],Articles!A:F,COLUMN(Articles!$D$1)-COLUMN(Articles!$A$1)+1,FALSE)</f>
        <v>LED RGB CLEAR 3528 SMD</v>
      </c>
      <c r="C13" s="40" t="str">
        <f>VLOOKUP(Table14681012[[#This Row],[Man. Number]],Articles!A:F,COLUMN(Articles!$C$1)-COLUMN(Articles!$A$1)+1,FALSE)</f>
        <v>D001-051</v>
      </c>
      <c r="D13" s="4" t="s">
        <v>593</v>
      </c>
      <c r="E13" s="4">
        <v>1</v>
      </c>
      <c r="F13" s="40">
        <f>VLOOKUP(Table14681012[[#This Row],[Man. Number]],Articles!A:F,COLUMN(Articles!$F$1)-COLUMN(Articles!$A$1)+1,FALSE)</f>
        <v>3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40">
        <f>Table14681012[[#This Row],[Quantity]]*$M$1</f>
        <v>2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210</v>
      </c>
      <c r="B14" s="40" t="str">
        <f>VLOOKUP(Table14681012[[#This Row],[Man. Number]],Articles!A:F,COLUMN(Articles!$D$1)-COLUMN(Articles!$A$1)+1,FALSE)</f>
        <v>Green 570nm LED Indication - Discrete 2V 0603 (1608 Metric)</v>
      </c>
      <c r="C14" s="40" t="str">
        <f>VLOOKUP(Table14681012[[#This Row],[Man. Number]],Articles!A:F,COLUMN(Articles!$C$1)-COLUMN(Articles!$A$1)+1,FALSE)</f>
        <v>D001-048</v>
      </c>
      <c r="D14" s="4" t="s">
        <v>1230</v>
      </c>
      <c r="E14" s="4">
        <v>4</v>
      </c>
      <c r="F14" s="4">
        <f>VLOOKUP(Table14681012[[#This Row],[Man. Number]],Articles!A:F,COLUMN(Articles!$F$1)-COLUMN(Articles!$A$1)+1,FALSE)</f>
        <v>4</v>
      </c>
      <c r="G14" s="40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40">
        <f>Table14681012[[#This Row],[Quantity]]*$M$1</f>
        <v>8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1219</v>
      </c>
      <c r="B15" s="40" t="str">
        <f>VLOOKUP(Table14681012[[#This Row],[Man. Number]],Articles!A:F,COLUMN(Articles!$D$1)-COLUMN(Articles!$A$1)+1,FALSE)</f>
        <v>Blue 470nm LED Indication - Discrete 3.2V 0805 (2012 Metric)</v>
      </c>
      <c r="C15" s="40" t="str">
        <f>VLOOKUP(Table14681012[[#This Row],[Man. Number]],Articles!A:F,COLUMN(Articles!$C$1)-COLUMN(Articles!$A$1)+1,FALSE)</f>
        <v>D001-050</v>
      </c>
      <c r="D15" s="4" t="s">
        <v>1231</v>
      </c>
      <c r="E15" s="4">
        <v>2</v>
      </c>
      <c r="F15" s="4">
        <f>VLOOKUP(Table14681012[[#This Row],[Man. Number]],Articles!A:F,COLUMN(Articles!$F$1)-COLUMN(Articles!$A$1)+1,FALSE)</f>
        <v>8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40">
        <f>Table14681012[[#This Row],[Quantity]]*$M$1</f>
        <v>4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1014</v>
      </c>
      <c r="B16" s="40" t="str">
        <f>VLOOKUP(Table14681012[[#This Row],[Man. Number]],Articles!A:F,COLUMN(Articles!$D$1)-COLUMN(Articles!$A$1)+1,FALSE)</f>
        <v>RES SMD 1M OHM 5% 1/4W 0603</v>
      </c>
      <c r="C16" s="40" t="str">
        <f>VLOOKUP(Table14681012[[#This Row],[Man. Number]],Articles!A:F,COLUMN(Articles!$C$1)-COLUMN(Articles!$A$1)+1,FALSE)</f>
        <v>D100-007</v>
      </c>
      <c r="D16" s="4" t="s">
        <v>295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1002</v>
      </c>
      <c r="B17" s="40" t="str">
        <f>VLOOKUP(Table14681012[[#This Row],[Man. Number]],Articles!A:F,COLUMN(Articles!$D$1)-COLUMN(Articles!$A$1)+1,FALSE)</f>
        <v>RES SMD 27K OHM 5% 1/4W 0603</v>
      </c>
      <c r="C17" s="40" t="str">
        <f>VLOOKUP(Table14681012[[#This Row],[Man. Number]],Articles!A:F,COLUMN(Articles!$C$1)-COLUMN(Articles!$A$1)+1,FALSE)</f>
        <v>D100-001</v>
      </c>
      <c r="D17" s="40" t="s">
        <v>287</v>
      </c>
      <c r="E17" s="4">
        <v>1</v>
      </c>
      <c r="F17" s="4">
        <f>VLOOKUP(Table14681012[[#This Row],[Man. Number]],Articles!A:F,COLUMN(Articles!$F$1)-COLUMN(Articles!$A$1)+1,FALSE)</f>
        <v>7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40">
        <f>Table14681012[[#This Row],[Quantity]]*$M$1</f>
        <v>2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1008</v>
      </c>
      <c r="B18" s="40" t="str">
        <f>VLOOKUP(Table14681012[[#This Row],[Man. Number]],Articles!A:F,COLUMN(Articles!$D$1)-COLUMN(Articles!$A$1)+1,FALSE)</f>
        <v>RES SMD 270 OHM 5% 1/4W 0603</v>
      </c>
      <c r="C18" s="40" t="str">
        <f>VLOOKUP(Table14681012[[#This Row],[Man. Number]],Articles!A:F,COLUMN(Articles!$C$1)-COLUMN(Articles!$A$1)+1,FALSE)</f>
        <v>D100-009</v>
      </c>
      <c r="D18" s="4" t="s">
        <v>1236</v>
      </c>
      <c r="E18" s="4">
        <v>2</v>
      </c>
      <c r="F18" s="40">
        <f>VLOOKUP(Table14681012[[#This Row],[Man. Number]],Articles!A:F,COLUMN(Articles!$F$1)-COLUMN(Articles!$A$1)+1,FALSE)</f>
        <v>7</v>
      </c>
      <c r="G18" s="40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YES</v>
      </c>
    </row>
    <row r="19" spans="1:10" x14ac:dyDescent="0.25">
      <c r="A19" s="40" t="s">
        <v>987</v>
      </c>
      <c r="B19" s="40" t="str">
        <f>VLOOKUP(Table14681012[[#This Row],[Man. Number]],Articles!A:F,COLUMN(Articles!$D$1)-COLUMN(Articles!$A$1)+1,FALSE)</f>
        <v>RES SMD 120 OHM 5% 1/4W 0603</v>
      </c>
      <c r="C19" s="40" t="str">
        <f>VLOOKUP(Table14681012[[#This Row],[Man. Number]],Articles!A:F,COLUMN(Articles!$C$1)-COLUMN(Articles!$A$1)+1,FALSE)</f>
        <v>D100-010</v>
      </c>
      <c r="D19" s="4" t="s">
        <v>1235</v>
      </c>
      <c r="E19" s="4">
        <v>2</v>
      </c>
      <c r="F19" s="4">
        <f>VLOOKUP(Table14681012[[#This Row],[Man. Number]],Articles!A:F,COLUMN(Articles!$F$1)-COLUMN(Articles!$A$1)+1,FALSE)</f>
        <v>8</v>
      </c>
      <c r="G19" s="40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40">
        <f>Table14681012[[#This Row],[Quantity]]*$M$1</f>
        <v>4</v>
      </c>
      <c r="J19" s="40" t="str">
        <f>IF(Table14681012[[#This Row],[In stock]] &gt;= Table14681012[[#This Row],[Total quantity]],"YES","NO")</f>
        <v>YES</v>
      </c>
    </row>
    <row r="20" spans="1:10" x14ac:dyDescent="0.25">
      <c r="A20" s="40" t="s">
        <v>990</v>
      </c>
      <c r="B20" s="40" t="str">
        <f>VLOOKUP(Table14681012[[#This Row],[Man. Number]],Articles!A:F,COLUMN(Articles!$D$1)-COLUMN(Articles!$A$1)+1,FALSE)</f>
        <v>RES SMD 150 OHM 5% 1/4W 0603</v>
      </c>
      <c r="C20" s="40" t="str">
        <f>VLOOKUP(Table14681012[[#This Row],[Man. Number]],Articles!A:F,COLUMN(Articles!$C$1)-COLUMN(Articles!$A$1)+1,FALSE)</f>
        <v>D100-000</v>
      </c>
      <c r="D20" s="4" t="s">
        <v>1232</v>
      </c>
      <c r="E20" s="4">
        <v>3</v>
      </c>
      <c r="F20" s="4">
        <f>VLOOKUP(Table14681012[[#This Row],[Man. Number]],Articles!A:F,COLUMN(Articles!$F$1)-COLUMN(Articles!$A$1)+1,FALSE)</f>
        <v>6</v>
      </c>
      <c r="G20" s="40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40">
        <f>Table14681012[[#This Row],[Quantity]]*$M$1</f>
        <v>6</v>
      </c>
      <c r="J20" s="40" t="str">
        <f>IF(Table14681012[[#This Row],[In stock]] &gt;= Table14681012[[#This Row],[Total quantity]],"YES","NO")</f>
        <v>YES</v>
      </c>
    </row>
    <row r="21" spans="1:10" x14ac:dyDescent="0.25">
      <c r="A21" s="40" t="s">
        <v>981</v>
      </c>
      <c r="B21" s="40" t="str">
        <f>VLOOKUP(Table14681012[[#This Row],[Man. Number]],Articles!A:F,COLUMN(Articles!$D$1)-COLUMN(Articles!$A$1)+1,FALSE)</f>
        <v>RES SMD 10K OHM 5% 1/4W 0603</v>
      </c>
      <c r="C21" s="40" t="str">
        <f>VLOOKUP(Table14681012[[#This Row],[Man. Number]],Articles!A:F,COLUMN(Articles!$C$1)-COLUMN(Articles!$A$1)+1,FALSE)</f>
        <v>D100-006</v>
      </c>
      <c r="D21" s="4" t="s">
        <v>1233</v>
      </c>
      <c r="E21" s="4">
        <v>1</v>
      </c>
      <c r="F21" s="40">
        <f>VLOOKUP(Table14681012[[#This Row],[Man. Number]],Articles!A:F,COLUMN(Articles!$F$1)-COLUMN(Articles!$A$1)+1,FALSE)</f>
        <v>9</v>
      </c>
      <c r="G21" s="40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40">
        <f>Table14681012[[#This Row],[Quantity]]*$M$1</f>
        <v>2</v>
      </c>
      <c r="J21" s="40" t="str">
        <f>IF(Table14681012[[#This Row],[In stock]] &gt;= Table14681012[[#This Row],[Total quantity]],"YES","NO")</f>
        <v>YES</v>
      </c>
    </row>
    <row r="22" spans="1:10" x14ac:dyDescent="0.25">
      <c r="A22" s="61" t="s">
        <v>993</v>
      </c>
      <c r="B22" s="61" t="str">
        <f>VLOOKUP(Table14681012[[#This Row],[Man. Number]],Articles!A:F,COLUMN(Articles!$D$1)-COLUMN(Articles!$A$1)+1,FALSE)</f>
        <v>RES SMD 4.7K OHM 5% 1/4W 0603</v>
      </c>
      <c r="C22" s="61" t="str">
        <f>VLOOKUP(Table14681012[[#This Row],[Man. Number]],Articles!A:F,COLUMN(Articles!$C$1)-COLUMN(Articles!$A$1)+1,FALSE)</f>
        <v>D100-005</v>
      </c>
      <c r="D22" s="62" t="s">
        <v>1239</v>
      </c>
      <c r="E22" s="62">
        <v>10</v>
      </c>
      <c r="F22" s="62">
        <f>VLOOKUP(Table14681012[[#This Row],[Man. Number]],Articles!A:F,COLUMN(Articles!$F$1)-COLUMN(Articles!$A$1)+1,FALSE)</f>
        <v>10</v>
      </c>
      <c r="G22" s="61" t="str">
        <f>IF(Table14681012[[#This Row],[In stock]] &gt;= Table14681012[[#This Row],[Quantity]],"YES","NO")</f>
        <v>YES</v>
      </c>
      <c r="H22" s="63">
        <f>VLOOKUP(Table14681012[[#This Row],[Man. Number]],Articles!A:J,COLUMN(Articles!$J$1)-COLUMN(Articles!$A$1)+1,FALSE)*Table14681012[[#This Row],[Quantity]]</f>
        <v>1</v>
      </c>
      <c r="I22" s="61">
        <f>Table14681012[[#This Row],[Quantity]]*$M$1</f>
        <v>20</v>
      </c>
      <c r="J22" s="61" t="str">
        <f>IF(Table14681012[[#This Row],[In stock]] &gt;= Table14681012[[#This Row],[Total quantity]],"YES","NO")</f>
        <v>NO</v>
      </c>
    </row>
    <row r="23" spans="1:10" x14ac:dyDescent="0.25">
      <c r="A23" s="40" t="s">
        <v>984</v>
      </c>
      <c r="B23" s="40" t="str">
        <f>VLOOKUP(Table14681012[[#This Row],[Man. Number]],Articles!A:F,COLUMN(Articles!$D$1)-COLUMN(Articles!$A$1)+1,FALSE)</f>
        <v>RES SMD 330 OHM 5% 1/4W 0603</v>
      </c>
      <c r="C23" s="40" t="str">
        <f>VLOOKUP(Table14681012[[#This Row],[Man. Number]],Articles!A:F,COLUMN(Articles!$C$1)-COLUMN(Articles!$A$1)+1,FALSE)</f>
        <v>D100-004</v>
      </c>
      <c r="D23" s="4" t="s">
        <v>1234</v>
      </c>
      <c r="E23" s="4">
        <v>2</v>
      </c>
      <c r="F23" s="40">
        <f>VLOOKUP(Table14681012[[#This Row],[Man. Number]],Articles!A:F,COLUMN(Articles!$F$1)-COLUMN(Articles!$A$1)+1,FALSE)</f>
        <v>8</v>
      </c>
      <c r="G23" s="40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40">
        <f>Table14681012[[#This Row],[Quantity]]*$M$1</f>
        <v>4</v>
      </c>
      <c r="J23" s="40" t="str">
        <f>IF(Table14681012[[#This Row],[In stock]] &gt;= Table14681012[[#This Row],[Total quantity]],"YES","NO")</f>
        <v>YES</v>
      </c>
    </row>
    <row r="24" spans="1:10" x14ac:dyDescent="0.25">
      <c r="A24" s="40" t="s">
        <v>1023</v>
      </c>
      <c r="B24" s="40" t="str">
        <f>VLOOKUP(Table14681012[[#This Row],[Man. Number]],Articles!A:F,COLUMN(Articles!$D$1)-COLUMN(Articles!$A$1)+1,FALSE)</f>
        <v>RES SMD 560 OHM 5% 1/4W 0603</v>
      </c>
      <c r="C24" s="40" t="str">
        <f>VLOOKUP(Table14681012[[#This Row],[Man. Number]],Articles!A:F,COLUMN(Articles!$C$1)-COLUMN(Articles!$A$1)+1,FALSE)</f>
        <v>D100-003</v>
      </c>
      <c r="D24" s="4" t="s">
        <v>970</v>
      </c>
      <c r="E24" s="4">
        <v>1</v>
      </c>
      <c r="F24" s="40">
        <f>VLOOKUP(Table14681012[[#This Row],[Man. Number]],Articles!A:F,COLUMN(Articles!$F$1)-COLUMN(Articles!$A$1)+1,FALSE)</f>
        <v>9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213</v>
      </c>
      <c r="B25" s="40" t="str">
        <f>VLOOKUP(Table14681012[[#This Row],[Man. Number]],Articles!A:F,COLUMN(Articles!$D$1)-COLUMN(Articles!$A$1)+1,FALSE)</f>
        <v>SWITCH SLIDE SPDT 300MA 125V</v>
      </c>
      <c r="C25" s="40" t="str">
        <f>VLOOKUP(Table14681012[[#This Row],[Man. Number]],Articles!A:F,COLUMN(Articles!$C$1)-COLUMN(Articles!$A$1)+1,FALSE)</f>
        <v>None</v>
      </c>
      <c r="D25" s="4" t="s">
        <v>592</v>
      </c>
      <c r="E25" s="4">
        <v>1</v>
      </c>
      <c r="F25" s="40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467</v>
      </c>
      <c r="B26" s="40" t="str">
        <f>VLOOKUP(Table14681012[[#This Row],[Man. Number]],Articles!A:F,COLUMN(Articles!$D$1)-COLUMN(Articles!$A$1)+1,FALSE)</f>
        <v>General ISM &lt; 1GHz  Transceiver Module 868MHz Integrated, Trace Surface Mount</v>
      </c>
      <c r="C26" s="40" t="str">
        <f>VLOOKUP(Table14681012[[#This Row],[Man. Number]],Articles!A:F,COLUMN(Articles!$C$1)-COLUMN(Articles!$A$1)+1,FALSE)</f>
        <v>None</v>
      </c>
      <c r="D26" s="4" t="s">
        <v>275</v>
      </c>
      <c r="E26" s="4">
        <v>1</v>
      </c>
      <c r="F26" s="4">
        <f>VLOOKUP(Table14681012[[#This Row],[Man. Number]],Articles!A:F,COLUMN(Articles!$F$1)-COLUMN(Articles!$A$1)+1,FALSE)</f>
        <v>0</v>
      </c>
      <c r="G26" s="40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NO</v>
      </c>
    </row>
    <row r="27" spans="1:10" x14ac:dyDescent="0.25">
      <c r="A27" s="40" t="s">
        <v>24</v>
      </c>
      <c r="B27" s="40" t="str">
        <f>VLOOKUP(Table14681012[[#This Row],[Man. Number]],Articles!A:F,COLUMN(Articles!$D$1)-COLUMN(Articles!$A$1)+1,FALSE)</f>
        <v>Régulateur LDO, Fixe, Entrée 1.7 V à 5,5 V, Sortie 3.3 V/300 mA, Chute de 150 mV</v>
      </c>
      <c r="C27" s="40" t="str">
        <f>VLOOKUP(Table14681012[[#This Row],[Man. Number]],Articles!A:F,COLUMN(Articles!$C$1)-COLUMN(Articles!$A$1)+1,FALSE)</f>
        <v>D001-015</v>
      </c>
      <c r="D27" s="4" t="s">
        <v>277</v>
      </c>
      <c r="E27" s="4">
        <v>1</v>
      </c>
      <c r="F27" s="4">
        <f>VLOOKUP(Table14681012[[#This Row],[Man. Number]],Articles!A:F,COLUMN(Articles!$F$1)-COLUMN(Articles!$A$1)+1,FALSE)</f>
        <v>6</v>
      </c>
      <c r="G27" s="40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40">
        <f>Table14681012[[#This Row],[Quantity]]*$M$1</f>
        <v>2</v>
      </c>
      <c r="J27" s="40" t="str">
        <f>IF(Table14681012[[#This Row],[In stock]] &gt;= Table14681012[[#This Row],[Total quantity]],"YES","NO")</f>
        <v>YES</v>
      </c>
    </row>
    <row r="28" spans="1:10" x14ac:dyDescent="0.25">
      <c r="A28" s="40" t="s">
        <v>1225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278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40" t="s">
        <v>1388</v>
      </c>
      <c r="B29" s="40" t="str">
        <f>VLOOKUP(Table14681012[[#This Row],[Man. Number]],Articles!A:F,COLUMN(Articles!$D$1)-COLUMN(Articles!$A$1)+1,FALSE)</f>
        <v>IC MCU 8BIT 64KB FLASH 44TQFP</v>
      </c>
      <c r="C29" s="40" t="str">
        <f>VLOOKUP(Table14681012[[#This Row],[Man. Number]],Articles!A:F,COLUMN(Articles!$C$1)-COLUMN(Articles!$A$1)+1,FALSE)</f>
        <v>None</v>
      </c>
      <c r="D29" s="4" t="s">
        <v>294</v>
      </c>
      <c r="E29" s="4">
        <v>1</v>
      </c>
      <c r="F29" s="4">
        <f>VLOOKUP(Table14681012[[#This Row],[Man. Number]],Articles!A:F,COLUMN(Articles!$F$1)-COLUMN(Articles!$A$1)+1,FALSE)</f>
        <v>0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40">
        <f>Table14681012[[#This Row],[Quantity]]*$M$1</f>
        <v>2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429</v>
      </c>
      <c r="B30" s="40" t="str">
        <f>VLOOKUP(Table14681012[[#This Row],[Man. Number]],Articles!A:F,COLUMN(Articles!$D$1)-COLUMN(Articles!$A$1)+1,FALSE)</f>
        <v>Connecteur carte-à-carte, femelle, 2.54 mm, 36 Contact(s), Embase</v>
      </c>
      <c r="C30" s="40" t="str">
        <f>VLOOKUP(Table14681012[[#This Row],[Man. Number]],Articles!A:F,COLUMN(Articles!$C$1)-COLUMN(Articles!$A$1)+1,FALSE)</f>
        <v>None</v>
      </c>
      <c r="D30" s="4" t="s">
        <v>1237</v>
      </c>
      <c r="E30" s="4">
        <f>(5+2*9)/36</f>
        <v>0.63888888888888884</v>
      </c>
      <c r="F30" s="4">
        <f>VLOOKUP(Table14681012[[#This Row],[Man. Number]],Articles!A:F,COLUMN(Articles!$F$1)-COLUMN(Articles!$A$1)+1,FALSE)</f>
        <v>1.3611111111111112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40">
        <f>Table14681012[[#This Row],[Quantity]]*$M$1</f>
        <v>1.2777777777777777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449</v>
      </c>
      <c r="G31" s="4"/>
      <c r="H31" s="4" t="e">
        <f>SUBTOTAL(109,Table14681012[Unit Price])</f>
        <v>#N/A</v>
      </c>
      <c r="I31" s="4"/>
      <c r="J31" s="4"/>
    </row>
  </sheetData>
  <conditionalFormatting sqref="G1:H1048576 J1:J1048576">
    <cfRule type="containsText" dxfId="28" priority="4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51">
        <v>1</v>
      </c>
      <c r="N1" t="s">
        <v>1109</v>
      </c>
    </row>
    <row r="2" spans="1:14" x14ac:dyDescent="0.25">
      <c r="A2" s="40" t="s">
        <v>1050</v>
      </c>
      <c r="B2" s="40" t="str">
        <f>VLOOKUP(Table146810[[#This Row],[Man. Number]],Articles!A:F,COLUMN(Articles!$D$1)-COLUMN(Articles!$A$1)+1,FALSE)</f>
        <v>PCB USB Tool v1</v>
      </c>
      <c r="C2" s="40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40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40">
        <f>Table146810[[#This Row],[Quantity]]*$M$1</f>
        <v>1</v>
      </c>
      <c r="J2" s="40" t="str">
        <f>IF(Table146810[[#This Row],[In stock]] &gt;= Table146810[[#This Row],[Total quantity]],"YES","NO")</f>
        <v>YES</v>
      </c>
    </row>
    <row r="3" spans="1:14" x14ac:dyDescent="0.25">
      <c r="A3" s="40" t="s">
        <v>538</v>
      </c>
      <c r="B3" s="40" t="str">
        <f>VLOOKUP(Table146810[[#This Row],[Man. Number]],Articles!A:F,COLUMN(Articles!$D$1)-COLUMN(Articles!$A$1)+1,FALSE)</f>
        <v>4700pF ±10% 25V Ceramic Capacitor X7R 0805 (2012 Metric)</v>
      </c>
      <c r="C3" s="40" t="str">
        <f>VLOOKUP(Table146810[[#This Row],[Man. Number]],Articles!A:F,COLUMN(Articles!$C$1)-COLUMN(Articles!$A$1)+1,FALSE)</f>
        <v>D101-153</v>
      </c>
      <c r="D3" s="4" t="s">
        <v>272</v>
      </c>
      <c r="E3" s="4">
        <v>1</v>
      </c>
      <c r="F3" s="4">
        <f>VLOOKUP(Table146810[[#This Row],[Man. Number]],Articles!A:F,COLUMN(Articles!$F$1)-COLUMN(Articles!$A$1)+1,FALSE)</f>
        <v>8</v>
      </c>
      <c r="G3" s="40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40">
        <f>Table146810[[#This Row],[Quantity]]*$M$1</f>
        <v>1</v>
      </c>
      <c r="J3" s="40" t="str">
        <f>IF(Table146810[[#This Row],[In stock]] &gt;= Table146810[[#This Row],[Total quantity]],"YES","NO")</f>
        <v>YES</v>
      </c>
    </row>
    <row r="4" spans="1:14" x14ac:dyDescent="0.25">
      <c r="A4" s="40" t="s">
        <v>14</v>
      </c>
      <c r="B4" s="40" t="str">
        <f>VLOOKUP(Table146810[[#This Row],[Man. Number]],Articles!A:F,COLUMN(Articles!$D$1)-COLUMN(Articles!$A$1)+1,FALSE)</f>
        <v>Condensateur électrolytique, 10 µF, 35 V, Série MCGPR, ± 20%, À sorties radiales, 5 mm</v>
      </c>
      <c r="C4" s="40" t="str">
        <f>VLOOKUP(Table146810[[#This Row],[Man. Number]],Articles!A:F,COLUMN(Articles!$C$1)-COLUMN(Articles!$A$1)+1,FALSE)</f>
        <v>None</v>
      </c>
      <c r="D4" s="4" t="s">
        <v>273</v>
      </c>
      <c r="E4" s="4">
        <v>1</v>
      </c>
      <c r="F4" s="4">
        <f>VLOOKUP(Table146810[[#This Row],[Man. Number]],Articles!A:F,COLUMN(Articles!$F$1)-COLUMN(Articles!$A$1)+1,FALSE)</f>
        <v>48</v>
      </c>
      <c r="G4" s="40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40">
        <f>Table146810[[#This Row],[Quantity]]*$M$1</f>
        <v>1</v>
      </c>
      <c r="J4" s="40" t="str">
        <f>IF(Table146810[[#This Row],[In stock]] &gt;= Table146810[[#This Row],[Total quantity]],"YES","NO")</f>
        <v>YES</v>
      </c>
    </row>
    <row r="5" spans="1:14" x14ac:dyDescent="0.25">
      <c r="A5" s="40" t="s">
        <v>33</v>
      </c>
      <c r="B5" s="40" t="str">
        <f>VLOOKUP(Table146810[[#This Row],[Man. Number]],Articles!A:F,COLUMN(Articles!$D$1)-COLUMN(Articles!$A$1)+1,FALSE)</f>
        <v>Condensateur céramique multicouche CMS, 1206 [3216 Metric], 0.1 µF, 25 V, ± 10%, X7R</v>
      </c>
      <c r="C5" s="40" t="str">
        <f>VLOOKUP(Table146810[[#This Row],[Man. Number]],Articles!A:F,COLUMN(Articles!$C$1)-COLUMN(Articles!$A$1)+1,FALSE)</f>
        <v>D100-148</v>
      </c>
      <c r="D5" s="4" t="s">
        <v>1055</v>
      </c>
      <c r="E5" s="4">
        <v>3</v>
      </c>
      <c r="F5" s="4">
        <f>VLOOKUP(Table146810[[#This Row],[Man. Number]],Articles!A:F,COLUMN(Articles!$F$1)-COLUMN(Articles!$A$1)+1,FALSE)</f>
        <v>83</v>
      </c>
      <c r="G5" s="40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40">
        <f>Table146810[[#This Row],[Quantity]]*$M$1</f>
        <v>3</v>
      </c>
      <c r="J5" s="40" t="str">
        <f>IF(Table146810[[#This Row],[In stock]] &gt;= Table146810[[#This Row],[Total quantity]],"YES","NO")</f>
        <v>YES</v>
      </c>
    </row>
    <row r="6" spans="1:14" x14ac:dyDescent="0.25">
      <c r="A6" s="40" t="s">
        <v>537</v>
      </c>
      <c r="B6" s="40" t="str">
        <f>VLOOKUP(Table146810[[#This Row],[Man. Number]],Articles!A:F,COLUMN(Articles!$D$1)-COLUMN(Articles!$A$1)+1,FALSE)</f>
        <v>1µF ±10% 25V Ceramic Capacitor X7R 0805 (2012 Metric)</v>
      </c>
      <c r="C6" s="40" t="str">
        <f>VLOOKUP(Table146810[[#This Row],[Man. Number]],Articles!A:F,COLUMN(Articles!$C$1)-COLUMN(Articles!$A$1)+1,FALSE)</f>
        <v>D101-149</v>
      </c>
      <c r="D6" s="4" t="s">
        <v>533</v>
      </c>
      <c r="E6" s="4">
        <v>2</v>
      </c>
      <c r="F6" s="4">
        <f>VLOOKUP(Table146810[[#This Row],[Man. Number]],Articles!A:F,COLUMN(Articles!$F$1)-COLUMN(Articles!$A$1)+1,FALSE)</f>
        <v>17</v>
      </c>
      <c r="G6" s="40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40">
        <f>Table146810[[#This Row],[Quantity]]*$M$1</f>
        <v>2</v>
      </c>
      <c r="J6" s="40" t="str">
        <f>IF(Table146810[[#This Row],[In stock]] &gt;= Table146810[[#This Row],[Total quantity]],"YES","NO")</f>
        <v>YES</v>
      </c>
    </row>
    <row r="7" spans="1:14" x14ac:dyDescent="0.25">
      <c r="A7" s="40" t="s">
        <v>535</v>
      </c>
      <c r="B7" s="40" t="str">
        <f>VLOOKUP(Table146810[[#This Row],[Man. Number]],Articles!A:F,COLUMN(Articles!$D$1)-COLUMN(Articles!$A$1)+1,FALSE)</f>
        <v>0.47µF ±10% 25V Ceramic Capacitor X7R 0805 (2012 Metric)</v>
      </c>
      <c r="C7" s="40" t="str">
        <f>VLOOKUP(Table146810[[#This Row],[Man. Number]],Articles!A:F,COLUMN(Articles!$C$1)-COLUMN(Articles!$A$1)+1,FALSE)</f>
        <v>D101-152</v>
      </c>
      <c r="D7" s="4" t="s">
        <v>534</v>
      </c>
      <c r="E7" s="4">
        <v>1</v>
      </c>
      <c r="F7" s="4">
        <f>VLOOKUP(Table146810[[#This Row],[Man. Number]],Articles!A:F,COLUMN(Articles!$F$1)-COLUMN(Articles!$A$1)+1,FALSE)</f>
        <v>9</v>
      </c>
      <c r="G7" s="40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40">
        <f>Table146810[[#This Row],[Quantity]]*$M$1</f>
        <v>1</v>
      </c>
      <c r="J7" s="40" t="str">
        <f>IF(Table146810[[#This Row],[In stock]] &gt;= Table146810[[#This Row],[Total quantity]],"YES","NO")</f>
        <v>YES</v>
      </c>
    </row>
    <row r="8" spans="1:14" x14ac:dyDescent="0.25">
      <c r="A8" s="40" t="s">
        <v>221</v>
      </c>
      <c r="B8" s="40" t="str">
        <f>VLOOKUP(Table146810[[#This Row],[Man. Number]],Articles!A:F,COLUMN(Articles!$D$1)-COLUMN(Articles!$A$1)+1,FALSE)</f>
        <v>CAP CER 4.7UF 25V X7R 1206</v>
      </c>
      <c r="C8" s="40" t="str">
        <f>VLOOKUP(Table146810[[#This Row],[Man. Number]],Articles!A:F,COLUMN(Articles!$C$1)-COLUMN(Articles!$A$1)+1,FALSE)</f>
        <v>D100-149</v>
      </c>
      <c r="D8" s="4" t="s">
        <v>529</v>
      </c>
      <c r="E8" s="4">
        <v>1</v>
      </c>
      <c r="F8" s="4">
        <f>VLOOKUP(Table146810[[#This Row],[Man. Number]],Articles!A:F,COLUMN(Articles!$F$1)-COLUMN(Articles!$A$1)+1,FALSE)</f>
        <v>16</v>
      </c>
      <c r="G8" s="40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40">
        <f>Table146810[[#This Row],[Quantity]]*$M$1</f>
        <v>1</v>
      </c>
      <c r="J8" s="40" t="str">
        <f>IF(Table146810[[#This Row],[In stock]] &gt;= Table146810[[#This Row],[Total quantity]],"YES","NO")</f>
        <v>YES</v>
      </c>
    </row>
    <row r="9" spans="1:14" x14ac:dyDescent="0.25">
      <c r="A9" s="40" t="s">
        <v>536</v>
      </c>
      <c r="B9" s="40" t="str">
        <f>VLOOKUP(Table146810[[#This Row],[Man. Number]],Articles!A:F,COLUMN(Articles!$D$1)-COLUMN(Articles!$A$1)+1,FALSE)</f>
        <v>4.7µF ±20% 25V Ceramic Capacitor X5R 0805 (2012 Metric)</v>
      </c>
      <c r="C9" s="40" t="str">
        <f>VLOOKUP(Table146810[[#This Row],[Man. Number]],Articles!A:F,COLUMN(Articles!$C$1)-COLUMN(Articles!$A$1)+1,FALSE)</f>
        <v>D101-151</v>
      </c>
      <c r="D9" s="4" t="s">
        <v>529</v>
      </c>
      <c r="E9" s="4">
        <v>0</v>
      </c>
      <c r="F9" s="4">
        <f>VLOOKUP(Table146810[[#This Row],[Man. Number]],Articles!A:F,COLUMN(Articles!$F$1)-COLUMN(Articles!$A$1)+1,FALSE)</f>
        <v>5</v>
      </c>
      <c r="G9" s="40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40">
        <f>Table146810[[#This Row],[Quantity]]*$M$1</f>
        <v>0</v>
      </c>
      <c r="J9" s="40" t="str">
        <f>IF(Table146810[[#This Row],[In stock]] &gt;= Table146810[[#This Row],[Total quantity]],"YES","NO")</f>
        <v>YES</v>
      </c>
    </row>
    <row r="10" spans="1:14" x14ac:dyDescent="0.25">
      <c r="A10" s="40" t="s">
        <v>472</v>
      </c>
      <c r="B10" s="40" t="str">
        <f>VLOOKUP(Table146810[[#This Row],[Man. Number]],Articles!A:F,COLUMN(Articles!$D$1)-COLUMN(Articles!$A$1)+1,FALSE)</f>
        <v>FUSE BRD MNT 500MA 350VAC 72VDC</v>
      </c>
      <c r="C10" s="40" t="str">
        <f>VLOOKUP(Table146810[[#This Row],[Man. Number]],Articles!A:F,COLUMN(Articles!$C$1)-COLUMN(Articles!$A$1)+1,FALSE)</f>
        <v>D100-136</v>
      </c>
      <c r="D10" s="4" t="s">
        <v>270</v>
      </c>
      <c r="E10" s="4">
        <v>1</v>
      </c>
      <c r="F10" s="4">
        <f>VLOOKUP(Table146810[[#This Row],[Man. Number]],Articles!A:F,COLUMN(Articles!$F$1)-COLUMN(Articles!$A$1)+1,FALSE)</f>
        <v>9</v>
      </c>
      <c r="G10" s="40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40">
        <f>Table146810[[#This Row],[Quantity]]*$M$1</f>
        <v>1</v>
      </c>
      <c r="J10" s="40" t="str">
        <f>IF(Table146810[[#This Row],[In stock]] &gt;= Table146810[[#This Row],[Total quantity]],"YES","NO")</f>
        <v>YES</v>
      </c>
    </row>
    <row r="11" spans="1:14" x14ac:dyDescent="0.25">
      <c r="A11" s="40" t="s">
        <v>142</v>
      </c>
      <c r="B11" s="40" t="str">
        <f>VLOOKUP(Table146810[[#This Row],[Man. Number]],Articles!A:F,COLUMN(Articles!$D$1)-COLUMN(Articles!$A$1)+1,FALSE)</f>
        <v>CONN RCPT STD MICRO USB TYPE B</v>
      </c>
      <c r="C11" s="40" t="str">
        <f>VLOOKUP(Table146810[[#This Row],[Man. Number]],Articles!A:F,COLUMN(Articles!$C$1)-COLUMN(Articles!$A$1)+1,FALSE)</f>
        <v>None</v>
      </c>
      <c r="D11" s="4" t="s">
        <v>530</v>
      </c>
      <c r="E11" s="4">
        <v>1</v>
      </c>
      <c r="F11" s="4">
        <f>VLOOKUP(Table146810[[#This Row],[Man. Number]],Articles!A:F,COLUMN(Articles!$F$1)-COLUMN(Articles!$A$1)+1,FALSE)</f>
        <v>8</v>
      </c>
      <c r="G11" s="40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40">
        <f>Table146810[[#This Row],[Quantity]]*$M$1</f>
        <v>1</v>
      </c>
      <c r="J11" s="40" t="str">
        <f>IF(Table146810[[#This Row],[In stock]] &gt;= Table146810[[#This Row],[Total quantity]],"YES","NO")</f>
        <v>YES</v>
      </c>
    </row>
    <row r="12" spans="1:14" x14ac:dyDescent="0.25">
      <c r="A12" s="40" t="s">
        <v>544</v>
      </c>
      <c r="B12" s="40" t="str">
        <f>VLOOKUP(Table146810[[#This Row],[Man. Number]],Articles!A:F,COLUMN(Articles!$D$1)-COLUMN(Articles!$A$1)+1,FALSE)</f>
        <v>Connecteur carte-à-carte, male, Angle Droit, 2.54 mm, 40 Contact(s)</v>
      </c>
      <c r="C12" s="40" t="str">
        <f>VLOOKUP(Table146810[[#This Row],[Man. Number]],Articles!A:F,COLUMN(Articles!$C$1)-COLUMN(Articles!$A$1)+1,FALSE)</f>
        <v>None</v>
      </c>
      <c r="D12" s="4" t="s">
        <v>1029</v>
      </c>
      <c r="E12" s="4">
        <f>8/40</f>
        <v>0.2</v>
      </c>
      <c r="F12" s="40">
        <f>VLOOKUP(Table146810[[#This Row],[Man. Number]],Articles!A:F,COLUMN(Articles!$F$1)-COLUMN(Articles!$A$1)+1,FALSE)</f>
        <v>9.65</v>
      </c>
      <c r="G12" s="40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40">
        <f>Table146810[[#This Row],[Quantity]]*$M$1</f>
        <v>0.2</v>
      </c>
      <c r="J12" s="40" t="str">
        <f>IF(Table146810[[#This Row],[In stock]] &gt;= Table146810[[#This Row],[Total quantity]],"YES","NO")</f>
        <v>YES</v>
      </c>
    </row>
    <row r="13" spans="1:14" x14ac:dyDescent="0.25">
      <c r="A13" s="40" t="s">
        <v>211</v>
      </c>
      <c r="B13" s="40" t="str">
        <f>VLOOKUP(Table146810[[#This Row],[Man. Number]],Articles!A:F,COLUMN(Articles!$D$1)-COLUMN(Articles!$A$1)+1,FALSE)</f>
        <v>Red 628nm LED Indication - Discrete 1.8V 0603 (1608 Metric)</v>
      </c>
      <c r="C13" s="40" t="str">
        <f>VLOOKUP(Table146810[[#This Row],[Man. Number]],Articles!A:F,COLUMN(Articles!$C$1)-COLUMN(Articles!$A$1)+1,FALSE)</f>
        <v>D001-049</v>
      </c>
      <c r="D13" s="4" t="s">
        <v>276</v>
      </c>
      <c r="E13" s="4">
        <v>1</v>
      </c>
      <c r="F13" s="40">
        <f>VLOOKUP(Table146810[[#This Row],[Man. Number]],Articles!A:F,COLUMN(Articles!$F$1)-COLUMN(Articles!$A$1)+1,FALSE)</f>
        <v>6</v>
      </c>
      <c r="G13" s="40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40">
        <f>Table146810[[#This Row],[Quantity]]*$M$1</f>
        <v>1</v>
      </c>
      <c r="J13" s="40" t="str">
        <f>IF(Table146810[[#This Row],[In stock]] &gt;= Table146810[[#This Row],[Total quantity]],"YES","NO")</f>
        <v>YES</v>
      </c>
    </row>
    <row r="14" spans="1:14" x14ac:dyDescent="0.25">
      <c r="A14" s="40" t="s">
        <v>127</v>
      </c>
      <c r="B14" s="40" t="str">
        <f>VLOOKUP(Table146810[[#This Row],[Man. Number]],Articles!A:F,COLUMN(Articles!$D$1)-COLUMN(Articles!$A$1)+1,FALSE)</f>
        <v>LED RGB CLEAR 3528 SMD</v>
      </c>
      <c r="C14" s="40" t="str">
        <f>VLOOKUP(Table146810[[#This Row],[Man. Number]],Articles!A:F,COLUMN(Articles!$C$1)-COLUMN(Articles!$A$1)+1,FALSE)</f>
        <v>D001-051</v>
      </c>
      <c r="D14" s="4" t="s">
        <v>593</v>
      </c>
      <c r="E14" s="4">
        <v>1</v>
      </c>
      <c r="F14" s="40">
        <f>VLOOKUP(Table146810[[#This Row],[Man. Number]],Articles!A:F,COLUMN(Articles!$F$1)-COLUMN(Articles!$A$1)+1,FALSE)</f>
        <v>3</v>
      </c>
      <c r="G14" s="40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40">
        <f>Table146810[[#This Row],[Quantity]]*$M$1</f>
        <v>1</v>
      </c>
      <c r="J14" s="40" t="str">
        <f>IF(Table146810[[#This Row],[In stock]] &gt;= Table146810[[#This Row],[Total quantity]],"YES","NO")</f>
        <v>YES</v>
      </c>
    </row>
    <row r="15" spans="1:14" x14ac:dyDescent="0.25">
      <c r="A15" s="40" t="s">
        <v>1014</v>
      </c>
      <c r="B15" s="40" t="str">
        <f>VLOOKUP(Table146810[[#This Row],[Man. Number]],Articles!A:F,COLUMN(Articles!$D$1)-COLUMN(Articles!$A$1)+1,FALSE)</f>
        <v>RES SMD 1M OHM 5% 1/4W 0603</v>
      </c>
      <c r="C15" s="40" t="str">
        <f>VLOOKUP(Table146810[[#This Row],[Man. Number]],Articles!A:F,COLUMN(Articles!$C$1)-COLUMN(Articles!$A$1)+1,FALSE)</f>
        <v>D100-007</v>
      </c>
      <c r="D15" s="4" t="s">
        <v>295</v>
      </c>
      <c r="E15" s="4">
        <v>1</v>
      </c>
      <c r="F15" s="4">
        <f>VLOOKUP(Table146810[[#This Row],[Man. Number]],Articles!A:F,COLUMN(Articles!$F$1)-COLUMN(Articles!$A$1)+1,FALSE)</f>
        <v>8</v>
      </c>
      <c r="G15" s="40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40">
        <f>Table146810[[#This Row],[Quantity]]*$M$1</f>
        <v>1</v>
      </c>
      <c r="J15" s="40" t="str">
        <f>IF(Table146810[[#This Row],[In stock]] &gt;= Table146810[[#This Row],[Total quantity]],"YES","NO")</f>
        <v>YES</v>
      </c>
    </row>
    <row r="16" spans="1:14" x14ac:dyDescent="0.25">
      <c r="A16" s="40" t="s">
        <v>1002</v>
      </c>
      <c r="B16" s="40" t="str">
        <f>VLOOKUP(Table146810[[#This Row],[Man. Number]],Articles!A:F,COLUMN(Articles!$D$1)-COLUMN(Articles!$A$1)+1,FALSE)</f>
        <v>RES SMD 27K OHM 5% 1/4W 0603</v>
      </c>
      <c r="C16" s="40" t="str">
        <f>VLOOKUP(Table146810[[#This Row],[Man. Number]],Articles!A:F,COLUMN(Articles!$C$1)-COLUMN(Articles!$A$1)+1,FALSE)</f>
        <v>D100-001</v>
      </c>
      <c r="D16" s="4" t="s">
        <v>287</v>
      </c>
      <c r="E16" s="4">
        <v>1</v>
      </c>
      <c r="F16" s="4">
        <f>VLOOKUP(Table146810[[#This Row],[Man. Number]],Articles!A:F,COLUMN(Articles!$F$1)-COLUMN(Articles!$A$1)+1,FALSE)</f>
        <v>7</v>
      </c>
      <c r="G16" s="40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40">
        <f>Table146810[[#This Row],[Quantity]]*$M$1</f>
        <v>1</v>
      </c>
      <c r="J16" s="40" t="str">
        <f>IF(Table146810[[#This Row],[In stock]] &gt;= Table146810[[#This Row],[Total quantity]],"YES","NO")</f>
        <v>YES</v>
      </c>
    </row>
    <row r="17" spans="1:10" x14ac:dyDescent="0.25">
      <c r="A17" s="40" t="s">
        <v>1011</v>
      </c>
      <c r="B17" s="40" t="str">
        <f>VLOOKUP(Table146810[[#This Row],[Man. Number]],Articles!A:F,COLUMN(Articles!$D$1)-COLUMN(Articles!$A$1)+1,FALSE)</f>
        <v>RES SMD 180 OHM 5% 1/4W 0603</v>
      </c>
      <c r="C17" s="40" t="str">
        <f>VLOOKUP(Table146810[[#This Row],[Man. Number]],Articles!A:F,COLUMN(Articles!$C$1)-COLUMN(Articles!$A$1)+1,FALSE)</f>
        <v>D100-008</v>
      </c>
      <c r="D17" s="4" t="s">
        <v>597</v>
      </c>
      <c r="E17" s="4">
        <v>3</v>
      </c>
      <c r="F17" s="4">
        <f>VLOOKUP(Table146810[[#This Row],[Man. Number]],Articles!A:F,COLUMN(Articles!$F$1)-COLUMN(Articles!$A$1)+1,FALSE)</f>
        <v>7</v>
      </c>
      <c r="G17" s="40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40">
        <f>Table146810[[#This Row],[Quantity]]*$M$1</f>
        <v>3</v>
      </c>
      <c r="J17" s="40" t="str">
        <f>IF(Table146810[[#This Row],[In stock]] &gt;= Table146810[[#This Row],[Total quantity]],"YES","NO")</f>
        <v>YES</v>
      </c>
    </row>
    <row r="18" spans="1:10" x14ac:dyDescent="0.25">
      <c r="A18" s="40" t="s">
        <v>972</v>
      </c>
      <c r="B18" s="40" t="str">
        <f>VLOOKUP(Table146810[[#This Row],[Man. Number]],Articles!A:F,COLUMN(Articles!$D$1)-COLUMN(Articles!$A$1)+1,FALSE)</f>
        <v>RES SMD 1K OHM 5% 1/4W 0603</v>
      </c>
      <c r="C18" s="40" t="str">
        <f>VLOOKUP(Table146810[[#This Row],[Man. Number]],Articles!A:F,COLUMN(Articles!$C$1)-COLUMN(Articles!$A$1)+1,FALSE)</f>
        <v>D100-002</v>
      </c>
      <c r="D18" s="4" t="s">
        <v>532</v>
      </c>
      <c r="E18" s="4">
        <v>5</v>
      </c>
      <c r="F18" s="4">
        <f>VLOOKUP(Table146810[[#This Row],[Man. Number]],Articles!A:F,COLUMN(Articles!$F$1)-COLUMN(Articles!$A$1)+1,FALSE)</f>
        <v>90</v>
      </c>
      <c r="G18" s="40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40">
        <f>Table146810[[#This Row],[Quantity]]*$M$1</f>
        <v>5</v>
      </c>
      <c r="J18" s="40" t="str">
        <f>IF(Table146810[[#This Row],[In stock]] &gt;= Table146810[[#This Row],[Total quantity]],"YES","NO")</f>
        <v>YES</v>
      </c>
    </row>
    <row r="19" spans="1:10" x14ac:dyDescent="0.25">
      <c r="A19" s="40" t="s">
        <v>1008</v>
      </c>
      <c r="B19" s="40" t="str">
        <f>VLOOKUP(Table146810[[#This Row],[Man. Number]],Articles!A:F,COLUMN(Articles!$D$1)-COLUMN(Articles!$A$1)+1,FALSE)</f>
        <v>RES SMD 270 OHM 5% 1/4W 0603</v>
      </c>
      <c r="C19" s="40" t="str">
        <f>VLOOKUP(Table146810[[#This Row],[Man. Number]],Articles!A:F,COLUMN(Articles!$C$1)-COLUMN(Articles!$A$1)+1,FALSE)</f>
        <v>D100-009</v>
      </c>
      <c r="D19" s="4" t="s">
        <v>970</v>
      </c>
      <c r="E19" s="4">
        <v>1</v>
      </c>
      <c r="F19" s="40">
        <f>VLOOKUP(Table146810[[#This Row],[Man. Number]],Articles!A:F,COLUMN(Articles!$F$1)-COLUMN(Articles!$A$1)+1,FALSE)</f>
        <v>7</v>
      </c>
      <c r="G19" s="40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40">
        <f>Table146810[[#This Row],[Quantity]]*$M$1</f>
        <v>1</v>
      </c>
      <c r="J19" s="40" t="str">
        <f>IF(Table146810[[#This Row],[In stock]] &gt;= Table146810[[#This Row],[Total quantity]],"YES","NO")</f>
        <v>YES</v>
      </c>
    </row>
    <row r="20" spans="1:10" x14ac:dyDescent="0.25">
      <c r="A20" s="40" t="s">
        <v>213</v>
      </c>
      <c r="B20" s="40" t="str">
        <f>VLOOKUP(Table146810[[#This Row],[Man. Number]],Articles!A:F,COLUMN(Articles!$D$1)-COLUMN(Articles!$A$1)+1,FALSE)</f>
        <v>SWITCH SLIDE SPDT 300MA 125V</v>
      </c>
      <c r="C20" s="40" t="str">
        <f>VLOOKUP(Table146810[[#This Row],[Man. Number]],Articles!A:F,COLUMN(Articles!$C$1)-COLUMN(Articles!$A$1)+1,FALSE)</f>
        <v>None</v>
      </c>
      <c r="D20" s="4" t="s">
        <v>592</v>
      </c>
      <c r="E20" s="4">
        <v>1</v>
      </c>
      <c r="F20" s="40">
        <f>VLOOKUP(Table146810[[#This Row],[Man. Number]],Articles!A:F,COLUMN(Articles!$F$1)-COLUMN(Articles!$A$1)+1,FALSE)</f>
        <v>2</v>
      </c>
      <c r="G20" s="40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40">
        <f>Table146810[[#This Row],[Quantity]]*$M$1</f>
        <v>1</v>
      </c>
      <c r="J20" s="40" t="str">
        <f>IF(Table146810[[#This Row],[In stock]] &gt;= Table146810[[#This Row],[Total quantity]],"YES","NO")</f>
        <v>YES</v>
      </c>
    </row>
    <row r="21" spans="1:10" x14ac:dyDescent="0.25">
      <c r="A21" s="40" t="s">
        <v>467</v>
      </c>
      <c r="B21" s="40" t="str">
        <f>VLOOKUP(Table146810[[#This Row],[Man. Number]],Articles!A:F,COLUMN(Articles!$D$1)-COLUMN(Articles!$A$1)+1,FALSE)</f>
        <v>General ISM &lt; 1GHz  Transceiver Module 868MHz Integrated, Trace Surface Mount</v>
      </c>
      <c r="C21" s="40" t="str">
        <f>VLOOKUP(Table146810[[#This Row],[Man. Number]],Articles!A:F,COLUMN(Articles!$C$1)-COLUMN(Articles!$A$1)+1,FALSE)</f>
        <v>None</v>
      </c>
      <c r="D21" s="4" t="s">
        <v>275</v>
      </c>
      <c r="E21" s="4">
        <v>1</v>
      </c>
      <c r="F21" s="4">
        <f>VLOOKUP(Table146810[[#This Row],[Man. Number]],Articles!A:F,COLUMN(Articles!$F$1)-COLUMN(Articles!$A$1)+1,FALSE)</f>
        <v>0</v>
      </c>
      <c r="G21" s="40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40">
        <f>Table146810[[#This Row],[Quantity]]*$M$1</f>
        <v>1</v>
      </c>
      <c r="J21" s="40" t="str">
        <f>IF(Table146810[[#This Row],[In stock]] &gt;= Table146810[[#This Row],[Total quantity]],"YES","NO")</f>
        <v>NO</v>
      </c>
    </row>
    <row r="22" spans="1:10" x14ac:dyDescent="0.25">
      <c r="A22" s="40" t="s">
        <v>24</v>
      </c>
      <c r="B22" s="40" t="str">
        <f>VLOOKUP(Table146810[[#This Row],[Man. Number]],Articles!A:F,COLUMN(Articles!$D$1)-COLUMN(Articles!$A$1)+1,FALSE)</f>
        <v>Régulateur LDO, Fixe, Entrée 1.7 V à 5,5 V, Sortie 3.3 V/300 mA, Chute de 150 mV</v>
      </c>
      <c r="C22" s="40" t="str">
        <f>VLOOKUP(Table146810[[#This Row],[Man. Number]],Articles!A:F,COLUMN(Articles!$C$1)-COLUMN(Articles!$A$1)+1,FALSE)</f>
        <v>D001-015</v>
      </c>
      <c r="D22" s="4" t="s">
        <v>277</v>
      </c>
      <c r="E22" s="4">
        <v>1</v>
      </c>
      <c r="F22" s="4">
        <f>VLOOKUP(Table146810[[#This Row],[Man. Number]],Articles!A:F,COLUMN(Articles!$F$1)-COLUMN(Articles!$A$1)+1,FALSE)</f>
        <v>6</v>
      </c>
      <c r="G22" s="40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40">
        <f>Table146810[[#This Row],[Quantity]]*$M$1</f>
        <v>1</v>
      </c>
      <c r="J22" s="40" t="str">
        <f>IF(Table146810[[#This Row],[In stock]] &gt;= Table146810[[#This Row],[Total quantity]],"YES","NO")</f>
        <v>YES</v>
      </c>
    </row>
    <row r="23" spans="1:10" x14ac:dyDescent="0.25">
      <c r="A23" s="40" t="s">
        <v>461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278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40" t="s">
        <v>469</v>
      </c>
      <c r="B24" s="40" t="str">
        <f>VLOOKUP(Table146810[[#This Row],[Man. Number]],Articles!A:F,COLUMN(Articles!$D$1)-COLUMN(Articles!$A$1)+1,FALSE)</f>
        <v>IC MCU 8BIT 64KB FLASH 44TQFP</v>
      </c>
      <c r="C24" s="40" t="str">
        <f>VLOOKUP(Table146810[[#This Row],[Man. Number]],Articles!A:F,COLUMN(Articles!$C$1)-COLUMN(Articles!$A$1)+1,FALSE)</f>
        <v>D001-028</v>
      </c>
      <c r="D24" s="4" t="s">
        <v>294</v>
      </c>
      <c r="E24" s="4">
        <v>1</v>
      </c>
      <c r="F24" s="4">
        <f>VLOOKUP(Table146810[[#This Row],[Man. Number]],Articles!A:F,COLUMN(Articles!$F$1)-COLUMN(Articles!$A$1)+1,FALSE)</f>
        <v>1</v>
      </c>
      <c r="G24" s="40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40">
        <f>Table146810[[#This Row],[Quantity]]*$M$1</f>
        <v>1</v>
      </c>
      <c r="J24" s="40" t="str">
        <f>IF(Table146810[[#This Row],[In stock]] &gt;= Table146810[[#This Row],[Total quantity]],"YES","NO")</f>
        <v>YES</v>
      </c>
    </row>
    <row r="25" spans="1:10" x14ac:dyDescent="0.25">
      <c r="A25" s="40" t="s">
        <v>115</v>
      </c>
      <c r="B25" s="40" t="str">
        <f>VLOOKUP(Table146810[[#This Row],[Man. Number]],Articles!A:F,COLUMN(Articles!$D$1)-COLUMN(Articles!$A$1)+1,FALSE)</f>
        <v>Réseau de transistors bipolaires, NPN, 50 V, 500 mA</v>
      </c>
      <c r="C25" s="40" t="str">
        <f>VLOOKUP(Table146810[[#This Row],[Man. Number]],Articles!A:F,COLUMN(Articles!$C$1)-COLUMN(Articles!$A$1)+1,FALSE)</f>
        <v>D001-002</v>
      </c>
      <c r="D25" s="4" t="s">
        <v>291</v>
      </c>
      <c r="E25" s="4">
        <v>1</v>
      </c>
      <c r="F25" s="40">
        <f>VLOOKUP(Table146810[[#This Row],[Man. Number]],Articles!A:F,COLUMN(Articles!$F$1)-COLUMN(Articles!$A$1)+1,FALSE)</f>
        <v>10</v>
      </c>
      <c r="G25" s="40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40">
        <f>Table146810[[#This Row],[Quantity]]*$M$1</f>
        <v>1</v>
      </c>
      <c r="J25" s="40" t="str">
        <f>IF(Table146810[[#This Row],[In stock]] &gt;= Table146810[[#This Row],[Total quantity]],"YES","NO")</f>
        <v>YES</v>
      </c>
    </row>
    <row r="26" spans="1:10" x14ac:dyDescent="0.25">
      <c r="A26" s="40" t="s">
        <v>464</v>
      </c>
      <c r="B26" s="40" t="str">
        <f>VLOOKUP(Table146810[[#This Row],[Man. Number]],Articles!A:F,COLUMN(Articles!$D$1)-COLUMN(Articles!$A$1)+1,FALSE)</f>
        <v>MEMS OSC XO 12.0000MHZ CMOS SMD</v>
      </c>
      <c r="C26" s="40" t="str">
        <f>VLOOKUP(Table146810[[#This Row],[Man. Number]],Articles!A:F,COLUMN(Articles!$C$1)-COLUMN(Articles!$A$1)+1,FALSE)</f>
        <v>D001-006</v>
      </c>
      <c r="D26" s="4" t="s">
        <v>531</v>
      </c>
      <c r="E26" s="4">
        <v>1</v>
      </c>
      <c r="F26" s="4">
        <f>VLOOKUP(Table146810[[#This Row],[Man. Number]],Articles!A:F,COLUMN(Articles!$F$1)-COLUMN(Articles!$A$1)+1,FALSE)</f>
        <v>3</v>
      </c>
      <c r="G26" s="40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40">
        <f>Table146810[[#This Row],[Quantity]]*$M$1</f>
        <v>1</v>
      </c>
      <c r="J26" s="40" t="str">
        <f>IF(Table146810[[#This Row],[In stock]] &gt;= Table146810[[#This Row],[Total quantity]],"YES","NO")</f>
        <v>YES</v>
      </c>
    </row>
    <row r="27" spans="1:10" x14ac:dyDescent="0.25">
      <c r="A27" s="40" t="s">
        <v>449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24" priority="7" operator="containsText" text="NO">
      <formula>NOT(ISERROR(SEARCH("NO",G1)))</formula>
    </cfRule>
  </conditionalFormatting>
  <conditionalFormatting sqref="A1:A1048576">
    <cfRule type="duplicateValues" dxfId="23" priority="5"/>
  </conditionalFormatting>
  <conditionalFormatting sqref="N1">
    <cfRule type="cellIs" dxfId="22" priority="2" stopIfTrue="1" operator="equal">
      <formula>"Locked"</formula>
    </cfRule>
    <cfRule type="cellIs" dxfId="21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1109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1215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276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1002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295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972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1214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990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1206</v>
      </c>
      <c r="E6" s="4">
        <v>1</v>
      </c>
      <c r="F6" s="4">
        <f>VLOOKUP(Table146813[[#This Row],[Man. Number]],Articles!A:F,COLUMN(Articles!$F$1)-COLUMN(Articles!$A$1)+1,FALSE)</f>
        <v>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40" t="s">
        <v>1216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275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277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40" t="s">
        <v>429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1238</v>
      </c>
      <c r="E9" s="4">
        <f>(2*9)/36</f>
        <v>0.5</v>
      </c>
      <c r="F9" s="4">
        <f>VLOOKUP(Table146813[[#This Row],[Man. Number]],Articles!A:F,COLUMN(Articles!$F$1)-COLUMN(Articles!$A$1)+1,FALSE)</f>
        <v>1.3611111111111112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1100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1213</v>
      </c>
      <c r="E10" s="4">
        <f>(5+2*9)/36</f>
        <v>0.63888888888888884</v>
      </c>
      <c r="F10" s="4">
        <f>VLOOKUP(Table146813[[#This Row],[Man. Number]],Articles!A:F,COLUMN(Articles!$F$1)-COLUMN(Articles!$A$1)+1,FALSE)</f>
        <v>1.3611111111111112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449</v>
      </c>
      <c r="G11" s="4"/>
      <c r="H11" s="40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20" priority="8" operator="containsText" text="NO">
      <formula>NOT(ISERROR(SEARCH("NO",G1)))</formula>
    </cfRule>
  </conditionalFormatting>
  <conditionalFormatting sqref="A11:A1048576 A1 A4:A5 A7:A8">
    <cfRule type="duplicateValues" dxfId="19" priority="7"/>
  </conditionalFormatting>
  <conditionalFormatting sqref="N1">
    <cfRule type="cellIs" dxfId="18" priority="5" stopIfTrue="1" operator="equal">
      <formula>"Locked"</formula>
    </cfRule>
    <cfRule type="cellIs" dxfId="17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327</v>
      </c>
      <c r="D1" s="2" t="s">
        <v>333</v>
      </c>
      <c r="E1" s="2" t="s">
        <v>124</v>
      </c>
      <c r="F1" s="2" t="s">
        <v>3</v>
      </c>
      <c r="G1" s="6" t="s">
        <v>151</v>
      </c>
      <c r="H1" s="6" t="s">
        <v>1104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1096</v>
      </c>
    </row>
    <row r="2" spans="1:14" x14ac:dyDescent="0.25">
      <c r="A2" s="3" t="s">
        <v>331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332</v>
      </c>
      <c r="E2" s="4" t="s">
        <v>330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449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16" priority="5" operator="containsText" text="NO">
      <formula>NOT(ISERROR(SEARCH("NO",G1)))</formula>
    </cfRule>
  </conditionalFormatting>
  <conditionalFormatting sqref="A1:A1048576">
    <cfRule type="duplicateValues" dxfId="15" priority="3"/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1398</v>
      </c>
      <c r="B1" t="s">
        <v>1137</v>
      </c>
      <c r="C1" t="s">
        <v>547</v>
      </c>
      <c r="D1" t="s">
        <v>335</v>
      </c>
      <c r="E1" t="s">
        <v>194</v>
      </c>
      <c r="F1" t="s">
        <v>1186</v>
      </c>
      <c r="G1" t="s">
        <v>419</v>
      </c>
      <c r="H1" t="s">
        <v>1209</v>
      </c>
    </row>
    <row r="3" spans="1:8" s="39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3">
        <v>196</v>
      </c>
      <c r="B7" t="s">
        <v>1397</v>
      </c>
      <c r="C7" t="s">
        <v>1398</v>
      </c>
    </row>
    <row r="8" spans="1:8" x14ac:dyDescent="0.25">
      <c r="A8" s="53">
        <v>197</v>
      </c>
      <c r="B8" t="s">
        <v>1136</v>
      </c>
      <c r="C8" t="s">
        <v>1137</v>
      </c>
    </row>
    <row r="9" spans="1:8" x14ac:dyDescent="0.25">
      <c r="A9">
        <v>198</v>
      </c>
      <c r="B9" t="s">
        <v>546</v>
      </c>
      <c r="C9" t="s">
        <v>547</v>
      </c>
    </row>
    <row r="10" spans="1:8" x14ac:dyDescent="0.25">
      <c r="A10">
        <v>199</v>
      </c>
      <c r="B10" t="s">
        <v>334</v>
      </c>
      <c r="C10" t="s">
        <v>335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3">
        <v>398</v>
      </c>
      <c r="B12" t="s">
        <v>1185</v>
      </c>
      <c r="C12" t="s">
        <v>1186</v>
      </c>
    </row>
    <row r="13" spans="1:8" x14ac:dyDescent="0.25">
      <c r="A13">
        <v>399</v>
      </c>
      <c r="B13" t="s">
        <v>418</v>
      </c>
      <c r="C13" t="s">
        <v>419</v>
      </c>
    </row>
    <row r="14" spans="1:8" x14ac:dyDescent="0.25">
      <c r="A14" s="53">
        <v>499</v>
      </c>
      <c r="B14" t="s">
        <v>1210</v>
      </c>
      <c r="C14" t="s">
        <v>1209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7" t="s">
        <v>329</v>
      </c>
      <c r="B2" s="77"/>
      <c r="C2" s="77"/>
      <c r="D2" s="77"/>
      <c r="F2" s="78" t="str">
        <f>IF(ISNUMBER(C5),"","Man. Number must be set")</f>
        <v/>
      </c>
      <c r="G2" s="78"/>
      <c r="H2" s="78"/>
    </row>
    <row r="4" spans="1:23" x14ac:dyDescent="0.25">
      <c r="A4" s="15" t="s">
        <v>124</v>
      </c>
      <c r="B4" s="15" t="s">
        <v>238</v>
      </c>
      <c r="C4" s="15" t="s">
        <v>967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237</v>
      </c>
      <c r="O4" s="14" t="s">
        <v>326</v>
      </c>
      <c r="P4" t="s">
        <v>124</v>
      </c>
      <c r="Q4" t="s">
        <v>238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237</v>
      </c>
    </row>
    <row r="5" spans="1:23" x14ac:dyDescent="0.25">
      <c r="A5" s="13" t="s">
        <v>968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236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436</v>
      </c>
      <c r="P8" t="s">
        <v>124</v>
      </c>
      <c r="Q8" t="s">
        <v>238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237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969</v>
      </c>
      <c r="P11" s="48" t="s">
        <v>124</v>
      </c>
      <c r="Q11" s="48" t="s">
        <v>238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237</v>
      </c>
    </row>
    <row r="12" spans="1:23" x14ac:dyDescent="0.25">
      <c r="P12" s="48" t="s">
        <v>968</v>
      </c>
      <c r="Q12" s="48">
        <v>4</v>
      </c>
      <c r="R12" s="48">
        <v>3</v>
      </c>
      <c r="S12" s="48">
        <v>5</v>
      </c>
      <c r="T12" s="48" t="s">
        <v>75</v>
      </c>
      <c r="U12" s="48">
        <v>6</v>
      </c>
      <c r="V12" s="48">
        <v>9</v>
      </c>
      <c r="W12" s="48">
        <v>2</v>
      </c>
    </row>
    <row r="14" spans="1:23" x14ac:dyDescent="0.25">
      <c r="O14" s="14" t="s">
        <v>1530</v>
      </c>
      <c r="P14" s="71" t="s">
        <v>124</v>
      </c>
      <c r="Q14" s="71" t="s">
        <v>238</v>
      </c>
      <c r="R14" s="71" t="s">
        <v>0</v>
      </c>
      <c r="S14" s="71" t="s">
        <v>6</v>
      </c>
      <c r="T14" s="71" t="s">
        <v>4</v>
      </c>
      <c r="U14" s="71" t="s">
        <v>2</v>
      </c>
      <c r="V14" s="71" t="s">
        <v>8</v>
      </c>
      <c r="W14" s="71" t="s">
        <v>237</v>
      </c>
    </row>
    <row r="15" spans="1:23" x14ac:dyDescent="0.25">
      <c r="P15" s="71" t="s">
        <v>968</v>
      </c>
      <c r="Q15" s="71">
        <v>4</v>
      </c>
      <c r="R15" s="71">
        <v>3</v>
      </c>
      <c r="S15" s="71">
        <v>5</v>
      </c>
      <c r="T15" s="71" t="s">
        <v>75</v>
      </c>
      <c r="U15" s="71">
        <v>6</v>
      </c>
      <c r="V15" s="71">
        <v>9</v>
      </c>
      <c r="W15" s="71">
        <v>2</v>
      </c>
    </row>
  </sheetData>
  <mergeCells count="2">
    <mergeCell ref="A2:D2"/>
    <mergeCell ref="F2:H2"/>
  </mergeCells>
  <conditionalFormatting sqref="F2:H2">
    <cfRule type="cellIs" dxfId="12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43"/>
  <sheetViews>
    <sheetView workbookViewId="0">
      <selection activeCell="D15" sqref="D15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1531</v>
      </c>
      <c r="B1" t="s">
        <v>1532</v>
      </c>
      <c r="C1" t="s">
        <v>1464</v>
      </c>
      <c r="D1" t="s">
        <v>1387</v>
      </c>
      <c r="E1" t="s">
        <v>6</v>
      </c>
      <c r="F1" t="s">
        <v>2</v>
      </c>
      <c r="G1" t="s">
        <v>1533</v>
      </c>
      <c r="H1" t="s">
        <v>1534</v>
      </c>
      <c r="I1" t="s">
        <v>1465</v>
      </c>
      <c r="J1" t="s">
        <v>1535</v>
      </c>
      <c r="K1" t="s">
        <v>1536</v>
      </c>
      <c r="L1" t="s">
        <v>1537</v>
      </c>
      <c r="M1" t="s">
        <v>1538</v>
      </c>
      <c r="N1" t="s">
        <v>1539</v>
      </c>
      <c r="O1" t="s">
        <v>1540</v>
      </c>
      <c r="P1" t="s">
        <v>1541</v>
      </c>
      <c r="Q1" t="s">
        <v>1542</v>
      </c>
      <c r="R1" t="s">
        <v>1543</v>
      </c>
      <c r="S1" t="s">
        <v>1544</v>
      </c>
      <c r="T1" t="s">
        <v>1545</v>
      </c>
      <c r="U1" t="s">
        <v>1546</v>
      </c>
      <c r="V1" t="s">
        <v>1547</v>
      </c>
      <c r="W1" t="s">
        <v>1548</v>
      </c>
      <c r="X1" t="s">
        <v>1549</v>
      </c>
      <c r="Y1" t="s">
        <v>1550</v>
      </c>
      <c r="Z1" t="s">
        <v>1551</v>
      </c>
      <c r="AA1" t="s">
        <v>1552</v>
      </c>
    </row>
    <row r="2" spans="1:27" x14ac:dyDescent="0.25">
      <c r="A2" t="s">
        <v>1553</v>
      </c>
      <c r="B2" t="s">
        <v>1554</v>
      </c>
      <c r="C2" t="s">
        <v>1466</v>
      </c>
      <c r="D2" t="s">
        <v>1467</v>
      </c>
      <c r="E2" t="s">
        <v>594</v>
      </c>
      <c r="F2" t="s">
        <v>1468</v>
      </c>
      <c r="G2">
        <v>382070</v>
      </c>
      <c r="H2">
        <v>0</v>
      </c>
      <c r="I2" t="s">
        <v>1469</v>
      </c>
      <c r="J2">
        <v>0</v>
      </c>
      <c r="K2">
        <v>1</v>
      </c>
      <c r="L2" t="s">
        <v>1555</v>
      </c>
      <c r="M2" t="s">
        <v>1556</v>
      </c>
      <c r="N2" t="s">
        <v>1557</v>
      </c>
      <c r="O2" t="s">
        <v>1558</v>
      </c>
      <c r="P2" t="s">
        <v>1559</v>
      </c>
      <c r="Q2" t="s">
        <v>1560</v>
      </c>
      <c r="R2" t="s">
        <v>1561</v>
      </c>
      <c r="S2" t="s">
        <v>1562</v>
      </c>
      <c r="T2" t="s">
        <v>1563</v>
      </c>
      <c r="U2" t="s">
        <v>1564</v>
      </c>
      <c r="V2" t="s">
        <v>1565</v>
      </c>
      <c r="W2">
        <v>805</v>
      </c>
      <c r="X2" t="s">
        <v>1566</v>
      </c>
      <c r="Y2" t="s">
        <v>1567</v>
      </c>
      <c r="Z2">
        <v>2</v>
      </c>
      <c r="AA2" t="s">
        <v>58</v>
      </c>
    </row>
    <row r="3" spans="1:27" x14ac:dyDescent="0.25">
      <c r="A3" t="s">
        <v>1553</v>
      </c>
      <c r="B3" t="s">
        <v>1554</v>
      </c>
      <c r="C3" t="s">
        <v>1470</v>
      </c>
      <c r="D3" t="s">
        <v>1471</v>
      </c>
      <c r="E3" t="s">
        <v>594</v>
      </c>
      <c r="F3" t="s">
        <v>1472</v>
      </c>
      <c r="G3">
        <v>217745</v>
      </c>
      <c r="H3">
        <v>0</v>
      </c>
      <c r="I3" t="s">
        <v>1469</v>
      </c>
      <c r="J3">
        <v>0</v>
      </c>
      <c r="K3">
        <v>1</v>
      </c>
      <c r="L3" t="s">
        <v>1555</v>
      </c>
      <c r="M3" t="s">
        <v>1556</v>
      </c>
      <c r="N3" t="s">
        <v>1557</v>
      </c>
      <c r="O3" t="s">
        <v>1568</v>
      </c>
      <c r="P3" t="s">
        <v>1559</v>
      </c>
      <c r="Q3" t="s">
        <v>1560</v>
      </c>
      <c r="R3" t="s">
        <v>1561</v>
      </c>
      <c r="S3" t="s">
        <v>1562</v>
      </c>
      <c r="T3" t="s">
        <v>1563</v>
      </c>
      <c r="U3" t="s">
        <v>1564</v>
      </c>
      <c r="V3" t="s">
        <v>1565</v>
      </c>
      <c r="W3">
        <v>805</v>
      </c>
      <c r="X3" t="s">
        <v>1566</v>
      </c>
      <c r="Y3" t="s">
        <v>1567</v>
      </c>
      <c r="Z3">
        <v>2</v>
      </c>
      <c r="AA3" t="s">
        <v>58</v>
      </c>
    </row>
    <row r="4" spans="1:27" x14ac:dyDescent="0.25">
      <c r="A4" t="s">
        <v>1553</v>
      </c>
      <c r="B4" t="s">
        <v>1554</v>
      </c>
      <c r="C4" t="s">
        <v>1473</v>
      </c>
      <c r="D4" t="s">
        <v>1474</v>
      </c>
      <c r="E4" t="s">
        <v>594</v>
      </c>
      <c r="F4" t="s">
        <v>1475</v>
      </c>
      <c r="G4">
        <v>137268</v>
      </c>
      <c r="H4">
        <v>0</v>
      </c>
      <c r="I4" t="s">
        <v>1469</v>
      </c>
      <c r="J4">
        <v>0</v>
      </c>
      <c r="K4">
        <v>1</v>
      </c>
      <c r="L4" t="s">
        <v>1555</v>
      </c>
      <c r="M4" t="s">
        <v>1556</v>
      </c>
      <c r="N4" t="s">
        <v>1557</v>
      </c>
      <c r="O4" t="s">
        <v>1569</v>
      </c>
      <c r="P4" t="s">
        <v>1559</v>
      </c>
      <c r="Q4" t="s">
        <v>1560</v>
      </c>
      <c r="R4" t="s">
        <v>1561</v>
      </c>
      <c r="S4" t="s">
        <v>1562</v>
      </c>
      <c r="T4" t="s">
        <v>1563</v>
      </c>
      <c r="U4" t="s">
        <v>1564</v>
      </c>
      <c r="V4" t="s">
        <v>1565</v>
      </c>
      <c r="W4">
        <v>805</v>
      </c>
      <c r="X4" t="s">
        <v>1566</v>
      </c>
      <c r="Y4" t="s">
        <v>1567</v>
      </c>
      <c r="Z4">
        <v>2</v>
      </c>
      <c r="AA4" t="s">
        <v>58</v>
      </c>
    </row>
    <row r="5" spans="1:27" x14ac:dyDescent="0.25">
      <c r="A5" t="s">
        <v>1553</v>
      </c>
      <c r="B5" t="s">
        <v>1554</v>
      </c>
      <c r="C5" t="s">
        <v>1476</v>
      </c>
      <c r="D5" t="s">
        <v>1477</v>
      </c>
      <c r="E5" t="s">
        <v>594</v>
      </c>
      <c r="F5" t="s">
        <v>1478</v>
      </c>
      <c r="G5">
        <v>120354</v>
      </c>
      <c r="H5">
        <v>0</v>
      </c>
      <c r="I5" t="s">
        <v>1469</v>
      </c>
      <c r="J5">
        <v>0</v>
      </c>
      <c r="K5">
        <v>1</v>
      </c>
      <c r="L5" t="s">
        <v>1555</v>
      </c>
      <c r="M5" t="s">
        <v>1556</v>
      </c>
      <c r="N5" t="s">
        <v>1557</v>
      </c>
      <c r="O5" t="s">
        <v>1570</v>
      </c>
      <c r="P5" t="s">
        <v>1559</v>
      </c>
      <c r="Q5" t="s">
        <v>1560</v>
      </c>
      <c r="R5" t="s">
        <v>1561</v>
      </c>
      <c r="S5" t="s">
        <v>1562</v>
      </c>
      <c r="T5" t="s">
        <v>1563</v>
      </c>
      <c r="U5" t="s">
        <v>1564</v>
      </c>
      <c r="V5" t="s">
        <v>1565</v>
      </c>
      <c r="W5">
        <v>805</v>
      </c>
      <c r="X5" t="s">
        <v>1566</v>
      </c>
      <c r="Y5" t="s">
        <v>1567</v>
      </c>
      <c r="Z5">
        <v>2</v>
      </c>
      <c r="AA5" t="s">
        <v>58</v>
      </c>
    </row>
    <row r="6" spans="1:27" x14ac:dyDescent="0.25">
      <c r="A6" t="s">
        <v>1553</v>
      </c>
      <c r="B6" t="s">
        <v>1554</v>
      </c>
      <c r="C6" t="s">
        <v>1479</v>
      </c>
      <c r="D6" t="s">
        <v>1480</v>
      </c>
      <c r="E6" t="s">
        <v>594</v>
      </c>
      <c r="F6" t="s">
        <v>1481</v>
      </c>
      <c r="G6">
        <v>99342</v>
      </c>
      <c r="H6">
        <v>0</v>
      </c>
      <c r="I6" t="s">
        <v>1469</v>
      </c>
      <c r="J6">
        <v>0</v>
      </c>
      <c r="K6">
        <v>1</v>
      </c>
      <c r="L6" t="s">
        <v>1555</v>
      </c>
      <c r="M6" t="s">
        <v>1556</v>
      </c>
      <c r="N6" t="s">
        <v>1557</v>
      </c>
      <c r="O6" t="s">
        <v>1571</v>
      </c>
      <c r="P6" t="s">
        <v>1559</v>
      </c>
      <c r="Q6" t="s">
        <v>1560</v>
      </c>
      <c r="R6" t="s">
        <v>1561</v>
      </c>
      <c r="S6" t="s">
        <v>1562</v>
      </c>
      <c r="T6" t="s">
        <v>1563</v>
      </c>
      <c r="U6" t="s">
        <v>1564</v>
      </c>
      <c r="V6" t="s">
        <v>1565</v>
      </c>
      <c r="W6">
        <v>805</v>
      </c>
      <c r="X6" t="s">
        <v>1566</v>
      </c>
      <c r="Y6" t="s">
        <v>1567</v>
      </c>
      <c r="Z6">
        <v>2</v>
      </c>
      <c r="AA6" t="s">
        <v>58</v>
      </c>
    </row>
    <row r="7" spans="1:27" x14ac:dyDescent="0.25">
      <c r="A7" t="s">
        <v>1553</v>
      </c>
      <c r="B7" t="s">
        <v>1554</v>
      </c>
      <c r="C7" t="s">
        <v>1482</v>
      </c>
      <c r="D7" t="s">
        <v>1483</v>
      </c>
      <c r="E7" t="s">
        <v>594</v>
      </c>
      <c r="F7" t="s">
        <v>1484</v>
      </c>
      <c r="G7">
        <v>101787</v>
      </c>
      <c r="H7">
        <v>0</v>
      </c>
      <c r="I7" t="s">
        <v>1469</v>
      </c>
      <c r="J7">
        <v>0</v>
      </c>
      <c r="K7">
        <v>1</v>
      </c>
      <c r="L7" t="s">
        <v>1555</v>
      </c>
      <c r="M7" t="s">
        <v>1556</v>
      </c>
      <c r="N7" t="s">
        <v>1557</v>
      </c>
      <c r="O7" t="s">
        <v>1572</v>
      </c>
      <c r="P7" t="s">
        <v>1559</v>
      </c>
      <c r="Q7" t="s">
        <v>1560</v>
      </c>
      <c r="R7" t="s">
        <v>1561</v>
      </c>
      <c r="S7" t="s">
        <v>1562</v>
      </c>
      <c r="T7" t="s">
        <v>1563</v>
      </c>
      <c r="U7" t="s">
        <v>1564</v>
      </c>
      <c r="V7" t="s">
        <v>1565</v>
      </c>
      <c r="W7">
        <v>805</v>
      </c>
      <c r="X7" t="s">
        <v>1566</v>
      </c>
      <c r="Y7" t="s">
        <v>1567</v>
      </c>
      <c r="Z7">
        <v>2</v>
      </c>
      <c r="AA7" t="s">
        <v>58</v>
      </c>
    </row>
    <row r="8" spans="1:27" x14ac:dyDescent="0.25">
      <c r="A8" t="s">
        <v>1553</v>
      </c>
      <c r="B8" t="s">
        <v>1554</v>
      </c>
      <c r="C8" t="s">
        <v>1485</v>
      </c>
      <c r="D8" t="s">
        <v>1486</v>
      </c>
      <c r="E8" t="s">
        <v>594</v>
      </c>
      <c r="F8" t="s">
        <v>1487</v>
      </c>
      <c r="G8">
        <v>81889</v>
      </c>
      <c r="H8">
        <v>0</v>
      </c>
      <c r="I8" t="s">
        <v>1469</v>
      </c>
      <c r="J8">
        <v>0</v>
      </c>
      <c r="K8">
        <v>1</v>
      </c>
      <c r="L8" t="s">
        <v>1555</v>
      </c>
      <c r="M8" t="s">
        <v>1556</v>
      </c>
      <c r="N8" t="s">
        <v>1557</v>
      </c>
      <c r="O8" t="s">
        <v>1573</v>
      </c>
      <c r="P8" t="s">
        <v>1559</v>
      </c>
      <c r="Q8" t="s">
        <v>1560</v>
      </c>
      <c r="R8" t="s">
        <v>1561</v>
      </c>
      <c r="S8" t="s">
        <v>1562</v>
      </c>
      <c r="T8" t="s">
        <v>1563</v>
      </c>
      <c r="U8" t="s">
        <v>1564</v>
      </c>
      <c r="V8" t="s">
        <v>1565</v>
      </c>
      <c r="W8">
        <v>805</v>
      </c>
      <c r="X8" t="s">
        <v>1566</v>
      </c>
      <c r="Y8" t="s">
        <v>1567</v>
      </c>
      <c r="Z8">
        <v>2</v>
      </c>
      <c r="AA8" t="s">
        <v>58</v>
      </c>
    </row>
    <row r="9" spans="1:27" x14ac:dyDescent="0.25">
      <c r="A9" t="s">
        <v>1553</v>
      </c>
      <c r="B9" t="s">
        <v>1554</v>
      </c>
      <c r="C9" t="s">
        <v>1004</v>
      </c>
      <c r="D9" t="s">
        <v>1005</v>
      </c>
      <c r="E9" t="s">
        <v>594</v>
      </c>
      <c r="F9" t="s">
        <v>1006</v>
      </c>
      <c r="G9">
        <v>64613</v>
      </c>
      <c r="H9">
        <v>0</v>
      </c>
      <c r="I9" t="s">
        <v>1469</v>
      </c>
      <c r="J9">
        <v>0</v>
      </c>
      <c r="K9">
        <v>1</v>
      </c>
      <c r="L9" t="s">
        <v>1555</v>
      </c>
      <c r="M9" t="s">
        <v>1556</v>
      </c>
      <c r="N9" t="s">
        <v>1557</v>
      </c>
      <c r="O9" t="s">
        <v>1574</v>
      </c>
      <c r="P9" t="s">
        <v>1559</v>
      </c>
      <c r="Q9" t="s">
        <v>1560</v>
      </c>
      <c r="R9" t="s">
        <v>1561</v>
      </c>
      <c r="S9" t="s">
        <v>1562</v>
      </c>
      <c r="T9" t="s">
        <v>1563</v>
      </c>
      <c r="U9" t="s">
        <v>1564</v>
      </c>
      <c r="V9" t="s">
        <v>1565</v>
      </c>
      <c r="W9">
        <v>805</v>
      </c>
      <c r="X9" t="s">
        <v>1566</v>
      </c>
      <c r="Y9" t="s">
        <v>1567</v>
      </c>
      <c r="Z9">
        <v>2</v>
      </c>
      <c r="AA9" t="s">
        <v>58</v>
      </c>
    </row>
    <row r="10" spans="1:27" x14ac:dyDescent="0.25">
      <c r="A10" t="s">
        <v>1553</v>
      </c>
      <c r="B10" t="s">
        <v>1554</v>
      </c>
      <c r="C10" t="s">
        <v>1488</v>
      </c>
      <c r="D10" t="s">
        <v>1489</v>
      </c>
      <c r="E10" t="s">
        <v>594</v>
      </c>
      <c r="F10" t="s">
        <v>1490</v>
      </c>
      <c r="G10">
        <v>52528</v>
      </c>
      <c r="H10">
        <v>0</v>
      </c>
      <c r="I10" t="s">
        <v>1469</v>
      </c>
      <c r="J10">
        <v>0</v>
      </c>
      <c r="K10">
        <v>1</v>
      </c>
      <c r="L10" t="s">
        <v>1555</v>
      </c>
      <c r="M10" t="s">
        <v>1556</v>
      </c>
      <c r="N10" t="s">
        <v>1557</v>
      </c>
      <c r="O10" t="s">
        <v>1575</v>
      </c>
      <c r="P10" t="s">
        <v>1559</v>
      </c>
      <c r="Q10" t="s">
        <v>1560</v>
      </c>
      <c r="R10" t="s">
        <v>1561</v>
      </c>
      <c r="S10" t="s">
        <v>1562</v>
      </c>
      <c r="T10" t="s">
        <v>1563</v>
      </c>
      <c r="U10" t="s">
        <v>1564</v>
      </c>
      <c r="V10" t="s">
        <v>1565</v>
      </c>
      <c r="W10">
        <v>805</v>
      </c>
      <c r="X10" t="s">
        <v>1566</v>
      </c>
      <c r="Y10" t="s">
        <v>1567</v>
      </c>
      <c r="Z10">
        <v>2</v>
      </c>
      <c r="AA10" t="s">
        <v>58</v>
      </c>
    </row>
    <row r="11" spans="1:27" x14ac:dyDescent="0.25">
      <c r="A11" t="s">
        <v>1553</v>
      </c>
      <c r="B11" t="s">
        <v>1554</v>
      </c>
      <c r="C11" t="s">
        <v>1491</v>
      </c>
      <c r="D11" t="s">
        <v>1492</v>
      </c>
      <c r="E11" t="s">
        <v>594</v>
      </c>
      <c r="F11" t="s">
        <v>1493</v>
      </c>
      <c r="G11">
        <v>45781</v>
      </c>
      <c r="H11">
        <v>0</v>
      </c>
      <c r="I11" t="s">
        <v>1469</v>
      </c>
      <c r="J11">
        <v>0</v>
      </c>
      <c r="K11">
        <v>1</v>
      </c>
      <c r="L11" t="s">
        <v>1555</v>
      </c>
      <c r="M11" t="s">
        <v>1556</v>
      </c>
      <c r="N11" t="s">
        <v>1557</v>
      </c>
      <c r="O11" t="s">
        <v>1576</v>
      </c>
      <c r="P11" t="s">
        <v>1559</v>
      </c>
      <c r="Q11" t="s">
        <v>1560</v>
      </c>
      <c r="R11" t="s">
        <v>1561</v>
      </c>
      <c r="S11" t="s">
        <v>1562</v>
      </c>
      <c r="T11" t="s">
        <v>1563</v>
      </c>
      <c r="U11" t="s">
        <v>1564</v>
      </c>
      <c r="V11" t="s">
        <v>1565</v>
      </c>
      <c r="W11">
        <v>805</v>
      </c>
      <c r="X11" t="s">
        <v>1566</v>
      </c>
      <c r="Y11" t="s">
        <v>1567</v>
      </c>
      <c r="Z11">
        <v>2</v>
      </c>
      <c r="AA11" t="s">
        <v>58</v>
      </c>
    </row>
    <row r="12" spans="1:27" x14ac:dyDescent="0.25">
      <c r="A12" t="s">
        <v>1553</v>
      </c>
      <c r="B12" t="s">
        <v>1554</v>
      </c>
      <c r="C12" t="s">
        <v>1459</v>
      </c>
      <c r="D12" t="s">
        <v>1456</v>
      </c>
      <c r="E12" t="s">
        <v>594</v>
      </c>
      <c r="F12" t="s">
        <v>1457</v>
      </c>
      <c r="G12">
        <v>49674</v>
      </c>
      <c r="H12">
        <v>0</v>
      </c>
      <c r="I12" t="s">
        <v>1469</v>
      </c>
      <c r="J12">
        <v>0</v>
      </c>
      <c r="K12">
        <v>1</v>
      </c>
      <c r="L12" t="s">
        <v>1555</v>
      </c>
      <c r="M12" t="s">
        <v>1556</v>
      </c>
      <c r="N12" t="s">
        <v>1557</v>
      </c>
      <c r="O12" t="s">
        <v>1577</v>
      </c>
      <c r="P12" t="s">
        <v>1559</v>
      </c>
      <c r="Q12" t="s">
        <v>1560</v>
      </c>
      <c r="R12" t="s">
        <v>1561</v>
      </c>
      <c r="S12" t="s">
        <v>1562</v>
      </c>
      <c r="T12" t="s">
        <v>1563</v>
      </c>
      <c r="U12" t="s">
        <v>1564</v>
      </c>
      <c r="V12" t="s">
        <v>1565</v>
      </c>
      <c r="W12">
        <v>805</v>
      </c>
      <c r="X12" t="s">
        <v>1566</v>
      </c>
      <c r="Y12" t="s">
        <v>1567</v>
      </c>
      <c r="Z12">
        <v>2</v>
      </c>
      <c r="AA12" t="s">
        <v>58</v>
      </c>
    </row>
    <row r="13" spans="1:27" x14ac:dyDescent="0.25">
      <c r="A13" t="s">
        <v>1553</v>
      </c>
      <c r="B13" t="s">
        <v>1554</v>
      </c>
      <c r="C13" t="s">
        <v>1494</v>
      </c>
      <c r="D13" t="s">
        <v>1495</v>
      </c>
      <c r="E13" t="s">
        <v>594</v>
      </c>
      <c r="F13" t="s">
        <v>1496</v>
      </c>
      <c r="G13">
        <v>35312</v>
      </c>
      <c r="H13">
        <v>0</v>
      </c>
      <c r="I13" t="s">
        <v>1469</v>
      </c>
      <c r="J13">
        <v>0</v>
      </c>
      <c r="K13">
        <v>1</v>
      </c>
      <c r="L13" t="s">
        <v>1555</v>
      </c>
      <c r="M13" t="s">
        <v>1556</v>
      </c>
      <c r="N13" t="s">
        <v>1557</v>
      </c>
      <c r="O13" t="s">
        <v>1578</v>
      </c>
      <c r="P13" t="s">
        <v>1559</v>
      </c>
      <c r="Q13" t="s">
        <v>1560</v>
      </c>
      <c r="R13" t="s">
        <v>1561</v>
      </c>
      <c r="S13" t="s">
        <v>1562</v>
      </c>
      <c r="T13" t="s">
        <v>1563</v>
      </c>
      <c r="U13" t="s">
        <v>1564</v>
      </c>
      <c r="V13" t="s">
        <v>1565</v>
      </c>
      <c r="W13">
        <v>805</v>
      </c>
      <c r="X13" t="s">
        <v>1566</v>
      </c>
      <c r="Y13" t="s">
        <v>1567</v>
      </c>
      <c r="Z13">
        <v>2</v>
      </c>
      <c r="AA13" t="s">
        <v>58</v>
      </c>
    </row>
    <row r="14" spans="1:27" x14ac:dyDescent="0.25">
      <c r="A14" t="s">
        <v>1553</v>
      </c>
      <c r="B14" t="s">
        <v>1554</v>
      </c>
      <c r="C14" t="s">
        <v>1497</v>
      </c>
      <c r="D14" t="s">
        <v>1498</v>
      </c>
      <c r="E14" t="s">
        <v>594</v>
      </c>
      <c r="F14" t="s">
        <v>1499</v>
      </c>
      <c r="G14">
        <v>36436</v>
      </c>
      <c r="H14">
        <v>0</v>
      </c>
      <c r="I14" t="s">
        <v>1469</v>
      </c>
      <c r="J14">
        <v>0</v>
      </c>
      <c r="K14">
        <v>1</v>
      </c>
      <c r="L14" t="s">
        <v>1555</v>
      </c>
      <c r="M14" t="s">
        <v>1556</v>
      </c>
      <c r="N14" t="s">
        <v>1557</v>
      </c>
      <c r="O14" t="s">
        <v>1579</v>
      </c>
      <c r="P14" t="s">
        <v>1559</v>
      </c>
      <c r="Q14" t="s">
        <v>1560</v>
      </c>
      <c r="R14" t="s">
        <v>1561</v>
      </c>
      <c r="S14" t="s">
        <v>1562</v>
      </c>
      <c r="T14" t="s">
        <v>1563</v>
      </c>
      <c r="U14" t="s">
        <v>1564</v>
      </c>
      <c r="V14" t="s">
        <v>1565</v>
      </c>
      <c r="W14">
        <v>805</v>
      </c>
      <c r="X14" t="s">
        <v>1566</v>
      </c>
      <c r="Y14" t="s">
        <v>1567</v>
      </c>
      <c r="Z14">
        <v>2</v>
      </c>
      <c r="AA14" t="s">
        <v>58</v>
      </c>
    </row>
    <row r="15" spans="1:27" x14ac:dyDescent="0.25">
      <c r="A15" t="s">
        <v>1553</v>
      </c>
      <c r="B15" t="s">
        <v>1554</v>
      </c>
      <c r="C15" t="s">
        <v>1500</v>
      </c>
      <c r="D15" t="s">
        <v>1501</v>
      </c>
      <c r="E15" t="s">
        <v>594</v>
      </c>
      <c r="F15" t="s">
        <v>1502</v>
      </c>
      <c r="G15">
        <v>35697</v>
      </c>
      <c r="H15">
        <v>0</v>
      </c>
      <c r="I15" t="s">
        <v>1469</v>
      </c>
      <c r="J15">
        <v>0</v>
      </c>
      <c r="K15">
        <v>1</v>
      </c>
      <c r="L15" t="s">
        <v>1555</v>
      </c>
      <c r="M15" t="s">
        <v>1556</v>
      </c>
      <c r="N15" t="s">
        <v>1557</v>
      </c>
      <c r="O15" t="s">
        <v>1580</v>
      </c>
      <c r="P15" t="s">
        <v>1559</v>
      </c>
      <c r="Q15" t="s">
        <v>1560</v>
      </c>
      <c r="R15" t="s">
        <v>1561</v>
      </c>
      <c r="S15" t="s">
        <v>1562</v>
      </c>
      <c r="T15" t="s">
        <v>1563</v>
      </c>
      <c r="U15" t="s">
        <v>1564</v>
      </c>
      <c r="V15" t="s">
        <v>1565</v>
      </c>
      <c r="W15">
        <v>805</v>
      </c>
      <c r="X15" t="s">
        <v>1566</v>
      </c>
      <c r="Y15" t="s">
        <v>1567</v>
      </c>
      <c r="Z15">
        <v>2</v>
      </c>
      <c r="AA15" t="s">
        <v>58</v>
      </c>
    </row>
    <row r="16" spans="1:27" x14ac:dyDescent="0.25">
      <c r="A16" t="s">
        <v>1553</v>
      </c>
      <c r="B16" t="s">
        <v>1554</v>
      </c>
      <c r="C16" t="s">
        <v>1503</v>
      </c>
      <c r="D16" t="s">
        <v>1504</v>
      </c>
      <c r="E16" t="s">
        <v>594</v>
      </c>
      <c r="F16" t="s">
        <v>1505</v>
      </c>
      <c r="G16">
        <v>34050</v>
      </c>
      <c r="H16">
        <v>0</v>
      </c>
      <c r="I16" t="s">
        <v>1469</v>
      </c>
      <c r="J16">
        <v>0</v>
      </c>
      <c r="K16">
        <v>1</v>
      </c>
      <c r="L16" t="s">
        <v>1555</v>
      </c>
      <c r="M16" t="s">
        <v>1556</v>
      </c>
      <c r="N16" t="s">
        <v>1557</v>
      </c>
      <c r="O16" t="s">
        <v>1581</v>
      </c>
      <c r="P16" t="s">
        <v>1559</v>
      </c>
      <c r="Q16" t="s">
        <v>1560</v>
      </c>
      <c r="R16" t="s">
        <v>1561</v>
      </c>
      <c r="S16" t="s">
        <v>1562</v>
      </c>
      <c r="T16" t="s">
        <v>1563</v>
      </c>
      <c r="U16" t="s">
        <v>1564</v>
      </c>
      <c r="V16" t="s">
        <v>1565</v>
      </c>
      <c r="W16">
        <v>805</v>
      </c>
      <c r="X16" t="s">
        <v>1566</v>
      </c>
      <c r="Y16" t="s">
        <v>1567</v>
      </c>
      <c r="Z16">
        <v>2</v>
      </c>
      <c r="AA16" t="s">
        <v>58</v>
      </c>
    </row>
    <row r="17" spans="1:27" x14ac:dyDescent="0.25">
      <c r="A17" t="s">
        <v>1553</v>
      </c>
      <c r="B17" t="s">
        <v>1554</v>
      </c>
      <c r="C17" t="s">
        <v>1460</v>
      </c>
      <c r="D17" t="s">
        <v>1455</v>
      </c>
      <c r="E17" t="s">
        <v>594</v>
      </c>
      <c r="F17" t="s">
        <v>1458</v>
      </c>
      <c r="G17">
        <v>28428</v>
      </c>
      <c r="H17">
        <v>0</v>
      </c>
      <c r="I17" t="s">
        <v>1469</v>
      </c>
      <c r="J17">
        <v>0</v>
      </c>
      <c r="K17">
        <v>1</v>
      </c>
      <c r="L17" t="s">
        <v>1555</v>
      </c>
      <c r="M17" t="s">
        <v>1556</v>
      </c>
      <c r="N17" t="s">
        <v>1557</v>
      </c>
      <c r="O17" t="s">
        <v>1582</v>
      </c>
      <c r="P17" t="s">
        <v>1559</v>
      </c>
      <c r="Q17" t="s">
        <v>1560</v>
      </c>
      <c r="R17" t="s">
        <v>1561</v>
      </c>
      <c r="S17" t="s">
        <v>1562</v>
      </c>
      <c r="T17" t="s">
        <v>1563</v>
      </c>
      <c r="U17" t="s">
        <v>1564</v>
      </c>
      <c r="V17" t="s">
        <v>1565</v>
      </c>
      <c r="W17">
        <v>805</v>
      </c>
      <c r="X17" t="s">
        <v>1566</v>
      </c>
      <c r="Y17" t="s">
        <v>1567</v>
      </c>
      <c r="Z17">
        <v>2</v>
      </c>
      <c r="AA17" t="s">
        <v>58</v>
      </c>
    </row>
    <row r="18" spans="1:27" x14ac:dyDescent="0.25">
      <c r="A18" t="s">
        <v>1553</v>
      </c>
      <c r="B18" t="s">
        <v>1554</v>
      </c>
      <c r="C18" t="s">
        <v>1506</v>
      </c>
      <c r="D18" t="s">
        <v>1507</v>
      </c>
      <c r="E18" t="s">
        <v>594</v>
      </c>
      <c r="F18" t="s">
        <v>1508</v>
      </c>
      <c r="G18">
        <v>25106</v>
      </c>
      <c r="H18">
        <v>0</v>
      </c>
      <c r="I18" t="s">
        <v>1469</v>
      </c>
      <c r="J18">
        <v>0</v>
      </c>
      <c r="K18">
        <v>1</v>
      </c>
      <c r="L18" t="s">
        <v>1555</v>
      </c>
      <c r="M18" t="s">
        <v>1556</v>
      </c>
      <c r="N18" t="s">
        <v>1557</v>
      </c>
      <c r="O18" t="s">
        <v>1583</v>
      </c>
      <c r="P18" t="s">
        <v>1559</v>
      </c>
      <c r="Q18" t="s">
        <v>1560</v>
      </c>
      <c r="R18" t="s">
        <v>1561</v>
      </c>
      <c r="S18" t="s">
        <v>1562</v>
      </c>
      <c r="T18" t="s">
        <v>1563</v>
      </c>
      <c r="U18" t="s">
        <v>1564</v>
      </c>
      <c r="V18" t="s">
        <v>1565</v>
      </c>
      <c r="W18">
        <v>805</v>
      </c>
      <c r="X18" t="s">
        <v>1566</v>
      </c>
      <c r="Y18" t="s">
        <v>1567</v>
      </c>
      <c r="Z18">
        <v>2</v>
      </c>
      <c r="AA18" t="s">
        <v>58</v>
      </c>
    </row>
    <row r="19" spans="1:27" x14ac:dyDescent="0.25">
      <c r="A19" t="s">
        <v>1553</v>
      </c>
      <c r="B19" t="s">
        <v>1554</v>
      </c>
      <c r="C19" t="s">
        <v>1509</v>
      </c>
      <c r="D19" t="s">
        <v>1510</v>
      </c>
      <c r="E19" t="s">
        <v>594</v>
      </c>
      <c r="F19" t="s">
        <v>1511</v>
      </c>
      <c r="G19">
        <v>26464</v>
      </c>
      <c r="H19">
        <v>0</v>
      </c>
      <c r="I19" t="s">
        <v>1469</v>
      </c>
      <c r="J19">
        <v>0</v>
      </c>
      <c r="K19">
        <v>1</v>
      </c>
      <c r="L19" t="s">
        <v>1555</v>
      </c>
      <c r="M19" t="s">
        <v>1556</v>
      </c>
      <c r="N19" t="s">
        <v>1557</v>
      </c>
      <c r="O19" t="s">
        <v>1584</v>
      </c>
      <c r="P19" t="s">
        <v>1559</v>
      </c>
      <c r="Q19" t="s">
        <v>1560</v>
      </c>
      <c r="R19" t="s">
        <v>1561</v>
      </c>
      <c r="S19" t="s">
        <v>1562</v>
      </c>
      <c r="T19" t="s">
        <v>1563</v>
      </c>
      <c r="U19" t="s">
        <v>1564</v>
      </c>
      <c r="V19" t="s">
        <v>1565</v>
      </c>
      <c r="W19">
        <v>805</v>
      </c>
      <c r="X19" t="s">
        <v>1566</v>
      </c>
      <c r="Y19" t="s">
        <v>1567</v>
      </c>
      <c r="Z19">
        <v>2</v>
      </c>
      <c r="AA19" t="s">
        <v>58</v>
      </c>
    </row>
    <row r="20" spans="1:27" x14ac:dyDescent="0.25">
      <c r="A20" t="s">
        <v>1553</v>
      </c>
      <c r="B20" t="s">
        <v>1554</v>
      </c>
      <c r="C20" t="s">
        <v>1512</v>
      </c>
      <c r="D20" t="s">
        <v>1513</v>
      </c>
      <c r="E20" t="s">
        <v>594</v>
      </c>
      <c r="F20" t="s">
        <v>1514</v>
      </c>
      <c r="G20">
        <v>26244</v>
      </c>
      <c r="H20">
        <v>0</v>
      </c>
      <c r="I20" t="s">
        <v>1469</v>
      </c>
      <c r="J20">
        <v>0</v>
      </c>
      <c r="K20">
        <v>1</v>
      </c>
      <c r="L20" t="s">
        <v>1555</v>
      </c>
      <c r="M20" t="s">
        <v>1556</v>
      </c>
      <c r="N20" t="s">
        <v>1557</v>
      </c>
      <c r="O20" t="s">
        <v>1585</v>
      </c>
      <c r="P20" t="s">
        <v>1559</v>
      </c>
      <c r="Q20" t="s">
        <v>1560</v>
      </c>
      <c r="R20" t="s">
        <v>1561</v>
      </c>
      <c r="S20" t="s">
        <v>1562</v>
      </c>
      <c r="T20" t="s">
        <v>1563</v>
      </c>
      <c r="U20" t="s">
        <v>1564</v>
      </c>
      <c r="V20" t="s">
        <v>1565</v>
      </c>
      <c r="W20">
        <v>805</v>
      </c>
      <c r="X20" t="s">
        <v>1566</v>
      </c>
      <c r="Y20" t="s">
        <v>1567</v>
      </c>
      <c r="Z20">
        <v>2</v>
      </c>
      <c r="AA20" t="s">
        <v>58</v>
      </c>
    </row>
    <row r="21" spans="1:27" x14ac:dyDescent="0.25">
      <c r="A21" t="s">
        <v>1553</v>
      </c>
      <c r="B21" t="s">
        <v>1554</v>
      </c>
      <c r="C21" t="s">
        <v>1515</v>
      </c>
      <c r="D21" t="s">
        <v>1516</v>
      </c>
      <c r="E21" t="s">
        <v>594</v>
      </c>
      <c r="F21" t="s">
        <v>1517</v>
      </c>
      <c r="G21">
        <v>26926</v>
      </c>
      <c r="H21">
        <v>0</v>
      </c>
      <c r="I21" t="s">
        <v>1469</v>
      </c>
      <c r="J21">
        <v>0</v>
      </c>
      <c r="K21">
        <v>1</v>
      </c>
      <c r="L21" t="s">
        <v>1555</v>
      </c>
      <c r="M21" t="s">
        <v>1556</v>
      </c>
      <c r="N21" t="s">
        <v>1557</v>
      </c>
      <c r="O21" t="s">
        <v>1586</v>
      </c>
      <c r="P21" t="s">
        <v>1559</v>
      </c>
      <c r="Q21" t="s">
        <v>1560</v>
      </c>
      <c r="R21" t="s">
        <v>1561</v>
      </c>
      <c r="S21" t="s">
        <v>1562</v>
      </c>
      <c r="T21" t="s">
        <v>1563</v>
      </c>
      <c r="U21" t="s">
        <v>1564</v>
      </c>
      <c r="V21" t="s">
        <v>1565</v>
      </c>
      <c r="W21">
        <v>805</v>
      </c>
      <c r="X21" t="s">
        <v>1566</v>
      </c>
      <c r="Y21" t="s">
        <v>1567</v>
      </c>
      <c r="Z21">
        <v>2</v>
      </c>
      <c r="AA21" t="s">
        <v>58</v>
      </c>
    </row>
    <row r="22" spans="1:27" x14ac:dyDescent="0.25">
      <c r="A22" t="s">
        <v>1553</v>
      </c>
      <c r="B22" t="s">
        <v>1554</v>
      </c>
      <c r="C22" t="s">
        <v>995</v>
      </c>
      <c r="D22" t="s">
        <v>996</v>
      </c>
      <c r="E22" t="s">
        <v>594</v>
      </c>
      <c r="F22" t="s">
        <v>997</v>
      </c>
      <c r="G22">
        <v>25300</v>
      </c>
      <c r="H22">
        <v>0</v>
      </c>
      <c r="I22" t="s">
        <v>1469</v>
      </c>
      <c r="J22">
        <v>0</v>
      </c>
      <c r="K22">
        <v>1</v>
      </c>
      <c r="L22" t="s">
        <v>1555</v>
      </c>
      <c r="M22" t="s">
        <v>1556</v>
      </c>
      <c r="N22" t="s">
        <v>1557</v>
      </c>
      <c r="O22" t="s">
        <v>1587</v>
      </c>
      <c r="P22" t="s">
        <v>1559</v>
      </c>
      <c r="Q22" t="s">
        <v>1560</v>
      </c>
      <c r="R22" t="s">
        <v>1561</v>
      </c>
      <c r="S22" t="s">
        <v>1562</v>
      </c>
      <c r="T22" t="s">
        <v>1563</v>
      </c>
      <c r="U22" t="s">
        <v>1564</v>
      </c>
      <c r="V22" t="s">
        <v>1565</v>
      </c>
      <c r="W22">
        <v>805</v>
      </c>
      <c r="X22" t="s">
        <v>1566</v>
      </c>
      <c r="Y22" t="s">
        <v>1567</v>
      </c>
      <c r="Z22">
        <v>2</v>
      </c>
      <c r="AA22" t="s">
        <v>58</v>
      </c>
    </row>
    <row r="23" spans="1:27" x14ac:dyDescent="0.25">
      <c r="A23" t="s">
        <v>1553</v>
      </c>
      <c r="B23" t="s">
        <v>1554</v>
      </c>
      <c r="C23" t="s">
        <v>1518</v>
      </c>
      <c r="D23" t="s">
        <v>1519</v>
      </c>
      <c r="E23" t="s">
        <v>594</v>
      </c>
      <c r="F23" t="s">
        <v>1520</v>
      </c>
      <c r="G23">
        <v>24305</v>
      </c>
      <c r="H23">
        <v>0</v>
      </c>
      <c r="I23" t="s">
        <v>1469</v>
      </c>
      <c r="J23">
        <v>0</v>
      </c>
      <c r="K23">
        <v>1</v>
      </c>
      <c r="L23" t="s">
        <v>1555</v>
      </c>
      <c r="M23" t="s">
        <v>1556</v>
      </c>
      <c r="N23" t="s">
        <v>1557</v>
      </c>
      <c r="O23" t="s">
        <v>1588</v>
      </c>
      <c r="P23" t="s">
        <v>1559</v>
      </c>
      <c r="Q23" t="s">
        <v>1560</v>
      </c>
      <c r="R23" t="s">
        <v>1561</v>
      </c>
      <c r="S23" t="s">
        <v>1562</v>
      </c>
      <c r="T23" t="s">
        <v>1563</v>
      </c>
      <c r="U23" t="s">
        <v>1564</v>
      </c>
      <c r="V23" t="s">
        <v>1565</v>
      </c>
      <c r="W23">
        <v>805</v>
      </c>
      <c r="X23" t="s">
        <v>1566</v>
      </c>
      <c r="Y23" t="s">
        <v>1567</v>
      </c>
      <c r="Z23">
        <v>2</v>
      </c>
      <c r="AA23" t="s">
        <v>58</v>
      </c>
    </row>
    <row r="24" spans="1:27" x14ac:dyDescent="0.25">
      <c r="A24" t="s">
        <v>1553</v>
      </c>
      <c r="B24" t="s">
        <v>1554</v>
      </c>
      <c r="C24" t="s">
        <v>1521</v>
      </c>
      <c r="D24" t="s">
        <v>1522</v>
      </c>
      <c r="E24" t="s">
        <v>594</v>
      </c>
      <c r="F24" t="s">
        <v>1523</v>
      </c>
      <c r="G24">
        <v>24453</v>
      </c>
      <c r="H24">
        <v>0</v>
      </c>
      <c r="I24" t="s">
        <v>1469</v>
      </c>
      <c r="J24">
        <v>0</v>
      </c>
      <c r="K24">
        <v>1</v>
      </c>
      <c r="L24" t="s">
        <v>1555</v>
      </c>
      <c r="M24" t="s">
        <v>1556</v>
      </c>
      <c r="N24" t="s">
        <v>1557</v>
      </c>
      <c r="O24" t="s">
        <v>1589</v>
      </c>
      <c r="P24" t="s">
        <v>1559</v>
      </c>
      <c r="Q24" t="s">
        <v>1560</v>
      </c>
      <c r="R24" t="s">
        <v>1561</v>
      </c>
      <c r="S24" t="s">
        <v>1562</v>
      </c>
      <c r="T24" t="s">
        <v>1563</v>
      </c>
      <c r="U24" t="s">
        <v>1564</v>
      </c>
      <c r="V24" t="s">
        <v>1565</v>
      </c>
      <c r="W24">
        <v>805</v>
      </c>
      <c r="X24" t="s">
        <v>1566</v>
      </c>
      <c r="Y24" t="s">
        <v>1567</v>
      </c>
      <c r="Z24">
        <v>2</v>
      </c>
      <c r="AA24" t="s">
        <v>58</v>
      </c>
    </row>
    <row r="25" spans="1:27" x14ac:dyDescent="0.25">
      <c r="A25" t="s">
        <v>1553</v>
      </c>
      <c r="B25" t="s">
        <v>1554</v>
      </c>
      <c r="C25" t="s">
        <v>1524</v>
      </c>
      <c r="D25" t="s">
        <v>1525</v>
      </c>
      <c r="E25" t="s">
        <v>594</v>
      </c>
      <c r="F25" t="s">
        <v>1526</v>
      </c>
      <c r="G25">
        <v>15854</v>
      </c>
      <c r="H25">
        <v>0</v>
      </c>
      <c r="I25" t="s">
        <v>1469</v>
      </c>
      <c r="J25">
        <v>0</v>
      </c>
      <c r="K25">
        <v>1</v>
      </c>
      <c r="L25" t="s">
        <v>1555</v>
      </c>
      <c r="M25" t="s">
        <v>1556</v>
      </c>
      <c r="N25" t="s">
        <v>1557</v>
      </c>
      <c r="O25" t="s">
        <v>1590</v>
      </c>
      <c r="P25" t="s">
        <v>1559</v>
      </c>
      <c r="Q25" t="s">
        <v>1560</v>
      </c>
      <c r="R25" t="s">
        <v>1561</v>
      </c>
      <c r="S25" t="s">
        <v>1562</v>
      </c>
      <c r="T25" t="s">
        <v>1563</v>
      </c>
      <c r="U25" t="s">
        <v>1564</v>
      </c>
      <c r="V25" t="s">
        <v>1565</v>
      </c>
      <c r="W25">
        <v>805</v>
      </c>
      <c r="X25" t="s">
        <v>1566</v>
      </c>
      <c r="Y25" t="s">
        <v>1567</v>
      </c>
      <c r="Z25">
        <v>2</v>
      </c>
      <c r="AA25" t="s">
        <v>58</v>
      </c>
    </row>
    <row r="26" spans="1:27" x14ac:dyDescent="0.25">
      <c r="A26" t="s">
        <v>1553</v>
      </c>
      <c r="B26" t="s">
        <v>1554</v>
      </c>
      <c r="C26" t="s">
        <v>1527</v>
      </c>
      <c r="D26" t="s">
        <v>1528</v>
      </c>
      <c r="E26" t="s">
        <v>594</v>
      </c>
      <c r="F26" t="s">
        <v>1529</v>
      </c>
      <c r="G26">
        <v>18611</v>
      </c>
      <c r="H26">
        <v>0</v>
      </c>
      <c r="I26" t="s">
        <v>1469</v>
      </c>
      <c r="J26">
        <v>0</v>
      </c>
      <c r="K26">
        <v>1</v>
      </c>
      <c r="L26" t="s">
        <v>1555</v>
      </c>
      <c r="M26" t="s">
        <v>1556</v>
      </c>
      <c r="N26" t="s">
        <v>1557</v>
      </c>
      <c r="O26" t="s">
        <v>1591</v>
      </c>
      <c r="P26" t="s">
        <v>1559</v>
      </c>
      <c r="Q26" t="s">
        <v>1560</v>
      </c>
      <c r="R26" t="s">
        <v>1561</v>
      </c>
      <c r="S26" t="s">
        <v>1562</v>
      </c>
      <c r="T26" t="s">
        <v>1563</v>
      </c>
      <c r="U26" t="s">
        <v>1564</v>
      </c>
      <c r="V26" t="s">
        <v>1565</v>
      </c>
      <c r="W26">
        <v>805</v>
      </c>
      <c r="X26" t="s">
        <v>1566</v>
      </c>
      <c r="Y26" t="s">
        <v>1567</v>
      </c>
      <c r="Z26">
        <v>2</v>
      </c>
      <c r="AA26" t="s">
        <v>58</v>
      </c>
    </row>
    <row r="27" spans="1:27" x14ac:dyDescent="0.25">
      <c r="A27" t="s">
        <v>1553</v>
      </c>
      <c r="B27" t="s">
        <v>1554</v>
      </c>
      <c r="C27" t="s">
        <v>1592</v>
      </c>
      <c r="D27" t="s">
        <v>1593</v>
      </c>
      <c r="E27" t="s">
        <v>594</v>
      </c>
      <c r="F27" t="s">
        <v>1594</v>
      </c>
      <c r="G27">
        <v>20312</v>
      </c>
      <c r="H27">
        <v>0</v>
      </c>
      <c r="I27" t="s">
        <v>1469</v>
      </c>
      <c r="J27">
        <v>0</v>
      </c>
      <c r="K27">
        <v>1</v>
      </c>
      <c r="L27" t="s">
        <v>1555</v>
      </c>
      <c r="M27" t="s">
        <v>1556</v>
      </c>
      <c r="N27" t="s">
        <v>1557</v>
      </c>
      <c r="O27" t="s">
        <v>1595</v>
      </c>
      <c r="P27" t="s">
        <v>1559</v>
      </c>
      <c r="Q27" t="s">
        <v>1560</v>
      </c>
      <c r="R27" t="s">
        <v>1561</v>
      </c>
      <c r="S27" t="s">
        <v>1562</v>
      </c>
      <c r="T27" t="s">
        <v>1563</v>
      </c>
      <c r="U27" t="s">
        <v>1564</v>
      </c>
      <c r="V27" t="s">
        <v>1565</v>
      </c>
      <c r="W27">
        <v>805</v>
      </c>
      <c r="X27" t="s">
        <v>1566</v>
      </c>
      <c r="Y27" t="s">
        <v>1567</v>
      </c>
      <c r="Z27">
        <v>2</v>
      </c>
      <c r="AA27" t="s">
        <v>58</v>
      </c>
    </row>
    <row r="28" spans="1:27" x14ac:dyDescent="0.25">
      <c r="A28" t="s">
        <v>1553</v>
      </c>
      <c r="B28" t="s">
        <v>1554</v>
      </c>
      <c r="C28" t="s">
        <v>1596</v>
      </c>
      <c r="D28" t="s">
        <v>1597</v>
      </c>
      <c r="E28" t="s">
        <v>594</v>
      </c>
      <c r="F28" t="s">
        <v>1598</v>
      </c>
      <c r="G28">
        <v>16900</v>
      </c>
      <c r="H28">
        <v>0</v>
      </c>
      <c r="I28" t="s">
        <v>1469</v>
      </c>
      <c r="J28">
        <v>0</v>
      </c>
      <c r="K28">
        <v>1</v>
      </c>
      <c r="L28" t="s">
        <v>1555</v>
      </c>
      <c r="M28" t="s">
        <v>1556</v>
      </c>
      <c r="N28" t="s">
        <v>1557</v>
      </c>
      <c r="O28" t="s">
        <v>1599</v>
      </c>
      <c r="P28" t="s">
        <v>1559</v>
      </c>
      <c r="Q28" t="s">
        <v>1560</v>
      </c>
      <c r="R28" t="s">
        <v>1561</v>
      </c>
      <c r="S28" t="s">
        <v>1562</v>
      </c>
      <c r="T28" t="s">
        <v>1563</v>
      </c>
      <c r="U28" t="s">
        <v>1564</v>
      </c>
      <c r="V28" t="s">
        <v>1565</v>
      </c>
      <c r="W28">
        <v>805</v>
      </c>
      <c r="X28" t="s">
        <v>1566</v>
      </c>
      <c r="Y28" t="s">
        <v>1567</v>
      </c>
      <c r="Z28">
        <v>2</v>
      </c>
      <c r="AA28" t="s">
        <v>58</v>
      </c>
    </row>
    <row r="29" spans="1:27" x14ac:dyDescent="0.25">
      <c r="A29" t="s">
        <v>1553</v>
      </c>
      <c r="B29" t="s">
        <v>1554</v>
      </c>
      <c r="C29" t="s">
        <v>1600</v>
      </c>
      <c r="D29" t="s">
        <v>1601</v>
      </c>
      <c r="E29" t="s">
        <v>594</v>
      </c>
      <c r="F29" t="s">
        <v>1602</v>
      </c>
      <c r="G29">
        <v>19687</v>
      </c>
      <c r="H29">
        <v>0</v>
      </c>
      <c r="I29" t="s">
        <v>1469</v>
      </c>
      <c r="J29">
        <v>0</v>
      </c>
      <c r="K29">
        <v>1</v>
      </c>
      <c r="L29" t="s">
        <v>1555</v>
      </c>
      <c r="M29" t="s">
        <v>1556</v>
      </c>
      <c r="N29" t="s">
        <v>1557</v>
      </c>
      <c r="O29" t="s">
        <v>1603</v>
      </c>
      <c r="P29" t="s">
        <v>1559</v>
      </c>
      <c r="Q29" t="s">
        <v>1560</v>
      </c>
      <c r="R29" t="s">
        <v>1561</v>
      </c>
      <c r="S29" t="s">
        <v>1562</v>
      </c>
      <c r="T29" t="s">
        <v>1563</v>
      </c>
      <c r="U29" t="s">
        <v>1564</v>
      </c>
      <c r="V29" t="s">
        <v>1565</v>
      </c>
      <c r="W29">
        <v>805</v>
      </c>
      <c r="X29" t="s">
        <v>1566</v>
      </c>
      <c r="Y29" t="s">
        <v>1567</v>
      </c>
      <c r="Z29">
        <v>2</v>
      </c>
      <c r="AA29" t="s">
        <v>58</v>
      </c>
    </row>
    <row r="30" spans="1:27" x14ac:dyDescent="0.25">
      <c r="A30" t="s">
        <v>1553</v>
      </c>
      <c r="B30" t="s">
        <v>1554</v>
      </c>
      <c r="C30" t="s">
        <v>1604</v>
      </c>
      <c r="D30" t="s">
        <v>1605</v>
      </c>
      <c r="E30" t="s">
        <v>594</v>
      </c>
      <c r="F30" t="s">
        <v>1606</v>
      </c>
      <c r="G30">
        <v>18029</v>
      </c>
      <c r="H30">
        <v>0</v>
      </c>
      <c r="I30" t="s">
        <v>1469</v>
      </c>
      <c r="J30">
        <v>0</v>
      </c>
      <c r="K30">
        <v>1</v>
      </c>
      <c r="L30" t="s">
        <v>1555</v>
      </c>
      <c r="M30" t="s">
        <v>1556</v>
      </c>
      <c r="N30" t="s">
        <v>1557</v>
      </c>
      <c r="O30" t="s">
        <v>1607</v>
      </c>
      <c r="P30" t="s">
        <v>1559</v>
      </c>
      <c r="Q30" t="s">
        <v>1560</v>
      </c>
      <c r="R30" t="s">
        <v>1561</v>
      </c>
      <c r="S30" t="s">
        <v>1562</v>
      </c>
      <c r="T30" t="s">
        <v>1563</v>
      </c>
      <c r="U30" t="s">
        <v>1564</v>
      </c>
      <c r="V30" t="s">
        <v>1565</v>
      </c>
      <c r="W30">
        <v>805</v>
      </c>
      <c r="X30" t="s">
        <v>1566</v>
      </c>
      <c r="Y30" t="s">
        <v>1567</v>
      </c>
      <c r="Z30">
        <v>2</v>
      </c>
      <c r="AA30" t="s">
        <v>58</v>
      </c>
    </row>
    <row r="31" spans="1:27" x14ac:dyDescent="0.25">
      <c r="A31" t="s">
        <v>1553</v>
      </c>
      <c r="B31" t="s">
        <v>1554</v>
      </c>
      <c r="C31" t="s">
        <v>1608</v>
      </c>
      <c r="D31" t="s">
        <v>1609</v>
      </c>
      <c r="E31" t="s">
        <v>594</v>
      </c>
      <c r="F31" t="s">
        <v>1610</v>
      </c>
      <c r="G31">
        <v>29612</v>
      </c>
      <c r="H31">
        <v>0</v>
      </c>
      <c r="I31" t="s">
        <v>1469</v>
      </c>
      <c r="J31">
        <v>0</v>
      </c>
      <c r="K31">
        <v>1</v>
      </c>
      <c r="L31" t="s">
        <v>1555</v>
      </c>
      <c r="M31" t="s">
        <v>1556</v>
      </c>
      <c r="N31" t="s">
        <v>1557</v>
      </c>
      <c r="O31" t="s">
        <v>1611</v>
      </c>
      <c r="P31" t="s">
        <v>1559</v>
      </c>
      <c r="Q31" t="s">
        <v>1560</v>
      </c>
      <c r="R31" t="s">
        <v>1561</v>
      </c>
      <c r="S31" t="s">
        <v>1562</v>
      </c>
      <c r="T31" t="s">
        <v>1563</v>
      </c>
      <c r="U31" t="s">
        <v>1564</v>
      </c>
      <c r="V31" t="s">
        <v>1565</v>
      </c>
      <c r="W31">
        <v>805</v>
      </c>
      <c r="X31" t="s">
        <v>1566</v>
      </c>
      <c r="Y31" t="s">
        <v>1567</v>
      </c>
      <c r="Z31">
        <v>2</v>
      </c>
      <c r="AA31" t="s">
        <v>58</v>
      </c>
    </row>
    <row r="32" spans="1:27" x14ac:dyDescent="0.25">
      <c r="A32" t="s">
        <v>1553</v>
      </c>
      <c r="B32" t="s">
        <v>1554</v>
      </c>
      <c r="C32" t="s">
        <v>1612</v>
      </c>
      <c r="D32" t="s">
        <v>1613</v>
      </c>
      <c r="E32" t="s">
        <v>594</v>
      </c>
      <c r="F32" t="s">
        <v>1614</v>
      </c>
      <c r="G32">
        <v>24082</v>
      </c>
      <c r="H32">
        <v>0</v>
      </c>
      <c r="I32" t="s">
        <v>1469</v>
      </c>
      <c r="J32">
        <v>0</v>
      </c>
      <c r="K32">
        <v>1</v>
      </c>
      <c r="L32" t="s">
        <v>1555</v>
      </c>
      <c r="M32" t="s">
        <v>1556</v>
      </c>
      <c r="N32" t="s">
        <v>1557</v>
      </c>
      <c r="O32" t="s">
        <v>1615</v>
      </c>
      <c r="P32" t="s">
        <v>1559</v>
      </c>
      <c r="Q32" t="s">
        <v>1560</v>
      </c>
      <c r="R32" t="s">
        <v>1561</v>
      </c>
      <c r="S32" t="s">
        <v>1562</v>
      </c>
      <c r="T32" t="s">
        <v>1563</v>
      </c>
      <c r="U32" t="s">
        <v>1564</v>
      </c>
      <c r="V32" t="s">
        <v>1565</v>
      </c>
      <c r="W32">
        <v>805</v>
      </c>
      <c r="X32" t="s">
        <v>1566</v>
      </c>
      <c r="Y32" t="s">
        <v>1567</v>
      </c>
      <c r="Z32">
        <v>2</v>
      </c>
      <c r="AA32" t="s">
        <v>58</v>
      </c>
    </row>
    <row r="33" spans="1:27" x14ac:dyDescent="0.25">
      <c r="A33" t="s">
        <v>1553</v>
      </c>
      <c r="B33" t="s">
        <v>1554</v>
      </c>
      <c r="C33" t="s">
        <v>1616</v>
      </c>
      <c r="D33" t="s">
        <v>1617</v>
      </c>
      <c r="E33" t="s">
        <v>594</v>
      </c>
      <c r="F33" t="s">
        <v>1618</v>
      </c>
      <c r="G33">
        <v>15355</v>
      </c>
      <c r="H33">
        <v>0</v>
      </c>
      <c r="I33" t="s">
        <v>1469</v>
      </c>
      <c r="J33">
        <v>0</v>
      </c>
      <c r="K33">
        <v>1</v>
      </c>
      <c r="L33" t="s">
        <v>1555</v>
      </c>
      <c r="M33" t="s">
        <v>1556</v>
      </c>
      <c r="N33" t="s">
        <v>1557</v>
      </c>
      <c r="O33" t="s">
        <v>1619</v>
      </c>
      <c r="P33" t="s">
        <v>1559</v>
      </c>
      <c r="Q33" t="s">
        <v>1560</v>
      </c>
      <c r="R33" t="s">
        <v>1561</v>
      </c>
      <c r="S33" t="s">
        <v>1562</v>
      </c>
      <c r="T33" t="s">
        <v>1563</v>
      </c>
      <c r="U33" t="s">
        <v>1564</v>
      </c>
      <c r="V33" t="s">
        <v>1565</v>
      </c>
      <c r="W33">
        <v>805</v>
      </c>
      <c r="X33" t="s">
        <v>1566</v>
      </c>
      <c r="Y33" t="s">
        <v>1567</v>
      </c>
      <c r="Z33">
        <v>2</v>
      </c>
      <c r="AA33" t="s">
        <v>58</v>
      </c>
    </row>
    <row r="34" spans="1:27" x14ac:dyDescent="0.25">
      <c r="A34" t="s">
        <v>1553</v>
      </c>
      <c r="B34" t="s">
        <v>1554</v>
      </c>
      <c r="C34" t="s">
        <v>596</v>
      </c>
      <c r="D34" t="s">
        <v>540</v>
      </c>
      <c r="E34" t="s">
        <v>594</v>
      </c>
      <c r="F34" t="s">
        <v>595</v>
      </c>
      <c r="G34">
        <v>17300</v>
      </c>
      <c r="H34">
        <v>0</v>
      </c>
      <c r="I34" t="s">
        <v>1469</v>
      </c>
      <c r="J34">
        <v>0</v>
      </c>
      <c r="K34">
        <v>1</v>
      </c>
      <c r="L34" t="s">
        <v>1555</v>
      </c>
      <c r="M34" t="s">
        <v>1556</v>
      </c>
      <c r="N34" t="s">
        <v>1557</v>
      </c>
      <c r="O34" t="s">
        <v>1620</v>
      </c>
      <c r="P34" t="s">
        <v>1559</v>
      </c>
      <c r="Q34" t="s">
        <v>1560</v>
      </c>
      <c r="R34" t="s">
        <v>1561</v>
      </c>
      <c r="S34" t="s">
        <v>1562</v>
      </c>
      <c r="T34" t="s">
        <v>1563</v>
      </c>
      <c r="U34" t="s">
        <v>1564</v>
      </c>
      <c r="V34" t="s">
        <v>1565</v>
      </c>
      <c r="W34">
        <v>805</v>
      </c>
      <c r="X34" t="s">
        <v>1566</v>
      </c>
      <c r="Y34" t="s">
        <v>1567</v>
      </c>
      <c r="Z34">
        <v>2</v>
      </c>
      <c r="AA34" t="s">
        <v>58</v>
      </c>
    </row>
    <row r="35" spans="1:27" x14ac:dyDescent="0.25">
      <c r="A35" t="s">
        <v>1553</v>
      </c>
      <c r="B35" t="s">
        <v>1554</v>
      </c>
      <c r="C35" t="s">
        <v>1621</v>
      </c>
      <c r="D35" t="s">
        <v>1622</v>
      </c>
      <c r="E35" t="s">
        <v>594</v>
      </c>
      <c r="F35" t="s">
        <v>1623</v>
      </c>
      <c r="G35">
        <v>16884</v>
      </c>
      <c r="H35">
        <v>0</v>
      </c>
      <c r="I35" t="s">
        <v>1469</v>
      </c>
      <c r="J35">
        <v>0</v>
      </c>
      <c r="K35">
        <v>1</v>
      </c>
      <c r="L35" t="s">
        <v>1555</v>
      </c>
      <c r="M35" t="s">
        <v>1556</v>
      </c>
      <c r="N35" t="s">
        <v>1557</v>
      </c>
      <c r="O35" t="s">
        <v>1624</v>
      </c>
      <c r="P35" t="s">
        <v>1559</v>
      </c>
      <c r="Q35" t="s">
        <v>1560</v>
      </c>
      <c r="R35" t="s">
        <v>1561</v>
      </c>
      <c r="S35" t="s">
        <v>1562</v>
      </c>
      <c r="T35" t="s">
        <v>1563</v>
      </c>
      <c r="U35" t="s">
        <v>1564</v>
      </c>
      <c r="V35" t="s">
        <v>1565</v>
      </c>
      <c r="W35">
        <v>805</v>
      </c>
      <c r="X35" t="s">
        <v>1566</v>
      </c>
      <c r="Y35" t="s">
        <v>1567</v>
      </c>
      <c r="Z35">
        <v>2</v>
      </c>
      <c r="AA35" t="s">
        <v>58</v>
      </c>
    </row>
    <row r="36" spans="1:27" x14ac:dyDescent="0.25">
      <c r="A36" t="s">
        <v>1553</v>
      </c>
      <c r="B36" t="s">
        <v>1554</v>
      </c>
      <c r="C36" t="s">
        <v>1625</v>
      </c>
      <c r="D36" t="s">
        <v>1626</v>
      </c>
      <c r="E36" t="s">
        <v>594</v>
      </c>
      <c r="F36" t="s">
        <v>1627</v>
      </c>
      <c r="G36">
        <v>17979</v>
      </c>
      <c r="H36">
        <v>0</v>
      </c>
      <c r="I36" t="s">
        <v>1469</v>
      </c>
      <c r="J36">
        <v>0</v>
      </c>
      <c r="K36">
        <v>1</v>
      </c>
      <c r="L36" t="s">
        <v>1555</v>
      </c>
      <c r="M36" t="s">
        <v>1556</v>
      </c>
      <c r="N36" t="s">
        <v>1557</v>
      </c>
      <c r="O36" t="s">
        <v>1628</v>
      </c>
      <c r="P36" t="s">
        <v>1559</v>
      </c>
      <c r="Q36" t="s">
        <v>1560</v>
      </c>
      <c r="R36" t="s">
        <v>1561</v>
      </c>
      <c r="S36" t="s">
        <v>1562</v>
      </c>
      <c r="T36" t="s">
        <v>1563</v>
      </c>
      <c r="U36" t="s">
        <v>1564</v>
      </c>
      <c r="V36" t="s">
        <v>1565</v>
      </c>
      <c r="W36">
        <v>805</v>
      </c>
      <c r="X36" t="s">
        <v>1566</v>
      </c>
      <c r="Y36" t="s">
        <v>1567</v>
      </c>
      <c r="Z36">
        <v>2</v>
      </c>
      <c r="AA36" t="s">
        <v>58</v>
      </c>
    </row>
    <row r="37" spans="1:27" x14ac:dyDescent="0.25">
      <c r="A37" t="s">
        <v>1553</v>
      </c>
      <c r="B37" t="s">
        <v>1554</v>
      </c>
      <c r="C37" t="s">
        <v>1629</v>
      </c>
      <c r="D37" t="s">
        <v>1630</v>
      </c>
      <c r="E37" t="s">
        <v>594</v>
      </c>
      <c r="F37" t="s">
        <v>1631</v>
      </c>
      <c r="G37">
        <v>16310</v>
      </c>
      <c r="H37">
        <v>0</v>
      </c>
      <c r="I37" t="s">
        <v>1469</v>
      </c>
      <c r="J37">
        <v>0</v>
      </c>
      <c r="K37">
        <v>1</v>
      </c>
      <c r="L37" t="s">
        <v>1555</v>
      </c>
      <c r="M37" t="s">
        <v>1556</v>
      </c>
      <c r="N37" t="s">
        <v>1557</v>
      </c>
      <c r="O37" t="s">
        <v>1632</v>
      </c>
      <c r="P37" t="s">
        <v>1559</v>
      </c>
      <c r="Q37" t="s">
        <v>1560</v>
      </c>
      <c r="R37" t="s">
        <v>1561</v>
      </c>
      <c r="S37" t="s">
        <v>1562</v>
      </c>
      <c r="T37" t="s">
        <v>1563</v>
      </c>
      <c r="U37" t="s">
        <v>1564</v>
      </c>
      <c r="V37" t="s">
        <v>1565</v>
      </c>
      <c r="W37">
        <v>805</v>
      </c>
      <c r="X37" t="s">
        <v>1566</v>
      </c>
      <c r="Y37" t="s">
        <v>1567</v>
      </c>
      <c r="Z37">
        <v>2</v>
      </c>
      <c r="AA37" t="s">
        <v>58</v>
      </c>
    </row>
    <row r="38" spans="1:27" x14ac:dyDescent="0.25">
      <c r="A38" t="s">
        <v>1553</v>
      </c>
      <c r="B38" t="s">
        <v>1554</v>
      </c>
      <c r="C38" t="s">
        <v>1633</v>
      </c>
      <c r="D38" t="s">
        <v>1634</v>
      </c>
      <c r="E38" t="s">
        <v>594</v>
      </c>
      <c r="F38" t="s">
        <v>1635</v>
      </c>
      <c r="G38">
        <v>14788</v>
      </c>
      <c r="H38">
        <v>0</v>
      </c>
      <c r="I38" t="s">
        <v>1469</v>
      </c>
      <c r="J38">
        <v>0</v>
      </c>
      <c r="K38">
        <v>1</v>
      </c>
      <c r="L38" t="s">
        <v>1555</v>
      </c>
      <c r="M38" t="s">
        <v>1556</v>
      </c>
      <c r="N38" t="s">
        <v>1557</v>
      </c>
      <c r="O38" t="s">
        <v>1636</v>
      </c>
      <c r="P38" t="s">
        <v>1559</v>
      </c>
      <c r="Q38" t="s">
        <v>1560</v>
      </c>
      <c r="R38" t="s">
        <v>1561</v>
      </c>
      <c r="S38" t="s">
        <v>1562</v>
      </c>
      <c r="T38" t="s">
        <v>1563</v>
      </c>
      <c r="U38" t="s">
        <v>1564</v>
      </c>
      <c r="V38" t="s">
        <v>1565</v>
      </c>
      <c r="W38">
        <v>805</v>
      </c>
      <c r="X38" t="s">
        <v>1566</v>
      </c>
      <c r="Y38" t="s">
        <v>1567</v>
      </c>
      <c r="Z38">
        <v>2</v>
      </c>
      <c r="AA38" t="s">
        <v>58</v>
      </c>
    </row>
    <row r="39" spans="1:27" x14ac:dyDescent="0.25">
      <c r="A39" t="s">
        <v>1553</v>
      </c>
      <c r="B39" t="s">
        <v>1554</v>
      </c>
      <c r="C39" t="s">
        <v>1637</v>
      </c>
      <c r="D39" t="s">
        <v>1638</v>
      </c>
      <c r="E39" t="s">
        <v>594</v>
      </c>
      <c r="F39" t="s">
        <v>1639</v>
      </c>
      <c r="G39">
        <v>14618</v>
      </c>
      <c r="H39">
        <v>0</v>
      </c>
      <c r="I39" t="s">
        <v>1469</v>
      </c>
      <c r="J39">
        <v>0</v>
      </c>
      <c r="K39">
        <v>1</v>
      </c>
      <c r="L39" t="s">
        <v>1555</v>
      </c>
      <c r="M39" t="s">
        <v>1556</v>
      </c>
      <c r="N39" t="s">
        <v>1557</v>
      </c>
      <c r="O39" t="s">
        <v>1640</v>
      </c>
      <c r="P39" t="s">
        <v>1559</v>
      </c>
      <c r="Q39" t="s">
        <v>1560</v>
      </c>
      <c r="R39" t="s">
        <v>1561</v>
      </c>
      <c r="S39" t="s">
        <v>1562</v>
      </c>
      <c r="T39" t="s">
        <v>1563</v>
      </c>
      <c r="U39" t="s">
        <v>1564</v>
      </c>
      <c r="V39" t="s">
        <v>1565</v>
      </c>
      <c r="W39">
        <v>805</v>
      </c>
      <c r="X39" t="s">
        <v>1566</v>
      </c>
      <c r="Y39" t="s">
        <v>1567</v>
      </c>
      <c r="Z39">
        <v>2</v>
      </c>
      <c r="AA39" t="s">
        <v>58</v>
      </c>
    </row>
    <row r="40" spans="1:27" x14ac:dyDescent="0.25">
      <c r="A40" t="s">
        <v>1553</v>
      </c>
      <c r="B40" t="s">
        <v>1554</v>
      </c>
      <c r="C40" t="s">
        <v>1641</v>
      </c>
      <c r="D40" t="s">
        <v>1642</v>
      </c>
      <c r="E40" t="s">
        <v>594</v>
      </c>
      <c r="F40" t="s">
        <v>1643</v>
      </c>
      <c r="G40">
        <v>14571</v>
      </c>
      <c r="H40">
        <v>0</v>
      </c>
      <c r="I40" t="s">
        <v>1469</v>
      </c>
      <c r="J40">
        <v>0</v>
      </c>
      <c r="K40">
        <v>1</v>
      </c>
      <c r="L40" t="s">
        <v>1555</v>
      </c>
      <c r="M40" t="s">
        <v>1556</v>
      </c>
      <c r="N40" t="s">
        <v>1557</v>
      </c>
      <c r="O40" t="s">
        <v>1644</v>
      </c>
      <c r="P40" t="s">
        <v>1559</v>
      </c>
      <c r="Q40" t="s">
        <v>1560</v>
      </c>
      <c r="R40" t="s">
        <v>1561</v>
      </c>
      <c r="S40" t="s">
        <v>1562</v>
      </c>
      <c r="T40" t="s">
        <v>1563</v>
      </c>
      <c r="U40" t="s">
        <v>1564</v>
      </c>
      <c r="V40" t="s">
        <v>1565</v>
      </c>
      <c r="W40">
        <v>805</v>
      </c>
      <c r="X40" t="s">
        <v>1566</v>
      </c>
      <c r="Y40" t="s">
        <v>1567</v>
      </c>
      <c r="Z40">
        <v>2</v>
      </c>
      <c r="AA40" t="s">
        <v>58</v>
      </c>
    </row>
    <row r="41" spans="1:27" x14ac:dyDescent="0.25">
      <c r="A41" t="s">
        <v>1553</v>
      </c>
      <c r="B41" t="s">
        <v>1554</v>
      </c>
      <c r="C41" t="s">
        <v>1645</v>
      </c>
      <c r="D41" t="s">
        <v>1646</v>
      </c>
      <c r="E41" t="s">
        <v>594</v>
      </c>
      <c r="F41" t="s">
        <v>1647</v>
      </c>
      <c r="G41">
        <v>13774</v>
      </c>
      <c r="H41">
        <v>0</v>
      </c>
      <c r="I41" t="s">
        <v>1469</v>
      </c>
      <c r="J41">
        <v>0</v>
      </c>
      <c r="K41">
        <v>1</v>
      </c>
      <c r="L41" t="s">
        <v>1555</v>
      </c>
      <c r="M41" t="s">
        <v>1556</v>
      </c>
      <c r="N41" t="s">
        <v>1557</v>
      </c>
      <c r="O41" t="s">
        <v>1648</v>
      </c>
      <c r="P41" t="s">
        <v>1559</v>
      </c>
      <c r="Q41" t="s">
        <v>1560</v>
      </c>
      <c r="R41" t="s">
        <v>1561</v>
      </c>
      <c r="S41" t="s">
        <v>1562</v>
      </c>
      <c r="T41" t="s">
        <v>1563</v>
      </c>
      <c r="U41" t="s">
        <v>1564</v>
      </c>
      <c r="V41" t="s">
        <v>1565</v>
      </c>
      <c r="W41">
        <v>805</v>
      </c>
      <c r="X41" t="s">
        <v>1566</v>
      </c>
      <c r="Y41" t="s">
        <v>1567</v>
      </c>
      <c r="Z41">
        <v>2</v>
      </c>
      <c r="AA41" t="s">
        <v>58</v>
      </c>
    </row>
    <row r="42" spans="1:27" x14ac:dyDescent="0.25">
      <c r="A42" t="s">
        <v>1553</v>
      </c>
      <c r="B42" t="s">
        <v>1554</v>
      </c>
      <c r="C42" t="s">
        <v>1649</v>
      </c>
      <c r="D42" t="s">
        <v>1650</v>
      </c>
      <c r="E42" t="s">
        <v>594</v>
      </c>
      <c r="F42" t="s">
        <v>1651</v>
      </c>
      <c r="G42">
        <v>13709</v>
      </c>
      <c r="H42">
        <v>0</v>
      </c>
      <c r="I42" t="s">
        <v>1469</v>
      </c>
      <c r="J42">
        <v>0</v>
      </c>
      <c r="K42">
        <v>1</v>
      </c>
      <c r="L42" t="s">
        <v>1555</v>
      </c>
      <c r="M42" t="s">
        <v>1556</v>
      </c>
      <c r="N42" t="s">
        <v>1557</v>
      </c>
      <c r="O42" t="s">
        <v>1652</v>
      </c>
      <c r="P42" t="s">
        <v>1559</v>
      </c>
      <c r="Q42" t="s">
        <v>1560</v>
      </c>
      <c r="R42" t="s">
        <v>1561</v>
      </c>
      <c r="S42" t="s">
        <v>1562</v>
      </c>
      <c r="T42" t="s">
        <v>1563</v>
      </c>
      <c r="U42" t="s">
        <v>1564</v>
      </c>
      <c r="V42" t="s">
        <v>1565</v>
      </c>
      <c r="W42">
        <v>805</v>
      </c>
      <c r="X42" t="s">
        <v>1566</v>
      </c>
      <c r="Y42" t="s">
        <v>1567</v>
      </c>
      <c r="Z42">
        <v>2</v>
      </c>
      <c r="AA42" t="s">
        <v>58</v>
      </c>
    </row>
    <row r="43" spans="1:27" x14ac:dyDescent="0.25">
      <c r="A43" t="s">
        <v>1553</v>
      </c>
      <c r="B43" t="s">
        <v>1554</v>
      </c>
      <c r="C43" t="s">
        <v>1653</v>
      </c>
      <c r="D43" t="s">
        <v>1654</v>
      </c>
      <c r="E43" t="s">
        <v>594</v>
      </c>
      <c r="F43" t="s">
        <v>1655</v>
      </c>
      <c r="G43">
        <v>12634</v>
      </c>
      <c r="H43">
        <v>0</v>
      </c>
      <c r="I43" t="s">
        <v>1469</v>
      </c>
      <c r="J43">
        <v>0</v>
      </c>
      <c r="K43">
        <v>1</v>
      </c>
      <c r="L43" t="s">
        <v>1555</v>
      </c>
      <c r="M43" t="s">
        <v>1556</v>
      </c>
      <c r="N43" t="s">
        <v>1557</v>
      </c>
      <c r="O43" t="s">
        <v>1656</v>
      </c>
      <c r="P43" t="s">
        <v>1559</v>
      </c>
      <c r="Q43" t="s">
        <v>1560</v>
      </c>
      <c r="R43" t="s">
        <v>1561</v>
      </c>
      <c r="S43" t="s">
        <v>1562</v>
      </c>
      <c r="T43" t="s">
        <v>1563</v>
      </c>
      <c r="U43" t="s">
        <v>1564</v>
      </c>
      <c r="V43" t="s">
        <v>1565</v>
      </c>
      <c r="W43">
        <v>805</v>
      </c>
      <c r="X43" t="s">
        <v>1566</v>
      </c>
      <c r="Y43" t="s">
        <v>1567</v>
      </c>
      <c r="Z43">
        <v>2</v>
      </c>
      <c r="AA43" t="s">
        <v>58</v>
      </c>
    </row>
    <row r="44" spans="1:27" x14ac:dyDescent="0.25">
      <c r="A44" t="s">
        <v>1553</v>
      </c>
      <c r="B44" t="s">
        <v>1554</v>
      </c>
      <c r="C44" t="s">
        <v>1657</v>
      </c>
      <c r="D44" t="s">
        <v>1658</v>
      </c>
      <c r="E44" t="s">
        <v>594</v>
      </c>
      <c r="F44" t="s">
        <v>1659</v>
      </c>
      <c r="G44">
        <v>10586</v>
      </c>
      <c r="H44">
        <v>0</v>
      </c>
      <c r="I44" t="s">
        <v>1469</v>
      </c>
      <c r="J44">
        <v>0</v>
      </c>
      <c r="K44">
        <v>1</v>
      </c>
      <c r="L44" t="s">
        <v>1555</v>
      </c>
      <c r="M44" t="s">
        <v>1556</v>
      </c>
      <c r="N44" t="s">
        <v>1557</v>
      </c>
      <c r="O44" t="s">
        <v>1660</v>
      </c>
      <c r="P44" t="s">
        <v>1559</v>
      </c>
      <c r="Q44" t="s">
        <v>1560</v>
      </c>
      <c r="R44" t="s">
        <v>1561</v>
      </c>
      <c r="S44" t="s">
        <v>1562</v>
      </c>
      <c r="T44" t="s">
        <v>1563</v>
      </c>
      <c r="U44" t="s">
        <v>1564</v>
      </c>
      <c r="V44" t="s">
        <v>1565</v>
      </c>
      <c r="W44">
        <v>805</v>
      </c>
      <c r="X44" t="s">
        <v>1566</v>
      </c>
      <c r="Y44" t="s">
        <v>1567</v>
      </c>
      <c r="Z44">
        <v>2</v>
      </c>
      <c r="AA44" t="s">
        <v>58</v>
      </c>
    </row>
    <row r="45" spans="1:27" x14ac:dyDescent="0.25">
      <c r="A45" t="s">
        <v>1553</v>
      </c>
      <c r="B45" t="s">
        <v>1554</v>
      </c>
      <c r="C45" t="s">
        <v>1661</v>
      </c>
      <c r="D45" t="s">
        <v>1662</v>
      </c>
      <c r="E45" t="s">
        <v>594</v>
      </c>
      <c r="F45" t="s">
        <v>1663</v>
      </c>
      <c r="G45">
        <v>10417</v>
      </c>
      <c r="H45">
        <v>0</v>
      </c>
      <c r="I45" t="s">
        <v>1469</v>
      </c>
      <c r="J45">
        <v>0</v>
      </c>
      <c r="K45">
        <v>1</v>
      </c>
      <c r="L45" t="s">
        <v>1555</v>
      </c>
      <c r="M45" t="s">
        <v>1556</v>
      </c>
      <c r="N45" t="s">
        <v>1557</v>
      </c>
      <c r="O45" t="s">
        <v>1664</v>
      </c>
      <c r="P45" t="s">
        <v>1559</v>
      </c>
      <c r="Q45" t="s">
        <v>1560</v>
      </c>
      <c r="R45" t="s">
        <v>1561</v>
      </c>
      <c r="S45" t="s">
        <v>1562</v>
      </c>
      <c r="T45" t="s">
        <v>1563</v>
      </c>
      <c r="U45" t="s">
        <v>1564</v>
      </c>
      <c r="V45" t="s">
        <v>1565</v>
      </c>
      <c r="W45">
        <v>805</v>
      </c>
      <c r="X45" t="s">
        <v>1566</v>
      </c>
      <c r="Y45" t="s">
        <v>1567</v>
      </c>
      <c r="Z45">
        <v>2</v>
      </c>
      <c r="AA45" t="s">
        <v>58</v>
      </c>
    </row>
    <row r="46" spans="1:27" x14ac:dyDescent="0.25">
      <c r="A46" t="s">
        <v>1553</v>
      </c>
      <c r="B46" t="s">
        <v>1554</v>
      </c>
      <c r="C46" t="s">
        <v>1665</v>
      </c>
      <c r="D46" t="s">
        <v>1666</v>
      </c>
      <c r="E46" t="s">
        <v>594</v>
      </c>
      <c r="F46" t="s">
        <v>1667</v>
      </c>
      <c r="G46">
        <v>10398</v>
      </c>
      <c r="H46">
        <v>0</v>
      </c>
      <c r="I46" t="s">
        <v>1469</v>
      </c>
      <c r="J46">
        <v>0</v>
      </c>
      <c r="K46">
        <v>1</v>
      </c>
      <c r="L46" t="s">
        <v>1555</v>
      </c>
      <c r="M46" t="s">
        <v>1556</v>
      </c>
      <c r="N46" t="s">
        <v>1557</v>
      </c>
      <c r="O46" t="s">
        <v>1668</v>
      </c>
      <c r="P46" t="s">
        <v>1559</v>
      </c>
      <c r="Q46" t="s">
        <v>1560</v>
      </c>
      <c r="R46" t="s">
        <v>1561</v>
      </c>
      <c r="S46" t="s">
        <v>1562</v>
      </c>
      <c r="T46" t="s">
        <v>1563</v>
      </c>
      <c r="U46" t="s">
        <v>1564</v>
      </c>
      <c r="V46" t="s">
        <v>1565</v>
      </c>
      <c r="W46">
        <v>805</v>
      </c>
      <c r="X46" t="s">
        <v>1566</v>
      </c>
      <c r="Y46" t="s">
        <v>1567</v>
      </c>
      <c r="Z46">
        <v>2</v>
      </c>
      <c r="AA46" t="s">
        <v>58</v>
      </c>
    </row>
    <row r="47" spans="1:27" x14ac:dyDescent="0.25">
      <c r="A47" t="s">
        <v>1553</v>
      </c>
      <c r="B47" t="s">
        <v>1554</v>
      </c>
      <c r="C47" t="s">
        <v>1669</v>
      </c>
      <c r="D47" t="s">
        <v>1670</v>
      </c>
      <c r="E47" t="s">
        <v>594</v>
      </c>
      <c r="F47" t="s">
        <v>1671</v>
      </c>
      <c r="G47">
        <v>10387</v>
      </c>
      <c r="H47">
        <v>0</v>
      </c>
      <c r="I47" t="s">
        <v>1469</v>
      </c>
      <c r="J47">
        <v>0</v>
      </c>
      <c r="K47">
        <v>1</v>
      </c>
      <c r="L47" t="s">
        <v>1555</v>
      </c>
      <c r="M47" t="s">
        <v>1556</v>
      </c>
      <c r="N47" t="s">
        <v>1557</v>
      </c>
      <c r="O47" t="s">
        <v>1672</v>
      </c>
      <c r="P47" t="s">
        <v>1559</v>
      </c>
      <c r="Q47" t="s">
        <v>1560</v>
      </c>
      <c r="R47" t="s">
        <v>1561</v>
      </c>
      <c r="S47" t="s">
        <v>1562</v>
      </c>
      <c r="T47" t="s">
        <v>1563</v>
      </c>
      <c r="U47" t="s">
        <v>1564</v>
      </c>
      <c r="V47" t="s">
        <v>1565</v>
      </c>
      <c r="W47">
        <v>805</v>
      </c>
      <c r="X47" t="s">
        <v>1566</v>
      </c>
      <c r="Y47" t="s">
        <v>1567</v>
      </c>
      <c r="Z47">
        <v>2</v>
      </c>
      <c r="AA47" t="s">
        <v>58</v>
      </c>
    </row>
    <row r="48" spans="1:27" x14ac:dyDescent="0.25">
      <c r="A48" t="s">
        <v>1553</v>
      </c>
      <c r="B48" t="s">
        <v>1554</v>
      </c>
      <c r="C48" t="s">
        <v>1673</v>
      </c>
      <c r="D48" t="s">
        <v>1674</v>
      </c>
      <c r="E48" t="s">
        <v>594</v>
      </c>
      <c r="F48" t="s">
        <v>1675</v>
      </c>
      <c r="G48">
        <v>10322</v>
      </c>
      <c r="H48">
        <v>0</v>
      </c>
      <c r="I48" t="s">
        <v>1469</v>
      </c>
      <c r="J48">
        <v>0</v>
      </c>
      <c r="K48">
        <v>1</v>
      </c>
      <c r="L48" t="s">
        <v>1555</v>
      </c>
      <c r="M48" t="s">
        <v>1556</v>
      </c>
      <c r="N48" t="s">
        <v>1557</v>
      </c>
      <c r="O48" t="s">
        <v>1676</v>
      </c>
      <c r="P48" t="s">
        <v>1559</v>
      </c>
      <c r="Q48" t="s">
        <v>1560</v>
      </c>
      <c r="R48" t="s">
        <v>1561</v>
      </c>
      <c r="S48" t="s">
        <v>1562</v>
      </c>
      <c r="T48" t="s">
        <v>1563</v>
      </c>
      <c r="U48" t="s">
        <v>1564</v>
      </c>
      <c r="V48" t="s">
        <v>1565</v>
      </c>
      <c r="W48">
        <v>805</v>
      </c>
      <c r="X48" t="s">
        <v>1566</v>
      </c>
      <c r="Y48" t="s">
        <v>1567</v>
      </c>
      <c r="Z48">
        <v>2</v>
      </c>
      <c r="AA48" t="s">
        <v>58</v>
      </c>
    </row>
    <row r="49" spans="1:27" x14ac:dyDescent="0.25">
      <c r="A49" t="s">
        <v>1553</v>
      </c>
      <c r="B49" t="s">
        <v>1554</v>
      </c>
      <c r="C49" t="s">
        <v>1677</v>
      </c>
      <c r="D49" t="s">
        <v>1678</v>
      </c>
      <c r="E49" t="s">
        <v>594</v>
      </c>
      <c r="F49" t="s">
        <v>1679</v>
      </c>
      <c r="G49">
        <v>10167</v>
      </c>
      <c r="H49">
        <v>0</v>
      </c>
      <c r="I49" t="s">
        <v>1469</v>
      </c>
      <c r="J49">
        <v>0</v>
      </c>
      <c r="K49">
        <v>1</v>
      </c>
      <c r="L49" t="s">
        <v>1555</v>
      </c>
      <c r="M49" t="s">
        <v>1556</v>
      </c>
      <c r="N49" t="s">
        <v>1557</v>
      </c>
      <c r="O49" t="s">
        <v>1680</v>
      </c>
      <c r="P49" t="s">
        <v>1559</v>
      </c>
      <c r="Q49" t="s">
        <v>1560</v>
      </c>
      <c r="R49" t="s">
        <v>1561</v>
      </c>
      <c r="S49" t="s">
        <v>1562</v>
      </c>
      <c r="T49" t="s">
        <v>1563</v>
      </c>
      <c r="U49" t="s">
        <v>1564</v>
      </c>
      <c r="V49" t="s">
        <v>1565</v>
      </c>
      <c r="W49">
        <v>805</v>
      </c>
      <c r="X49" t="s">
        <v>1566</v>
      </c>
      <c r="Y49" t="s">
        <v>1567</v>
      </c>
      <c r="Z49">
        <v>2</v>
      </c>
      <c r="AA49" t="s">
        <v>58</v>
      </c>
    </row>
    <row r="50" spans="1:27" x14ac:dyDescent="0.25">
      <c r="A50" t="s">
        <v>1553</v>
      </c>
      <c r="B50" t="s">
        <v>1554</v>
      </c>
      <c r="C50" t="s">
        <v>1025</v>
      </c>
      <c r="D50" t="s">
        <v>1026</v>
      </c>
      <c r="E50" t="s">
        <v>594</v>
      </c>
      <c r="F50" t="s">
        <v>1027</v>
      </c>
      <c r="G50">
        <v>9109</v>
      </c>
      <c r="H50">
        <v>0</v>
      </c>
      <c r="I50" t="s">
        <v>1469</v>
      </c>
      <c r="J50">
        <v>0</v>
      </c>
      <c r="K50">
        <v>1</v>
      </c>
      <c r="L50" t="s">
        <v>1555</v>
      </c>
      <c r="M50" t="s">
        <v>1556</v>
      </c>
      <c r="N50" t="s">
        <v>1557</v>
      </c>
      <c r="O50" t="s">
        <v>1681</v>
      </c>
      <c r="P50" t="s">
        <v>1559</v>
      </c>
      <c r="Q50" t="s">
        <v>1560</v>
      </c>
      <c r="R50" t="s">
        <v>1561</v>
      </c>
      <c r="S50" t="s">
        <v>1562</v>
      </c>
      <c r="T50" t="s">
        <v>1563</v>
      </c>
      <c r="U50" t="s">
        <v>1564</v>
      </c>
      <c r="V50" t="s">
        <v>1565</v>
      </c>
      <c r="W50">
        <v>805</v>
      </c>
      <c r="X50" t="s">
        <v>1566</v>
      </c>
      <c r="Y50" t="s">
        <v>1567</v>
      </c>
      <c r="Z50">
        <v>2</v>
      </c>
      <c r="AA50" t="s">
        <v>58</v>
      </c>
    </row>
    <row r="51" spans="1:27" x14ac:dyDescent="0.25">
      <c r="A51" t="s">
        <v>1553</v>
      </c>
      <c r="B51" t="s">
        <v>1554</v>
      </c>
      <c r="C51" t="s">
        <v>1463</v>
      </c>
      <c r="D51" t="s">
        <v>1462</v>
      </c>
      <c r="E51" t="s">
        <v>594</v>
      </c>
      <c r="F51" t="s">
        <v>1461</v>
      </c>
      <c r="G51">
        <v>8300</v>
      </c>
      <c r="H51">
        <v>0</v>
      </c>
      <c r="I51" t="s">
        <v>1469</v>
      </c>
      <c r="J51">
        <v>0</v>
      </c>
      <c r="K51">
        <v>1</v>
      </c>
      <c r="L51" t="s">
        <v>1555</v>
      </c>
      <c r="M51" t="s">
        <v>1556</v>
      </c>
      <c r="N51" t="s">
        <v>1557</v>
      </c>
      <c r="O51" t="s">
        <v>1682</v>
      </c>
      <c r="P51" t="s">
        <v>1559</v>
      </c>
      <c r="Q51" t="s">
        <v>1560</v>
      </c>
      <c r="R51" t="s">
        <v>1561</v>
      </c>
      <c r="S51" t="s">
        <v>1562</v>
      </c>
      <c r="T51" t="s">
        <v>1563</v>
      </c>
      <c r="U51" t="s">
        <v>1564</v>
      </c>
      <c r="V51" t="s">
        <v>1565</v>
      </c>
      <c r="W51">
        <v>805</v>
      </c>
      <c r="X51" t="s">
        <v>1566</v>
      </c>
      <c r="Y51" t="s">
        <v>1567</v>
      </c>
      <c r="Z51">
        <v>2</v>
      </c>
      <c r="AA51" t="s">
        <v>58</v>
      </c>
    </row>
    <row r="52" spans="1:27" x14ac:dyDescent="0.25">
      <c r="A52" t="s">
        <v>1553</v>
      </c>
      <c r="B52" t="s">
        <v>1554</v>
      </c>
      <c r="C52" t="s">
        <v>1683</v>
      </c>
      <c r="D52" t="s">
        <v>1684</v>
      </c>
      <c r="E52" t="s">
        <v>594</v>
      </c>
      <c r="F52" t="s">
        <v>1685</v>
      </c>
      <c r="G52">
        <v>7889</v>
      </c>
      <c r="H52">
        <v>0</v>
      </c>
      <c r="I52" t="s">
        <v>1469</v>
      </c>
      <c r="J52">
        <v>0</v>
      </c>
      <c r="K52">
        <v>1</v>
      </c>
      <c r="L52" t="s">
        <v>1555</v>
      </c>
      <c r="M52" t="s">
        <v>1556</v>
      </c>
      <c r="N52" t="s">
        <v>1557</v>
      </c>
      <c r="O52" t="s">
        <v>1686</v>
      </c>
      <c r="P52" t="s">
        <v>1559</v>
      </c>
      <c r="Q52" t="s">
        <v>1560</v>
      </c>
      <c r="R52" t="s">
        <v>1561</v>
      </c>
      <c r="S52" t="s">
        <v>1562</v>
      </c>
      <c r="T52" t="s">
        <v>1563</v>
      </c>
      <c r="U52" t="s">
        <v>1564</v>
      </c>
      <c r="V52" t="s">
        <v>1565</v>
      </c>
      <c r="W52">
        <v>805</v>
      </c>
      <c r="X52" t="s">
        <v>1566</v>
      </c>
      <c r="Y52" t="s">
        <v>1567</v>
      </c>
      <c r="Z52">
        <v>2</v>
      </c>
      <c r="AA52" t="s">
        <v>58</v>
      </c>
    </row>
    <row r="53" spans="1:27" x14ac:dyDescent="0.25">
      <c r="A53" t="s">
        <v>1553</v>
      </c>
      <c r="B53" t="s">
        <v>1554</v>
      </c>
      <c r="C53" t="s">
        <v>1687</v>
      </c>
      <c r="D53" t="s">
        <v>1688</v>
      </c>
      <c r="E53" t="s">
        <v>594</v>
      </c>
      <c r="F53" t="s">
        <v>1689</v>
      </c>
      <c r="G53">
        <v>7281</v>
      </c>
      <c r="H53">
        <v>0</v>
      </c>
      <c r="I53" t="s">
        <v>1469</v>
      </c>
      <c r="J53">
        <v>0</v>
      </c>
      <c r="K53">
        <v>1</v>
      </c>
      <c r="L53" t="s">
        <v>1555</v>
      </c>
      <c r="M53" t="s">
        <v>1556</v>
      </c>
      <c r="N53" t="s">
        <v>1557</v>
      </c>
      <c r="O53" t="s">
        <v>1690</v>
      </c>
      <c r="P53" t="s">
        <v>1559</v>
      </c>
      <c r="Q53" t="s">
        <v>1560</v>
      </c>
      <c r="R53" t="s">
        <v>1561</v>
      </c>
      <c r="S53" t="s">
        <v>1562</v>
      </c>
      <c r="T53" t="s">
        <v>1563</v>
      </c>
      <c r="U53" t="s">
        <v>1564</v>
      </c>
      <c r="V53" t="s">
        <v>1565</v>
      </c>
      <c r="W53">
        <v>805</v>
      </c>
      <c r="X53" t="s">
        <v>1566</v>
      </c>
      <c r="Y53" t="s">
        <v>1567</v>
      </c>
      <c r="Z53">
        <v>2</v>
      </c>
      <c r="AA53" t="s">
        <v>58</v>
      </c>
    </row>
    <row r="54" spans="1:27" x14ac:dyDescent="0.25">
      <c r="A54" t="s">
        <v>1553</v>
      </c>
      <c r="B54" t="s">
        <v>1554</v>
      </c>
      <c r="C54" t="s">
        <v>1016</v>
      </c>
      <c r="D54" t="s">
        <v>1017</v>
      </c>
      <c r="E54" t="s">
        <v>594</v>
      </c>
      <c r="F54" t="s">
        <v>1018</v>
      </c>
      <c r="G54">
        <v>7658</v>
      </c>
      <c r="H54">
        <v>0</v>
      </c>
      <c r="I54" t="s">
        <v>1469</v>
      </c>
      <c r="J54">
        <v>0</v>
      </c>
      <c r="K54">
        <v>1</v>
      </c>
      <c r="L54" t="s">
        <v>1555</v>
      </c>
      <c r="M54" t="s">
        <v>1556</v>
      </c>
      <c r="N54" t="s">
        <v>1557</v>
      </c>
      <c r="O54" t="s">
        <v>1691</v>
      </c>
      <c r="P54" t="s">
        <v>1559</v>
      </c>
      <c r="Q54" t="s">
        <v>1560</v>
      </c>
      <c r="R54" t="s">
        <v>1561</v>
      </c>
      <c r="S54" t="s">
        <v>1562</v>
      </c>
      <c r="T54" t="s">
        <v>1563</v>
      </c>
      <c r="U54" t="s">
        <v>1564</v>
      </c>
      <c r="V54" t="s">
        <v>1565</v>
      </c>
      <c r="W54">
        <v>805</v>
      </c>
      <c r="X54" t="s">
        <v>1566</v>
      </c>
      <c r="Y54" t="s">
        <v>1567</v>
      </c>
      <c r="Z54">
        <v>2</v>
      </c>
      <c r="AA54" t="s">
        <v>58</v>
      </c>
    </row>
    <row r="55" spans="1:27" x14ac:dyDescent="0.25">
      <c r="A55" t="s">
        <v>1553</v>
      </c>
      <c r="B55" t="s">
        <v>1554</v>
      </c>
      <c r="C55" t="s">
        <v>1692</v>
      </c>
      <c r="D55" t="s">
        <v>1693</v>
      </c>
      <c r="E55" t="s">
        <v>594</v>
      </c>
      <c r="F55" t="s">
        <v>1694</v>
      </c>
      <c r="G55">
        <v>8349</v>
      </c>
      <c r="H55">
        <v>0</v>
      </c>
      <c r="I55" t="s">
        <v>1469</v>
      </c>
      <c r="J55">
        <v>0</v>
      </c>
      <c r="K55">
        <v>1</v>
      </c>
      <c r="L55" t="s">
        <v>1555</v>
      </c>
      <c r="M55" t="s">
        <v>1556</v>
      </c>
      <c r="N55" t="s">
        <v>1557</v>
      </c>
      <c r="O55" t="s">
        <v>1695</v>
      </c>
      <c r="P55" t="s">
        <v>1559</v>
      </c>
      <c r="Q55" t="s">
        <v>1560</v>
      </c>
      <c r="R55" t="s">
        <v>1561</v>
      </c>
      <c r="S55" t="s">
        <v>1562</v>
      </c>
      <c r="T55" t="s">
        <v>1563</v>
      </c>
      <c r="U55" t="s">
        <v>1564</v>
      </c>
      <c r="V55" t="s">
        <v>1565</v>
      </c>
      <c r="W55">
        <v>805</v>
      </c>
      <c r="X55" t="s">
        <v>1566</v>
      </c>
      <c r="Y55" t="s">
        <v>1567</v>
      </c>
      <c r="Z55">
        <v>2</v>
      </c>
      <c r="AA55" t="s">
        <v>58</v>
      </c>
    </row>
    <row r="56" spans="1:27" x14ac:dyDescent="0.25">
      <c r="A56" t="s">
        <v>1553</v>
      </c>
      <c r="B56" t="s">
        <v>1554</v>
      </c>
      <c r="C56" t="s">
        <v>1696</v>
      </c>
      <c r="D56" t="s">
        <v>1697</v>
      </c>
      <c r="E56" t="s">
        <v>594</v>
      </c>
      <c r="F56" t="s">
        <v>1698</v>
      </c>
      <c r="G56">
        <v>9685</v>
      </c>
      <c r="H56">
        <v>0</v>
      </c>
      <c r="I56" t="s">
        <v>1469</v>
      </c>
      <c r="J56">
        <v>0</v>
      </c>
      <c r="K56">
        <v>1</v>
      </c>
      <c r="L56" t="s">
        <v>1555</v>
      </c>
      <c r="M56" t="s">
        <v>1556</v>
      </c>
      <c r="N56" t="s">
        <v>1557</v>
      </c>
      <c r="O56" t="s">
        <v>1699</v>
      </c>
      <c r="P56" t="s">
        <v>1559</v>
      </c>
      <c r="Q56" t="s">
        <v>1560</v>
      </c>
      <c r="R56" t="s">
        <v>1561</v>
      </c>
      <c r="S56" t="s">
        <v>1562</v>
      </c>
      <c r="T56" t="s">
        <v>1563</v>
      </c>
      <c r="U56" t="s">
        <v>1564</v>
      </c>
      <c r="V56" t="s">
        <v>1565</v>
      </c>
      <c r="W56">
        <v>805</v>
      </c>
      <c r="X56" t="s">
        <v>1566</v>
      </c>
      <c r="Y56" t="s">
        <v>1567</v>
      </c>
      <c r="Z56">
        <v>2</v>
      </c>
      <c r="AA56" t="s">
        <v>58</v>
      </c>
    </row>
    <row r="57" spans="1:27" x14ac:dyDescent="0.25">
      <c r="A57" t="s">
        <v>1553</v>
      </c>
      <c r="B57" t="s">
        <v>1554</v>
      </c>
      <c r="C57" t="s">
        <v>1700</v>
      </c>
      <c r="D57" t="s">
        <v>1701</v>
      </c>
      <c r="E57" t="s">
        <v>594</v>
      </c>
      <c r="F57" t="s">
        <v>1702</v>
      </c>
      <c r="G57">
        <v>6896</v>
      </c>
      <c r="H57">
        <v>0</v>
      </c>
      <c r="I57" t="s">
        <v>1469</v>
      </c>
      <c r="J57">
        <v>0</v>
      </c>
      <c r="K57">
        <v>1</v>
      </c>
      <c r="L57" t="s">
        <v>1555</v>
      </c>
      <c r="M57" t="s">
        <v>1556</v>
      </c>
      <c r="N57" t="s">
        <v>1557</v>
      </c>
      <c r="O57" t="s">
        <v>1703</v>
      </c>
      <c r="P57" t="s">
        <v>1559</v>
      </c>
      <c r="Q57" t="s">
        <v>1560</v>
      </c>
      <c r="R57" t="s">
        <v>1561</v>
      </c>
      <c r="S57" t="s">
        <v>1562</v>
      </c>
      <c r="T57" t="s">
        <v>1563</v>
      </c>
      <c r="U57" t="s">
        <v>1564</v>
      </c>
      <c r="V57" t="s">
        <v>1565</v>
      </c>
      <c r="W57">
        <v>805</v>
      </c>
      <c r="X57" t="s">
        <v>1566</v>
      </c>
      <c r="Y57" t="s">
        <v>1567</v>
      </c>
      <c r="Z57">
        <v>2</v>
      </c>
      <c r="AA57" t="s">
        <v>58</v>
      </c>
    </row>
    <row r="58" spans="1:27" x14ac:dyDescent="0.25">
      <c r="A58" t="s">
        <v>1553</v>
      </c>
      <c r="B58" t="s">
        <v>1554</v>
      </c>
      <c r="C58" t="s">
        <v>1704</v>
      </c>
      <c r="D58" t="s">
        <v>1705</v>
      </c>
      <c r="E58" t="s">
        <v>594</v>
      </c>
      <c r="F58" t="s">
        <v>1706</v>
      </c>
      <c r="G58">
        <v>6889</v>
      </c>
      <c r="H58">
        <v>0</v>
      </c>
      <c r="I58" t="s">
        <v>1469</v>
      </c>
      <c r="J58">
        <v>0</v>
      </c>
      <c r="K58">
        <v>1</v>
      </c>
      <c r="L58" t="s">
        <v>1555</v>
      </c>
      <c r="M58" t="s">
        <v>1556</v>
      </c>
      <c r="N58" t="s">
        <v>1557</v>
      </c>
      <c r="O58" t="s">
        <v>1707</v>
      </c>
      <c r="P58" t="s">
        <v>1559</v>
      </c>
      <c r="Q58" t="s">
        <v>1560</v>
      </c>
      <c r="R58" t="s">
        <v>1561</v>
      </c>
      <c r="S58" t="s">
        <v>1562</v>
      </c>
      <c r="T58" t="s">
        <v>1563</v>
      </c>
      <c r="U58" t="s">
        <v>1564</v>
      </c>
      <c r="V58" t="s">
        <v>1565</v>
      </c>
      <c r="W58">
        <v>805</v>
      </c>
      <c r="X58" t="s">
        <v>1566</v>
      </c>
      <c r="Y58" t="s">
        <v>1567</v>
      </c>
      <c r="Z58">
        <v>2</v>
      </c>
      <c r="AA58" t="s">
        <v>58</v>
      </c>
    </row>
    <row r="59" spans="1:27" x14ac:dyDescent="0.25">
      <c r="A59" t="s">
        <v>1553</v>
      </c>
      <c r="B59" t="s">
        <v>1554</v>
      </c>
      <c r="C59" t="s">
        <v>1708</v>
      </c>
      <c r="D59" t="s">
        <v>1709</v>
      </c>
      <c r="E59" t="s">
        <v>594</v>
      </c>
      <c r="F59" t="s">
        <v>1710</v>
      </c>
      <c r="G59">
        <v>6529</v>
      </c>
      <c r="H59">
        <v>0</v>
      </c>
      <c r="I59" t="s">
        <v>1469</v>
      </c>
      <c r="J59">
        <v>0</v>
      </c>
      <c r="K59">
        <v>1</v>
      </c>
      <c r="L59" t="s">
        <v>1555</v>
      </c>
      <c r="M59" t="s">
        <v>1556</v>
      </c>
      <c r="N59" t="s">
        <v>1557</v>
      </c>
      <c r="O59" t="s">
        <v>1711</v>
      </c>
      <c r="P59" t="s">
        <v>1559</v>
      </c>
      <c r="Q59" t="s">
        <v>1560</v>
      </c>
      <c r="R59" t="s">
        <v>1561</v>
      </c>
      <c r="S59" t="s">
        <v>1562</v>
      </c>
      <c r="T59" t="s">
        <v>1563</v>
      </c>
      <c r="U59" t="s">
        <v>1564</v>
      </c>
      <c r="V59" t="s">
        <v>1565</v>
      </c>
      <c r="W59">
        <v>805</v>
      </c>
      <c r="X59" t="s">
        <v>1566</v>
      </c>
      <c r="Y59" t="s">
        <v>1567</v>
      </c>
      <c r="Z59">
        <v>2</v>
      </c>
      <c r="AA59" t="s">
        <v>58</v>
      </c>
    </row>
    <row r="60" spans="1:27" x14ac:dyDescent="0.25">
      <c r="A60" t="s">
        <v>1553</v>
      </c>
      <c r="B60" t="s">
        <v>1554</v>
      </c>
      <c r="C60" t="s">
        <v>1712</v>
      </c>
      <c r="D60" t="s">
        <v>1713</v>
      </c>
      <c r="E60" t="s">
        <v>594</v>
      </c>
      <c r="F60" t="s">
        <v>1714</v>
      </c>
      <c r="G60">
        <v>5209</v>
      </c>
      <c r="H60">
        <v>0</v>
      </c>
      <c r="I60" t="s">
        <v>1469</v>
      </c>
      <c r="J60">
        <v>0</v>
      </c>
      <c r="K60">
        <v>1</v>
      </c>
      <c r="L60" t="s">
        <v>1555</v>
      </c>
      <c r="M60" t="s">
        <v>1556</v>
      </c>
      <c r="N60" t="s">
        <v>1557</v>
      </c>
      <c r="O60" t="s">
        <v>1715</v>
      </c>
      <c r="P60" t="s">
        <v>1559</v>
      </c>
      <c r="Q60" t="s">
        <v>1560</v>
      </c>
      <c r="R60" t="s">
        <v>1561</v>
      </c>
      <c r="S60" t="s">
        <v>1562</v>
      </c>
      <c r="T60" t="s">
        <v>1563</v>
      </c>
      <c r="U60" t="s">
        <v>1564</v>
      </c>
      <c r="V60" t="s">
        <v>1565</v>
      </c>
      <c r="W60">
        <v>805</v>
      </c>
      <c r="X60" t="s">
        <v>1566</v>
      </c>
      <c r="Y60" t="s">
        <v>1567</v>
      </c>
      <c r="Z60">
        <v>2</v>
      </c>
      <c r="AA60" t="s">
        <v>58</v>
      </c>
    </row>
    <row r="61" spans="1:27" x14ac:dyDescent="0.25">
      <c r="A61" t="s">
        <v>1553</v>
      </c>
      <c r="B61" t="s">
        <v>1554</v>
      </c>
      <c r="C61" t="s">
        <v>1716</v>
      </c>
      <c r="D61" t="s">
        <v>1717</v>
      </c>
      <c r="E61" t="s">
        <v>594</v>
      </c>
      <c r="F61" t="s">
        <v>1718</v>
      </c>
      <c r="G61">
        <v>9843</v>
      </c>
      <c r="H61">
        <v>0</v>
      </c>
      <c r="I61" t="s">
        <v>1469</v>
      </c>
      <c r="J61">
        <v>0</v>
      </c>
      <c r="K61">
        <v>1</v>
      </c>
      <c r="L61" t="s">
        <v>1555</v>
      </c>
      <c r="M61" t="s">
        <v>1556</v>
      </c>
      <c r="N61" t="s">
        <v>1557</v>
      </c>
      <c r="O61" t="s">
        <v>1719</v>
      </c>
      <c r="P61" t="s">
        <v>1559</v>
      </c>
      <c r="Q61" t="s">
        <v>1560</v>
      </c>
      <c r="R61" t="s">
        <v>1561</v>
      </c>
      <c r="S61" t="s">
        <v>1562</v>
      </c>
      <c r="T61" t="s">
        <v>1563</v>
      </c>
      <c r="U61" t="s">
        <v>1564</v>
      </c>
      <c r="V61" t="s">
        <v>1565</v>
      </c>
      <c r="W61">
        <v>805</v>
      </c>
      <c r="X61" t="s">
        <v>1566</v>
      </c>
      <c r="Y61" t="s">
        <v>1567</v>
      </c>
      <c r="Z61">
        <v>2</v>
      </c>
      <c r="AA61" t="s">
        <v>58</v>
      </c>
    </row>
    <row r="62" spans="1:27" x14ac:dyDescent="0.25">
      <c r="A62" t="s">
        <v>1553</v>
      </c>
      <c r="B62" t="s">
        <v>1554</v>
      </c>
      <c r="C62" t="s">
        <v>1720</v>
      </c>
      <c r="D62" t="s">
        <v>1721</v>
      </c>
      <c r="E62" t="s">
        <v>594</v>
      </c>
      <c r="F62" t="s">
        <v>1722</v>
      </c>
      <c r="G62">
        <v>7218</v>
      </c>
      <c r="H62">
        <v>0</v>
      </c>
      <c r="I62" t="s">
        <v>1469</v>
      </c>
      <c r="J62">
        <v>0</v>
      </c>
      <c r="K62">
        <v>1</v>
      </c>
      <c r="L62" t="s">
        <v>1555</v>
      </c>
      <c r="M62" t="s">
        <v>1556</v>
      </c>
      <c r="N62" t="s">
        <v>1557</v>
      </c>
      <c r="O62" t="s">
        <v>1723</v>
      </c>
      <c r="P62" t="s">
        <v>1559</v>
      </c>
      <c r="Q62" t="s">
        <v>1560</v>
      </c>
      <c r="R62" t="s">
        <v>1561</v>
      </c>
      <c r="S62" t="s">
        <v>1562</v>
      </c>
      <c r="T62" t="s">
        <v>1563</v>
      </c>
      <c r="U62" t="s">
        <v>1564</v>
      </c>
      <c r="V62" t="s">
        <v>1565</v>
      </c>
      <c r="W62">
        <v>805</v>
      </c>
      <c r="X62" t="s">
        <v>1566</v>
      </c>
      <c r="Y62" t="s">
        <v>1567</v>
      </c>
      <c r="Z62">
        <v>2</v>
      </c>
      <c r="AA62" t="s">
        <v>58</v>
      </c>
    </row>
    <row r="63" spans="1:27" x14ac:dyDescent="0.25">
      <c r="A63" t="s">
        <v>1553</v>
      </c>
      <c r="B63" t="s">
        <v>1554</v>
      </c>
      <c r="C63" t="s">
        <v>1724</v>
      </c>
      <c r="D63" t="s">
        <v>1725</v>
      </c>
      <c r="E63" t="s">
        <v>594</v>
      </c>
      <c r="F63" t="s">
        <v>1726</v>
      </c>
      <c r="G63">
        <v>5517</v>
      </c>
      <c r="H63">
        <v>0</v>
      </c>
      <c r="I63" t="s">
        <v>1469</v>
      </c>
      <c r="J63">
        <v>0</v>
      </c>
      <c r="K63">
        <v>1</v>
      </c>
      <c r="L63" t="s">
        <v>1555</v>
      </c>
      <c r="M63" t="s">
        <v>1556</v>
      </c>
      <c r="N63" t="s">
        <v>1557</v>
      </c>
      <c r="O63" t="s">
        <v>1727</v>
      </c>
      <c r="P63" t="s">
        <v>1559</v>
      </c>
      <c r="Q63" t="s">
        <v>1560</v>
      </c>
      <c r="R63" t="s">
        <v>1561</v>
      </c>
      <c r="S63" t="s">
        <v>1562</v>
      </c>
      <c r="T63" t="s">
        <v>1563</v>
      </c>
      <c r="U63" t="s">
        <v>1564</v>
      </c>
      <c r="V63" t="s">
        <v>1565</v>
      </c>
      <c r="W63">
        <v>805</v>
      </c>
      <c r="X63" t="s">
        <v>1566</v>
      </c>
      <c r="Y63" t="s">
        <v>1567</v>
      </c>
      <c r="Z63">
        <v>2</v>
      </c>
      <c r="AA63" t="s">
        <v>58</v>
      </c>
    </row>
    <row r="64" spans="1:27" x14ac:dyDescent="0.25">
      <c r="A64" t="s">
        <v>1553</v>
      </c>
      <c r="B64" t="s">
        <v>1554</v>
      </c>
      <c r="C64" t="s">
        <v>1728</v>
      </c>
      <c r="D64" t="s">
        <v>1729</v>
      </c>
      <c r="E64" t="s">
        <v>594</v>
      </c>
      <c r="F64" t="s">
        <v>1730</v>
      </c>
      <c r="G64">
        <v>7478</v>
      </c>
      <c r="H64">
        <v>0</v>
      </c>
      <c r="I64" t="s">
        <v>1469</v>
      </c>
      <c r="J64">
        <v>0</v>
      </c>
      <c r="K64">
        <v>1</v>
      </c>
      <c r="L64" t="s">
        <v>1555</v>
      </c>
      <c r="M64" t="s">
        <v>1556</v>
      </c>
      <c r="N64" t="s">
        <v>1557</v>
      </c>
      <c r="O64" t="s">
        <v>1731</v>
      </c>
      <c r="P64" t="s">
        <v>1559</v>
      </c>
      <c r="Q64" t="s">
        <v>1560</v>
      </c>
      <c r="R64" t="s">
        <v>1561</v>
      </c>
      <c r="S64" t="s">
        <v>1562</v>
      </c>
      <c r="T64" t="s">
        <v>1563</v>
      </c>
      <c r="U64" t="s">
        <v>1564</v>
      </c>
      <c r="V64" t="s">
        <v>1565</v>
      </c>
      <c r="W64">
        <v>805</v>
      </c>
      <c r="X64" t="s">
        <v>1566</v>
      </c>
      <c r="Y64" t="s">
        <v>1567</v>
      </c>
      <c r="Z64">
        <v>2</v>
      </c>
      <c r="AA64" t="s">
        <v>58</v>
      </c>
    </row>
    <row r="65" spans="1:27" x14ac:dyDescent="0.25">
      <c r="A65" t="s">
        <v>1553</v>
      </c>
      <c r="B65" t="s">
        <v>1554</v>
      </c>
      <c r="C65" t="s">
        <v>1732</v>
      </c>
      <c r="D65" t="s">
        <v>1733</v>
      </c>
      <c r="E65" t="s">
        <v>594</v>
      </c>
      <c r="F65" t="s">
        <v>1734</v>
      </c>
      <c r="G65">
        <v>6416</v>
      </c>
      <c r="H65">
        <v>0</v>
      </c>
      <c r="I65" t="s">
        <v>1469</v>
      </c>
      <c r="J65">
        <v>0</v>
      </c>
      <c r="K65">
        <v>1</v>
      </c>
      <c r="L65" t="s">
        <v>1555</v>
      </c>
      <c r="M65" t="s">
        <v>1556</v>
      </c>
      <c r="N65" t="s">
        <v>1557</v>
      </c>
      <c r="O65" t="s">
        <v>1735</v>
      </c>
      <c r="P65" t="s">
        <v>1559</v>
      </c>
      <c r="Q65" t="s">
        <v>1560</v>
      </c>
      <c r="R65" t="s">
        <v>1561</v>
      </c>
      <c r="S65" t="s">
        <v>1562</v>
      </c>
      <c r="T65" t="s">
        <v>1563</v>
      </c>
      <c r="U65" t="s">
        <v>1564</v>
      </c>
      <c r="V65" t="s">
        <v>1565</v>
      </c>
      <c r="W65">
        <v>805</v>
      </c>
      <c r="X65" t="s">
        <v>1566</v>
      </c>
      <c r="Y65" t="s">
        <v>1567</v>
      </c>
      <c r="Z65">
        <v>2</v>
      </c>
      <c r="AA65" t="s">
        <v>58</v>
      </c>
    </row>
    <row r="66" spans="1:27" x14ac:dyDescent="0.25">
      <c r="A66" t="s">
        <v>1553</v>
      </c>
      <c r="B66" t="s">
        <v>1554</v>
      </c>
      <c r="C66" t="s">
        <v>1736</v>
      </c>
      <c r="D66" t="s">
        <v>1737</v>
      </c>
      <c r="E66" t="s">
        <v>594</v>
      </c>
      <c r="F66" t="s">
        <v>1738</v>
      </c>
      <c r="G66">
        <v>575</v>
      </c>
      <c r="H66">
        <v>0</v>
      </c>
      <c r="I66" t="s">
        <v>1469</v>
      </c>
      <c r="J66">
        <v>0</v>
      </c>
      <c r="K66">
        <v>1</v>
      </c>
      <c r="L66" t="s">
        <v>1555</v>
      </c>
      <c r="M66" t="s">
        <v>1556</v>
      </c>
      <c r="N66" t="s">
        <v>1557</v>
      </c>
      <c r="O66" t="s">
        <v>1739</v>
      </c>
      <c r="P66" t="s">
        <v>1559</v>
      </c>
      <c r="Q66" t="s">
        <v>1560</v>
      </c>
      <c r="R66" t="s">
        <v>1561</v>
      </c>
      <c r="S66" t="s">
        <v>1562</v>
      </c>
      <c r="T66" t="s">
        <v>1563</v>
      </c>
      <c r="U66" t="s">
        <v>1564</v>
      </c>
      <c r="V66" t="s">
        <v>1565</v>
      </c>
      <c r="W66">
        <v>805</v>
      </c>
      <c r="X66" t="s">
        <v>1566</v>
      </c>
      <c r="Y66" t="s">
        <v>1567</v>
      </c>
      <c r="Z66">
        <v>2</v>
      </c>
      <c r="AA66" t="s">
        <v>58</v>
      </c>
    </row>
    <row r="67" spans="1:27" x14ac:dyDescent="0.25">
      <c r="A67" t="s">
        <v>1553</v>
      </c>
      <c r="B67" t="s">
        <v>1554</v>
      </c>
      <c r="C67" t="s">
        <v>1740</v>
      </c>
      <c r="D67" t="s">
        <v>1741</v>
      </c>
      <c r="E67" t="s">
        <v>594</v>
      </c>
      <c r="F67" t="s">
        <v>1742</v>
      </c>
      <c r="G67">
        <v>6783</v>
      </c>
      <c r="H67">
        <v>0</v>
      </c>
      <c r="I67" t="s">
        <v>1469</v>
      </c>
      <c r="J67">
        <v>0</v>
      </c>
      <c r="K67">
        <v>1</v>
      </c>
      <c r="L67" t="s">
        <v>1555</v>
      </c>
      <c r="M67" t="s">
        <v>1556</v>
      </c>
      <c r="N67" t="s">
        <v>1557</v>
      </c>
      <c r="O67" t="s">
        <v>1743</v>
      </c>
      <c r="P67" t="s">
        <v>1559</v>
      </c>
      <c r="Q67" t="s">
        <v>1560</v>
      </c>
      <c r="R67" t="s">
        <v>1561</v>
      </c>
      <c r="S67" t="s">
        <v>1562</v>
      </c>
      <c r="T67" t="s">
        <v>1563</v>
      </c>
      <c r="U67" t="s">
        <v>1564</v>
      </c>
      <c r="V67" t="s">
        <v>1565</v>
      </c>
      <c r="W67">
        <v>805</v>
      </c>
      <c r="X67" t="s">
        <v>1566</v>
      </c>
      <c r="Y67" t="s">
        <v>1567</v>
      </c>
      <c r="Z67">
        <v>2</v>
      </c>
      <c r="AA67" t="s">
        <v>58</v>
      </c>
    </row>
    <row r="68" spans="1:27" x14ac:dyDescent="0.25">
      <c r="A68" t="s">
        <v>1553</v>
      </c>
      <c r="B68" t="s">
        <v>1554</v>
      </c>
      <c r="C68" t="s">
        <v>1744</v>
      </c>
      <c r="D68" t="s">
        <v>1745</v>
      </c>
      <c r="E68" t="s">
        <v>594</v>
      </c>
      <c r="F68" t="s">
        <v>1746</v>
      </c>
      <c r="G68">
        <v>6264</v>
      </c>
      <c r="H68">
        <v>0</v>
      </c>
      <c r="I68" t="s">
        <v>1469</v>
      </c>
      <c r="J68">
        <v>0</v>
      </c>
      <c r="K68">
        <v>1</v>
      </c>
      <c r="L68" t="s">
        <v>1555</v>
      </c>
      <c r="M68" t="s">
        <v>1556</v>
      </c>
      <c r="N68" t="s">
        <v>1557</v>
      </c>
      <c r="O68" t="s">
        <v>1747</v>
      </c>
      <c r="P68" t="s">
        <v>1559</v>
      </c>
      <c r="Q68" t="s">
        <v>1560</v>
      </c>
      <c r="R68" t="s">
        <v>1561</v>
      </c>
      <c r="S68" t="s">
        <v>1562</v>
      </c>
      <c r="T68" t="s">
        <v>1563</v>
      </c>
      <c r="U68" t="s">
        <v>1564</v>
      </c>
      <c r="V68" t="s">
        <v>1565</v>
      </c>
      <c r="W68">
        <v>805</v>
      </c>
      <c r="X68" t="s">
        <v>1566</v>
      </c>
      <c r="Y68" t="s">
        <v>1567</v>
      </c>
      <c r="Z68">
        <v>2</v>
      </c>
      <c r="AA68" t="s">
        <v>58</v>
      </c>
    </row>
    <row r="69" spans="1:27" x14ac:dyDescent="0.25">
      <c r="A69" t="s">
        <v>1553</v>
      </c>
      <c r="B69" t="s">
        <v>1554</v>
      </c>
      <c r="C69" t="s">
        <v>1748</v>
      </c>
      <c r="D69" t="s">
        <v>1749</v>
      </c>
      <c r="E69" t="s">
        <v>594</v>
      </c>
      <c r="F69" t="s">
        <v>1750</v>
      </c>
      <c r="G69">
        <v>6872</v>
      </c>
      <c r="H69">
        <v>0</v>
      </c>
      <c r="I69" t="s">
        <v>1469</v>
      </c>
      <c r="J69">
        <v>0</v>
      </c>
      <c r="K69">
        <v>1</v>
      </c>
      <c r="L69" t="s">
        <v>1555</v>
      </c>
      <c r="M69" t="s">
        <v>1556</v>
      </c>
      <c r="N69" t="s">
        <v>1557</v>
      </c>
      <c r="O69" t="s">
        <v>1751</v>
      </c>
      <c r="P69" t="s">
        <v>1559</v>
      </c>
      <c r="Q69" t="s">
        <v>1560</v>
      </c>
      <c r="R69" t="s">
        <v>1561</v>
      </c>
      <c r="S69" t="s">
        <v>1562</v>
      </c>
      <c r="T69" t="s">
        <v>1563</v>
      </c>
      <c r="U69" t="s">
        <v>1564</v>
      </c>
      <c r="V69" t="s">
        <v>1565</v>
      </c>
      <c r="W69">
        <v>805</v>
      </c>
      <c r="X69" t="s">
        <v>1566</v>
      </c>
      <c r="Y69" t="s">
        <v>1567</v>
      </c>
      <c r="Z69">
        <v>2</v>
      </c>
      <c r="AA69" t="s">
        <v>58</v>
      </c>
    </row>
    <row r="70" spans="1:27" x14ac:dyDescent="0.25">
      <c r="A70" t="s">
        <v>1553</v>
      </c>
      <c r="B70" t="s">
        <v>1554</v>
      </c>
      <c r="C70" t="s">
        <v>1752</v>
      </c>
      <c r="D70" t="s">
        <v>1753</v>
      </c>
      <c r="E70" t="s">
        <v>594</v>
      </c>
      <c r="F70" t="s">
        <v>1754</v>
      </c>
      <c r="G70">
        <v>10000</v>
      </c>
      <c r="H70">
        <v>0</v>
      </c>
      <c r="I70" t="s">
        <v>1469</v>
      </c>
      <c r="J70">
        <v>0</v>
      </c>
      <c r="K70">
        <v>1</v>
      </c>
      <c r="L70" t="s">
        <v>1555</v>
      </c>
      <c r="M70" t="s">
        <v>1556</v>
      </c>
      <c r="N70" t="s">
        <v>1557</v>
      </c>
      <c r="O70" t="s">
        <v>1755</v>
      </c>
      <c r="P70" t="s">
        <v>1559</v>
      </c>
      <c r="Q70" t="s">
        <v>1560</v>
      </c>
      <c r="R70" t="s">
        <v>1561</v>
      </c>
      <c r="S70" t="s">
        <v>1562</v>
      </c>
      <c r="T70" t="s">
        <v>1563</v>
      </c>
      <c r="U70" t="s">
        <v>1564</v>
      </c>
      <c r="V70" t="s">
        <v>1565</v>
      </c>
      <c r="W70">
        <v>805</v>
      </c>
      <c r="X70" t="s">
        <v>1566</v>
      </c>
      <c r="Y70" t="s">
        <v>1567</v>
      </c>
      <c r="Z70">
        <v>2</v>
      </c>
      <c r="AA70" t="s">
        <v>58</v>
      </c>
    </row>
    <row r="71" spans="1:27" x14ac:dyDescent="0.25">
      <c r="A71" t="s">
        <v>1553</v>
      </c>
      <c r="B71" t="s">
        <v>1554</v>
      </c>
      <c r="C71" t="s">
        <v>1756</v>
      </c>
      <c r="D71" t="s">
        <v>1757</v>
      </c>
      <c r="E71" t="s">
        <v>594</v>
      </c>
      <c r="F71" t="s">
        <v>1758</v>
      </c>
      <c r="G71">
        <v>5601</v>
      </c>
      <c r="H71">
        <v>0</v>
      </c>
      <c r="I71" t="s">
        <v>1469</v>
      </c>
      <c r="J71">
        <v>0</v>
      </c>
      <c r="K71">
        <v>1</v>
      </c>
      <c r="L71" t="s">
        <v>1555</v>
      </c>
      <c r="M71" t="s">
        <v>1556</v>
      </c>
      <c r="N71" t="s">
        <v>1557</v>
      </c>
      <c r="O71" t="s">
        <v>1759</v>
      </c>
      <c r="P71" t="s">
        <v>1559</v>
      </c>
      <c r="Q71" t="s">
        <v>1560</v>
      </c>
      <c r="R71" t="s">
        <v>1561</v>
      </c>
      <c r="S71" t="s">
        <v>1562</v>
      </c>
      <c r="T71" t="s">
        <v>1563</v>
      </c>
      <c r="U71" t="s">
        <v>1564</v>
      </c>
      <c r="V71" t="s">
        <v>1565</v>
      </c>
      <c r="W71">
        <v>805</v>
      </c>
      <c r="X71" t="s">
        <v>1566</v>
      </c>
      <c r="Y71" t="s">
        <v>1567</v>
      </c>
      <c r="Z71">
        <v>2</v>
      </c>
      <c r="AA71" t="s">
        <v>58</v>
      </c>
    </row>
    <row r="72" spans="1:27" x14ac:dyDescent="0.25">
      <c r="A72" t="s">
        <v>1553</v>
      </c>
      <c r="B72" t="s">
        <v>1554</v>
      </c>
      <c r="C72" t="s">
        <v>1760</v>
      </c>
      <c r="D72" t="s">
        <v>1761</v>
      </c>
      <c r="E72" t="s">
        <v>594</v>
      </c>
      <c r="F72" t="s">
        <v>1762</v>
      </c>
      <c r="G72">
        <v>5466</v>
      </c>
      <c r="H72">
        <v>0</v>
      </c>
      <c r="I72" t="s">
        <v>1469</v>
      </c>
      <c r="J72">
        <v>0</v>
      </c>
      <c r="K72">
        <v>1</v>
      </c>
      <c r="L72" t="s">
        <v>1555</v>
      </c>
      <c r="M72" t="s">
        <v>1556</v>
      </c>
      <c r="N72" t="s">
        <v>1557</v>
      </c>
      <c r="O72" t="s">
        <v>1763</v>
      </c>
      <c r="P72" t="s">
        <v>1559</v>
      </c>
      <c r="Q72" t="s">
        <v>1560</v>
      </c>
      <c r="R72" t="s">
        <v>1561</v>
      </c>
      <c r="S72" t="s">
        <v>1562</v>
      </c>
      <c r="T72" t="s">
        <v>1563</v>
      </c>
      <c r="U72" t="s">
        <v>1564</v>
      </c>
      <c r="V72" t="s">
        <v>1565</v>
      </c>
      <c r="W72">
        <v>805</v>
      </c>
      <c r="X72" t="s">
        <v>1566</v>
      </c>
      <c r="Y72" t="s">
        <v>1567</v>
      </c>
      <c r="Z72">
        <v>2</v>
      </c>
      <c r="AA72" t="s">
        <v>58</v>
      </c>
    </row>
    <row r="73" spans="1:27" x14ac:dyDescent="0.25">
      <c r="A73" t="s">
        <v>1553</v>
      </c>
      <c r="B73" t="s">
        <v>1554</v>
      </c>
      <c r="C73" t="s">
        <v>1764</v>
      </c>
      <c r="D73" t="s">
        <v>1765</v>
      </c>
      <c r="E73" t="s">
        <v>594</v>
      </c>
      <c r="F73" t="s">
        <v>1766</v>
      </c>
      <c r="G73">
        <v>6752</v>
      </c>
      <c r="H73">
        <v>0</v>
      </c>
      <c r="I73" t="s">
        <v>1469</v>
      </c>
      <c r="J73">
        <v>0</v>
      </c>
      <c r="K73">
        <v>1</v>
      </c>
      <c r="L73" t="s">
        <v>1555</v>
      </c>
      <c r="M73" t="s">
        <v>1556</v>
      </c>
      <c r="N73" t="s">
        <v>1557</v>
      </c>
      <c r="O73" t="s">
        <v>1767</v>
      </c>
      <c r="P73" t="s">
        <v>1559</v>
      </c>
      <c r="Q73" t="s">
        <v>1560</v>
      </c>
      <c r="R73" t="s">
        <v>1561</v>
      </c>
      <c r="S73" t="s">
        <v>1562</v>
      </c>
      <c r="T73" t="s">
        <v>1563</v>
      </c>
      <c r="U73" t="s">
        <v>1564</v>
      </c>
      <c r="V73" t="s">
        <v>1565</v>
      </c>
      <c r="W73">
        <v>805</v>
      </c>
      <c r="X73" t="s">
        <v>1566</v>
      </c>
      <c r="Y73" t="s">
        <v>1567</v>
      </c>
      <c r="Z73">
        <v>2</v>
      </c>
      <c r="AA73" t="s">
        <v>58</v>
      </c>
    </row>
    <row r="74" spans="1:27" x14ac:dyDescent="0.25">
      <c r="A74" t="s">
        <v>1553</v>
      </c>
      <c r="B74" t="s">
        <v>1554</v>
      </c>
      <c r="C74" t="s">
        <v>1768</v>
      </c>
      <c r="D74" t="s">
        <v>1769</v>
      </c>
      <c r="E74" t="s">
        <v>594</v>
      </c>
      <c r="F74" t="s">
        <v>1770</v>
      </c>
      <c r="G74">
        <v>6178</v>
      </c>
      <c r="H74">
        <v>0</v>
      </c>
      <c r="I74" t="s">
        <v>1469</v>
      </c>
      <c r="J74">
        <v>0</v>
      </c>
      <c r="K74">
        <v>1</v>
      </c>
      <c r="L74" t="s">
        <v>1555</v>
      </c>
      <c r="M74" t="s">
        <v>1556</v>
      </c>
      <c r="N74" t="s">
        <v>1557</v>
      </c>
      <c r="O74" t="s">
        <v>1771</v>
      </c>
      <c r="P74" t="s">
        <v>1559</v>
      </c>
      <c r="Q74" t="s">
        <v>1560</v>
      </c>
      <c r="R74" t="s">
        <v>1561</v>
      </c>
      <c r="S74" t="s">
        <v>1562</v>
      </c>
      <c r="T74" t="s">
        <v>1563</v>
      </c>
      <c r="U74" t="s">
        <v>1564</v>
      </c>
      <c r="V74" t="s">
        <v>1565</v>
      </c>
      <c r="W74">
        <v>805</v>
      </c>
      <c r="X74" t="s">
        <v>1566</v>
      </c>
      <c r="Y74" t="s">
        <v>1567</v>
      </c>
      <c r="Z74">
        <v>2</v>
      </c>
      <c r="AA74" t="s">
        <v>58</v>
      </c>
    </row>
    <row r="75" spans="1:27" x14ac:dyDescent="0.25">
      <c r="A75" t="s">
        <v>1553</v>
      </c>
      <c r="B75" t="s">
        <v>1554</v>
      </c>
      <c r="C75" t="s">
        <v>1772</v>
      </c>
      <c r="D75" t="s">
        <v>1773</v>
      </c>
      <c r="E75" t="s">
        <v>594</v>
      </c>
      <c r="F75" t="s">
        <v>1774</v>
      </c>
      <c r="G75">
        <v>8401</v>
      </c>
      <c r="H75">
        <v>0</v>
      </c>
      <c r="I75" t="s">
        <v>1469</v>
      </c>
      <c r="J75">
        <v>0</v>
      </c>
      <c r="K75">
        <v>1</v>
      </c>
      <c r="L75" t="s">
        <v>1555</v>
      </c>
      <c r="M75" t="s">
        <v>1556</v>
      </c>
      <c r="N75" t="s">
        <v>1557</v>
      </c>
      <c r="O75" t="s">
        <v>1775</v>
      </c>
      <c r="P75" t="s">
        <v>1559</v>
      </c>
      <c r="Q75" t="s">
        <v>1560</v>
      </c>
      <c r="R75" t="s">
        <v>1561</v>
      </c>
      <c r="S75" t="s">
        <v>1562</v>
      </c>
      <c r="T75" t="s">
        <v>1563</v>
      </c>
      <c r="U75" t="s">
        <v>1564</v>
      </c>
      <c r="V75" t="s">
        <v>1565</v>
      </c>
      <c r="W75">
        <v>805</v>
      </c>
      <c r="X75" t="s">
        <v>1566</v>
      </c>
      <c r="Y75" t="s">
        <v>1567</v>
      </c>
      <c r="Z75">
        <v>2</v>
      </c>
      <c r="AA75" t="s">
        <v>58</v>
      </c>
    </row>
    <row r="76" spans="1:27" x14ac:dyDescent="0.25">
      <c r="A76" t="s">
        <v>1553</v>
      </c>
      <c r="B76" t="s">
        <v>1554</v>
      </c>
      <c r="C76" t="s">
        <v>1776</v>
      </c>
      <c r="D76" t="s">
        <v>1777</v>
      </c>
      <c r="E76" t="s">
        <v>594</v>
      </c>
      <c r="F76" t="s">
        <v>1778</v>
      </c>
      <c r="G76">
        <v>8542</v>
      </c>
      <c r="H76">
        <v>0</v>
      </c>
      <c r="I76" t="s">
        <v>1469</v>
      </c>
      <c r="J76">
        <v>0</v>
      </c>
      <c r="K76">
        <v>1</v>
      </c>
      <c r="L76" t="s">
        <v>1555</v>
      </c>
      <c r="M76" t="s">
        <v>1556</v>
      </c>
      <c r="N76" t="s">
        <v>1557</v>
      </c>
      <c r="O76" t="s">
        <v>1779</v>
      </c>
      <c r="P76" t="s">
        <v>1559</v>
      </c>
      <c r="Q76" t="s">
        <v>1560</v>
      </c>
      <c r="R76" t="s">
        <v>1561</v>
      </c>
      <c r="S76" t="s">
        <v>1562</v>
      </c>
      <c r="T76" t="s">
        <v>1563</v>
      </c>
      <c r="U76" t="s">
        <v>1564</v>
      </c>
      <c r="V76" t="s">
        <v>1565</v>
      </c>
      <c r="W76">
        <v>805</v>
      </c>
      <c r="X76" t="s">
        <v>1566</v>
      </c>
      <c r="Y76" t="s">
        <v>1567</v>
      </c>
      <c r="Z76">
        <v>2</v>
      </c>
      <c r="AA76" t="s">
        <v>58</v>
      </c>
    </row>
    <row r="77" spans="1:27" x14ac:dyDescent="0.25">
      <c r="A77" t="s">
        <v>1553</v>
      </c>
      <c r="B77" t="s">
        <v>1554</v>
      </c>
      <c r="C77" t="s">
        <v>1780</v>
      </c>
      <c r="D77" t="s">
        <v>1781</v>
      </c>
      <c r="E77" t="s">
        <v>594</v>
      </c>
      <c r="F77" t="s">
        <v>1782</v>
      </c>
      <c r="G77">
        <v>7117</v>
      </c>
      <c r="H77">
        <v>0</v>
      </c>
      <c r="I77" t="s">
        <v>1469</v>
      </c>
      <c r="J77">
        <v>0</v>
      </c>
      <c r="K77">
        <v>1</v>
      </c>
      <c r="L77" t="s">
        <v>1555</v>
      </c>
      <c r="M77" t="s">
        <v>1556</v>
      </c>
      <c r="N77" t="s">
        <v>1557</v>
      </c>
      <c r="O77" t="s">
        <v>1783</v>
      </c>
      <c r="P77" t="s">
        <v>1559</v>
      </c>
      <c r="Q77" t="s">
        <v>1560</v>
      </c>
      <c r="R77" t="s">
        <v>1561</v>
      </c>
      <c r="S77" t="s">
        <v>1562</v>
      </c>
      <c r="T77" t="s">
        <v>1563</v>
      </c>
      <c r="U77" t="s">
        <v>1564</v>
      </c>
      <c r="V77" t="s">
        <v>1565</v>
      </c>
      <c r="W77">
        <v>805</v>
      </c>
      <c r="X77" t="s">
        <v>1566</v>
      </c>
      <c r="Y77" t="s">
        <v>1567</v>
      </c>
      <c r="Z77">
        <v>2</v>
      </c>
      <c r="AA77" t="s">
        <v>58</v>
      </c>
    </row>
    <row r="78" spans="1:27" x14ac:dyDescent="0.25">
      <c r="A78" t="s">
        <v>1553</v>
      </c>
      <c r="B78" t="s">
        <v>1554</v>
      </c>
      <c r="C78" t="s">
        <v>1784</v>
      </c>
      <c r="D78" t="s">
        <v>1785</v>
      </c>
      <c r="E78" t="s">
        <v>594</v>
      </c>
      <c r="F78" t="s">
        <v>1786</v>
      </c>
      <c r="G78">
        <v>5570</v>
      </c>
      <c r="H78">
        <v>0</v>
      </c>
      <c r="I78" t="s">
        <v>1469</v>
      </c>
      <c r="J78">
        <v>0</v>
      </c>
      <c r="K78">
        <v>1</v>
      </c>
      <c r="L78" t="s">
        <v>1555</v>
      </c>
      <c r="M78" t="s">
        <v>1556</v>
      </c>
      <c r="N78" t="s">
        <v>1557</v>
      </c>
      <c r="O78" t="s">
        <v>1787</v>
      </c>
      <c r="P78" t="s">
        <v>1559</v>
      </c>
      <c r="Q78" t="s">
        <v>1560</v>
      </c>
      <c r="R78" t="s">
        <v>1561</v>
      </c>
      <c r="S78" t="s">
        <v>1562</v>
      </c>
      <c r="T78" t="s">
        <v>1563</v>
      </c>
      <c r="U78" t="s">
        <v>1564</v>
      </c>
      <c r="V78" t="s">
        <v>1565</v>
      </c>
      <c r="W78">
        <v>805</v>
      </c>
      <c r="X78" t="s">
        <v>1566</v>
      </c>
      <c r="Y78" t="s">
        <v>1567</v>
      </c>
      <c r="Z78">
        <v>2</v>
      </c>
      <c r="AA78" t="s">
        <v>58</v>
      </c>
    </row>
    <row r="79" spans="1:27" x14ac:dyDescent="0.25">
      <c r="A79" t="s">
        <v>1553</v>
      </c>
      <c r="B79" t="s">
        <v>1554</v>
      </c>
      <c r="C79" t="s">
        <v>1788</v>
      </c>
      <c r="D79" t="s">
        <v>1789</v>
      </c>
      <c r="E79" t="s">
        <v>594</v>
      </c>
      <c r="F79" t="s">
        <v>1790</v>
      </c>
      <c r="G79">
        <v>5154</v>
      </c>
      <c r="H79">
        <v>0</v>
      </c>
      <c r="I79" t="s">
        <v>1469</v>
      </c>
      <c r="J79">
        <v>0</v>
      </c>
      <c r="K79">
        <v>1</v>
      </c>
      <c r="L79" t="s">
        <v>1555</v>
      </c>
      <c r="M79" t="s">
        <v>1556</v>
      </c>
      <c r="N79" t="s">
        <v>1557</v>
      </c>
      <c r="O79" t="s">
        <v>1791</v>
      </c>
      <c r="P79" t="s">
        <v>1559</v>
      </c>
      <c r="Q79" t="s">
        <v>1560</v>
      </c>
      <c r="R79" t="s">
        <v>1561</v>
      </c>
      <c r="S79" t="s">
        <v>1562</v>
      </c>
      <c r="T79" t="s">
        <v>1563</v>
      </c>
      <c r="U79" t="s">
        <v>1564</v>
      </c>
      <c r="V79" t="s">
        <v>1565</v>
      </c>
      <c r="W79">
        <v>805</v>
      </c>
      <c r="X79" t="s">
        <v>1566</v>
      </c>
      <c r="Y79" t="s">
        <v>1567</v>
      </c>
      <c r="Z79">
        <v>2</v>
      </c>
      <c r="AA79" t="s">
        <v>58</v>
      </c>
    </row>
    <row r="80" spans="1:27" x14ac:dyDescent="0.25">
      <c r="A80" t="s">
        <v>1553</v>
      </c>
      <c r="B80" t="s">
        <v>1554</v>
      </c>
      <c r="C80" t="s">
        <v>1792</v>
      </c>
      <c r="D80" t="s">
        <v>1793</v>
      </c>
      <c r="E80" t="s">
        <v>594</v>
      </c>
      <c r="F80" t="s">
        <v>1794</v>
      </c>
      <c r="G80">
        <v>6934</v>
      </c>
      <c r="H80">
        <v>0</v>
      </c>
      <c r="I80" t="s">
        <v>1469</v>
      </c>
      <c r="J80">
        <v>0</v>
      </c>
      <c r="K80">
        <v>1</v>
      </c>
      <c r="L80" t="s">
        <v>1555</v>
      </c>
      <c r="M80" t="s">
        <v>1556</v>
      </c>
      <c r="N80" t="s">
        <v>1557</v>
      </c>
      <c r="O80" t="s">
        <v>1795</v>
      </c>
      <c r="P80" t="s">
        <v>1559</v>
      </c>
      <c r="Q80" t="s">
        <v>1560</v>
      </c>
      <c r="R80" t="s">
        <v>1561</v>
      </c>
      <c r="S80" t="s">
        <v>1562</v>
      </c>
      <c r="T80" t="s">
        <v>1563</v>
      </c>
      <c r="U80" t="s">
        <v>1564</v>
      </c>
      <c r="V80" t="s">
        <v>1565</v>
      </c>
      <c r="W80">
        <v>805</v>
      </c>
      <c r="X80" t="s">
        <v>1566</v>
      </c>
      <c r="Y80" t="s">
        <v>1567</v>
      </c>
      <c r="Z80">
        <v>2</v>
      </c>
      <c r="AA80" t="s">
        <v>58</v>
      </c>
    </row>
    <row r="81" spans="1:27" x14ac:dyDescent="0.25">
      <c r="A81" t="s">
        <v>1553</v>
      </c>
      <c r="B81" t="s">
        <v>1554</v>
      </c>
      <c r="C81" t="s">
        <v>1796</v>
      </c>
      <c r="D81" t="s">
        <v>1797</v>
      </c>
      <c r="E81" t="s">
        <v>594</v>
      </c>
      <c r="F81" t="s">
        <v>1798</v>
      </c>
      <c r="G81">
        <v>9171</v>
      </c>
      <c r="H81">
        <v>0</v>
      </c>
      <c r="I81" t="s">
        <v>1469</v>
      </c>
      <c r="J81">
        <v>0</v>
      </c>
      <c r="K81">
        <v>1</v>
      </c>
      <c r="L81" t="s">
        <v>1555</v>
      </c>
      <c r="M81" t="s">
        <v>1556</v>
      </c>
      <c r="N81" t="s">
        <v>1557</v>
      </c>
      <c r="O81" t="s">
        <v>1799</v>
      </c>
      <c r="P81" t="s">
        <v>1559</v>
      </c>
      <c r="Q81" t="s">
        <v>1560</v>
      </c>
      <c r="R81" t="s">
        <v>1561</v>
      </c>
      <c r="S81" t="s">
        <v>1562</v>
      </c>
      <c r="T81" t="s">
        <v>1563</v>
      </c>
      <c r="U81" t="s">
        <v>1564</v>
      </c>
      <c r="V81" t="s">
        <v>1565</v>
      </c>
      <c r="W81">
        <v>805</v>
      </c>
      <c r="X81" t="s">
        <v>1566</v>
      </c>
      <c r="Y81" t="s">
        <v>1567</v>
      </c>
      <c r="Z81">
        <v>2</v>
      </c>
      <c r="AA81" t="s">
        <v>58</v>
      </c>
    </row>
    <row r="82" spans="1:27" x14ac:dyDescent="0.25">
      <c r="A82" t="s">
        <v>1553</v>
      </c>
      <c r="B82" t="s">
        <v>1554</v>
      </c>
      <c r="C82" t="s">
        <v>1800</v>
      </c>
      <c r="D82" t="s">
        <v>1801</v>
      </c>
      <c r="E82" t="s">
        <v>594</v>
      </c>
      <c r="F82" t="s">
        <v>1802</v>
      </c>
      <c r="G82">
        <v>6025</v>
      </c>
      <c r="H82">
        <v>0</v>
      </c>
      <c r="I82" t="s">
        <v>1469</v>
      </c>
      <c r="J82">
        <v>0</v>
      </c>
      <c r="K82">
        <v>1</v>
      </c>
      <c r="L82" t="s">
        <v>1555</v>
      </c>
      <c r="M82" t="s">
        <v>1556</v>
      </c>
      <c r="N82" t="s">
        <v>1557</v>
      </c>
      <c r="O82" t="s">
        <v>1803</v>
      </c>
      <c r="P82" t="s">
        <v>1559</v>
      </c>
      <c r="Q82" t="s">
        <v>1560</v>
      </c>
      <c r="R82" t="s">
        <v>1561</v>
      </c>
      <c r="S82" t="s">
        <v>1562</v>
      </c>
      <c r="T82" t="s">
        <v>1563</v>
      </c>
      <c r="U82" t="s">
        <v>1564</v>
      </c>
      <c r="V82" t="s">
        <v>1565</v>
      </c>
      <c r="W82">
        <v>805</v>
      </c>
      <c r="X82" t="s">
        <v>1566</v>
      </c>
      <c r="Y82" t="s">
        <v>1567</v>
      </c>
      <c r="Z82">
        <v>2</v>
      </c>
      <c r="AA82" t="s">
        <v>58</v>
      </c>
    </row>
    <row r="83" spans="1:27" x14ac:dyDescent="0.25">
      <c r="A83" t="s">
        <v>1553</v>
      </c>
      <c r="B83" t="s">
        <v>1554</v>
      </c>
      <c r="C83" t="s">
        <v>1804</v>
      </c>
      <c r="D83" t="s">
        <v>1805</v>
      </c>
      <c r="E83" t="s">
        <v>594</v>
      </c>
      <c r="F83" t="s">
        <v>1806</v>
      </c>
      <c r="G83">
        <v>6776</v>
      </c>
      <c r="H83">
        <v>0</v>
      </c>
      <c r="I83" t="s">
        <v>1469</v>
      </c>
      <c r="J83">
        <v>0</v>
      </c>
      <c r="K83">
        <v>1</v>
      </c>
      <c r="L83" t="s">
        <v>1555</v>
      </c>
      <c r="M83" t="s">
        <v>1556</v>
      </c>
      <c r="N83" t="s">
        <v>1557</v>
      </c>
      <c r="O83" t="s">
        <v>1807</v>
      </c>
      <c r="P83" t="s">
        <v>1559</v>
      </c>
      <c r="Q83" t="s">
        <v>1560</v>
      </c>
      <c r="R83" t="s">
        <v>1561</v>
      </c>
      <c r="S83" t="s">
        <v>1562</v>
      </c>
      <c r="T83" t="s">
        <v>1563</v>
      </c>
      <c r="U83" t="s">
        <v>1564</v>
      </c>
      <c r="V83" t="s">
        <v>1565</v>
      </c>
      <c r="W83">
        <v>805</v>
      </c>
      <c r="X83" t="s">
        <v>1566</v>
      </c>
      <c r="Y83" t="s">
        <v>1567</v>
      </c>
      <c r="Z83">
        <v>2</v>
      </c>
      <c r="AA83" t="s">
        <v>58</v>
      </c>
    </row>
    <row r="84" spans="1:27" x14ac:dyDescent="0.25">
      <c r="A84" t="s">
        <v>1553</v>
      </c>
      <c r="B84" t="s">
        <v>1554</v>
      </c>
      <c r="C84" t="s">
        <v>1808</v>
      </c>
      <c r="D84" t="s">
        <v>1809</v>
      </c>
      <c r="E84" t="s">
        <v>594</v>
      </c>
      <c r="F84" t="s">
        <v>1810</v>
      </c>
      <c r="G84">
        <v>7783</v>
      </c>
      <c r="H84">
        <v>0</v>
      </c>
      <c r="I84" t="s">
        <v>1469</v>
      </c>
      <c r="J84">
        <v>0</v>
      </c>
      <c r="K84">
        <v>1</v>
      </c>
      <c r="L84" t="s">
        <v>1555</v>
      </c>
      <c r="M84" t="s">
        <v>1556</v>
      </c>
      <c r="N84" t="s">
        <v>1557</v>
      </c>
      <c r="O84" t="s">
        <v>1811</v>
      </c>
      <c r="P84" t="s">
        <v>1559</v>
      </c>
      <c r="Q84" t="s">
        <v>1560</v>
      </c>
      <c r="R84" t="s">
        <v>1561</v>
      </c>
      <c r="S84" t="s">
        <v>1562</v>
      </c>
      <c r="T84" t="s">
        <v>1563</v>
      </c>
      <c r="U84" t="s">
        <v>1564</v>
      </c>
      <c r="V84" t="s">
        <v>1565</v>
      </c>
      <c r="W84">
        <v>805</v>
      </c>
      <c r="X84" t="s">
        <v>1566</v>
      </c>
      <c r="Y84" t="s">
        <v>1567</v>
      </c>
      <c r="Z84">
        <v>2</v>
      </c>
      <c r="AA84" t="s">
        <v>58</v>
      </c>
    </row>
    <row r="85" spans="1:27" x14ac:dyDescent="0.25">
      <c r="A85" t="s">
        <v>1553</v>
      </c>
      <c r="B85" t="s">
        <v>1554</v>
      </c>
      <c r="C85" t="s">
        <v>1812</v>
      </c>
      <c r="D85" t="s">
        <v>1813</v>
      </c>
      <c r="E85" t="s">
        <v>594</v>
      </c>
      <c r="F85" t="s">
        <v>1814</v>
      </c>
      <c r="G85">
        <v>8942</v>
      </c>
      <c r="H85">
        <v>0</v>
      </c>
      <c r="I85" t="s">
        <v>1469</v>
      </c>
      <c r="J85">
        <v>0</v>
      </c>
      <c r="K85">
        <v>1</v>
      </c>
      <c r="L85" t="s">
        <v>1555</v>
      </c>
      <c r="M85" t="s">
        <v>1556</v>
      </c>
      <c r="N85" t="s">
        <v>1557</v>
      </c>
      <c r="O85" t="s">
        <v>1815</v>
      </c>
      <c r="P85" t="s">
        <v>1559</v>
      </c>
      <c r="Q85" t="s">
        <v>1560</v>
      </c>
      <c r="R85" t="s">
        <v>1561</v>
      </c>
      <c r="S85" t="s">
        <v>1562</v>
      </c>
      <c r="T85" t="s">
        <v>1563</v>
      </c>
      <c r="U85" t="s">
        <v>1564</v>
      </c>
      <c r="V85" t="s">
        <v>1565</v>
      </c>
      <c r="W85">
        <v>805</v>
      </c>
      <c r="X85" t="s">
        <v>1566</v>
      </c>
      <c r="Y85" t="s">
        <v>1567</v>
      </c>
      <c r="Z85">
        <v>2</v>
      </c>
      <c r="AA85" t="s">
        <v>58</v>
      </c>
    </row>
    <row r="86" spans="1:27" x14ac:dyDescent="0.25">
      <c r="A86" t="s">
        <v>1553</v>
      </c>
      <c r="B86" t="s">
        <v>1554</v>
      </c>
      <c r="C86" t="s">
        <v>1816</v>
      </c>
      <c r="D86" t="s">
        <v>1817</v>
      </c>
      <c r="E86" t="s">
        <v>594</v>
      </c>
      <c r="F86" t="s">
        <v>1818</v>
      </c>
      <c r="G86">
        <v>9766</v>
      </c>
      <c r="H86">
        <v>0</v>
      </c>
      <c r="I86" t="s">
        <v>1469</v>
      </c>
      <c r="J86">
        <v>0</v>
      </c>
      <c r="K86">
        <v>1</v>
      </c>
      <c r="L86" t="s">
        <v>1555</v>
      </c>
      <c r="M86" t="s">
        <v>1556</v>
      </c>
      <c r="N86" t="s">
        <v>1557</v>
      </c>
      <c r="O86" t="s">
        <v>1819</v>
      </c>
      <c r="P86" t="s">
        <v>1559</v>
      </c>
      <c r="Q86" t="s">
        <v>1560</v>
      </c>
      <c r="R86" t="s">
        <v>1561</v>
      </c>
      <c r="S86" t="s">
        <v>1562</v>
      </c>
      <c r="T86" t="s">
        <v>1563</v>
      </c>
      <c r="U86" t="s">
        <v>1564</v>
      </c>
      <c r="V86" t="s">
        <v>1565</v>
      </c>
      <c r="W86">
        <v>805</v>
      </c>
      <c r="X86" t="s">
        <v>1566</v>
      </c>
      <c r="Y86" t="s">
        <v>1567</v>
      </c>
      <c r="Z86">
        <v>2</v>
      </c>
      <c r="AA86" t="s">
        <v>58</v>
      </c>
    </row>
    <row r="87" spans="1:27" x14ac:dyDescent="0.25">
      <c r="A87" t="s">
        <v>1553</v>
      </c>
      <c r="B87" t="s">
        <v>1554</v>
      </c>
      <c r="C87" t="s">
        <v>1820</v>
      </c>
      <c r="D87" t="s">
        <v>1821</v>
      </c>
      <c r="E87" t="s">
        <v>594</v>
      </c>
      <c r="F87" t="s">
        <v>1822</v>
      </c>
      <c r="G87">
        <v>8891</v>
      </c>
      <c r="H87">
        <v>0</v>
      </c>
      <c r="I87" t="s">
        <v>1469</v>
      </c>
      <c r="J87">
        <v>0</v>
      </c>
      <c r="K87">
        <v>1</v>
      </c>
      <c r="L87" t="s">
        <v>1555</v>
      </c>
      <c r="M87" t="s">
        <v>1556</v>
      </c>
      <c r="N87" t="s">
        <v>1557</v>
      </c>
      <c r="O87" t="s">
        <v>1823</v>
      </c>
      <c r="P87" t="s">
        <v>1559</v>
      </c>
      <c r="Q87" t="s">
        <v>1560</v>
      </c>
      <c r="R87" t="s">
        <v>1561</v>
      </c>
      <c r="S87" t="s">
        <v>1562</v>
      </c>
      <c r="T87" t="s">
        <v>1563</v>
      </c>
      <c r="U87" t="s">
        <v>1564</v>
      </c>
      <c r="V87" t="s">
        <v>1565</v>
      </c>
      <c r="W87">
        <v>805</v>
      </c>
      <c r="X87" t="s">
        <v>1566</v>
      </c>
      <c r="Y87" t="s">
        <v>1567</v>
      </c>
      <c r="Z87">
        <v>2</v>
      </c>
      <c r="AA87" t="s">
        <v>58</v>
      </c>
    </row>
    <row r="88" spans="1:27" x14ac:dyDescent="0.25">
      <c r="A88" t="s">
        <v>1553</v>
      </c>
      <c r="B88" t="s">
        <v>1554</v>
      </c>
      <c r="C88" t="s">
        <v>1824</v>
      </c>
      <c r="D88" t="s">
        <v>1825</v>
      </c>
      <c r="E88" t="s">
        <v>594</v>
      </c>
      <c r="F88" t="s">
        <v>1826</v>
      </c>
      <c r="G88">
        <v>8094</v>
      </c>
      <c r="H88">
        <v>0</v>
      </c>
      <c r="I88" t="s">
        <v>1469</v>
      </c>
      <c r="J88">
        <v>0</v>
      </c>
      <c r="K88">
        <v>1</v>
      </c>
      <c r="L88" t="s">
        <v>1555</v>
      </c>
      <c r="M88" t="s">
        <v>1556</v>
      </c>
      <c r="N88" t="s">
        <v>1557</v>
      </c>
      <c r="O88" t="s">
        <v>1827</v>
      </c>
      <c r="P88" t="s">
        <v>1559</v>
      </c>
      <c r="Q88" t="s">
        <v>1560</v>
      </c>
      <c r="R88" t="s">
        <v>1561</v>
      </c>
      <c r="S88" t="s">
        <v>1562</v>
      </c>
      <c r="T88" t="s">
        <v>1563</v>
      </c>
      <c r="U88" t="s">
        <v>1564</v>
      </c>
      <c r="V88" t="s">
        <v>1565</v>
      </c>
      <c r="W88">
        <v>805</v>
      </c>
      <c r="X88" t="s">
        <v>1566</v>
      </c>
      <c r="Y88" t="s">
        <v>1567</v>
      </c>
      <c r="Z88">
        <v>2</v>
      </c>
      <c r="AA88" t="s">
        <v>58</v>
      </c>
    </row>
    <row r="89" spans="1:27" x14ac:dyDescent="0.25">
      <c r="A89" t="s">
        <v>1553</v>
      </c>
      <c r="B89" t="s">
        <v>1554</v>
      </c>
      <c r="C89" t="s">
        <v>1828</v>
      </c>
      <c r="D89" t="s">
        <v>1829</v>
      </c>
      <c r="E89" t="s">
        <v>594</v>
      </c>
      <c r="F89" t="s">
        <v>1830</v>
      </c>
      <c r="G89">
        <v>9458</v>
      </c>
      <c r="H89">
        <v>0</v>
      </c>
      <c r="I89" t="s">
        <v>1469</v>
      </c>
      <c r="J89">
        <v>0</v>
      </c>
      <c r="K89">
        <v>1</v>
      </c>
      <c r="L89" t="s">
        <v>1555</v>
      </c>
      <c r="M89" t="s">
        <v>1556</v>
      </c>
      <c r="N89" t="s">
        <v>1557</v>
      </c>
      <c r="O89" t="s">
        <v>1831</v>
      </c>
      <c r="P89" t="s">
        <v>1559</v>
      </c>
      <c r="Q89" t="s">
        <v>1560</v>
      </c>
      <c r="R89" t="s">
        <v>1561</v>
      </c>
      <c r="S89" t="s">
        <v>1562</v>
      </c>
      <c r="T89" t="s">
        <v>1563</v>
      </c>
      <c r="U89" t="s">
        <v>1564</v>
      </c>
      <c r="V89" t="s">
        <v>1565</v>
      </c>
      <c r="W89">
        <v>805</v>
      </c>
      <c r="X89" t="s">
        <v>1566</v>
      </c>
      <c r="Y89" t="s">
        <v>1567</v>
      </c>
      <c r="Z89">
        <v>2</v>
      </c>
      <c r="AA89" t="s">
        <v>58</v>
      </c>
    </row>
    <row r="90" spans="1:27" x14ac:dyDescent="0.25">
      <c r="A90" t="s">
        <v>1553</v>
      </c>
      <c r="B90" t="s">
        <v>1554</v>
      </c>
      <c r="C90" t="s">
        <v>1832</v>
      </c>
      <c r="D90" t="s">
        <v>1833</v>
      </c>
      <c r="E90" t="s">
        <v>594</v>
      </c>
      <c r="F90" t="s">
        <v>1834</v>
      </c>
      <c r="G90">
        <v>9877</v>
      </c>
      <c r="H90">
        <v>0</v>
      </c>
      <c r="I90" t="s">
        <v>1469</v>
      </c>
      <c r="J90">
        <v>0</v>
      </c>
      <c r="K90">
        <v>1</v>
      </c>
      <c r="L90" t="s">
        <v>1555</v>
      </c>
      <c r="M90" t="s">
        <v>1556</v>
      </c>
      <c r="N90" t="s">
        <v>1557</v>
      </c>
      <c r="O90" t="s">
        <v>1835</v>
      </c>
      <c r="P90" t="s">
        <v>1559</v>
      </c>
      <c r="Q90" t="s">
        <v>1560</v>
      </c>
      <c r="R90" t="s">
        <v>1561</v>
      </c>
      <c r="S90" t="s">
        <v>1562</v>
      </c>
      <c r="T90" t="s">
        <v>1563</v>
      </c>
      <c r="U90" t="s">
        <v>1564</v>
      </c>
      <c r="V90" t="s">
        <v>1565</v>
      </c>
      <c r="W90">
        <v>805</v>
      </c>
      <c r="X90" t="s">
        <v>1566</v>
      </c>
      <c r="Y90" t="s">
        <v>1567</v>
      </c>
      <c r="Z90">
        <v>2</v>
      </c>
      <c r="AA90" t="s">
        <v>58</v>
      </c>
    </row>
    <row r="91" spans="1:27" x14ac:dyDescent="0.25">
      <c r="A91" t="s">
        <v>1553</v>
      </c>
      <c r="B91" t="s">
        <v>1554</v>
      </c>
      <c r="C91" t="s">
        <v>1836</v>
      </c>
      <c r="D91" t="s">
        <v>1837</v>
      </c>
      <c r="E91" t="s">
        <v>594</v>
      </c>
      <c r="F91" t="s">
        <v>1838</v>
      </c>
      <c r="G91">
        <v>9774</v>
      </c>
      <c r="H91">
        <v>0</v>
      </c>
      <c r="I91" t="s">
        <v>1469</v>
      </c>
      <c r="J91">
        <v>0</v>
      </c>
      <c r="K91">
        <v>1</v>
      </c>
      <c r="L91" t="s">
        <v>1555</v>
      </c>
      <c r="M91" t="s">
        <v>1556</v>
      </c>
      <c r="N91" t="s">
        <v>1557</v>
      </c>
      <c r="O91" t="s">
        <v>1839</v>
      </c>
      <c r="P91" t="s">
        <v>1559</v>
      </c>
      <c r="Q91" t="s">
        <v>1560</v>
      </c>
      <c r="R91" t="s">
        <v>1561</v>
      </c>
      <c r="S91" t="s">
        <v>1562</v>
      </c>
      <c r="T91" t="s">
        <v>1563</v>
      </c>
      <c r="U91" t="s">
        <v>1564</v>
      </c>
      <c r="V91" t="s">
        <v>1565</v>
      </c>
      <c r="W91">
        <v>805</v>
      </c>
      <c r="X91" t="s">
        <v>1566</v>
      </c>
      <c r="Y91" t="s">
        <v>1567</v>
      </c>
      <c r="Z91">
        <v>2</v>
      </c>
      <c r="AA91" t="s">
        <v>58</v>
      </c>
    </row>
    <row r="92" spans="1:27" x14ac:dyDescent="0.25">
      <c r="A92" t="s">
        <v>1553</v>
      </c>
      <c r="B92" t="s">
        <v>1554</v>
      </c>
      <c r="C92" t="s">
        <v>1840</v>
      </c>
      <c r="D92" t="s">
        <v>1841</v>
      </c>
      <c r="E92" t="s">
        <v>594</v>
      </c>
      <c r="F92" t="s">
        <v>1842</v>
      </c>
      <c r="G92">
        <v>9660</v>
      </c>
      <c r="H92">
        <v>0</v>
      </c>
      <c r="I92" t="s">
        <v>1469</v>
      </c>
      <c r="J92">
        <v>0</v>
      </c>
      <c r="K92">
        <v>1</v>
      </c>
      <c r="L92" t="s">
        <v>1555</v>
      </c>
      <c r="M92" t="s">
        <v>1556</v>
      </c>
      <c r="N92" t="s">
        <v>1557</v>
      </c>
      <c r="O92" t="s">
        <v>1843</v>
      </c>
      <c r="P92" t="s">
        <v>1559</v>
      </c>
      <c r="Q92" t="s">
        <v>1560</v>
      </c>
      <c r="R92" t="s">
        <v>1561</v>
      </c>
      <c r="S92" t="s">
        <v>1562</v>
      </c>
      <c r="T92" t="s">
        <v>1563</v>
      </c>
      <c r="U92" t="s">
        <v>1564</v>
      </c>
      <c r="V92" t="s">
        <v>1565</v>
      </c>
      <c r="W92">
        <v>805</v>
      </c>
      <c r="X92" t="s">
        <v>1566</v>
      </c>
      <c r="Y92" t="s">
        <v>1567</v>
      </c>
      <c r="Z92">
        <v>2</v>
      </c>
      <c r="AA92" t="s">
        <v>58</v>
      </c>
    </row>
    <row r="93" spans="1:27" x14ac:dyDescent="0.25">
      <c r="A93" t="s">
        <v>1553</v>
      </c>
      <c r="B93" t="s">
        <v>1554</v>
      </c>
      <c r="C93" t="s">
        <v>1844</v>
      </c>
      <c r="D93" t="s">
        <v>1845</v>
      </c>
      <c r="E93" t="s">
        <v>594</v>
      </c>
      <c r="F93" t="s">
        <v>1846</v>
      </c>
      <c r="G93">
        <v>9267</v>
      </c>
      <c r="H93">
        <v>0</v>
      </c>
      <c r="I93" t="s">
        <v>1469</v>
      </c>
      <c r="J93">
        <v>0</v>
      </c>
      <c r="K93">
        <v>1</v>
      </c>
      <c r="L93" t="s">
        <v>1555</v>
      </c>
      <c r="M93" t="s">
        <v>1556</v>
      </c>
      <c r="N93" t="s">
        <v>1557</v>
      </c>
      <c r="O93" t="s">
        <v>1847</v>
      </c>
      <c r="P93" t="s">
        <v>1559</v>
      </c>
      <c r="Q93" t="s">
        <v>1560</v>
      </c>
      <c r="R93" t="s">
        <v>1561</v>
      </c>
      <c r="S93" t="s">
        <v>1562</v>
      </c>
      <c r="T93" t="s">
        <v>1563</v>
      </c>
      <c r="U93" t="s">
        <v>1564</v>
      </c>
      <c r="V93" t="s">
        <v>1565</v>
      </c>
      <c r="W93">
        <v>805</v>
      </c>
      <c r="X93" t="s">
        <v>1566</v>
      </c>
      <c r="Y93" t="s">
        <v>1567</v>
      </c>
      <c r="Z93">
        <v>2</v>
      </c>
      <c r="AA93" t="s">
        <v>58</v>
      </c>
    </row>
    <row r="94" spans="1:27" x14ac:dyDescent="0.25">
      <c r="A94" t="s">
        <v>1553</v>
      </c>
      <c r="B94" t="s">
        <v>1554</v>
      </c>
      <c r="C94" t="s">
        <v>1848</v>
      </c>
      <c r="D94" t="s">
        <v>1849</v>
      </c>
      <c r="E94" t="s">
        <v>594</v>
      </c>
      <c r="F94" t="s">
        <v>1850</v>
      </c>
      <c r="G94">
        <v>8657</v>
      </c>
      <c r="H94">
        <v>0</v>
      </c>
      <c r="I94" t="s">
        <v>1469</v>
      </c>
      <c r="J94">
        <v>0</v>
      </c>
      <c r="K94">
        <v>1</v>
      </c>
      <c r="L94" t="s">
        <v>1555</v>
      </c>
      <c r="M94" t="s">
        <v>1556</v>
      </c>
      <c r="N94" t="s">
        <v>1557</v>
      </c>
      <c r="O94" t="s">
        <v>1851</v>
      </c>
      <c r="P94" t="s">
        <v>1559</v>
      </c>
      <c r="Q94" t="s">
        <v>1560</v>
      </c>
      <c r="R94" t="s">
        <v>1561</v>
      </c>
      <c r="S94" t="s">
        <v>1562</v>
      </c>
      <c r="T94" t="s">
        <v>1563</v>
      </c>
      <c r="U94" t="s">
        <v>1564</v>
      </c>
      <c r="V94" t="s">
        <v>1565</v>
      </c>
      <c r="W94">
        <v>805</v>
      </c>
      <c r="X94" t="s">
        <v>1566</v>
      </c>
      <c r="Y94" t="s">
        <v>1567</v>
      </c>
      <c r="Z94">
        <v>2</v>
      </c>
      <c r="AA94" t="s">
        <v>58</v>
      </c>
    </row>
    <row r="95" spans="1:27" x14ac:dyDescent="0.25">
      <c r="A95" t="s">
        <v>1553</v>
      </c>
      <c r="B95" t="s">
        <v>1554</v>
      </c>
      <c r="C95" t="s">
        <v>1852</v>
      </c>
      <c r="D95" t="s">
        <v>1853</v>
      </c>
      <c r="E95" t="s">
        <v>594</v>
      </c>
      <c r="F95" t="s">
        <v>1854</v>
      </c>
      <c r="G95">
        <v>6214</v>
      </c>
      <c r="H95">
        <v>0</v>
      </c>
      <c r="I95" t="s">
        <v>1469</v>
      </c>
      <c r="J95">
        <v>0</v>
      </c>
      <c r="K95">
        <v>1</v>
      </c>
      <c r="L95" t="s">
        <v>1555</v>
      </c>
      <c r="M95" t="s">
        <v>1556</v>
      </c>
      <c r="N95" t="s">
        <v>1557</v>
      </c>
      <c r="O95" t="s">
        <v>1855</v>
      </c>
      <c r="P95" t="s">
        <v>1559</v>
      </c>
      <c r="Q95" t="s">
        <v>1560</v>
      </c>
      <c r="R95" t="s">
        <v>1561</v>
      </c>
      <c r="S95" t="s">
        <v>1562</v>
      </c>
      <c r="T95" t="s">
        <v>1563</v>
      </c>
      <c r="U95" t="s">
        <v>1564</v>
      </c>
      <c r="V95" t="s">
        <v>1565</v>
      </c>
      <c r="W95">
        <v>805</v>
      </c>
      <c r="X95" t="s">
        <v>1566</v>
      </c>
      <c r="Y95" t="s">
        <v>1567</v>
      </c>
      <c r="Z95">
        <v>2</v>
      </c>
      <c r="AA95" t="s">
        <v>58</v>
      </c>
    </row>
    <row r="96" spans="1:27" x14ac:dyDescent="0.25">
      <c r="A96" t="s">
        <v>1553</v>
      </c>
      <c r="B96" t="s">
        <v>1554</v>
      </c>
      <c r="C96" t="s">
        <v>1856</v>
      </c>
      <c r="D96" t="s">
        <v>1857</v>
      </c>
      <c r="E96" t="s">
        <v>594</v>
      </c>
      <c r="F96" t="s">
        <v>1858</v>
      </c>
      <c r="G96">
        <v>6061</v>
      </c>
      <c r="H96">
        <v>0</v>
      </c>
      <c r="I96" t="s">
        <v>1469</v>
      </c>
      <c r="J96">
        <v>0</v>
      </c>
      <c r="K96">
        <v>1</v>
      </c>
      <c r="L96" t="s">
        <v>1555</v>
      </c>
      <c r="M96" t="s">
        <v>1556</v>
      </c>
      <c r="N96" t="s">
        <v>1557</v>
      </c>
      <c r="O96" t="s">
        <v>1859</v>
      </c>
      <c r="P96" t="s">
        <v>1559</v>
      </c>
      <c r="Q96" t="s">
        <v>1560</v>
      </c>
      <c r="R96" t="s">
        <v>1561</v>
      </c>
      <c r="S96" t="s">
        <v>1562</v>
      </c>
      <c r="T96" t="s">
        <v>1563</v>
      </c>
      <c r="U96" t="s">
        <v>1564</v>
      </c>
      <c r="V96" t="s">
        <v>1565</v>
      </c>
      <c r="W96">
        <v>805</v>
      </c>
      <c r="X96" t="s">
        <v>1566</v>
      </c>
      <c r="Y96" t="s">
        <v>1567</v>
      </c>
      <c r="Z96">
        <v>2</v>
      </c>
      <c r="AA96" t="s">
        <v>58</v>
      </c>
    </row>
    <row r="97" spans="1:27" x14ac:dyDescent="0.25">
      <c r="A97" t="s">
        <v>1553</v>
      </c>
      <c r="B97" t="s">
        <v>1554</v>
      </c>
      <c r="C97" t="s">
        <v>1860</v>
      </c>
      <c r="D97" t="s">
        <v>1861</v>
      </c>
      <c r="E97" t="s">
        <v>594</v>
      </c>
      <c r="F97" t="s">
        <v>1862</v>
      </c>
      <c r="G97">
        <v>5653</v>
      </c>
      <c r="H97">
        <v>0</v>
      </c>
      <c r="I97" t="s">
        <v>1469</v>
      </c>
      <c r="J97">
        <v>0</v>
      </c>
      <c r="K97">
        <v>1</v>
      </c>
      <c r="L97" t="s">
        <v>1555</v>
      </c>
      <c r="M97" t="s">
        <v>1556</v>
      </c>
      <c r="N97" t="s">
        <v>1557</v>
      </c>
      <c r="O97" t="s">
        <v>1863</v>
      </c>
      <c r="P97" t="s">
        <v>1559</v>
      </c>
      <c r="Q97" t="s">
        <v>1560</v>
      </c>
      <c r="R97" t="s">
        <v>1561</v>
      </c>
      <c r="S97" t="s">
        <v>1562</v>
      </c>
      <c r="T97" t="s">
        <v>1563</v>
      </c>
      <c r="U97" t="s">
        <v>1564</v>
      </c>
      <c r="V97" t="s">
        <v>1565</v>
      </c>
      <c r="W97">
        <v>805</v>
      </c>
      <c r="X97" t="s">
        <v>1566</v>
      </c>
      <c r="Y97" t="s">
        <v>1567</v>
      </c>
      <c r="Z97">
        <v>2</v>
      </c>
      <c r="AA97" t="s">
        <v>58</v>
      </c>
    </row>
    <row r="98" spans="1:27" x14ac:dyDescent="0.25">
      <c r="A98" t="s">
        <v>1553</v>
      </c>
      <c r="B98" t="s">
        <v>1554</v>
      </c>
      <c r="C98" t="s">
        <v>1864</v>
      </c>
      <c r="D98" t="s">
        <v>1865</v>
      </c>
      <c r="E98" t="s">
        <v>594</v>
      </c>
      <c r="F98" t="s">
        <v>1866</v>
      </c>
      <c r="G98">
        <v>5302</v>
      </c>
      <c r="H98">
        <v>0</v>
      </c>
      <c r="I98" t="s">
        <v>1469</v>
      </c>
      <c r="J98">
        <v>0</v>
      </c>
      <c r="K98">
        <v>1</v>
      </c>
      <c r="L98" t="s">
        <v>1555</v>
      </c>
      <c r="M98" t="s">
        <v>1556</v>
      </c>
      <c r="N98" t="s">
        <v>1557</v>
      </c>
      <c r="O98" t="s">
        <v>1867</v>
      </c>
      <c r="P98" t="s">
        <v>1559</v>
      </c>
      <c r="Q98" t="s">
        <v>1560</v>
      </c>
      <c r="R98" t="s">
        <v>1561</v>
      </c>
      <c r="S98" t="s">
        <v>1562</v>
      </c>
      <c r="T98" t="s">
        <v>1563</v>
      </c>
      <c r="U98" t="s">
        <v>1564</v>
      </c>
      <c r="V98" t="s">
        <v>1565</v>
      </c>
      <c r="W98">
        <v>805</v>
      </c>
      <c r="X98" t="s">
        <v>1566</v>
      </c>
      <c r="Y98" t="s">
        <v>1567</v>
      </c>
      <c r="Z98">
        <v>2</v>
      </c>
      <c r="AA98" t="s">
        <v>58</v>
      </c>
    </row>
    <row r="99" spans="1:27" x14ac:dyDescent="0.25">
      <c r="A99" t="s">
        <v>1553</v>
      </c>
      <c r="B99" t="s">
        <v>1554</v>
      </c>
      <c r="C99" t="s">
        <v>1445</v>
      </c>
      <c r="D99" t="s">
        <v>1443</v>
      </c>
      <c r="E99" t="s">
        <v>594</v>
      </c>
      <c r="F99" t="s">
        <v>1444</v>
      </c>
      <c r="G99">
        <v>5165</v>
      </c>
      <c r="H99">
        <v>0</v>
      </c>
      <c r="I99" t="s">
        <v>1469</v>
      </c>
      <c r="J99">
        <v>0</v>
      </c>
      <c r="K99">
        <v>1</v>
      </c>
      <c r="L99" t="s">
        <v>1555</v>
      </c>
      <c r="M99" t="s">
        <v>1556</v>
      </c>
      <c r="N99" t="s">
        <v>1557</v>
      </c>
      <c r="O99" t="s">
        <v>1868</v>
      </c>
      <c r="P99" t="s">
        <v>1559</v>
      </c>
      <c r="Q99" t="s">
        <v>1560</v>
      </c>
      <c r="R99" t="s">
        <v>1561</v>
      </c>
      <c r="S99" t="s">
        <v>1562</v>
      </c>
      <c r="T99" t="s">
        <v>1563</v>
      </c>
      <c r="U99" t="s">
        <v>1564</v>
      </c>
      <c r="V99" t="s">
        <v>1565</v>
      </c>
      <c r="W99">
        <v>805</v>
      </c>
      <c r="X99" t="s">
        <v>1566</v>
      </c>
      <c r="Y99" t="s">
        <v>1567</v>
      </c>
      <c r="Z99">
        <v>2</v>
      </c>
      <c r="AA99" t="s">
        <v>58</v>
      </c>
    </row>
    <row r="100" spans="1:27" x14ac:dyDescent="0.25">
      <c r="A100" t="s">
        <v>1553</v>
      </c>
      <c r="B100" t="s">
        <v>1554</v>
      </c>
      <c r="C100" t="s">
        <v>1869</v>
      </c>
      <c r="D100" t="s">
        <v>1870</v>
      </c>
      <c r="E100" t="s">
        <v>594</v>
      </c>
      <c r="F100" t="s">
        <v>1871</v>
      </c>
      <c r="G100">
        <v>4990</v>
      </c>
      <c r="H100">
        <v>0</v>
      </c>
      <c r="I100" t="s">
        <v>1469</v>
      </c>
      <c r="J100">
        <v>0</v>
      </c>
      <c r="K100">
        <v>1</v>
      </c>
      <c r="L100" t="s">
        <v>1555</v>
      </c>
      <c r="M100" t="s">
        <v>1556</v>
      </c>
      <c r="N100" t="s">
        <v>1557</v>
      </c>
      <c r="O100" t="s">
        <v>1872</v>
      </c>
      <c r="P100" t="s">
        <v>1559</v>
      </c>
      <c r="Q100" t="s">
        <v>1560</v>
      </c>
      <c r="R100" t="s">
        <v>1561</v>
      </c>
      <c r="S100" t="s">
        <v>1562</v>
      </c>
      <c r="T100" t="s">
        <v>1563</v>
      </c>
      <c r="U100" t="s">
        <v>1564</v>
      </c>
      <c r="V100" t="s">
        <v>1565</v>
      </c>
      <c r="W100">
        <v>805</v>
      </c>
      <c r="X100" t="s">
        <v>1566</v>
      </c>
      <c r="Y100" t="s">
        <v>1567</v>
      </c>
      <c r="Z100">
        <v>2</v>
      </c>
      <c r="AA100" t="s">
        <v>58</v>
      </c>
    </row>
    <row r="101" spans="1:27" x14ac:dyDescent="0.25">
      <c r="A101" t="s">
        <v>1553</v>
      </c>
      <c r="B101" t="s">
        <v>1554</v>
      </c>
      <c r="C101" t="s">
        <v>1873</v>
      </c>
      <c r="D101" t="s">
        <v>1874</v>
      </c>
      <c r="E101" t="s">
        <v>594</v>
      </c>
      <c r="F101" t="s">
        <v>1875</v>
      </c>
      <c r="G101">
        <v>4977</v>
      </c>
      <c r="H101">
        <v>0</v>
      </c>
      <c r="I101" t="s">
        <v>1469</v>
      </c>
      <c r="J101">
        <v>0</v>
      </c>
      <c r="K101">
        <v>1</v>
      </c>
      <c r="L101" t="s">
        <v>1555</v>
      </c>
      <c r="M101" t="s">
        <v>1556</v>
      </c>
      <c r="N101" t="s">
        <v>1557</v>
      </c>
      <c r="O101" t="s">
        <v>1876</v>
      </c>
      <c r="P101" t="s">
        <v>1559</v>
      </c>
      <c r="Q101" t="s">
        <v>1560</v>
      </c>
      <c r="R101" t="s">
        <v>1561</v>
      </c>
      <c r="S101" t="s">
        <v>1562</v>
      </c>
      <c r="T101" t="s">
        <v>1563</v>
      </c>
      <c r="U101" t="s">
        <v>1564</v>
      </c>
      <c r="V101" t="s">
        <v>1565</v>
      </c>
      <c r="W101">
        <v>805</v>
      </c>
      <c r="X101" t="s">
        <v>1566</v>
      </c>
      <c r="Y101" t="s">
        <v>1567</v>
      </c>
      <c r="Z101">
        <v>2</v>
      </c>
      <c r="AA101" t="s">
        <v>58</v>
      </c>
    </row>
    <row r="102" spans="1:27" x14ac:dyDescent="0.25">
      <c r="A102" t="s">
        <v>1553</v>
      </c>
      <c r="B102" t="s">
        <v>1554</v>
      </c>
      <c r="C102" t="s">
        <v>1877</v>
      </c>
      <c r="D102" t="s">
        <v>1878</v>
      </c>
      <c r="E102" t="s">
        <v>594</v>
      </c>
      <c r="F102" t="s">
        <v>1879</v>
      </c>
      <c r="G102">
        <v>3886</v>
      </c>
      <c r="H102">
        <v>0</v>
      </c>
      <c r="I102" t="s">
        <v>1469</v>
      </c>
      <c r="J102">
        <v>0</v>
      </c>
      <c r="K102">
        <v>1</v>
      </c>
      <c r="L102" t="s">
        <v>1555</v>
      </c>
      <c r="M102" t="s">
        <v>1556</v>
      </c>
      <c r="N102" t="s">
        <v>1557</v>
      </c>
      <c r="O102" t="s">
        <v>1880</v>
      </c>
      <c r="P102" t="s">
        <v>1559</v>
      </c>
      <c r="Q102" t="s">
        <v>1560</v>
      </c>
      <c r="R102" t="s">
        <v>1561</v>
      </c>
      <c r="S102" t="s">
        <v>1562</v>
      </c>
      <c r="T102" t="s">
        <v>1563</v>
      </c>
      <c r="U102" t="s">
        <v>1564</v>
      </c>
      <c r="V102" t="s">
        <v>1565</v>
      </c>
      <c r="W102">
        <v>805</v>
      </c>
      <c r="X102" t="s">
        <v>1566</v>
      </c>
      <c r="Y102" t="s">
        <v>1567</v>
      </c>
      <c r="Z102">
        <v>2</v>
      </c>
      <c r="AA102" t="s">
        <v>58</v>
      </c>
    </row>
    <row r="103" spans="1:27" x14ac:dyDescent="0.25">
      <c r="A103" t="s">
        <v>1553</v>
      </c>
      <c r="B103" t="s">
        <v>1554</v>
      </c>
      <c r="C103" t="s">
        <v>1881</v>
      </c>
      <c r="D103" t="s">
        <v>1882</v>
      </c>
      <c r="E103" t="s">
        <v>594</v>
      </c>
      <c r="F103" t="s">
        <v>1883</v>
      </c>
      <c r="G103">
        <v>4853</v>
      </c>
      <c r="H103">
        <v>0</v>
      </c>
      <c r="I103" t="s">
        <v>1469</v>
      </c>
      <c r="J103">
        <v>0</v>
      </c>
      <c r="K103">
        <v>1</v>
      </c>
      <c r="L103" t="s">
        <v>1555</v>
      </c>
      <c r="M103" t="s">
        <v>1556</v>
      </c>
      <c r="N103" t="s">
        <v>1557</v>
      </c>
      <c r="O103" t="s">
        <v>1884</v>
      </c>
      <c r="P103" t="s">
        <v>1559</v>
      </c>
      <c r="Q103" t="s">
        <v>1560</v>
      </c>
      <c r="R103" t="s">
        <v>1561</v>
      </c>
      <c r="S103" t="s">
        <v>1562</v>
      </c>
      <c r="T103" t="s">
        <v>1563</v>
      </c>
      <c r="U103" t="s">
        <v>1564</v>
      </c>
      <c r="V103" t="s">
        <v>1565</v>
      </c>
      <c r="W103">
        <v>805</v>
      </c>
      <c r="X103" t="s">
        <v>1566</v>
      </c>
      <c r="Y103" t="s">
        <v>1567</v>
      </c>
      <c r="Z103">
        <v>2</v>
      </c>
      <c r="AA103" t="s">
        <v>58</v>
      </c>
    </row>
    <row r="104" spans="1:27" x14ac:dyDescent="0.25">
      <c r="A104" t="s">
        <v>1553</v>
      </c>
      <c r="B104" t="s">
        <v>1554</v>
      </c>
      <c r="C104" t="s">
        <v>1885</v>
      </c>
      <c r="D104" t="s">
        <v>1886</v>
      </c>
      <c r="E104" t="s">
        <v>594</v>
      </c>
      <c r="F104" t="s">
        <v>1887</v>
      </c>
      <c r="G104">
        <v>4813</v>
      </c>
      <c r="H104">
        <v>0</v>
      </c>
      <c r="I104" t="s">
        <v>1469</v>
      </c>
      <c r="J104">
        <v>0</v>
      </c>
      <c r="K104">
        <v>1</v>
      </c>
      <c r="L104" t="s">
        <v>1555</v>
      </c>
      <c r="M104" t="s">
        <v>1556</v>
      </c>
      <c r="N104" t="s">
        <v>1557</v>
      </c>
      <c r="O104" t="s">
        <v>1888</v>
      </c>
      <c r="P104" t="s">
        <v>1559</v>
      </c>
      <c r="Q104" t="s">
        <v>1560</v>
      </c>
      <c r="R104" t="s">
        <v>1561</v>
      </c>
      <c r="S104" t="s">
        <v>1562</v>
      </c>
      <c r="T104" t="s">
        <v>1563</v>
      </c>
      <c r="U104" t="s">
        <v>1564</v>
      </c>
      <c r="V104" t="s">
        <v>1565</v>
      </c>
      <c r="W104">
        <v>805</v>
      </c>
      <c r="X104" t="s">
        <v>1566</v>
      </c>
      <c r="Y104" t="s">
        <v>1567</v>
      </c>
      <c r="Z104">
        <v>2</v>
      </c>
      <c r="AA104" t="s">
        <v>58</v>
      </c>
    </row>
    <row r="105" spans="1:27" x14ac:dyDescent="0.25">
      <c r="A105" t="s">
        <v>1553</v>
      </c>
      <c r="B105" t="s">
        <v>1554</v>
      </c>
      <c r="C105" t="s">
        <v>1889</v>
      </c>
      <c r="D105" t="s">
        <v>1890</v>
      </c>
      <c r="E105" t="s">
        <v>594</v>
      </c>
      <c r="F105" t="s">
        <v>1891</v>
      </c>
      <c r="G105">
        <v>4761</v>
      </c>
      <c r="H105">
        <v>0</v>
      </c>
      <c r="I105" t="s">
        <v>1469</v>
      </c>
      <c r="J105">
        <v>0</v>
      </c>
      <c r="K105">
        <v>1</v>
      </c>
      <c r="L105" t="s">
        <v>1555</v>
      </c>
      <c r="M105" t="s">
        <v>1556</v>
      </c>
      <c r="N105" t="s">
        <v>1557</v>
      </c>
      <c r="O105" t="s">
        <v>1892</v>
      </c>
      <c r="P105" t="s">
        <v>1559</v>
      </c>
      <c r="Q105" t="s">
        <v>1560</v>
      </c>
      <c r="R105" t="s">
        <v>1561</v>
      </c>
      <c r="S105" t="s">
        <v>1562</v>
      </c>
      <c r="T105" t="s">
        <v>1563</v>
      </c>
      <c r="U105" t="s">
        <v>1564</v>
      </c>
      <c r="V105" t="s">
        <v>1565</v>
      </c>
      <c r="W105">
        <v>805</v>
      </c>
      <c r="X105" t="s">
        <v>1566</v>
      </c>
      <c r="Y105" t="s">
        <v>1567</v>
      </c>
      <c r="Z105">
        <v>2</v>
      </c>
      <c r="AA105" t="s">
        <v>58</v>
      </c>
    </row>
    <row r="106" spans="1:27" x14ac:dyDescent="0.25">
      <c r="A106" t="s">
        <v>1553</v>
      </c>
      <c r="B106" t="s">
        <v>1554</v>
      </c>
      <c r="C106" t="s">
        <v>1893</v>
      </c>
      <c r="D106" t="s">
        <v>1894</v>
      </c>
      <c r="E106" t="s">
        <v>594</v>
      </c>
      <c r="F106" t="s">
        <v>1895</v>
      </c>
      <c r="G106">
        <v>4700</v>
      </c>
      <c r="H106">
        <v>0</v>
      </c>
      <c r="I106" t="s">
        <v>1469</v>
      </c>
      <c r="J106">
        <v>0</v>
      </c>
      <c r="K106">
        <v>1</v>
      </c>
      <c r="L106" t="s">
        <v>1555</v>
      </c>
      <c r="M106" t="s">
        <v>1556</v>
      </c>
      <c r="N106" t="s">
        <v>1557</v>
      </c>
      <c r="O106" t="s">
        <v>1896</v>
      </c>
      <c r="P106" t="s">
        <v>1559</v>
      </c>
      <c r="Q106" t="s">
        <v>1560</v>
      </c>
      <c r="R106" t="s">
        <v>1561</v>
      </c>
      <c r="S106" t="s">
        <v>1562</v>
      </c>
      <c r="T106" t="s">
        <v>1563</v>
      </c>
      <c r="U106" t="s">
        <v>1564</v>
      </c>
      <c r="V106" t="s">
        <v>1565</v>
      </c>
      <c r="W106">
        <v>805</v>
      </c>
      <c r="X106" t="s">
        <v>1566</v>
      </c>
      <c r="Y106" t="s">
        <v>1567</v>
      </c>
      <c r="Z106">
        <v>2</v>
      </c>
      <c r="AA106" t="s">
        <v>58</v>
      </c>
    </row>
    <row r="107" spans="1:27" x14ac:dyDescent="0.25">
      <c r="A107" t="s">
        <v>1553</v>
      </c>
      <c r="B107" t="s">
        <v>1554</v>
      </c>
      <c r="C107" t="s">
        <v>1897</v>
      </c>
      <c r="D107" t="s">
        <v>1898</v>
      </c>
      <c r="E107" t="s">
        <v>594</v>
      </c>
      <c r="F107" t="s">
        <v>1899</v>
      </c>
      <c r="G107">
        <v>4666</v>
      </c>
      <c r="H107">
        <v>0</v>
      </c>
      <c r="I107" t="s">
        <v>1469</v>
      </c>
      <c r="J107">
        <v>0</v>
      </c>
      <c r="K107">
        <v>1</v>
      </c>
      <c r="L107" t="s">
        <v>1555</v>
      </c>
      <c r="M107" t="s">
        <v>1556</v>
      </c>
      <c r="N107" t="s">
        <v>1557</v>
      </c>
      <c r="O107" t="s">
        <v>1900</v>
      </c>
      <c r="P107" t="s">
        <v>1559</v>
      </c>
      <c r="Q107" t="s">
        <v>1560</v>
      </c>
      <c r="R107" t="s">
        <v>1561</v>
      </c>
      <c r="S107" t="s">
        <v>1562</v>
      </c>
      <c r="T107" t="s">
        <v>1563</v>
      </c>
      <c r="U107" t="s">
        <v>1564</v>
      </c>
      <c r="V107" t="s">
        <v>1565</v>
      </c>
      <c r="W107">
        <v>805</v>
      </c>
      <c r="X107" t="s">
        <v>1566</v>
      </c>
      <c r="Y107" t="s">
        <v>1567</v>
      </c>
      <c r="Z107">
        <v>2</v>
      </c>
      <c r="AA107" t="s">
        <v>58</v>
      </c>
    </row>
    <row r="108" spans="1:27" x14ac:dyDescent="0.25">
      <c r="A108" t="s">
        <v>1553</v>
      </c>
      <c r="B108" t="s">
        <v>1554</v>
      </c>
      <c r="C108" t="s">
        <v>1901</v>
      </c>
      <c r="D108" t="s">
        <v>1902</v>
      </c>
      <c r="E108" t="s">
        <v>594</v>
      </c>
      <c r="F108" t="s">
        <v>1903</v>
      </c>
      <c r="G108">
        <v>4620</v>
      </c>
      <c r="H108">
        <v>0</v>
      </c>
      <c r="I108" t="s">
        <v>1469</v>
      </c>
      <c r="J108">
        <v>0</v>
      </c>
      <c r="K108">
        <v>1</v>
      </c>
      <c r="L108" t="s">
        <v>1555</v>
      </c>
      <c r="M108" t="s">
        <v>1556</v>
      </c>
      <c r="N108" t="s">
        <v>1557</v>
      </c>
      <c r="O108" t="s">
        <v>1904</v>
      </c>
      <c r="P108" t="s">
        <v>1559</v>
      </c>
      <c r="Q108" t="s">
        <v>1560</v>
      </c>
      <c r="R108" t="s">
        <v>1561</v>
      </c>
      <c r="S108" t="s">
        <v>1562</v>
      </c>
      <c r="T108" t="s">
        <v>1563</v>
      </c>
      <c r="U108" t="s">
        <v>1564</v>
      </c>
      <c r="V108" t="s">
        <v>1565</v>
      </c>
      <c r="W108">
        <v>805</v>
      </c>
      <c r="X108" t="s">
        <v>1566</v>
      </c>
      <c r="Y108" t="s">
        <v>1567</v>
      </c>
      <c r="Z108">
        <v>2</v>
      </c>
      <c r="AA108" t="s">
        <v>58</v>
      </c>
    </row>
    <row r="109" spans="1:27" x14ac:dyDescent="0.25">
      <c r="A109" t="s">
        <v>1553</v>
      </c>
      <c r="B109" t="s">
        <v>1554</v>
      </c>
      <c r="C109" t="s">
        <v>1905</v>
      </c>
      <c r="D109" t="s">
        <v>1906</v>
      </c>
      <c r="E109" t="s">
        <v>594</v>
      </c>
      <c r="F109" t="s">
        <v>1907</v>
      </c>
      <c r="G109">
        <v>4604</v>
      </c>
      <c r="H109">
        <v>0</v>
      </c>
      <c r="I109" t="s">
        <v>1469</v>
      </c>
      <c r="J109">
        <v>0</v>
      </c>
      <c r="K109">
        <v>1</v>
      </c>
      <c r="L109" t="s">
        <v>1555</v>
      </c>
      <c r="M109" t="s">
        <v>1556</v>
      </c>
      <c r="N109" t="s">
        <v>1557</v>
      </c>
      <c r="O109" t="s">
        <v>1908</v>
      </c>
      <c r="P109" t="s">
        <v>1559</v>
      </c>
      <c r="Q109" t="s">
        <v>1560</v>
      </c>
      <c r="R109" t="s">
        <v>1561</v>
      </c>
      <c r="S109" t="s">
        <v>1562</v>
      </c>
      <c r="T109" t="s">
        <v>1563</v>
      </c>
      <c r="U109" t="s">
        <v>1564</v>
      </c>
      <c r="V109" t="s">
        <v>1565</v>
      </c>
      <c r="W109">
        <v>805</v>
      </c>
      <c r="X109" t="s">
        <v>1566</v>
      </c>
      <c r="Y109" t="s">
        <v>1567</v>
      </c>
      <c r="Z109">
        <v>2</v>
      </c>
      <c r="AA109" t="s">
        <v>58</v>
      </c>
    </row>
    <row r="110" spans="1:27" x14ac:dyDescent="0.25">
      <c r="A110" t="s">
        <v>1553</v>
      </c>
      <c r="B110" t="s">
        <v>1554</v>
      </c>
      <c r="C110" t="s">
        <v>1909</v>
      </c>
      <c r="D110" t="s">
        <v>1910</v>
      </c>
      <c r="E110" t="s">
        <v>594</v>
      </c>
      <c r="F110" t="s">
        <v>1911</v>
      </c>
      <c r="G110">
        <v>4587</v>
      </c>
      <c r="H110">
        <v>0</v>
      </c>
      <c r="I110" t="s">
        <v>1469</v>
      </c>
      <c r="J110">
        <v>0</v>
      </c>
      <c r="K110">
        <v>1</v>
      </c>
      <c r="L110" t="s">
        <v>1555</v>
      </c>
      <c r="M110" t="s">
        <v>1556</v>
      </c>
      <c r="N110" t="s">
        <v>1557</v>
      </c>
      <c r="O110" t="s">
        <v>1912</v>
      </c>
      <c r="P110" t="s">
        <v>1559</v>
      </c>
      <c r="Q110" t="s">
        <v>1560</v>
      </c>
      <c r="R110" t="s">
        <v>1561</v>
      </c>
      <c r="S110" t="s">
        <v>1562</v>
      </c>
      <c r="T110" t="s">
        <v>1563</v>
      </c>
      <c r="U110" t="s">
        <v>1564</v>
      </c>
      <c r="V110" t="s">
        <v>1565</v>
      </c>
      <c r="W110">
        <v>805</v>
      </c>
      <c r="X110" t="s">
        <v>1566</v>
      </c>
      <c r="Y110" t="s">
        <v>1567</v>
      </c>
      <c r="Z110">
        <v>2</v>
      </c>
      <c r="AA110" t="s">
        <v>58</v>
      </c>
    </row>
    <row r="111" spans="1:27" x14ac:dyDescent="0.25">
      <c r="A111" t="s">
        <v>1553</v>
      </c>
      <c r="B111" t="s">
        <v>1554</v>
      </c>
      <c r="C111" t="s">
        <v>1913</v>
      </c>
      <c r="D111" t="s">
        <v>1914</v>
      </c>
      <c r="E111" t="s">
        <v>594</v>
      </c>
      <c r="F111" t="s">
        <v>1915</v>
      </c>
      <c r="G111">
        <v>4450</v>
      </c>
      <c r="H111">
        <v>0</v>
      </c>
      <c r="I111" t="s">
        <v>1469</v>
      </c>
      <c r="J111">
        <v>0</v>
      </c>
      <c r="K111">
        <v>1</v>
      </c>
      <c r="L111" t="s">
        <v>1555</v>
      </c>
      <c r="M111" t="s">
        <v>1556</v>
      </c>
      <c r="N111" t="s">
        <v>1557</v>
      </c>
      <c r="O111" t="s">
        <v>1916</v>
      </c>
      <c r="P111" t="s">
        <v>1559</v>
      </c>
      <c r="Q111" t="s">
        <v>1560</v>
      </c>
      <c r="R111" t="s">
        <v>1561</v>
      </c>
      <c r="S111" t="s">
        <v>1562</v>
      </c>
      <c r="T111" t="s">
        <v>1563</v>
      </c>
      <c r="U111" t="s">
        <v>1564</v>
      </c>
      <c r="V111" t="s">
        <v>1565</v>
      </c>
      <c r="W111">
        <v>805</v>
      </c>
      <c r="X111" t="s">
        <v>1566</v>
      </c>
      <c r="Y111" t="s">
        <v>1567</v>
      </c>
      <c r="Z111">
        <v>2</v>
      </c>
      <c r="AA111" t="s">
        <v>58</v>
      </c>
    </row>
    <row r="112" spans="1:27" x14ac:dyDescent="0.25">
      <c r="A112" t="s">
        <v>1553</v>
      </c>
      <c r="B112" t="s">
        <v>1554</v>
      </c>
      <c r="C112" t="s">
        <v>1917</v>
      </c>
      <c r="D112" t="s">
        <v>1918</v>
      </c>
      <c r="E112" t="s">
        <v>594</v>
      </c>
      <c r="F112" t="s">
        <v>1919</v>
      </c>
      <c r="G112">
        <v>4416</v>
      </c>
      <c r="H112">
        <v>0</v>
      </c>
      <c r="I112" t="s">
        <v>1469</v>
      </c>
      <c r="J112">
        <v>0</v>
      </c>
      <c r="K112">
        <v>1</v>
      </c>
      <c r="L112" t="s">
        <v>1555</v>
      </c>
      <c r="M112" t="s">
        <v>1556</v>
      </c>
      <c r="N112" t="s">
        <v>1557</v>
      </c>
      <c r="O112" t="s">
        <v>1920</v>
      </c>
      <c r="P112" t="s">
        <v>1559</v>
      </c>
      <c r="Q112" t="s">
        <v>1560</v>
      </c>
      <c r="R112" t="s">
        <v>1561</v>
      </c>
      <c r="S112" t="s">
        <v>1562</v>
      </c>
      <c r="T112" t="s">
        <v>1563</v>
      </c>
      <c r="U112" t="s">
        <v>1564</v>
      </c>
      <c r="V112" t="s">
        <v>1565</v>
      </c>
      <c r="W112">
        <v>805</v>
      </c>
      <c r="X112" t="s">
        <v>1566</v>
      </c>
      <c r="Y112" t="s">
        <v>1567</v>
      </c>
      <c r="Z112">
        <v>2</v>
      </c>
      <c r="AA112" t="s">
        <v>58</v>
      </c>
    </row>
    <row r="113" spans="1:27" x14ac:dyDescent="0.25">
      <c r="A113" t="s">
        <v>1553</v>
      </c>
      <c r="B113" t="s">
        <v>1554</v>
      </c>
      <c r="C113" t="s">
        <v>1921</v>
      </c>
      <c r="D113" t="s">
        <v>1922</v>
      </c>
      <c r="E113" t="s">
        <v>594</v>
      </c>
      <c r="F113" t="s">
        <v>1923</v>
      </c>
      <c r="G113">
        <v>4407</v>
      </c>
      <c r="H113">
        <v>0</v>
      </c>
      <c r="I113" t="s">
        <v>1469</v>
      </c>
      <c r="J113">
        <v>0</v>
      </c>
      <c r="K113">
        <v>1</v>
      </c>
      <c r="L113" t="s">
        <v>1555</v>
      </c>
      <c r="M113" t="s">
        <v>1556</v>
      </c>
      <c r="N113" t="s">
        <v>1557</v>
      </c>
      <c r="O113" t="s">
        <v>1924</v>
      </c>
      <c r="P113" t="s">
        <v>1559</v>
      </c>
      <c r="Q113" t="s">
        <v>1560</v>
      </c>
      <c r="R113" t="s">
        <v>1561</v>
      </c>
      <c r="S113" t="s">
        <v>1562</v>
      </c>
      <c r="T113" t="s">
        <v>1563</v>
      </c>
      <c r="U113" t="s">
        <v>1564</v>
      </c>
      <c r="V113" t="s">
        <v>1565</v>
      </c>
      <c r="W113">
        <v>805</v>
      </c>
      <c r="X113" t="s">
        <v>1566</v>
      </c>
      <c r="Y113" t="s">
        <v>1567</v>
      </c>
      <c r="Z113">
        <v>2</v>
      </c>
      <c r="AA113" t="s">
        <v>58</v>
      </c>
    </row>
    <row r="114" spans="1:27" x14ac:dyDescent="0.25">
      <c r="A114" t="s">
        <v>1553</v>
      </c>
      <c r="B114" t="s">
        <v>1554</v>
      </c>
      <c r="C114" t="s">
        <v>1925</v>
      </c>
      <c r="D114" t="s">
        <v>1926</v>
      </c>
      <c r="E114" t="s">
        <v>594</v>
      </c>
      <c r="F114" t="s">
        <v>1927</v>
      </c>
      <c r="G114">
        <v>4362</v>
      </c>
      <c r="H114">
        <v>0</v>
      </c>
      <c r="I114" t="s">
        <v>1469</v>
      </c>
      <c r="J114">
        <v>0</v>
      </c>
      <c r="K114">
        <v>1</v>
      </c>
      <c r="L114" t="s">
        <v>1555</v>
      </c>
      <c r="M114" t="s">
        <v>1556</v>
      </c>
      <c r="N114" t="s">
        <v>1557</v>
      </c>
      <c r="O114" t="s">
        <v>1928</v>
      </c>
      <c r="P114" t="s">
        <v>1559</v>
      </c>
      <c r="Q114" t="s">
        <v>1560</v>
      </c>
      <c r="R114" t="s">
        <v>1561</v>
      </c>
      <c r="S114" t="s">
        <v>1562</v>
      </c>
      <c r="T114" t="s">
        <v>1563</v>
      </c>
      <c r="U114" t="s">
        <v>1564</v>
      </c>
      <c r="V114" t="s">
        <v>1565</v>
      </c>
      <c r="W114">
        <v>805</v>
      </c>
      <c r="X114" t="s">
        <v>1566</v>
      </c>
      <c r="Y114" t="s">
        <v>1567</v>
      </c>
      <c r="Z114">
        <v>2</v>
      </c>
      <c r="AA114" t="s">
        <v>58</v>
      </c>
    </row>
    <row r="115" spans="1:27" x14ac:dyDescent="0.25">
      <c r="A115" t="s">
        <v>1553</v>
      </c>
      <c r="B115" t="s">
        <v>1554</v>
      </c>
      <c r="C115" t="s">
        <v>1929</v>
      </c>
      <c r="D115" t="s">
        <v>1930</v>
      </c>
      <c r="E115" t="s">
        <v>594</v>
      </c>
      <c r="F115" t="s">
        <v>1931</v>
      </c>
      <c r="G115">
        <v>4329</v>
      </c>
      <c r="H115">
        <v>0</v>
      </c>
      <c r="I115" t="s">
        <v>1469</v>
      </c>
      <c r="J115">
        <v>0</v>
      </c>
      <c r="K115">
        <v>1</v>
      </c>
      <c r="L115" t="s">
        <v>1555</v>
      </c>
      <c r="M115" t="s">
        <v>1556</v>
      </c>
      <c r="N115" t="s">
        <v>1557</v>
      </c>
      <c r="O115" t="s">
        <v>1932</v>
      </c>
      <c r="P115" t="s">
        <v>1559</v>
      </c>
      <c r="Q115" t="s">
        <v>1560</v>
      </c>
      <c r="R115" t="s">
        <v>1561</v>
      </c>
      <c r="S115" t="s">
        <v>1562</v>
      </c>
      <c r="T115" t="s">
        <v>1563</v>
      </c>
      <c r="U115" t="s">
        <v>1564</v>
      </c>
      <c r="V115" t="s">
        <v>1565</v>
      </c>
      <c r="W115">
        <v>805</v>
      </c>
      <c r="X115" t="s">
        <v>1566</v>
      </c>
      <c r="Y115" t="s">
        <v>1567</v>
      </c>
      <c r="Z115">
        <v>2</v>
      </c>
      <c r="AA115" t="s">
        <v>58</v>
      </c>
    </row>
    <row r="116" spans="1:27" x14ac:dyDescent="0.25">
      <c r="A116" t="s">
        <v>1553</v>
      </c>
      <c r="B116" t="s">
        <v>1554</v>
      </c>
      <c r="C116" t="s">
        <v>1933</v>
      </c>
      <c r="D116" t="s">
        <v>1934</v>
      </c>
      <c r="E116" t="s">
        <v>594</v>
      </c>
      <c r="F116" t="s">
        <v>1935</v>
      </c>
      <c r="G116">
        <v>4287</v>
      </c>
      <c r="H116">
        <v>0</v>
      </c>
      <c r="I116" t="s">
        <v>1469</v>
      </c>
      <c r="J116">
        <v>0</v>
      </c>
      <c r="K116">
        <v>1</v>
      </c>
      <c r="L116" t="s">
        <v>1555</v>
      </c>
      <c r="M116" t="s">
        <v>1556</v>
      </c>
      <c r="N116" t="s">
        <v>1557</v>
      </c>
      <c r="O116" t="s">
        <v>1936</v>
      </c>
      <c r="P116" t="s">
        <v>1559</v>
      </c>
      <c r="Q116" t="s">
        <v>1560</v>
      </c>
      <c r="R116" t="s">
        <v>1561</v>
      </c>
      <c r="S116" t="s">
        <v>1562</v>
      </c>
      <c r="T116" t="s">
        <v>1563</v>
      </c>
      <c r="U116" t="s">
        <v>1564</v>
      </c>
      <c r="V116" t="s">
        <v>1565</v>
      </c>
      <c r="W116">
        <v>805</v>
      </c>
      <c r="X116" t="s">
        <v>1566</v>
      </c>
      <c r="Y116" t="s">
        <v>1567</v>
      </c>
      <c r="Z116">
        <v>2</v>
      </c>
      <c r="AA116" t="s">
        <v>58</v>
      </c>
    </row>
    <row r="117" spans="1:27" x14ac:dyDescent="0.25">
      <c r="A117" t="s">
        <v>1553</v>
      </c>
      <c r="B117" t="s">
        <v>1554</v>
      </c>
      <c r="C117" t="s">
        <v>1937</v>
      </c>
      <c r="D117" t="s">
        <v>1938</v>
      </c>
      <c r="E117" t="s">
        <v>594</v>
      </c>
      <c r="F117" t="s">
        <v>1939</v>
      </c>
      <c r="G117">
        <v>4260</v>
      </c>
      <c r="H117">
        <v>0</v>
      </c>
      <c r="I117" t="s">
        <v>1469</v>
      </c>
      <c r="J117">
        <v>0</v>
      </c>
      <c r="K117">
        <v>1</v>
      </c>
      <c r="L117" t="s">
        <v>1555</v>
      </c>
      <c r="M117" t="s">
        <v>1556</v>
      </c>
      <c r="N117" t="s">
        <v>1557</v>
      </c>
      <c r="O117" t="s">
        <v>1940</v>
      </c>
      <c r="P117" t="s">
        <v>1559</v>
      </c>
      <c r="Q117" t="s">
        <v>1560</v>
      </c>
      <c r="R117" t="s">
        <v>1561</v>
      </c>
      <c r="S117" t="s">
        <v>1562</v>
      </c>
      <c r="T117" t="s">
        <v>1563</v>
      </c>
      <c r="U117" t="s">
        <v>1564</v>
      </c>
      <c r="V117" t="s">
        <v>1565</v>
      </c>
      <c r="W117">
        <v>805</v>
      </c>
      <c r="X117" t="s">
        <v>1566</v>
      </c>
      <c r="Y117" t="s">
        <v>1567</v>
      </c>
      <c r="Z117">
        <v>2</v>
      </c>
      <c r="AA117" t="s">
        <v>58</v>
      </c>
    </row>
    <row r="118" spans="1:27" x14ac:dyDescent="0.25">
      <c r="A118" t="s">
        <v>1553</v>
      </c>
      <c r="B118" t="s">
        <v>1554</v>
      </c>
      <c r="C118" t="s">
        <v>1941</v>
      </c>
      <c r="D118" t="s">
        <v>1942</v>
      </c>
      <c r="E118" t="s">
        <v>594</v>
      </c>
      <c r="F118" t="s">
        <v>1943</v>
      </c>
      <c r="G118">
        <v>4246</v>
      </c>
      <c r="H118">
        <v>0</v>
      </c>
      <c r="I118" t="s">
        <v>1469</v>
      </c>
      <c r="J118">
        <v>0</v>
      </c>
      <c r="K118">
        <v>1</v>
      </c>
      <c r="L118" t="s">
        <v>1555</v>
      </c>
      <c r="M118" t="s">
        <v>1556</v>
      </c>
      <c r="N118" t="s">
        <v>1557</v>
      </c>
      <c r="O118" t="s">
        <v>1944</v>
      </c>
      <c r="P118" t="s">
        <v>1559</v>
      </c>
      <c r="Q118" t="s">
        <v>1560</v>
      </c>
      <c r="R118" t="s">
        <v>1561</v>
      </c>
      <c r="S118" t="s">
        <v>1562</v>
      </c>
      <c r="T118" t="s">
        <v>1563</v>
      </c>
      <c r="U118" t="s">
        <v>1564</v>
      </c>
      <c r="V118" t="s">
        <v>1565</v>
      </c>
      <c r="W118">
        <v>805</v>
      </c>
      <c r="X118" t="s">
        <v>1566</v>
      </c>
      <c r="Y118" t="s">
        <v>1567</v>
      </c>
      <c r="Z118">
        <v>2</v>
      </c>
      <c r="AA118" t="s">
        <v>58</v>
      </c>
    </row>
    <row r="119" spans="1:27" x14ac:dyDescent="0.25">
      <c r="A119" t="s">
        <v>1553</v>
      </c>
      <c r="B119" t="s">
        <v>1554</v>
      </c>
      <c r="C119" t="s">
        <v>1945</v>
      </c>
      <c r="D119" t="s">
        <v>1946</v>
      </c>
      <c r="E119" t="s">
        <v>594</v>
      </c>
      <c r="F119" t="s">
        <v>1947</v>
      </c>
      <c r="G119">
        <v>4090</v>
      </c>
      <c r="H119">
        <v>0</v>
      </c>
      <c r="I119" t="s">
        <v>1469</v>
      </c>
      <c r="J119">
        <v>0</v>
      </c>
      <c r="K119">
        <v>1</v>
      </c>
      <c r="L119" t="s">
        <v>1555</v>
      </c>
      <c r="M119" t="s">
        <v>1556</v>
      </c>
      <c r="N119" t="s">
        <v>1557</v>
      </c>
      <c r="O119" t="s">
        <v>1948</v>
      </c>
      <c r="P119" t="s">
        <v>1559</v>
      </c>
      <c r="Q119" t="s">
        <v>1560</v>
      </c>
      <c r="R119" t="s">
        <v>1561</v>
      </c>
      <c r="S119" t="s">
        <v>1562</v>
      </c>
      <c r="T119" t="s">
        <v>1563</v>
      </c>
      <c r="U119" t="s">
        <v>1564</v>
      </c>
      <c r="V119" t="s">
        <v>1565</v>
      </c>
      <c r="W119">
        <v>805</v>
      </c>
      <c r="X119" t="s">
        <v>1566</v>
      </c>
      <c r="Y119" t="s">
        <v>1567</v>
      </c>
      <c r="Z119">
        <v>2</v>
      </c>
      <c r="AA119" t="s">
        <v>58</v>
      </c>
    </row>
    <row r="120" spans="1:27" x14ac:dyDescent="0.25">
      <c r="A120" t="s">
        <v>1553</v>
      </c>
      <c r="B120" t="s">
        <v>1554</v>
      </c>
      <c r="C120" t="s">
        <v>1949</v>
      </c>
      <c r="D120" t="s">
        <v>1950</v>
      </c>
      <c r="E120" t="s">
        <v>594</v>
      </c>
      <c r="F120" t="s">
        <v>1951</v>
      </c>
      <c r="G120">
        <v>4037</v>
      </c>
      <c r="H120">
        <v>0</v>
      </c>
      <c r="I120" t="s">
        <v>1469</v>
      </c>
      <c r="J120">
        <v>0</v>
      </c>
      <c r="K120">
        <v>1</v>
      </c>
      <c r="L120" t="s">
        <v>1555</v>
      </c>
      <c r="M120" t="s">
        <v>1556</v>
      </c>
      <c r="N120" t="s">
        <v>1557</v>
      </c>
      <c r="O120" t="s">
        <v>1952</v>
      </c>
      <c r="P120" t="s">
        <v>1559</v>
      </c>
      <c r="Q120" t="s">
        <v>1560</v>
      </c>
      <c r="R120" t="s">
        <v>1561</v>
      </c>
      <c r="S120" t="s">
        <v>1562</v>
      </c>
      <c r="T120" t="s">
        <v>1563</v>
      </c>
      <c r="U120" t="s">
        <v>1564</v>
      </c>
      <c r="V120" t="s">
        <v>1565</v>
      </c>
      <c r="W120">
        <v>805</v>
      </c>
      <c r="X120" t="s">
        <v>1566</v>
      </c>
      <c r="Y120" t="s">
        <v>1567</v>
      </c>
      <c r="Z120">
        <v>2</v>
      </c>
      <c r="AA120" t="s">
        <v>58</v>
      </c>
    </row>
    <row r="121" spans="1:27" x14ac:dyDescent="0.25">
      <c r="A121" t="s">
        <v>1553</v>
      </c>
      <c r="B121" t="s">
        <v>1554</v>
      </c>
      <c r="C121" t="s">
        <v>1953</v>
      </c>
      <c r="D121" t="s">
        <v>1954</v>
      </c>
      <c r="E121" t="s">
        <v>594</v>
      </c>
      <c r="F121" t="s">
        <v>1955</v>
      </c>
      <c r="G121">
        <v>3966</v>
      </c>
      <c r="H121">
        <v>0</v>
      </c>
      <c r="I121" t="s">
        <v>1469</v>
      </c>
      <c r="J121">
        <v>0</v>
      </c>
      <c r="K121">
        <v>1</v>
      </c>
      <c r="L121" t="s">
        <v>1555</v>
      </c>
      <c r="M121" t="s">
        <v>1556</v>
      </c>
      <c r="N121" t="s">
        <v>1557</v>
      </c>
      <c r="O121" t="s">
        <v>1956</v>
      </c>
      <c r="P121" t="s">
        <v>1559</v>
      </c>
      <c r="Q121" t="s">
        <v>1560</v>
      </c>
      <c r="R121" t="s">
        <v>1561</v>
      </c>
      <c r="S121" t="s">
        <v>1562</v>
      </c>
      <c r="T121" t="s">
        <v>1563</v>
      </c>
      <c r="U121" t="s">
        <v>1564</v>
      </c>
      <c r="V121" t="s">
        <v>1565</v>
      </c>
      <c r="W121">
        <v>805</v>
      </c>
      <c r="X121" t="s">
        <v>1566</v>
      </c>
      <c r="Y121" t="s">
        <v>1567</v>
      </c>
      <c r="Z121">
        <v>2</v>
      </c>
      <c r="AA121" t="s">
        <v>58</v>
      </c>
    </row>
    <row r="122" spans="1:27" x14ac:dyDescent="0.25">
      <c r="A122" t="s">
        <v>1553</v>
      </c>
      <c r="B122" t="s">
        <v>1554</v>
      </c>
      <c r="C122" t="s">
        <v>1957</v>
      </c>
      <c r="D122" t="s">
        <v>1958</v>
      </c>
      <c r="E122" t="s">
        <v>594</v>
      </c>
      <c r="F122" t="s">
        <v>1959</v>
      </c>
      <c r="G122">
        <v>3817</v>
      </c>
      <c r="H122">
        <v>0</v>
      </c>
      <c r="I122" t="s">
        <v>1469</v>
      </c>
      <c r="J122">
        <v>0</v>
      </c>
      <c r="K122">
        <v>1</v>
      </c>
      <c r="L122" t="s">
        <v>1555</v>
      </c>
      <c r="M122" t="s">
        <v>1556</v>
      </c>
      <c r="N122" t="s">
        <v>1557</v>
      </c>
      <c r="O122" t="s">
        <v>1960</v>
      </c>
      <c r="P122" t="s">
        <v>1559</v>
      </c>
      <c r="Q122" t="s">
        <v>1560</v>
      </c>
      <c r="R122" t="s">
        <v>1561</v>
      </c>
      <c r="S122" t="s">
        <v>1562</v>
      </c>
      <c r="T122" t="s">
        <v>1563</v>
      </c>
      <c r="U122" t="s">
        <v>1564</v>
      </c>
      <c r="V122" t="s">
        <v>1565</v>
      </c>
      <c r="W122">
        <v>805</v>
      </c>
      <c r="X122" t="s">
        <v>1566</v>
      </c>
      <c r="Y122" t="s">
        <v>1567</v>
      </c>
      <c r="Z122">
        <v>2</v>
      </c>
      <c r="AA122" t="s">
        <v>58</v>
      </c>
    </row>
    <row r="123" spans="1:27" x14ac:dyDescent="0.25">
      <c r="A123" t="s">
        <v>1553</v>
      </c>
      <c r="B123" t="s">
        <v>1554</v>
      </c>
      <c r="C123" t="s">
        <v>1961</v>
      </c>
      <c r="D123" t="s">
        <v>1962</v>
      </c>
      <c r="E123" t="s">
        <v>594</v>
      </c>
      <c r="F123" t="s">
        <v>1963</v>
      </c>
      <c r="G123">
        <v>3805</v>
      </c>
      <c r="H123">
        <v>0</v>
      </c>
      <c r="I123" t="s">
        <v>1469</v>
      </c>
      <c r="J123">
        <v>0</v>
      </c>
      <c r="K123">
        <v>1</v>
      </c>
      <c r="L123" t="s">
        <v>1555</v>
      </c>
      <c r="M123" t="s">
        <v>1556</v>
      </c>
      <c r="N123" t="s">
        <v>1557</v>
      </c>
      <c r="O123" t="s">
        <v>1964</v>
      </c>
      <c r="P123" t="s">
        <v>1559</v>
      </c>
      <c r="Q123" t="s">
        <v>1560</v>
      </c>
      <c r="R123" t="s">
        <v>1561</v>
      </c>
      <c r="S123" t="s">
        <v>1562</v>
      </c>
      <c r="T123" t="s">
        <v>1563</v>
      </c>
      <c r="U123" t="s">
        <v>1564</v>
      </c>
      <c r="V123" t="s">
        <v>1565</v>
      </c>
      <c r="W123">
        <v>805</v>
      </c>
      <c r="X123" t="s">
        <v>1566</v>
      </c>
      <c r="Y123" t="s">
        <v>1567</v>
      </c>
      <c r="Z123">
        <v>2</v>
      </c>
      <c r="AA123" t="s">
        <v>58</v>
      </c>
    </row>
    <row r="124" spans="1:27" x14ac:dyDescent="0.25">
      <c r="A124" t="s">
        <v>1553</v>
      </c>
      <c r="B124" t="s">
        <v>1554</v>
      </c>
      <c r="C124" t="s">
        <v>1965</v>
      </c>
      <c r="D124" t="s">
        <v>1966</v>
      </c>
      <c r="E124" t="s">
        <v>594</v>
      </c>
      <c r="F124" t="s">
        <v>1967</v>
      </c>
      <c r="G124">
        <v>3754</v>
      </c>
      <c r="H124">
        <v>0</v>
      </c>
      <c r="I124" t="s">
        <v>1469</v>
      </c>
      <c r="J124">
        <v>0</v>
      </c>
      <c r="K124">
        <v>1</v>
      </c>
      <c r="L124" t="s">
        <v>1555</v>
      </c>
      <c r="M124" t="s">
        <v>1556</v>
      </c>
      <c r="N124" t="s">
        <v>1557</v>
      </c>
      <c r="O124" t="s">
        <v>1968</v>
      </c>
      <c r="P124" t="s">
        <v>1559</v>
      </c>
      <c r="Q124" t="s">
        <v>1560</v>
      </c>
      <c r="R124" t="s">
        <v>1561</v>
      </c>
      <c r="S124" t="s">
        <v>1562</v>
      </c>
      <c r="T124" t="s">
        <v>1563</v>
      </c>
      <c r="U124" t="s">
        <v>1564</v>
      </c>
      <c r="V124" t="s">
        <v>1565</v>
      </c>
      <c r="W124">
        <v>805</v>
      </c>
      <c r="X124" t="s">
        <v>1566</v>
      </c>
      <c r="Y124" t="s">
        <v>1567</v>
      </c>
      <c r="Z124">
        <v>2</v>
      </c>
      <c r="AA124" t="s">
        <v>58</v>
      </c>
    </row>
    <row r="125" spans="1:27" x14ac:dyDescent="0.25">
      <c r="A125" t="s">
        <v>1553</v>
      </c>
      <c r="B125" t="s">
        <v>1554</v>
      </c>
      <c r="C125" t="s">
        <v>1969</v>
      </c>
      <c r="D125" t="s">
        <v>1970</v>
      </c>
      <c r="E125" t="s">
        <v>594</v>
      </c>
      <c r="F125" t="s">
        <v>1971</v>
      </c>
      <c r="G125">
        <v>3585</v>
      </c>
      <c r="H125">
        <v>0</v>
      </c>
      <c r="I125" t="s">
        <v>1469</v>
      </c>
      <c r="J125">
        <v>0</v>
      </c>
      <c r="K125">
        <v>1</v>
      </c>
      <c r="L125" t="s">
        <v>1555</v>
      </c>
      <c r="M125" t="s">
        <v>1556</v>
      </c>
      <c r="N125" t="s">
        <v>1557</v>
      </c>
      <c r="O125" t="s">
        <v>1972</v>
      </c>
      <c r="P125" t="s">
        <v>1559</v>
      </c>
      <c r="Q125" t="s">
        <v>1560</v>
      </c>
      <c r="R125" t="s">
        <v>1561</v>
      </c>
      <c r="S125" t="s">
        <v>1562</v>
      </c>
      <c r="T125" t="s">
        <v>1563</v>
      </c>
      <c r="U125" t="s">
        <v>1564</v>
      </c>
      <c r="V125" t="s">
        <v>1565</v>
      </c>
      <c r="W125">
        <v>805</v>
      </c>
      <c r="X125" t="s">
        <v>1566</v>
      </c>
      <c r="Y125" t="s">
        <v>1567</v>
      </c>
      <c r="Z125">
        <v>2</v>
      </c>
      <c r="AA125" t="s">
        <v>58</v>
      </c>
    </row>
    <row r="126" spans="1:27" x14ac:dyDescent="0.25">
      <c r="A126" t="s">
        <v>1553</v>
      </c>
      <c r="B126" t="s">
        <v>1554</v>
      </c>
      <c r="C126" t="s">
        <v>1973</v>
      </c>
      <c r="D126" t="s">
        <v>1974</v>
      </c>
      <c r="E126" t="s">
        <v>594</v>
      </c>
      <c r="F126" t="s">
        <v>1975</v>
      </c>
      <c r="G126">
        <v>3512</v>
      </c>
      <c r="H126">
        <v>0</v>
      </c>
      <c r="I126" t="s">
        <v>1469</v>
      </c>
      <c r="J126">
        <v>0</v>
      </c>
      <c r="K126">
        <v>1</v>
      </c>
      <c r="L126" t="s">
        <v>1555</v>
      </c>
      <c r="M126" t="s">
        <v>1556</v>
      </c>
      <c r="N126" t="s">
        <v>1557</v>
      </c>
      <c r="O126" t="s">
        <v>1976</v>
      </c>
      <c r="P126" t="s">
        <v>1559</v>
      </c>
      <c r="Q126" t="s">
        <v>1560</v>
      </c>
      <c r="R126" t="s">
        <v>1561</v>
      </c>
      <c r="S126" t="s">
        <v>1562</v>
      </c>
      <c r="T126" t="s">
        <v>1563</v>
      </c>
      <c r="U126" t="s">
        <v>1564</v>
      </c>
      <c r="V126" t="s">
        <v>1565</v>
      </c>
      <c r="W126">
        <v>805</v>
      </c>
      <c r="X126" t="s">
        <v>1566</v>
      </c>
      <c r="Y126" t="s">
        <v>1567</v>
      </c>
      <c r="Z126">
        <v>2</v>
      </c>
      <c r="AA126" t="s">
        <v>58</v>
      </c>
    </row>
    <row r="127" spans="1:27" x14ac:dyDescent="0.25">
      <c r="A127" t="s">
        <v>1553</v>
      </c>
      <c r="B127" t="s">
        <v>1554</v>
      </c>
      <c r="C127" t="s">
        <v>1977</v>
      </c>
      <c r="D127" t="s">
        <v>1978</v>
      </c>
      <c r="E127" t="s">
        <v>594</v>
      </c>
      <c r="F127" t="s">
        <v>1979</v>
      </c>
      <c r="G127">
        <v>3381</v>
      </c>
      <c r="H127">
        <v>0</v>
      </c>
      <c r="I127" t="s">
        <v>1469</v>
      </c>
      <c r="J127">
        <v>0</v>
      </c>
      <c r="K127">
        <v>1</v>
      </c>
      <c r="L127" t="s">
        <v>1555</v>
      </c>
      <c r="M127" t="s">
        <v>1556</v>
      </c>
      <c r="N127" t="s">
        <v>1557</v>
      </c>
      <c r="O127" t="s">
        <v>1980</v>
      </c>
      <c r="P127" t="s">
        <v>1559</v>
      </c>
      <c r="Q127" t="s">
        <v>1560</v>
      </c>
      <c r="R127" t="s">
        <v>1561</v>
      </c>
      <c r="S127" t="s">
        <v>1562</v>
      </c>
      <c r="T127" t="s">
        <v>1563</v>
      </c>
      <c r="U127" t="s">
        <v>1564</v>
      </c>
      <c r="V127" t="s">
        <v>1565</v>
      </c>
      <c r="W127">
        <v>805</v>
      </c>
      <c r="X127" t="s">
        <v>1566</v>
      </c>
      <c r="Y127" t="s">
        <v>1567</v>
      </c>
      <c r="Z127">
        <v>2</v>
      </c>
      <c r="AA127" t="s">
        <v>58</v>
      </c>
    </row>
    <row r="128" spans="1:27" x14ac:dyDescent="0.25">
      <c r="A128" t="s">
        <v>1553</v>
      </c>
      <c r="B128" t="s">
        <v>1554</v>
      </c>
      <c r="C128" t="s">
        <v>1981</v>
      </c>
      <c r="D128" t="s">
        <v>1982</v>
      </c>
      <c r="E128" t="s">
        <v>594</v>
      </c>
      <c r="F128" t="s">
        <v>1983</v>
      </c>
      <c r="G128">
        <v>3252</v>
      </c>
      <c r="H128">
        <v>0</v>
      </c>
      <c r="I128" t="s">
        <v>1469</v>
      </c>
      <c r="J128">
        <v>0</v>
      </c>
      <c r="K128">
        <v>1</v>
      </c>
      <c r="L128" t="s">
        <v>1555</v>
      </c>
      <c r="M128" t="s">
        <v>1556</v>
      </c>
      <c r="N128" t="s">
        <v>1557</v>
      </c>
      <c r="O128" t="s">
        <v>1984</v>
      </c>
      <c r="P128" t="s">
        <v>1559</v>
      </c>
      <c r="Q128" t="s">
        <v>1560</v>
      </c>
      <c r="R128" t="s">
        <v>1561</v>
      </c>
      <c r="S128" t="s">
        <v>1562</v>
      </c>
      <c r="T128" t="s">
        <v>1563</v>
      </c>
      <c r="U128" t="s">
        <v>1564</v>
      </c>
      <c r="V128" t="s">
        <v>1565</v>
      </c>
      <c r="W128">
        <v>805</v>
      </c>
      <c r="X128" t="s">
        <v>1566</v>
      </c>
      <c r="Y128" t="s">
        <v>1567</v>
      </c>
      <c r="Z128">
        <v>2</v>
      </c>
      <c r="AA128" t="s">
        <v>58</v>
      </c>
    </row>
    <row r="129" spans="1:27" x14ac:dyDescent="0.25">
      <c r="A129" t="s">
        <v>1553</v>
      </c>
      <c r="B129" t="s">
        <v>1554</v>
      </c>
      <c r="C129" t="s">
        <v>1985</v>
      </c>
      <c r="D129" t="s">
        <v>1986</v>
      </c>
      <c r="E129" t="s">
        <v>594</v>
      </c>
      <c r="F129" t="s">
        <v>1987</v>
      </c>
      <c r="G129">
        <v>3180</v>
      </c>
      <c r="H129">
        <v>0</v>
      </c>
      <c r="I129" t="s">
        <v>1469</v>
      </c>
      <c r="J129">
        <v>0</v>
      </c>
      <c r="K129">
        <v>1</v>
      </c>
      <c r="L129" t="s">
        <v>1555</v>
      </c>
      <c r="M129" t="s">
        <v>1556</v>
      </c>
      <c r="N129" t="s">
        <v>1557</v>
      </c>
      <c r="O129" t="s">
        <v>1988</v>
      </c>
      <c r="P129" t="s">
        <v>1559</v>
      </c>
      <c r="Q129" t="s">
        <v>1560</v>
      </c>
      <c r="R129" t="s">
        <v>1561</v>
      </c>
      <c r="S129" t="s">
        <v>1562</v>
      </c>
      <c r="T129" t="s">
        <v>1563</v>
      </c>
      <c r="U129" t="s">
        <v>1564</v>
      </c>
      <c r="V129" t="s">
        <v>1565</v>
      </c>
      <c r="W129">
        <v>805</v>
      </c>
      <c r="X129" t="s">
        <v>1566</v>
      </c>
      <c r="Y129" t="s">
        <v>1567</v>
      </c>
      <c r="Z129">
        <v>2</v>
      </c>
      <c r="AA129" t="s">
        <v>58</v>
      </c>
    </row>
    <row r="130" spans="1:27" x14ac:dyDescent="0.25">
      <c r="A130" t="s">
        <v>1553</v>
      </c>
      <c r="B130" t="s">
        <v>1554</v>
      </c>
      <c r="C130" t="s">
        <v>1989</v>
      </c>
      <c r="D130" t="s">
        <v>1990</v>
      </c>
      <c r="E130" t="s">
        <v>594</v>
      </c>
      <c r="F130" t="s">
        <v>1991</v>
      </c>
      <c r="G130">
        <v>3008</v>
      </c>
      <c r="H130">
        <v>0</v>
      </c>
      <c r="I130" t="s">
        <v>1469</v>
      </c>
      <c r="J130">
        <v>0</v>
      </c>
      <c r="K130">
        <v>1</v>
      </c>
      <c r="L130" t="s">
        <v>1555</v>
      </c>
      <c r="M130" t="s">
        <v>1556</v>
      </c>
      <c r="N130" t="s">
        <v>1557</v>
      </c>
      <c r="O130" t="s">
        <v>1992</v>
      </c>
      <c r="P130" t="s">
        <v>1559</v>
      </c>
      <c r="Q130" t="s">
        <v>1560</v>
      </c>
      <c r="R130" t="s">
        <v>1561</v>
      </c>
      <c r="S130" t="s">
        <v>1562</v>
      </c>
      <c r="T130" t="s">
        <v>1563</v>
      </c>
      <c r="U130" t="s">
        <v>1564</v>
      </c>
      <c r="V130" t="s">
        <v>1565</v>
      </c>
      <c r="W130">
        <v>805</v>
      </c>
      <c r="X130" t="s">
        <v>1566</v>
      </c>
      <c r="Y130" t="s">
        <v>1567</v>
      </c>
      <c r="Z130">
        <v>2</v>
      </c>
      <c r="AA130" t="s">
        <v>58</v>
      </c>
    </row>
    <row r="131" spans="1:27" x14ac:dyDescent="0.25">
      <c r="A131" t="s">
        <v>1553</v>
      </c>
      <c r="B131" t="s">
        <v>1554</v>
      </c>
      <c r="C131" t="s">
        <v>1993</v>
      </c>
      <c r="D131" t="s">
        <v>1994</v>
      </c>
      <c r="E131" t="s">
        <v>594</v>
      </c>
      <c r="F131" t="s">
        <v>1995</v>
      </c>
      <c r="G131">
        <v>2978</v>
      </c>
      <c r="H131">
        <v>0</v>
      </c>
      <c r="I131" t="s">
        <v>1469</v>
      </c>
      <c r="J131">
        <v>0</v>
      </c>
      <c r="K131">
        <v>1</v>
      </c>
      <c r="L131" t="s">
        <v>1555</v>
      </c>
      <c r="M131" t="s">
        <v>1556</v>
      </c>
      <c r="N131" t="s">
        <v>1557</v>
      </c>
      <c r="O131" t="s">
        <v>1996</v>
      </c>
      <c r="P131" t="s">
        <v>1559</v>
      </c>
      <c r="Q131" t="s">
        <v>1560</v>
      </c>
      <c r="R131" t="s">
        <v>1561</v>
      </c>
      <c r="S131" t="s">
        <v>1562</v>
      </c>
      <c r="T131" t="s">
        <v>1563</v>
      </c>
      <c r="U131" t="s">
        <v>1564</v>
      </c>
      <c r="V131" t="s">
        <v>1565</v>
      </c>
      <c r="W131">
        <v>805</v>
      </c>
      <c r="X131" t="s">
        <v>1566</v>
      </c>
      <c r="Y131" t="s">
        <v>1567</v>
      </c>
      <c r="Z131">
        <v>2</v>
      </c>
      <c r="AA131" t="s">
        <v>58</v>
      </c>
    </row>
    <row r="132" spans="1:27" x14ac:dyDescent="0.25">
      <c r="A132" t="s">
        <v>1553</v>
      </c>
      <c r="B132" t="s">
        <v>1554</v>
      </c>
      <c r="C132" t="s">
        <v>1997</v>
      </c>
      <c r="D132" t="s">
        <v>1998</v>
      </c>
      <c r="E132" t="s">
        <v>594</v>
      </c>
      <c r="F132" t="s">
        <v>1999</v>
      </c>
      <c r="G132">
        <v>2887</v>
      </c>
      <c r="H132">
        <v>0</v>
      </c>
      <c r="I132" t="s">
        <v>1469</v>
      </c>
      <c r="J132">
        <v>0</v>
      </c>
      <c r="K132">
        <v>1</v>
      </c>
      <c r="L132" t="s">
        <v>1555</v>
      </c>
      <c r="M132" t="s">
        <v>1556</v>
      </c>
      <c r="N132" t="s">
        <v>1557</v>
      </c>
      <c r="O132" t="s">
        <v>2000</v>
      </c>
      <c r="P132" t="s">
        <v>1559</v>
      </c>
      <c r="Q132" t="s">
        <v>1560</v>
      </c>
      <c r="R132" t="s">
        <v>1561</v>
      </c>
      <c r="S132" t="s">
        <v>1562</v>
      </c>
      <c r="T132" t="s">
        <v>1563</v>
      </c>
      <c r="U132" t="s">
        <v>1564</v>
      </c>
      <c r="V132" t="s">
        <v>1565</v>
      </c>
      <c r="W132">
        <v>805</v>
      </c>
      <c r="X132" t="s">
        <v>1566</v>
      </c>
      <c r="Y132" t="s">
        <v>1567</v>
      </c>
      <c r="Z132">
        <v>2</v>
      </c>
      <c r="AA132" t="s">
        <v>58</v>
      </c>
    </row>
    <row r="133" spans="1:27" x14ac:dyDescent="0.25">
      <c r="A133" t="s">
        <v>1553</v>
      </c>
      <c r="B133" t="s">
        <v>1554</v>
      </c>
      <c r="C133" t="s">
        <v>2001</v>
      </c>
      <c r="D133" t="s">
        <v>2002</v>
      </c>
      <c r="E133" t="s">
        <v>594</v>
      </c>
      <c r="F133" t="s">
        <v>2003</v>
      </c>
      <c r="G133">
        <v>2790</v>
      </c>
      <c r="H133">
        <v>0</v>
      </c>
      <c r="I133" t="s">
        <v>1469</v>
      </c>
      <c r="J133">
        <v>0</v>
      </c>
      <c r="K133">
        <v>1</v>
      </c>
      <c r="L133" t="s">
        <v>1555</v>
      </c>
      <c r="M133" t="s">
        <v>1556</v>
      </c>
      <c r="N133" t="s">
        <v>1557</v>
      </c>
      <c r="O133" t="s">
        <v>2004</v>
      </c>
      <c r="P133" t="s">
        <v>1559</v>
      </c>
      <c r="Q133" t="s">
        <v>1560</v>
      </c>
      <c r="R133" t="s">
        <v>1561</v>
      </c>
      <c r="S133" t="s">
        <v>1562</v>
      </c>
      <c r="T133" t="s">
        <v>1563</v>
      </c>
      <c r="U133" t="s">
        <v>1564</v>
      </c>
      <c r="V133" t="s">
        <v>1565</v>
      </c>
      <c r="W133">
        <v>805</v>
      </c>
      <c r="X133" t="s">
        <v>1566</v>
      </c>
      <c r="Y133" t="s">
        <v>1567</v>
      </c>
      <c r="Z133">
        <v>2</v>
      </c>
      <c r="AA133" t="s">
        <v>58</v>
      </c>
    </row>
    <row r="134" spans="1:27" x14ac:dyDescent="0.25">
      <c r="A134" t="s">
        <v>1553</v>
      </c>
      <c r="B134" t="s">
        <v>1554</v>
      </c>
      <c r="C134" t="s">
        <v>2005</v>
      </c>
      <c r="D134" t="s">
        <v>2006</v>
      </c>
      <c r="E134" t="s">
        <v>594</v>
      </c>
      <c r="F134" t="s">
        <v>2007</v>
      </c>
      <c r="G134">
        <v>2634</v>
      </c>
      <c r="H134">
        <v>0</v>
      </c>
      <c r="I134" t="s">
        <v>1469</v>
      </c>
      <c r="J134">
        <v>0</v>
      </c>
      <c r="K134">
        <v>1</v>
      </c>
      <c r="L134" t="s">
        <v>1555</v>
      </c>
      <c r="M134" t="s">
        <v>1556</v>
      </c>
      <c r="N134" t="s">
        <v>1557</v>
      </c>
      <c r="O134" t="s">
        <v>2008</v>
      </c>
      <c r="P134" t="s">
        <v>1559</v>
      </c>
      <c r="Q134" t="s">
        <v>1560</v>
      </c>
      <c r="R134" t="s">
        <v>1561</v>
      </c>
      <c r="S134" t="s">
        <v>1562</v>
      </c>
      <c r="T134" t="s">
        <v>1563</v>
      </c>
      <c r="U134" t="s">
        <v>1564</v>
      </c>
      <c r="V134" t="s">
        <v>1565</v>
      </c>
      <c r="W134">
        <v>805</v>
      </c>
      <c r="X134" t="s">
        <v>1566</v>
      </c>
      <c r="Y134" t="s">
        <v>1567</v>
      </c>
      <c r="Z134">
        <v>2</v>
      </c>
      <c r="AA134" t="s">
        <v>58</v>
      </c>
    </row>
    <row r="135" spans="1:27" x14ac:dyDescent="0.25">
      <c r="A135" t="s">
        <v>1553</v>
      </c>
      <c r="B135" t="s">
        <v>1554</v>
      </c>
      <c r="C135" t="s">
        <v>2009</v>
      </c>
      <c r="D135" t="s">
        <v>2010</v>
      </c>
      <c r="E135" t="s">
        <v>594</v>
      </c>
      <c r="F135" t="s">
        <v>2011</v>
      </c>
      <c r="G135">
        <v>2606</v>
      </c>
      <c r="H135">
        <v>0</v>
      </c>
      <c r="I135" t="s">
        <v>1469</v>
      </c>
      <c r="J135">
        <v>0</v>
      </c>
      <c r="K135">
        <v>1</v>
      </c>
      <c r="L135" t="s">
        <v>1555</v>
      </c>
      <c r="M135" t="s">
        <v>1556</v>
      </c>
      <c r="N135" t="s">
        <v>1557</v>
      </c>
      <c r="O135" t="s">
        <v>2012</v>
      </c>
      <c r="P135" t="s">
        <v>1559</v>
      </c>
      <c r="Q135" t="s">
        <v>1560</v>
      </c>
      <c r="R135" t="s">
        <v>1561</v>
      </c>
      <c r="S135" t="s">
        <v>1562</v>
      </c>
      <c r="T135" t="s">
        <v>1563</v>
      </c>
      <c r="U135" t="s">
        <v>1564</v>
      </c>
      <c r="V135" t="s">
        <v>1565</v>
      </c>
      <c r="W135">
        <v>805</v>
      </c>
      <c r="X135" t="s">
        <v>1566</v>
      </c>
      <c r="Y135" t="s">
        <v>1567</v>
      </c>
      <c r="Z135">
        <v>2</v>
      </c>
      <c r="AA135" t="s">
        <v>58</v>
      </c>
    </row>
    <row r="136" spans="1:27" x14ac:dyDescent="0.25">
      <c r="A136" t="s">
        <v>1553</v>
      </c>
      <c r="B136" t="s">
        <v>1554</v>
      </c>
      <c r="C136" t="s">
        <v>2013</v>
      </c>
      <c r="D136" t="s">
        <v>2014</v>
      </c>
      <c r="E136" t="s">
        <v>594</v>
      </c>
      <c r="F136" t="s">
        <v>2015</v>
      </c>
      <c r="G136">
        <v>1800</v>
      </c>
      <c r="H136">
        <v>0</v>
      </c>
      <c r="I136" t="s">
        <v>1469</v>
      </c>
      <c r="J136">
        <v>0</v>
      </c>
      <c r="K136">
        <v>1</v>
      </c>
      <c r="L136" t="s">
        <v>1555</v>
      </c>
      <c r="M136" t="s">
        <v>1556</v>
      </c>
      <c r="N136" t="s">
        <v>1557</v>
      </c>
      <c r="O136" t="s">
        <v>2016</v>
      </c>
      <c r="P136" t="s">
        <v>1559</v>
      </c>
      <c r="Q136" t="s">
        <v>1560</v>
      </c>
      <c r="R136" t="s">
        <v>1561</v>
      </c>
      <c r="S136" t="s">
        <v>1562</v>
      </c>
      <c r="T136" t="s">
        <v>1563</v>
      </c>
      <c r="U136" t="s">
        <v>1564</v>
      </c>
      <c r="V136" t="s">
        <v>1565</v>
      </c>
      <c r="W136">
        <v>805</v>
      </c>
      <c r="X136" t="s">
        <v>1566</v>
      </c>
      <c r="Y136" t="s">
        <v>1567</v>
      </c>
      <c r="Z136">
        <v>2</v>
      </c>
      <c r="AA136" t="s">
        <v>58</v>
      </c>
    </row>
    <row r="137" spans="1:27" x14ac:dyDescent="0.25">
      <c r="A137" t="s">
        <v>1553</v>
      </c>
      <c r="B137" t="s">
        <v>1554</v>
      </c>
      <c r="C137" t="s">
        <v>2017</v>
      </c>
      <c r="D137" t="s">
        <v>2018</v>
      </c>
      <c r="E137" t="s">
        <v>594</v>
      </c>
      <c r="F137" t="s">
        <v>2019</v>
      </c>
      <c r="G137">
        <v>1606</v>
      </c>
      <c r="H137">
        <v>0</v>
      </c>
      <c r="I137" t="s">
        <v>1469</v>
      </c>
      <c r="J137">
        <v>0</v>
      </c>
      <c r="K137">
        <v>1</v>
      </c>
      <c r="L137" t="s">
        <v>1555</v>
      </c>
      <c r="M137" t="s">
        <v>1556</v>
      </c>
      <c r="N137" t="s">
        <v>1557</v>
      </c>
      <c r="O137" t="s">
        <v>2020</v>
      </c>
      <c r="P137" t="s">
        <v>1559</v>
      </c>
      <c r="Q137" t="s">
        <v>1560</v>
      </c>
      <c r="R137" t="s">
        <v>1561</v>
      </c>
      <c r="S137" t="s">
        <v>1562</v>
      </c>
      <c r="T137" t="s">
        <v>1563</v>
      </c>
      <c r="U137" t="s">
        <v>1564</v>
      </c>
      <c r="V137" t="s">
        <v>1565</v>
      </c>
      <c r="W137">
        <v>805</v>
      </c>
      <c r="X137" t="s">
        <v>1566</v>
      </c>
      <c r="Y137" t="s">
        <v>1567</v>
      </c>
      <c r="Z137">
        <v>2</v>
      </c>
      <c r="AA137" t="s">
        <v>58</v>
      </c>
    </row>
    <row r="138" spans="1:27" x14ac:dyDescent="0.25">
      <c r="A138" t="s">
        <v>1553</v>
      </c>
      <c r="B138" t="s">
        <v>1554</v>
      </c>
      <c r="C138" t="s">
        <v>2021</v>
      </c>
      <c r="D138" t="s">
        <v>2022</v>
      </c>
      <c r="E138" t="s">
        <v>594</v>
      </c>
      <c r="F138" t="s">
        <v>2023</v>
      </c>
      <c r="G138">
        <v>1232</v>
      </c>
      <c r="H138">
        <v>0</v>
      </c>
      <c r="I138" t="s">
        <v>1469</v>
      </c>
      <c r="J138">
        <v>0</v>
      </c>
      <c r="K138">
        <v>1</v>
      </c>
      <c r="L138" t="s">
        <v>1555</v>
      </c>
      <c r="M138" t="s">
        <v>1556</v>
      </c>
      <c r="N138" t="s">
        <v>1557</v>
      </c>
      <c r="O138" t="s">
        <v>2024</v>
      </c>
      <c r="P138" t="s">
        <v>1559</v>
      </c>
      <c r="Q138" t="s">
        <v>1560</v>
      </c>
      <c r="R138" t="s">
        <v>1561</v>
      </c>
      <c r="S138" t="s">
        <v>1562</v>
      </c>
      <c r="T138" t="s">
        <v>1563</v>
      </c>
      <c r="U138" t="s">
        <v>1564</v>
      </c>
      <c r="V138" t="s">
        <v>1565</v>
      </c>
      <c r="W138">
        <v>805</v>
      </c>
      <c r="X138" t="s">
        <v>1566</v>
      </c>
      <c r="Y138" t="s">
        <v>1567</v>
      </c>
      <c r="Z138">
        <v>2</v>
      </c>
      <c r="AA138" t="s">
        <v>58</v>
      </c>
    </row>
    <row r="139" spans="1:27" x14ac:dyDescent="0.25">
      <c r="A139" t="s">
        <v>1553</v>
      </c>
      <c r="B139" t="s">
        <v>1554</v>
      </c>
      <c r="C139" t="s">
        <v>1019</v>
      </c>
      <c r="D139" t="s">
        <v>1020</v>
      </c>
      <c r="E139" t="s">
        <v>594</v>
      </c>
      <c r="F139" t="s">
        <v>1021</v>
      </c>
      <c r="G139">
        <v>784</v>
      </c>
      <c r="H139">
        <v>0</v>
      </c>
      <c r="I139" t="s">
        <v>1469</v>
      </c>
      <c r="J139">
        <v>0</v>
      </c>
      <c r="K139">
        <v>1</v>
      </c>
      <c r="L139" t="s">
        <v>1555</v>
      </c>
      <c r="M139" t="s">
        <v>1556</v>
      </c>
      <c r="N139" t="s">
        <v>1557</v>
      </c>
      <c r="O139" t="s">
        <v>2025</v>
      </c>
      <c r="P139" t="s">
        <v>1559</v>
      </c>
      <c r="Q139" t="s">
        <v>1560</v>
      </c>
      <c r="R139" t="s">
        <v>1561</v>
      </c>
      <c r="S139" t="s">
        <v>1562</v>
      </c>
      <c r="T139" t="s">
        <v>1563</v>
      </c>
      <c r="U139" t="s">
        <v>1564</v>
      </c>
      <c r="V139" t="s">
        <v>1565</v>
      </c>
      <c r="W139">
        <v>805</v>
      </c>
      <c r="X139" t="s">
        <v>1566</v>
      </c>
      <c r="Y139" t="s">
        <v>1567</v>
      </c>
      <c r="Z139">
        <v>2</v>
      </c>
      <c r="AA139" t="s">
        <v>58</v>
      </c>
    </row>
    <row r="140" spans="1:27" x14ac:dyDescent="0.25">
      <c r="A140" t="s">
        <v>1553</v>
      </c>
      <c r="B140" t="s">
        <v>1554</v>
      </c>
      <c r="C140" t="s">
        <v>2026</v>
      </c>
      <c r="D140" t="s">
        <v>2027</v>
      </c>
      <c r="E140" t="s">
        <v>594</v>
      </c>
      <c r="F140" t="s">
        <v>2028</v>
      </c>
      <c r="G140">
        <v>741</v>
      </c>
      <c r="H140">
        <v>0</v>
      </c>
      <c r="I140" t="s">
        <v>1469</v>
      </c>
      <c r="J140">
        <v>0</v>
      </c>
      <c r="K140">
        <v>1</v>
      </c>
      <c r="L140" t="s">
        <v>1555</v>
      </c>
      <c r="M140" t="s">
        <v>1556</v>
      </c>
      <c r="N140" t="s">
        <v>1557</v>
      </c>
      <c r="O140" t="s">
        <v>2029</v>
      </c>
      <c r="P140" t="s">
        <v>1559</v>
      </c>
      <c r="Q140" t="s">
        <v>1560</v>
      </c>
      <c r="R140" t="s">
        <v>1561</v>
      </c>
      <c r="S140" t="s">
        <v>1562</v>
      </c>
      <c r="T140" t="s">
        <v>1563</v>
      </c>
      <c r="U140" t="s">
        <v>1564</v>
      </c>
      <c r="V140" t="s">
        <v>1565</v>
      </c>
      <c r="W140">
        <v>805</v>
      </c>
      <c r="X140" t="s">
        <v>1566</v>
      </c>
      <c r="Y140" t="s">
        <v>1567</v>
      </c>
      <c r="Z140">
        <v>2</v>
      </c>
      <c r="AA140" t="s">
        <v>58</v>
      </c>
    </row>
    <row r="141" spans="1:27" x14ac:dyDescent="0.25">
      <c r="A141" t="s">
        <v>1553</v>
      </c>
      <c r="B141" t="s">
        <v>1554</v>
      </c>
      <c r="C141" t="s">
        <v>2030</v>
      </c>
      <c r="D141" t="s">
        <v>2031</v>
      </c>
      <c r="E141" t="s">
        <v>594</v>
      </c>
      <c r="F141" t="s">
        <v>2032</v>
      </c>
      <c r="G141">
        <v>723</v>
      </c>
      <c r="H141">
        <v>0</v>
      </c>
      <c r="I141" t="s">
        <v>1469</v>
      </c>
      <c r="J141">
        <v>0</v>
      </c>
      <c r="K141">
        <v>1</v>
      </c>
      <c r="L141" t="s">
        <v>1555</v>
      </c>
      <c r="M141" t="s">
        <v>1556</v>
      </c>
      <c r="N141" t="s">
        <v>1557</v>
      </c>
      <c r="O141" t="s">
        <v>2033</v>
      </c>
      <c r="P141" t="s">
        <v>1559</v>
      </c>
      <c r="Q141" t="s">
        <v>1560</v>
      </c>
      <c r="R141" t="s">
        <v>1561</v>
      </c>
      <c r="S141" t="s">
        <v>1562</v>
      </c>
      <c r="T141" t="s">
        <v>1563</v>
      </c>
      <c r="U141" t="s">
        <v>1564</v>
      </c>
      <c r="V141" t="s">
        <v>1565</v>
      </c>
      <c r="W141">
        <v>805</v>
      </c>
      <c r="X141" t="s">
        <v>1566</v>
      </c>
      <c r="Y141" t="s">
        <v>1567</v>
      </c>
      <c r="Z141">
        <v>2</v>
      </c>
      <c r="AA141" t="s">
        <v>58</v>
      </c>
    </row>
    <row r="142" spans="1:27" x14ac:dyDescent="0.25">
      <c r="A142" t="s">
        <v>1553</v>
      </c>
      <c r="B142" t="s">
        <v>1554</v>
      </c>
      <c r="C142" t="s">
        <v>2034</v>
      </c>
      <c r="D142" t="s">
        <v>2035</v>
      </c>
      <c r="E142" t="s">
        <v>594</v>
      </c>
      <c r="F142" t="s">
        <v>2036</v>
      </c>
      <c r="G142">
        <v>590</v>
      </c>
      <c r="H142">
        <v>0</v>
      </c>
      <c r="I142" t="s">
        <v>1469</v>
      </c>
      <c r="J142">
        <v>0</v>
      </c>
      <c r="K142">
        <v>1</v>
      </c>
      <c r="L142" t="s">
        <v>1555</v>
      </c>
      <c r="M142" t="s">
        <v>1556</v>
      </c>
      <c r="N142" t="s">
        <v>1557</v>
      </c>
      <c r="O142" t="s">
        <v>2037</v>
      </c>
      <c r="P142" t="s">
        <v>1559</v>
      </c>
      <c r="Q142" t="s">
        <v>1560</v>
      </c>
      <c r="R142" t="s">
        <v>1561</v>
      </c>
      <c r="S142" t="s">
        <v>1562</v>
      </c>
      <c r="T142" t="s">
        <v>1563</v>
      </c>
      <c r="U142" t="s">
        <v>1564</v>
      </c>
      <c r="V142" t="s">
        <v>1565</v>
      </c>
      <c r="W142">
        <v>805</v>
      </c>
      <c r="X142" t="s">
        <v>1566</v>
      </c>
      <c r="Y142" t="s">
        <v>1567</v>
      </c>
      <c r="Z142">
        <v>2</v>
      </c>
      <c r="AA142" t="s">
        <v>58</v>
      </c>
    </row>
    <row r="143" spans="1:27" x14ac:dyDescent="0.25">
      <c r="A143" t="s">
        <v>1553</v>
      </c>
      <c r="B143" t="s">
        <v>1554</v>
      </c>
      <c r="C143" t="s">
        <v>2038</v>
      </c>
      <c r="D143" t="s">
        <v>2039</v>
      </c>
      <c r="E143" t="s">
        <v>594</v>
      </c>
      <c r="F143" t="s">
        <v>2040</v>
      </c>
      <c r="G143">
        <v>100</v>
      </c>
      <c r="H143">
        <v>0</v>
      </c>
      <c r="I143" t="s">
        <v>1469</v>
      </c>
      <c r="J143">
        <v>0</v>
      </c>
      <c r="K143">
        <v>1</v>
      </c>
      <c r="L143" t="s">
        <v>1555</v>
      </c>
      <c r="M143" t="s">
        <v>1556</v>
      </c>
      <c r="N143" t="s">
        <v>1557</v>
      </c>
      <c r="O143" t="s">
        <v>2041</v>
      </c>
      <c r="P143" t="s">
        <v>1559</v>
      </c>
      <c r="Q143" t="s">
        <v>1560</v>
      </c>
      <c r="R143" t="s">
        <v>1561</v>
      </c>
      <c r="S143" t="s">
        <v>1562</v>
      </c>
      <c r="T143" t="s">
        <v>1563</v>
      </c>
      <c r="U143" t="s">
        <v>1564</v>
      </c>
      <c r="V143" t="s">
        <v>1565</v>
      </c>
      <c r="W143">
        <v>805</v>
      </c>
      <c r="X143" t="s">
        <v>1566</v>
      </c>
      <c r="Y143" t="s">
        <v>1567</v>
      </c>
      <c r="Z143">
        <v>2</v>
      </c>
      <c r="AA14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2019-08-15T23:51:10Z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