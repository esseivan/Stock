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3806FBBD-6028-444B-8226-394813F16891}" xr6:coauthVersionLast="43" xr6:coauthVersionMax="43" xr10:uidLastSave="{00000000-0000-0000-0000-000000000000}"/>
  <bookViews>
    <workbookView xWindow="-120" yWindow="-120" windowWidth="29040" windowHeight="158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59" i="19" l="1"/>
  <c r="J359" i="19"/>
  <c r="Z359" i="19"/>
  <c r="K359" i="19" s="1"/>
  <c r="AC359" i="19"/>
  <c r="I358" i="19"/>
  <c r="J358" i="19"/>
  <c r="K358" i="19"/>
  <c r="Z358" i="19"/>
  <c r="AC358" i="19"/>
  <c r="T319" i="19" l="1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228" i="19"/>
  <c r="T227" i="19"/>
  <c r="T226" i="19"/>
  <c r="T225" i="19"/>
  <c r="T224" i="19"/>
  <c r="T223" i="19"/>
  <c r="T222" i="19"/>
  <c r="T221" i="19"/>
  <c r="T220" i="19"/>
  <c r="T219" i="19"/>
  <c r="T218" i="19"/>
  <c r="T217" i="19"/>
  <c r="T216" i="19"/>
  <c r="T215" i="19"/>
  <c r="T214" i="19"/>
  <c r="T213" i="19"/>
  <c r="T212" i="19"/>
  <c r="T211" i="19"/>
  <c r="T210" i="19"/>
  <c r="T209" i="19"/>
  <c r="T208" i="19"/>
  <c r="T207" i="19"/>
  <c r="T206" i="19"/>
  <c r="T205" i="19"/>
  <c r="T204" i="19"/>
  <c r="T203" i="19"/>
  <c r="T202" i="19"/>
  <c r="T201" i="19"/>
  <c r="T200" i="19"/>
  <c r="T199" i="19"/>
  <c r="T198" i="19"/>
  <c r="T197" i="19"/>
  <c r="T196" i="19"/>
  <c r="T195" i="19"/>
  <c r="T194" i="19"/>
  <c r="T193" i="19"/>
  <c r="T192" i="19"/>
  <c r="T191" i="19"/>
  <c r="T190" i="19"/>
  <c r="T189" i="19"/>
  <c r="T188" i="19"/>
  <c r="T187" i="19"/>
  <c r="T186" i="19"/>
  <c r="T185" i="19"/>
  <c r="T184" i="19"/>
  <c r="T183" i="19"/>
  <c r="T182" i="19"/>
  <c r="T181" i="19"/>
  <c r="T180" i="19"/>
  <c r="T179" i="19"/>
  <c r="T178" i="19"/>
  <c r="T177" i="19"/>
  <c r="T176" i="19"/>
  <c r="T175" i="19"/>
  <c r="T174" i="19"/>
  <c r="T173" i="19"/>
  <c r="T172" i="19"/>
  <c r="T171" i="19"/>
  <c r="T170" i="19"/>
  <c r="T169" i="19"/>
  <c r="T168" i="19"/>
  <c r="T167" i="19"/>
  <c r="T166" i="19"/>
  <c r="T165" i="19"/>
  <c r="T164" i="19"/>
  <c r="T163" i="19"/>
  <c r="T162" i="19"/>
  <c r="T158" i="19"/>
  <c r="T160" i="19"/>
  <c r="T159" i="19"/>
  <c r="I313" i="19"/>
  <c r="J313" i="19"/>
  <c r="Z313" i="19"/>
  <c r="K313" i="19" s="1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K211" i="19" s="1"/>
  <c r="AC211" i="19"/>
  <c r="I243" i="19"/>
  <c r="J243" i="19"/>
  <c r="Z243" i="19"/>
  <c r="K243" i="19" s="1"/>
  <c r="AC243" i="19"/>
  <c r="I223" i="19"/>
  <c r="J223" i="19"/>
  <c r="Z223" i="19"/>
  <c r="K223" i="19" s="1"/>
  <c r="AC223" i="19"/>
  <c r="I219" i="19"/>
  <c r="J219" i="19"/>
  <c r="Z219" i="19"/>
  <c r="K219" i="19" s="1"/>
  <c r="AC219" i="19"/>
  <c r="I207" i="19"/>
  <c r="J207" i="19"/>
  <c r="Z207" i="19"/>
  <c r="K207" i="19" s="1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K259" i="19" s="1"/>
  <c r="AC259" i="19"/>
  <c r="I237" i="19"/>
  <c r="J237" i="19"/>
  <c r="Z237" i="19"/>
  <c r="AC237" i="19"/>
  <c r="I271" i="19"/>
  <c r="J271" i="19"/>
  <c r="Z271" i="19"/>
  <c r="K271" i="19" s="1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K187" i="19" s="1"/>
  <c r="AC187" i="19"/>
  <c r="I272" i="19"/>
  <c r="J272" i="19"/>
  <c r="Z272" i="19"/>
  <c r="AC272" i="19"/>
  <c r="I295" i="19"/>
  <c r="J295" i="19"/>
  <c r="Z295" i="19"/>
  <c r="K295" i="19" s="1"/>
  <c r="AC295" i="19"/>
  <c r="I248" i="19"/>
  <c r="J248" i="19"/>
  <c r="Z248" i="19"/>
  <c r="AC248" i="19"/>
  <c r="I215" i="19"/>
  <c r="J215" i="19"/>
  <c r="Z215" i="19"/>
  <c r="K215" i="19" s="1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K303" i="19" s="1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K305" i="19" s="1"/>
  <c r="AC305" i="19"/>
  <c r="I177" i="19"/>
  <c r="J177" i="19"/>
  <c r="Z177" i="19"/>
  <c r="K177" i="19" s="1"/>
  <c r="AC177" i="19"/>
  <c r="I247" i="19"/>
  <c r="J247" i="19"/>
  <c r="Z247" i="19"/>
  <c r="K247" i="19" s="1"/>
  <c r="AC247" i="19"/>
  <c r="I315" i="19"/>
  <c r="J315" i="19"/>
  <c r="Z315" i="19"/>
  <c r="K315" i="19" s="1"/>
  <c r="AC315" i="19"/>
  <c r="I270" i="19"/>
  <c r="J270" i="19"/>
  <c r="Z270" i="19"/>
  <c r="K270" i="19" s="1"/>
  <c r="AC270" i="19"/>
  <c r="I282" i="19"/>
  <c r="J282" i="19"/>
  <c r="Z282" i="19"/>
  <c r="K282" i="19" s="1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K191" i="19" s="1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K167" i="19" s="1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K289" i="19" s="1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K311" i="19" s="1"/>
  <c r="AC311" i="19"/>
  <c r="I310" i="19"/>
  <c r="J310" i="19"/>
  <c r="Z310" i="19"/>
  <c r="K310" i="19" s="1"/>
  <c r="AC310" i="19"/>
  <c r="I304" i="19"/>
  <c r="J304" i="19"/>
  <c r="Z304" i="19"/>
  <c r="K304" i="19" s="1"/>
  <c r="AC304" i="19"/>
  <c r="I302" i="19"/>
  <c r="J302" i="19"/>
  <c r="Z302" i="19"/>
  <c r="K302" i="19" s="1"/>
  <c r="AC302" i="19"/>
  <c r="I279" i="19"/>
  <c r="J279" i="19"/>
  <c r="Z279" i="19"/>
  <c r="K279" i="19" s="1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K249" i="19" s="1"/>
  <c r="AC249" i="19"/>
  <c r="I239" i="19"/>
  <c r="J239" i="19"/>
  <c r="Z239" i="19"/>
  <c r="K239" i="19" s="1"/>
  <c r="AC239" i="19"/>
  <c r="I201" i="19"/>
  <c r="J201" i="19"/>
  <c r="Z201" i="19"/>
  <c r="K201" i="19" s="1"/>
  <c r="AC201" i="19"/>
  <c r="I199" i="19"/>
  <c r="J199" i="19"/>
  <c r="Z199" i="19"/>
  <c r="K199" i="19" s="1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K176" i="19" s="1"/>
  <c r="AC176" i="19"/>
  <c r="I170" i="19"/>
  <c r="J170" i="19"/>
  <c r="Z170" i="19"/>
  <c r="K170" i="19" s="1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K297" i="19" s="1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K283" i="19" s="1"/>
  <c r="AC283" i="19"/>
  <c r="I278" i="19"/>
  <c r="J278" i="19"/>
  <c r="Z278" i="19"/>
  <c r="K278" i="19" s="1"/>
  <c r="AC278" i="19"/>
  <c r="I264" i="19"/>
  <c r="J264" i="19"/>
  <c r="Z264" i="19"/>
  <c r="K264" i="19" s="1"/>
  <c r="AC264" i="19"/>
  <c r="I263" i="19"/>
  <c r="J263" i="19"/>
  <c r="Z263" i="19"/>
  <c r="K263" i="19" s="1"/>
  <c r="AC263" i="19"/>
  <c r="I245" i="19"/>
  <c r="J245" i="19"/>
  <c r="Z245" i="19"/>
  <c r="AC245" i="19"/>
  <c r="I244" i="19"/>
  <c r="J244" i="19"/>
  <c r="Z244" i="19"/>
  <c r="K244" i="19" s="1"/>
  <c r="AC244" i="19"/>
  <c r="I224" i="19"/>
  <c r="J224" i="19"/>
  <c r="Z224" i="19"/>
  <c r="K224" i="19" s="1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K203" i="19" s="1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K179" i="19" s="1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K314" i="19" s="1"/>
  <c r="AC314" i="19"/>
  <c r="I312" i="19"/>
  <c r="J312" i="19"/>
  <c r="Z312" i="19"/>
  <c r="K312" i="19" s="1"/>
  <c r="AC312" i="19"/>
  <c r="I307" i="19"/>
  <c r="J307" i="19"/>
  <c r="Z307" i="19"/>
  <c r="K307" i="19" s="1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K291" i="19" s="1"/>
  <c r="AC291" i="19"/>
  <c r="I288" i="19"/>
  <c r="J288" i="19"/>
  <c r="Z288" i="19"/>
  <c r="K288" i="19" s="1"/>
  <c r="AC288" i="19"/>
  <c r="I277" i="19"/>
  <c r="J277" i="19"/>
  <c r="Z277" i="19"/>
  <c r="AC277" i="19"/>
  <c r="I227" i="19"/>
  <c r="J227" i="19"/>
  <c r="Z227" i="19"/>
  <c r="K227" i="19" s="1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K183" i="19" s="1"/>
  <c r="AC183" i="19"/>
  <c r="I164" i="19"/>
  <c r="J164" i="19"/>
  <c r="Z164" i="19"/>
  <c r="K164" i="19" s="1"/>
  <c r="AC164" i="19"/>
  <c r="I276" i="19"/>
  <c r="J276" i="19"/>
  <c r="Z276" i="19"/>
  <c r="K276" i="19" s="1"/>
  <c r="AC276" i="19"/>
  <c r="I235" i="19"/>
  <c r="J235" i="19"/>
  <c r="Z235" i="19"/>
  <c r="K235" i="19" s="1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K257" i="19" s="1"/>
  <c r="AC257" i="19"/>
  <c r="I280" i="19"/>
  <c r="J280" i="19"/>
  <c r="Z280" i="19"/>
  <c r="K280" i="19" s="1"/>
  <c r="AC280" i="19"/>
  <c r="I275" i="19"/>
  <c r="J275" i="19"/>
  <c r="Z275" i="19"/>
  <c r="K275" i="19" s="1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K300" i="19" s="1"/>
  <c r="AC300" i="19"/>
  <c r="I292" i="19"/>
  <c r="J292" i="19"/>
  <c r="Z292" i="19"/>
  <c r="K292" i="19" s="1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K252" i="19" s="1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K273" i="19" s="1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K208" i="19" s="1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K240" i="19" s="1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T155" i="19"/>
  <c r="T325" i="19"/>
  <c r="T321" i="19"/>
  <c r="T324" i="19"/>
  <c r="T323" i="19"/>
  <c r="T322" i="19"/>
  <c r="T161" i="19"/>
  <c r="T320" i="19"/>
  <c r="T326" i="19"/>
  <c r="T157" i="19"/>
  <c r="T156" i="19"/>
  <c r="K233" i="19" l="1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0" i="19"/>
  <c r="J350" i="19"/>
  <c r="Z350" i="19"/>
  <c r="K350" i="19" s="1"/>
  <c r="AC350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0" i="19"/>
  <c r="Z321" i="19"/>
  <c r="Z322" i="19"/>
  <c r="Z323" i="19"/>
  <c r="Z324" i="19"/>
  <c r="Z325" i="19"/>
  <c r="Z326" i="19"/>
  <c r="Z327" i="19"/>
  <c r="Z328" i="19"/>
  <c r="Z329" i="19"/>
  <c r="Z330" i="19"/>
  <c r="Z331" i="19"/>
  <c r="Z332" i="19"/>
  <c r="Z333" i="19"/>
  <c r="Z334" i="19"/>
  <c r="Z335" i="19"/>
  <c r="Z336" i="19"/>
  <c r="Z337" i="19"/>
  <c r="Z338" i="19"/>
  <c r="Z339" i="19"/>
  <c r="Z340" i="19"/>
  <c r="Z341" i="19"/>
  <c r="Z342" i="19"/>
  <c r="Z343" i="19"/>
  <c r="Z344" i="19"/>
  <c r="Z345" i="19"/>
  <c r="Z346" i="19"/>
  <c r="Z347" i="19"/>
  <c r="Z348" i="19"/>
  <c r="Z349" i="19"/>
  <c r="Z351" i="19"/>
  <c r="Z352" i="19"/>
  <c r="Z353" i="19"/>
  <c r="Z354" i="19"/>
  <c r="Z355" i="19"/>
  <c r="Z356" i="19"/>
  <c r="Z357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26" i="19"/>
  <c r="J326" i="19"/>
  <c r="K326" i="19"/>
  <c r="AC326" i="19"/>
  <c r="I322" i="19"/>
  <c r="J322" i="19"/>
  <c r="K322" i="19"/>
  <c r="AC322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47" i="19"/>
  <c r="J347" i="19"/>
  <c r="K347" i="19"/>
  <c r="AC347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46" i="19" l="1"/>
  <c r="J346" i="19"/>
  <c r="K346" i="19"/>
  <c r="AC346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57" i="19"/>
  <c r="J357" i="19"/>
  <c r="K357" i="19"/>
  <c r="AC357" i="19"/>
  <c r="B5" i="21" l="1"/>
  <c r="F5" i="21"/>
  <c r="G5" i="21" s="1"/>
  <c r="I5" i="21"/>
  <c r="I333" i="19"/>
  <c r="J333" i="19"/>
  <c r="K333" i="19"/>
  <c r="AC333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2" i="19"/>
  <c r="J332" i="19"/>
  <c r="K332" i="19"/>
  <c r="AC332" i="19"/>
  <c r="I123" i="19"/>
  <c r="K123" i="19"/>
  <c r="AC123" i="19"/>
  <c r="I340" i="19"/>
  <c r="J340" i="19"/>
  <c r="H2" i="22" s="1"/>
  <c r="K340" i="19"/>
  <c r="AC340" i="19"/>
  <c r="I334" i="19"/>
  <c r="J334" i="19"/>
  <c r="K334" i="19"/>
  <c r="AC334" i="19"/>
  <c r="I335" i="19"/>
  <c r="J335" i="19"/>
  <c r="K335" i="19"/>
  <c r="AC335" i="19"/>
  <c r="I336" i="19"/>
  <c r="J336" i="19"/>
  <c r="K336" i="19"/>
  <c r="AC336" i="19"/>
  <c r="I339" i="19"/>
  <c r="J339" i="19"/>
  <c r="K339" i="19"/>
  <c r="AC339" i="19"/>
  <c r="I337" i="19"/>
  <c r="J337" i="19"/>
  <c r="K337" i="19"/>
  <c r="AC337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3" i="19"/>
  <c r="J353" i="19"/>
  <c r="K353" i="19"/>
  <c r="AC353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1" i="19"/>
  <c r="K352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0" i="19"/>
  <c r="K327" i="19"/>
  <c r="K154" i="19"/>
  <c r="K331" i="19"/>
  <c r="K328" i="19"/>
  <c r="K329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0" i="19"/>
  <c r="K321" i="19"/>
  <c r="K323" i="19"/>
  <c r="K324" i="19"/>
  <c r="K325" i="19"/>
  <c r="K268" i="19"/>
  <c r="K341" i="19"/>
  <c r="K342" i="19"/>
  <c r="K343" i="19"/>
  <c r="K344" i="19"/>
  <c r="K345" i="19"/>
  <c r="K348" i="19"/>
  <c r="K349" i="19"/>
  <c r="K354" i="19"/>
  <c r="K355" i="19"/>
  <c r="K356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0" i="19"/>
  <c r="I320" i="19"/>
  <c r="J320" i="19"/>
  <c r="H19" i="24" s="1"/>
  <c r="H24" i="22"/>
  <c r="AC323" i="19"/>
  <c r="I323" i="19"/>
  <c r="J323" i="19"/>
  <c r="H21" i="24" s="1"/>
  <c r="AC324" i="19"/>
  <c r="I324" i="19"/>
  <c r="J324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H157" i="19"/>
  <c r="AC157" i="19" s="1"/>
  <c r="I157" i="19"/>
  <c r="J157" i="19"/>
  <c r="AC321" i="19"/>
  <c r="I321" i="19"/>
  <c r="J321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H156" i="19"/>
  <c r="AC156" i="19" s="1"/>
  <c r="I156" i="19"/>
  <c r="J156" i="19"/>
  <c r="AC160" i="19"/>
  <c r="I160" i="19"/>
  <c r="J160" i="19"/>
  <c r="H5" i="23" s="1"/>
  <c r="B19" i="16"/>
  <c r="F19" i="16"/>
  <c r="G19" i="16" s="1"/>
  <c r="I19" i="16"/>
  <c r="H22" i="24"/>
  <c r="AC325" i="19"/>
  <c r="I325" i="19"/>
  <c r="J325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55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27" i="19"/>
  <c r="H14" i="3" s="1"/>
  <c r="J328" i="19"/>
  <c r="H15" i="3" s="1"/>
  <c r="J329" i="19"/>
  <c r="J330" i="19"/>
  <c r="H18" i="3" s="1"/>
  <c r="J331" i="19"/>
  <c r="H38" i="3" s="1"/>
  <c r="J341" i="19"/>
  <c r="J342" i="19"/>
  <c r="J343" i="19"/>
  <c r="J344" i="19"/>
  <c r="H9" i="8" s="1"/>
  <c r="J345" i="19"/>
  <c r="H25" i="22" s="1"/>
  <c r="J348" i="19"/>
  <c r="J349" i="19"/>
  <c r="J351" i="19"/>
  <c r="J352" i="19"/>
  <c r="J354" i="19"/>
  <c r="H15" i="24" s="1"/>
  <c r="J355" i="19"/>
  <c r="H17" i="3" s="1"/>
  <c r="J356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27" i="19"/>
  <c r="I328" i="19"/>
  <c r="I329" i="19"/>
  <c r="I330" i="19"/>
  <c r="I331" i="19"/>
  <c r="I341" i="19"/>
  <c r="I342" i="19"/>
  <c r="I343" i="19"/>
  <c r="I344" i="19"/>
  <c r="I345" i="19"/>
  <c r="I348" i="19"/>
  <c r="I349" i="19"/>
  <c r="I351" i="19"/>
  <c r="I352" i="19"/>
  <c r="I354" i="19"/>
  <c r="I355" i="19"/>
  <c r="I356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48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45" i="19"/>
  <c r="AC344" i="19"/>
  <c r="AC28" i="19"/>
  <c r="AC153" i="19"/>
  <c r="AC147" i="19"/>
  <c r="AC152" i="19"/>
  <c r="AC88" i="19"/>
  <c r="AC87" i="19"/>
  <c r="AC21" i="19"/>
  <c r="AC356" i="19"/>
  <c r="AC79" i="19"/>
  <c r="AC80" i="19"/>
  <c r="AC81" i="19"/>
  <c r="AC349" i="19"/>
  <c r="AC20" i="19"/>
  <c r="H77" i="19"/>
  <c r="AC77" i="19" s="1"/>
  <c r="AC125" i="19"/>
  <c r="AC126" i="19"/>
  <c r="AC127" i="19"/>
  <c r="AC132" i="19"/>
  <c r="AC134" i="19"/>
  <c r="AC2" i="19"/>
  <c r="AC3" i="19"/>
  <c r="H341" i="19"/>
  <c r="AC341" i="19" s="1"/>
  <c r="H66" i="19"/>
  <c r="AC33" i="19"/>
  <c r="AC354" i="19"/>
  <c r="H342" i="19"/>
  <c r="AC342" i="19" s="1"/>
  <c r="AC102" i="19"/>
  <c r="AC154" i="19"/>
  <c r="H351" i="19"/>
  <c r="AC78" i="19"/>
  <c r="AC29" i="19"/>
  <c r="AC30" i="19"/>
  <c r="AC329" i="19"/>
  <c r="AC82" i="19"/>
  <c r="AC6" i="19"/>
  <c r="AC9" i="19"/>
  <c r="H84" i="19"/>
  <c r="AC84" i="19" s="1"/>
  <c r="AC330" i="19"/>
  <c r="AC331" i="19"/>
  <c r="H95" i="19"/>
  <c r="AC95" i="19" s="1"/>
  <c r="H352" i="19"/>
  <c r="AC352" i="19" s="1"/>
  <c r="AC105" i="19"/>
  <c r="AC106" i="19"/>
  <c r="H343" i="19"/>
  <c r="AC343" i="19" s="1"/>
  <c r="AC68" i="19"/>
  <c r="AC69" i="19"/>
  <c r="AC31" i="19"/>
  <c r="AC140" i="19"/>
  <c r="G98" i="19"/>
  <c r="G66" i="19"/>
  <c r="G351" i="19"/>
  <c r="AC89" i="19" l="1"/>
  <c r="AC328" i="19"/>
  <c r="AC327" i="19"/>
  <c r="AC66" i="19"/>
  <c r="AC351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<sst xmlns="http://schemas.openxmlformats.org/spreadsheetml/2006/main" count="10673" uniqueCount="2195">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</sst>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180" totalsRowShown="0" headerRowDxfId="347">
  <autoFilter ref="A1:F1180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59" totalsRowShown="0" headerRowDxfId="306" dataDxfId="305" tableBorderDxfId="304">
  <autoFilter ref="A1:AC359" xr:uid="{D4CB05D4-73DA-43F1-913F-071595400883}"/>
  <tableColumns count="29">
    <tableColumn id="1" xr3:uid="{435165AF-465B-418C-8DDE-9CFA2D278BBE}" name="Art. Number" dataDxfId="303" totalsRowDxfId="302"/>
    <tableColumn id="2" xr3:uid="{FBC6B9C9-57F8-45DA-AF22-C249E2B185F4}" name="Manufacturer" dataDxfId="301" totalsRowDxfId="300"/>
    <tableColumn id="3" xr3:uid="{288AF9C9-A6A1-4913-A84A-1B41F0951CD7}" name="Place" dataDxfId="299" totalsRowDxfId="298"/>
    <tableColumn id="4" xr3:uid="{991CB349-C1A2-4024-AD86-41FE070F01AA}" name="Description" dataDxfId="297" totalsRowDxfId="296"/>
    <tableColumn id="28" xr3:uid="{2D19DEDD-0807-4720-910B-711676B70DD0}" name="Category" dataDxfId="295"/>
    <tableColumn id="5" xr3:uid="{AF531B20-C2C7-43E4-88F6-C002EAFA6EF0}" name="In stock" dataDxfId="294" totalsRowDxfId="293"/>
    <tableColumn id="6" xr3:uid="{4AE22FEC-1D74-4166-880B-DE3C3B0F48C3}" name="Min in stock" dataDxfId="292" totalsRowDxfId="291"/>
    <tableColumn id="7" xr3:uid="{DDF25EC9-10A6-4A51-A3FF-5F173DC0429C}" name="Auto Order" dataDxfId="290" totalsRowDxfId="289"/>
    <tableColumn id="8" xr3:uid="{8FB77B6F-1796-445F-A628-6683E80A406B}" name="Default Art. Number" dataDxfId="288" totalsRowDxfId="28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6" totalsRowDxfId="28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4" totalsRowDxfId="28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2" totalsRowDxfId="281"/>
    <tableColumn id="11" xr3:uid="{904ACEAE-3EBB-4B5A-B40F-F27BEC67197D}" name="Unit price - Digikey" dataDxfId="280" totalsRowDxfId="279"/>
    <tableColumn id="12" xr3:uid="{1C8E6FC8-F976-4331-BE85-AE9F5CCE5385}" name="Farnell" dataDxfId="278" totalsRowDxfId="277"/>
    <tableColumn id="13" xr3:uid="{9CEB0B0D-E776-4EE1-BA17-F20F36573DF1}" name="Unit price - Farnell" dataDxfId="276" totalsRowDxfId="275"/>
    <tableColumn id="14" xr3:uid="{4835AE8C-6AA4-4E3D-AA3C-47D081785B10}" name="Distrelec" dataDxfId="274" totalsRowDxfId="273"/>
    <tableColumn id="15" xr3:uid="{CFC19F72-EB6A-4DA4-8140-6E03AC8C87E2}" name="Unit price - Distrelec" dataDxfId="272" totalsRowDxfId="271"/>
    <tableColumn id="16" xr3:uid="{440F2FEC-A527-4DB9-8F02-E02C455DD168}" name="Conrad" dataDxfId="270" totalsRowDxfId="269"/>
    <tableColumn id="17" xr3:uid="{C15F9ED7-FCDD-4ED8-8193-766AD4AACE12}" name="Unit price - Conrad" dataDxfId="268" totalsRowDxfId="267"/>
    <tableColumn id="18" xr3:uid="{E8BE4F49-80E3-4D58-8712-2588048DD5B2}" name="Mouser" dataDxfId="266" totalsRowDxfId="265"/>
    <tableColumn id="19" xr3:uid="{71B82CF1-AA7C-485A-B22F-DFCA002E3E0B}" name="Unit price - Mouser" dataDxfId="264" totalsRowDxfId="263"/>
    <tableColumn id="20" xr3:uid="{B372D927-D0BD-4305-A32A-0C014ACEEBAB}" name="Aliexpress" dataDxfId="262" totalsRowDxfId="261"/>
    <tableColumn id="21" xr3:uid="{56A9B167-940C-4D6B-8B5D-F91623F90BD6}" name="Unit price - Aliexpress" dataDxfId="260" totalsRowDxfId="259"/>
    <tableColumn id="22" xr3:uid="{2E67C835-F42C-4886-A3E6-A86A66CF03DE}" name="Banggood" dataDxfId="258" totalsRowDxfId="257"/>
    <tableColumn id="23" xr3:uid="{96EE1B48-7059-4798-A1ED-B830DB9D7D70}" name="Unit price - Banggood" dataDxfId="256" totalsRowDxfId="255"/>
    <tableColumn id="29" xr3:uid="{D6F9B11D-16CF-4797-AFD2-F208CE8FD675}" name="Other - Name" dataDxfId="254" totalsRowDxfId="253">
      <calculatedColumnFormula>IF(Table1[[#This Row],[Other]]&lt;&gt;"","Other","")</calculatedColumnFormula>
    </tableColumn>
    <tableColumn id="24" xr3:uid="{DFC2A0A6-4951-479C-8775-526D9FDB26B4}" name="Other" dataDxfId="252"/>
    <tableColumn id="25" xr3:uid="{09619815-DA2C-43CD-A998-2BAAC30ACE14}" name="Unit price - Other" dataDxfId="251" totalsRowDxfId="250"/>
    <tableColumn id="26" xr3:uid="{CBAAFE5B-29D9-4E86-8241-3FA6E46052BB}" name="In next order" dataDxfId="249" totalsRowDxfId="24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13" dataDxfId="211" headerRowBorderDxfId="21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10" totalsRowDxfId="209"/>
    <tableColumn id="5" xr3:uid="{E0A4C7BE-9780-40B2-9139-D4958FD92F57}" name="Description" dataDxfId="208" totalsRowDxfId="20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6" totalsRowDxfId="20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4" totalsRowDxfId="203"/>
    <tableColumn id="8" xr3:uid="{DE9DE279-0ECD-46C6-B40F-146EE0CF2811}" name="Quantity" dataDxfId="202" totalsRowDxfId="201"/>
    <tableColumn id="6" xr3:uid="{9281657B-B3CE-4A4B-90BB-A2508C24B80E}" name="In stock" dataDxfId="200" totalsRowDxfId="19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8" totalsRowDxfId="19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6" totalsRowDxfId="19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4" totalsRowDxfId="193">
      <calculatedColumnFormula>Table14113[[#This Row],[Quantity]]*$M$1</calculatedColumnFormula>
    </tableColumn>
    <tableColumn id="4" xr3:uid="{21625822-F558-4C24-A1DF-CA1415AF72CC}" name="Total available" dataDxfId="192" totalsRowDxfId="19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86" dataDxfId="184" headerRowBorderDxfId="18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83" totalsRowDxfId="182"/>
    <tableColumn id="5" xr3:uid="{0807D2E3-C08E-4A05-95EC-685278834536}" name="Description" dataDxfId="181" totalsRowDxfId="18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79" totalsRowDxfId="17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77" totalsRowDxfId="176"/>
    <tableColumn id="8" xr3:uid="{27D63D9B-1923-4857-A374-5FF3D8D6B64C}" name="Quantity" dataDxfId="175" totalsRowDxfId="174"/>
    <tableColumn id="6" xr3:uid="{39724770-BCF0-4F8C-A311-212B97612672}" name="In stock" dataDxfId="173" totalsRowDxfId="17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71" totalsRowDxfId="17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9" totalsRowDxfId="16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7" totalsRowDxfId="166">
      <calculatedColumnFormula>Table1411[[#This Row],[Quantity]]*$M$1</calculatedColumnFormula>
    </tableColumn>
    <tableColumn id="4" xr3:uid="{CEA2F06F-2F21-492E-B2A3-DF977A078F50}" name="Total available" dataDxfId="165" totalsRowDxfId="16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59" dataDxfId="157" headerRowBorderDxfId="15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56" totalsRowDxfId="155"/>
    <tableColumn id="5" xr3:uid="{B1418FC9-8422-4A82-9D50-1C20CEF4A1DB}" name="Description" dataDxfId="154" totalsRowDxfId="15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52" totalsRowDxfId="15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Row],[Quantity]]*$M$1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32" dataDxfId="130" headerRowBorderDxfId="131">
  <autoFilter ref="A1:J15" xr:uid="{06E2CB8E-61AB-472E-BCF2-E6E1E6F7BC5B}"/>
  <tableColumns count="10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25" totalsRowDxfId="12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23" totalsRowDxfId="122"/>
    <tableColumn id="8" xr3:uid="{79E97D26-BF86-43B2-AEF5-CE725327DF74}" name="Quantity" dataDxfId="121" totalsRowDxfId="120"/>
    <tableColumn id="6" xr3:uid="{55CA5BD7-34A5-4A62-9044-29A0D9B81880}" name="In stock" dataDxfId="119" totalsRowDxfId="11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7" totalsRowDxfId="11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5" totalsRowDxfId="11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3" totalsRowDxfId="112">
      <calculatedColumnFormula>Table146[[#This Row],[Quantity]]*$M$1</calculatedColumnFormula>
    </tableColumn>
    <tableColumn id="4" xr3:uid="{04D63216-7DC3-4D59-A043-09BBD0852B90}" name="Total available" dataDxfId="111" totalsRowDxfId="11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5" dataDxfId="103" headerRowBorderDxfId="10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02" totalsRowDxfId="101"/>
    <tableColumn id="5" xr3:uid="{8149F83F-B4D5-4C51-A87E-B863B43D92B1}" name="Description" dataDxfId="100" totalsRowDxfId="9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8" totalsRowDxfId="9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6" totalsRowDxfId="95"/>
    <tableColumn id="8" xr3:uid="{4A2F7A9A-01D2-44CD-B775-ECE675E39975}" name="Quantity" dataDxfId="94" totalsRowDxfId="93"/>
    <tableColumn id="6" xr3:uid="{E35C4648-7918-49E6-8585-13FE1A3EB382}" name="In stock" dataDxfId="92" totalsRowDxfId="9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0" totalsRowDxfId="8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8" totalsRowDxfId="8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6" totalsRowDxfId="85">
      <calculatedColumnFormula>Table14681012[[#This Row],[Quantity]]*$M$1</calculatedColumnFormula>
    </tableColumn>
    <tableColumn id="4" xr3:uid="{B277331F-9B8C-48C1-AF3B-39B0DF714F6F}" name="Total available" dataDxfId="84" totalsRowDxfId="8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180"/>
  <sheetViews>
    <sheetView workbookViewId="0">
      <pane ySplit="1" topLeftCell="A1153" activePane="bottomLeft" state="frozen"/>
      <selection pane="bottomLeft" activeCell="A1178" sqref="A1178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59"/>
  <sheetViews>
    <sheetView tabSelected="1" zoomScale="85" zoomScaleNormal="85" workbookViewId="0">
      <pane ySplit="1" topLeftCell="A26" activePane="bottomLeft" state="frozen"/>
      <selection activeCell="B186" sqref="B186"/>
      <selection pane="bottomLeft" activeCell="H40" sqref="H40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327</v>
      </c>
      <c r="D12" s="32" t="s">
        <v>1327</v>
      </c>
      <c r="E12" s="32" t="s">
        <v>1328</v>
      </c>
      <c r="F12" s="43">
        <v>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>
        <f>IF(Table1[[#This Row],[Auto Order]]=1,IF(Table1[[#This Row],[In stock]]&lt;Table1[[#This Row],[Min in stock]],1,""),"")</f>
        <v>1</v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17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1.3049999999999999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>
        <f>IF(Table1[[#This Row],[Auto Order]]=1,IF(Table1[[#This Row],[In stock]]&lt;Table1[[#This Row],[Min in stock]],1,""),"")</f>
        <v>1</v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1.3611111111111112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>
        <f>IF(Table1[[#This Row],[Auto Order]]=1,IF(Table1[[#This Row],[In stock]]&lt;Table1[[#This Row],[Min in stock]],1,""),"")</f>
        <v>1</v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327</v>
      </c>
      <c r="D77" s="32" t="s">
        <v>316</v>
      </c>
      <c r="E77" s="32" t="s">
        <v>494</v>
      </c>
      <c r="F77" s="43">
        <v>0</v>
      </c>
      <c r="G77" s="43">
        <v>1</v>
      </c>
      <c r="H77" s="43">
        <f>1</f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>
        <f>IF(Table1[[#This Row],[Auto Order]]=1,IF(Table1[[#This Row],[In stock]]&lt;Table1[[#This Row],[Min in stock]],1,""),"")</f>
        <v>1</v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>
        <f>IF(Table1[[#This Row],[Auto Order]]=1,IF(Table1[[#This Row],[In stock]]&lt;Table1[[#This Row],[Min in stock]],1,""),"")</f>
        <v>1</v>
      </c>
    </row>
    <row r="96" spans="1:29" x14ac:dyDescent="0.25">
      <c r="A96" s="67" t="s">
        <v>1695</v>
      </c>
      <c r="B96" s="32" t="s">
        <v>146</v>
      </c>
      <c r="C96" s="32" t="s">
        <v>327</v>
      </c>
      <c r="D96" s="32" t="s">
        <v>1696</v>
      </c>
      <c r="E96" s="32" t="s">
        <v>502</v>
      </c>
      <c r="F96" s="43">
        <v>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>
        <f>IF(Table1[[#This Row],[Auto Order]]=1,IF(Table1[[#This Row],[In stock]]&lt;Table1[[#This Row],[Min in stock]],1,""),"")</f>
        <v>1</v>
      </c>
    </row>
    <row r="97" spans="1:29" x14ac:dyDescent="0.25">
      <c r="A97" s="67" t="s">
        <v>1689</v>
      </c>
      <c r="B97" s="32" t="s">
        <v>146</v>
      </c>
      <c r="C97" s="32" t="s">
        <v>327</v>
      </c>
      <c r="D97" s="32" t="s">
        <v>1690</v>
      </c>
      <c r="E97" s="32" t="s">
        <v>502</v>
      </c>
      <c r="F97" s="43">
        <v>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>
        <f>IF(Table1[[#This Row],[Auto Order]]=1,IF(Table1[[#This Row],[In stock]]&lt;Table1[[#This Row],[Min in stock]],1,""),"")</f>
        <v>1</v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>
        <f>IF(Table1[[#This Row],[Auto Order]]=1,IF(Table1[[#This Row],[In stock]]&lt;Table1[[#This Row],[Min in stock]],1,""),"")</f>
        <v>1</v>
      </c>
    </row>
    <row r="99" spans="1:29" x14ac:dyDescent="0.25">
      <c r="A99" s="67" t="s">
        <v>1692</v>
      </c>
      <c r="B99" s="32" t="s">
        <v>146</v>
      </c>
      <c r="C99" s="32" t="s">
        <v>327</v>
      </c>
      <c r="D99" s="32" t="s">
        <v>1693</v>
      </c>
      <c r="E99" s="32" t="s">
        <v>502</v>
      </c>
      <c r="F99" s="43">
        <v>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>
        <f>IF(Table1[[#This Row],[Auto Order]]=1,IF(Table1[[#This Row],[In stock]]&lt;Table1[[#This Row],[Min in stock]],1,""),"")</f>
        <v>1</v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3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>
        <f>IF(Table1[[#This Row],[Auto Order]]=1,IF(Table1[[#This Row],[In stock]]&lt;Table1[[#This Row],[Min in stock]],1,""),"")</f>
        <v>1</v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0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1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_xlfn.CONCAT("755-",Table1[[#This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327</v>
      </c>
      <c r="D156" s="32" t="s">
        <v>975</v>
      </c>
      <c r="E156" s="32" t="s">
        <v>511</v>
      </c>
      <c r="F156" s="43">
        <v>0</v>
      </c>
      <c r="G156" s="43">
        <v>10</v>
      </c>
      <c r="H156" s="43">
        <f>1</f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_xlfn.CONCAT("755-",Table1[[#This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>
        <f>IF(Table1[[#This Row],[Auto Order]]=1,IF(Table1[[#This Row],[In stock]]&lt;Table1[[#This Row],[Min in stock]],1,""),"")</f>
        <v>1</v>
      </c>
    </row>
    <row r="157" spans="1:29" x14ac:dyDescent="0.25">
      <c r="A157" s="67" t="s">
        <v>998</v>
      </c>
      <c r="B157" s="32" t="s">
        <v>593</v>
      </c>
      <c r="C157" s="32" t="s">
        <v>327</v>
      </c>
      <c r="D157" s="32" t="s">
        <v>999</v>
      </c>
      <c r="E157" s="32" t="s">
        <v>511</v>
      </c>
      <c r="F157" s="43">
        <v>0</v>
      </c>
      <c r="G157" s="43">
        <v>10</v>
      </c>
      <c r="H157" s="43">
        <f>1</f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_xlfn.CONCAT("755-",Table1[[#This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>
        <f>IF(Table1[[#This Row],[Auto Order]]=1,IF(Table1[[#This Row],[In stock]]&lt;Table1[[#This Row],[Min in stock]],1,""),"")</f>
        <v>1</v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_xlfn.CONCAT("755-",Table1[[#This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_xlfn.CONCAT("755-",Table1[[#This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_xlfn.CONCAT("755-",Table1[[#This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_xlfn.CONCAT("755-",Table1[[#This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_xlfn.CONCAT("755-",Table1[[#This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_xlfn.CONCAT("755-",Table1[[#This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_xlfn.CONCAT("755-",Table1[[#This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_xlfn.CONCAT("755-",Table1[[#This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_xlfn.CONCAT("755-",Table1[[#This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_xlfn.CONCAT("755-",Table1[[#This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_xlfn.CONCAT("755-",Table1[[#This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_xlfn.CONCAT("755-",Table1[[#This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_xlfn.CONCAT("755-",Table1[[#This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_xlfn.CONCAT("755-",Table1[[#This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_xlfn.CONCAT("755-",Table1[[#This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327</v>
      </c>
      <c r="D173" s="32" t="s">
        <v>1804</v>
      </c>
      <c r="E173" s="32" t="s">
        <v>511</v>
      </c>
      <c r="F173" s="43">
        <v>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_xlfn.CONCAT("755-",Table1[[#This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>
        <f>IF(Table1[[#This Row],[Auto Order]]=1,IF(Table1[[#This Row],[In stock]]&lt;Table1[[#This Row],[Min in stock]],1,""),"")</f>
        <v>1</v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_xlfn.CONCAT("755-",Table1[[#This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_xlfn.CONCAT("755-",Table1[[#This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_xlfn.CONCAT("755-",Table1[[#This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_xlfn.CONCAT("755-",Table1[[#This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_xlfn.CONCAT("755-",Table1[[#This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_xlfn.CONCAT("755-",Table1[[#This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_xlfn.CONCAT("755-",Table1[[#This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_xlfn.CONCAT("755-",Table1[[#This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_xlfn.CONCAT("755-",Table1[[#This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_xlfn.CONCAT("755-",Table1[[#This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_xlfn.CONCAT("755-",Table1[[#This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>
        <f>IF(Table1[[#This Row],[Auto Order]]=1,IF(Table1[[#This Row],[In stock]]&lt;Table1[[#This Row],[Min in stock]],1,""),"")</f>
        <v>1</v>
      </c>
    </row>
    <row r="185" spans="1:29" x14ac:dyDescent="0.25">
      <c r="A185" s="67" t="s">
        <v>1447</v>
      </c>
      <c r="B185" s="32" t="s">
        <v>593</v>
      </c>
      <c r="C185" s="32" t="s">
        <v>327</v>
      </c>
      <c r="D185" s="32" t="s">
        <v>1448</v>
      </c>
      <c r="E185" s="32" t="s">
        <v>511</v>
      </c>
      <c r="F185" s="43">
        <v>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_xlfn.CONCAT("755-",Table1[[#This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>
        <f>IF(Table1[[#This Row],[Auto Order]]=1,IF(Table1[[#This Row],[In stock]]&lt;Table1[[#This Row],[Min in stock]],1,""),"")</f>
        <v>1</v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_xlfn.CONCAT("755-",Table1[[#This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_xlfn.CONCAT("755-",Table1[[#This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_xlfn.CONCAT("755-",Table1[[#This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_xlfn.CONCAT("755-",Table1[[#This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_xlfn.CONCAT("755-",Table1[[#This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_xlfn.CONCAT("755-",Table1[[#This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_xlfn.CONCAT("755-",Table1[[#This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_xlfn.CONCAT("755-",Table1[[#This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_xlfn.CONCAT("755-",Table1[[#This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_xlfn.CONCAT("755-",Table1[[#This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>
        <f>IF(Table1[[#This Row],[Auto Order]]=1,IF(Table1[[#This Row],[In stock]]&lt;Table1[[#This Row],[Min in stock]],1,""),"")</f>
        <v>1</v>
      </c>
    </row>
    <row r="196" spans="1:29" x14ac:dyDescent="0.25">
      <c r="A196" s="71" t="s">
        <v>2149</v>
      </c>
      <c r="B196" s="32" t="s">
        <v>593</v>
      </c>
      <c r="C196" s="32" t="s">
        <v>327</v>
      </c>
      <c r="D196" s="32" t="s">
        <v>2150</v>
      </c>
      <c r="E196" s="32" t="s">
        <v>511</v>
      </c>
      <c r="F196" s="43">
        <v>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_xlfn.CONCAT("755-",Table1[[#This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>
        <f>IF(Table1[[#This Row],[Auto Order]]=1,IF(Table1[[#This Row],[In stock]]&lt;Table1[[#This Row],[Min in stock]],1,""),"")</f>
        <v>1</v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_xlfn.CONCAT("755-",Table1[[#This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_xlfn.CONCAT("755-",Table1[[#This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_xlfn.CONCAT("755-",Table1[[#This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_xlfn.CONCAT("755-",Table1[[#This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_xlfn.CONCAT("755-",Table1[[#This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_xlfn.CONCAT("755-",Table1[[#This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_xlfn.CONCAT("755-",Table1[[#This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_xlfn.CONCAT("755-",Table1[[#This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_xlfn.CONCAT("755-",Table1[[#This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_xlfn.CONCAT("755-",Table1[[#This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_xlfn.CONCAT("755-",Table1[[#This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_xlfn.CONCAT("755-",Table1[[#This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_xlfn.CONCAT("755-",Table1[[#This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_xlfn.CONCAT("755-",Table1[[#This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_xlfn.CONCAT("755-",Table1[[#This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_xlfn.CONCAT("755-",Table1[[#This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_xlfn.CONCAT("755-",Table1[[#This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_xlfn.CONCAT("755-",Table1[[#This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327</v>
      </c>
      <c r="D215" s="32" t="s">
        <v>2111</v>
      </c>
      <c r="E215" s="32" t="s">
        <v>511</v>
      </c>
      <c r="F215" s="43">
        <v>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_xlfn.CONCAT("755-",Table1[[#This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>
        <f>IF(Table1[[#This Row],[Auto Order]]=1,IF(Table1[[#This Row],[In stock]]&lt;Table1[[#This Row],[Min in stock]],1,""),"")</f>
        <v>1</v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_xlfn.CONCAT("755-",Table1[[#This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_xlfn.CONCAT("755-",Table1[[#This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_xlfn.CONCAT("755-",Table1[[#This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_xlfn.CONCAT("755-",Table1[[#This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_xlfn.CONCAT("755-",Table1[[#This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_xlfn.CONCAT("755-",Table1[[#This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_xlfn.CONCAT("755-",Table1[[#This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_xlfn.CONCAT("755-",Table1[[#This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_xlfn.CONCAT("755-",Table1[[#This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_xlfn.CONCAT("755-",Table1[[#This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_xlfn.CONCAT("755-",Table1[[#This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327</v>
      </c>
      <c r="D227" s="32" t="s">
        <v>1855</v>
      </c>
      <c r="E227" s="32" t="s">
        <v>511</v>
      </c>
      <c r="F227" s="43">
        <v>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_xlfn.CONCAT("755-",Table1[[#This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>
        <f>IF(Table1[[#This Row],[Auto Order]]=1,IF(Table1[[#This Row],[In stock]]&lt;Table1[[#This Row],[Min in stock]],1,""),"")</f>
        <v>1</v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_xlfn.CONCAT("755-",Table1[[#This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_xlfn.CONCAT("755-",Table1[[#This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_xlfn.CONCAT("755-",Table1[[#This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_xlfn.CONCAT("755-",Table1[[#This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_xlfn.CONCAT("755-",Table1[[#This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_xlfn.CONCAT("755-",Table1[[#This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_xlfn.CONCAT("755-",Table1[[#This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_xlfn.CONCAT("755-",Table1[[#This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_xlfn.CONCAT("755-",Table1[[#This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_xlfn.CONCAT("755-",Table1[[#This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_xlfn.CONCAT("755-",Table1[[#This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_xlfn.CONCAT("755-",Table1[[#This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_xlfn.CONCAT("755-",Table1[[#This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_xlfn.CONCAT("755-",Table1[[#This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327</v>
      </c>
      <c r="D242" s="32" t="s">
        <v>1739</v>
      </c>
      <c r="E242" s="32" t="s">
        <v>511</v>
      </c>
      <c r="F242" s="43">
        <v>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_xlfn.CONCAT("755-",Table1[[#This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>
        <f>IF(Table1[[#This Row],[Auto Order]]=1,IF(Table1[[#This Row],[In stock]]&lt;Table1[[#This Row],[Min in stock]],1,""),"")</f>
        <v>1</v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_xlfn.CONCAT("755-",Table1[[#This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_xlfn.CONCAT("755-",Table1[[#This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_xlfn.CONCAT("755-",Table1[[#This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_xlfn.CONCAT("755-",Table1[[#This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_xlfn.CONCAT("755-",Table1[[#This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_xlfn.CONCAT("755-",Table1[[#This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_xlfn.CONCAT("755-",Table1[[#This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_xlfn.CONCAT("755-",Table1[[#This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_xlfn.CONCAT("755-",Table1[[#This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_xlfn.CONCAT("755-",Table1[[#This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327</v>
      </c>
      <c r="D253" s="32" t="s">
        <v>1889</v>
      </c>
      <c r="E253" s="32" t="s">
        <v>511</v>
      </c>
      <c r="F253" s="43">
        <v>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_xlfn.CONCAT("755-",Table1[[#This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>
        <f>IF(Table1[[#This Row],[Auto Order]]=1,IF(Table1[[#This Row],[In stock]]&lt;Table1[[#This Row],[Min in stock]],1,""),"")</f>
        <v>1</v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_xlfn.CONCAT("755-",Table1[[#This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_xlfn.CONCAT("755-",Table1[[#This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_xlfn.CONCAT("755-",Table1[[#This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_xlfn.CONCAT("755-",Table1[[#This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_xlfn.CONCAT("755-",Table1[[#This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_xlfn.CONCAT("755-",Table1[[#This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_xlfn.CONCAT("755-",Table1[[#This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_xlfn.CONCAT("755-",Table1[[#This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_xlfn.CONCAT("755-",Table1[[#This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_xlfn.CONCAT("755-",Table1[[#This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_xlfn.CONCAT("755-",Table1[[#This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_xlfn.CONCAT("755-",Table1[[#This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_xlfn.CONCAT("755-",Table1[[#This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_xlfn.CONCAT("755-",Table1[[#This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_xlfn.CONCAT("755-",Table1[[#This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_xlfn.CONCAT("755-",Table1[[#This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_xlfn.CONCAT("755-",Table1[[#This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_xlfn.CONCAT("755-",Table1[[#This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_xlfn.CONCAT("755-",Table1[[#This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_xlfn.CONCAT("755-",Table1[[#This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_xlfn.CONCAT("755-",Table1[[#This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_xlfn.CONCAT("755-",Table1[[#This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_xlfn.CONCAT("755-",Table1[[#This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_xlfn.CONCAT("755-",Table1[[#This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_xlfn.CONCAT("755-",Table1[[#This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_xlfn.CONCAT("755-",Table1[[#This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_xlfn.CONCAT("755-",Table1[[#This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_xlfn.CONCAT("755-",Table1[[#This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327</v>
      </c>
      <c r="D282" s="32" t="s">
        <v>2061</v>
      </c>
      <c r="E282" s="32" t="s">
        <v>511</v>
      </c>
      <c r="F282" s="43">
        <v>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_xlfn.CONCAT("755-",Table1[[#This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>
        <f>IF(Table1[[#This Row],[Auto Order]]=1,IF(Table1[[#This Row],[In stock]]&lt;Table1[[#This Row],[Min in stock]],1,""),"")</f>
        <v>1</v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_xlfn.CONCAT("755-",Table1[[#This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_xlfn.CONCAT("755-",Table1[[#This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_xlfn.CONCAT("755-",Table1[[#This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_xlfn.CONCAT("755-",Table1[[#This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_xlfn.CONCAT("755-",Table1[[#This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_xlfn.CONCAT("755-",Table1[[#This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_xlfn.CONCAT("755-",Table1[[#This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_xlfn.CONCAT("755-",Table1[[#This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_xlfn.CONCAT("755-",Table1[[#This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_xlfn.CONCAT("755-",Table1[[#This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327</v>
      </c>
      <c r="D293" s="32" t="s">
        <v>1787</v>
      </c>
      <c r="E293" s="32" t="s">
        <v>511</v>
      </c>
      <c r="F293" s="43">
        <v>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_xlfn.CONCAT("755-",Table1[[#This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>
        <f>IF(Table1[[#This Row],[Auto Order]]=1,IF(Table1[[#This Row],[In stock]]&lt;Table1[[#This Row],[Min in stock]],1,""),"")</f>
        <v>1</v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_xlfn.CONCAT("755-",Table1[[#This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_xlfn.CONCAT("755-",Table1[[#This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_xlfn.CONCAT("755-",Table1[[#This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_xlfn.CONCAT("755-",Table1[[#This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_xlfn.CONCAT("755-",Table1[[#This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_xlfn.CONCAT("755-",Table1[[#This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_xlfn.CONCAT("755-",Table1[[#This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_xlfn.CONCAT("755-",Table1[[#This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_xlfn.CONCAT("755-",Table1[[#This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_xlfn.CONCAT("755-",Table1[[#This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_xlfn.CONCAT("755-",Table1[[#This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_xlfn.CONCAT("755-",Table1[[#This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_xlfn.CONCAT("755-",Table1[[#This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_xlfn.CONCAT("755-",Table1[[#This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327</v>
      </c>
      <c r="D308" s="32" t="s">
        <v>1959</v>
      </c>
      <c r="E308" s="32" t="s">
        <v>511</v>
      </c>
      <c r="F308" s="43">
        <v>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_xlfn.CONCAT("755-",Table1[[#This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>
        <f>IF(Table1[[#This Row],[Auto Order]]=1,IF(Table1[[#This Row],[In stock]]&lt;Table1[[#This Row],[Min in stock]],1,""),"")</f>
        <v>1</v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_xlfn.CONCAT("755-",Table1[[#This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_xlfn.CONCAT("755-",Table1[[#This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_xlfn.CONCAT("755-",Table1[[#This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_xlfn.CONCAT("755-",Table1[[#This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_xlfn.CONCAT("755-",Table1[[#This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_xlfn.CONCAT("755-",Table1[[#This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_xlfn.CONCAT("755-",Table1[[#This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_xlfn.CONCAT("755-",Table1[[#This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_xlfn.CONCAT("755-",Table1[[#This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_xlfn.CONCAT("755-",Table1[[#This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_xlfn.CONCAT("755-",Table1[[#This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67" t="s">
        <v>1024</v>
      </c>
      <c r="B320" s="32" t="s">
        <v>593</v>
      </c>
      <c r="C320" s="32" t="s">
        <v>1432</v>
      </c>
      <c r="D320" s="32" t="s">
        <v>1025</v>
      </c>
      <c r="E320" s="32" t="s">
        <v>511</v>
      </c>
      <c r="F320" s="43">
        <v>8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0" s="32" t="s">
        <v>1023</v>
      </c>
      <c r="M320" s="39">
        <v>0.1</v>
      </c>
      <c r="N320" s="32"/>
      <c r="O320" s="39"/>
      <c r="P320" s="32"/>
      <c r="Q320" s="39"/>
      <c r="R320" s="32"/>
      <c r="S320" s="39"/>
      <c r="T320" s="45" t="str">
        <f>_xlfn.CONCAT("755-",Table1[[#This Row],[Art. Number]])</f>
        <v>755-ESR10EZPJ104</v>
      </c>
      <c r="U320" s="39">
        <v>9.8000000000000004E-2</v>
      </c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995</v>
      </c>
      <c r="B321" s="32" t="s">
        <v>593</v>
      </c>
      <c r="C321" s="32" t="s">
        <v>1429</v>
      </c>
      <c r="D321" s="32" t="s">
        <v>996</v>
      </c>
      <c r="E321" s="32" t="s">
        <v>511</v>
      </c>
      <c r="F321" s="43">
        <v>10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994</v>
      </c>
      <c r="M321" s="39">
        <v>0.1</v>
      </c>
      <c r="N321" s="32"/>
      <c r="O321" s="39"/>
      <c r="P321" s="32"/>
      <c r="Q321" s="39"/>
      <c r="R321" s="32"/>
      <c r="S321" s="39"/>
      <c r="T321" s="45" t="str">
        <f>_xlfn.CONCAT("755-",Table1[[#This Row],[Art. Number]])</f>
        <v>755-ESR10EZPJ220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67" t="s">
        <v>539</v>
      </c>
      <c r="B322" s="32" t="s">
        <v>593</v>
      </c>
      <c r="C322" s="32" t="s">
        <v>1434</v>
      </c>
      <c r="D322" s="32" t="s">
        <v>594</v>
      </c>
      <c r="E322" s="32" t="s">
        <v>511</v>
      </c>
      <c r="F322" s="43">
        <v>9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2" s="32" t="s">
        <v>595</v>
      </c>
      <c r="M322" s="39">
        <v>0.1</v>
      </c>
      <c r="N322" s="32"/>
      <c r="O322" s="39"/>
      <c r="P322" s="32"/>
      <c r="Q322" s="39"/>
      <c r="R322" s="32"/>
      <c r="S322" s="39"/>
      <c r="T322" s="45" t="str">
        <f>_xlfn.CONCAT("755-",Table1[[#This Row],[Art. Number]])</f>
        <v>755-ESR10EZPJ273</v>
      </c>
      <c r="U322" s="39">
        <v>9.8000000000000004E-2</v>
      </c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1018</v>
      </c>
      <c r="B323" s="32" t="s">
        <v>593</v>
      </c>
      <c r="C323" s="32" t="s">
        <v>1430</v>
      </c>
      <c r="D323" s="32" t="s">
        <v>1019</v>
      </c>
      <c r="E323" s="32" t="s">
        <v>511</v>
      </c>
      <c r="F323" s="43">
        <v>9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1017</v>
      </c>
      <c r="M323" s="39">
        <v>0.1</v>
      </c>
      <c r="N323" s="32"/>
      <c r="O323" s="39"/>
      <c r="P323" s="32"/>
      <c r="Q323" s="39"/>
      <c r="R323" s="32"/>
      <c r="S323" s="39"/>
      <c r="T323" s="45" t="str">
        <f>_xlfn.CONCAT("755-",Table1[[#This Row],[Art. Number]])</f>
        <v>755-ESR10EZPJ331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67" t="s">
        <v>1015</v>
      </c>
      <c r="B324" s="32" t="s">
        <v>593</v>
      </c>
      <c r="C324" s="32" t="s">
        <v>1435</v>
      </c>
      <c r="D324" s="32" t="s">
        <v>1016</v>
      </c>
      <c r="E324" s="32" t="s">
        <v>511</v>
      </c>
      <c r="F324" s="43">
        <v>9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4" s="32" t="s">
        <v>1014</v>
      </c>
      <c r="M324" s="39">
        <v>0.1</v>
      </c>
      <c r="N324" s="32"/>
      <c r="O324" s="39"/>
      <c r="P324" s="32"/>
      <c r="Q324" s="39"/>
      <c r="R324" s="32"/>
      <c r="S324" s="39"/>
      <c r="T324" s="45" t="str">
        <f>_xlfn.CONCAT("755-",Table1[[#This Row],[Art. Number]])</f>
        <v>755-ESR10EZPJ392</v>
      </c>
      <c r="U324" s="39">
        <v>9.8000000000000004E-2</v>
      </c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712</v>
      </c>
      <c r="B325" s="32" t="s">
        <v>593</v>
      </c>
      <c r="C325" s="32" t="s">
        <v>1431</v>
      </c>
      <c r="D325" s="32" t="s">
        <v>713</v>
      </c>
      <c r="E325" s="32" t="s">
        <v>511</v>
      </c>
      <c r="F325" s="43">
        <v>10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711</v>
      </c>
      <c r="M325" s="39">
        <v>0.15</v>
      </c>
      <c r="N325" s="32"/>
      <c r="O325" s="39"/>
      <c r="P325" s="32"/>
      <c r="Q325" s="39"/>
      <c r="R325" s="32"/>
      <c r="S325" s="39"/>
      <c r="T325" s="45" t="str">
        <f>_xlfn.CONCAT("755-",Table1[[#This Row],[Art. Number]])</f>
        <v>755-KTR10EZPJ102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71" t="s">
        <v>930</v>
      </c>
      <c r="B326" s="32" t="s">
        <v>593</v>
      </c>
      <c r="C326" s="32" t="s">
        <v>1433</v>
      </c>
      <c r="D326" s="32" t="s">
        <v>931</v>
      </c>
      <c r="E326" s="32" t="s">
        <v>511</v>
      </c>
      <c r="F326" s="43">
        <v>2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929</v>
      </c>
      <c r="M326" s="39">
        <v>0.15</v>
      </c>
      <c r="N326" s="32"/>
      <c r="O326" s="39"/>
      <c r="P326" s="32"/>
      <c r="Q326" s="39"/>
      <c r="R326" s="32"/>
      <c r="S326" s="39"/>
      <c r="T326" s="45" t="str">
        <f>_xlfn.CONCAT("755-",Table1[[#This Row],[Art. Number]])</f>
        <v>755-KTR10EZPJ106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0" t="s">
        <v>55</v>
      </c>
      <c r="B327" s="32" t="s">
        <v>30</v>
      </c>
      <c r="C327" s="32" t="s">
        <v>1379</v>
      </c>
      <c r="D327" s="32" t="s">
        <v>54</v>
      </c>
      <c r="E327" s="32" t="s">
        <v>511</v>
      </c>
      <c r="F327" s="43">
        <v>9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7" s="32"/>
      <c r="M327" s="39"/>
      <c r="N327" s="32" t="s">
        <v>396</v>
      </c>
      <c r="O327" s="39">
        <v>4.4499999999999998E-2</v>
      </c>
      <c r="P327" s="32"/>
      <c r="Q327" s="39"/>
      <c r="R327" s="32"/>
      <c r="S327" s="39"/>
      <c r="T327" s="32"/>
      <c r="U327" s="39"/>
      <c r="V327" s="32"/>
      <c r="W327" s="39"/>
      <c r="X327" s="32"/>
      <c r="Y327" s="39">
        <v>4.4499999999999998E-2</v>
      </c>
      <c r="Z327" s="39" t="str">
        <f>IF(Table1[[#This Row],[Other]]&lt;&gt;"","Other","")</f>
        <v/>
      </c>
      <c r="AA327" s="32"/>
      <c r="AB327" s="41"/>
      <c r="AC327" s="33" t="str">
        <f>IF(Table1[[#This Row],[Auto Order]]=1,IF(Table1[[#This Row],[In stock]]&lt;Table1[[#This Row],[Min in stock]],1,""),"")</f>
        <v/>
      </c>
    </row>
    <row r="328" spans="1:29" x14ac:dyDescent="0.25">
      <c r="A328" s="70" t="s">
        <v>50</v>
      </c>
      <c r="B328" s="32" t="s">
        <v>30</v>
      </c>
      <c r="C328" s="32" t="s">
        <v>1377</v>
      </c>
      <c r="D328" s="32" t="s">
        <v>1371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8" s="32"/>
      <c r="M328" s="39"/>
      <c r="N328" s="32" t="s">
        <v>399</v>
      </c>
      <c r="O328" s="39">
        <v>1.55E-2</v>
      </c>
      <c r="P328" s="32"/>
      <c r="Q328" s="39"/>
      <c r="R328" s="32"/>
      <c r="S328" s="39"/>
      <c r="T328" s="32"/>
      <c r="U328" s="39"/>
      <c r="V328" s="32"/>
      <c r="W328" s="39"/>
      <c r="X328" s="32"/>
      <c r="Y328" s="39">
        <v>1.55E-2</v>
      </c>
      <c r="Z328" s="39" t="str">
        <f>IF(Table1[[#This Row],[Other]]&lt;&gt;"","Other","")</f>
        <v/>
      </c>
      <c r="AA328" s="32"/>
      <c r="AB328" s="41"/>
      <c r="AC328" s="33" t="str">
        <f>IF(Table1[[#This Row],[Auto Order]]=1,IF(Table1[[#This Row],[In stock]]&lt;Table1[[#This Row],[Min in stock]],1,""),"")</f>
        <v/>
      </c>
    </row>
    <row r="329" spans="1:29" x14ac:dyDescent="0.25">
      <c r="A329" s="70" t="s">
        <v>49</v>
      </c>
      <c r="B329" s="32" t="s">
        <v>30</v>
      </c>
      <c r="C329" s="32" t="s">
        <v>327</v>
      </c>
      <c r="D329" s="32" t="s">
        <v>48</v>
      </c>
      <c r="E329" s="32" t="s">
        <v>511</v>
      </c>
      <c r="F329" s="43">
        <v>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9" s="32"/>
      <c r="M329" s="39"/>
      <c r="N329" s="32" t="s">
        <v>400</v>
      </c>
      <c r="O329" s="39">
        <v>2.3E-2</v>
      </c>
      <c r="P329" s="32"/>
      <c r="Q329" s="39"/>
      <c r="R329" s="32"/>
      <c r="S329" s="39"/>
      <c r="T329" s="32"/>
      <c r="U329" s="39"/>
      <c r="V329" s="32"/>
      <c r="W329" s="39"/>
      <c r="X329" s="32"/>
      <c r="Y329" s="39">
        <v>2.3E-2</v>
      </c>
      <c r="Z329" s="39" t="str">
        <f>IF(Table1[[#This Row],[Other]]&lt;&gt;"","Other","")</f>
        <v/>
      </c>
      <c r="AA329" s="32"/>
      <c r="AB329" s="41"/>
      <c r="AC329" s="33" t="str">
        <f>IF(Table1[[#This Row],[Auto Order]]=1,IF(Table1[[#This Row],[In stock]]&lt;Table1[[#This Row],[Min in stock]],1,""),"")</f>
        <v/>
      </c>
    </row>
    <row r="330" spans="1:29" x14ac:dyDescent="0.25">
      <c r="A330" s="70" t="s">
        <v>56</v>
      </c>
      <c r="B330" s="32" t="s">
        <v>30</v>
      </c>
      <c r="C330" s="32" t="s">
        <v>1376</v>
      </c>
      <c r="D330" s="32" t="s">
        <v>1372</v>
      </c>
      <c r="E330" s="32" t="s">
        <v>511</v>
      </c>
      <c r="F330" s="43">
        <v>7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0" s="32"/>
      <c r="M330" s="39"/>
      <c r="N330" s="32" t="s">
        <v>395</v>
      </c>
      <c r="O330" s="39">
        <v>2.3900000000000001E-2</v>
      </c>
      <c r="P330" s="32"/>
      <c r="Q330" s="39"/>
      <c r="R330" s="32"/>
      <c r="S330" s="39"/>
      <c r="T330" s="32"/>
      <c r="U330" s="39"/>
      <c r="V330" s="32"/>
      <c r="W330" s="39"/>
      <c r="X330" s="32"/>
      <c r="Y330" s="39">
        <v>2.3900000000000001E-2</v>
      </c>
      <c r="Z330" s="39" t="str">
        <f>IF(Table1[[#This Row],[Other]]&lt;&gt;"","Other","")</f>
        <v/>
      </c>
      <c r="AA330" s="32"/>
      <c r="AB330" s="41"/>
      <c r="AC330" s="33" t="str">
        <f>IF(Table1[[#This Row],[Auto Order]]=1,IF(Table1[[#This Row],[In stock]]&lt;Table1[[#This Row],[Min in stock]],1,""),"")</f>
        <v/>
      </c>
    </row>
    <row r="331" spans="1:29" x14ac:dyDescent="0.25">
      <c r="A331" s="70" t="s">
        <v>47</v>
      </c>
      <c r="B331" s="32" t="s">
        <v>46</v>
      </c>
      <c r="C331" s="32" t="s">
        <v>1375</v>
      </c>
      <c r="D331" s="32" t="s">
        <v>1373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398</v>
      </c>
      <c r="O331" s="39">
        <v>1.0999999999999999E-2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1.0999999999999999E-2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67" t="s">
        <v>1177</v>
      </c>
      <c r="B332" s="32" t="s">
        <v>1173</v>
      </c>
      <c r="C332" s="32" t="s">
        <v>327</v>
      </c>
      <c r="D332" s="32" t="s">
        <v>1178</v>
      </c>
      <c r="E332" s="32" t="s">
        <v>1189</v>
      </c>
      <c r="F332" s="43">
        <v>0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2" t="s">
        <v>1179</v>
      </c>
      <c r="M332" s="39">
        <v>0.23</v>
      </c>
      <c r="N332" s="32"/>
      <c r="O332" s="39"/>
      <c r="P332" s="32"/>
      <c r="Q332" s="39"/>
      <c r="R332" s="32"/>
      <c r="S332" s="39"/>
      <c r="T332" s="32"/>
      <c r="U332" s="39"/>
      <c r="V332" s="32"/>
      <c r="W332" s="39"/>
      <c r="X332" s="32"/>
      <c r="Y332" s="39"/>
      <c r="Z332" s="39" t="str">
        <f>IF(Table1[[#This Row],[Other]]&lt;&gt;"","Other","")</f>
        <v/>
      </c>
      <c r="AA332" s="32"/>
      <c r="AB332" s="41"/>
      <c r="AC332" s="45" t="str">
        <f>IF(Table1[[#This Row],[Auto Order]]=1,IF(Table1[[#This Row],[In stock]]&lt;Table1[[#This Row],[Min in stock]],1,""),"")</f>
        <v/>
      </c>
    </row>
    <row r="333" spans="1:29" x14ac:dyDescent="0.25">
      <c r="A333" s="67" t="s">
        <v>1185</v>
      </c>
      <c r="B333" s="32" t="s">
        <v>1186</v>
      </c>
      <c r="C333" s="32" t="s">
        <v>1660</v>
      </c>
      <c r="D333" s="32" t="s">
        <v>1187</v>
      </c>
      <c r="E333" s="32" t="s">
        <v>1189</v>
      </c>
      <c r="F333" s="43">
        <v>2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2" t="s">
        <v>1188</v>
      </c>
      <c r="M333" s="39">
        <v>0.16</v>
      </c>
      <c r="N333" s="32"/>
      <c r="O333" s="39"/>
      <c r="P333" s="32"/>
      <c r="Q333" s="39"/>
      <c r="R333" s="32"/>
      <c r="S333" s="39"/>
      <c r="T333" s="32"/>
      <c r="U333" s="39"/>
      <c r="V333" s="32"/>
      <c r="W333" s="39"/>
      <c r="X333" s="32"/>
      <c r="Y333" s="39"/>
      <c r="Z333" s="39" t="str">
        <f>IF(Table1[[#This Row],[Other]]&lt;&gt;"","Other","")</f>
        <v/>
      </c>
      <c r="AA333" s="32"/>
      <c r="AB333" s="41"/>
      <c r="AC333" s="45" t="str">
        <f>IF(Table1[[#This Row],[Auto Order]]=1,IF(Table1[[#This Row],[In stock]]&lt;Table1[[#This Row],[Min in stock]],1,""),"")</f>
        <v/>
      </c>
    </row>
    <row r="334" spans="1:29" x14ac:dyDescent="0.25">
      <c r="A334" s="67" t="s">
        <v>1169</v>
      </c>
      <c r="B334" s="32" t="s">
        <v>1156</v>
      </c>
      <c r="C334" s="32" t="s">
        <v>327</v>
      </c>
      <c r="D334" s="32" t="s">
        <v>1170</v>
      </c>
      <c r="E334" s="32" t="s">
        <v>1158</v>
      </c>
      <c r="F334" s="43">
        <v>0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2" t="s">
        <v>1171</v>
      </c>
      <c r="M334" s="39">
        <v>5.05</v>
      </c>
      <c r="N334" s="32"/>
      <c r="O334" s="39"/>
      <c r="P334" s="32"/>
      <c r="Q334" s="39"/>
      <c r="R334" s="32"/>
      <c r="S334" s="39"/>
      <c r="T334" s="32"/>
      <c r="U334" s="39"/>
      <c r="V334" s="32"/>
      <c r="W334" s="39"/>
      <c r="X334" s="32"/>
      <c r="Y334" s="39"/>
      <c r="Z334" s="39" t="str">
        <f>IF(Table1[[#This Row],[Other]]&lt;&gt;"","Other","")</f>
        <v/>
      </c>
      <c r="AA334" s="32"/>
      <c r="AB334" s="41"/>
      <c r="AC334" s="45" t="str">
        <f>IF(Table1[[#This Row],[Auto Order]]=1,IF(Table1[[#This Row],[In stock]]&lt;Table1[[#This Row],[Min in stock]],1,""),"")</f>
        <v/>
      </c>
    </row>
    <row r="335" spans="1:29" x14ac:dyDescent="0.25">
      <c r="A335" s="67" t="s">
        <v>1166</v>
      </c>
      <c r="B335" s="32" t="s">
        <v>1156</v>
      </c>
      <c r="C335" s="32" t="s">
        <v>327</v>
      </c>
      <c r="D335" s="32" t="s">
        <v>1167</v>
      </c>
      <c r="E335" s="32" t="s">
        <v>1158</v>
      </c>
      <c r="F335" s="43">
        <v>0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2" t="s">
        <v>1168</v>
      </c>
      <c r="M335" s="39">
        <v>5.05</v>
      </c>
      <c r="N335" s="32"/>
      <c r="O335" s="39"/>
      <c r="P335" s="32"/>
      <c r="Q335" s="39"/>
      <c r="R335" s="32"/>
      <c r="S335" s="39"/>
      <c r="T335" s="32"/>
      <c r="U335" s="39"/>
      <c r="V335" s="32"/>
      <c r="W335" s="39"/>
      <c r="X335" s="32"/>
      <c r="Y335" s="39"/>
      <c r="Z335" s="39" t="str">
        <f>IF(Table1[[#This Row],[Other]]&lt;&gt;"","Other","")</f>
        <v/>
      </c>
      <c r="AA335" s="32"/>
      <c r="AB335" s="41"/>
      <c r="AC335" s="45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1163</v>
      </c>
      <c r="B336" s="32" t="s">
        <v>1156</v>
      </c>
      <c r="C336" s="32" t="s">
        <v>327</v>
      </c>
      <c r="D336" s="32" t="s">
        <v>1164</v>
      </c>
      <c r="E336" s="32" t="s">
        <v>1158</v>
      </c>
      <c r="F336" s="43">
        <v>1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1165</v>
      </c>
      <c r="M336" s="39">
        <v>5.25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1155</v>
      </c>
      <c r="B337" s="32" t="s">
        <v>1156</v>
      </c>
      <c r="C337" s="32" t="s">
        <v>327</v>
      </c>
      <c r="D337" s="32" t="s">
        <v>1157</v>
      </c>
      <c r="E337" s="32" t="s">
        <v>1158</v>
      </c>
      <c r="F337" s="43">
        <v>1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1159</v>
      </c>
      <c r="M337" s="39">
        <v>4.8499999999999996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2" t="s">
        <v>1249</v>
      </c>
      <c r="B338" s="62" t="s">
        <v>1156</v>
      </c>
      <c r="C338" s="62" t="s">
        <v>327</v>
      </c>
      <c r="D338" s="62" t="s">
        <v>1250</v>
      </c>
      <c r="E338" s="62" t="s">
        <v>1158</v>
      </c>
      <c r="F338" s="63">
        <v>1</v>
      </c>
      <c r="G338" s="63"/>
      <c r="H338" s="63"/>
      <c r="I338" s="62" t="s">
        <v>1244</v>
      </c>
      <c r="J338" s="64">
        <v>0.53</v>
      </c>
      <c r="K338" s="65" t="s">
        <v>75</v>
      </c>
      <c r="L338" s="62" t="s">
        <v>1251</v>
      </c>
      <c r="M338" s="66">
        <v>5.05</v>
      </c>
      <c r="N338" s="62"/>
      <c r="O338" s="66"/>
      <c r="P338" s="62"/>
      <c r="Q338" s="66"/>
      <c r="R338" s="62"/>
      <c r="S338" s="66"/>
      <c r="T338" s="62"/>
      <c r="U338" s="66"/>
      <c r="V338" s="62"/>
      <c r="W338" s="66"/>
      <c r="X338" s="62"/>
      <c r="Y338" s="66"/>
      <c r="Z338" s="66" t="str">
        <f>IF(Table1[[#This Row],[Other]]&lt;&gt;"","Other","")</f>
        <v/>
      </c>
      <c r="AA338" s="62"/>
      <c r="AB338" s="64"/>
      <c r="AC338" s="65" t="s">
        <v>1258</v>
      </c>
    </row>
    <row r="339" spans="1:29" x14ac:dyDescent="0.25">
      <c r="A339" s="67" t="s">
        <v>1160</v>
      </c>
      <c r="B339" s="32" t="s">
        <v>1156</v>
      </c>
      <c r="C339" s="32" t="s">
        <v>327</v>
      </c>
      <c r="D339" s="32" t="s">
        <v>1161</v>
      </c>
      <c r="E339" s="32" t="s">
        <v>1158</v>
      </c>
      <c r="F339" s="43">
        <v>1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1162</v>
      </c>
      <c r="M339" s="39">
        <v>5.05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1172</v>
      </c>
      <c r="B340" s="32" t="s">
        <v>1173</v>
      </c>
      <c r="C340" s="32" t="s">
        <v>1660</v>
      </c>
      <c r="D340" s="32" t="s">
        <v>1174</v>
      </c>
      <c r="E340" s="32" t="s">
        <v>1175</v>
      </c>
      <c r="F340" s="43">
        <v>6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1176</v>
      </c>
      <c r="M340" s="39">
        <v>0.47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70" t="s">
        <v>109</v>
      </c>
      <c r="B341" s="32" t="s">
        <v>82</v>
      </c>
      <c r="C341" s="32" t="s">
        <v>327</v>
      </c>
      <c r="D341" s="32" t="s">
        <v>108</v>
      </c>
      <c r="E341" s="32" t="s">
        <v>505</v>
      </c>
      <c r="F341" s="43">
        <v>19</v>
      </c>
      <c r="G341" s="43">
        <v>2</v>
      </c>
      <c r="H341" s="43">
        <f>1</f>
        <v>1</v>
      </c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1" s="32" t="s">
        <v>423</v>
      </c>
      <c r="M341" s="39">
        <v>0.28000000000000003</v>
      </c>
      <c r="N341" s="32" t="s">
        <v>110</v>
      </c>
      <c r="O341" s="39">
        <v>0.191</v>
      </c>
      <c r="P341" s="32"/>
      <c r="Q341" s="39"/>
      <c r="R341" s="32"/>
      <c r="S341" s="39"/>
      <c r="T341" s="32"/>
      <c r="U341" s="39"/>
      <c r="V341" s="32"/>
      <c r="W341" s="39"/>
      <c r="X341" s="32"/>
      <c r="Y341" s="39">
        <v>0.191</v>
      </c>
      <c r="Z341" s="39" t="str">
        <f>IF(Table1[[#This Row],[Other]]&lt;&gt;"","Other","")</f>
        <v/>
      </c>
      <c r="AA341" s="32"/>
      <c r="AB341" s="41"/>
      <c r="AC341" s="33" t="str">
        <f>IF(Table1[[#This Row],[Auto Order]]=1,IF(Table1[[#This Row],[In stock]]&lt;Table1[[#This Row],[Min in stock]],1,""),"")</f>
        <v/>
      </c>
    </row>
    <row r="342" spans="1:29" x14ac:dyDescent="0.25">
      <c r="A342" s="70" t="s">
        <v>119</v>
      </c>
      <c r="B342" s="32" t="s">
        <v>7</v>
      </c>
      <c r="C342" s="32" t="s">
        <v>327</v>
      </c>
      <c r="D342" s="32" t="s">
        <v>118</v>
      </c>
      <c r="E342" s="32" t="s">
        <v>505</v>
      </c>
      <c r="F342" s="43">
        <v>10</v>
      </c>
      <c r="G342" s="43">
        <v>2</v>
      </c>
      <c r="H342" s="43">
        <f>1</f>
        <v>1</v>
      </c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2" s="32" t="s">
        <v>427</v>
      </c>
      <c r="M342" s="39">
        <v>0.61</v>
      </c>
      <c r="N342" s="32" t="s">
        <v>120</v>
      </c>
      <c r="O342" s="39">
        <v>0.34899999999999998</v>
      </c>
      <c r="P342" s="32"/>
      <c r="Q342" s="39"/>
      <c r="R342" s="32"/>
      <c r="S342" s="39"/>
      <c r="T342" s="32"/>
      <c r="U342" s="39"/>
      <c r="V342" s="32"/>
      <c r="W342" s="39"/>
      <c r="X342" s="32"/>
      <c r="Y342" s="39">
        <v>0.34899999999999998</v>
      </c>
      <c r="Z342" s="39" t="str">
        <f>IF(Table1[[#This Row],[Other]]&lt;&gt;"","Other","")</f>
        <v/>
      </c>
      <c r="AA342" s="32"/>
      <c r="AB342" s="41"/>
      <c r="AC342" s="33" t="str">
        <f>IF(Table1[[#This Row],[Auto Order]]=1,IF(Table1[[#This Row],[In stock]]&lt;Table1[[#This Row],[Min in stock]],1,""),"")</f>
        <v/>
      </c>
    </row>
    <row r="343" spans="1:29" x14ac:dyDescent="0.25">
      <c r="A343" s="70" t="s">
        <v>106</v>
      </c>
      <c r="B343" s="32" t="s">
        <v>30</v>
      </c>
      <c r="C343" s="32" t="s">
        <v>327</v>
      </c>
      <c r="D343" s="32" t="s">
        <v>105</v>
      </c>
      <c r="E343" s="32" t="s">
        <v>505</v>
      </c>
      <c r="F343" s="43">
        <v>15</v>
      </c>
      <c r="G343" s="43">
        <v>2</v>
      </c>
      <c r="H343" s="43">
        <f>1</f>
        <v>1</v>
      </c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3" s="32"/>
      <c r="M343" s="39"/>
      <c r="N343" s="32" t="s">
        <v>107</v>
      </c>
      <c r="O343" s="39">
        <v>0.26500000000000001</v>
      </c>
      <c r="P343" s="32"/>
      <c r="Q343" s="39"/>
      <c r="R343" s="32"/>
      <c r="S343" s="39"/>
      <c r="T343" s="32"/>
      <c r="U343" s="39"/>
      <c r="V343" s="32"/>
      <c r="W343" s="39"/>
      <c r="X343" s="32"/>
      <c r="Y343" s="39">
        <v>0.26500000000000001</v>
      </c>
      <c r="Z343" s="39" t="str">
        <f>IF(Table1[[#This Row],[Other]]&lt;&gt;"","Other","")</f>
        <v/>
      </c>
      <c r="AA343" s="32"/>
      <c r="AB343" s="41"/>
      <c r="AC343" s="33" t="str">
        <f>IF(Table1[[#This Row],[Auto Order]]=1,IF(Table1[[#This Row],[In stock]]&lt;Table1[[#This Row],[Min in stock]],1,""),"")</f>
        <v/>
      </c>
    </row>
    <row r="344" spans="1:29" x14ac:dyDescent="0.25">
      <c r="A344" s="70" t="s">
        <v>217</v>
      </c>
      <c r="B344" s="32" t="s">
        <v>218</v>
      </c>
      <c r="C344" s="32" t="s">
        <v>1649</v>
      </c>
      <c r="D344" s="32" t="s">
        <v>219</v>
      </c>
      <c r="E344" s="32" t="s">
        <v>500</v>
      </c>
      <c r="F344" s="43">
        <v>4</v>
      </c>
      <c r="G344" s="43">
        <v>2</v>
      </c>
      <c r="H344" s="43">
        <v>1</v>
      </c>
      <c r="I3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2" t="s">
        <v>216</v>
      </c>
      <c r="M344" s="39">
        <v>0.85</v>
      </c>
      <c r="N344" s="32"/>
      <c r="O344" s="39"/>
      <c r="P344" s="32"/>
      <c r="Q344" s="39"/>
      <c r="R344" s="32"/>
      <c r="S344" s="39"/>
      <c r="T344" s="32"/>
      <c r="U344" s="39"/>
      <c r="V344" s="32"/>
      <c r="W344" s="39"/>
      <c r="X344" s="32"/>
      <c r="Y344" s="39"/>
      <c r="Z344" s="39" t="str">
        <f>IF(Table1[[#This Row],[Other]]&lt;&gt;"","Other","")</f>
        <v/>
      </c>
      <c r="AA344" s="32"/>
      <c r="AB344" s="41"/>
      <c r="AC344" s="33" t="str">
        <f>IF(Table1[[#This Row],[Auto Order]]=1,IF(Table1[[#This Row],[In stock]]&lt;Table1[[#This Row],[Min in stock]],1,""),"")</f>
        <v/>
      </c>
    </row>
    <row r="345" spans="1:29" x14ac:dyDescent="0.25">
      <c r="A345" s="70" t="s">
        <v>213</v>
      </c>
      <c r="B345" s="32" t="s">
        <v>214</v>
      </c>
      <c r="C345" s="32" t="s">
        <v>1649</v>
      </c>
      <c r="D345" s="32" t="s">
        <v>215</v>
      </c>
      <c r="E345" s="32" t="s">
        <v>500</v>
      </c>
      <c r="F345" s="43">
        <v>2</v>
      </c>
      <c r="G345" s="43">
        <v>2</v>
      </c>
      <c r="H345" s="43">
        <v>1</v>
      </c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212</v>
      </c>
      <c r="M345" s="39">
        <v>1.39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33" t="str">
        <f>IF(Table1[[#This Row],[Auto Order]]=1,IF(Table1[[#This Row],[In stock]]&lt;Table1[[#This Row],[Min in stock]],1,""),"")</f>
        <v/>
      </c>
    </row>
    <row r="346" spans="1:29" x14ac:dyDescent="0.25">
      <c r="A346" s="67" t="s">
        <v>1241</v>
      </c>
      <c r="B346" s="32" t="s">
        <v>1242</v>
      </c>
      <c r="C346" s="32" t="s">
        <v>327</v>
      </c>
      <c r="D346" s="32" t="s">
        <v>1243</v>
      </c>
      <c r="E346" s="32" t="s">
        <v>500</v>
      </c>
      <c r="F346" s="43">
        <v>0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1244</v>
      </c>
      <c r="M346" s="39">
        <v>0.53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67" t="s">
        <v>1264</v>
      </c>
      <c r="B347" s="32" t="s">
        <v>1259</v>
      </c>
      <c r="C347" s="32" t="s">
        <v>327</v>
      </c>
      <c r="D347" s="32" t="s">
        <v>1262</v>
      </c>
      <c r="E347" s="32" t="s">
        <v>508</v>
      </c>
      <c r="F347" s="43">
        <v>0</v>
      </c>
      <c r="G347" s="43"/>
      <c r="H347" s="43"/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2" t="s">
        <v>1263</v>
      </c>
      <c r="M347" s="39">
        <v>56.67</v>
      </c>
      <c r="N347" s="32"/>
      <c r="O347" s="39"/>
      <c r="P347" s="32"/>
      <c r="Q347" s="39"/>
      <c r="R347" s="32"/>
      <c r="S347" s="39"/>
      <c r="T347" s="32"/>
      <c r="U347" s="39"/>
      <c r="V347" s="32"/>
      <c r="W347" s="39"/>
      <c r="X347" s="32"/>
      <c r="Y347" s="39"/>
      <c r="Z347" s="39" t="str">
        <f>IF(Table1[[#This Row],[Other]]&lt;&gt;"","Other","")</f>
        <v/>
      </c>
      <c r="AA347" s="32"/>
      <c r="AB347" s="41"/>
      <c r="AC347" s="45" t="str">
        <f>IF(Table1[[#This Row],[Auto Order]]=1,IF(Table1[[#This Row],[In stock]]&lt;Table1[[#This Row],[Min in stock]],1,""),"")</f>
        <v/>
      </c>
    </row>
    <row r="348" spans="1:29" x14ac:dyDescent="0.25">
      <c r="A348" s="70" t="s">
        <v>322</v>
      </c>
      <c r="B348" s="32" t="s">
        <v>323</v>
      </c>
      <c r="C348" s="32" t="s">
        <v>327</v>
      </c>
      <c r="D348" s="32" t="s">
        <v>324</v>
      </c>
      <c r="E348" s="32" t="s">
        <v>508</v>
      </c>
      <c r="F348" s="43">
        <v>1</v>
      </c>
      <c r="G348" s="43"/>
      <c r="H348" s="43"/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48" s="32"/>
      <c r="M348" s="39"/>
      <c r="N348" s="32"/>
      <c r="O348" s="39"/>
      <c r="P348" s="32"/>
      <c r="Q348" s="39"/>
      <c r="R348" s="32" t="s">
        <v>321</v>
      </c>
      <c r="S348" s="39">
        <v>399.95</v>
      </c>
      <c r="T348" s="32"/>
      <c r="U348" s="39"/>
      <c r="V348" s="32"/>
      <c r="W348" s="39"/>
      <c r="X348" s="32"/>
      <c r="Y348" s="39"/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304</v>
      </c>
      <c r="B349" s="32" t="s">
        <v>305</v>
      </c>
      <c r="C349" s="32" t="s">
        <v>327</v>
      </c>
      <c r="D349" s="32" t="s">
        <v>306</v>
      </c>
      <c r="E349" s="32" t="s">
        <v>508</v>
      </c>
      <c r="F349" s="43">
        <v>0</v>
      </c>
      <c r="G349" s="43"/>
      <c r="H349" s="43"/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49" s="32"/>
      <c r="M349" s="39"/>
      <c r="N349" s="32"/>
      <c r="O349" s="39"/>
      <c r="P349" s="32" t="s">
        <v>303</v>
      </c>
      <c r="Q349" s="39">
        <v>14.6</v>
      </c>
      <c r="R349" s="32"/>
      <c r="S349" s="39"/>
      <c r="T349" s="32"/>
      <c r="U349" s="39"/>
      <c r="V349" s="32"/>
      <c r="W349" s="39"/>
      <c r="X349" s="32"/>
      <c r="Y349" s="39"/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1" t="s">
        <v>1708</v>
      </c>
      <c r="B350" s="32" t="s">
        <v>1156</v>
      </c>
      <c r="C350" s="32" t="s">
        <v>327</v>
      </c>
      <c r="D350" s="32" t="s">
        <v>1707</v>
      </c>
      <c r="E350" s="32" t="s">
        <v>508</v>
      </c>
      <c r="F350" s="43">
        <v>0</v>
      </c>
      <c r="G350" s="43"/>
      <c r="H350" s="43"/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0" s="32"/>
      <c r="M350" s="39"/>
      <c r="N350" s="32"/>
      <c r="O350" s="39"/>
      <c r="P350" s="32"/>
      <c r="Q350" s="39"/>
      <c r="R350" s="32"/>
      <c r="S350" s="39"/>
      <c r="T350" s="32" t="s">
        <v>1706</v>
      </c>
      <c r="U350" s="39">
        <v>9.17</v>
      </c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45" t="str">
        <f>IF(Table1[[#This Row],[Auto Order]]=1,IF(Table1[[#This Row],[In stock]]&lt;Table1[[#This Row],[Min in stock]],1,""),"")</f>
        <v/>
      </c>
    </row>
    <row r="351" spans="1:29" x14ac:dyDescent="0.25">
      <c r="A351" s="70" t="s">
        <v>42</v>
      </c>
      <c r="B351" s="32" t="s">
        <v>41</v>
      </c>
      <c r="C351" s="32" t="s">
        <v>361</v>
      </c>
      <c r="D351" s="32" t="s">
        <v>40</v>
      </c>
      <c r="E351" s="32" t="s">
        <v>513</v>
      </c>
      <c r="F351" s="43">
        <v>14</v>
      </c>
      <c r="G351" s="43">
        <f>10</f>
        <v>10</v>
      </c>
      <c r="H351" s="43">
        <f>1</f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1" s="32" t="s">
        <v>429</v>
      </c>
      <c r="M351" s="39">
        <v>0.55000000000000004</v>
      </c>
      <c r="N351" s="32">
        <v>9845356</v>
      </c>
      <c r="O351" s="39">
        <v>0.42199999999999999</v>
      </c>
      <c r="P351" s="32"/>
      <c r="Q351" s="39"/>
      <c r="R351" s="32"/>
      <c r="S351" s="39"/>
      <c r="T351" s="32"/>
      <c r="U351" s="39"/>
      <c r="V351" s="32"/>
      <c r="W351" s="39"/>
      <c r="X351" s="32"/>
      <c r="Y351" s="39">
        <v>0.42199999999999999</v>
      </c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70" t="s">
        <v>39</v>
      </c>
      <c r="B352" s="32" t="s">
        <v>7</v>
      </c>
      <c r="C352" s="32" t="s">
        <v>359</v>
      </c>
      <c r="D352" s="32" t="s">
        <v>37</v>
      </c>
      <c r="E352" s="32" t="s">
        <v>513</v>
      </c>
      <c r="F352" s="43">
        <v>22</v>
      </c>
      <c r="G352" s="43">
        <v>10</v>
      </c>
      <c r="H352" s="43">
        <f>1</f>
        <v>1</v>
      </c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2" s="32" t="s">
        <v>432</v>
      </c>
      <c r="M352" s="39">
        <v>0.56999999999999995</v>
      </c>
      <c r="N352" s="32">
        <v>1779259</v>
      </c>
      <c r="O352" s="39">
        <v>0.27100000000000002</v>
      </c>
      <c r="P352" s="32"/>
      <c r="Q352" s="39"/>
      <c r="R352" s="32"/>
      <c r="S352" s="39"/>
      <c r="T352" s="32"/>
      <c r="U352" s="39"/>
      <c r="V352" s="32"/>
      <c r="W352" s="39"/>
      <c r="X352" s="32"/>
      <c r="Y352" s="39">
        <v>0.27100000000000002</v>
      </c>
      <c r="Z352" s="39" t="str">
        <f>IF(Table1[[#This Row],[Other]]&lt;&gt;"","Other","")</f>
        <v/>
      </c>
      <c r="AA352" s="32"/>
      <c r="AB352" s="41"/>
      <c r="AC352" s="33" t="str">
        <f>IF(Table1[[#This Row],[Auto Order]]=1,IF(Table1[[#This Row],[In stock]]&lt;Table1[[#This Row],[Min in stock]],1,""),"")</f>
        <v/>
      </c>
    </row>
    <row r="353" spans="1:29" x14ac:dyDescent="0.25">
      <c r="A353" s="67" t="s">
        <v>1112</v>
      </c>
      <c r="B353" s="32" t="s">
        <v>1113</v>
      </c>
      <c r="C353" s="32" t="s">
        <v>327</v>
      </c>
      <c r="D353" s="32" t="s">
        <v>1114</v>
      </c>
      <c r="E353" s="32" t="s">
        <v>513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1115</v>
      </c>
      <c r="M353" s="39">
        <v>0.53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35</v>
      </c>
      <c r="B354" s="32" t="s">
        <v>83</v>
      </c>
      <c r="C354" s="32" t="s">
        <v>1649</v>
      </c>
      <c r="D354" s="32" t="s">
        <v>34</v>
      </c>
      <c r="E354" s="32" t="s">
        <v>507</v>
      </c>
      <c r="F354" s="43">
        <v>2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4" s="32" t="s">
        <v>154</v>
      </c>
      <c r="M354" s="39">
        <v>2.08</v>
      </c>
      <c r="N354" s="32">
        <v>9352260</v>
      </c>
      <c r="O354" s="39">
        <v>2.76</v>
      </c>
      <c r="P354" s="32"/>
      <c r="Q354" s="39"/>
      <c r="R354" s="32"/>
      <c r="S354" s="39"/>
      <c r="T354" s="32"/>
      <c r="U354" s="39"/>
      <c r="V354" s="32"/>
      <c r="W354" s="39"/>
      <c r="X354" s="32"/>
      <c r="Y354" s="39">
        <v>2.76</v>
      </c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45</v>
      </c>
      <c r="B355" s="32" t="s">
        <v>44</v>
      </c>
      <c r="C355" s="32" t="s">
        <v>1649</v>
      </c>
      <c r="D355" s="32" t="s">
        <v>43</v>
      </c>
      <c r="E355" s="32" t="s">
        <v>507</v>
      </c>
      <c r="F355" s="43">
        <v>2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5" s="32" t="s">
        <v>433</v>
      </c>
      <c r="M355" s="39">
        <v>1.81</v>
      </c>
      <c r="N355" s="32">
        <v>1141380</v>
      </c>
      <c r="O355" s="39">
        <v>1.62</v>
      </c>
      <c r="P355" s="32"/>
      <c r="Q355" s="39"/>
      <c r="R355" s="32"/>
      <c r="S355" s="39"/>
      <c r="T355" s="32"/>
      <c r="U355" s="39"/>
      <c r="V355" s="32"/>
      <c r="W355" s="39"/>
      <c r="X355" s="32"/>
      <c r="Y355" s="39">
        <v>1.62</v>
      </c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0" t="s">
        <v>442</v>
      </c>
      <c r="B356" s="32" t="s">
        <v>1143</v>
      </c>
      <c r="C356" s="32" t="s">
        <v>327</v>
      </c>
      <c r="D356" s="32" t="s">
        <v>247</v>
      </c>
      <c r="E356" s="32" t="s">
        <v>504</v>
      </c>
      <c r="F356" s="43">
        <v>3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2" t="s">
        <v>246</v>
      </c>
      <c r="M356" s="39">
        <v>0.48</v>
      </c>
      <c r="N356" s="32"/>
      <c r="O356" s="39"/>
      <c r="P356" s="32"/>
      <c r="Q356" s="39"/>
      <c r="R356" s="32"/>
      <c r="S356" s="39"/>
      <c r="T356" s="32"/>
      <c r="U356" s="39"/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33" t="str">
        <f>IF(Table1[[#This Row],[Auto Order]]=1,IF(Table1[[#This Row],[In stock]]&lt;Table1[[#This Row],[Min in stock]],1,""),"")</f>
        <v/>
      </c>
    </row>
    <row r="357" spans="1:29" x14ac:dyDescent="0.25">
      <c r="A357" s="71" t="s">
        <v>1192</v>
      </c>
      <c r="B357" s="32" t="s">
        <v>1193</v>
      </c>
      <c r="C357" s="32" t="s">
        <v>327</v>
      </c>
      <c r="D357" s="32" t="s">
        <v>1194</v>
      </c>
      <c r="E357" s="32" t="s">
        <v>1195</v>
      </c>
      <c r="F357" s="43">
        <v>1</v>
      </c>
      <c r="G357" s="43"/>
      <c r="H357" s="43"/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2" t="s">
        <v>1196</v>
      </c>
      <c r="M357" s="39">
        <v>18.96</v>
      </c>
      <c r="N357" s="32"/>
      <c r="O357" s="39"/>
      <c r="P357" s="32"/>
      <c r="Q357" s="39"/>
      <c r="R357" s="32"/>
      <c r="S357" s="39"/>
      <c r="T357" s="32"/>
      <c r="U357" s="39"/>
      <c r="V357" s="32"/>
      <c r="W357" s="39"/>
      <c r="X357" s="32"/>
      <c r="Y357" s="39"/>
      <c r="Z357" s="39" t="str">
        <f>IF(Table1[[#This Row],[Other]]&lt;&gt;"","Other","")</f>
        <v/>
      </c>
      <c r="AA357" s="32"/>
      <c r="AB357" s="41"/>
      <c r="AC357" s="45" t="str">
        <f>IF(Table1[[#This Row],[Auto Order]]=1,IF(Table1[[#This Row],[In stock]]&lt;Table1[[#This Row],[Min in stock]],1,""),"")</f>
        <v/>
      </c>
    </row>
    <row r="358" spans="1:29" x14ac:dyDescent="0.25">
      <c r="A358" s="71" t="s">
        <v>2187</v>
      </c>
      <c r="B358" s="32" t="s">
        <v>2188</v>
      </c>
      <c r="C358" s="32" t="s">
        <v>327</v>
      </c>
      <c r="D358" s="32" t="s">
        <v>2189</v>
      </c>
      <c r="E358" s="32" t="s">
        <v>2190</v>
      </c>
      <c r="F358" s="43">
        <v>0</v>
      </c>
      <c r="G358" s="43"/>
      <c r="H358" s="43"/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2" t="s">
        <v>2191</v>
      </c>
      <c r="M358" s="39">
        <v>16.78</v>
      </c>
      <c r="N358" s="32"/>
      <c r="O358" s="39"/>
      <c r="P358" s="32"/>
      <c r="Q358" s="39"/>
      <c r="R358" s="32"/>
      <c r="S358" s="39"/>
      <c r="T358" s="32"/>
      <c r="U358" s="39"/>
      <c r="V358" s="32"/>
      <c r="W358" s="39"/>
      <c r="X358" s="32"/>
      <c r="Y358" s="39"/>
      <c r="Z358" s="39" t="str">
        <f>IF(Table1[[#This Row],[Other]]&lt;&gt;"","Other","")</f>
        <v/>
      </c>
      <c r="AA358" s="32"/>
      <c r="AB358" s="41"/>
      <c r="AC358" s="45" t="str">
        <f>IF(Table1[[#This Row],[Auto Order]]=1,IF(Table1[[#This Row],[In stock]]&lt;Table1[[#This Row],[Min in stock]],1,""),"")</f>
        <v/>
      </c>
    </row>
    <row r="359" spans="1:29" x14ac:dyDescent="0.25">
      <c r="A359" s="71" t="s">
        <v>2192</v>
      </c>
      <c r="B359" s="32" t="s">
        <v>2188</v>
      </c>
      <c r="C359" s="32" t="s">
        <v>327</v>
      </c>
      <c r="D359" s="32" t="s">
        <v>2193</v>
      </c>
      <c r="E359" s="32" t="s">
        <v>2190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2194</v>
      </c>
      <c r="M359" s="39">
        <v>17.77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12" priority="67" operator="equal">
      <formula>1</formula>
    </cfRule>
  </conditionalFormatting>
  <conditionalFormatting sqref="A1:A1048576">
    <cfRule type="duplicateValues" dxfId="311" priority="7"/>
  </conditionalFormatting>
  <conditionalFormatting sqref="F1">
    <cfRule type="cellIs" dxfId="310" priority="10" stopIfTrue="1" operator="equal">
      <formula>"In stock"</formula>
    </cfRule>
  </conditionalFormatting>
  <conditionalFormatting sqref="E1:E1048576">
    <cfRule type="containsText" dxfId="309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308" priority="27" operator="lessThan">
      <formula>$G1</formula>
    </cfRule>
  </conditionalFormatting>
  <conditionalFormatting sqref="F1:G1048576">
    <cfRule type="cellIs" dxfId="307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16" sqref="A16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NO</v>
      </c>
    </row>
    <row r="13" spans="1:14" x14ac:dyDescent="0.25">
      <c r="A13" s="71" t="s">
        <v>1441</v>
      </c>
      <c r="B13" s="4" t="e">
        <f>VLOOKUP(Table1411314[[#This Row],[Man. Number]],Articles!A:F,COLUMN(Articles!$D$1)-COLUMN(Articles!$A$1)+1,FALSE)</f>
        <v>#N/A</v>
      </c>
      <c r="C13" s="4" t="e">
        <f>VLOOKUP(Table1411314[[#This Row],[Man. Number]],Articles!A:F,COLUMN(Articles!$C$1)-COLUMN(Articles!$A$1)+1,FALSE)</f>
        <v>#N/A</v>
      </c>
      <c r="D13" s="4" t="s">
        <v>294</v>
      </c>
      <c r="E13" s="38">
        <v>1</v>
      </c>
      <c r="F13" s="4" t="e">
        <f>VLOOKUP(Table1411314[[#This Row],[Man. Number]],Articles!A:F,COLUMN(Articles!$F$1)-COLUMN(Articles!$A$1)+1,FALSE)</f>
        <v>#N/A</v>
      </c>
      <c r="G13" s="4" t="e">
        <f>IF(Table1411314[[#This Row],[In stock]] &gt;= Table1411314[[#This Row],[Quantity]],"YES","NO")</f>
        <v>#N/A</v>
      </c>
      <c r="H13" s="4" t="e">
        <f>VLOOKUP(Table1411314[[#This Row],[Man. Number]],Articles!A:J,COLUMN(Articles!$J$1)-COLUMN(Articles!$A$1)+1,FALSE)*Table1411314[[#This Row],[Quantity]]</f>
        <v>#N/A</v>
      </c>
      <c r="I13" s="4">
        <f>Table1411314[[#This Row],[Quantity]]*$M$1</f>
        <v>2</v>
      </c>
      <c r="J13" s="4" t="e">
        <f>IF(Table1411314[[#This Row],[In stock]] &gt;= Table1411314[[#This Row],[Total quantity]],"YES","NO")</f>
        <v>#N/A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e">
        <f>VLOOKUP(Table1411314[[#This Row],[Man. Number]],Articles!A:F,COLUMN(Articles!$D$1)-COLUMN(Articles!$A$1)+1,FALSE)</f>
        <v>#N/A</v>
      </c>
      <c r="C16" s="4" t="e">
        <f>VLOOKUP(Table1411314[[#This Row],[Man. Number]],Articles!A:F,COLUMN(Articles!$C$1)-COLUMN(Articles!$A$1)+1,FALSE)</f>
        <v>#N/A</v>
      </c>
      <c r="D16" s="4" t="s">
        <v>1635</v>
      </c>
      <c r="E16" s="38">
        <v>2</v>
      </c>
      <c r="F16" s="4" t="e">
        <f>VLOOKUP(Table1411314[[#This Row],[Man. Number]],Articles!A:F,COLUMN(Articles!$F$1)-COLUMN(Articles!$A$1)+1,FALSE)</f>
        <v>#N/A</v>
      </c>
      <c r="G16" s="4" t="e">
        <f>IF(Table1411314[[#This Row],[In stock]] &gt;= Table1411314[[#This Row],[Quantity]],"YES","NO")</f>
        <v>#N/A</v>
      </c>
      <c r="H16" s="4" t="e">
        <f>VLOOKUP(Table1411314[[#This Row],[Man. Number]],Articles!A:J,COLUMN(Articles!$J$1)-COLUMN(Articles!$A$1)+1,FALSE)*Table1411314[[#This Row],[Quantity]]</f>
        <v>#N/A</v>
      </c>
      <c r="I16" s="4">
        <f>Table1411314[[#This Row],[Quantity]]*$M$1</f>
        <v>4</v>
      </c>
      <c r="J16" s="4" t="e">
        <f>IF(Table1411314[[#This Row],[In stock]] &gt;= Table1411314[[#This Row],[Total quantity]],"YES","NO")</f>
        <v>#N/A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e">
        <f>VLOOKUP(Table1411314[[#This Row],[Man. Number]],Articles!A:F,COLUMN(Articles!$D$1)-COLUMN(Articles!$A$1)+1,FALSE)</f>
        <v>#N/A</v>
      </c>
      <c r="C20" s="4" t="e">
        <f>VLOOKUP(Table1411314[[#This Row],[Man. Number]],Articles!A:F,COLUMN(Articles!$C$1)-COLUMN(Articles!$A$1)+1,FALSE)</f>
        <v>#N/A</v>
      </c>
      <c r="D20" s="4" t="s">
        <v>1450</v>
      </c>
      <c r="E20" s="38">
        <v>1</v>
      </c>
      <c r="F20" s="4" t="e">
        <f>VLOOKUP(Table1411314[[#This Row],[Man. Number]],Articles!A:F,COLUMN(Articles!$F$1)-COLUMN(Articles!$A$1)+1,FALSE)</f>
        <v>#N/A</v>
      </c>
      <c r="G20" s="4" t="e">
        <f>IF(Table1411314[[#This Row],[In stock]] &gt;= Table1411314[[#This Row],[Quantity]],"YES","NO")</f>
        <v>#N/A</v>
      </c>
      <c r="H20" s="4" t="e">
        <f>VLOOKUP(Table1411314[[#This Row],[Man. Number]],Articles!A:J,COLUMN(Articles!$J$1)-COLUMN(Articles!$A$1)+1,FALSE)*Table1411314[[#This Row],[Quantity]]</f>
        <v>#N/A</v>
      </c>
      <c r="I20" s="4">
        <f>Table1411314[[#This Row],[Quantity]]*$M$1</f>
        <v>2</v>
      </c>
      <c r="J20" s="4" t="e">
        <f>IF(Table1411314[[#This Row],[In stock]] &gt;= Table1411314[[#This Row],[Total quantity]],"YES","NO")</f>
        <v>#N/A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e">
        <f>VLOOKUP(Table1411314[[#This Row],[Man. Number]],Articles!A:F,COLUMN(Articles!$D$1)-COLUMN(Articles!$A$1)+1,FALSE)</f>
        <v>#N/A</v>
      </c>
      <c r="C23" s="4" t="e">
        <f>VLOOKUP(Table1411314[[#This Row],[Man. Number]],Articles!A:F,COLUMN(Articles!$C$1)-COLUMN(Articles!$A$1)+1,FALSE)</f>
        <v>#N/A</v>
      </c>
      <c r="D23" s="4" t="s">
        <v>1634</v>
      </c>
      <c r="E23" s="38">
        <v>2</v>
      </c>
      <c r="F23" s="4" t="e">
        <f>VLOOKUP(Table1411314[[#This Row],[Man. Number]],Articles!A:F,COLUMN(Articles!$F$1)-COLUMN(Articles!$A$1)+1,FALSE)</f>
        <v>#N/A</v>
      </c>
      <c r="G23" s="4" t="e">
        <f>IF(Table1411314[[#This Row],[In stock]] &gt;= Table1411314[[#This Row],[Quantity]],"YES","NO")</f>
        <v>#N/A</v>
      </c>
      <c r="H23" s="4" t="e">
        <f>VLOOKUP(Table1411314[[#This Row],[Man. Number]],Articles!A:J,COLUMN(Articles!$J$1)-COLUMN(Articles!$A$1)+1,FALSE)*Table1411314[[#This Row],[Quantity]]</f>
        <v>#N/A</v>
      </c>
      <c r="I23" s="4">
        <f>Table1411314[[#This Row],[Quantity]]*$M$1</f>
        <v>4</v>
      </c>
      <c r="J23" s="4" t="e">
        <f>IF(Table1411314[[#This Row],[In stock]] &gt;= Table1411314[[#This Row],[Total quantity]],"YES","NO")</f>
        <v>#N/A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0</v>
      </c>
      <c r="G33" s="4" t="str">
        <f>IF(Table1411314[[#This Row],[In stock]] &gt;= Table1411314[[#This Row],[Quantity]],"YES","NO")</f>
        <v>NO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NO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 t="e">
        <f>SUBTOTAL(109,Table1411314[Unit Price])</f>
        <v>#N/A</v>
      </c>
      <c r="I37" s="4"/>
      <c r="J37" s="4"/>
    </row>
  </sheetData>
  <conditionalFormatting sqref="A37:A1048576 A1:A12 A14:A18 A20:A32">
    <cfRule type="duplicateValues" dxfId="247" priority="11"/>
  </conditionalFormatting>
  <conditionalFormatting sqref="J1:J1048576 G1:G1048576">
    <cfRule type="containsText" dxfId="246" priority="12" operator="containsText" text="NO">
      <formula>NOT(ISERROR(SEARCH("NO",G1)))</formula>
    </cfRule>
  </conditionalFormatting>
  <conditionalFormatting sqref="N1">
    <cfRule type="cellIs" dxfId="245" priority="6" stopIfTrue="1" operator="equal">
      <formula>"Locked"</formula>
    </cfRule>
    <cfRule type="cellIs" dxfId="244" priority="7" stopIfTrue="1" operator="equal">
      <formula>"Unlocked"</formula>
    </cfRule>
  </conditionalFormatting>
  <conditionalFormatting sqref="A13">
    <cfRule type="duplicateValues" dxfId="243" priority="5"/>
  </conditionalFormatting>
  <conditionalFormatting sqref="A19">
    <cfRule type="duplicateValues" dxfId="24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294</v>
      </c>
      <c r="E13" s="38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8" priority="5"/>
  </conditionalFormatting>
  <conditionalFormatting sqref="G1:H1048576 J1:J1048576">
    <cfRule type="containsText" dxfId="217" priority="6" operator="containsText" text="NO">
      <formula>NOT(ISERROR(SEARCH("NO",G1)))</formula>
    </cfRule>
  </conditionalFormatting>
  <conditionalFormatting sqref="N1">
    <cfRule type="cellIs" dxfId="216" priority="3" stopIfTrue="1" operator="equal">
      <formula>"Locked"</formula>
    </cfRule>
    <cfRule type="cellIs" dxfId="215" priority="4" stopIfTrue="1" operator="equal">
      <formula>"Unlocked"</formula>
    </cfRule>
  </conditionalFormatting>
  <conditionalFormatting sqref="A13">
    <cfRule type="duplicateValues" dxfId="21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1.3049999999999999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90" priority="5"/>
  </conditionalFormatting>
  <conditionalFormatting sqref="G1:H1048576 J1:J1048576">
    <cfRule type="containsText" dxfId="189" priority="6" operator="containsText" text="NO">
      <formula>NOT(ISERROR(SEARCH("NO",G1)))</formula>
    </cfRule>
  </conditionalFormatting>
  <conditionalFormatting sqref="N1">
    <cfRule type="cellIs" dxfId="188" priority="1" stopIfTrue="1" operator="equal">
      <formula>"Locked"</formula>
    </cfRule>
    <cfRule type="cellIs" dxfId="18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1.3049999999999999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3" priority="3"/>
  </conditionalFormatting>
  <conditionalFormatting sqref="G1:H1048576 J1:J1048576">
    <cfRule type="containsText" dxfId="162" priority="4" operator="containsText" text="NO">
      <formula>NOT(ISERROR(SEARCH("NO",G1)))</formula>
    </cfRule>
  </conditionalFormatting>
  <conditionalFormatting sqref="N1">
    <cfRule type="cellIs" dxfId="161" priority="1" stopIfTrue="1" operator="equal">
      <formula>"Locked"</formula>
    </cfRule>
    <cfRule type="cellIs" dxfId="16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36" priority="5" operator="containsText" text="NO">
      <formula>NOT(ISERROR(SEARCH("NO",G1)))</formula>
    </cfRule>
  </conditionalFormatting>
  <conditionalFormatting sqref="A1:A1048576">
    <cfRule type="duplicateValues" dxfId="135" priority="3"/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17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3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NO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1.3049999999999999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09" priority="4" operator="containsText" text="NO">
      <formula>NOT(ISERROR(SEARCH("NO",G1)))</formula>
    </cfRule>
  </conditionalFormatting>
  <conditionalFormatting sqref="A1:A1048576">
    <cfRule type="duplicateValues" dxfId="108" priority="3"/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17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3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82" priority="7" operator="containsText" text="NO">
      <formula>NOT(ISERROR(SEARCH("NO",G1)))</formula>
    </cfRule>
  </conditionalFormatting>
  <conditionalFormatting sqref="A1:A1048576">
    <cfRule type="duplicateValues" dxfId="81" priority="5"/>
  </conditionalFormatting>
  <conditionalFormatting sqref="N1">
    <cfRule type="cellIs" dxfId="80" priority="2" stopIfTrue="1" operator="equal">
      <formula>"Locked"</formula>
    </cfRule>
    <cfRule type="cellIs" dxfId="7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1.3049999999999999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1.3611111111111112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2019-08-23T08:47:36Z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