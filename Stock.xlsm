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7FB6E62F-C1DC-4BA1-9C21-19D4679B5987}" xr6:coauthVersionLast="43" xr6:coauthVersionMax="43" xr10:uidLastSave="{00000000-0000-0000-0000-000000000000}"/>
  <bookViews>
    <workbookView xWindow="-120" yWindow="-120" windowWidth="24240" windowHeight="13140" firstSheet="1" activeTab="4" xr2:uid="{CF2B30E1-39B2-4837-AEAE-671E5370CDE2}"/>
  </bookViews>
  <sheets>
    <sheet name="StockHistory" sheetId="6" r:id="rId1"/>
    <sheet name="Main" sheetId="4" r:id="rId2"/>
    <sheet name="Articles" sheetId="1" r:id="rId3"/>
    <sheet name="Articles_commandes" sheetId="5" state="hidden" r:id="rId4"/>
    <sheet name="Commands" sheetId="15" r:id="rId5"/>
    <sheet name="LampeSolaire_v4" sheetId="3" r:id="rId6"/>
    <sheet name="TempoMetter_v1" sheetId="8" r:id="rId7"/>
    <sheet name="ProductTemplate" sheetId="14" r:id="rId8"/>
    <sheet name="ProductConfig" sheetId="9" r:id="rId9"/>
    <sheet name="OrderAdder" sheetId="11" r:id="rId10"/>
    <sheet name="OrderAdder_work" sheetId="13" r:id="rId11"/>
  </sheets>
  <functionGroups builtInGroupCount="19"/>
  <definedNames>
    <definedName name="_xlnm._FilterDatabase" localSheetId="2" hidden="1">Articles!$A$1:$H$100</definedName>
    <definedName name="_xlnm._FilterDatabase" localSheetId="3" hidden="1">Articles_commandes!$A$1:$F$64</definedName>
    <definedName name="_xlnm._FilterDatabase" localSheetId="4" hidden="1">Commands!$A$1:$J$13</definedName>
    <definedName name="_xlnm._FilterDatabase" localSheetId="5" hidden="1">LampeSolaire_v4!$A$1:$E$40</definedName>
    <definedName name="_xlnm._FilterDatabase" localSheetId="7" hidden="1">ProductTemplate!$A$1:$E$2</definedName>
    <definedName name="_xlnm._FilterDatabase" localSheetId="6" hidden="1">TempoMetter_v1!$A$1:$E$15</definedName>
    <definedName name="zzzzzzzzzzz" localSheetId="7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1" l="1"/>
  <c r="E2" i="14" l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" i="4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  <c r="B1" i="4"/>
</calcChain>
</file>

<file path=xl/sharedStrings.xml><?xml version="1.0" encoding="utf-8"?>
<sst xmlns="http://schemas.openxmlformats.org/spreadsheetml/2006/main" count="1467" uniqueCount="474">
  <si>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</si>
  <si>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</si>
  <si>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</si>
  <si>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</si>
  <si>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</si>
  <si>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</si>
  <si>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</si>
  <si>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</si>
  <si>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</si>
  <si>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</si>
  <si>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</si>
  <si>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</si>
  <si>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</si>
  <si>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</si>
  <si>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</si>
  <si>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</si>
  <si>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</si>
  <si>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</si>
  <si>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</si>
  <si>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</si>
  <si>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</si>
  <si>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</si>
  <si>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</si>
  <si>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</si>
  <si>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</si>
  <si>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</si>
  <si>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</si>
  <si>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</si>
  <si>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</si>
  <si>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</si>
  <si>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</si>
  <si>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</si>
  <si>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</si>
  <si>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</si>
  <si>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</si>
  <si>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</si>
  <si>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</si>
  <si>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</si>
  <si>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</si>
  <si>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</si>
  <si>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</si>
  <si>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</si>
  <si>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</si>
  <si>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</si>
  <si>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</si>
  <si>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</si>
  <si>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</si>
  <si>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</si>
  <si>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</si>
  <si>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</si>
  <si>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</si>
  <si>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</si>
  <si>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</si>
  <si>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</si>
  <si>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</si>
  <si>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</si>
  <si>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</si>
  <si>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</si>
  <si>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</si>
  <si>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</si>
  <si>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</si>
  <si>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</si>
  <si>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</si>
  <si>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</si>
  <si>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</si>
  <si>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</si>
  <si>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</si>
  <si>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</si>
  <si>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</si>
  <si>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</si>
  <si>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</si>
  <si>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</si>
  <si>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</si>
  <si>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</si>
  <si>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</si>
  <si>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</si>
  <si>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</si>
  <si>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</si>
  <si>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</si>
  <si>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</si>
  <si>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</si>
  <si>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</si>
  <si>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</si>
  <si>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</si>
  <si>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</si>
  <si>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</si>
  <si>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</si>
  <si>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</si>
  <si>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</si>
  <si>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</si>
  <si>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</si>
  <si>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</si>
  <si>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</si>
  <si>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</si>
  <si>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</si>
  <si>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</si>
  <si>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</si>
  <si>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</si>
  <si>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</si>
  <si>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</si>
  <si>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</si>
  <si>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</si>
  <si>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</si>
  <si>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</si>
  <si>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</si>
  <si>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</si>
  <si>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</si>
  <si>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</si>
  <si>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</si>
  <si>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</si>
  <si>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</si>
  <si>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</si>
  <si>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</si>
  <si>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</si>
  <si>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</si>
  <si>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</si>
  <si>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</si>
  <si>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</si>
  <si>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</si>
  <si>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</si>
  <si>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</si>
  <si>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</si>
  <si>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</si>
  <si>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</si>
  <si>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</si>
  <si>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</si>
  <si>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</si>
  <si>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</si>
  <si>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</si>
  <si>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</si>
  <si>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</si>
  <si>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</si>
  <si>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</si>
  <si>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</si>
  <si>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</si>
  <si>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</si>
  <si>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</si>
  <si>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</si>
  <si>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</si>
  <si>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</si>
  <si>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</si>
  <si>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</si>
  <si>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</si>
  <si>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</si>
  <si>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</si>
  <si>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</si>
  <si>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</si>
  <si>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</si>
  <si>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</si>
  <si>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</si>
  <si>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</si>
  <si>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</si>
  <si>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</si>
  <si>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</si>
  <si>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</si>
  <si>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</si>
  <si>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</si>
  <si>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</si>
  <si>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</si>
  <si>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</si>
  <si>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</si>
  <si>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</si>
  <si>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</si>
  <si>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</si>
  <si>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</si>
  <si>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</si>
  <si>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</si>
  <si>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</si>
  <si>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</si>
  <si>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</si>
  <si>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Check of dupliate in Articles</t>
  </si>
  <si>
    <t>Date</t>
  </si>
  <si>
    <t>Article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</si>
  <si>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</si>
  <si>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</si>
  <si>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</si>
  <si>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</si>
  <si>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</si>
  <si>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</si>
  <si>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</si>
  <si>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</si>
  <si>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</si>
  <si>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</si>
  <si>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</si>
  <si>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</si>
  <si>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</si>
  <si>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</si>
  <si>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</si>
  <si>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</si>
  <si>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</si>
  <si>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</si>
  <si>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</si>
  <si>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</si>
  <si>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</si>
  <si>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</si>
  <si>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</si>
  <si>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</si>
  <si>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</si>
  <si>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</si>
  <si>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</si>
  <si>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</si>
  <si>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</si>
  <si>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</si>
  <si>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</si>
  <si>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</si>
  <si>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</si>
  <si>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</si>
  <si>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</si>
  <si>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</si>
  <si>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</si>
  <si>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</si>
  <si>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WARNING, DO NOT MODIFY THIS SHEET WITHOUT KNOWING WHAT YOU ARE DOING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</si>
  <si>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</si>
  <si>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</si>
  <si>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</si>
  <si>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</si>
  <si>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</si>
  <si>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</si>
  <si>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</si>
  <si>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</si>
  <si>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</si>
  <si>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</si>
  <si>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</si>
  <si>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</si>
  <si>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</si>
  <si>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</si>
  <si>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</si>
  <si>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</si>
  <si>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</si>
  <si>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</si>
  <si>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</si>
  <si>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</si>
  <si>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</si>
  <si>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</si>
  <si>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</si>
  <si>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</si>
  <si>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</si>
  <si>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</si>
  <si>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</si>
  <si>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</si>
  <si>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</si>
  <si>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</si>
  <si>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</si>
  <si>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</si>
  <si>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</si>
  <si>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</si>
  <si>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</si>
  <si>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</si>
  <si>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</si>
  <si>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</si>
  <si>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</si>
  <si>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</si>
  <si>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</si>
  <si>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</si>
  <si>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</si>
  <si>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</si>
  <si>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</si>
  <si>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ESN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</si>
  <si>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</si>
  <si>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</si>
  <si>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</si>
  <si>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</si>
  <si>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</si>
  <si>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</si>
  <si>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</si>
  <si>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</si>
  <si>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EP1WS22RJ</t>
  </si>
  <si>
    <t>RES 22 OHM 1W 5% AXIAL</t>
  </si>
  <si>
    <t>495-5633-1-ND</t>
  </si>
  <si>
    <t>B82145A1474J000</t>
  </si>
  <si>
    <t>FIXED IND 470UH 510MA 1.9 OHM TH</t>
  </si>
  <si>
    <t>495-5623-1-ND</t>
  </si>
  <si>
    <t>B82144A2474J000</t>
  </si>
  <si>
    <t>FIXED IND 470UH 280MA 2.5 OHM TH</t>
  </si>
  <si>
    <t>732-8886-1-ND</t>
  </si>
  <si>
    <t>CAP ALUM 4.7UF 20% 400V RADIAL</t>
  </si>
  <si>
    <t>495-1433-ND</t>
  </si>
  <si>
    <t>B72210S2271K101</t>
  </si>
  <si>
    <t>VARISTOR 430V 3.5KA DISC 10MM</t>
  </si>
  <si>
    <t>173-36-289</t>
  </si>
  <si>
    <t>LNK304PN</t>
  </si>
  <si>
    <t>Power Integrations</t>
  </si>
  <si>
    <t>Distrelec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</si>
  <si>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</si>
  <si>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</si>
  <si>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</si>
  <si>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</si>
  <si>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</si>
  <si>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</si>
  <si>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</si>
  <si>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</si>
  <si>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</si>
  <si>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</si>
  <si>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</si>
  <si>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</si>
  <si>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</si>
  <si>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</si>
  <si>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MFU0805FF00630P100</t>
  </si>
  <si>
    <t>Vishay Beyschlag</t>
  </si>
  <si>
    <t>FUSE BOARD MNT 630MA 32VDC 0805</t>
  </si>
  <si>
    <t>MFU1206FF00630P100</t>
  </si>
  <si>
    <t>FUSE BOARD MNT 630MA 63VDC 1206</t>
  </si>
  <si>
    <t>Référence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</si>
  <si>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</si>
  <si>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</si>
  <si>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</si>
  <si>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</si>
  <si>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</si>
  <si>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</si>
  <si>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</si>
  <si>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</si>
  <si>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</si>
  <si>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</si>
  <si>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</si>
  <si>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</si>
  <si>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</si>
  <si>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</si>
  <si>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</si>
  <si>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</si>
  <si>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</si>
  <si>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</si>
  <si>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</si>
  <si>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</si>
  <si>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</si>
  <si>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</si>
  <si>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</si>
  <si>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</si>
  <si>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</si>
  <si>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</si>
  <si>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</si>
  <si>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</si>
  <si>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</si>
  <si>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</si>
  <si>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</si>
  <si>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</si>
  <si>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</si>
  <si>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</si>
  <si>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</si>
  <si>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</si>
  <si>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</si>
  <si>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</si>
  <si>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</si>
  <si>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</si>
  <si>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</si>
  <si>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</si>
  <si>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</si>
  <si>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</si>
  <si>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</si>
  <si>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</si>
  <si>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</si>
  <si>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</si>
  <si>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</si>
  <si>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</si>
  <si>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</si>
  <si>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</si>
  <si>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</si>
  <si>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Conrad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</si>
  <si>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</si>
  <si>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</si>
  <si>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</si>
  <si>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</si>
  <si>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</si>
  <si>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</si>
  <si>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</si>
  <si>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</si>
  <si>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</si>
  <si>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</si>
  <si>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</si>
  <si>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</si>
  <si>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</si>
  <si>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</si>
  <si>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</si>
  <si>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</si>
  <si>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</si>
  <si>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Aliexpress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</si>
  <si>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</si>
  <si>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</si>
  <si>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</si>
  <si>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</si>
  <si>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</si>
  <si>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</si>
  <si>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</si>
  <si>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</si>
  <si>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</si>
  <si>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 xml:space="preserve">Emplacements </t>
  </si>
  <si>
    <t>Désignation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</si>
  <si>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</si>
  <si>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</si>
  <si>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</si>
  <si>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</si>
  <si>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</si>
  <si>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</si>
  <si>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</si>
  <si>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Composants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</si>
  <si>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</si>
  <si>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</si>
  <si>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</si>
  <si>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</si>
  <si>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</si>
  <si>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</si>
  <si>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</si>
  <si>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</si>
  <si>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</si>
  <si>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</si>
  <si>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</si>
  <si>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</si>
  <si>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</si>
  <si>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</si>
  <si>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</si>
  <si>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</si>
  <si>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</si>
  <si>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</si>
  <si>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</si>
  <si>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</si>
  <si>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</si>
  <si>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</si>
  <si>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</si>
  <si>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</si>
  <si>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</si>
  <si>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</si>
  <si>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</si>
  <si>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</si>
  <si>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</si>
  <si>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</si>
  <si>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</si>
  <si>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</si>
  <si>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</si>
  <si>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</si>
  <si>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</si>
  <si>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</si>
  <si>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</si>
  <si>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</si>
  <si>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</si>
  <si>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</si>
  <si>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</si>
  <si>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</si>
  <si>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</si>
  <si>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</si>
  <si>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</si>
  <si>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32845729569A</t>
  </si>
  <si>
    <t>32845729569B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</si>
  <si>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</si>
  <si>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</si>
  <si>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</si>
  <si>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</si>
  <si>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</si>
  <si>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</si>
  <si>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</si>
  <si>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</si>
  <si>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</si>
  <si>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</si>
  <si>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</si>
  <si>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</si>
  <si>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</si>
  <si>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</si>
  <si>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</si>
  <si>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</si>
  <si>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</si>
  <si>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</si>
  <si>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</si>
  <si>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</si>
  <si>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</si>
  <si>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</si>
  <si>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</si>
  <si>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</si>
  <si>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</si>
  <si>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</si>
  <si>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</si>
  <si>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</si>
  <si>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</si>
  <si>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</si>
  <si>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</si>
  <si>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</si>
  <si>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AutoCommand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</si>
</sst>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4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164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0" xfId="0" applyFill="1"/>
    <xf numFmtId="0" fontId="0" fillId="7" borderId="1" xfId="0" applyFill="1" applyBorder="1" applyAlignment="1">
      <alignment horizontal="left"/>
    </xf>
    <xf numFmtId="2" fontId="0" fillId="7" borderId="1" xfId="0" applyNumberFormat="1" applyFill="1" applyBorder="1" applyAlignment="1">
      <alignment horizontal="left"/>
    </xf>
    <xf numFmtId="0" fontId="0" fillId="6" borderId="0" xfId="0" applyFill="1" applyAlignment="1">
      <alignment horizontal="left"/>
    </xf>
    <xf numFmtId="0" fontId="0" fillId="0" borderId="0" xfId="0" applyAlignment="1">
      <alignment horizontal="center" vertical="top" wrapText="1"/>
    </xf>
    <xf numFmtId="0" fontId="2" fillId="0" borderId="0" xfId="0" applyFont="1" applyAlignment="1">
      <alignment horizontal="left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100">
    <dxf>
      <fill>
        <patternFill>
          <bgColor rgb="FFFF000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 patternType="solid">
          <fgColor indexed="64"/>
          <bgColor theme="6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6" tint="0.7999816888943144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99"/>
      <tableStyleElement type="headerRow" dxfId="98"/>
    </tableStyle>
  </tableStyles>
  <colors>
    <mruColors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52" totalsRowShown="0" headerRowDxfId="91">
  <autoFilter ref="A1:F152" xr:uid="{BDAE12D6-129D-4B55-B01B-D1493E590308}"/>
  <tableColumns count="6">
    <tableColumn id="1" xr3:uid="{F20AB9A4-F1CA-4493-AFCA-1ECFD6C72926}" name="Date" dataDxfId="90"/>
    <tableColumn id="2" xr3:uid="{9E5C5770-C960-45BB-8115-75DB62A3B16C}" name="Article" dataDxfId="89"/>
    <tableColumn id="5" xr3:uid="{16BFD56B-B56A-4848-9201-68C2F28CFA64}" name="Modification" dataDxfId="88"/>
    <tableColumn id="3" xr3:uid="{10BA92E7-A8AC-46B9-9939-48EDBF630513}" name="Stock Before" dataDxfId="87"/>
    <tableColumn id="4" xr3:uid="{89A58CF5-EDCB-4EF1-963E-E9EB1A0CCFEF}" name="Stock After" dataDxfId="86"/>
    <tableColumn id="6" xr3:uid="{FF179CF1-10A5-4445-94E5-D3770F8EB2DA}" name="INFO" dataDxfId="8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2C1B13-3F9E-4E86-8E6C-8FF4A0CDE52F}" name="Table1" displayName="Table1" ref="A1:J100" totalsRowShown="0" headerRowDxfId="76" dataDxfId="74" headerRowBorderDxfId="75">
  <autoFilter ref="A1:J100" xr:uid="{06E2CB8E-61AB-472E-BCF2-E6E1E6F7BC5B}"/>
  <tableColumns count="10">
    <tableColumn id="1" xr3:uid="{1A9995BE-CCCC-47E0-9CFE-CDD4EC6DA37C}" name="Art. Number" dataDxfId="73"/>
    <tableColumn id="2" xr3:uid="{FCC01A36-61DE-4975-8BB1-A97B79EE109D}" name="Man. Number" dataDxfId="72"/>
    <tableColumn id="3" xr3:uid="{90C7BD0F-517E-41F7-A9E6-E142B488EE16}" name="Manufacturer" dataDxfId="71"/>
    <tableColumn id="4" xr3:uid="{01ECE03C-88E6-4224-BC54-9EEF865A39E8}" name="Retailer" dataDxfId="70"/>
    <tableColumn id="8" xr3:uid="{10FF3A75-BAAB-47FE-B23F-239AE3E375F0}" name="Place" dataDxfId="69"/>
    <tableColumn id="5" xr3:uid="{58C42197-F901-4285-B364-CEF907C3BD28}" name="Description" dataDxfId="68"/>
    <tableColumn id="6" xr3:uid="{9BDDC07C-B22F-4D1B-B278-3735E59567F2}" name="In stock" dataDxfId="67"/>
    <tableColumn id="7" xr3:uid="{695CD227-37E7-4860-8C4E-72226E6A1D43}" name="Unit price" dataDxfId="66"/>
    <tableColumn id="9" xr3:uid="{05FC25FC-2FBB-4A42-AA2C-2324D7214D80}" name="Min in stock" dataDxfId="65"/>
    <tableColumn id="10" xr3:uid="{EFF403F7-81AB-47B6-9421-D6BFAF6620A4}" name="AutoCommand" dataDxfId="6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63" dataDxfId="61" headerRowBorderDxfId="62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60"/>
    <tableColumn id="2" xr3:uid="{868F71A1-EA8D-4FE4-9E10-4FA4EE5293B1}" name="Man. Number" dataDxfId="59"/>
    <tableColumn id="3" xr3:uid="{2BE62D1D-359E-4098-A703-65FA8EB2A2EB}" name="Manufacturer" dataDxfId="58"/>
    <tableColumn id="4" xr3:uid="{AEC8A4D9-9242-49C2-8841-3FA0C13E4BF7}" name="Retailer" dataDxfId="57"/>
    <tableColumn id="5" xr3:uid="{727086BC-BBF9-470F-8005-62D7E303CEAD}" name="Description" dataDxfId="56"/>
    <tableColumn id="7" xr3:uid="{38960764-2FF5-4AE8-BD63-75EC1C594716}" name="Unit price" dataDxfId="5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J13" totalsRowShown="0" headerRowDxfId="54" dataDxfId="52" headerRowBorderDxfId="53" tableBorderDxfId="51">
  <autoFilter ref="A1:J13" xr:uid="{46700432-4BF0-4DCB-9154-EC411D24C381}"/>
  <tableColumns count="10">
    <tableColumn id="1" xr3:uid="{89270871-B510-49F9-A00D-4C5C299B2666}" name="Art. Number" dataDxfId="50"/>
    <tableColumn id="2" xr3:uid="{09884C69-0E00-49B1-878D-118ACDF0CE5A}" name="Man. Number" dataDxfId="49"/>
    <tableColumn id="3" xr3:uid="{4C487402-2AAB-4AF3-BE67-7394C36C842C}" name="Manufacturer" dataDxfId="48"/>
    <tableColumn id="4" xr3:uid="{8EC0DC8E-76AD-4B9F-83B7-1A0DD14BB27F}" name="Retailer" dataDxfId="47"/>
    <tableColumn id="5" xr3:uid="{F034F88F-58E3-461F-AA98-A329A317450C}" name="Place" dataDxfId="46"/>
    <tableColumn id="6" xr3:uid="{270626A5-5AC9-4B4B-BFA1-CB61FB278FF7}" name="Description" dataDxfId="45"/>
    <tableColumn id="7" xr3:uid="{6AED47F2-55E6-446F-831B-A118A7B0B1ED}" name="In stock" dataDxfId="44"/>
    <tableColumn id="8" xr3:uid="{AC92F839-E54E-493C-ABE5-5E0757E61859}" name="Unit price" dataDxfId="43"/>
    <tableColumn id="9" xr3:uid="{CF148814-A309-4554-8503-283AD3C9BC12}" name="Bulk Add : Quantity" dataDxfId="42"/>
    <tableColumn id="10" xr3:uid="{B113FB1E-B792-4B87-9210-09F62D33E8F1}" name="Bulk Add : Product Number" dataDxfId="41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37" dataDxfId="35" headerRowBorderDxfId="36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34"/>
    <tableColumn id="5" xr3:uid="{B1418FC9-8422-4A82-9D50-1C20CEF4A1DB}" name="Description" dataDxfId="33">
      <calculatedColumnFormula>VLOOKUP(Table14[[#This Row],[Man. Number]],Articles!B:H,COLUMN(Table1[[#Headers],[Description]]) - 1,FALSE)</calculatedColumnFormula>
    </tableColumn>
    <tableColumn id="7" xr3:uid="{B4F56298-AB90-4AEC-8A42-97A994164D1F}" name="Référence" dataDxfId="32"/>
    <tableColumn id="8" xr3:uid="{D163A9E2-18FC-4EE8-99AB-60D6C92BBDB6}" name="Quantity" dataDxfId="31"/>
    <tableColumn id="6" xr3:uid="{1583B055-BD93-4929-B8EC-DA75D23B688F}" name="In stock" dataDxfId="30">
      <calculatedColumnFormula>VLOOKUP(Table14[[#This Row],[Man. Number]],Articles!B:H,COLUMN(Table1[[#Headers],[In stock]])-1,FALSE)</calculatedColumnFormula>
    </tableColumn>
    <tableColumn id="1" xr3:uid="{47894B8D-4567-4D67-A4F3-0A1C0DC3D40D}" name="Available" dataDxfId="29">
      <calculatedColumnFormula>IF(Table14[[#This Row],[In stock]] &gt;= Table14[[#This Row],[Quantity]],"YES","NO")</calculatedColumnFormula>
    </tableColumn>
    <tableColumn id="3" xr3:uid="{CE7B326B-C514-42C5-AECC-1A2A4AAB375C}" name="Total quantity" dataDxfId="28">
      <calculatedColumnFormula>Table14[[#This Row],[Quantity]]*$K$1</calculatedColumnFormula>
    </tableColumn>
    <tableColumn id="4" xr3:uid="{3C7D2E86-E417-47F0-B642-14D96896F255}" name="Total available" dataDxfId="27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23" dataDxfId="21" headerRowBorderDxfId="22">
  <autoFilter ref="A1:H15" xr:uid="{06E2CB8E-61AB-472E-BCF2-E6E1E6F7BC5B}"/>
  <tableColumns count="8">
    <tableColumn id="2" xr3:uid="{9E0E6405-0958-4064-8395-03A32BA24ED3}" name="Man. Number" dataDxfId="20"/>
    <tableColumn id="5" xr3:uid="{BA21CA97-DCD9-408A-9894-96A639A19D11}" name="Description" dataDxfId="19">
      <calculatedColumnFormula>VLOOKUP(Table146[[#This Row],[Man. Number]],Articles!B:H,COLUMN(Table1[[#Headers],[Description]]) - 1,FALSE)</calculatedColumnFormula>
    </tableColumn>
    <tableColumn id="7" xr3:uid="{77B761F7-AF17-4A17-88C8-A5C9D5D27CDC}" name="Reference" dataDxfId="18"/>
    <tableColumn id="8" xr3:uid="{79E97D26-BF86-43B2-AEF5-CE725327DF74}" name="Quantity" dataDxfId="17"/>
    <tableColumn id="6" xr3:uid="{55CA5BD7-34A5-4A62-9044-29A0D9B81880}" name="In stock" dataDxfId="16">
      <calculatedColumnFormula>VLOOKUP(Table146[[#This Row],[Man. Number]],Articles!B:H,COLUMN(Table1[[#Headers],[In stock]])-1,FALSE)</calculatedColumnFormula>
    </tableColumn>
    <tableColumn id="1" xr3:uid="{7F9C6D4D-8B19-4B0E-8A79-73C76C57E6CB}" name="Available" dataDxfId="15">
      <calculatedColumnFormula>IF(Table146[[#This Row],[In stock]] &gt;= Table146[[#This Row],[Quantity]],"YES","NO")</calculatedColumnFormula>
    </tableColumn>
    <tableColumn id="3" xr3:uid="{A3EA9E6B-B1AC-439E-A8AB-942C2E65E112}" name="Total quantity" dataDxfId="14">
      <calculatedColumnFormula>Table146[[#This Row],[Quantity]]*$K$1</calculatedColumnFormula>
    </tableColumn>
    <tableColumn id="4" xr3:uid="{04D63216-7DC3-4D59-A043-09BBD0852B90}" name="Total available" dataDxfId="13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11" dataDxfId="9" headerRowBorderDxfId="10">
  <autoFilter ref="A1:H2" xr:uid="{06E2CB8E-61AB-472E-BCF2-E6E1E6F7BC5B}"/>
  <tableColumns count="8">
    <tableColumn id="2" xr3:uid="{82F37E31-D1D4-4FFD-A09E-64F3B03018B7}" name="Man. Number" dataDxfId="8"/>
    <tableColumn id="5" xr3:uid="{524F6B01-486E-4166-AE6A-BDBA58BD1A60}" name="Description" dataDxfId="7">
      <calculatedColumnFormula>VLOOKUP(Table1468[[#This Row],[Man. Number]],Articles!B:H,COLUMN(Table1[[#Headers],[Description]]) - 1,FALSE)</calculatedColumnFormula>
    </tableColumn>
    <tableColumn id="7" xr3:uid="{0EDA27D7-E2B2-4D98-8FFC-602AD8A774D7}" name="Reference" dataDxfId="6"/>
    <tableColumn id="8" xr3:uid="{A834D686-252C-4BF4-9FDE-28A4A6AFDD1F}" name="Quantity" dataDxfId="5"/>
    <tableColumn id="6" xr3:uid="{66DB620F-4FDE-44EB-BF35-96CAEBE4C1C6}" name="In stock" dataDxfId="4">
      <calculatedColumnFormula>VLOOKUP(Table1468[[#This Row],[Man. Number]],Articles!B:H,COLUMN(Table1[[#Headers],[In stock]])-1,FALSE)</calculatedColumnFormula>
    </tableColumn>
    <tableColumn id="1" xr3:uid="{245282B4-7ECB-44D1-B528-BBB44C658582}" name="Available" dataDxfId="3">
      <calculatedColumnFormula>IF(Table1468[[#This Row],[In stock]] &gt;= Table1468[[#This Row],[Quantity]],"YES","NO")</calculatedColumnFormula>
    </tableColumn>
    <tableColumn id="3" xr3:uid="{67B74FDC-0575-406A-89BB-0D882E866451}" name="Total quantity" dataDxfId="2">
      <calculatedColumnFormula>Table1468[[#This Row],[Quantity]]*$K$1</calculatedColumnFormula>
    </tableColumn>
    <tableColumn id="4" xr3:uid="{56337732-A0D6-4CED-A2E1-0A9BD957CBCA}" name="Total available" dataDxfId="1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8" totalsRowShown="0">
  <autoFilter ref="A6:C8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52"/>
  <sheetViews>
    <sheetView workbookViewId="0">
      <pane ySplit="1" topLeftCell="A138" activePane="bottomLeft" state="frozen"/>
      <selection pane="bottomLeft" activeCell="D156" sqref="D156"/>
    </sheetView>
  </sheetViews>
  <sheetFormatPr defaultRowHeight="15" x14ac:dyDescent="0.25"/>
  <cols>
    <col min="1" max="1" width="18" style="15" bestFit="1" customWidth="1"/>
    <col min="2" max="2" width="56.42578125" style="3" bestFit="1" customWidth="1"/>
    <col min="3" max="3" width="14.7109375" style="13" bestFit="1" customWidth="1"/>
    <col min="4" max="4" width="14.42578125" style="13" bestFit="1" customWidth="1"/>
    <col min="5" max="5" width="13" style="13" bestFit="1" customWidth="1"/>
    <col min="6" max="6" width="48.28515625" style="3" bestFit="1" customWidth="1"/>
  </cols>
  <sheetData>
    <row r="1" spans="1:6" x14ac:dyDescent="0.25">
      <c r="A1" s="4" t="s">
        <v>171</v>
      </c>
      <c r="B1" s="3" t="s">
        <v>172</v>
      </c>
      <c r="C1" s="5" t="s">
        <v>178</v>
      </c>
      <c r="D1" s="5" t="s">
        <v>175</v>
      </c>
      <c r="E1" s="5" t="s">
        <v>176</v>
      </c>
      <c r="F1" s="3" t="s">
        <v>174</v>
      </c>
    </row>
    <row r="2" spans="1:6" x14ac:dyDescent="0.25">
      <c r="A2" s="15">
        <v>43331.621458333335</v>
      </c>
      <c r="B2" s="14"/>
      <c r="C2" s="12"/>
      <c r="D2" s="12"/>
      <c r="E2" s="12"/>
      <c r="F2" s="3" t="s">
        <v>173</v>
      </c>
    </row>
    <row r="3" spans="1:6" x14ac:dyDescent="0.25">
      <c r="A3" s="15">
        <v>43334.714467592596</v>
      </c>
      <c r="B3" s="3" t="s">
        <v>158</v>
      </c>
      <c r="C3" s="16">
        <v>-1</v>
      </c>
      <c r="D3" s="16">
        <v>0</v>
      </c>
      <c r="E3" s="16">
        <v>1</v>
      </c>
      <c r="F3" s="3" t="s">
        <v>201</v>
      </c>
    </row>
    <row r="4" spans="1:6" x14ac:dyDescent="0.25">
      <c r="A4" s="15">
        <v>43334.71466435185</v>
      </c>
      <c r="B4" s="3" t="s">
        <v>38</v>
      </c>
      <c r="C4" s="16">
        <v>-2</v>
      </c>
      <c r="D4" s="16">
        <v>0</v>
      </c>
      <c r="E4" s="16">
        <v>2</v>
      </c>
      <c r="F4" s="3" t="s">
        <v>201</v>
      </c>
    </row>
    <row r="5" spans="1:6" x14ac:dyDescent="0.25">
      <c r="A5" s="15">
        <v>43334.714861111112</v>
      </c>
      <c r="B5" s="3" t="s">
        <v>46</v>
      </c>
      <c r="C5" s="16">
        <v>-10</v>
      </c>
      <c r="D5" s="16">
        <v>6</v>
      </c>
      <c r="E5" s="16">
        <v>16</v>
      </c>
      <c r="F5" s="3" t="s">
        <v>201</v>
      </c>
    </row>
    <row r="6" spans="1:6" x14ac:dyDescent="0.25">
      <c r="A6" s="15">
        <v>43334.718541666669</v>
      </c>
      <c r="B6" s="3" t="s">
        <v>9</v>
      </c>
      <c r="C6" s="16">
        <v>1</v>
      </c>
      <c r="D6" s="16">
        <v>4</v>
      </c>
      <c r="E6" s="16">
        <v>3</v>
      </c>
      <c r="F6" s="3" t="s">
        <v>210</v>
      </c>
    </row>
    <row r="7" spans="1:6" x14ac:dyDescent="0.25">
      <c r="A7" s="15">
        <v>43334.718541666669</v>
      </c>
      <c r="B7" s="3" t="s">
        <v>12</v>
      </c>
      <c r="C7" s="16">
        <v>2</v>
      </c>
      <c r="D7" s="16">
        <v>48</v>
      </c>
      <c r="E7" s="16">
        <v>46</v>
      </c>
      <c r="F7" s="3" t="s">
        <v>210</v>
      </c>
    </row>
    <row r="8" spans="1:6" x14ac:dyDescent="0.25">
      <c r="A8" s="15">
        <v>43334.718541666669</v>
      </c>
      <c r="B8" s="3" t="s">
        <v>14</v>
      </c>
      <c r="C8" s="16">
        <v>1</v>
      </c>
      <c r="D8" s="16">
        <v>49</v>
      </c>
      <c r="E8" s="16">
        <v>48</v>
      </c>
      <c r="F8" s="3" t="s">
        <v>210</v>
      </c>
    </row>
    <row r="9" spans="1:6" x14ac:dyDescent="0.25">
      <c r="A9" s="15">
        <v>43334.718541666669</v>
      </c>
      <c r="B9" s="3" t="s">
        <v>16</v>
      </c>
      <c r="C9" s="16">
        <v>1</v>
      </c>
      <c r="D9" s="16">
        <v>14</v>
      </c>
      <c r="E9" s="16">
        <v>13</v>
      </c>
      <c r="F9" s="3" t="s">
        <v>210</v>
      </c>
    </row>
    <row r="10" spans="1:6" x14ac:dyDescent="0.25">
      <c r="A10" s="15">
        <v>43334.718541666669</v>
      </c>
      <c r="B10" s="3" t="s">
        <v>18</v>
      </c>
      <c r="C10" s="16">
        <v>1</v>
      </c>
      <c r="D10" s="16">
        <v>19</v>
      </c>
      <c r="E10" s="16">
        <v>18</v>
      </c>
      <c r="F10" s="3" t="s">
        <v>210</v>
      </c>
    </row>
    <row r="11" spans="1:6" x14ac:dyDescent="0.25">
      <c r="A11" s="15">
        <v>43334.718541666669</v>
      </c>
      <c r="B11" s="3" t="s">
        <v>22</v>
      </c>
      <c r="C11" s="16">
        <v>1</v>
      </c>
      <c r="D11" s="16">
        <v>9</v>
      </c>
      <c r="E11" s="16">
        <v>8</v>
      </c>
      <c r="F11" s="3" t="s">
        <v>210</v>
      </c>
    </row>
    <row r="12" spans="1:6" x14ac:dyDescent="0.25">
      <c r="A12" s="15">
        <v>43334.718541666669</v>
      </c>
      <c r="B12" s="3" t="s">
        <v>24</v>
      </c>
      <c r="C12" s="16">
        <v>1</v>
      </c>
      <c r="D12" s="16">
        <v>4</v>
      </c>
      <c r="E12" s="16">
        <v>3</v>
      </c>
      <c r="F12" s="3" t="s">
        <v>210</v>
      </c>
    </row>
    <row r="13" spans="1:6" x14ac:dyDescent="0.25">
      <c r="A13" s="15">
        <v>43334.718541666669</v>
      </c>
      <c r="B13" s="3" t="s">
        <v>27</v>
      </c>
      <c r="C13" s="16">
        <v>1</v>
      </c>
      <c r="D13" s="16">
        <v>9</v>
      </c>
      <c r="E13" s="16">
        <v>8</v>
      </c>
      <c r="F13" s="3" t="s">
        <v>210</v>
      </c>
    </row>
    <row r="14" spans="1:6" x14ac:dyDescent="0.25">
      <c r="A14" s="15">
        <v>43334.718541666669</v>
      </c>
      <c r="B14" s="3" t="s">
        <v>118</v>
      </c>
      <c r="C14" s="16">
        <v>19</v>
      </c>
      <c r="D14" s="16">
        <v>100</v>
      </c>
      <c r="E14" s="16">
        <v>81</v>
      </c>
      <c r="F14" s="3" t="s">
        <v>210</v>
      </c>
    </row>
    <row r="15" spans="1:6" x14ac:dyDescent="0.25">
      <c r="A15" s="15">
        <v>43334.718541666669</v>
      </c>
      <c r="B15" s="3" t="s">
        <v>117</v>
      </c>
      <c r="C15" s="16">
        <v>1</v>
      </c>
      <c r="D15" s="16">
        <v>4</v>
      </c>
      <c r="E15" s="16">
        <v>3</v>
      </c>
      <c r="F15" s="3" t="s">
        <v>210</v>
      </c>
    </row>
    <row r="16" spans="1:6" x14ac:dyDescent="0.25">
      <c r="A16" s="15">
        <v>43334.718541666669</v>
      </c>
      <c r="B16" s="3" t="s">
        <v>31</v>
      </c>
      <c r="C16" s="16">
        <v>1</v>
      </c>
      <c r="D16" s="16">
        <v>4</v>
      </c>
      <c r="E16" s="16">
        <v>3</v>
      </c>
      <c r="F16" s="3" t="s">
        <v>210</v>
      </c>
    </row>
    <row r="17" spans="1:6" x14ac:dyDescent="0.25">
      <c r="A17" s="15">
        <v>43334.718541666669</v>
      </c>
      <c r="B17" s="3" t="s">
        <v>34</v>
      </c>
      <c r="C17" s="16">
        <v>1</v>
      </c>
      <c r="D17" s="16">
        <v>4</v>
      </c>
      <c r="E17" s="16">
        <v>3</v>
      </c>
      <c r="F17" s="3" t="s">
        <v>210</v>
      </c>
    </row>
    <row r="18" spans="1:6" x14ac:dyDescent="0.25">
      <c r="A18" s="15">
        <v>43334.718541666669</v>
      </c>
      <c r="B18" s="3" t="s">
        <v>36</v>
      </c>
      <c r="C18" s="16">
        <v>7</v>
      </c>
      <c r="D18" s="16">
        <v>93</v>
      </c>
      <c r="E18" s="16">
        <v>86</v>
      </c>
      <c r="F18" s="3" t="s">
        <v>210</v>
      </c>
    </row>
    <row r="19" spans="1:6" x14ac:dyDescent="0.25">
      <c r="A19" s="15">
        <v>43334.718541666669</v>
      </c>
      <c r="B19" s="3" t="s">
        <v>38</v>
      </c>
      <c r="C19" s="16">
        <v>2</v>
      </c>
      <c r="D19" s="16">
        <v>2</v>
      </c>
      <c r="E19" s="16">
        <v>0</v>
      </c>
      <c r="F19" s="3" t="s">
        <v>210</v>
      </c>
    </row>
    <row r="20" spans="1:6" x14ac:dyDescent="0.25">
      <c r="A20" s="15">
        <v>43334.718541666669</v>
      </c>
      <c r="B20" s="3" t="s">
        <v>40</v>
      </c>
      <c r="C20" s="16">
        <v>0.63888888888888884</v>
      </c>
      <c r="D20" s="16">
        <v>1</v>
      </c>
      <c r="E20" s="16">
        <v>0.36111111111111116</v>
      </c>
      <c r="F20" s="3" t="s">
        <v>210</v>
      </c>
    </row>
    <row r="21" spans="1:6" x14ac:dyDescent="0.25">
      <c r="A21" s="15">
        <v>43334.718541666669</v>
      </c>
      <c r="B21" s="3" t="s">
        <v>43</v>
      </c>
      <c r="C21" s="16">
        <v>1</v>
      </c>
      <c r="D21" s="16">
        <v>24</v>
      </c>
      <c r="E21" s="16">
        <v>23</v>
      </c>
      <c r="F21" s="3" t="s">
        <v>210</v>
      </c>
    </row>
    <row r="22" spans="1:6" x14ac:dyDescent="0.25">
      <c r="A22" s="15">
        <v>43334.718541666669</v>
      </c>
      <c r="B22" s="3" t="s">
        <v>46</v>
      </c>
      <c r="C22" s="16">
        <v>4</v>
      </c>
      <c r="D22" s="16">
        <v>16</v>
      </c>
      <c r="E22" s="16">
        <v>12</v>
      </c>
      <c r="F22" s="3" t="s">
        <v>210</v>
      </c>
    </row>
    <row r="23" spans="1:6" x14ac:dyDescent="0.25">
      <c r="A23" s="15">
        <v>43334.718541666669</v>
      </c>
      <c r="B23" s="3" t="s">
        <v>49</v>
      </c>
      <c r="C23" s="16">
        <v>1</v>
      </c>
      <c r="D23" s="16">
        <v>1</v>
      </c>
      <c r="E23" s="16">
        <v>0</v>
      </c>
      <c r="F23" s="3" t="s">
        <v>210</v>
      </c>
    </row>
    <row r="24" spans="1:6" x14ac:dyDescent="0.25">
      <c r="A24" s="15">
        <v>43334.718541666669</v>
      </c>
      <c r="B24" s="3" t="s">
        <v>52</v>
      </c>
      <c r="C24" s="16">
        <v>1</v>
      </c>
      <c r="D24" s="16">
        <v>9</v>
      </c>
      <c r="E24" s="16">
        <v>8</v>
      </c>
      <c r="F24" s="3" t="s">
        <v>210</v>
      </c>
    </row>
    <row r="25" spans="1:6" x14ac:dyDescent="0.25">
      <c r="A25" s="15">
        <v>43334.718541666669</v>
      </c>
      <c r="B25" s="3" t="s">
        <v>190</v>
      </c>
      <c r="C25" s="16">
        <v>6</v>
      </c>
      <c r="D25" s="16">
        <v>100</v>
      </c>
      <c r="E25" s="16">
        <v>94</v>
      </c>
      <c r="F25" s="3" t="s">
        <v>210</v>
      </c>
    </row>
    <row r="26" spans="1:6" x14ac:dyDescent="0.25">
      <c r="A26" s="15">
        <v>43334.718541666669</v>
      </c>
      <c r="B26" s="3" t="s">
        <v>56</v>
      </c>
      <c r="C26" s="16">
        <v>1</v>
      </c>
      <c r="D26" s="16">
        <v>9</v>
      </c>
      <c r="E26" s="16">
        <v>8</v>
      </c>
      <c r="F26" s="3" t="s">
        <v>210</v>
      </c>
    </row>
    <row r="27" spans="1:6" x14ac:dyDescent="0.25">
      <c r="A27" s="15">
        <v>43334.718541666669</v>
      </c>
      <c r="B27" s="3" t="s">
        <v>59</v>
      </c>
      <c r="C27" s="16">
        <v>1</v>
      </c>
      <c r="D27" s="16">
        <v>19</v>
      </c>
      <c r="E27" s="16">
        <v>18</v>
      </c>
      <c r="F27" s="3" t="s">
        <v>210</v>
      </c>
    </row>
    <row r="28" spans="1:6" x14ac:dyDescent="0.25">
      <c r="A28" s="15">
        <v>43334.718541666669</v>
      </c>
      <c r="B28" s="3" t="s">
        <v>61</v>
      </c>
      <c r="C28" s="16">
        <v>1</v>
      </c>
      <c r="D28" s="16">
        <v>9</v>
      </c>
      <c r="E28" s="16">
        <v>8</v>
      </c>
      <c r="F28" s="3" t="s">
        <v>210</v>
      </c>
    </row>
    <row r="29" spans="1:6" x14ac:dyDescent="0.25">
      <c r="A29" s="15">
        <v>43334.718541666669</v>
      </c>
      <c r="B29" s="3" t="s">
        <v>63</v>
      </c>
      <c r="C29" s="16">
        <v>3</v>
      </c>
      <c r="D29" s="16">
        <v>7</v>
      </c>
      <c r="E29" s="16">
        <v>4</v>
      </c>
      <c r="F29" s="3" t="s">
        <v>210</v>
      </c>
    </row>
    <row r="30" spans="1:6" x14ac:dyDescent="0.25">
      <c r="A30" s="15">
        <v>43334.718541666669</v>
      </c>
      <c r="B30" s="3" t="s">
        <v>139</v>
      </c>
      <c r="C30" s="16">
        <v>1</v>
      </c>
      <c r="D30" s="16">
        <v>1</v>
      </c>
      <c r="E30" s="16">
        <v>0</v>
      </c>
      <c r="F30" s="3" t="s">
        <v>210</v>
      </c>
    </row>
    <row r="31" spans="1:6" x14ac:dyDescent="0.25">
      <c r="A31" s="15">
        <v>43334.718541666669</v>
      </c>
      <c r="B31" s="3" t="s">
        <v>77</v>
      </c>
      <c r="C31" s="16">
        <v>1</v>
      </c>
      <c r="D31" s="16">
        <v>1</v>
      </c>
      <c r="E31" s="16">
        <v>0</v>
      </c>
      <c r="F31" s="3" t="s">
        <v>210</v>
      </c>
    </row>
    <row r="32" spans="1:6" x14ac:dyDescent="0.25">
      <c r="A32" s="15">
        <v>43334.718541666669</v>
      </c>
      <c r="B32" s="3" t="s">
        <v>81</v>
      </c>
      <c r="C32" s="16">
        <v>1</v>
      </c>
      <c r="D32" s="16">
        <v>2</v>
      </c>
      <c r="E32" s="16">
        <v>1</v>
      </c>
      <c r="F32" s="3" t="s">
        <v>210</v>
      </c>
    </row>
    <row r="33" spans="1:6" x14ac:dyDescent="0.25">
      <c r="A33" s="15">
        <v>43334.718541666669</v>
      </c>
      <c r="B33" s="3" t="s">
        <v>158</v>
      </c>
      <c r="C33" s="16">
        <v>1</v>
      </c>
      <c r="D33" s="16">
        <v>1</v>
      </c>
      <c r="E33" s="16">
        <v>0</v>
      </c>
      <c r="F33" s="3" t="s">
        <v>210</v>
      </c>
    </row>
    <row r="34" spans="1:6" x14ac:dyDescent="0.25">
      <c r="A34" s="15">
        <v>43334.718541666669</v>
      </c>
      <c r="B34" s="3" t="s">
        <v>202</v>
      </c>
      <c r="C34" s="16">
        <v>1</v>
      </c>
      <c r="D34" s="16">
        <v>2</v>
      </c>
      <c r="E34" s="16">
        <v>1</v>
      </c>
      <c r="F34" s="3" t="s">
        <v>210</v>
      </c>
    </row>
    <row r="35" spans="1:6" x14ac:dyDescent="0.25">
      <c r="A35" s="15">
        <v>43334.718541666669</v>
      </c>
      <c r="B35" s="3" t="s">
        <v>203</v>
      </c>
      <c r="C35" s="16">
        <v>1</v>
      </c>
      <c r="D35" s="16">
        <v>1</v>
      </c>
      <c r="E35" s="16">
        <v>0</v>
      </c>
      <c r="F35" s="3" t="s">
        <v>210</v>
      </c>
    </row>
    <row r="36" spans="1:6" x14ac:dyDescent="0.25">
      <c r="A36" s="15">
        <v>43334.718541666669</v>
      </c>
      <c r="B36" s="3" t="s">
        <v>204</v>
      </c>
      <c r="C36" s="16">
        <v>1</v>
      </c>
      <c r="D36" s="16">
        <v>1</v>
      </c>
      <c r="E36" s="16">
        <v>0</v>
      </c>
      <c r="F36" s="3" t="s">
        <v>210</v>
      </c>
    </row>
    <row r="37" spans="1:6" x14ac:dyDescent="0.25">
      <c r="A37" s="15">
        <v>43334.718541666669</v>
      </c>
      <c r="B37" s="3" t="s">
        <v>205</v>
      </c>
      <c r="C37" s="16">
        <v>1</v>
      </c>
      <c r="D37" s="16">
        <v>9</v>
      </c>
      <c r="E37" s="16">
        <v>8</v>
      </c>
      <c r="F37" s="3" t="s">
        <v>210</v>
      </c>
    </row>
    <row r="38" spans="1:6" x14ac:dyDescent="0.25">
      <c r="A38" s="15">
        <v>43334.718541666669</v>
      </c>
      <c r="B38" s="3" t="s">
        <v>206</v>
      </c>
      <c r="C38" s="16">
        <v>1</v>
      </c>
      <c r="D38" s="16">
        <v>2</v>
      </c>
      <c r="E38" s="16">
        <v>1</v>
      </c>
      <c r="F38" s="3" t="s">
        <v>210</v>
      </c>
    </row>
    <row r="39" spans="1:6" x14ac:dyDescent="0.25">
      <c r="A39" s="15">
        <v>43334.7190162037</v>
      </c>
      <c r="B39" s="3" t="s">
        <v>54</v>
      </c>
      <c r="C39" s="16">
        <v>4</v>
      </c>
      <c r="D39" s="16">
        <v>4</v>
      </c>
      <c r="E39" s="16">
        <v>0</v>
      </c>
      <c r="F39" s="3" t="s">
        <v>207</v>
      </c>
    </row>
    <row r="40" spans="1:6" x14ac:dyDescent="0.25">
      <c r="A40" s="15">
        <v>43334.719236111108</v>
      </c>
      <c r="B40" s="3" t="s">
        <v>190</v>
      </c>
      <c r="C40" s="16">
        <v>-4</v>
      </c>
      <c r="D40" s="16">
        <v>94</v>
      </c>
      <c r="E40" s="16">
        <v>98</v>
      </c>
      <c r="F40" s="3" t="s">
        <v>207</v>
      </c>
    </row>
    <row r="41" spans="1:6" x14ac:dyDescent="0.25">
      <c r="A41" s="15">
        <v>43334.719768518517</v>
      </c>
      <c r="B41" s="3" t="s">
        <v>181</v>
      </c>
      <c r="C41" s="16">
        <v>1</v>
      </c>
      <c r="D41" s="16">
        <v>2</v>
      </c>
      <c r="E41" s="16">
        <v>1</v>
      </c>
      <c r="F41" s="3" t="s">
        <v>208</v>
      </c>
    </row>
    <row r="42" spans="1:6" x14ac:dyDescent="0.25">
      <c r="A42" s="15">
        <v>43334.72148148148</v>
      </c>
      <c r="B42" s="3">
        <v>61304011021</v>
      </c>
      <c r="C42" s="16">
        <v>-6</v>
      </c>
      <c r="D42" s="16">
        <v>3.85</v>
      </c>
      <c r="E42" s="16">
        <v>9.85</v>
      </c>
      <c r="F42" s="3" t="s">
        <v>209</v>
      </c>
    </row>
    <row r="43" spans="1:6" x14ac:dyDescent="0.25">
      <c r="A43" s="15">
        <v>43334.721782407411</v>
      </c>
      <c r="B43" s="3" t="s">
        <v>113</v>
      </c>
      <c r="C43" s="16">
        <v>6</v>
      </c>
      <c r="D43" s="16">
        <v>3.8</v>
      </c>
      <c r="E43" s="16">
        <v>-2.2000000000000002</v>
      </c>
      <c r="F43" s="3" t="s">
        <v>209</v>
      </c>
    </row>
    <row r="44" spans="1:6" x14ac:dyDescent="0.25">
      <c r="A44" s="15">
        <v>43334.721828703703</v>
      </c>
      <c r="B44" s="3" t="s">
        <v>40</v>
      </c>
      <c r="C44" s="16">
        <v>1</v>
      </c>
      <c r="D44" s="16">
        <v>0.36111111111111099</v>
      </c>
      <c r="E44" s="16">
        <v>-0.63888888888888906</v>
      </c>
      <c r="F44" s="3" t="s">
        <v>209</v>
      </c>
    </row>
    <row r="45" spans="1:6" x14ac:dyDescent="0.25">
      <c r="A45" s="15">
        <v>43334.721898148149</v>
      </c>
      <c r="B45" s="3" t="s">
        <v>190</v>
      </c>
      <c r="C45" s="16">
        <v>1</v>
      </c>
      <c r="D45" s="16">
        <v>98</v>
      </c>
      <c r="E45" s="16">
        <v>97</v>
      </c>
      <c r="F45" s="3" t="s">
        <v>209</v>
      </c>
    </row>
    <row r="46" spans="1:6" x14ac:dyDescent="0.25">
      <c r="A46" s="15">
        <v>43463.663310185184</v>
      </c>
      <c r="B46" s="3" t="s">
        <v>336</v>
      </c>
      <c r="C46" s="16">
        <v>10</v>
      </c>
      <c r="D46" s="16">
        <v>0</v>
      </c>
      <c r="E46" s="16">
        <v>10</v>
      </c>
      <c r="F46" s="3" t="s">
        <v>261</v>
      </c>
    </row>
    <row r="47" spans="1:6" x14ac:dyDescent="0.25">
      <c r="A47" s="15">
        <v>43464.637476851851</v>
      </c>
      <c r="B47" s="3" t="s">
        <v>181</v>
      </c>
      <c r="C47" s="16">
        <v>3</v>
      </c>
      <c r="D47" s="16">
        <v>1</v>
      </c>
      <c r="E47" s="16">
        <v>4</v>
      </c>
      <c r="F47" s="3" t="s">
        <v>284</v>
      </c>
    </row>
    <row r="48" spans="1:6" x14ac:dyDescent="0.25">
      <c r="A48" s="15">
        <v>43464.637476851851</v>
      </c>
      <c r="B48" s="3" t="s">
        <v>218</v>
      </c>
      <c r="C48" s="16">
        <v>5</v>
      </c>
      <c r="D48" s="16">
        <v>0</v>
      </c>
      <c r="E48" s="16">
        <v>5</v>
      </c>
      <c r="F48" s="3" t="s">
        <v>285</v>
      </c>
    </row>
    <row r="49" spans="1:6" x14ac:dyDescent="0.25">
      <c r="A49" s="15">
        <v>43464.637476851851</v>
      </c>
      <c r="B49" s="3" t="s">
        <v>219</v>
      </c>
      <c r="C49" s="16">
        <v>5</v>
      </c>
      <c r="D49" s="16">
        <v>0</v>
      </c>
      <c r="E49" s="16">
        <v>5</v>
      </c>
      <c r="F49" s="3" t="s">
        <v>286</v>
      </c>
    </row>
    <row r="50" spans="1:6" x14ac:dyDescent="0.25">
      <c r="A50" s="15">
        <v>43464.637476851851</v>
      </c>
      <c r="B50" s="3" t="s">
        <v>224</v>
      </c>
      <c r="C50" s="16">
        <v>25</v>
      </c>
      <c r="D50" s="16">
        <v>0</v>
      </c>
      <c r="E50" s="16">
        <v>25</v>
      </c>
      <c r="F50" s="3" t="s">
        <v>287</v>
      </c>
    </row>
    <row r="51" spans="1:6" x14ac:dyDescent="0.25">
      <c r="A51" s="15">
        <v>43464.637476851851</v>
      </c>
      <c r="B51" s="3" t="s">
        <v>228</v>
      </c>
      <c r="C51" s="16">
        <v>5</v>
      </c>
      <c r="D51" s="16">
        <v>0</v>
      </c>
      <c r="E51" s="16">
        <v>5</v>
      </c>
      <c r="F51" s="3" t="s">
        <v>288</v>
      </c>
    </row>
    <row r="52" spans="1:6" x14ac:dyDescent="0.25">
      <c r="A52" s="15">
        <v>43464.637476851851</v>
      </c>
      <c r="B52" s="3" t="s">
        <v>232</v>
      </c>
      <c r="C52" s="16">
        <v>10</v>
      </c>
      <c r="D52" s="16">
        <v>0</v>
      </c>
      <c r="E52" s="16">
        <v>10</v>
      </c>
      <c r="F52" s="3" t="s">
        <v>289</v>
      </c>
    </row>
    <row r="53" spans="1:6" x14ac:dyDescent="0.25">
      <c r="A53" s="15">
        <v>43464.637476851851</v>
      </c>
      <c r="B53" s="3" t="s">
        <v>234</v>
      </c>
      <c r="C53" s="16">
        <v>10</v>
      </c>
      <c r="D53" s="16">
        <v>0</v>
      </c>
      <c r="E53" s="16">
        <v>10</v>
      </c>
      <c r="F53" s="3" t="s">
        <v>290</v>
      </c>
    </row>
    <row r="54" spans="1:6" x14ac:dyDescent="0.25">
      <c r="A54" s="15">
        <v>43464.637476851851</v>
      </c>
      <c r="B54" s="3" t="s">
        <v>237</v>
      </c>
      <c r="C54" s="16">
        <v>5</v>
      </c>
      <c r="D54" s="16">
        <v>0</v>
      </c>
      <c r="E54" s="16">
        <v>5</v>
      </c>
      <c r="F54" s="3" t="s">
        <v>291</v>
      </c>
    </row>
    <row r="55" spans="1:6" x14ac:dyDescent="0.25">
      <c r="A55" s="15">
        <v>43464.637476851851</v>
      </c>
      <c r="B55" s="3" t="s">
        <v>241</v>
      </c>
      <c r="C55" s="16">
        <v>5</v>
      </c>
      <c r="D55" s="16">
        <v>0</v>
      </c>
      <c r="E55" s="16">
        <v>5</v>
      </c>
      <c r="F55" s="3" t="s">
        <v>292</v>
      </c>
    </row>
    <row r="56" spans="1:6" x14ac:dyDescent="0.25">
      <c r="A56" s="15">
        <v>43464.637476851851</v>
      </c>
      <c r="B56" s="3" t="s">
        <v>245</v>
      </c>
      <c r="C56" s="16">
        <v>20</v>
      </c>
      <c r="D56" s="16">
        <v>0</v>
      </c>
      <c r="E56" s="16">
        <v>20</v>
      </c>
      <c r="F56" s="3" t="s">
        <v>293</v>
      </c>
    </row>
    <row r="57" spans="1:6" x14ac:dyDescent="0.25">
      <c r="A57" s="15">
        <v>43464.637476851851</v>
      </c>
      <c r="B57" s="3" t="s">
        <v>253</v>
      </c>
      <c r="C57" s="16">
        <v>100</v>
      </c>
      <c r="D57" s="16">
        <v>0</v>
      </c>
      <c r="E57" s="16">
        <v>100</v>
      </c>
      <c r="F57" s="3" t="s">
        <v>294</v>
      </c>
    </row>
    <row r="58" spans="1:6" x14ac:dyDescent="0.25">
      <c r="A58" s="15">
        <v>43464.637476851851</v>
      </c>
      <c r="B58" s="3" t="s">
        <v>249</v>
      </c>
      <c r="C58" s="16">
        <v>100</v>
      </c>
      <c r="D58" s="16">
        <v>0</v>
      </c>
      <c r="E58" s="16">
        <v>100</v>
      </c>
      <c r="F58" s="3" t="s">
        <v>295</v>
      </c>
    </row>
    <row r="59" spans="1:6" x14ac:dyDescent="0.25">
      <c r="A59" s="15">
        <v>43470.960046296299</v>
      </c>
      <c r="B59" s="3" t="s">
        <v>218</v>
      </c>
      <c r="C59" s="16">
        <v>1</v>
      </c>
      <c r="D59" s="16">
        <v>5</v>
      </c>
      <c r="E59" s="16">
        <v>4</v>
      </c>
      <c r="F59" s="3" t="s">
        <v>216</v>
      </c>
    </row>
    <row r="60" spans="1:6" x14ac:dyDescent="0.25">
      <c r="A60" s="15">
        <v>43470.960046296299</v>
      </c>
      <c r="B60" s="3" t="s">
        <v>219</v>
      </c>
      <c r="C60" s="16">
        <v>1</v>
      </c>
      <c r="D60" s="16">
        <v>5</v>
      </c>
      <c r="E60" s="16">
        <v>4</v>
      </c>
      <c r="F60" s="3" t="s">
        <v>216</v>
      </c>
    </row>
    <row r="61" spans="1:6" x14ac:dyDescent="0.25">
      <c r="A61" s="15">
        <v>43470.960046296299</v>
      </c>
      <c r="B61" s="3" t="s">
        <v>224</v>
      </c>
      <c r="C61" s="16">
        <v>1</v>
      </c>
      <c r="D61" s="16">
        <v>25</v>
      </c>
      <c r="E61" s="16">
        <v>24</v>
      </c>
      <c r="F61" s="3" t="s">
        <v>216</v>
      </c>
    </row>
    <row r="62" spans="1:6" x14ac:dyDescent="0.25">
      <c r="A62" s="15">
        <v>43470.960046296299</v>
      </c>
      <c r="B62" s="3" t="s">
        <v>228</v>
      </c>
      <c r="C62" s="16">
        <v>1</v>
      </c>
      <c r="D62" s="16">
        <v>5</v>
      </c>
      <c r="E62" s="16">
        <v>4</v>
      </c>
      <c r="F62" s="3" t="s">
        <v>216</v>
      </c>
    </row>
    <row r="63" spans="1:6" x14ac:dyDescent="0.25">
      <c r="A63" s="15">
        <v>43470.960046296299</v>
      </c>
      <c r="B63" s="3" t="s">
        <v>232</v>
      </c>
      <c r="C63" s="16">
        <v>1</v>
      </c>
      <c r="D63" s="16">
        <v>10</v>
      </c>
      <c r="E63" s="16">
        <v>9</v>
      </c>
      <c r="F63" s="3" t="s">
        <v>216</v>
      </c>
    </row>
    <row r="64" spans="1:6" x14ac:dyDescent="0.25">
      <c r="A64" s="15">
        <v>43470.960046296299</v>
      </c>
      <c r="B64" s="3" t="s">
        <v>234</v>
      </c>
      <c r="C64" s="16">
        <v>1</v>
      </c>
      <c r="D64" s="16">
        <v>10</v>
      </c>
      <c r="E64" s="16">
        <v>9</v>
      </c>
      <c r="F64" s="3" t="s">
        <v>216</v>
      </c>
    </row>
    <row r="65" spans="1:6" x14ac:dyDescent="0.25">
      <c r="A65" s="15">
        <v>43470.960046296299</v>
      </c>
      <c r="B65" s="3" t="s">
        <v>237</v>
      </c>
      <c r="C65" s="16">
        <v>1</v>
      </c>
      <c r="D65" s="16">
        <v>5</v>
      </c>
      <c r="E65" s="16">
        <v>4</v>
      </c>
      <c r="F65" s="3" t="s">
        <v>216</v>
      </c>
    </row>
    <row r="66" spans="1:6" x14ac:dyDescent="0.25">
      <c r="A66" s="15">
        <v>43470.960046296299</v>
      </c>
      <c r="B66" s="3" t="s">
        <v>241</v>
      </c>
      <c r="C66" s="16">
        <v>1</v>
      </c>
      <c r="D66" s="16">
        <v>5</v>
      </c>
      <c r="E66" s="16">
        <v>4</v>
      </c>
      <c r="F66" s="3" t="s">
        <v>216</v>
      </c>
    </row>
    <row r="67" spans="1:6" x14ac:dyDescent="0.25">
      <c r="A67" s="15">
        <v>43470.960046296299</v>
      </c>
      <c r="B67" s="3" t="s">
        <v>245</v>
      </c>
      <c r="C67" s="16">
        <v>3</v>
      </c>
      <c r="D67" s="16">
        <v>20</v>
      </c>
      <c r="E67" s="16">
        <v>17</v>
      </c>
      <c r="F67" s="3" t="s">
        <v>216</v>
      </c>
    </row>
    <row r="68" spans="1:6" x14ac:dyDescent="0.25">
      <c r="A68" s="15">
        <v>43470.960046296299</v>
      </c>
      <c r="B68" s="3" t="s">
        <v>190</v>
      </c>
      <c r="C68" s="16">
        <v>4</v>
      </c>
      <c r="D68" s="16">
        <v>97</v>
      </c>
      <c r="E68" s="16">
        <v>93</v>
      </c>
      <c r="F68" s="3" t="s">
        <v>216</v>
      </c>
    </row>
    <row r="69" spans="1:6" x14ac:dyDescent="0.25">
      <c r="A69" s="15">
        <v>43470.960046296299</v>
      </c>
      <c r="B69" s="3" t="s">
        <v>36</v>
      </c>
      <c r="C69" s="16">
        <v>2</v>
      </c>
      <c r="D69" s="16">
        <v>86</v>
      </c>
      <c r="E69" s="16">
        <v>84</v>
      </c>
      <c r="F69" s="3" t="s">
        <v>216</v>
      </c>
    </row>
    <row r="70" spans="1:6" x14ac:dyDescent="0.25">
      <c r="A70" s="15">
        <v>43470.960046296299</v>
      </c>
      <c r="B70" s="3" t="s">
        <v>249</v>
      </c>
      <c r="C70" s="16">
        <v>1</v>
      </c>
      <c r="D70" s="16">
        <v>100</v>
      </c>
      <c r="E70" s="16">
        <v>99</v>
      </c>
      <c r="F70" s="3" t="s">
        <v>216</v>
      </c>
    </row>
    <row r="71" spans="1:6" x14ac:dyDescent="0.25">
      <c r="A71" s="15">
        <v>43470.960046296299</v>
      </c>
      <c r="B71" s="3" t="s">
        <v>253</v>
      </c>
      <c r="C71" s="16">
        <v>1</v>
      </c>
      <c r="D71" s="16">
        <v>100</v>
      </c>
      <c r="E71" s="16">
        <v>99</v>
      </c>
      <c r="F71" s="3" t="s">
        <v>216</v>
      </c>
    </row>
    <row r="72" spans="1:6" x14ac:dyDescent="0.25">
      <c r="A72" s="15">
        <v>43470.960046296299</v>
      </c>
      <c r="B72" s="3" t="s">
        <v>336</v>
      </c>
      <c r="C72" s="16">
        <v>1</v>
      </c>
      <c r="D72" s="16">
        <v>10</v>
      </c>
      <c r="E72" s="16">
        <v>9</v>
      </c>
      <c r="F72" s="3" t="s">
        <v>216</v>
      </c>
    </row>
    <row r="73" spans="1:6" x14ac:dyDescent="0.25">
      <c r="A73" s="15">
        <v>43497.628275462965</v>
      </c>
      <c r="B73" s="3" t="s">
        <v>340</v>
      </c>
      <c r="C73" s="16" t="s">
        <v>343</v>
      </c>
      <c r="D73" s="16">
        <v>0</v>
      </c>
      <c r="E73" s="16" t="s">
        <v>343</v>
      </c>
      <c r="F73" s="3" t="s">
        <v>344</v>
      </c>
    </row>
    <row r="74" spans="1:6" x14ac:dyDescent="0.25">
      <c r="A74" s="15">
        <v>43497.784837962965</v>
      </c>
      <c r="B74" s="3" t="s">
        <v>346</v>
      </c>
      <c r="C74" s="16" t="s">
        <v>343</v>
      </c>
      <c r="D74" s="16">
        <v>0</v>
      </c>
      <c r="E74" s="16" t="s">
        <v>343</v>
      </c>
      <c r="F74" s="3" t="s">
        <v>344</v>
      </c>
    </row>
    <row r="75" spans="1:6" x14ac:dyDescent="0.25">
      <c r="A75" s="15">
        <v>43500.455185185187</v>
      </c>
      <c r="B75" s="3" t="s">
        <v>350</v>
      </c>
      <c r="C75" s="16" t="s">
        <v>343</v>
      </c>
      <c r="D75" s="16">
        <v>0</v>
      </c>
      <c r="E75" s="16" t="s">
        <v>343</v>
      </c>
      <c r="F75" s="3" t="s">
        <v>344</v>
      </c>
    </row>
    <row r="76" spans="1:6" x14ac:dyDescent="0.25">
      <c r="A76" s="15">
        <v>43500.457152777781</v>
      </c>
      <c r="B76" s="3" t="s">
        <v>354</v>
      </c>
      <c r="C76" s="16" t="s">
        <v>343</v>
      </c>
      <c r="D76" s="16">
        <v>0</v>
      </c>
      <c r="E76" s="16" t="s">
        <v>343</v>
      </c>
      <c r="F76" s="3" t="s">
        <v>344</v>
      </c>
    </row>
    <row r="77" spans="1:6" x14ac:dyDescent="0.25">
      <c r="A77" s="15">
        <v>43500.458449074074</v>
      </c>
      <c r="B77" s="3" t="s">
        <v>359</v>
      </c>
      <c r="C77" s="16" t="s">
        <v>343</v>
      </c>
      <c r="D77" s="16">
        <v>0</v>
      </c>
      <c r="E77" s="16" t="s">
        <v>343</v>
      </c>
      <c r="F77" s="3" t="s">
        <v>344</v>
      </c>
    </row>
    <row r="78" spans="1:6" x14ac:dyDescent="0.25">
      <c r="A78" s="15">
        <v>43502.505069444444</v>
      </c>
      <c r="B78" s="3" t="s">
        <v>372</v>
      </c>
      <c r="C78" s="16" t="s">
        <v>376</v>
      </c>
      <c r="D78" s="16">
        <v>0</v>
      </c>
      <c r="E78" s="16" t="s">
        <v>376</v>
      </c>
      <c r="F78" s="3" t="s">
        <v>344</v>
      </c>
    </row>
    <row r="79" spans="1:6" x14ac:dyDescent="0.25">
      <c r="A79" s="15">
        <v>43502.508912037039</v>
      </c>
      <c r="B79" s="3" t="s">
        <v>377</v>
      </c>
      <c r="C79" s="16" t="s">
        <v>376</v>
      </c>
      <c r="D79" s="16">
        <v>0</v>
      </c>
      <c r="E79" s="16" t="s">
        <v>376</v>
      </c>
      <c r="F79" s="3" t="s">
        <v>344</v>
      </c>
    </row>
    <row r="80" spans="1:6" x14ac:dyDescent="0.25">
      <c r="A80" s="15">
        <v>43502.509687500002</v>
      </c>
      <c r="B80" s="3" t="s">
        <v>380</v>
      </c>
      <c r="C80" s="16" t="s">
        <v>376</v>
      </c>
      <c r="D80" s="16">
        <v>0</v>
      </c>
      <c r="E80" s="16" t="s">
        <v>376</v>
      </c>
      <c r="F80" s="3" t="s">
        <v>344</v>
      </c>
    </row>
    <row r="81" spans="1:6" x14ac:dyDescent="0.25">
      <c r="A81" s="15">
        <v>43502.509965277779</v>
      </c>
      <c r="B81" s="3" t="s">
        <v>382</v>
      </c>
      <c r="C81" s="16" t="s">
        <v>376</v>
      </c>
      <c r="D81" s="16">
        <v>0</v>
      </c>
      <c r="E81" s="16" t="s">
        <v>376</v>
      </c>
      <c r="F81" s="3" t="s">
        <v>344</v>
      </c>
    </row>
    <row r="82" spans="1:6" x14ac:dyDescent="0.25">
      <c r="A82" s="15">
        <v>43506.582777777781</v>
      </c>
      <c r="B82" s="3" t="s">
        <v>203</v>
      </c>
      <c r="C82" s="16" t="s">
        <v>65</v>
      </c>
      <c r="D82" s="16" t="s">
        <v>65</v>
      </c>
      <c r="E82" s="16" t="s">
        <v>65</v>
      </c>
      <c r="F82" s="3" t="s">
        <v>407</v>
      </c>
    </row>
    <row r="83" spans="1:6" x14ac:dyDescent="0.25">
      <c r="A83" s="15">
        <v>43506.584803240738</v>
      </c>
      <c r="B83" s="3" t="s">
        <v>18</v>
      </c>
      <c r="C83" s="16" t="s">
        <v>65</v>
      </c>
      <c r="D83" s="16" t="s">
        <v>65</v>
      </c>
      <c r="E83" s="16" t="s">
        <v>65</v>
      </c>
      <c r="F83" s="3" t="s">
        <v>407</v>
      </c>
    </row>
    <row r="84" spans="1:6" x14ac:dyDescent="0.25">
      <c r="A84" s="15">
        <v>43506.584965277776</v>
      </c>
      <c r="B84" s="3" t="s">
        <v>101</v>
      </c>
      <c r="C84" s="16" t="s">
        <v>65</v>
      </c>
      <c r="D84" s="16" t="s">
        <v>65</v>
      </c>
      <c r="E84" s="16" t="s">
        <v>65</v>
      </c>
      <c r="F84" s="3" t="s">
        <v>407</v>
      </c>
    </row>
    <row r="85" spans="1:6" x14ac:dyDescent="0.25">
      <c r="A85" s="15">
        <v>43506.585150462961</v>
      </c>
      <c r="B85" s="3" t="s">
        <v>100</v>
      </c>
      <c r="C85" s="16" t="s">
        <v>65</v>
      </c>
      <c r="D85" s="16" t="s">
        <v>65</v>
      </c>
      <c r="E85" s="16" t="s">
        <v>65</v>
      </c>
      <c r="F85" s="3" t="s">
        <v>407</v>
      </c>
    </row>
    <row r="86" spans="1:6" x14ac:dyDescent="0.25">
      <c r="A86" s="15">
        <v>43506.59097222222</v>
      </c>
      <c r="B86" s="3" t="s">
        <v>359</v>
      </c>
      <c r="C86" s="16">
        <v>1</v>
      </c>
      <c r="D86" s="16">
        <v>0</v>
      </c>
      <c r="E86" s="16" t="s">
        <v>376</v>
      </c>
      <c r="F86" s="3" t="s">
        <v>414</v>
      </c>
    </row>
    <row r="87" spans="1:6" x14ac:dyDescent="0.25">
      <c r="A87" s="15">
        <v>43506.591550925928</v>
      </c>
      <c r="B87" s="3" t="s">
        <v>9</v>
      </c>
      <c r="C87" s="16" t="s">
        <v>65</v>
      </c>
      <c r="D87" s="16" t="s">
        <v>65</v>
      </c>
      <c r="E87" s="16" t="s">
        <v>65</v>
      </c>
      <c r="F87" s="3" t="s">
        <v>407</v>
      </c>
    </row>
    <row r="88" spans="1:6" x14ac:dyDescent="0.25">
      <c r="A88" s="15">
        <v>43506.592916666668</v>
      </c>
      <c r="B88" s="3" t="s">
        <v>24</v>
      </c>
      <c r="C88" s="16" t="s">
        <v>65</v>
      </c>
      <c r="D88" s="16" t="s">
        <v>65</v>
      </c>
      <c r="E88" s="16" t="s">
        <v>65</v>
      </c>
      <c r="F88" s="3" t="s">
        <v>407</v>
      </c>
    </row>
    <row r="89" spans="1:6" x14ac:dyDescent="0.25">
      <c r="A89" s="15">
        <v>43506.593032407407</v>
      </c>
      <c r="B89" s="3" t="s">
        <v>22</v>
      </c>
      <c r="C89" s="16" t="s">
        <v>65</v>
      </c>
      <c r="D89" s="16" t="s">
        <v>65</v>
      </c>
      <c r="E89" s="16" t="s">
        <v>65</v>
      </c>
      <c r="F89" s="3" t="s">
        <v>407</v>
      </c>
    </row>
    <row r="90" spans="1:6" x14ac:dyDescent="0.25">
      <c r="A90" s="15">
        <v>43506.593159722222</v>
      </c>
      <c r="B90" s="3" t="s">
        <v>27</v>
      </c>
      <c r="C90" s="16" t="s">
        <v>65</v>
      </c>
      <c r="D90" s="16" t="s">
        <v>65</v>
      </c>
      <c r="E90" s="16" t="s">
        <v>65</v>
      </c>
      <c r="F90" s="3" t="s">
        <v>407</v>
      </c>
    </row>
    <row r="91" spans="1:6" x14ac:dyDescent="0.25">
      <c r="A91" s="15">
        <v>43506.593275462961</v>
      </c>
      <c r="B91" s="3" t="s">
        <v>136</v>
      </c>
      <c r="C91" s="16" t="s">
        <v>65</v>
      </c>
      <c r="D91" s="16" t="s">
        <v>65</v>
      </c>
      <c r="E91" s="16" t="s">
        <v>65</v>
      </c>
      <c r="F91" s="3" t="s">
        <v>407</v>
      </c>
    </row>
    <row r="92" spans="1:6" x14ac:dyDescent="0.25">
      <c r="A92" s="15">
        <v>43506.593391203707</v>
      </c>
      <c r="B92" s="3" t="s">
        <v>224</v>
      </c>
      <c r="C92" s="16" t="s">
        <v>65</v>
      </c>
      <c r="D92" s="16" t="s">
        <v>65</v>
      </c>
      <c r="E92" s="16" t="s">
        <v>65</v>
      </c>
      <c r="F92" s="3" t="s">
        <v>407</v>
      </c>
    </row>
    <row r="93" spans="1:6" x14ac:dyDescent="0.25">
      <c r="A93" s="15">
        <v>43506.5937037037</v>
      </c>
      <c r="B93" s="3" t="s">
        <v>150</v>
      </c>
      <c r="C93" s="16" t="s">
        <v>65</v>
      </c>
      <c r="D93" s="16" t="s">
        <v>65</v>
      </c>
      <c r="E93" s="16" t="s">
        <v>65</v>
      </c>
      <c r="F93" s="3" t="s">
        <v>407</v>
      </c>
    </row>
    <row r="94" spans="1:6" x14ac:dyDescent="0.25">
      <c r="A94" s="15">
        <v>43506.593958333331</v>
      </c>
      <c r="B94" s="3" t="s">
        <v>147</v>
      </c>
      <c r="C94" s="16" t="s">
        <v>65</v>
      </c>
      <c r="D94" s="16" t="s">
        <v>65</v>
      </c>
      <c r="E94" s="16" t="s">
        <v>65</v>
      </c>
      <c r="F94" s="3" t="s">
        <v>407</v>
      </c>
    </row>
    <row r="95" spans="1:6" x14ac:dyDescent="0.25">
      <c r="A95" s="15">
        <v>43506.594108796293</v>
      </c>
      <c r="B95" s="3" t="s">
        <v>218</v>
      </c>
      <c r="C95" s="16" t="s">
        <v>65</v>
      </c>
      <c r="D95" s="16" t="s">
        <v>65</v>
      </c>
      <c r="E95" s="16" t="s">
        <v>65</v>
      </c>
      <c r="F95" s="3" t="s">
        <v>407</v>
      </c>
    </row>
    <row r="96" spans="1:6" x14ac:dyDescent="0.25">
      <c r="A96" s="15">
        <v>43506.594305555554</v>
      </c>
      <c r="B96" s="3" t="s">
        <v>219</v>
      </c>
      <c r="C96" s="16" t="s">
        <v>65</v>
      </c>
      <c r="D96" s="16" t="s">
        <v>65</v>
      </c>
      <c r="E96" s="16" t="s">
        <v>65</v>
      </c>
      <c r="F96" s="3" t="s">
        <v>407</v>
      </c>
    </row>
    <row r="97" spans="1:6" x14ac:dyDescent="0.25">
      <c r="A97" s="15">
        <v>43506.594652777778</v>
      </c>
      <c r="B97" s="3" t="s">
        <v>139</v>
      </c>
      <c r="C97" s="16" t="s">
        <v>65</v>
      </c>
      <c r="D97" s="16" t="s">
        <v>65</v>
      </c>
      <c r="E97" s="16" t="s">
        <v>65</v>
      </c>
      <c r="F97" s="3" t="s">
        <v>407</v>
      </c>
    </row>
    <row r="98" spans="1:6" x14ac:dyDescent="0.25">
      <c r="A98" s="15">
        <v>43506.596284722225</v>
      </c>
      <c r="B98" s="3" t="s">
        <v>20</v>
      </c>
      <c r="C98" s="16" t="s">
        <v>65</v>
      </c>
      <c r="D98" s="16" t="s">
        <v>65</v>
      </c>
      <c r="E98" s="16" t="s">
        <v>65</v>
      </c>
      <c r="F98" s="3" t="s">
        <v>407</v>
      </c>
    </row>
    <row r="99" spans="1:6" x14ac:dyDescent="0.25">
      <c r="A99" s="15">
        <v>43506.596585648149</v>
      </c>
      <c r="B99" s="3" t="s">
        <v>234</v>
      </c>
      <c r="C99" s="16" t="s">
        <v>65</v>
      </c>
      <c r="D99" s="16" t="s">
        <v>65</v>
      </c>
      <c r="E99" s="16" t="s">
        <v>65</v>
      </c>
      <c r="F99" s="3" t="s">
        <v>407</v>
      </c>
    </row>
    <row r="100" spans="1:6" x14ac:dyDescent="0.25">
      <c r="A100" s="15">
        <v>43506.596724537034</v>
      </c>
      <c r="B100" s="3" t="s">
        <v>232</v>
      </c>
      <c r="C100" s="16" t="s">
        <v>65</v>
      </c>
      <c r="D100" s="16" t="s">
        <v>65</v>
      </c>
      <c r="E100" s="16" t="s">
        <v>65</v>
      </c>
      <c r="F100" s="3" t="s">
        <v>407</v>
      </c>
    </row>
    <row r="101" spans="1:6" x14ac:dyDescent="0.25">
      <c r="A101" s="15">
        <v>43506.62771990741</v>
      </c>
      <c r="B101" s="3" t="s">
        <v>9</v>
      </c>
      <c r="C101" s="16">
        <v>1</v>
      </c>
      <c r="D101" s="16">
        <v>3</v>
      </c>
      <c r="E101" s="16">
        <v>4</v>
      </c>
      <c r="F101" s="3" t="s">
        <v>432</v>
      </c>
    </row>
    <row r="102" spans="1:6" x14ac:dyDescent="0.25">
      <c r="A102" s="15">
        <v>43506.62771990741</v>
      </c>
      <c r="B102" s="3" t="s">
        <v>12</v>
      </c>
      <c r="C102" s="16">
        <v>2</v>
      </c>
      <c r="D102" s="16">
        <v>46</v>
      </c>
      <c r="E102" s="16">
        <v>48</v>
      </c>
      <c r="F102" s="3" t="s">
        <v>432</v>
      </c>
    </row>
    <row r="103" spans="1:6" x14ac:dyDescent="0.25">
      <c r="A103" s="15">
        <v>43506.62771990741</v>
      </c>
      <c r="B103" s="3" t="s">
        <v>14</v>
      </c>
      <c r="C103" s="16">
        <v>1</v>
      </c>
      <c r="D103" s="16">
        <v>48</v>
      </c>
      <c r="E103" s="16">
        <v>49</v>
      </c>
      <c r="F103" s="3" t="s">
        <v>432</v>
      </c>
    </row>
    <row r="104" spans="1:6" x14ac:dyDescent="0.25">
      <c r="A104" s="15">
        <v>43506.62771990741</v>
      </c>
      <c r="B104" s="3" t="s">
        <v>16</v>
      </c>
      <c r="C104" s="16">
        <v>1</v>
      </c>
      <c r="D104" s="16">
        <v>13</v>
      </c>
      <c r="E104" s="16">
        <v>14</v>
      </c>
      <c r="F104" s="3" t="s">
        <v>432</v>
      </c>
    </row>
    <row r="105" spans="1:6" x14ac:dyDescent="0.25">
      <c r="A105" s="15">
        <v>43506.62771990741</v>
      </c>
      <c r="B105" s="3" t="s">
        <v>18</v>
      </c>
      <c r="C105" s="16">
        <v>1</v>
      </c>
      <c r="D105" s="16">
        <v>18</v>
      </c>
      <c r="E105" s="16">
        <v>19</v>
      </c>
      <c r="F105" s="3" t="s">
        <v>432</v>
      </c>
    </row>
    <row r="106" spans="1:6" x14ac:dyDescent="0.25">
      <c r="A106" s="15">
        <v>43506.62771990741</v>
      </c>
      <c r="B106" s="3" t="s">
        <v>22</v>
      </c>
      <c r="C106" s="16">
        <v>1</v>
      </c>
      <c r="D106" s="16">
        <v>8</v>
      </c>
      <c r="E106" s="16">
        <v>9</v>
      </c>
      <c r="F106" s="3" t="s">
        <v>432</v>
      </c>
    </row>
    <row r="107" spans="1:6" x14ac:dyDescent="0.25">
      <c r="A107" s="15">
        <v>43506.62771990741</v>
      </c>
      <c r="B107" s="3" t="s">
        <v>24</v>
      </c>
      <c r="C107" s="16">
        <v>1</v>
      </c>
      <c r="D107" s="16">
        <v>3</v>
      </c>
      <c r="E107" s="16">
        <v>4</v>
      </c>
      <c r="F107" s="3" t="s">
        <v>432</v>
      </c>
    </row>
    <row r="108" spans="1:6" x14ac:dyDescent="0.25">
      <c r="A108" s="15">
        <v>43506.62771990741</v>
      </c>
      <c r="B108" s="3" t="s">
        <v>27</v>
      </c>
      <c r="C108" s="16">
        <v>1</v>
      </c>
      <c r="D108" s="16">
        <v>8</v>
      </c>
      <c r="E108" s="16">
        <v>9</v>
      </c>
      <c r="F108" s="3" t="s">
        <v>432</v>
      </c>
    </row>
    <row r="109" spans="1:6" x14ac:dyDescent="0.25">
      <c r="A109" s="15">
        <v>43506.62771990741</v>
      </c>
      <c r="B109" s="3" t="s">
        <v>118</v>
      </c>
      <c r="C109" s="16">
        <v>19</v>
      </c>
      <c r="D109" s="16">
        <v>81</v>
      </c>
      <c r="E109" s="16">
        <v>100</v>
      </c>
      <c r="F109" s="3" t="s">
        <v>432</v>
      </c>
    </row>
    <row r="110" spans="1:6" x14ac:dyDescent="0.25">
      <c r="A110" s="15">
        <v>43506.62771990741</v>
      </c>
      <c r="B110" s="3" t="s">
        <v>117</v>
      </c>
      <c r="C110" s="16">
        <v>1</v>
      </c>
      <c r="D110" s="16">
        <v>3</v>
      </c>
      <c r="E110" s="16">
        <v>4</v>
      </c>
      <c r="F110" s="3" t="s">
        <v>432</v>
      </c>
    </row>
    <row r="111" spans="1:6" x14ac:dyDescent="0.25">
      <c r="A111" s="15">
        <v>43506.62771990741</v>
      </c>
      <c r="B111" s="3" t="s">
        <v>31</v>
      </c>
      <c r="C111" s="16">
        <v>1</v>
      </c>
      <c r="D111" s="16">
        <v>3</v>
      </c>
      <c r="E111" s="16">
        <v>4</v>
      </c>
      <c r="F111" s="3" t="s">
        <v>432</v>
      </c>
    </row>
    <row r="112" spans="1:6" x14ac:dyDescent="0.25">
      <c r="A112" s="15">
        <v>43506.62771990741</v>
      </c>
      <c r="B112" s="3" t="s">
        <v>34</v>
      </c>
      <c r="C112" s="16">
        <v>1</v>
      </c>
      <c r="D112" s="16">
        <v>3</v>
      </c>
      <c r="E112" s="16">
        <v>4</v>
      </c>
      <c r="F112" s="3" t="s">
        <v>432</v>
      </c>
    </row>
    <row r="113" spans="1:6" x14ac:dyDescent="0.25">
      <c r="A113" s="15">
        <v>43506.62771990741</v>
      </c>
      <c r="B113" s="3" t="s">
        <v>36</v>
      </c>
      <c r="C113" s="16">
        <v>7</v>
      </c>
      <c r="D113" s="16">
        <v>84</v>
      </c>
      <c r="E113" s="16">
        <v>91</v>
      </c>
      <c r="F113" s="3" t="s">
        <v>432</v>
      </c>
    </row>
    <row r="114" spans="1:6" x14ac:dyDescent="0.25">
      <c r="A114" s="15">
        <v>43506.62771990741</v>
      </c>
      <c r="B114" s="3" t="s">
        <v>38</v>
      </c>
      <c r="C114" s="16">
        <v>2</v>
      </c>
      <c r="D114" s="16">
        <v>0</v>
      </c>
      <c r="E114" s="16">
        <v>2</v>
      </c>
      <c r="F114" s="3" t="s">
        <v>432</v>
      </c>
    </row>
    <row r="115" spans="1:6" x14ac:dyDescent="0.25">
      <c r="A115" s="15">
        <v>43506.62771990741</v>
      </c>
      <c r="B115" s="3" t="s">
        <v>40</v>
      </c>
      <c r="C115" s="16" t="s">
        <v>433</v>
      </c>
      <c r="D115" s="16">
        <v>-0.63900000000000001</v>
      </c>
      <c r="E115" s="16">
        <v>0</v>
      </c>
      <c r="F115" s="3" t="s">
        <v>432</v>
      </c>
    </row>
    <row r="116" spans="1:6" x14ac:dyDescent="0.25">
      <c r="A116" s="15">
        <v>43506.62771990741</v>
      </c>
      <c r="B116" s="3" t="s">
        <v>43</v>
      </c>
      <c r="C116" s="16">
        <v>1</v>
      </c>
      <c r="D116" s="16">
        <v>23</v>
      </c>
      <c r="E116" s="16">
        <v>24</v>
      </c>
      <c r="F116" s="3" t="s">
        <v>432</v>
      </c>
    </row>
    <row r="117" spans="1:6" x14ac:dyDescent="0.25">
      <c r="A117" s="15">
        <v>43506.62771990741</v>
      </c>
      <c r="B117" s="3" t="s">
        <v>46</v>
      </c>
      <c r="C117" s="16">
        <v>4</v>
      </c>
      <c r="D117" s="16">
        <v>12</v>
      </c>
      <c r="E117" s="16">
        <v>16</v>
      </c>
      <c r="F117" s="3" t="s">
        <v>432</v>
      </c>
    </row>
    <row r="118" spans="1:6" x14ac:dyDescent="0.25">
      <c r="A118" s="15">
        <v>43506.62771990741</v>
      </c>
      <c r="B118" s="3" t="s">
        <v>49</v>
      </c>
      <c r="C118" s="16">
        <v>1</v>
      </c>
      <c r="D118" s="16">
        <v>0</v>
      </c>
      <c r="E118" s="16">
        <v>1</v>
      </c>
      <c r="F118" s="3" t="s">
        <v>432</v>
      </c>
    </row>
    <row r="119" spans="1:6" x14ac:dyDescent="0.25">
      <c r="A119" s="15">
        <v>43506.62771990741</v>
      </c>
      <c r="B119" s="3" t="s">
        <v>52</v>
      </c>
      <c r="C119" s="16">
        <v>1</v>
      </c>
      <c r="D119" s="16">
        <v>8</v>
      </c>
      <c r="E119" s="16">
        <v>9</v>
      </c>
      <c r="F119" s="3" t="s">
        <v>432</v>
      </c>
    </row>
    <row r="120" spans="1:6" x14ac:dyDescent="0.25">
      <c r="A120" s="15">
        <v>43506.62771990741</v>
      </c>
      <c r="B120" s="3" t="s">
        <v>190</v>
      </c>
      <c r="C120" s="16">
        <v>6</v>
      </c>
      <c r="D120" s="16">
        <v>93</v>
      </c>
      <c r="E120" s="16">
        <v>99</v>
      </c>
      <c r="F120" s="3" t="s">
        <v>432</v>
      </c>
    </row>
    <row r="121" spans="1:6" x14ac:dyDescent="0.25">
      <c r="A121" s="15">
        <v>43506.62771990741</v>
      </c>
      <c r="B121" s="3" t="s">
        <v>56</v>
      </c>
      <c r="C121" s="16">
        <v>1</v>
      </c>
      <c r="D121" s="16">
        <v>8</v>
      </c>
      <c r="E121" s="16">
        <v>9</v>
      </c>
      <c r="F121" s="3" t="s">
        <v>432</v>
      </c>
    </row>
    <row r="122" spans="1:6" x14ac:dyDescent="0.25">
      <c r="A122" s="15">
        <v>43506.62771990741</v>
      </c>
      <c r="B122" s="3" t="s">
        <v>59</v>
      </c>
      <c r="C122" s="16">
        <v>1</v>
      </c>
      <c r="D122" s="16">
        <v>18</v>
      </c>
      <c r="E122" s="16">
        <v>19</v>
      </c>
      <c r="F122" s="3" t="s">
        <v>432</v>
      </c>
    </row>
    <row r="123" spans="1:6" x14ac:dyDescent="0.25">
      <c r="A123" s="15">
        <v>43506.62771990741</v>
      </c>
      <c r="B123" s="3" t="s">
        <v>61</v>
      </c>
      <c r="C123" s="16">
        <v>1</v>
      </c>
      <c r="D123" s="16">
        <v>8</v>
      </c>
      <c r="E123" s="16">
        <v>9</v>
      </c>
      <c r="F123" s="3" t="s">
        <v>432</v>
      </c>
    </row>
    <row r="124" spans="1:6" x14ac:dyDescent="0.25">
      <c r="A124" s="15">
        <v>43506.62771990741</v>
      </c>
      <c r="B124" s="3" t="s">
        <v>63</v>
      </c>
      <c r="C124" s="16">
        <v>3</v>
      </c>
      <c r="D124" s="16">
        <v>4</v>
      </c>
      <c r="E124" s="16">
        <v>7</v>
      </c>
      <c r="F124" s="3" t="s">
        <v>432</v>
      </c>
    </row>
    <row r="125" spans="1:6" x14ac:dyDescent="0.25">
      <c r="A125" s="15">
        <v>43506.62771990741</v>
      </c>
      <c r="B125" s="3" t="s">
        <v>139</v>
      </c>
      <c r="C125" s="16">
        <v>1</v>
      </c>
      <c r="D125" s="16">
        <v>0</v>
      </c>
      <c r="E125" s="16">
        <v>1</v>
      </c>
      <c r="F125" s="3" t="s">
        <v>432</v>
      </c>
    </row>
    <row r="126" spans="1:6" x14ac:dyDescent="0.25">
      <c r="A126" s="15">
        <v>43506.62771990741</v>
      </c>
      <c r="B126" s="3" t="s">
        <v>77</v>
      </c>
      <c r="C126" s="16">
        <v>1</v>
      </c>
      <c r="D126" s="16">
        <v>0</v>
      </c>
      <c r="E126" s="16">
        <v>1</v>
      </c>
      <c r="F126" s="3" t="s">
        <v>432</v>
      </c>
    </row>
    <row r="127" spans="1:6" x14ac:dyDescent="0.25">
      <c r="A127" s="15">
        <v>43506.62771990741</v>
      </c>
      <c r="B127" s="3" t="s">
        <v>81</v>
      </c>
      <c r="C127" s="16">
        <v>1</v>
      </c>
      <c r="D127" s="16">
        <v>1</v>
      </c>
      <c r="E127" s="16">
        <v>2</v>
      </c>
      <c r="F127" s="3" t="s">
        <v>432</v>
      </c>
    </row>
    <row r="128" spans="1:6" x14ac:dyDescent="0.25">
      <c r="A128" s="15">
        <v>43506.62771990741</v>
      </c>
      <c r="B128" s="3" t="s">
        <v>158</v>
      </c>
      <c r="C128" s="16">
        <v>1</v>
      </c>
      <c r="D128" s="16">
        <v>0</v>
      </c>
      <c r="E128" s="16">
        <v>1</v>
      </c>
      <c r="F128" s="3" t="s">
        <v>432</v>
      </c>
    </row>
    <row r="129" spans="1:6" x14ac:dyDescent="0.25">
      <c r="A129" s="15">
        <v>43506.62771990741</v>
      </c>
      <c r="B129" s="3">
        <v>1004068</v>
      </c>
      <c r="C129" s="16">
        <v>1</v>
      </c>
      <c r="D129" s="16">
        <v>1</v>
      </c>
      <c r="E129" s="16">
        <v>2</v>
      </c>
      <c r="F129" s="3" t="s">
        <v>432</v>
      </c>
    </row>
    <row r="130" spans="1:6" x14ac:dyDescent="0.25">
      <c r="A130" s="15">
        <v>43506.62771990741</v>
      </c>
      <c r="B130" s="3">
        <v>90990</v>
      </c>
      <c r="C130" s="16">
        <v>1</v>
      </c>
      <c r="D130" s="16">
        <v>0</v>
      </c>
      <c r="E130" s="16">
        <v>1</v>
      </c>
      <c r="F130" s="3" t="s">
        <v>432</v>
      </c>
    </row>
    <row r="131" spans="1:6" x14ac:dyDescent="0.25">
      <c r="A131" s="15">
        <v>43506.62771990741</v>
      </c>
      <c r="B131" s="3">
        <v>912951</v>
      </c>
      <c r="C131" s="16">
        <v>1</v>
      </c>
      <c r="D131" s="16">
        <v>0</v>
      </c>
      <c r="E131" s="16">
        <v>1</v>
      </c>
      <c r="F131" s="3" t="s">
        <v>432</v>
      </c>
    </row>
    <row r="132" spans="1:6" x14ac:dyDescent="0.25">
      <c r="A132" s="15">
        <v>43506.62771990741</v>
      </c>
      <c r="B132" s="3">
        <v>1181876</v>
      </c>
      <c r="C132" s="16">
        <v>1</v>
      </c>
      <c r="D132" s="16">
        <v>8</v>
      </c>
      <c r="E132" s="16">
        <v>9</v>
      </c>
      <c r="F132" s="3" t="s">
        <v>432</v>
      </c>
    </row>
    <row r="133" spans="1:6" x14ac:dyDescent="0.25">
      <c r="A133" s="15">
        <v>43506.62771990741</v>
      </c>
      <c r="B133" s="3">
        <v>965083</v>
      </c>
      <c r="C133" s="16">
        <v>1</v>
      </c>
      <c r="D133" s="16">
        <v>1</v>
      </c>
      <c r="E133" s="16">
        <v>2</v>
      </c>
      <c r="F133" s="3" t="s">
        <v>432</v>
      </c>
    </row>
    <row r="134" spans="1:6" x14ac:dyDescent="0.25">
      <c r="A134" s="15">
        <v>43512.96502314815</v>
      </c>
      <c r="B134" s="3" t="s">
        <v>434</v>
      </c>
      <c r="C134" s="16"/>
      <c r="D134" s="16">
        <v>0</v>
      </c>
      <c r="E134" s="16"/>
      <c r="F134" s="3" t="s">
        <v>344</v>
      </c>
    </row>
    <row r="135" spans="1:6" x14ac:dyDescent="0.25">
      <c r="A135" s="15">
        <v>43512.966874999998</v>
      </c>
      <c r="B135" s="3" t="s">
        <v>434</v>
      </c>
      <c r="C135" s="16" t="s">
        <v>438</v>
      </c>
      <c r="D135" s="16">
        <v>0</v>
      </c>
      <c r="E135" s="16" t="s">
        <v>438</v>
      </c>
      <c r="F135" s="3" t="s">
        <v>344</v>
      </c>
    </row>
    <row r="136" spans="1:6" x14ac:dyDescent="0.25">
      <c r="A136" s="15">
        <v>43519.51699074074</v>
      </c>
      <c r="B136" s="3" t="s">
        <v>337</v>
      </c>
      <c r="C136" s="16" t="s">
        <v>441</v>
      </c>
      <c r="D136" s="16">
        <v>0</v>
      </c>
      <c r="E136" s="16">
        <v>10</v>
      </c>
      <c r="F136" s="3" t="s">
        <v>461</v>
      </c>
    </row>
    <row r="137" spans="1:6" x14ac:dyDescent="0.25">
      <c r="A137" s="15">
        <v>43519.517534722225</v>
      </c>
      <c r="B137" s="3" t="s">
        <v>36</v>
      </c>
      <c r="C137" s="16" t="s">
        <v>65</v>
      </c>
      <c r="D137" s="16" t="s">
        <v>65</v>
      </c>
      <c r="E137" s="16" t="s">
        <v>65</v>
      </c>
      <c r="F137" s="3" t="s">
        <v>460</v>
      </c>
    </row>
    <row r="138" spans="1:6" x14ac:dyDescent="0.25">
      <c r="A138" s="15">
        <v>43519.51771990741</v>
      </c>
      <c r="B138" s="3" t="s">
        <v>12</v>
      </c>
      <c r="C138" s="16" t="s">
        <v>65</v>
      </c>
      <c r="D138" s="16" t="s">
        <v>65</v>
      </c>
      <c r="E138" s="16" t="s">
        <v>65</v>
      </c>
      <c r="F138" s="3" t="s">
        <v>460</v>
      </c>
    </row>
    <row r="139" spans="1:6" x14ac:dyDescent="0.25">
      <c r="A139" s="15">
        <v>43519.518425925926</v>
      </c>
      <c r="B139" s="3" t="s">
        <v>36</v>
      </c>
      <c r="C139" s="16" t="s">
        <v>65</v>
      </c>
      <c r="D139" s="16" t="s">
        <v>65</v>
      </c>
      <c r="E139" s="16" t="s">
        <v>65</v>
      </c>
      <c r="F139" s="3" t="s">
        <v>459</v>
      </c>
    </row>
    <row r="140" spans="1:6" x14ac:dyDescent="0.25">
      <c r="A140" s="15">
        <v>43519.518472222226</v>
      </c>
      <c r="B140" s="3" t="s">
        <v>12</v>
      </c>
      <c r="C140" s="16" t="s">
        <v>65</v>
      </c>
      <c r="D140" s="16" t="s">
        <v>65</v>
      </c>
      <c r="E140" s="16" t="s">
        <v>65</v>
      </c>
      <c r="F140" s="3" t="s">
        <v>459</v>
      </c>
    </row>
    <row r="141" spans="1:6" x14ac:dyDescent="0.25">
      <c r="A141" s="15">
        <v>43519.518576388888</v>
      </c>
      <c r="B141" s="3" t="s">
        <v>332</v>
      </c>
      <c r="C141" s="16" t="s">
        <v>65</v>
      </c>
      <c r="D141" s="16" t="s">
        <v>65</v>
      </c>
      <c r="E141" s="16" t="s">
        <v>65</v>
      </c>
      <c r="F141" s="3" t="s">
        <v>459</v>
      </c>
    </row>
    <row r="142" spans="1:6" x14ac:dyDescent="0.25">
      <c r="A142" s="15">
        <v>43519.518599537034</v>
      </c>
      <c r="B142" s="3" t="s">
        <v>63</v>
      </c>
      <c r="C142" s="16" t="s">
        <v>65</v>
      </c>
      <c r="D142" s="16" t="s">
        <v>65</v>
      </c>
      <c r="E142" s="16" t="s">
        <v>65</v>
      </c>
      <c r="F142" s="3" t="s">
        <v>459</v>
      </c>
    </row>
    <row r="143" spans="1:6" x14ac:dyDescent="0.25">
      <c r="A143" s="15">
        <v>43519.518622685187</v>
      </c>
      <c r="B143" s="3" t="s">
        <v>61</v>
      </c>
      <c r="C143" s="16" t="s">
        <v>65</v>
      </c>
      <c r="D143" s="16" t="s">
        <v>65</v>
      </c>
      <c r="E143" s="16" t="s">
        <v>65</v>
      </c>
      <c r="F143" s="3" t="s">
        <v>459</v>
      </c>
    </row>
    <row r="144" spans="1:6" x14ac:dyDescent="0.25">
      <c r="A144" s="15">
        <v>43519.518657407411</v>
      </c>
      <c r="B144" s="3" t="s">
        <v>59</v>
      </c>
      <c r="C144" s="16" t="s">
        <v>65</v>
      </c>
      <c r="D144" s="16" t="s">
        <v>65</v>
      </c>
      <c r="E144" s="16" t="s">
        <v>65</v>
      </c>
      <c r="F144" s="3" t="s">
        <v>459</v>
      </c>
    </row>
    <row r="145" spans="1:6" x14ac:dyDescent="0.25">
      <c r="A145" s="15">
        <v>43519.518703703703</v>
      </c>
      <c r="B145" s="3" t="s">
        <v>52</v>
      </c>
      <c r="C145" s="16" t="s">
        <v>65</v>
      </c>
      <c r="D145" s="16" t="s">
        <v>65</v>
      </c>
      <c r="E145" s="16" t="s">
        <v>65</v>
      </c>
      <c r="F145" s="3" t="s">
        <v>459</v>
      </c>
    </row>
    <row r="146" spans="1:6" x14ac:dyDescent="0.25">
      <c r="A146" s="15">
        <v>43519.518750000003</v>
      </c>
      <c r="B146" s="3" t="s">
        <v>56</v>
      </c>
      <c r="C146" s="16" t="s">
        <v>65</v>
      </c>
      <c r="D146" s="16" t="s">
        <v>65</v>
      </c>
      <c r="E146" s="16" t="s">
        <v>65</v>
      </c>
      <c r="F146" s="3" t="s">
        <v>459</v>
      </c>
    </row>
    <row r="147" spans="1:6" x14ac:dyDescent="0.25">
      <c r="A147" s="15">
        <v>43519.518773148149</v>
      </c>
      <c r="B147" s="3" t="s">
        <v>331</v>
      </c>
      <c r="C147" s="16" t="s">
        <v>65</v>
      </c>
      <c r="D147" s="16" t="s">
        <v>65</v>
      </c>
      <c r="E147" s="16" t="s">
        <v>65</v>
      </c>
      <c r="F147" s="3" t="s">
        <v>459</v>
      </c>
    </row>
    <row r="148" spans="1:6" x14ac:dyDescent="0.25">
      <c r="A148" s="15">
        <v>43519.518935185188</v>
      </c>
      <c r="B148" s="3" t="s">
        <v>54</v>
      </c>
      <c r="C148" s="16" t="s">
        <v>65</v>
      </c>
      <c r="D148" s="16" t="s">
        <v>65</v>
      </c>
      <c r="E148" s="16" t="s">
        <v>65</v>
      </c>
      <c r="F148" s="3" t="s">
        <v>459</v>
      </c>
    </row>
    <row r="149" spans="1:6" x14ac:dyDescent="0.25">
      <c r="A149" s="15">
        <v>43519.51903935185</v>
      </c>
      <c r="B149" s="3" t="s">
        <v>54</v>
      </c>
      <c r="C149" s="16" t="s">
        <v>65</v>
      </c>
      <c r="D149" s="16" t="s">
        <v>65</v>
      </c>
      <c r="E149" s="16" t="s">
        <v>65</v>
      </c>
      <c r="F149" s="3" t="s">
        <v>459</v>
      </c>
    </row>
    <row r="150" spans="1:6" x14ac:dyDescent="0.25">
      <c r="A150" s="15">
        <v>43540.741203703707</v>
      </c>
      <c r="B150" s="3" t="s">
        <v>359</v>
      </c>
      <c r="C150" s="16">
        <v>-1</v>
      </c>
      <c r="D150" s="16">
        <v>1</v>
      </c>
      <c r="E150" s="16">
        <v>0</v>
      </c>
      <c r="F150" s="3" t="s">
        <v>467</v>
      </c>
    </row>
    <row r="151" spans="1:6" x14ac:dyDescent="0.25">
      <c r="A151" s="15">
        <v>43569.402199074073</v>
      </c>
      <c r="B151" s="3" t="s">
        <v>359</v>
      </c>
      <c r="C151" s="16" t="s">
        <v>376</v>
      </c>
      <c r="D151" s="16">
        <v>0</v>
      </c>
      <c r="E151" s="16">
        <v>1</v>
      </c>
      <c r="F151" s="3" t="s">
        <v>468</v>
      </c>
    </row>
    <row r="152" spans="1:6" x14ac:dyDescent="0.25">
      <c r="A152" s="15">
        <v>43572.368414351855</v>
      </c>
      <c r="B152" s="3" t="s">
        <v>300</v>
      </c>
      <c r="C152" s="16" t="s">
        <v>65</v>
      </c>
      <c r="D152" s="16" t="s">
        <v>65</v>
      </c>
      <c r="E152" s="16" t="s">
        <v>65</v>
      </c>
      <c r="F152" s="3" t="s">
        <v>407</v>
      </c>
    </row>
  </sheetData>
  <conditionalFormatting sqref="B40">
    <cfRule type="duplicateValues" dxfId="97" priority="6"/>
  </conditionalFormatting>
  <conditionalFormatting sqref="B41">
    <cfRule type="duplicateValues" dxfId="96" priority="5"/>
  </conditionalFormatting>
  <conditionalFormatting sqref="B42">
    <cfRule type="duplicateValues" dxfId="95" priority="4"/>
  </conditionalFormatting>
  <conditionalFormatting sqref="B43">
    <cfRule type="duplicateValues" dxfId="94" priority="3"/>
  </conditionalFormatting>
  <conditionalFormatting sqref="B44">
    <cfRule type="duplicateValues" dxfId="93" priority="2"/>
  </conditionalFormatting>
  <conditionalFormatting sqref="B45">
    <cfRule type="duplicateValues" dxfId="92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1:M255"/>
  <sheetViews>
    <sheetView workbookViewId="0">
      <selection activeCell="N14" sqref="N14"/>
    </sheetView>
  </sheetViews>
  <sheetFormatPr defaultRowHeight="15" x14ac:dyDescent="0.25"/>
  <cols>
    <col min="1" max="1" width="10.5703125" bestFit="1" customWidth="1"/>
    <col min="2" max="2" width="24.5703125" style="8" bestFit="1" customWidth="1"/>
    <col min="9" max="9" width="14.5703125" bestFit="1" customWidth="1"/>
    <col min="10" max="10" width="32.85546875" bestFit="1" customWidth="1"/>
    <col min="12" max="12" width="11.85546875" bestFit="1" customWidth="1"/>
    <col min="13" max="13" width="18.140625" bestFit="1" customWidth="1"/>
  </cols>
  <sheetData>
    <row r="1" spans="1:13" ht="46.5" x14ac:dyDescent="0.7">
      <c r="A1" s="28" t="s">
        <v>170</v>
      </c>
      <c r="B1" s="10" t="str">
        <f>IF(COUNTIF(B2:B255,"2")=0,"OK","NOT OK")</f>
        <v>OK</v>
      </c>
    </row>
    <row r="2" spans="1:13" x14ac:dyDescent="0.25">
      <c r="A2" s="28"/>
      <c r="B2" s="8">
        <f>COUNTIF(Articles!B:B,Articles!$B2)</f>
        <v>1</v>
      </c>
      <c r="I2" s="22" t="s">
        <v>384</v>
      </c>
      <c r="L2" s="22" t="s">
        <v>393</v>
      </c>
    </row>
    <row r="3" spans="1:13" x14ac:dyDescent="0.25">
      <c r="A3" s="28"/>
      <c r="B3" s="8">
        <f>COUNTIF(Articles!B:B,Articles!$B3)</f>
        <v>1</v>
      </c>
      <c r="I3" s="23" t="s">
        <v>385</v>
      </c>
      <c r="J3" s="23" t="s">
        <v>2</v>
      </c>
      <c r="L3" s="23" t="s">
        <v>385</v>
      </c>
      <c r="M3" s="23" t="s">
        <v>2</v>
      </c>
    </row>
    <row r="4" spans="1:13" x14ac:dyDescent="0.25">
      <c r="A4" s="28"/>
      <c r="B4" s="8">
        <f>COUNTIF(Articles!B:B,Articles!$B4)</f>
        <v>1</v>
      </c>
      <c r="I4" t="s">
        <v>387</v>
      </c>
      <c r="J4" t="s">
        <v>389</v>
      </c>
      <c r="L4" t="s">
        <v>394</v>
      </c>
      <c r="M4" t="s">
        <v>399</v>
      </c>
    </row>
    <row r="5" spans="1:13" x14ac:dyDescent="0.25">
      <c r="A5" s="28"/>
      <c r="B5" s="8">
        <f>COUNTIF(Articles!B:B,Articles!$B5)</f>
        <v>1</v>
      </c>
      <c r="I5" t="s">
        <v>386</v>
      </c>
      <c r="J5" t="s">
        <v>390</v>
      </c>
      <c r="L5" t="s">
        <v>395</v>
      </c>
      <c r="M5" t="s">
        <v>400</v>
      </c>
    </row>
    <row r="6" spans="1:13" x14ac:dyDescent="0.25">
      <c r="A6" s="28"/>
      <c r="B6" s="8">
        <f>COUNTIF(Articles!B:B,Articles!$B6)</f>
        <v>1</v>
      </c>
      <c r="I6" t="s">
        <v>462</v>
      </c>
      <c r="J6" t="s">
        <v>388</v>
      </c>
      <c r="L6" t="s">
        <v>396</v>
      </c>
      <c r="M6" t="s">
        <v>402</v>
      </c>
    </row>
    <row r="7" spans="1:13" x14ac:dyDescent="0.25">
      <c r="A7" s="11"/>
      <c r="B7" s="8">
        <f>COUNTIF(Articles!B:B,Articles!$B7)</f>
        <v>1</v>
      </c>
      <c r="I7" t="s">
        <v>463</v>
      </c>
      <c r="J7" t="s">
        <v>466</v>
      </c>
      <c r="L7" t="s">
        <v>397</v>
      </c>
    </row>
    <row r="8" spans="1:13" x14ac:dyDescent="0.25">
      <c r="A8" s="11"/>
      <c r="B8" s="8">
        <f>COUNTIF(Articles!B:B,Articles!$B8)</f>
        <v>1</v>
      </c>
      <c r="I8" t="s">
        <v>464</v>
      </c>
      <c r="J8" t="s">
        <v>391</v>
      </c>
      <c r="L8" t="s">
        <v>398</v>
      </c>
    </row>
    <row r="9" spans="1:13" x14ac:dyDescent="0.25">
      <c r="B9" s="8">
        <f>COUNTIF(Articles!B:B,Articles!$B9)</f>
        <v>1</v>
      </c>
      <c r="I9" t="s">
        <v>465</v>
      </c>
      <c r="J9" t="s">
        <v>392</v>
      </c>
    </row>
    <row r="10" spans="1:13" x14ac:dyDescent="0.25">
      <c r="B10" s="8">
        <f>COUNTIF(Articles!B:B,Articles!$B10)</f>
        <v>1</v>
      </c>
    </row>
    <row r="11" spans="1:13" x14ac:dyDescent="0.25">
      <c r="B11" s="8">
        <f>COUNTIF(Articles!B:B,Articles!$B11)</f>
        <v>1</v>
      </c>
    </row>
    <row r="12" spans="1:13" x14ac:dyDescent="0.25">
      <c r="B12" s="8">
        <f>COUNTIF(Articles!B:B,Articles!$B12)</f>
        <v>1</v>
      </c>
    </row>
    <row r="13" spans="1:13" x14ac:dyDescent="0.25">
      <c r="B13" s="8">
        <f>COUNTIF(Articles!B:B,Articles!$B13)</f>
        <v>1</v>
      </c>
    </row>
    <row r="14" spans="1:13" x14ac:dyDescent="0.25">
      <c r="B14" s="8">
        <f>COUNTIF(Articles!B:B,Articles!$B14)</f>
        <v>1</v>
      </c>
    </row>
    <row r="15" spans="1:13" x14ac:dyDescent="0.25">
      <c r="B15" s="8">
        <f>COUNTIF(Articles!B:B,Articles!$B15)</f>
        <v>1</v>
      </c>
    </row>
    <row r="16" spans="1:13" x14ac:dyDescent="0.25">
      <c r="B16" s="8">
        <f>COUNTIF(Articles!B:B,Articles!$B16)</f>
        <v>1</v>
      </c>
    </row>
    <row r="17" spans="2:2" x14ac:dyDescent="0.25">
      <c r="B17" s="8">
        <f>COUNTIF(Articles!B:B,Articles!$B17)</f>
        <v>1</v>
      </c>
    </row>
    <row r="18" spans="2:2" x14ac:dyDescent="0.25">
      <c r="B18" s="8">
        <f>COUNTIF(Articles!B:B,Articles!$B18)</f>
        <v>1</v>
      </c>
    </row>
    <row r="19" spans="2:2" x14ac:dyDescent="0.25">
      <c r="B19" s="8">
        <f>COUNTIF(Articles!B:B,Articles!$B19)</f>
        <v>1</v>
      </c>
    </row>
    <row r="20" spans="2:2" x14ac:dyDescent="0.25">
      <c r="B20" s="8">
        <f>COUNTIF(Articles!B:B,Articles!$B20)</f>
        <v>1</v>
      </c>
    </row>
    <row r="21" spans="2:2" x14ac:dyDescent="0.25">
      <c r="B21" s="8">
        <f>COUNTIF(Articles!B:B,Articles!$B21)</f>
        <v>1</v>
      </c>
    </row>
    <row r="22" spans="2:2" x14ac:dyDescent="0.25">
      <c r="B22" s="8">
        <f>COUNTIF(Articles!B:B,Articles!$B22)</f>
        <v>1</v>
      </c>
    </row>
    <row r="23" spans="2:2" x14ac:dyDescent="0.25">
      <c r="B23" s="8">
        <f>COUNTIF(Articles!B:B,Articles!$B23)</f>
        <v>1</v>
      </c>
    </row>
    <row r="24" spans="2:2" x14ac:dyDescent="0.25">
      <c r="B24" s="8">
        <f>COUNTIF(Articles!B:B,Articles!$B24)</f>
        <v>1</v>
      </c>
    </row>
    <row r="25" spans="2:2" x14ac:dyDescent="0.25">
      <c r="B25" s="8">
        <f>COUNTIF(Articles!B:B,Articles!$B25)</f>
        <v>1</v>
      </c>
    </row>
    <row r="26" spans="2:2" x14ac:dyDescent="0.25">
      <c r="B26" s="8">
        <f>COUNTIF(Articles!B:B,Articles!$B26)</f>
        <v>1</v>
      </c>
    </row>
    <row r="27" spans="2:2" x14ac:dyDescent="0.25">
      <c r="B27" s="8">
        <f>COUNTIF(Articles!B:B,Articles!$B27)</f>
        <v>1</v>
      </c>
    </row>
    <row r="28" spans="2:2" x14ac:dyDescent="0.25">
      <c r="B28" s="8">
        <f>COUNTIF(Articles!B:B,Articles!$B28)</f>
        <v>1</v>
      </c>
    </row>
    <row r="29" spans="2:2" x14ac:dyDescent="0.25">
      <c r="B29" s="8">
        <f>COUNTIF(Articles!B:B,Articles!$B29)</f>
        <v>1</v>
      </c>
    </row>
    <row r="30" spans="2:2" x14ac:dyDescent="0.25">
      <c r="B30" s="8">
        <f>COUNTIF(Articles!B:B,Articles!$B30)</f>
        <v>1</v>
      </c>
    </row>
    <row r="31" spans="2:2" x14ac:dyDescent="0.25">
      <c r="B31" s="8">
        <f>COUNTIF(Articles!B:B,Articles!$B31)</f>
        <v>1</v>
      </c>
    </row>
    <row r="32" spans="2:2" x14ac:dyDescent="0.25">
      <c r="B32" s="8">
        <f>COUNTIF(Articles!B:B,Articles!$B32)</f>
        <v>1</v>
      </c>
    </row>
    <row r="33" spans="2:2" x14ac:dyDescent="0.25">
      <c r="B33" s="8">
        <f>COUNTIF(Articles!B:B,Articles!$B33)</f>
        <v>1</v>
      </c>
    </row>
    <row r="34" spans="2:2" x14ac:dyDescent="0.25">
      <c r="B34" s="8">
        <f>COUNTIF(Articles!B:B,Articles!$B34)</f>
        <v>1</v>
      </c>
    </row>
    <row r="35" spans="2:2" x14ac:dyDescent="0.25">
      <c r="B35" s="8">
        <f>COUNTIF(Articles!B:B,Articles!$B35)</f>
        <v>1</v>
      </c>
    </row>
    <row r="36" spans="2:2" x14ac:dyDescent="0.25">
      <c r="B36" s="8">
        <f>COUNTIF(Articles!B:B,Articles!$B36)</f>
        <v>1</v>
      </c>
    </row>
    <row r="37" spans="2:2" x14ac:dyDescent="0.25">
      <c r="B37" s="8">
        <f>COUNTIF(Articles!B:B,Articles!$B37)</f>
        <v>1</v>
      </c>
    </row>
    <row r="38" spans="2:2" x14ac:dyDescent="0.25">
      <c r="B38" s="8">
        <f>COUNTIF(Articles!B:B,Articles!$B38)</f>
        <v>1</v>
      </c>
    </row>
    <row r="39" spans="2:2" x14ac:dyDescent="0.25">
      <c r="B39" s="8">
        <f>COUNTIF(Articles!B:B,Articles!$B39)</f>
        <v>1</v>
      </c>
    </row>
    <row r="40" spans="2:2" x14ac:dyDescent="0.25">
      <c r="B40" s="8">
        <f>COUNTIF(Articles!B:B,Articles!$B40)</f>
        <v>1</v>
      </c>
    </row>
    <row r="41" spans="2:2" x14ac:dyDescent="0.25">
      <c r="B41" s="8">
        <f>COUNTIF(Articles!B:B,Articles!$B41)</f>
        <v>1</v>
      </c>
    </row>
    <row r="42" spans="2:2" x14ac:dyDescent="0.25">
      <c r="B42" s="8">
        <f>COUNTIF(Articles!B:B,Articles!$B42)</f>
        <v>1</v>
      </c>
    </row>
    <row r="43" spans="2:2" x14ac:dyDescent="0.25">
      <c r="B43" s="8">
        <f>COUNTIF(Articles!B:B,Articles!$B43)</f>
        <v>1</v>
      </c>
    </row>
    <row r="44" spans="2:2" x14ac:dyDescent="0.25">
      <c r="B44" s="8">
        <f>COUNTIF(Articles!B:B,Articles!$B44)</f>
        <v>1</v>
      </c>
    </row>
    <row r="45" spans="2:2" x14ac:dyDescent="0.25">
      <c r="B45" s="8">
        <f>COUNTIF(Articles!B:B,Articles!$B45)</f>
        <v>1</v>
      </c>
    </row>
    <row r="46" spans="2:2" x14ac:dyDescent="0.25">
      <c r="B46" s="8">
        <f>COUNTIF(Articles!B:B,Articles!$B46)</f>
        <v>1</v>
      </c>
    </row>
    <row r="47" spans="2:2" x14ac:dyDescent="0.25">
      <c r="B47" s="8">
        <f>COUNTIF(Articles!B:B,Articles!$B47)</f>
        <v>1</v>
      </c>
    </row>
    <row r="48" spans="2:2" x14ac:dyDescent="0.25">
      <c r="B48" s="8">
        <f>COUNTIF(Articles!B:B,Articles!$B48)</f>
        <v>1</v>
      </c>
    </row>
    <row r="49" spans="2:2" x14ac:dyDescent="0.25">
      <c r="B49" s="8">
        <f>COUNTIF(Articles!B:B,Articles!$B49)</f>
        <v>1</v>
      </c>
    </row>
    <row r="50" spans="2:2" x14ac:dyDescent="0.25">
      <c r="B50" s="8">
        <f>COUNTIF(Articles!B:B,Articles!$B50)</f>
        <v>1</v>
      </c>
    </row>
    <row r="51" spans="2:2" x14ac:dyDescent="0.25">
      <c r="B51" s="8">
        <f>COUNTIF(Articles!B:B,Articles!$B51)</f>
        <v>1</v>
      </c>
    </row>
    <row r="52" spans="2:2" x14ac:dyDescent="0.25">
      <c r="B52" s="8">
        <f>COUNTIF(Articles!B:B,Articles!$B52)</f>
        <v>1</v>
      </c>
    </row>
    <row r="53" spans="2:2" x14ac:dyDescent="0.25">
      <c r="B53" s="8">
        <f>COUNTIF(Articles!B:B,Articles!$B53)</f>
        <v>1</v>
      </c>
    </row>
    <row r="54" spans="2:2" x14ac:dyDescent="0.25">
      <c r="B54" s="8">
        <f>COUNTIF(Articles!B:B,Articles!$B54)</f>
        <v>1</v>
      </c>
    </row>
    <row r="55" spans="2:2" x14ac:dyDescent="0.25">
      <c r="B55" s="8">
        <f>COUNTIF(Articles!B:B,Articles!$B55)</f>
        <v>1</v>
      </c>
    </row>
    <row r="56" spans="2:2" x14ac:dyDescent="0.25">
      <c r="B56" s="8">
        <f>COUNTIF(Articles!B:B,Articles!$B56)</f>
        <v>1</v>
      </c>
    </row>
    <row r="57" spans="2:2" x14ac:dyDescent="0.25">
      <c r="B57" s="8">
        <f>COUNTIF(Articles!B:B,Articles!#REF!)</f>
        <v>0</v>
      </c>
    </row>
    <row r="58" spans="2:2" x14ac:dyDescent="0.25">
      <c r="B58" s="8">
        <f>COUNTIF(Articles!B:B,Articles!$B57)</f>
        <v>1</v>
      </c>
    </row>
    <row r="59" spans="2:2" x14ac:dyDescent="0.25">
      <c r="B59" s="8">
        <f>COUNTIF(Articles!B:B,Articles!$B64)</f>
        <v>1</v>
      </c>
    </row>
    <row r="60" spans="2:2" x14ac:dyDescent="0.25">
      <c r="B60" s="8">
        <f>COUNTIF(Articles!B:B,Articles!$B65)</f>
        <v>1</v>
      </c>
    </row>
    <row r="61" spans="2:2" x14ac:dyDescent="0.25">
      <c r="B61" s="8">
        <f>COUNTIF(Articles!B:B,Articles!$B66)</f>
        <v>1</v>
      </c>
    </row>
    <row r="62" spans="2:2" x14ac:dyDescent="0.25">
      <c r="B62" s="8">
        <f>COUNTIF(Articles!B:B,Articles!$B67)</f>
        <v>1</v>
      </c>
    </row>
    <row r="63" spans="2:2" x14ac:dyDescent="0.25">
      <c r="B63" s="8">
        <f>COUNTIF(Articles!B:B,Articles!$B68)</f>
        <v>1</v>
      </c>
    </row>
    <row r="64" spans="2:2" x14ac:dyDescent="0.25">
      <c r="B64" s="8">
        <f>COUNTIF(Articles!B:B,Articles!$B69)</f>
        <v>1</v>
      </c>
    </row>
    <row r="65" spans="2:2" x14ac:dyDescent="0.25">
      <c r="B65" s="8">
        <f>COUNTIF(Articles!B:B,Articles!$B70)</f>
        <v>1</v>
      </c>
    </row>
    <row r="66" spans="2:2" x14ac:dyDescent="0.25">
      <c r="B66" s="8">
        <f>COUNTIF(Articles!B:B,Articles!$B71)</f>
        <v>1</v>
      </c>
    </row>
    <row r="67" spans="2:2" x14ac:dyDescent="0.25">
      <c r="B67" s="8">
        <f>COUNTIF(Articles!B:B,Articles!$B72)</f>
        <v>1</v>
      </c>
    </row>
    <row r="68" spans="2:2" x14ac:dyDescent="0.25">
      <c r="B68" s="8">
        <f>COUNTIF(Articles!B:B,Articles!$B73)</f>
        <v>1</v>
      </c>
    </row>
    <row r="69" spans="2:2" x14ac:dyDescent="0.25">
      <c r="B69" s="8">
        <f>COUNTIF(Articles!B:B,Articles!$B74)</f>
        <v>1</v>
      </c>
    </row>
    <row r="70" spans="2:2" x14ac:dyDescent="0.25">
      <c r="B70" s="8">
        <f>COUNTIF(Articles!B:B,Articles!$B75)</f>
        <v>1</v>
      </c>
    </row>
    <row r="71" spans="2:2" x14ac:dyDescent="0.25">
      <c r="B71" s="8">
        <f>COUNTIF(Articles!B:B,Articles!$B76)</f>
        <v>1</v>
      </c>
    </row>
    <row r="72" spans="2:2" x14ac:dyDescent="0.25">
      <c r="B72" s="8">
        <f>COUNTIF(Articles!B:B,Articles!$B78)</f>
        <v>1</v>
      </c>
    </row>
    <row r="73" spans="2:2" x14ac:dyDescent="0.25">
      <c r="B73" s="8">
        <f>COUNTIF(Articles!B:B,Articles!#REF!)</f>
        <v>0</v>
      </c>
    </row>
    <row r="74" spans="2:2" x14ac:dyDescent="0.25">
      <c r="B74" s="8">
        <f>COUNTIF(Articles!B:B,Articles!#REF!)</f>
        <v>0</v>
      </c>
    </row>
    <row r="75" spans="2:2" x14ac:dyDescent="0.25">
      <c r="B75" s="8">
        <f>COUNTIF(Articles!B:B,Articles!#REF!)</f>
        <v>0</v>
      </c>
    </row>
    <row r="76" spans="2:2" x14ac:dyDescent="0.25">
      <c r="B76" s="8">
        <f>COUNTIF(Articles!B:B,Articles!#REF!)</f>
        <v>0</v>
      </c>
    </row>
    <row r="77" spans="2:2" x14ac:dyDescent="0.25">
      <c r="B77" s="8">
        <f>COUNTIF(Articles!B:B,Articles!#REF!)</f>
        <v>0</v>
      </c>
    </row>
    <row r="78" spans="2:2" x14ac:dyDescent="0.25">
      <c r="B78" s="8">
        <f>COUNTIF(Articles!B:B,Articles!#REF!)</f>
        <v>0</v>
      </c>
    </row>
    <row r="79" spans="2:2" x14ac:dyDescent="0.25">
      <c r="B79" s="8">
        <f>COUNTIF(Articles!B:B,Articles!#REF!)</f>
        <v>0</v>
      </c>
    </row>
    <row r="80" spans="2:2" x14ac:dyDescent="0.25">
      <c r="B80" s="8">
        <f>COUNTIF(Articles!B:B,Articles!#REF!)</f>
        <v>0</v>
      </c>
    </row>
    <row r="81" spans="2:2" x14ac:dyDescent="0.25">
      <c r="B81" s="8">
        <f>COUNTIF(Articles!B:B,Articles!#REF!)</f>
        <v>0</v>
      </c>
    </row>
    <row r="82" spans="2:2" x14ac:dyDescent="0.25">
      <c r="B82" s="8">
        <f>COUNTIF(Articles!B:B,Articles!#REF!)</f>
        <v>0</v>
      </c>
    </row>
    <row r="83" spans="2:2" x14ac:dyDescent="0.25">
      <c r="B83" s="8">
        <f>COUNTIF(Articles!B:B,Articles!#REF!)</f>
        <v>0</v>
      </c>
    </row>
    <row r="84" spans="2:2" x14ac:dyDescent="0.25">
      <c r="B84" s="8">
        <f>COUNTIF(Articles!B:B,Articles!#REF!)</f>
        <v>0</v>
      </c>
    </row>
    <row r="85" spans="2:2" x14ac:dyDescent="0.25">
      <c r="B85" s="8">
        <f>COUNTIF(Articles!B:B,Articles!#REF!)</f>
        <v>0</v>
      </c>
    </row>
    <row r="86" spans="2:2" x14ac:dyDescent="0.25">
      <c r="B86" s="8">
        <f>COUNTIF(Articles!B:B,Articles!#REF!)</f>
        <v>0</v>
      </c>
    </row>
    <row r="87" spans="2:2" x14ac:dyDescent="0.25">
      <c r="B87" s="8">
        <f>COUNTIF(Articles!B:B,Articles!#REF!)</f>
        <v>0</v>
      </c>
    </row>
    <row r="88" spans="2:2" x14ac:dyDescent="0.25">
      <c r="B88" s="8">
        <f>COUNTIF(Articles!B:B,Articles!#REF!)</f>
        <v>0</v>
      </c>
    </row>
    <row r="89" spans="2:2" x14ac:dyDescent="0.25">
      <c r="B89" s="8">
        <f>COUNTIF(Articles!B:B,Articles!#REF!)</f>
        <v>0</v>
      </c>
    </row>
    <row r="90" spans="2:2" x14ac:dyDescent="0.25">
      <c r="B90" s="8">
        <f>COUNTIF(Articles!B:B,Articles!#REF!)</f>
        <v>0</v>
      </c>
    </row>
    <row r="91" spans="2:2" x14ac:dyDescent="0.25">
      <c r="B91" s="8">
        <f>COUNTIF(Articles!B:B,Articles!#REF!)</f>
        <v>0</v>
      </c>
    </row>
    <row r="92" spans="2:2" x14ac:dyDescent="0.25">
      <c r="B92" s="8">
        <f>COUNTIF(Articles!B:B,Articles!#REF!)</f>
        <v>0</v>
      </c>
    </row>
    <row r="93" spans="2:2" x14ac:dyDescent="0.25">
      <c r="B93" s="8">
        <f>COUNTIF(Articles!B:B,Articles!$B80)</f>
        <v>1</v>
      </c>
    </row>
    <row r="94" spans="2:2" x14ac:dyDescent="0.25">
      <c r="B94" s="8">
        <f>COUNTIF(Articles!B:B,Articles!$B81)</f>
        <v>1</v>
      </c>
    </row>
    <row r="95" spans="2:2" x14ac:dyDescent="0.25">
      <c r="B95" s="8">
        <f>COUNTIF(Articles!B:B,Articles!$B82)</f>
        <v>1</v>
      </c>
    </row>
    <row r="96" spans="2:2" x14ac:dyDescent="0.25">
      <c r="B96" s="8">
        <f>COUNTIF(Articles!B:B,Articles!$B83)</f>
        <v>1</v>
      </c>
    </row>
    <row r="97" spans="2:2" x14ac:dyDescent="0.25">
      <c r="B97" s="8">
        <f>COUNTIF(Articles!B:B,Articles!$B84)</f>
        <v>1</v>
      </c>
    </row>
    <row r="98" spans="2:2" x14ac:dyDescent="0.25">
      <c r="B98" s="8">
        <f>COUNTIF(Articles!B:B,Articles!$B85)</f>
        <v>1</v>
      </c>
    </row>
    <row r="99" spans="2:2" x14ac:dyDescent="0.25">
      <c r="B99" s="8">
        <f>COUNTIF(Articles!B:B,Articles!#REF!)</f>
        <v>0</v>
      </c>
    </row>
    <row r="100" spans="2:2" x14ac:dyDescent="0.25">
      <c r="B100" s="8">
        <f>COUNTIF(Articles!B:B,Articles!#REF!)</f>
        <v>0</v>
      </c>
    </row>
    <row r="101" spans="2:2" x14ac:dyDescent="0.25">
      <c r="B101" s="8">
        <f>COUNTIF(Articles!B:B,Articles!$B86)</f>
        <v>1</v>
      </c>
    </row>
    <row r="102" spans="2:2" x14ac:dyDescent="0.25">
      <c r="B102" s="8">
        <f>COUNTIF(Articles!B:B,Articles!#REF!)</f>
        <v>0</v>
      </c>
    </row>
    <row r="103" spans="2:2" x14ac:dyDescent="0.25">
      <c r="B103" s="8">
        <f>COUNTIF(Articles!B:B,Articles!#REF!)</f>
        <v>0</v>
      </c>
    </row>
    <row r="104" spans="2:2" x14ac:dyDescent="0.25">
      <c r="B104" s="8">
        <f>COUNTIF(Articles!B:B,Articles!#REF!)</f>
        <v>0</v>
      </c>
    </row>
    <row r="105" spans="2:2" x14ac:dyDescent="0.25">
      <c r="B105" s="8">
        <f>COUNTIF(Articles!B:B,Articles!#REF!)</f>
        <v>0</v>
      </c>
    </row>
    <row r="106" spans="2:2" x14ac:dyDescent="0.25">
      <c r="B106" s="8">
        <f>COUNTIF(Articles!B:B,Articles!#REF!)</f>
        <v>0</v>
      </c>
    </row>
    <row r="107" spans="2:2" x14ac:dyDescent="0.25">
      <c r="B107" s="8">
        <f>COUNTIF(Articles!B:B,Articles!#REF!)</f>
        <v>0</v>
      </c>
    </row>
    <row r="108" spans="2:2" x14ac:dyDescent="0.25">
      <c r="B108" s="8">
        <f>COUNTIF(Articles!B:B,Articles!#REF!)</f>
        <v>0</v>
      </c>
    </row>
    <row r="109" spans="2:2" x14ac:dyDescent="0.25">
      <c r="B109" s="8">
        <f>COUNTIF(Articles!B:B,Articles!#REF!)</f>
        <v>0</v>
      </c>
    </row>
    <row r="110" spans="2:2" x14ac:dyDescent="0.25">
      <c r="B110" s="8">
        <f>COUNTIF(Articles!B:B,Articles!#REF!)</f>
        <v>0</v>
      </c>
    </row>
    <row r="111" spans="2:2" x14ac:dyDescent="0.25">
      <c r="B111" s="8">
        <f>COUNTIF(Articles!B:B,Articles!#REF!)</f>
        <v>0</v>
      </c>
    </row>
    <row r="112" spans="2:2" x14ac:dyDescent="0.25">
      <c r="B112" s="8">
        <f>COUNTIF(Articles!B:B,Articles!$B87)</f>
        <v>1</v>
      </c>
    </row>
    <row r="113" spans="2:2" x14ac:dyDescent="0.25">
      <c r="B113" s="8">
        <f>COUNTIF(Articles!B:B,Articles!$B89)</f>
        <v>1</v>
      </c>
    </row>
    <row r="114" spans="2:2" x14ac:dyDescent="0.25">
      <c r="B114" s="8">
        <f>COUNTIF(Articles!B:B,Articles!#REF!)</f>
        <v>0</v>
      </c>
    </row>
    <row r="115" spans="2:2" x14ac:dyDescent="0.25">
      <c r="B115" s="8">
        <f>COUNTIF(Articles!B:B,Articles!$B90)</f>
        <v>1</v>
      </c>
    </row>
    <row r="116" spans="2:2" x14ac:dyDescent="0.25">
      <c r="B116" s="8">
        <f>COUNTIF(Articles!B:B,Articles!$B91)</f>
        <v>1</v>
      </c>
    </row>
    <row r="117" spans="2:2" x14ac:dyDescent="0.25">
      <c r="B117" s="8">
        <f>COUNTIF(Articles!B:B,Articles!$B92)</f>
        <v>1</v>
      </c>
    </row>
    <row r="118" spans="2:2" x14ac:dyDescent="0.25">
      <c r="B118" s="8">
        <f>COUNTIF(Articles!B:B,Articles!$B93)</f>
        <v>1</v>
      </c>
    </row>
    <row r="119" spans="2:2" x14ac:dyDescent="0.25">
      <c r="B119" s="8">
        <f>COUNTIF(Articles!B:B,Articles!$B94)</f>
        <v>1</v>
      </c>
    </row>
    <row r="120" spans="2:2" x14ac:dyDescent="0.25">
      <c r="B120" s="8">
        <f>COUNTIF(Articles!B:B,Articles!$B95)</f>
        <v>1</v>
      </c>
    </row>
    <row r="121" spans="2:2" x14ac:dyDescent="0.25">
      <c r="B121" s="8">
        <f>COUNTIF(Articles!B:B,Articles!$B96)</f>
        <v>1</v>
      </c>
    </row>
    <row r="122" spans="2:2" x14ac:dyDescent="0.25">
      <c r="B122" s="8">
        <f>COUNTIF(Articles!B:B,Articles!$B97)</f>
        <v>1</v>
      </c>
    </row>
    <row r="123" spans="2:2" x14ac:dyDescent="0.25">
      <c r="B123" s="8">
        <f>COUNTIF(Articles!B:B,Articles!$B98)</f>
        <v>1</v>
      </c>
    </row>
    <row r="124" spans="2:2" x14ac:dyDescent="0.25">
      <c r="B124" s="8">
        <f>COUNTIF(Articles!B:B,Articles!#REF!)</f>
        <v>0</v>
      </c>
    </row>
    <row r="125" spans="2:2" x14ac:dyDescent="0.25">
      <c r="B125" s="8">
        <f>COUNTIF(Articles!B:B,Articles!#REF!)</f>
        <v>0</v>
      </c>
    </row>
    <row r="126" spans="2:2" x14ac:dyDescent="0.25">
      <c r="B126" s="8">
        <f>COUNTIF(Articles!B:B,Articles!#REF!)</f>
        <v>0</v>
      </c>
    </row>
    <row r="127" spans="2:2" x14ac:dyDescent="0.25">
      <c r="B127" s="8">
        <f>COUNTIF(Articles!B:B,Articles!#REF!)</f>
        <v>0</v>
      </c>
    </row>
    <row r="128" spans="2:2" x14ac:dyDescent="0.25">
      <c r="B128" s="8">
        <f>COUNTIF(Articles!B:B,Articles!$B99)</f>
        <v>1</v>
      </c>
    </row>
    <row r="129" spans="2:2" x14ac:dyDescent="0.25">
      <c r="B129" s="8">
        <f>COUNTIF(Articles!B:B,Articles!$B100)</f>
        <v>1</v>
      </c>
    </row>
    <row r="130" spans="2:2" x14ac:dyDescent="0.25">
      <c r="B130" s="8">
        <f>COUNTIF(Articles!B:B,Articles!$B101)</f>
        <v>0</v>
      </c>
    </row>
    <row r="131" spans="2:2" x14ac:dyDescent="0.25">
      <c r="B131" s="8">
        <f>COUNTIF(Articles!B:B,Articles!$B102)</f>
        <v>0</v>
      </c>
    </row>
    <row r="132" spans="2:2" x14ac:dyDescent="0.25">
      <c r="B132" s="8">
        <f>COUNTIF(Articles!B:B,Articles!$B103)</f>
        <v>0</v>
      </c>
    </row>
    <row r="133" spans="2:2" x14ac:dyDescent="0.25">
      <c r="B133" s="8">
        <f>COUNTIF(Articles!B:B,Articles!$B104)</f>
        <v>0</v>
      </c>
    </row>
    <row r="134" spans="2:2" x14ac:dyDescent="0.25">
      <c r="B134" s="8">
        <f>COUNTIF(Articles!B:B,Articles!$B105)</f>
        <v>0</v>
      </c>
    </row>
    <row r="135" spans="2:2" x14ac:dyDescent="0.25">
      <c r="B135" s="8">
        <f>COUNTIF(Articles!B:B,Articles!$B106)</f>
        <v>0</v>
      </c>
    </row>
    <row r="136" spans="2:2" x14ac:dyDescent="0.25">
      <c r="B136" s="8">
        <f>COUNTIF(Articles!B:B,Articles!$B107)</f>
        <v>0</v>
      </c>
    </row>
    <row r="137" spans="2:2" x14ac:dyDescent="0.25">
      <c r="B137" s="8">
        <f>COUNTIF(Articles!B:B,Articles!$B108)</f>
        <v>0</v>
      </c>
    </row>
    <row r="138" spans="2:2" x14ac:dyDescent="0.25">
      <c r="B138" s="8">
        <f>COUNTIF(Articles!B:B,Articles!$B109)</f>
        <v>0</v>
      </c>
    </row>
    <row r="139" spans="2:2" x14ac:dyDescent="0.25">
      <c r="B139" s="8">
        <f>COUNTIF(Articles!B:B,Articles!$B110)</f>
        <v>0</v>
      </c>
    </row>
    <row r="140" spans="2:2" x14ac:dyDescent="0.25">
      <c r="B140" s="8">
        <f>COUNTIF(Articles!B:B,Articles!$B111)</f>
        <v>0</v>
      </c>
    </row>
    <row r="141" spans="2:2" x14ac:dyDescent="0.25">
      <c r="B141" s="8">
        <f>COUNTIF(Articles!B:B,Articles!$B112)</f>
        <v>0</v>
      </c>
    </row>
    <row r="142" spans="2:2" x14ac:dyDescent="0.25">
      <c r="B142" s="8">
        <f>COUNTIF(Articles!B:B,Articles!$B113)</f>
        <v>0</v>
      </c>
    </row>
    <row r="143" spans="2:2" x14ac:dyDescent="0.25">
      <c r="B143" s="8">
        <f>COUNTIF(Articles!B:B,Articles!$B114)</f>
        <v>0</v>
      </c>
    </row>
    <row r="144" spans="2:2" x14ac:dyDescent="0.25">
      <c r="B144" s="8">
        <f>COUNTIF(Articles!B:B,Articles!$B115)</f>
        <v>0</v>
      </c>
    </row>
    <row r="145" spans="2:2" x14ac:dyDescent="0.25">
      <c r="B145" s="8">
        <f>COUNTIF(Articles!B:B,Articles!$B116)</f>
        <v>0</v>
      </c>
    </row>
    <row r="146" spans="2:2" x14ac:dyDescent="0.25">
      <c r="B146" s="8">
        <f>COUNTIF(Articles!B:B,Articles!$B117)</f>
        <v>0</v>
      </c>
    </row>
    <row r="147" spans="2:2" x14ac:dyDescent="0.25">
      <c r="B147" s="8">
        <f>COUNTIF(Articles!B:B,Articles!$B118)</f>
        <v>0</v>
      </c>
    </row>
    <row r="148" spans="2:2" x14ac:dyDescent="0.25">
      <c r="B148" s="8">
        <f>COUNTIF(Articles!B:B,Articles!$B119)</f>
        <v>0</v>
      </c>
    </row>
    <row r="149" spans="2:2" x14ac:dyDescent="0.25">
      <c r="B149" s="8">
        <f>COUNTIF(Articles!B:B,Articles!$B120)</f>
        <v>0</v>
      </c>
    </row>
    <row r="150" spans="2:2" x14ac:dyDescent="0.25">
      <c r="B150" s="8">
        <f>COUNTIF(Articles!B:B,Articles!$B121)</f>
        <v>0</v>
      </c>
    </row>
    <row r="151" spans="2:2" x14ac:dyDescent="0.25">
      <c r="B151" s="8">
        <f>COUNTIF(Articles!B:B,Articles!$B122)</f>
        <v>0</v>
      </c>
    </row>
    <row r="152" spans="2:2" x14ac:dyDescent="0.25">
      <c r="B152" s="8">
        <f>COUNTIF(Articles!B:B,Articles!$B123)</f>
        <v>0</v>
      </c>
    </row>
    <row r="153" spans="2:2" x14ac:dyDescent="0.25">
      <c r="B153" s="8">
        <f>COUNTIF(Articles!B:B,Articles!$B124)</f>
        <v>0</v>
      </c>
    </row>
    <row r="154" spans="2:2" x14ac:dyDescent="0.25">
      <c r="B154" s="8">
        <f>COUNTIF(Articles!B:B,Articles!$B125)</f>
        <v>0</v>
      </c>
    </row>
    <row r="155" spans="2:2" x14ac:dyDescent="0.25">
      <c r="B155" s="8">
        <f>COUNTIF(Articles!B:B,Articles!$B126)</f>
        <v>0</v>
      </c>
    </row>
    <row r="156" spans="2:2" x14ac:dyDescent="0.25">
      <c r="B156" s="8">
        <f>COUNTIF(Articles!B:B,Articles!$B127)</f>
        <v>0</v>
      </c>
    </row>
    <row r="157" spans="2:2" x14ac:dyDescent="0.25">
      <c r="B157" s="8">
        <f>COUNTIF(Articles!B:B,Articles!$B128)</f>
        <v>0</v>
      </c>
    </row>
    <row r="158" spans="2:2" x14ac:dyDescent="0.25">
      <c r="B158" s="8">
        <f>COUNTIF(Articles!B:B,Articles!$B129)</f>
        <v>0</v>
      </c>
    </row>
    <row r="159" spans="2:2" x14ac:dyDescent="0.25">
      <c r="B159" s="8">
        <f>COUNTIF(Articles!B:B,Articles!$B130)</f>
        <v>0</v>
      </c>
    </row>
    <row r="160" spans="2:2" x14ac:dyDescent="0.25">
      <c r="B160" s="8">
        <f>COUNTIF(Articles!B:B,Articles!$B131)</f>
        <v>0</v>
      </c>
    </row>
    <row r="161" spans="2:2" x14ac:dyDescent="0.25">
      <c r="B161" s="8">
        <f>COUNTIF(Articles!B:B,Articles!$B132)</f>
        <v>0</v>
      </c>
    </row>
    <row r="162" spans="2:2" x14ac:dyDescent="0.25">
      <c r="B162" s="8">
        <f>COUNTIF(Articles!B:B,Articles!$B133)</f>
        <v>0</v>
      </c>
    </row>
    <row r="163" spans="2:2" x14ac:dyDescent="0.25">
      <c r="B163" s="8">
        <f>COUNTIF(Articles!B:B,Articles!$B134)</f>
        <v>0</v>
      </c>
    </row>
    <row r="164" spans="2:2" x14ac:dyDescent="0.25">
      <c r="B164" s="8">
        <f>COUNTIF(Articles!B:B,Articles!$B135)</f>
        <v>0</v>
      </c>
    </row>
    <row r="165" spans="2:2" x14ac:dyDescent="0.25">
      <c r="B165" s="8">
        <f>COUNTIF(Articles!B:B,Articles!$B136)</f>
        <v>0</v>
      </c>
    </row>
    <row r="166" spans="2:2" x14ac:dyDescent="0.25">
      <c r="B166" s="8">
        <f>COUNTIF(Articles!B:B,Articles!$B137)</f>
        <v>0</v>
      </c>
    </row>
    <row r="167" spans="2:2" x14ac:dyDescent="0.25">
      <c r="B167" s="8">
        <f>COUNTIF(Articles!B:B,Articles!$B138)</f>
        <v>0</v>
      </c>
    </row>
    <row r="168" spans="2:2" x14ac:dyDescent="0.25">
      <c r="B168" s="8">
        <f>COUNTIF(Articles!B:B,Articles!$B139)</f>
        <v>0</v>
      </c>
    </row>
    <row r="169" spans="2:2" x14ac:dyDescent="0.25">
      <c r="B169" s="8">
        <f>COUNTIF(Articles!B:B,Articles!$B140)</f>
        <v>0</v>
      </c>
    </row>
    <row r="170" spans="2:2" x14ac:dyDescent="0.25">
      <c r="B170" s="8">
        <f>COUNTIF(Articles!B:B,Articles!$B141)</f>
        <v>0</v>
      </c>
    </row>
    <row r="171" spans="2:2" x14ac:dyDescent="0.25">
      <c r="B171" s="8">
        <f>COUNTIF(Articles!B:B,Articles!$B142)</f>
        <v>0</v>
      </c>
    </row>
    <row r="172" spans="2:2" x14ac:dyDescent="0.25">
      <c r="B172" s="8">
        <f>COUNTIF(Articles!B:B,Articles!$B143)</f>
        <v>0</v>
      </c>
    </row>
    <row r="173" spans="2:2" x14ac:dyDescent="0.25">
      <c r="B173" s="8">
        <f>COUNTIF(Articles!B:B,Articles!$B144)</f>
        <v>0</v>
      </c>
    </row>
    <row r="174" spans="2:2" x14ac:dyDescent="0.25">
      <c r="B174" s="8">
        <f>COUNTIF(Articles!B:B,Articles!$B145)</f>
        <v>0</v>
      </c>
    </row>
    <row r="175" spans="2:2" x14ac:dyDescent="0.25">
      <c r="B175" s="8">
        <f>COUNTIF(Articles!B:B,Articles!$B146)</f>
        <v>0</v>
      </c>
    </row>
    <row r="176" spans="2:2" x14ac:dyDescent="0.25">
      <c r="B176" s="8">
        <f>COUNTIF(Articles!B:B,Articles!$B147)</f>
        <v>0</v>
      </c>
    </row>
    <row r="177" spans="2:2" x14ac:dyDescent="0.25">
      <c r="B177" s="8">
        <f>COUNTIF(Articles!B:B,Articles!$B148)</f>
        <v>0</v>
      </c>
    </row>
    <row r="178" spans="2:2" x14ac:dyDescent="0.25">
      <c r="B178" s="8">
        <f>COUNTIF(Articles!B:B,Articles!$B149)</f>
        <v>0</v>
      </c>
    </row>
    <row r="179" spans="2:2" x14ac:dyDescent="0.25">
      <c r="B179" s="8">
        <f>COUNTIF(Articles!B:B,Articles!$B150)</f>
        <v>0</v>
      </c>
    </row>
    <row r="180" spans="2:2" x14ac:dyDescent="0.25">
      <c r="B180" s="8">
        <f>COUNTIF(Articles!B:B,Articles!$B151)</f>
        <v>0</v>
      </c>
    </row>
    <row r="181" spans="2:2" x14ac:dyDescent="0.25">
      <c r="B181" s="8">
        <f>COUNTIF(Articles!B:B,Articles!$B152)</f>
        <v>0</v>
      </c>
    </row>
    <row r="182" spans="2:2" x14ac:dyDescent="0.25">
      <c r="B182" s="8">
        <f>COUNTIF(Articles!B:B,Articles!$B153)</f>
        <v>0</v>
      </c>
    </row>
    <row r="183" spans="2:2" x14ac:dyDescent="0.25">
      <c r="B183" s="8">
        <f>COUNTIF(Articles!B:B,Articles!$B154)</f>
        <v>0</v>
      </c>
    </row>
    <row r="184" spans="2:2" x14ac:dyDescent="0.25">
      <c r="B184" s="8">
        <f>COUNTIF(Articles!B:B,Articles!$B155)</f>
        <v>0</v>
      </c>
    </row>
    <row r="185" spans="2:2" x14ac:dyDescent="0.25">
      <c r="B185" s="8">
        <f>COUNTIF(Articles!B:B,Articles!$B156)</f>
        <v>0</v>
      </c>
    </row>
    <row r="186" spans="2:2" x14ac:dyDescent="0.25">
      <c r="B186" s="8">
        <f>COUNTIF(Articles!B:B,Articles!$B157)</f>
        <v>0</v>
      </c>
    </row>
    <row r="187" spans="2:2" x14ac:dyDescent="0.25">
      <c r="B187" s="8">
        <f>COUNTIF(Articles!B:B,Articles!$B158)</f>
        <v>0</v>
      </c>
    </row>
    <row r="188" spans="2:2" x14ac:dyDescent="0.25">
      <c r="B188" s="8">
        <f>COUNTIF(Articles!B:B,Articles!$B159)</f>
        <v>0</v>
      </c>
    </row>
    <row r="189" spans="2:2" x14ac:dyDescent="0.25">
      <c r="B189" s="8">
        <f>COUNTIF(Articles!B:B,Articles!$B160)</f>
        <v>0</v>
      </c>
    </row>
    <row r="190" spans="2:2" x14ac:dyDescent="0.25">
      <c r="B190" s="8">
        <f>COUNTIF(Articles!B:B,Articles!$B161)</f>
        <v>0</v>
      </c>
    </row>
    <row r="191" spans="2:2" x14ac:dyDescent="0.25">
      <c r="B191" s="8">
        <f>COUNTIF(Articles!B:B,Articles!$B162)</f>
        <v>0</v>
      </c>
    </row>
    <row r="192" spans="2:2" x14ac:dyDescent="0.25">
      <c r="B192" s="8">
        <f>COUNTIF(Articles!B:B,Articles!$B163)</f>
        <v>0</v>
      </c>
    </row>
    <row r="193" spans="2:2" x14ac:dyDescent="0.25">
      <c r="B193" s="8">
        <f>COUNTIF(Articles!B:B,Articles!$B164)</f>
        <v>0</v>
      </c>
    </row>
    <row r="194" spans="2:2" x14ac:dyDescent="0.25">
      <c r="B194" s="8">
        <f>COUNTIF(Articles!B:B,Articles!$B165)</f>
        <v>0</v>
      </c>
    </row>
    <row r="195" spans="2:2" x14ac:dyDescent="0.25">
      <c r="B195" s="8">
        <f>COUNTIF(Articles!B:B,Articles!$B166)</f>
        <v>0</v>
      </c>
    </row>
    <row r="196" spans="2:2" x14ac:dyDescent="0.25">
      <c r="B196" s="8">
        <f>COUNTIF(Articles!B:B,Articles!$B167)</f>
        <v>0</v>
      </c>
    </row>
    <row r="197" spans="2:2" x14ac:dyDescent="0.25">
      <c r="B197" s="8">
        <f>COUNTIF(Articles!B:B,Articles!$B168)</f>
        <v>0</v>
      </c>
    </row>
    <row r="198" spans="2:2" x14ac:dyDescent="0.25">
      <c r="B198" s="8">
        <f>COUNTIF(Articles!B:B,Articles!$B169)</f>
        <v>0</v>
      </c>
    </row>
    <row r="199" spans="2:2" x14ac:dyDescent="0.25">
      <c r="B199" s="8">
        <f>COUNTIF(Articles!B:B,Articles!$B170)</f>
        <v>0</v>
      </c>
    </row>
    <row r="200" spans="2:2" x14ac:dyDescent="0.25">
      <c r="B200" s="8">
        <f>COUNTIF(Articles!B:B,Articles!$B171)</f>
        <v>0</v>
      </c>
    </row>
    <row r="201" spans="2:2" x14ac:dyDescent="0.25">
      <c r="B201" s="8">
        <f>COUNTIF(Articles!B:B,Articles!$B172)</f>
        <v>0</v>
      </c>
    </row>
    <row r="202" spans="2:2" x14ac:dyDescent="0.25">
      <c r="B202" s="8">
        <f>COUNTIF(Articles!B:B,Articles!$B173)</f>
        <v>0</v>
      </c>
    </row>
    <row r="203" spans="2:2" x14ac:dyDescent="0.25">
      <c r="B203" s="8">
        <f>COUNTIF(Articles!B:B,Articles!$B174)</f>
        <v>0</v>
      </c>
    </row>
    <row r="204" spans="2:2" x14ac:dyDescent="0.25">
      <c r="B204" s="8">
        <f>COUNTIF(Articles!B:B,Articles!$B175)</f>
        <v>0</v>
      </c>
    </row>
    <row r="205" spans="2:2" x14ac:dyDescent="0.25">
      <c r="B205" s="8">
        <f>COUNTIF(Articles!B:B,Articles!$B176)</f>
        <v>0</v>
      </c>
    </row>
    <row r="206" spans="2:2" x14ac:dyDescent="0.25">
      <c r="B206" s="8">
        <f>COUNTIF(Articles!B:B,Articles!$B177)</f>
        <v>0</v>
      </c>
    </row>
    <row r="207" spans="2:2" x14ac:dyDescent="0.25">
      <c r="B207" s="8">
        <f>COUNTIF(Articles!B:B,Articles!$B178)</f>
        <v>0</v>
      </c>
    </row>
    <row r="208" spans="2:2" x14ac:dyDescent="0.25">
      <c r="B208" s="8">
        <f>COUNTIF(Articles!B:B,Articles!$B179)</f>
        <v>0</v>
      </c>
    </row>
    <row r="209" spans="2:2" x14ac:dyDescent="0.25">
      <c r="B209" s="8">
        <f>COUNTIF(Articles!B:B,Articles!$B180)</f>
        <v>0</v>
      </c>
    </row>
    <row r="210" spans="2:2" x14ac:dyDescent="0.25">
      <c r="B210" s="8">
        <f>COUNTIF(Articles!B:B,Articles!$B181)</f>
        <v>0</v>
      </c>
    </row>
    <row r="211" spans="2:2" x14ac:dyDescent="0.25">
      <c r="B211" s="8">
        <f>COUNTIF(Articles!B:B,Articles!$B182)</f>
        <v>0</v>
      </c>
    </row>
    <row r="212" spans="2:2" x14ac:dyDescent="0.25">
      <c r="B212" s="8">
        <f>COUNTIF(Articles!B:B,Articles!$B183)</f>
        <v>0</v>
      </c>
    </row>
    <row r="213" spans="2:2" x14ac:dyDescent="0.25">
      <c r="B213" s="8">
        <f>COUNTIF(Articles!B:B,Articles!$B184)</f>
        <v>0</v>
      </c>
    </row>
    <row r="214" spans="2:2" x14ac:dyDescent="0.25">
      <c r="B214" s="8">
        <f>COUNTIF(Articles!B:B,Articles!$B185)</f>
        <v>0</v>
      </c>
    </row>
    <row r="215" spans="2:2" x14ac:dyDescent="0.25">
      <c r="B215" s="8">
        <f>COUNTIF(Articles!B:B,Articles!$B186)</f>
        <v>0</v>
      </c>
    </row>
    <row r="216" spans="2:2" x14ac:dyDescent="0.25">
      <c r="B216" s="8">
        <f>COUNTIF(Articles!B:B,Articles!$B187)</f>
        <v>0</v>
      </c>
    </row>
    <row r="217" spans="2:2" x14ac:dyDescent="0.25">
      <c r="B217" s="8">
        <f>COUNTIF(Articles!B:B,Articles!$B188)</f>
        <v>0</v>
      </c>
    </row>
    <row r="218" spans="2:2" x14ac:dyDescent="0.25">
      <c r="B218" s="8">
        <f>COUNTIF(Articles!B:B,Articles!$B189)</f>
        <v>0</v>
      </c>
    </row>
    <row r="219" spans="2:2" x14ac:dyDescent="0.25">
      <c r="B219" s="8">
        <f>COUNTIF(Articles!B:B,Articles!$B190)</f>
        <v>0</v>
      </c>
    </row>
    <row r="220" spans="2:2" x14ac:dyDescent="0.25">
      <c r="B220" s="8">
        <f>COUNTIF(Articles!B:B,Articles!$B191)</f>
        <v>0</v>
      </c>
    </row>
    <row r="221" spans="2:2" x14ac:dyDescent="0.25">
      <c r="B221" s="8">
        <f>COUNTIF(Articles!B:B,Articles!$B192)</f>
        <v>0</v>
      </c>
    </row>
    <row r="222" spans="2:2" x14ac:dyDescent="0.25">
      <c r="B222" s="8">
        <f>COUNTIF(Articles!B:B,Articles!$B193)</f>
        <v>0</v>
      </c>
    </row>
    <row r="223" spans="2:2" x14ac:dyDescent="0.25">
      <c r="B223" s="8">
        <f>COUNTIF(Articles!B:B,Articles!$B194)</f>
        <v>0</v>
      </c>
    </row>
    <row r="224" spans="2:2" x14ac:dyDescent="0.25">
      <c r="B224" s="8">
        <f>COUNTIF(Articles!B:B,Articles!$B195)</f>
        <v>0</v>
      </c>
    </row>
    <row r="225" spans="2:2" x14ac:dyDescent="0.25">
      <c r="B225" s="8">
        <f>COUNTIF(Articles!B:B,Articles!$B196)</f>
        <v>0</v>
      </c>
    </row>
    <row r="226" spans="2:2" x14ac:dyDescent="0.25">
      <c r="B226" s="8">
        <f>COUNTIF(Articles!B:B,Articles!$B197)</f>
        <v>0</v>
      </c>
    </row>
    <row r="227" spans="2:2" x14ac:dyDescent="0.25">
      <c r="B227" s="8">
        <f>COUNTIF(Articles!B:B,Articles!$B198)</f>
        <v>0</v>
      </c>
    </row>
    <row r="228" spans="2:2" x14ac:dyDescent="0.25">
      <c r="B228" s="8">
        <f>COUNTIF(Articles!B:B,Articles!$B199)</f>
        <v>0</v>
      </c>
    </row>
    <row r="229" spans="2:2" x14ac:dyDescent="0.25">
      <c r="B229" s="8">
        <f>COUNTIF(Articles!B:B,Articles!$B200)</f>
        <v>0</v>
      </c>
    </row>
    <row r="230" spans="2:2" x14ac:dyDescent="0.25">
      <c r="B230" s="8">
        <f>COUNTIF(Articles!B:B,Articles!$B201)</f>
        <v>0</v>
      </c>
    </row>
    <row r="231" spans="2:2" x14ac:dyDescent="0.25">
      <c r="B231" s="8">
        <f>COUNTIF(Articles!B:B,Articles!$B202)</f>
        <v>0</v>
      </c>
    </row>
    <row r="232" spans="2:2" x14ac:dyDescent="0.25">
      <c r="B232" s="8">
        <f>COUNTIF(Articles!B:B,Articles!$B203)</f>
        <v>0</v>
      </c>
    </row>
    <row r="233" spans="2:2" x14ac:dyDescent="0.25">
      <c r="B233" s="8">
        <f>COUNTIF(Articles!B:B,Articles!$B204)</f>
        <v>0</v>
      </c>
    </row>
    <row r="234" spans="2:2" x14ac:dyDescent="0.25">
      <c r="B234" s="8">
        <f>COUNTIF(Articles!B:B,Articles!$B205)</f>
        <v>0</v>
      </c>
    </row>
    <row r="235" spans="2:2" x14ac:dyDescent="0.25">
      <c r="B235" s="8">
        <f>COUNTIF(Articles!B:B,Articles!$B206)</f>
        <v>0</v>
      </c>
    </row>
    <row r="236" spans="2:2" x14ac:dyDescent="0.25">
      <c r="B236" s="8">
        <f>COUNTIF(Articles!B:B,Articles!$B207)</f>
        <v>0</v>
      </c>
    </row>
    <row r="237" spans="2:2" x14ac:dyDescent="0.25">
      <c r="B237" s="8">
        <f>COUNTIF(Articles!B:B,Articles!$B208)</f>
        <v>0</v>
      </c>
    </row>
    <row r="238" spans="2:2" x14ac:dyDescent="0.25">
      <c r="B238" s="8">
        <f>COUNTIF(Articles!B:B,Articles!$B209)</f>
        <v>0</v>
      </c>
    </row>
    <row r="239" spans="2:2" x14ac:dyDescent="0.25">
      <c r="B239" s="8">
        <f>COUNTIF(Articles!B:B,Articles!$B210)</f>
        <v>0</v>
      </c>
    </row>
    <row r="240" spans="2:2" x14ac:dyDescent="0.25">
      <c r="B240" s="8">
        <f>COUNTIF(Articles!B:B,Articles!$B211)</f>
        <v>0</v>
      </c>
    </row>
    <row r="241" spans="2:2" x14ac:dyDescent="0.25">
      <c r="B241" s="8">
        <f>COUNTIF(Articles!B:B,Articles!$B212)</f>
        <v>0</v>
      </c>
    </row>
    <row r="242" spans="2:2" x14ac:dyDescent="0.25">
      <c r="B242" s="8">
        <f>COUNTIF(Articles!B:B,Articles!$B213)</f>
        <v>0</v>
      </c>
    </row>
    <row r="243" spans="2:2" x14ac:dyDescent="0.25">
      <c r="B243" s="8">
        <f>COUNTIF(Articles!B:B,Articles!$B214)</f>
        <v>0</v>
      </c>
    </row>
    <row r="244" spans="2:2" x14ac:dyDescent="0.25">
      <c r="B244" s="8">
        <f>COUNTIF(Articles!B:B,Articles!$B215)</f>
        <v>0</v>
      </c>
    </row>
    <row r="245" spans="2:2" x14ac:dyDescent="0.25">
      <c r="B245" s="8">
        <f>COUNTIF(Articles!B:B,Articles!$B216)</f>
        <v>0</v>
      </c>
    </row>
    <row r="246" spans="2:2" x14ac:dyDescent="0.25">
      <c r="B246" s="8">
        <f>COUNTIF(Articles!B:B,Articles!$B217)</f>
        <v>0</v>
      </c>
    </row>
    <row r="247" spans="2:2" x14ac:dyDescent="0.25">
      <c r="B247" s="8">
        <f>COUNTIF(Articles!B:B,Articles!$B218)</f>
        <v>0</v>
      </c>
    </row>
    <row r="248" spans="2:2" x14ac:dyDescent="0.25">
      <c r="B248" s="8">
        <f>COUNTIF(Articles!B:B,Articles!$B219)</f>
        <v>0</v>
      </c>
    </row>
    <row r="249" spans="2:2" x14ac:dyDescent="0.25">
      <c r="B249" s="8">
        <f>COUNTIF(Articles!B:B,Articles!$B220)</f>
        <v>0</v>
      </c>
    </row>
    <row r="250" spans="2:2" x14ac:dyDescent="0.25">
      <c r="B250" s="8">
        <f>COUNTIF(Articles!B:B,Articles!$B221)</f>
        <v>0</v>
      </c>
    </row>
    <row r="251" spans="2:2" x14ac:dyDescent="0.25">
      <c r="B251" s="8">
        <f>COUNTIF(Articles!B:B,Articles!$B222)</f>
        <v>0</v>
      </c>
    </row>
    <row r="252" spans="2:2" x14ac:dyDescent="0.25">
      <c r="B252" s="8">
        <f>COUNTIF(Articles!B:B,Articles!$B223)</f>
        <v>0</v>
      </c>
    </row>
    <row r="253" spans="2:2" x14ac:dyDescent="0.25">
      <c r="B253" s="8">
        <f>COUNTIF(Articles!B:B,Articles!$B224)</f>
        <v>0</v>
      </c>
    </row>
    <row r="254" spans="2:2" x14ac:dyDescent="0.25">
      <c r="B254" s="8">
        <f>COUNTIF(Articles!B:B,Articles!$B225)</f>
        <v>0</v>
      </c>
    </row>
    <row r="255" spans="2:2" x14ac:dyDescent="0.25">
      <c r="B255" s="8">
        <f>COUNTIF(Articles!B:B,Articles!$B226)</f>
        <v>0</v>
      </c>
    </row>
  </sheetData>
  <mergeCells count="1">
    <mergeCell ref="A1:A6"/>
  </mergeCells>
  <conditionalFormatting sqref="B1">
    <cfRule type="containsText" dxfId="84" priority="1" stopIfTrue="1" operator="containsText" text="NOT OK">
      <formula>NOT(ISERROR(SEARCH("NOT OK",B1)))</formula>
    </cfRule>
    <cfRule type="containsText" dxfId="83" priority="2" stopIfTrue="1" operator="containsText" text="OK">
      <formula>NOT(ISERROR(SEARCH("OK",B1)))</formula>
    </cfRule>
  </conditionalFormatting>
  <conditionalFormatting sqref="B1:B1048576">
    <cfRule type="cellIs" dxfId="82" priority="3" operator="greaterThan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AddArticl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tn_EditArticle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EditProduct">
                <anchor moveWithCells="1" siz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D4165-C65E-4C39-A036-A6ED26BB7816}">
  <sheetPr codeName="Sheet2">
    <tabColor rgb="FF92D050"/>
  </sheetPr>
  <dimension ref="A1:J100"/>
  <sheetViews>
    <sheetView topLeftCell="B1" zoomScaleNormal="100" workbookViewId="0">
      <pane ySplit="1" topLeftCell="A2" activePane="bottomLeft" state="frozen"/>
      <selection pane="bottomLeft" activeCell="J14" sqref="J14"/>
    </sheetView>
  </sheetViews>
  <sheetFormatPr defaultRowHeight="15" x14ac:dyDescent="0.25"/>
  <cols>
    <col min="1" max="1" width="32.5703125" style="3" bestFit="1" customWidth="1"/>
    <col min="2" max="2" width="22.140625" style="3" bestFit="1" customWidth="1"/>
    <col min="3" max="3" width="38.85546875" style="4" bestFit="1" customWidth="1"/>
    <col min="4" max="4" width="10.28515625" style="4" bestFit="1" customWidth="1"/>
    <col min="5" max="5" width="11.140625" style="4" bestFit="1" customWidth="1"/>
    <col min="6" max="6" width="80.85546875" style="4" bestFit="1" customWidth="1"/>
    <col min="7" max="7" width="9.85546875" style="4" customWidth="1"/>
    <col min="8" max="8" width="11.85546875" style="5" customWidth="1"/>
    <col min="9" max="9" width="14" bestFit="1" customWidth="1"/>
    <col min="10" max="10" width="16.7109375" bestFit="1" customWidth="1"/>
  </cols>
  <sheetData>
    <row r="1" spans="1:10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363</v>
      </c>
      <c r="F1" s="2" t="s">
        <v>2</v>
      </c>
      <c r="G1" s="2" t="s">
        <v>3</v>
      </c>
      <c r="H1" s="21" t="s">
        <v>8</v>
      </c>
      <c r="I1" s="2" t="s">
        <v>470</v>
      </c>
      <c r="J1" s="2" t="s">
        <v>473</v>
      </c>
    </row>
    <row r="2" spans="1:10" x14ac:dyDescent="0.25">
      <c r="A2" s="3" t="s">
        <v>372</v>
      </c>
      <c r="B2" s="3" t="s">
        <v>372</v>
      </c>
      <c r="C2" s="4" t="s">
        <v>373</v>
      </c>
      <c r="D2" s="4" t="s">
        <v>374</v>
      </c>
      <c r="E2" s="4" t="s">
        <v>364</v>
      </c>
      <c r="F2" s="4" t="s">
        <v>375</v>
      </c>
      <c r="G2" s="4">
        <v>1</v>
      </c>
      <c r="H2" s="5">
        <v>7.46</v>
      </c>
      <c r="I2" s="4">
        <v>1</v>
      </c>
      <c r="J2" s="4"/>
    </row>
    <row r="3" spans="1:10" x14ac:dyDescent="0.25">
      <c r="A3" s="3" t="s">
        <v>377</v>
      </c>
      <c r="B3" s="3" t="s">
        <v>377</v>
      </c>
      <c r="C3" s="4" t="s">
        <v>378</v>
      </c>
      <c r="D3" s="4" t="s">
        <v>374</v>
      </c>
      <c r="E3" s="4" t="s">
        <v>364</v>
      </c>
      <c r="F3" s="4" t="s">
        <v>379</v>
      </c>
      <c r="G3" s="4">
        <v>1</v>
      </c>
      <c r="H3" s="5">
        <v>1.1619999999999999</v>
      </c>
      <c r="I3" s="4">
        <v>1</v>
      </c>
      <c r="J3" s="4"/>
    </row>
    <row r="4" spans="1:10" x14ac:dyDescent="0.25">
      <c r="A4" s="3" t="s">
        <v>380</v>
      </c>
      <c r="B4" s="3" t="s">
        <v>380</v>
      </c>
      <c r="C4" s="4" t="s">
        <v>378</v>
      </c>
      <c r="D4" s="4" t="s">
        <v>374</v>
      </c>
      <c r="E4" s="4" t="s">
        <v>364</v>
      </c>
      <c r="F4" s="4" t="s">
        <v>381</v>
      </c>
      <c r="G4" s="4">
        <v>1</v>
      </c>
      <c r="H4" s="5">
        <v>1</v>
      </c>
      <c r="I4" s="4">
        <v>1</v>
      </c>
      <c r="J4" s="4"/>
    </row>
    <row r="5" spans="1:10" x14ac:dyDescent="0.25">
      <c r="A5" s="3" t="s">
        <v>382</v>
      </c>
      <c r="B5" s="3" t="s">
        <v>382</v>
      </c>
      <c r="C5" s="4" t="s">
        <v>378</v>
      </c>
      <c r="D5" s="4" t="s">
        <v>374</v>
      </c>
      <c r="E5" s="4" t="s">
        <v>364</v>
      </c>
      <c r="F5" s="4" t="s">
        <v>383</v>
      </c>
      <c r="G5" s="4">
        <v>1</v>
      </c>
      <c r="H5" s="5">
        <v>4.5999999999999996</v>
      </c>
      <c r="I5" s="4">
        <v>1</v>
      </c>
      <c r="J5" s="4"/>
    </row>
    <row r="6" spans="1:10" x14ac:dyDescent="0.25">
      <c r="A6" s="3" t="s">
        <v>203</v>
      </c>
      <c r="B6" s="3">
        <v>90990</v>
      </c>
      <c r="C6" s="4" t="s">
        <v>65</v>
      </c>
      <c r="D6" s="4" t="s">
        <v>88</v>
      </c>
      <c r="E6" s="4" t="s">
        <v>364</v>
      </c>
      <c r="F6" s="4" t="s">
        <v>406</v>
      </c>
      <c r="G6" s="4">
        <v>1</v>
      </c>
      <c r="H6" s="5">
        <v>13.1</v>
      </c>
      <c r="I6" s="4">
        <v>1</v>
      </c>
      <c r="J6" s="4"/>
    </row>
    <row r="7" spans="1:10" x14ac:dyDescent="0.25">
      <c r="A7" s="3">
        <v>912951</v>
      </c>
      <c r="B7" s="3">
        <v>912951</v>
      </c>
      <c r="C7" s="4" t="s">
        <v>65</v>
      </c>
      <c r="D7" s="4" t="s">
        <v>88</v>
      </c>
      <c r="E7" s="4" t="s">
        <v>364</v>
      </c>
      <c r="F7" s="4" t="s">
        <v>85</v>
      </c>
      <c r="G7" s="4">
        <v>1</v>
      </c>
      <c r="H7" s="5">
        <v>3.43</v>
      </c>
      <c r="I7" s="4">
        <v>1</v>
      </c>
      <c r="J7" s="4"/>
    </row>
    <row r="8" spans="1:10" x14ac:dyDescent="0.25">
      <c r="A8" s="3">
        <v>965083</v>
      </c>
      <c r="B8" s="3">
        <v>965083</v>
      </c>
      <c r="C8" s="4" t="s">
        <v>65</v>
      </c>
      <c r="D8" s="4" t="s">
        <v>88</v>
      </c>
      <c r="E8" s="4" t="s">
        <v>364</v>
      </c>
      <c r="F8" s="4" t="s">
        <v>87</v>
      </c>
      <c r="G8" s="4">
        <v>2</v>
      </c>
      <c r="H8" s="5">
        <v>3.18</v>
      </c>
      <c r="I8" s="4">
        <v>1</v>
      </c>
      <c r="J8" s="4"/>
    </row>
    <row r="9" spans="1:10" x14ac:dyDescent="0.25">
      <c r="A9" s="3">
        <v>1004068</v>
      </c>
      <c r="B9" s="3">
        <v>1004068</v>
      </c>
      <c r="C9" s="4" t="s">
        <v>65</v>
      </c>
      <c r="D9" s="4" t="s">
        <v>88</v>
      </c>
      <c r="E9" s="4" t="s">
        <v>364</v>
      </c>
      <c r="F9" s="4" t="s">
        <v>83</v>
      </c>
      <c r="G9" s="4">
        <v>2</v>
      </c>
      <c r="H9" s="5">
        <v>3.49</v>
      </c>
      <c r="I9" s="4">
        <v>1</v>
      </c>
      <c r="J9" s="4"/>
    </row>
    <row r="10" spans="1:10" x14ac:dyDescent="0.25">
      <c r="A10" s="3">
        <v>1181876</v>
      </c>
      <c r="B10" s="3">
        <v>1181876</v>
      </c>
      <c r="C10" s="4" t="s">
        <v>65</v>
      </c>
      <c r="D10" s="4" t="s">
        <v>88</v>
      </c>
      <c r="E10" s="4" t="s">
        <v>364</v>
      </c>
      <c r="F10" s="4" t="s">
        <v>86</v>
      </c>
      <c r="G10" s="4">
        <v>9</v>
      </c>
      <c r="H10" s="5">
        <v>3.79</v>
      </c>
      <c r="I10" s="4">
        <v>1</v>
      </c>
      <c r="J10" s="4"/>
    </row>
    <row r="11" spans="1:10" x14ac:dyDescent="0.25">
      <c r="A11" s="3" t="s">
        <v>353</v>
      </c>
      <c r="B11" s="3" t="s">
        <v>354</v>
      </c>
      <c r="C11" s="4" t="s">
        <v>355</v>
      </c>
      <c r="D11" s="4" t="s">
        <v>356</v>
      </c>
      <c r="E11" s="4" t="s">
        <v>364</v>
      </c>
      <c r="F11" s="4" t="s">
        <v>357</v>
      </c>
      <c r="G11" s="4">
        <v>0</v>
      </c>
      <c r="H11" s="5">
        <v>0.31</v>
      </c>
      <c r="I11" s="4">
        <v>1</v>
      </c>
      <c r="J11" s="4"/>
    </row>
    <row r="12" spans="1:10" x14ac:dyDescent="0.25">
      <c r="A12" s="3" t="s">
        <v>358</v>
      </c>
      <c r="B12" s="3" t="s">
        <v>359</v>
      </c>
      <c r="C12" s="4" t="s">
        <v>360</v>
      </c>
      <c r="D12" s="4" t="s">
        <v>356</v>
      </c>
      <c r="E12" s="4" t="s">
        <v>364</v>
      </c>
      <c r="F12" s="4" t="s">
        <v>361</v>
      </c>
      <c r="G12" s="4">
        <v>1</v>
      </c>
      <c r="H12" s="5">
        <v>399.95</v>
      </c>
      <c r="I12" s="4">
        <v>1</v>
      </c>
      <c r="J12" s="4"/>
    </row>
    <row r="13" spans="1:10" x14ac:dyDescent="0.25">
      <c r="A13" s="3" t="s">
        <v>155</v>
      </c>
      <c r="B13" s="4" t="s">
        <v>156</v>
      </c>
      <c r="C13" s="4" t="s">
        <v>162</v>
      </c>
      <c r="D13" s="4" t="s">
        <v>82</v>
      </c>
      <c r="E13" s="4" t="s">
        <v>364</v>
      </c>
      <c r="F13" s="4" t="s">
        <v>157</v>
      </c>
      <c r="G13" s="4">
        <v>10</v>
      </c>
      <c r="H13" s="5">
        <v>0.66500000000000004</v>
      </c>
      <c r="I13" s="4">
        <v>1</v>
      </c>
      <c r="J13" s="4">
        <v>1</v>
      </c>
    </row>
    <row r="14" spans="1:10" x14ac:dyDescent="0.25">
      <c r="A14" s="3" t="s">
        <v>67</v>
      </c>
      <c r="B14" s="4" t="s">
        <v>139</v>
      </c>
      <c r="C14" s="4" t="s">
        <v>69</v>
      </c>
      <c r="D14" s="4" t="s">
        <v>82</v>
      </c>
      <c r="E14" s="4" t="s">
        <v>427</v>
      </c>
      <c r="F14" s="4" t="s">
        <v>68</v>
      </c>
      <c r="G14" s="4">
        <v>1</v>
      </c>
      <c r="H14" s="5">
        <v>4.88</v>
      </c>
      <c r="I14" s="4">
        <v>1</v>
      </c>
      <c r="J14" s="4">
        <v>1</v>
      </c>
    </row>
    <row r="15" spans="1:10" x14ac:dyDescent="0.25">
      <c r="A15" s="3" t="s">
        <v>140</v>
      </c>
      <c r="B15" s="4" t="s">
        <v>141</v>
      </c>
      <c r="C15" s="4" t="s">
        <v>160</v>
      </c>
      <c r="D15" s="4" t="s">
        <v>82</v>
      </c>
      <c r="E15" s="4" t="s">
        <v>364</v>
      </c>
      <c r="F15" s="4" t="s">
        <v>142</v>
      </c>
      <c r="G15" s="4">
        <v>5</v>
      </c>
      <c r="H15" s="5">
        <v>0.45</v>
      </c>
      <c r="I15" s="4">
        <v>1</v>
      </c>
      <c r="J15" s="4">
        <v>1</v>
      </c>
    </row>
    <row r="16" spans="1:10" x14ac:dyDescent="0.25">
      <c r="A16" s="3" t="s">
        <v>74</v>
      </c>
      <c r="B16" s="4" t="s">
        <v>77</v>
      </c>
      <c r="C16" s="4" t="s">
        <v>76</v>
      </c>
      <c r="D16" s="4" t="s">
        <v>82</v>
      </c>
      <c r="E16" s="4" t="s">
        <v>364</v>
      </c>
      <c r="F16" s="4" t="s">
        <v>75</v>
      </c>
      <c r="G16" s="4">
        <v>1</v>
      </c>
      <c r="H16" s="5">
        <v>2.98</v>
      </c>
      <c r="I16" s="4">
        <v>1</v>
      </c>
      <c r="J16" s="4">
        <v>1</v>
      </c>
    </row>
    <row r="17" spans="1:10" x14ac:dyDescent="0.25">
      <c r="A17" s="3" t="s">
        <v>70</v>
      </c>
      <c r="B17" s="4" t="s">
        <v>73</v>
      </c>
      <c r="C17" s="4" t="s">
        <v>72</v>
      </c>
      <c r="D17" s="4" t="s">
        <v>82</v>
      </c>
      <c r="E17" s="4" t="s">
        <v>364</v>
      </c>
      <c r="F17" s="4" t="s">
        <v>71</v>
      </c>
      <c r="G17" s="4">
        <v>3</v>
      </c>
      <c r="H17" s="5">
        <v>1.07</v>
      </c>
      <c r="I17" s="4">
        <v>1</v>
      </c>
      <c r="J17" s="4">
        <v>1</v>
      </c>
    </row>
    <row r="18" spans="1:10" x14ac:dyDescent="0.25">
      <c r="A18" s="3" t="s">
        <v>152</v>
      </c>
      <c r="B18" s="4" t="s">
        <v>153</v>
      </c>
      <c r="C18" s="4" t="s">
        <v>80</v>
      </c>
      <c r="D18" s="4" t="s">
        <v>82</v>
      </c>
      <c r="E18" s="4" t="s">
        <v>364</v>
      </c>
      <c r="F18" s="4" t="s">
        <v>154</v>
      </c>
      <c r="G18" s="4">
        <v>3</v>
      </c>
      <c r="H18" s="5">
        <v>1.53</v>
      </c>
      <c r="I18" s="4">
        <v>1</v>
      </c>
      <c r="J18" s="4">
        <v>1</v>
      </c>
    </row>
    <row r="19" spans="1:10" x14ac:dyDescent="0.25">
      <c r="A19" s="3" t="s">
        <v>78</v>
      </c>
      <c r="B19" s="4" t="s">
        <v>81</v>
      </c>
      <c r="C19" s="4" t="s">
        <v>80</v>
      </c>
      <c r="D19" s="4" t="s">
        <v>82</v>
      </c>
      <c r="E19" s="4" t="s">
        <v>364</v>
      </c>
      <c r="F19" s="4" t="s">
        <v>79</v>
      </c>
      <c r="G19" s="4">
        <v>2</v>
      </c>
      <c r="H19" s="5">
        <v>1.57</v>
      </c>
      <c r="I19" s="4">
        <v>1</v>
      </c>
      <c r="J19" s="4">
        <v>1</v>
      </c>
    </row>
    <row r="20" spans="1:10" x14ac:dyDescent="0.25">
      <c r="A20" s="3" t="s">
        <v>146</v>
      </c>
      <c r="B20" s="4" t="s">
        <v>147</v>
      </c>
      <c r="C20" s="4" t="s">
        <v>80</v>
      </c>
      <c r="D20" s="4" t="s">
        <v>82</v>
      </c>
      <c r="E20" s="4" t="s">
        <v>424</v>
      </c>
      <c r="F20" s="4" t="s">
        <v>148</v>
      </c>
      <c r="G20" s="4">
        <v>3</v>
      </c>
      <c r="H20" s="5">
        <v>1.47</v>
      </c>
      <c r="I20" s="4">
        <v>1</v>
      </c>
      <c r="J20" s="4">
        <v>1</v>
      </c>
    </row>
    <row r="21" spans="1:10" x14ac:dyDescent="0.25">
      <c r="A21" s="3" t="s">
        <v>149</v>
      </c>
      <c r="B21" s="4" t="s">
        <v>150</v>
      </c>
      <c r="C21" s="4" t="s">
        <v>80</v>
      </c>
      <c r="D21" s="4" t="s">
        <v>82</v>
      </c>
      <c r="E21" s="4" t="s">
        <v>423</v>
      </c>
      <c r="F21" s="4" t="s">
        <v>151</v>
      </c>
      <c r="G21" s="4">
        <v>3</v>
      </c>
      <c r="H21" s="5">
        <v>1.43</v>
      </c>
      <c r="I21" s="4">
        <v>1</v>
      </c>
      <c r="J21" s="4">
        <v>1</v>
      </c>
    </row>
    <row r="22" spans="1:10" x14ac:dyDescent="0.25">
      <c r="A22" s="3" t="s">
        <v>64</v>
      </c>
      <c r="B22" s="4" t="s">
        <v>158</v>
      </c>
      <c r="C22" s="4" t="s">
        <v>95</v>
      </c>
      <c r="D22" s="4" t="s">
        <v>82</v>
      </c>
      <c r="E22" s="4" t="s">
        <v>364</v>
      </c>
      <c r="F22" s="4" t="s">
        <v>66</v>
      </c>
      <c r="G22" s="4">
        <v>1</v>
      </c>
      <c r="H22" s="5">
        <v>15.9</v>
      </c>
      <c r="I22" s="4">
        <v>1</v>
      </c>
      <c r="J22" s="4">
        <v>1</v>
      </c>
    </row>
    <row r="23" spans="1:10" x14ac:dyDescent="0.25">
      <c r="A23" s="3" t="s">
        <v>143</v>
      </c>
      <c r="B23" s="4" t="s">
        <v>144</v>
      </c>
      <c r="C23" s="4" t="s">
        <v>161</v>
      </c>
      <c r="D23" s="4" t="s">
        <v>82</v>
      </c>
      <c r="E23" s="4" t="s">
        <v>364</v>
      </c>
      <c r="F23" s="4" t="s">
        <v>145</v>
      </c>
      <c r="G23" s="4">
        <v>2</v>
      </c>
      <c r="H23" s="5">
        <v>2.52</v>
      </c>
      <c r="I23" s="4">
        <v>1</v>
      </c>
      <c r="J23" s="4">
        <v>1</v>
      </c>
    </row>
    <row r="24" spans="1:10" x14ac:dyDescent="0.25">
      <c r="A24" s="3" t="s">
        <v>180</v>
      </c>
      <c r="B24" s="3" t="s">
        <v>181</v>
      </c>
      <c r="C24" s="4" t="s">
        <v>179</v>
      </c>
      <c r="D24" s="4" t="s">
        <v>82</v>
      </c>
      <c r="E24" s="4" t="s">
        <v>364</v>
      </c>
      <c r="F24" s="4" t="s">
        <v>182</v>
      </c>
      <c r="G24" s="4">
        <v>4</v>
      </c>
      <c r="H24" s="5">
        <v>1.82</v>
      </c>
      <c r="I24" s="4">
        <v>1</v>
      </c>
      <c r="J24" s="4">
        <v>1</v>
      </c>
    </row>
    <row r="25" spans="1:10" x14ac:dyDescent="0.25">
      <c r="A25" s="3" t="s">
        <v>183</v>
      </c>
      <c r="B25" s="3" t="s">
        <v>184</v>
      </c>
      <c r="C25" s="4" t="s">
        <v>179</v>
      </c>
      <c r="D25" s="4" t="s">
        <v>82</v>
      </c>
      <c r="E25" s="4" t="s">
        <v>364</v>
      </c>
      <c r="F25" s="4" t="s">
        <v>185</v>
      </c>
      <c r="G25" s="4">
        <v>1</v>
      </c>
      <c r="H25" s="5">
        <v>0.8</v>
      </c>
      <c r="I25" s="4">
        <v>1</v>
      </c>
      <c r="J25" s="4">
        <v>1</v>
      </c>
    </row>
    <row r="26" spans="1:10" x14ac:dyDescent="0.25">
      <c r="A26" s="3" t="s">
        <v>186</v>
      </c>
      <c r="B26" s="3" t="s">
        <v>187</v>
      </c>
      <c r="C26" s="4" t="s">
        <v>179</v>
      </c>
      <c r="D26" s="4" t="s">
        <v>82</v>
      </c>
      <c r="E26" s="4" t="s">
        <v>364</v>
      </c>
      <c r="F26" s="4" t="s">
        <v>188</v>
      </c>
      <c r="G26" s="4">
        <v>2</v>
      </c>
      <c r="H26" s="5">
        <v>1.06</v>
      </c>
      <c r="I26" s="4">
        <v>1</v>
      </c>
      <c r="J26" s="4">
        <v>1</v>
      </c>
    </row>
    <row r="27" spans="1:10" x14ac:dyDescent="0.25">
      <c r="A27" s="3" t="s">
        <v>189</v>
      </c>
      <c r="B27" s="3" t="s">
        <v>190</v>
      </c>
      <c r="C27" s="4" t="s">
        <v>179</v>
      </c>
      <c r="D27" s="4" t="s">
        <v>82</v>
      </c>
      <c r="E27" s="4" t="s">
        <v>364</v>
      </c>
      <c r="F27" s="4" t="s">
        <v>191</v>
      </c>
      <c r="G27" s="4">
        <v>99</v>
      </c>
      <c r="H27" s="5">
        <v>1.95E-2</v>
      </c>
      <c r="I27" s="4">
        <v>1</v>
      </c>
      <c r="J27" s="4">
        <v>1</v>
      </c>
    </row>
    <row r="28" spans="1:10" x14ac:dyDescent="0.25">
      <c r="A28" s="3" t="s">
        <v>192</v>
      </c>
      <c r="B28" s="3" t="s">
        <v>193</v>
      </c>
      <c r="C28" s="4" t="s">
        <v>179</v>
      </c>
      <c r="D28" s="4" t="s">
        <v>82</v>
      </c>
      <c r="E28" s="4" t="s">
        <v>364</v>
      </c>
      <c r="F28" s="4" t="s">
        <v>194</v>
      </c>
      <c r="G28" s="4">
        <v>1</v>
      </c>
      <c r="H28" s="5">
        <v>1.82</v>
      </c>
      <c r="I28" s="4">
        <v>1</v>
      </c>
      <c r="J28" s="4">
        <v>1</v>
      </c>
    </row>
    <row r="29" spans="1:10" x14ac:dyDescent="0.25">
      <c r="A29" s="3" t="s">
        <v>195</v>
      </c>
      <c r="B29" s="3" t="s">
        <v>196</v>
      </c>
      <c r="C29" s="4" t="s">
        <v>179</v>
      </c>
      <c r="D29" s="4" t="s">
        <v>82</v>
      </c>
      <c r="E29" s="4" t="s">
        <v>364</v>
      </c>
      <c r="F29" s="4" t="s">
        <v>197</v>
      </c>
      <c r="G29" s="4">
        <v>2</v>
      </c>
      <c r="H29" s="5">
        <v>2.64</v>
      </c>
      <c r="I29" s="4">
        <v>1</v>
      </c>
      <c r="J29" s="4">
        <v>1</v>
      </c>
    </row>
    <row r="30" spans="1:10" x14ac:dyDescent="0.25">
      <c r="A30" s="3" t="s">
        <v>198</v>
      </c>
      <c r="B30" s="3" t="s">
        <v>199</v>
      </c>
      <c r="C30" s="4" t="s">
        <v>179</v>
      </c>
      <c r="D30" s="4" t="s">
        <v>82</v>
      </c>
      <c r="E30" s="4" t="s">
        <v>364</v>
      </c>
      <c r="F30" s="4" t="s">
        <v>200</v>
      </c>
      <c r="G30" s="4">
        <v>1</v>
      </c>
      <c r="H30" s="5">
        <v>15.95</v>
      </c>
      <c r="I30" s="4">
        <v>1</v>
      </c>
      <c r="J30" s="4">
        <v>1</v>
      </c>
    </row>
    <row r="31" spans="1:10" x14ac:dyDescent="0.25">
      <c r="A31" s="3" t="s">
        <v>221</v>
      </c>
      <c r="B31" s="3" t="s">
        <v>219</v>
      </c>
      <c r="C31" s="4" t="s">
        <v>222</v>
      </c>
      <c r="D31" s="4" t="s">
        <v>82</v>
      </c>
      <c r="E31" s="4" t="s">
        <v>426</v>
      </c>
      <c r="F31" s="4" t="s">
        <v>220</v>
      </c>
      <c r="G31" s="4">
        <v>4</v>
      </c>
      <c r="H31" s="5">
        <v>2.64</v>
      </c>
      <c r="I31" s="4">
        <v>1</v>
      </c>
      <c r="J31" s="4">
        <v>1</v>
      </c>
    </row>
    <row r="32" spans="1:10" x14ac:dyDescent="0.25">
      <c r="A32" s="3" t="s">
        <v>223</v>
      </c>
      <c r="B32" s="3" t="s">
        <v>218</v>
      </c>
      <c r="C32" s="4" t="s">
        <v>80</v>
      </c>
      <c r="D32" s="4" t="s">
        <v>82</v>
      </c>
      <c r="E32" s="4" t="s">
        <v>425</v>
      </c>
      <c r="F32" s="4" t="s">
        <v>217</v>
      </c>
      <c r="G32" s="4">
        <v>4</v>
      </c>
      <c r="H32" s="5">
        <v>0.92</v>
      </c>
      <c r="I32" s="4">
        <v>1</v>
      </c>
      <c r="J32" s="4">
        <v>1</v>
      </c>
    </row>
    <row r="33" spans="1:10" x14ac:dyDescent="0.25">
      <c r="A33" s="3" t="s">
        <v>226</v>
      </c>
      <c r="B33" s="3" t="s">
        <v>224</v>
      </c>
      <c r="C33" s="4" t="s">
        <v>80</v>
      </c>
      <c r="D33" s="4" t="s">
        <v>82</v>
      </c>
      <c r="E33" s="4" t="s">
        <v>422</v>
      </c>
      <c r="F33" s="4" t="s">
        <v>225</v>
      </c>
      <c r="G33" s="4">
        <v>24</v>
      </c>
      <c r="H33" s="5">
        <v>0.11</v>
      </c>
      <c r="I33" s="4">
        <v>1</v>
      </c>
      <c r="J33" s="4">
        <v>1</v>
      </c>
    </row>
    <row r="34" spans="1:10" x14ac:dyDescent="0.25">
      <c r="A34" s="3" t="s">
        <v>227</v>
      </c>
      <c r="B34" s="3" t="s">
        <v>228</v>
      </c>
      <c r="C34" s="4" t="s">
        <v>229</v>
      </c>
      <c r="D34" s="4" t="s">
        <v>82</v>
      </c>
      <c r="E34" s="4" t="s">
        <v>364</v>
      </c>
      <c r="F34" s="4" t="s">
        <v>230</v>
      </c>
      <c r="G34" s="4">
        <v>4</v>
      </c>
      <c r="H34" s="5">
        <v>1.21</v>
      </c>
      <c r="I34" s="4">
        <v>1</v>
      </c>
      <c r="J34" s="4">
        <v>1</v>
      </c>
    </row>
    <row r="35" spans="1:10" x14ac:dyDescent="0.25">
      <c r="A35" s="3" t="s">
        <v>231</v>
      </c>
      <c r="B35" s="3" t="s">
        <v>232</v>
      </c>
      <c r="C35" s="4" t="s">
        <v>160</v>
      </c>
      <c r="D35" s="4" t="s">
        <v>82</v>
      </c>
      <c r="E35" s="4" t="s">
        <v>431</v>
      </c>
      <c r="F35" s="4" t="s">
        <v>233</v>
      </c>
      <c r="G35" s="4">
        <v>9</v>
      </c>
      <c r="H35" s="5">
        <v>0.14000000000000001</v>
      </c>
      <c r="I35" s="4">
        <v>1</v>
      </c>
      <c r="J35" s="4">
        <v>1</v>
      </c>
    </row>
    <row r="36" spans="1:10" x14ac:dyDescent="0.25">
      <c r="A36" s="3" t="s">
        <v>234</v>
      </c>
      <c r="B36" s="3" t="s">
        <v>234</v>
      </c>
      <c r="C36" s="4" t="s">
        <v>161</v>
      </c>
      <c r="D36" s="4" t="s">
        <v>82</v>
      </c>
      <c r="E36" s="4" t="s">
        <v>430</v>
      </c>
      <c r="F36" s="4" t="s">
        <v>235</v>
      </c>
      <c r="G36" s="4">
        <v>9</v>
      </c>
      <c r="H36" s="5">
        <v>0.52</v>
      </c>
      <c r="I36" s="4">
        <v>1</v>
      </c>
      <c r="J36" s="4">
        <v>1</v>
      </c>
    </row>
    <row r="37" spans="1:10" x14ac:dyDescent="0.25">
      <c r="A37" s="3" t="s">
        <v>236</v>
      </c>
      <c r="B37" s="3" t="s">
        <v>237</v>
      </c>
      <c r="C37" s="4" t="s">
        <v>238</v>
      </c>
      <c r="D37" s="4" t="s">
        <v>82</v>
      </c>
      <c r="E37" s="4" t="s">
        <v>364</v>
      </c>
      <c r="F37" s="4" t="s">
        <v>239</v>
      </c>
      <c r="G37" s="4">
        <v>4</v>
      </c>
      <c r="H37" s="5">
        <v>1.39</v>
      </c>
      <c r="I37" s="4">
        <v>1</v>
      </c>
      <c r="J37" s="4">
        <v>1</v>
      </c>
    </row>
    <row r="38" spans="1:10" x14ac:dyDescent="0.25">
      <c r="A38" s="3" t="s">
        <v>240</v>
      </c>
      <c r="B38" s="3" t="s">
        <v>241</v>
      </c>
      <c r="C38" s="4" t="s">
        <v>242</v>
      </c>
      <c r="D38" s="4" t="s">
        <v>82</v>
      </c>
      <c r="E38" s="4" t="s">
        <v>364</v>
      </c>
      <c r="F38" s="4" t="s">
        <v>243</v>
      </c>
      <c r="G38" s="4">
        <v>4</v>
      </c>
      <c r="H38" s="5">
        <v>0.85</v>
      </c>
      <c r="I38" s="4">
        <v>1</v>
      </c>
      <c r="J38" s="4">
        <v>1</v>
      </c>
    </row>
    <row r="39" spans="1:10" x14ac:dyDescent="0.25">
      <c r="A39" s="3" t="s">
        <v>244</v>
      </c>
      <c r="B39" s="3" t="s">
        <v>245</v>
      </c>
      <c r="C39" s="4" t="s">
        <v>246</v>
      </c>
      <c r="D39" s="4" t="s">
        <v>82</v>
      </c>
      <c r="E39" s="4" t="s">
        <v>364</v>
      </c>
      <c r="F39" s="4" t="s">
        <v>247</v>
      </c>
      <c r="G39" s="4">
        <v>17</v>
      </c>
      <c r="H39" s="5">
        <v>0.27</v>
      </c>
      <c r="I39" s="4">
        <v>1</v>
      </c>
      <c r="J39" s="4">
        <v>1</v>
      </c>
    </row>
    <row r="40" spans="1:10" x14ac:dyDescent="0.25">
      <c r="A40" s="3" t="s">
        <v>248</v>
      </c>
      <c r="B40" s="3" t="s">
        <v>249</v>
      </c>
      <c r="C40" s="4" t="s">
        <v>250</v>
      </c>
      <c r="D40" s="4" t="s">
        <v>82</v>
      </c>
      <c r="E40" s="4" t="s">
        <v>364</v>
      </c>
      <c r="F40" s="4" t="s">
        <v>251</v>
      </c>
      <c r="G40" s="4">
        <v>99</v>
      </c>
      <c r="H40" s="5">
        <v>8.1000000000000003E-2</v>
      </c>
      <c r="I40" s="4">
        <v>1</v>
      </c>
      <c r="J40" s="4">
        <v>1</v>
      </c>
    </row>
    <row r="41" spans="1:10" x14ac:dyDescent="0.25">
      <c r="A41" s="3" t="s">
        <v>252</v>
      </c>
      <c r="B41" s="3" t="s">
        <v>253</v>
      </c>
      <c r="C41" s="4" t="s">
        <v>254</v>
      </c>
      <c r="D41" s="4" t="s">
        <v>82</v>
      </c>
      <c r="E41" s="4" t="s">
        <v>364</v>
      </c>
      <c r="F41" s="4" t="s">
        <v>255</v>
      </c>
      <c r="G41" s="4">
        <v>99</v>
      </c>
      <c r="H41" s="5">
        <v>4.8000000000000001E-2</v>
      </c>
      <c r="I41" s="4">
        <v>1</v>
      </c>
      <c r="J41" s="4">
        <v>1</v>
      </c>
    </row>
    <row r="42" spans="1:10" x14ac:dyDescent="0.25">
      <c r="A42" s="3" t="s">
        <v>265</v>
      </c>
      <c r="B42" s="3" t="s">
        <v>266</v>
      </c>
      <c r="C42" s="4" t="s">
        <v>262</v>
      </c>
      <c r="D42" s="4" t="s">
        <v>82</v>
      </c>
      <c r="E42" s="4" t="s">
        <v>364</v>
      </c>
      <c r="F42" s="4" t="s">
        <v>267</v>
      </c>
      <c r="G42" s="4">
        <v>3</v>
      </c>
      <c r="H42" s="5">
        <v>0.31</v>
      </c>
      <c r="I42" s="4">
        <v>1</v>
      </c>
      <c r="J42" s="4">
        <v>1</v>
      </c>
    </row>
    <row r="43" spans="1:10" x14ac:dyDescent="0.25">
      <c r="A43" s="3" t="s">
        <v>268</v>
      </c>
      <c r="B43" s="3" t="s">
        <v>269</v>
      </c>
      <c r="C43" s="4" t="s">
        <v>262</v>
      </c>
      <c r="D43" s="4" t="s">
        <v>82</v>
      </c>
      <c r="E43" s="4" t="s">
        <v>364</v>
      </c>
      <c r="F43" s="4" t="s">
        <v>270</v>
      </c>
      <c r="G43" s="4">
        <v>1</v>
      </c>
      <c r="H43" s="5">
        <v>0.93</v>
      </c>
      <c r="I43" s="4">
        <v>1</v>
      </c>
      <c r="J43" s="4">
        <v>1</v>
      </c>
    </row>
    <row r="44" spans="1:10" x14ac:dyDescent="0.25">
      <c r="A44" s="3" t="s">
        <v>271</v>
      </c>
      <c r="B44" s="3" t="s">
        <v>272</v>
      </c>
      <c r="C44" s="4" t="s">
        <v>262</v>
      </c>
      <c r="D44" s="4" t="s">
        <v>82</v>
      </c>
      <c r="E44" s="4" t="s">
        <v>364</v>
      </c>
      <c r="F44" s="4" t="s">
        <v>273</v>
      </c>
      <c r="G44" s="4">
        <v>1</v>
      </c>
      <c r="H44" s="5">
        <v>0.72</v>
      </c>
      <c r="I44" s="4">
        <v>1</v>
      </c>
      <c r="J44" s="4">
        <v>1</v>
      </c>
    </row>
    <row r="45" spans="1:10" x14ac:dyDescent="0.25">
      <c r="A45" s="3" t="s">
        <v>274</v>
      </c>
      <c r="B45" s="3">
        <v>860021374008</v>
      </c>
      <c r="C45" s="4" t="s">
        <v>262</v>
      </c>
      <c r="D45" s="4" t="s">
        <v>82</v>
      </c>
      <c r="E45" s="4" t="s">
        <v>364</v>
      </c>
      <c r="F45" s="4" t="s">
        <v>275</v>
      </c>
      <c r="G45" s="4">
        <v>4</v>
      </c>
      <c r="H45" s="5">
        <v>0.43</v>
      </c>
      <c r="I45" s="4">
        <v>1</v>
      </c>
      <c r="J45" s="4">
        <v>1</v>
      </c>
    </row>
    <row r="46" spans="1:10" x14ac:dyDescent="0.25">
      <c r="A46" s="3" t="s">
        <v>276</v>
      </c>
      <c r="B46" s="3" t="s">
        <v>277</v>
      </c>
      <c r="C46" s="4" t="s">
        <v>262</v>
      </c>
      <c r="D46" s="4" t="s">
        <v>82</v>
      </c>
      <c r="E46" s="4" t="s">
        <v>364</v>
      </c>
      <c r="F46" s="4" t="s">
        <v>278</v>
      </c>
      <c r="G46" s="4">
        <v>3</v>
      </c>
      <c r="H46" s="5">
        <v>0.48</v>
      </c>
      <c r="I46" s="4">
        <v>1</v>
      </c>
      <c r="J46" s="4">
        <v>1</v>
      </c>
    </row>
    <row r="47" spans="1:10" x14ac:dyDescent="0.25">
      <c r="A47" s="3" t="s">
        <v>296</v>
      </c>
      <c r="B47" s="3" t="s">
        <v>297</v>
      </c>
      <c r="C47" s="4" t="s">
        <v>298</v>
      </c>
      <c r="D47" s="4" t="s">
        <v>82</v>
      </c>
      <c r="E47" s="4" t="s">
        <v>364</v>
      </c>
      <c r="F47" s="4" t="s">
        <v>299</v>
      </c>
      <c r="G47" s="4">
        <v>0</v>
      </c>
      <c r="H47" s="5">
        <v>0.62</v>
      </c>
      <c r="I47" s="4">
        <v>1</v>
      </c>
      <c r="J47" s="4">
        <v>1</v>
      </c>
    </row>
    <row r="48" spans="1:10" x14ac:dyDescent="0.25">
      <c r="A48" s="3" t="s">
        <v>472</v>
      </c>
      <c r="B48" s="3" t="s">
        <v>300</v>
      </c>
      <c r="C48" s="4" t="s">
        <v>298</v>
      </c>
      <c r="D48" s="4" t="s">
        <v>82</v>
      </c>
      <c r="E48" s="4" t="s">
        <v>364</v>
      </c>
      <c r="F48" s="4" t="s">
        <v>301</v>
      </c>
      <c r="G48" s="4">
        <v>0</v>
      </c>
      <c r="H48" s="5">
        <v>0.97</v>
      </c>
      <c r="I48" s="4">
        <v>1</v>
      </c>
      <c r="J48" s="4">
        <v>1</v>
      </c>
    </row>
    <row r="49" spans="1:10" x14ac:dyDescent="0.25">
      <c r="A49" s="3" t="s">
        <v>279</v>
      </c>
      <c r="B49" s="3" t="s">
        <v>280</v>
      </c>
      <c r="C49" s="4" t="s">
        <v>281</v>
      </c>
      <c r="D49" s="4" t="s">
        <v>282</v>
      </c>
      <c r="E49" s="4" t="s">
        <v>364</v>
      </c>
      <c r="F49" s="4" t="s">
        <v>283</v>
      </c>
      <c r="G49" s="4">
        <v>5</v>
      </c>
      <c r="H49" s="5">
        <v>1.04</v>
      </c>
      <c r="I49" s="4">
        <v>1</v>
      </c>
      <c r="J49" s="4"/>
    </row>
    <row r="50" spans="1:10" x14ac:dyDescent="0.25">
      <c r="A50" s="3" t="s">
        <v>339</v>
      </c>
      <c r="B50" s="3" t="s">
        <v>340</v>
      </c>
      <c r="C50" s="4" t="s">
        <v>341</v>
      </c>
      <c r="D50" s="4" t="s">
        <v>282</v>
      </c>
      <c r="E50" s="4" t="s">
        <v>364</v>
      </c>
      <c r="F50" s="4" t="s">
        <v>342</v>
      </c>
      <c r="G50" s="4">
        <v>0</v>
      </c>
      <c r="H50" s="5">
        <v>14.6</v>
      </c>
      <c r="I50" s="4">
        <v>1</v>
      </c>
      <c r="J50" s="4"/>
    </row>
    <row r="51" spans="1:10" x14ac:dyDescent="0.25">
      <c r="A51" s="3" t="s">
        <v>345</v>
      </c>
      <c r="B51" s="3" t="s">
        <v>346</v>
      </c>
      <c r="C51" s="4" t="s">
        <v>347</v>
      </c>
      <c r="D51" s="4" t="s">
        <v>282</v>
      </c>
      <c r="E51" s="4" t="s">
        <v>364</v>
      </c>
      <c r="F51" s="4" t="s">
        <v>348</v>
      </c>
      <c r="G51" s="4">
        <v>0</v>
      </c>
      <c r="H51" s="5">
        <v>24.6</v>
      </c>
      <c r="I51" s="4">
        <v>1</v>
      </c>
      <c r="J51" s="4"/>
    </row>
    <row r="52" spans="1:10" x14ac:dyDescent="0.25">
      <c r="A52" s="3" t="s">
        <v>349</v>
      </c>
      <c r="B52" s="3" t="s">
        <v>350</v>
      </c>
      <c r="C52" s="4" t="s">
        <v>351</v>
      </c>
      <c r="D52" s="4" t="s">
        <v>282</v>
      </c>
      <c r="E52" s="4" t="s">
        <v>364</v>
      </c>
      <c r="F52" s="4" t="s">
        <v>352</v>
      </c>
      <c r="G52" s="4">
        <v>0</v>
      </c>
      <c r="H52" s="5">
        <v>5.4</v>
      </c>
      <c r="I52" s="4">
        <v>1</v>
      </c>
      <c r="J52" s="4"/>
    </row>
    <row r="53" spans="1:10" x14ac:dyDescent="0.25">
      <c r="A53" s="3" t="s">
        <v>333</v>
      </c>
      <c r="B53" s="3" t="s">
        <v>333</v>
      </c>
      <c r="C53" s="4" t="s">
        <v>256</v>
      </c>
      <c r="D53" s="4" t="s">
        <v>257</v>
      </c>
      <c r="E53" s="4" t="s">
        <v>364</v>
      </c>
      <c r="F53" s="4" t="s">
        <v>258</v>
      </c>
      <c r="G53" s="4">
        <v>9</v>
      </c>
      <c r="H53" s="5">
        <v>0</v>
      </c>
      <c r="I53" s="4">
        <v>1</v>
      </c>
      <c r="J53" s="4"/>
    </row>
    <row r="54" spans="1:10" x14ac:dyDescent="0.25">
      <c r="A54" s="3" t="s">
        <v>334</v>
      </c>
      <c r="B54" s="3" t="s">
        <v>334</v>
      </c>
      <c r="C54" s="4" t="s">
        <v>256</v>
      </c>
      <c r="D54" s="4" t="s">
        <v>257</v>
      </c>
      <c r="E54" s="4" t="s">
        <v>364</v>
      </c>
      <c r="F54" s="4" t="s">
        <v>259</v>
      </c>
      <c r="G54" s="4">
        <v>10</v>
      </c>
      <c r="H54" s="5">
        <v>0</v>
      </c>
      <c r="I54" s="4">
        <v>1</v>
      </c>
      <c r="J54" s="4"/>
    </row>
    <row r="55" spans="1:10" x14ac:dyDescent="0.25">
      <c r="A55" s="3" t="s">
        <v>337</v>
      </c>
      <c r="B55" s="3" t="s">
        <v>337</v>
      </c>
      <c r="C55" s="4" t="s">
        <v>256</v>
      </c>
      <c r="D55" s="4" t="s">
        <v>257</v>
      </c>
      <c r="E55" s="4" t="s">
        <v>364</v>
      </c>
      <c r="F55" s="4" t="s">
        <v>338</v>
      </c>
      <c r="G55" s="4">
        <v>10</v>
      </c>
      <c r="H55" s="5">
        <v>0</v>
      </c>
      <c r="I55" s="4">
        <v>1</v>
      </c>
      <c r="J55" s="4"/>
    </row>
    <row r="56" spans="1:10" x14ac:dyDescent="0.25">
      <c r="A56" s="3" t="s">
        <v>335</v>
      </c>
      <c r="B56" s="3" t="s">
        <v>335</v>
      </c>
      <c r="C56" s="4" t="s">
        <v>256</v>
      </c>
      <c r="D56" s="4" t="s">
        <v>257</v>
      </c>
      <c r="E56" s="4" t="s">
        <v>364</v>
      </c>
      <c r="F56" s="4" t="s">
        <v>401</v>
      </c>
      <c r="G56" s="4">
        <v>9</v>
      </c>
      <c r="H56" s="5">
        <v>0</v>
      </c>
      <c r="I56" s="4">
        <v>1</v>
      </c>
      <c r="J56" s="4"/>
    </row>
    <row r="57" spans="1:10" x14ac:dyDescent="0.25">
      <c r="A57" s="3" t="s">
        <v>336</v>
      </c>
      <c r="B57" s="3" t="s">
        <v>336</v>
      </c>
      <c r="C57" s="4" t="s">
        <v>256</v>
      </c>
      <c r="D57" s="4" t="s">
        <v>257</v>
      </c>
      <c r="E57" s="4" t="s">
        <v>364</v>
      </c>
      <c r="F57" s="4" t="s">
        <v>260</v>
      </c>
      <c r="G57" s="4">
        <v>9</v>
      </c>
      <c r="H57" s="5">
        <v>0</v>
      </c>
      <c r="I57" s="4">
        <v>1</v>
      </c>
      <c r="J57" s="4"/>
    </row>
    <row r="58" spans="1:10" x14ac:dyDescent="0.25">
      <c r="A58" s="3" t="s">
        <v>331</v>
      </c>
      <c r="B58" s="3" t="s">
        <v>331</v>
      </c>
      <c r="C58" s="4" t="s">
        <v>256</v>
      </c>
      <c r="D58" s="4" t="s">
        <v>257</v>
      </c>
      <c r="E58" s="4" t="s">
        <v>456</v>
      </c>
      <c r="F58" s="4" t="s">
        <v>330</v>
      </c>
      <c r="G58" s="4">
        <v>5</v>
      </c>
      <c r="H58" s="5">
        <v>0</v>
      </c>
      <c r="I58" s="4">
        <v>1</v>
      </c>
      <c r="J58" s="4"/>
    </row>
    <row r="59" spans="1:10" x14ac:dyDescent="0.25">
      <c r="A59" s="3" t="s">
        <v>332</v>
      </c>
      <c r="B59" s="3" t="s">
        <v>332</v>
      </c>
      <c r="C59" s="4" t="s">
        <v>256</v>
      </c>
      <c r="D59" s="4" t="s">
        <v>257</v>
      </c>
      <c r="E59" s="4" t="s">
        <v>445</v>
      </c>
      <c r="F59" s="4" t="s">
        <v>329</v>
      </c>
      <c r="G59" s="4">
        <v>5</v>
      </c>
      <c r="H59" s="5">
        <v>0</v>
      </c>
      <c r="I59" s="4">
        <v>1</v>
      </c>
      <c r="J59" s="4"/>
    </row>
    <row r="60" spans="1:10" x14ac:dyDescent="0.25">
      <c r="A60" s="3" t="s">
        <v>111</v>
      </c>
      <c r="B60" s="3">
        <v>61304011021</v>
      </c>
      <c r="C60" s="4" t="s">
        <v>112</v>
      </c>
      <c r="D60" s="4" t="s">
        <v>5</v>
      </c>
      <c r="E60" s="4" t="s">
        <v>364</v>
      </c>
      <c r="F60" s="4" t="s">
        <v>110</v>
      </c>
      <c r="G60" s="4">
        <v>9.85</v>
      </c>
      <c r="H60" s="5">
        <v>1.58</v>
      </c>
      <c r="I60" s="4">
        <v>1</v>
      </c>
      <c r="J60" s="4"/>
    </row>
    <row r="61" spans="1:10" x14ac:dyDescent="0.25">
      <c r="A61" s="3">
        <v>1162740</v>
      </c>
      <c r="B61" s="3" t="s">
        <v>117</v>
      </c>
      <c r="C61" s="4" t="s">
        <v>93</v>
      </c>
      <c r="D61" s="4" t="s">
        <v>5</v>
      </c>
      <c r="E61" s="4" t="s">
        <v>364</v>
      </c>
      <c r="F61" s="4" t="s">
        <v>29</v>
      </c>
      <c r="G61" s="4">
        <v>4</v>
      </c>
      <c r="H61" s="5">
        <v>0.505</v>
      </c>
      <c r="I61" s="4">
        <v>1</v>
      </c>
      <c r="J61" s="4"/>
    </row>
    <row r="62" spans="1:10" x14ac:dyDescent="0.25">
      <c r="A62" s="3">
        <v>1829519</v>
      </c>
      <c r="B62" s="3" t="s">
        <v>31</v>
      </c>
      <c r="C62" s="4" t="s">
        <v>93</v>
      </c>
      <c r="D62" s="4" t="s">
        <v>5</v>
      </c>
      <c r="E62" s="4" t="s">
        <v>364</v>
      </c>
      <c r="F62" s="4" t="s">
        <v>30</v>
      </c>
      <c r="G62" s="4">
        <v>4</v>
      </c>
      <c r="H62" s="5">
        <v>0.78900000000000003</v>
      </c>
      <c r="I62" s="4">
        <v>1</v>
      </c>
      <c r="J62" s="4"/>
    </row>
    <row r="63" spans="1:10" x14ac:dyDescent="0.25">
      <c r="A63" s="3" t="s">
        <v>124</v>
      </c>
      <c r="B63" s="3" t="s">
        <v>123</v>
      </c>
      <c r="C63" s="4" t="s">
        <v>91</v>
      </c>
      <c r="D63" s="4" t="s">
        <v>5</v>
      </c>
      <c r="E63" s="4" t="s">
        <v>364</v>
      </c>
      <c r="F63" s="4" t="s">
        <v>122</v>
      </c>
      <c r="G63" s="4">
        <v>19</v>
      </c>
      <c r="H63" s="5">
        <v>0.191</v>
      </c>
      <c r="I63" s="4">
        <v>1</v>
      </c>
      <c r="J63" s="4"/>
    </row>
    <row r="64" spans="1:10" x14ac:dyDescent="0.25">
      <c r="A64" s="3" t="s">
        <v>164</v>
      </c>
      <c r="B64" s="3" t="s">
        <v>118</v>
      </c>
      <c r="C64" s="4" t="s">
        <v>91</v>
      </c>
      <c r="D64" s="4" t="s">
        <v>5</v>
      </c>
      <c r="E64" s="4" t="s">
        <v>364</v>
      </c>
      <c r="F64" s="4" t="s">
        <v>28</v>
      </c>
      <c r="G64" s="4">
        <v>100</v>
      </c>
      <c r="H64" s="5">
        <v>0.112</v>
      </c>
      <c r="I64" s="4">
        <v>1</v>
      </c>
      <c r="J64" s="4"/>
    </row>
    <row r="65" spans="1:10" x14ac:dyDescent="0.25">
      <c r="A65" s="3" t="s">
        <v>159</v>
      </c>
      <c r="B65" s="3" t="s">
        <v>97</v>
      </c>
      <c r="C65" s="4" t="s">
        <v>26</v>
      </c>
      <c r="D65" s="4" t="s">
        <v>5</v>
      </c>
      <c r="E65" s="4" t="s">
        <v>364</v>
      </c>
      <c r="F65" s="4" t="s">
        <v>98</v>
      </c>
      <c r="G65" s="4">
        <v>100</v>
      </c>
      <c r="H65" s="5">
        <v>5.8900000000000001E-2</v>
      </c>
      <c r="I65" s="4">
        <v>1</v>
      </c>
      <c r="J65" s="4"/>
    </row>
    <row r="66" spans="1:10" x14ac:dyDescent="0.25">
      <c r="A66" s="3" t="s">
        <v>114</v>
      </c>
      <c r="B66" s="3" t="s">
        <v>113</v>
      </c>
      <c r="C66" s="4" t="s">
        <v>33</v>
      </c>
      <c r="D66" s="4" t="s">
        <v>5</v>
      </c>
      <c r="E66" s="4" t="s">
        <v>364</v>
      </c>
      <c r="F66" s="4" t="s">
        <v>116</v>
      </c>
      <c r="G66" s="4">
        <v>-2.2000000000000002</v>
      </c>
      <c r="H66" s="5">
        <v>0.28699999999999998</v>
      </c>
      <c r="I66" s="4">
        <v>1</v>
      </c>
      <c r="J66" s="4"/>
    </row>
    <row r="67" spans="1:10" x14ac:dyDescent="0.25">
      <c r="A67" s="3" t="s">
        <v>109</v>
      </c>
      <c r="B67" s="3" t="s">
        <v>107</v>
      </c>
      <c r="C67" s="4" t="s">
        <v>108</v>
      </c>
      <c r="D67" s="4" t="s">
        <v>5</v>
      </c>
      <c r="E67" s="4" t="s">
        <v>364</v>
      </c>
      <c r="F67" s="4" t="s">
        <v>115</v>
      </c>
      <c r="G67" s="4">
        <v>3</v>
      </c>
      <c r="H67" s="5">
        <v>1.55</v>
      </c>
      <c r="I67" s="4">
        <v>1</v>
      </c>
      <c r="J67" s="4"/>
    </row>
    <row r="68" spans="1:10" x14ac:dyDescent="0.25">
      <c r="A68" s="3">
        <v>9352260</v>
      </c>
      <c r="B68" s="3" t="s">
        <v>38</v>
      </c>
      <c r="C68" s="4" t="s">
        <v>92</v>
      </c>
      <c r="D68" s="4" t="s">
        <v>5</v>
      </c>
      <c r="E68" s="4" t="s">
        <v>364</v>
      </c>
      <c r="F68" s="4" t="s">
        <v>37</v>
      </c>
      <c r="G68" s="4">
        <v>2</v>
      </c>
      <c r="H68" s="5">
        <v>2.76</v>
      </c>
      <c r="I68" s="4">
        <v>1</v>
      </c>
      <c r="J68" s="4"/>
    </row>
    <row r="69" spans="1:10" x14ac:dyDescent="0.25">
      <c r="A69" s="3" t="s">
        <v>134</v>
      </c>
      <c r="B69" s="3" t="s">
        <v>133</v>
      </c>
      <c r="C69" s="4" t="s">
        <v>7</v>
      </c>
      <c r="D69" s="4" t="s">
        <v>5</v>
      </c>
      <c r="E69" s="4" t="s">
        <v>364</v>
      </c>
      <c r="F69" s="4" t="s">
        <v>132</v>
      </c>
      <c r="G69" s="4">
        <v>10</v>
      </c>
      <c r="H69" s="5">
        <v>0.34899999999999998</v>
      </c>
      <c r="I69" s="4">
        <v>1</v>
      </c>
      <c r="J69" s="4"/>
    </row>
    <row r="70" spans="1:10" x14ac:dyDescent="0.25">
      <c r="A70" s="3">
        <v>2112100</v>
      </c>
      <c r="B70" s="3" t="s">
        <v>34</v>
      </c>
      <c r="C70" s="4" t="s">
        <v>33</v>
      </c>
      <c r="D70" s="4" t="s">
        <v>5</v>
      </c>
      <c r="E70" s="4" t="s">
        <v>364</v>
      </c>
      <c r="F70" s="4" t="s">
        <v>32</v>
      </c>
      <c r="G70" s="4">
        <v>4</v>
      </c>
      <c r="H70" s="5">
        <v>0.28999999999999998</v>
      </c>
      <c r="I70" s="4">
        <v>1</v>
      </c>
      <c r="J70" s="4"/>
    </row>
    <row r="71" spans="1:10" x14ac:dyDescent="0.25">
      <c r="A71" s="3" t="s">
        <v>89</v>
      </c>
      <c r="B71" s="3" t="s">
        <v>90</v>
      </c>
      <c r="C71" s="4" t="s">
        <v>91</v>
      </c>
      <c r="D71" s="4" t="s">
        <v>5</v>
      </c>
      <c r="E71" s="4" t="s">
        <v>364</v>
      </c>
      <c r="F71" s="4" t="s">
        <v>96</v>
      </c>
      <c r="G71" s="4">
        <v>0</v>
      </c>
      <c r="H71" s="5">
        <v>0.32600000000000001</v>
      </c>
      <c r="I71" s="4">
        <v>1</v>
      </c>
      <c r="J71" s="4"/>
    </row>
    <row r="72" spans="1:10" x14ac:dyDescent="0.25">
      <c r="A72" s="3">
        <v>2064805</v>
      </c>
      <c r="B72" s="3" t="s">
        <v>40</v>
      </c>
      <c r="C72" s="4" t="s">
        <v>7</v>
      </c>
      <c r="D72" s="4" t="s">
        <v>5</v>
      </c>
      <c r="E72" s="4" t="s">
        <v>364</v>
      </c>
      <c r="F72" s="4" t="s">
        <v>39</v>
      </c>
      <c r="G72" s="4">
        <v>0</v>
      </c>
      <c r="H72" s="5">
        <v>2.95</v>
      </c>
      <c r="I72" s="4">
        <v>1</v>
      </c>
      <c r="J72" s="4"/>
    </row>
    <row r="73" spans="1:10" x14ac:dyDescent="0.25">
      <c r="A73" s="3" t="s">
        <v>450</v>
      </c>
      <c r="B73" s="3" t="s">
        <v>59</v>
      </c>
      <c r="C73" s="4" t="s">
        <v>58</v>
      </c>
      <c r="D73" s="4" t="s">
        <v>5</v>
      </c>
      <c r="E73" s="4" t="s">
        <v>451</v>
      </c>
      <c r="F73" s="4" t="s">
        <v>57</v>
      </c>
      <c r="G73" s="4">
        <v>19</v>
      </c>
      <c r="H73" s="5">
        <v>3.7499999999999999E-2</v>
      </c>
      <c r="I73" s="4">
        <v>1</v>
      </c>
      <c r="J73" s="4"/>
    </row>
    <row r="74" spans="1:10" x14ac:dyDescent="0.25">
      <c r="A74" s="3">
        <v>9845356</v>
      </c>
      <c r="B74" s="3" t="s">
        <v>46</v>
      </c>
      <c r="C74" s="4" t="s">
        <v>45</v>
      </c>
      <c r="D74" s="4" t="s">
        <v>5</v>
      </c>
      <c r="E74" s="4" t="s">
        <v>405</v>
      </c>
      <c r="F74" s="4" t="s">
        <v>44</v>
      </c>
      <c r="G74" s="4">
        <v>16</v>
      </c>
      <c r="H74" s="5">
        <v>0.42199999999999999</v>
      </c>
      <c r="I74" s="4">
        <v>1</v>
      </c>
      <c r="J74" s="4"/>
    </row>
    <row r="75" spans="1:10" x14ac:dyDescent="0.25">
      <c r="A75" s="3">
        <v>2461217</v>
      </c>
      <c r="B75" s="3" t="s">
        <v>16</v>
      </c>
      <c r="C75" s="4" t="s">
        <v>33</v>
      </c>
      <c r="D75" s="4" t="s">
        <v>5</v>
      </c>
      <c r="E75" s="4" t="s">
        <v>364</v>
      </c>
      <c r="F75" s="4" t="s">
        <v>15</v>
      </c>
      <c r="G75" s="4">
        <v>14</v>
      </c>
      <c r="H75" s="5">
        <v>0.20200000000000001</v>
      </c>
      <c r="I75" s="4">
        <v>1</v>
      </c>
      <c r="J75" s="4"/>
    </row>
    <row r="76" spans="1:10" x14ac:dyDescent="0.25">
      <c r="A76" s="3">
        <v>9451242</v>
      </c>
      <c r="B76" s="3" t="s">
        <v>14</v>
      </c>
      <c r="C76" s="4" t="s">
        <v>33</v>
      </c>
      <c r="D76" s="4" t="s">
        <v>5</v>
      </c>
      <c r="E76" s="4" t="s">
        <v>364</v>
      </c>
      <c r="F76" s="4" t="s">
        <v>13</v>
      </c>
      <c r="G76" s="4">
        <v>49</v>
      </c>
      <c r="H76" s="5">
        <v>5.1700000000000003E-2</v>
      </c>
      <c r="I76" s="4">
        <v>1</v>
      </c>
      <c r="J76" s="4"/>
    </row>
    <row r="77" spans="1:10" x14ac:dyDescent="0.25">
      <c r="A77" s="3" t="s">
        <v>163</v>
      </c>
      <c r="B77" s="3" t="s">
        <v>12</v>
      </c>
      <c r="C77" s="4" t="s">
        <v>33</v>
      </c>
      <c r="D77" s="4" t="s">
        <v>5</v>
      </c>
      <c r="E77" s="4" t="s">
        <v>444</v>
      </c>
      <c r="F77" s="4" t="s">
        <v>11</v>
      </c>
      <c r="G77" s="4">
        <v>48</v>
      </c>
      <c r="H77" s="5">
        <v>5.0900000000000001E-2</v>
      </c>
      <c r="I77" s="4">
        <v>1</v>
      </c>
      <c r="J77" s="4"/>
    </row>
    <row r="78" spans="1:10" x14ac:dyDescent="0.25">
      <c r="A78" s="3" t="s">
        <v>448</v>
      </c>
      <c r="B78" s="3" t="s">
        <v>61</v>
      </c>
      <c r="C78" s="4" t="s">
        <v>33</v>
      </c>
      <c r="D78" s="4" t="s">
        <v>5</v>
      </c>
      <c r="E78" s="4" t="s">
        <v>449</v>
      </c>
      <c r="F78" s="4" t="s">
        <v>60</v>
      </c>
      <c r="G78" s="4">
        <v>9</v>
      </c>
      <c r="H78" s="5">
        <v>4.4499999999999998E-2</v>
      </c>
      <c r="I78" s="4">
        <v>1</v>
      </c>
      <c r="J78" s="4"/>
    </row>
    <row r="79" spans="1:10" x14ac:dyDescent="0.25">
      <c r="A79" s="3" t="s">
        <v>454</v>
      </c>
      <c r="B79" s="3" t="s">
        <v>56</v>
      </c>
      <c r="C79" s="4" t="s">
        <v>33</v>
      </c>
      <c r="D79" s="4" t="s">
        <v>5</v>
      </c>
      <c r="E79" s="4" t="s">
        <v>455</v>
      </c>
      <c r="F79" s="4" t="s">
        <v>55</v>
      </c>
      <c r="G79" s="4">
        <v>9</v>
      </c>
      <c r="H79" s="5">
        <v>1.55E-2</v>
      </c>
      <c r="I79" s="4">
        <v>1</v>
      </c>
      <c r="J79" s="4"/>
    </row>
    <row r="80" spans="1:10" x14ac:dyDescent="0.25">
      <c r="A80" s="3" t="s">
        <v>457</v>
      </c>
      <c r="B80" s="3" t="s">
        <v>54</v>
      </c>
      <c r="C80" s="4" t="s">
        <v>33</v>
      </c>
      <c r="D80" s="4" t="s">
        <v>5</v>
      </c>
      <c r="E80" s="4" t="s">
        <v>458</v>
      </c>
      <c r="F80" s="4" t="s">
        <v>53</v>
      </c>
      <c r="G80" s="4">
        <v>0</v>
      </c>
      <c r="H80" s="5">
        <v>2.3E-2</v>
      </c>
      <c r="I80" s="4">
        <v>1</v>
      </c>
      <c r="J80" s="4"/>
    </row>
    <row r="81" spans="1:10" x14ac:dyDescent="0.25">
      <c r="A81" s="3" t="s">
        <v>415</v>
      </c>
      <c r="B81" s="3" t="s">
        <v>24</v>
      </c>
      <c r="C81" s="4" t="s">
        <v>94</v>
      </c>
      <c r="D81" s="4" t="s">
        <v>5</v>
      </c>
      <c r="E81" s="4" t="s">
        <v>416</v>
      </c>
      <c r="F81" s="4" t="s">
        <v>23</v>
      </c>
      <c r="G81" s="4">
        <v>4</v>
      </c>
      <c r="H81" s="5">
        <v>0.51600000000000001</v>
      </c>
      <c r="I81" s="4">
        <v>1</v>
      </c>
      <c r="J81" s="4"/>
    </row>
    <row r="82" spans="1:10" x14ac:dyDescent="0.25">
      <c r="A82" s="3" t="s">
        <v>408</v>
      </c>
      <c r="B82" s="3" t="s">
        <v>18</v>
      </c>
      <c r="C82" s="4" t="s">
        <v>94</v>
      </c>
      <c r="D82" s="4" t="s">
        <v>5</v>
      </c>
      <c r="E82" s="4" t="s">
        <v>409</v>
      </c>
      <c r="F82" s="4" t="s">
        <v>17</v>
      </c>
      <c r="G82" s="4">
        <v>19</v>
      </c>
      <c r="H82" s="5">
        <v>0.246</v>
      </c>
      <c r="I82" s="4">
        <v>1</v>
      </c>
      <c r="J82" s="4"/>
    </row>
    <row r="83" spans="1:10" x14ac:dyDescent="0.25">
      <c r="A83" s="3" t="s">
        <v>103</v>
      </c>
      <c r="B83" s="6" t="s">
        <v>101</v>
      </c>
      <c r="C83" s="4" t="s">
        <v>94</v>
      </c>
      <c r="D83" s="4" t="s">
        <v>5</v>
      </c>
      <c r="E83" s="4" t="s">
        <v>410</v>
      </c>
      <c r="F83" s="4" t="s">
        <v>102</v>
      </c>
      <c r="G83" s="4">
        <v>10</v>
      </c>
      <c r="H83" s="5">
        <v>0.34</v>
      </c>
      <c r="I83" s="4">
        <v>1</v>
      </c>
      <c r="J83" s="4"/>
    </row>
    <row r="84" spans="1:10" x14ac:dyDescent="0.25">
      <c r="A84" s="3" t="s">
        <v>106</v>
      </c>
      <c r="B84" s="3" t="s">
        <v>105</v>
      </c>
      <c r="C84" s="4" t="s">
        <v>94</v>
      </c>
      <c r="D84" s="4" t="s">
        <v>5</v>
      </c>
      <c r="E84" s="4" t="s">
        <v>364</v>
      </c>
      <c r="F84" s="4" t="s">
        <v>104</v>
      </c>
      <c r="G84" s="4">
        <v>5</v>
      </c>
      <c r="H84" s="5">
        <v>0.44600000000000001</v>
      </c>
      <c r="I84" s="4">
        <v>1</v>
      </c>
      <c r="J84" s="4"/>
    </row>
    <row r="85" spans="1:10" x14ac:dyDescent="0.25">
      <c r="A85" s="3" t="s">
        <v>99</v>
      </c>
      <c r="B85" s="6" t="s">
        <v>100</v>
      </c>
      <c r="C85" s="4" t="s">
        <v>94</v>
      </c>
      <c r="D85" s="4" t="s">
        <v>5</v>
      </c>
      <c r="E85" s="4" t="s">
        <v>411</v>
      </c>
      <c r="F85" s="4" t="s">
        <v>104</v>
      </c>
      <c r="G85" s="4">
        <v>10</v>
      </c>
      <c r="H85" s="5">
        <v>0.44600000000000001</v>
      </c>
      <c r="I85" s="4">
        <v>1</v>
      </c>
      <c r="J85" s="4"/>
    </row>
    <row r="86" spans="1:10" x14ac:dyDescent="0.25">
      <c r="A86" s="3" t="s">
        <v>417</v>
      </c>
      <c r="B86" s="3" t="s">
        <v>22</v>
      </c>
      <c r="C86" s="4" t="s">
        <v>94</v>
      </c>
      <c r="D86" s="4" t="s">
        <v>5</v>
      </c>
      <c r="E86" s="4" t="s">
        <v>418</v>
      </c>
      <c r="F86" s="4" t="s">
        <v>21</v>
      </c>
      <c r="G86" s="4">
        <v>9</v>
      </c>
      <c r="H86" s="5">
        <v>0.57499999999999996</v>
      </c>
      <c r="I86" s="4">
        <v>1</v>
      </c>
      <c r="J86" s="4"/>
    </row>
    <row r="87" spans="1:10" x14ac:dyDescent="0.25">
      <c r="A87" s="3" t="s">
        <v>446</v>
      </c>
      <c r="B87" s="3" t="s">
        <v>63</v>
      </c>
      <c r="C87" s="4" t="s">
        <v>33</v>
      </c>
      <c r="D87" s="4" t="s">
        <v>5</v>
      </c>
      <c r="E87" s="4" t="s">
        <v>447</v>
      </c>
      <c r="F87" s="4" t="s">
        <v>62</v>
      </c>
      <c r="G87" s="4">
        <v>7</v>
      </c>
      <c r="H87" s="5">
        <v>2.3900000000000001E-2</v>
      </c>
      <c r="I87" s="4">
        <v>1</v>
      </c>
      <c r="J87" s="4"/>
    </row>
    <row r="88" spans="1:10" x14ac:dyDescent="0.25">
      <c r="A88" s="3" t="s">
        <v>452</v>
      </c>
      <c r="B88" s="3" t="s">
        <v>52</v>
      </c>
      <c r="C88" s="4" t="s">
        <v>51</v>
      </c>
      <c r="D88" s="4" t="s">
        <v>5</v>
      </c>
      <c r="E88" s="4" t="s">
        <v>453</v>
      </c>
      <c r="F88" s="4" t="s">
        <v>50</v>
      </c>
      <c r="G88" s="4">
        <v>9</v>
      </c>
      <c r="H88" s="5">
        <v>1.0999999999999999E-2</v>
      </c>
      <c r="I88" s="4">
        <v>1</v>
      </c>
      <c r="J88" s="4"/>
    </row>
    <row r="89" spans="1:10" x14ac:dyDescent="0.25">
      <c r="A89" s="3" t="s">
        <v>419</v>
      </c>
      <c r="B89" s="3" t="s">
        <v>27</v>
      </c>
      <c r="C89" s="4" t="s">
        <v>45</v>
      </c>
      <c r="D89" s="4" t="s">
        <v>5</v>
      </c>
      <c r="E89" s="4" t="s">
        <v>420</v>
      </c>
      <c r="F89" s="4" t="s">
        <v>25</v>
      </c>
      <c r="G89" s="4">
        <v>9</v>
      </c>
      <c r="H89" s="5">
        <v>0.26500000000000001</v>
      </c>
      <c r="I89" s="4">
        <v>1</v>
      </c>
      <c r="J89" s="4"/>
    </row>
    <row r="90" spans="1:10" x14ac:dyDescent="0.25">
      <c r="A90" s="3">
        <v>1779259</v>
      </c>
      <c r="B90" s="3" t="s">
        <v>43</v>
      </c>
      <c r="C90" s="4" t="s">
        <v>7</v>
      </c>
      <c r="D90" s="4" t="s">
        <v>5</v>
      </c>
      <c r="E90" s="4" t="s">
        <v>403</v>
      </c>
      <c r="F90" s="4" t="s">
        <v>41</v>
      </c>
      <c r="G90" s="4">
        <v>24</v>
      </c>
      <c r="H90" s="5">
        <v>0.27100000000000002</v>
      </c>
      <c r="I90" s="4">
        <v>1</v>
      </c>
      <c r="J90" s="4"/>
    </row>
    <row r="91" spans="1:10" x14ac:dyDescent="0.25">
      <c r="A91" s="3" t="s">
        <v>137</v>
      </c>
      <c r="B91" s="3" t="s">
        <v>136</v>
      </c>
      <c r="C91" s="4" t="s">
        <v>127</v>
      </c>
      <c r="D91" s="4" t="s">
        <v>5</v>
      </c>
      <c r="E91" s="4" t="s">
        <v>421</v>
      </c>
      <c r="F91" s="4" t="s">
        <v>135</v>
      </c>
      <c r="G91" s="4">
        <v>5</v>
      </c>
      <c r="H91" s="5">
        <v>0.27100000000000002</v>
      </c>
      <c r="I91" s="4">
        <v>1</v>
      </c>
      <c r="J91" s="4"/>
    </row>
    <row r="92" spans="1:10" x14ac:dyDescent="0.25">
      <c r="A92" s="3" t="s">
        <v>412</v>
      </c>
      <c r="B92" s="3" t="s">
        <v>9</v>
      </c>
      <c r="C92" s="4" t="s">
        <v>7</v>
      </c>
      <c r="D92" s="4" t="s">
        <v>5</v>
      </c>
      <c r="E92" s="4" t="s">
        <v>413</v>
      </c>
      <c r="F92" s="4" t="s">
        <v>10</v>
      </c>
      <c r="G92" s="4">
        <v>4</v>
      </c>
      <c r="H92" s="5">
        <v>0.33100000000000002</v>
      </c>
      <c r="I92" s="4">
        <v>1</v>
      </c>
      <c r="J92" s="4"/>
    </row>
    <row r="93" spans="1:10" x14ac:dyDescent="0.25">
      <c r="A93" s="3" t="s">
        <v>121</v>
      </c>
      <c r="B93" s="3" t="s">
        <v>120</v>
      </c>
      <c r="C93" s="4" t="s">
        <v>33</v>
      </c>
      <c r="D93" s="4" t="s">
        <v>5</v>
      </c>
      <c r="E93" s="4" t="s">
        <v>364</v>
      </c>
      <c r="F93" s="4" t="s">
        <v>119</v>
      </c>
      <c r="G93" s="4">
        <v>15</v>
      </c>
      <c r="H93" s="5">
        <v>0.26500000000000001</v>
      </c>
      <c r="I93" s="4">
        <v>1</v>
      </c>
      <c r="J93" s="4"/>
    </row>
    <row r="94" spans="1:10" x14ac:dyDescent="0.25">
      <c r="A94" s="3">
        <v>1141380</v>
      </c>
      <c r="B94" s="3" t="s">
        <v>49</v>
      </c>
      <c r="C94" s="4" t="s">
        <v>48</v>
      </c>
      <c r="D94" s="4" t="s">
        <v>5</v>
      </c>
      <c r="E94" s="4" t="s">
        <v>364</v>
      </c>
      <c r="F94" s="4" t="s">
        <v>47</v>
      </c>
      <c r="G94" s="4">
        <v>1</v>
      </c>
      <c r="H94" s="5">
        <v>1.62</v>
      </c>
      <c r="I94" s="4">
        <v>1</v>
      </c>
      <c r="J94" s="4"/>
    </row>
    <row r="95" spans="1:10" x14ac:dyDescent="0.25">
      <c r="A95" s="3" t="s">
        <v>130</v>
      </c>
      <c r="B95" s="3" t="s">
        <v>129</v>
      </c>
      <c r="C95" s="4" t="s">
        <v>127</v>
      </c>
      <c r="D95" s="4" t="s">
        <v>5</v>
      </c>
      <c r="E95" s="4" t="s">
        <v>404</v>
      </c>
      <c r="F95" s="4" t="s">
        <v>131</v>
      </c>
      <c r="G95" s="4">
        <v>10</v>
      </c>
      <c r="H95" s="5">
        <v>0.54600000000000004</v>
      </c>
      <c r="I95" s="4">
        <v>1</v>
      </c>
      <c r="J95" s="4"/>
    </row>
    <row r="96" spans="1:10" x14ac:dyDescent="0.25">
      <c r="A96" s="3" t="s">
        <v>128</v>
      </c>
      <c r="B96" s="3" t="s">
        <v>126</v>
      </c>
      <c r="C96" s="4" t="s">
        <v>127</v>
      </c>
      <c r="D96" s="4" t="s">
        <v>5</v>
      </c>
      <c r="E96" s="4" t="s">
        <v>364</v>
      </c>
      <c r="F96" s="4" t="s">
        <v>125</v>
      </c>
      <c r="G96" s="4">
        <v>5</v>
      </c>
      <c r="H96" s="5">
        <v>0.68600000000000005</v>
      </c>
      <c r="I96" s="4">
        <v>1</v>
      </c>
      <c r="J96" s="4"/>
    </row>
    <row r="97" spans="1:10" x14ac:dyDescent="0.25">
      <c r="A97" s="3" t="s">
        <v>442</v>
      </c>
      <c r="B97" s="3" t="s">
        <v>36</v>
      </c>
      <c r="C97" s="4" t="s">
        <v>42</v>
      </c>
      <c r="D97" s="4" t="s">
        <v>5</v>
      </c>
      <c r="E97" s="4" t="s">
        <v>443</v>
      </c>
      <c r="F97" s="4" t="s">
        <v>35</v>
      </c>
      <c r="G97" s="4">
        <v>91</v>
      </c>
      <c r="H97" s="5">
        <v>0.106</v>
      </c>
      <c r="I97" s="4">
        <v>1</v>
      </c>
      <c r="J97" s="4"/>
    </row>
    <row r="98" spans="1:10" x14ac:dyDescent="0.25">
      <c r="A98" s="3" t="s">
        <v>428</v>
      </c>
      <c r="B98" s="3" t="s">
        <v>20</v>
      </c>
      <c r="C98" s="4" t="s">
        <v>42</v>
      </c>
      <c r="D98" s="4" t="s">
        <v>5</v>
      </c>
      <c r="E98" s="4" t="s">
        <v>429</v>
      </c>
      <c r="F98" s="4" t="s">
        <v>19</v>
      </c>
      <c r="G98" s="4">
        <v>0</v>
      </c>
      <c r="H98" s="5">
        <v>3.64</v>
      </c>
      <c r="I98" s="4">
        <v>1</v>
      </c>
      <c r="J98" s="4"/>
    </row>
    <row r="99" spans="1:10" x14ac:dyDescent="0.25">
      <c r="A99" s="3" t="s">
        <v>434</v>
      </c>
      <c r="B99" s="3" t="s">
        <v>439</v>
      </c>
      <c r="C99" s="4" t="s">
        <v>435</v>
      </c>
      <c r="D99" s="4" t="s">
        <v>374</v>
      </c>
      <c r="E99" s="4" t="s">
        <v>364</v>
      </c>
      <c r="F99" s="4" t="s">
        <v>436</v>
      </c>
      <c r="G99" s="4">
        <v>5</v>
      </c>
      <c r="H99" s="5">
        <v>0.127</v>
      </c>
      <c r="I99" s="4">
        <v>1</v>
      </c>
      <c r="J99" s="4"/>
    </row>
    <row r="100" spans="1:10" x14ac:dyDescent="0.25">
      <c r="A100" s="3" t="s">
        <v>434</v>
      </c>
      <c r="B100" s="3" t="s">
        <v>440</v>
      </c>
      <c r="C100" s="4" t="s">
        <v>435</v>
      </c>
      <c r="D100" s="4" t="s">
        <v>374</v>
      </c>
      <c r="E100" s="4" t="s">
        <v>364</v>
      </c>
      <c r="F100" s="4" t="s">
        <v>437</v>
      </c>
      <c r="G100" s="4">
        <v>5</v>
      </c>
      <c r="H100" s="5">
        <v>0.127</v>
      </c>
      <c r="I100" s="4">
        <v>1</v>
      </c>
      <c r="J100" s="4"/>
    </row>
  </sheetData>
  <conditionalFormatting sqref="B90:B1048576 B2:B74 B80:B87">
    <cfRule type="duplicateValues" dxfId="81" priority="5"/>
  </conditionalFormatting>
  <conditionalFormatting sqref="G80:G87 G89:G1048576">
    <cfRule type="containsBlanks" priority="4" stopIfTrue="1">
      <formula>LEN(TRIM(G80))=0</formula>
    </cfRule>
    <cfRule type="cellIs" dxfId="80" priority="7" operator="equal">
      <formula>0</formula>
    </cfRule>
    <cfRule type="cellIs" dxfId="79" priority="8" operator="lessThan">
      <formula>0</formula>
    </cfRule>
  </conditionalFormatting>
  <conditionalFormatting sqref="G2:G100">
    <cfRule type="containsBlanks" priority="1" stopIfTrue="1">
      <formula>LEN(TRIM(G2))=0</formula>
    </cfRule>
    <cfRule type="cellIs" dxfId="78" priority="2" operator="equal">
      <formula>0</formula>
    </cfRule>
    <cfRule type="cellIs" dxfId="77" priority="3" operator="lessThan">
      <formula>0</formula>
    </cfRule>
  </conditionalFormatting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180</v>
      </c>
      <c r="B10" s="3" t="s">
        <v>181</v>
      </c>
      <c r="C10" s="4" t="s">
        <v>179</v>
      </c>
      <c r="D10" s="4" t="s">
        <v>82</v>
      </c>
      <c r="E10" s="4" t="s">
        <v>182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189</v>
      </c>
      <c r="B26" s="3" t="s">
        <v>190</v>
      </c>
      <c r="C26" s="4" t="s">
        <v>179</v>
      </c>
      <c r="D26" s="4" t="s">
        <v>82</v>
      </c>
      <c r="E26" s="4" t="s">
        <v>191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192</v>
      </c>
      <c r="B29" s="3" t="s">
        <v>193</v>
      </c>
      <c r="C29" s="4" t="s">
        <v>179</v>
      </c>
      <c r="D29" s="4" t="s">
        <v>82</v>
      </c>
      <c r="E29" s="4" t="s">
        <v>194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198</v>
      </c>
      <c r="B52" s="3" t="s">
        <v>199</v>
      </c>
      <c r="C52" s="4" t="s">
        <v>179</v>
      </c>
      <c r="D52" s="4" t="s">
        <v>82</v>
      </c>
      <c r="E52" s="4" t="s">
        <v>200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195</v>
      </c>
      <c r="B56" s="3" t="s">
        <v>196</v>
      </c>
      <c r="C56" s="4" t="s">
        <v>179</v>
      </c>
      <c r="D56" s="4" t="s">
        <v>82</v>
      </c>
      <c r="E56" s="4" t="s">
        <v>197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183</v>
      </c>
      <c r="B63" s="3" t="s">
        <v>184</v>
      </c>
      <c r="C63" s="4" t="s">
        <v>179</v>
      </c>
      <c r="D63" s="4" t="s">
        <v>82</v>
      </c>
      <c r="E63" s="4" t="s">
        <v>185</v>
      </c>
      <c r="F63" s="5">
        <v>0.8</v>
      </c>
    </row>
    <row r="64" spans="1:6" x14ac:dyDescent="0.25">
      <c r="A64" s="3" t="s">
        <v>186</v>
      </c>
      <c r="B64" s="3" t="s">
        <v>187</v>
      </c>
      <c r="C64" s="4" t="s">
        <v>179</v>
      </c>
      <c r="D64" s="4" t="s">
        <v>82</v>
      </c>
      <c r="E64" s="4" t="s">
        <v>188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J13"/>
  <sheetViews>
    <sheetView tabSelected="1" topLeftCell="C1" workbookViewId="0">
      <selection activeCell="J9" sqref="J9"/>
    </sheetView>
  </sheetViews>
  <sheetFormatPr defaultRowHeight="15" x14ac:dyDescent="0.25"/>
  <cols>
    <col min="1" max="1" width="18.42578125" bestFit="1" customWidth="1"/>
    <col min="2" max="2" width="22.140625" bestFit="1" customWidth="1"/>
    <col min="3" max="3" width="16.5703125" bestFit="1" customWidth="1"/>
    <col min="4" max="4" width="10.28515625" bestFit="1" customWidth="1"/>
    <col min="5" max="5" width="11.140625" bestFit="1" customWidth="1"/>
    <col min="6" max="6" width="66.5703125" bestFit="1" customWidth="1"/>
    <col min="7" max="7" width="10" bestFit="1" customWidth="1"/>
    <col min="8" max="8" width="12" bestFit="1" customWidth="1"/>
    <col min="9" max="9" width="20.5703125" style="24" bestFit="1" customWidth="1"/>
    <col min="10" max="10" width="28.7109375" style="24" bestFit="1" customWidth="1"/>
  </cols>
  <sheetData>
    <row r="1" spans="1:10" s="4" customFormat="1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363</v>
      </c>
      <c r="F1" s="25" t="s">
        <v>2</v>
      </c>
      <c r="G1" s="2" t="s">
        <v>3</v>
      </c>
      <c r="H1" s="21" t="s">
        <v>8</v>
      </c>
      <c r="I1" s="26" t="s">
        <v>469</v>
      </c>
      <c r="J1" s="26" t="s">
        <v>471</v>
      </c>
    </row>
    <row r="2" spans="1:10" x14ac:dyDescent="0.25">
      <c r="A2" s="4"/>
      <c r="B2" s="4"/>
      <c r="C2" s="4"/>
      <c r="D2" s="4"/>
      <c r="E2" s="4"/>
      <c r="F2" s="4"/>
      <c r="G2" s="4"/>
      <c r="H2" s="4"/>
      <c r="I2" s="27"/>
      <c r="J2" s="27"/>
    </row>
    <row r="3" spans="1:10" x14ac:dyDescent="0.25">
      <c r="A3" s="4"/>
      <c r="B3" s="4"/>
      <c r="C3" s="4"/>
      <c r="D3" s="4"/>
      <c r="E3" s="4"/>
      <c r="F3" s="4"/>
      <c r="G3" s="4"/>
      <c r="H3" s="4"/>
      <c r="I3" s="27"/>
      <c r="J3" s="27"/>
    </row>
    <row r="4" spans="1:10" x14ac:dyDescent="0.25">
      <c r="A4" s="4"/>
      <c r="B4" s="4"/>
      <c r="C4" s="4"/>
      <c r="D4" s="4"/>
      <c r="E4" s="4"/>
      <c r="F4" s="4"/>
      <c r="G4" s="4"/>
      <c r="H4" s="4"/>
      <c r="I4" s="27"/>
      <c r="J4" s="27"/>
    </row>
    <row r="5" spans="1:10" x14ac:dyDescent="0.25">
      <c r="A5" s="4"/>
      <c r="B5" s="4"/>
      <c r="C5" s="4"/>
      <c r="D5" s="4"/>
      <c r="E5" s="4"/>
      <c r="F5" s="4"/>
      <c r="G5" s="4"/>
      <c r="H5" s="4"/>
      <c r="I5" s="27"/>
      <c r="J5" s="27"/>
    </row>
    <row r="6" spans="1:10" x14ac:dyDescent="0.25">
      <c r="A6" s="4"/>
      <c r="B6" s="4"/>
      <c r="C6" s="4"/>
      <c r="D6" s="4"/>
      <c r="E6" s="4"/>
      <c r="F6" s="4"/>
      <c r="G6" s="4"/>
      <c r="H6" s="4"/>
      <c r="I6" s="27"/>
      <c r="J6" s="27"/>
    </row>
    <row r="7" spans="1:10" x14ac:dyDescent="0.25">
      <c r="A7" s="4"/>
      <c r="B7" s="4"/>
      <c r="C7" s="4"/>
      <c r="D7" s="4"/>
      <c r="E7" s="4"/>
      <c r="F7" s="4"/>
      <c r="G7" s="4"/>
      <c r="H7" s="4"/>
      <c r="I7" s="27"/>
      <c r="J7" s="27"/>
    </row>
    <row r="8" spans="1:10" x14ac:dyDescent="0.25">
      <c r="A8" s="4"/>
      <c r="B8" s="4"/>
      <c r="C8" s="4"/>
      <c r="D8" s="4"/>
      <c r="E8" s="4"/>
      <c r="F8" s="4"/>
      <c r="G8" s="4"/>
      <c r="H8" s="4"/>
      <c r="I8" s="27"/>
      <c r="J8" s="27"/>
    </row>
    <row r="9" spans="1:10" x14ac:dyDescent="0.25">
      <c r="A9" s="4"/>
      <c r="B9" s="4"/>
      <c r="C9" s="4"/>
      <c r="D9" s="4"/>
      <c r="E9" s="4"/>
      <c r="F9" s="4"/>
      <c r="G9" s="4"/>
      <c r="H9" s="4"/>
      <c r="I9" s="27"/>
      <c r="J9" s="27"/>
    </row>
    <row r="10" spans="1:10" x14ac:dyDescent="0.25">
      <c r="A10" s="4"/>
      <c r="B10" s="4"/>
      <c r="C10" s="4"/>
      <c r="D10" s="4"/>
      <c r="E10" s="4"/>
      <c r="F10" s="4"/>
      <c r="G10" s="4"/>
      <c r="H10" s="4"/>
      <c r="I10" s="27"/>
      <c r="J10" s="27"/>
    </row>
    <row r="11" spans="1:10" x14ac:dyDescent="0.25">
      <c r="A11" s="4"/>
      <c r="B11" s="4"/>
      <c r="C11" s="4"/>
      <c r="D11" s="4"/>
      <c r="E11" s="4"/>
      <c r="F11" s="4"/>
      <c r="G11" s="4"/>
      <c r="H11" s="4"/>
      <c r="I11" s="27"/>
      <c r="J11" s="27"/>
    </row>
    <row r="12" spans="1:10" x14ac:dyDescent="0.25">
      <c r="A12" s="4"/>
      <c r="B12" s="4"/>
      <c r="C12" s="4"/>
      <c r="D12" s="4"/>
      <c r="E12" s="4"/>
      <c r="F12" s="4"/>
      <c r="G12" s="4"/>
      <c r="H12" s="4"/>
      <c r="I12" s="27"/>
      <c r="J12" s="27"/>
    </row>
    <row r="13" spans="1:10" x14ac:dyDescent="0.25">
      <c r="A13" s="4"/>
      <c r="B13" s="4"/>
      <c r="C13" s="4"/>
      <c r="D13" s="4"/>
      <c r="E13" s="4"/>
      <c r="F13" s="4"/>
      <c r="G13" s="4"/>
      <c r="H13" s="4"/>
      <c r="I13" s="27"/>
      <c r="J13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_RefreshCommands">
                <anchor>
                  <from>
                    <xdr:col>11</xdr:col>
                    <xdr:colOff>0</xdr:colOff>
                    <xdr:row>0</xdr:row>
                    <xdr:rowOff>190500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tn_ClearCommands">
                <anchor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 activeCell="B6" sqref="B6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302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VLOOKUP(Table14[[#This Row],[Man. Number]],Articles!B:H,COLUMN(Table1[[#Headers],[Description]]) - 1,FALSE)</f>
        <v>AUDIO PIEZO INDICATOR 2-5V TH</v>
      </c>
      <c r="C2" s="4" t="s">
        <v>323</v>
      </c>
      <c r="D2" s="4">
        <v>1</v>
      </c>
      <c r="E2" s="4">
        <f>VLOOKUP(Table14[[#This Row],[Man. Number]],Articles!B:H,COLUMN(Table1[[#Headers],[In stock]])-1,FALSE)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Number]],Articles!B:H,COLUMN(Table1[[#Headers],[Description]]) - 1,FALSE)</f>
        <v>Batterie Li-Po 3.7V 2000mAh</v>
      </c>
      <c r="C3" s="4" t="s">
        <v>326</v>
      </c>
      <c r="D3" s="4">
        <v>1</v>
      </c>
      <c r="E3" s="4">
        <f>VLOOKUP(Table14[[#This Row],[Man. Number]],Articles!B:H,COLUMN(Table1[[#Headers],[In stock]])-1,FALSE)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4" t="s">
        <v>158</v>
      </c>
      <c r="B4" s="4" t="str">
        <f>VLOOKUP(Table14[[#This Row],[Man. Number]],Articles!B:H,COLUMN(Table1[[#Headers],[Description]]) - 1,FALSE)</f>
        <v>BOX PLASTIC GRY/CLR 4.9"LX4.92"W</v>
      </c>
      <c r="C4" s="4" t="s">
        <v>65</v>
      </c>
      <c r="D4" s="4">
        <v>1</v>
      </c>
      <c r="E4" s="4">
        <f>VLOOKUP(Table14[[#This Row],[Man. Number]],Articles!B:H,COLUMN(Table1[[#Headers],[In stock]])-1,FALSE)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Number]],Articles!B:H,COLUMN(Table1[[#Headers],[Description]]) - 1,FALSE)</f>
        <v>Fusible à cartouche, Action rapide, 630 mA, 250 V</v>
      </c>
      <c r="D5" s="4">
        <v>0</v>
      </c>
      <c r="E5" s="4">
        <f>VLOOKUP(Table14[[#This Row],[Man. Number]],Articles!B:H,COLUMN(Table1[[#Headers],[In stock]])-1,FALSE)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Number]],Articles!B:H,COLUMN(Table1[[#Headers],[Description]]) - 1,FALSE)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Number]],Articles!B:H,COLUMN(Table1[[#Headers],[In stock]])-1,FALSE)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Number]],Articles!B:H,COLUMN(Table1[[#Headers],[Description]]) - 1,FALSE)</f>
        <v>Amplificateur opérationnel, Simple, 1 amplificateur, 1 MHz, 0.6 V/µs, 1.8V à 6V</v>
      </c>
      <c r="D7" s="4">
        <v>0</v>
      </c>
      <c r="E7" s="4">
        <f>VLOOKUP(Table14[[#This Row],[Man. Number]],Articles!B:H,COLUMN(Table1[[#Headers],[In stock]])-1,FALSE)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Number]],Articles!B:H,COLUMN(Table1[[#Headers],[Description]]) - 1,FALSE)</f>
        <v>LED haute luminosité, Little Star Series, Blanc froid, 120 °, 100 lm, 350 mA</v>
      </c>
      <c r="D8" s="4">
        <v>0</v>
      </c>
      <c r="E8" s="4">
        <f>VLOOKUP(Table14[[#This Row],[Man. Number]],Articles!B:H,COLUMN(Table1[[#Headers],[In stock]])-1,FALSE)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Number]],Articles!B:H,COLUMN(Table1[[#Headers],[Description]]) - 1,FALSE)</f>
        <v>Chargeur de batterie pour 1 cellule Li-Ion, batterie Li-Pol, entrée 6V, charge 4.2V/500mA</v>
      </c>
      <c r="C9" s="4" t="s">
        <v>308</v>
      </c>
      <c r="D9" s="4">
        <v>1</v>
      </c>
      <c r="E9" s="4">
        <f>VLOOKUP(Table14[[#This Row],[Man. Number]],Articles!B:H,COLUMN(Table1[[#Headers],[In stock]])-1,FALSE)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Number]],Articles!B:H,COLUMN(Table1[[#Headers],[Description]]) - 1,FALSE)</f>
        <v>Communication RF</v>
      </c>
      <c r="C10" s="4" t="s">
        <v>327</v>
      </c>
      <c r="D10" s="4">
        <v>1</v>
      </c>
      <c r="E10" s="4">
        <f>VLOOKUP(Table14[[#This Row],[Man. Number]],Articles!B:H,COLUMN(Table1[[#Headers],[In stock]])-1,FALSE)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Number]],Articles!B:H,COLUMN(Table1[[#Headers],[Description]]) - 1,FALSE)</f>
        <v>Condensateur céramique multicouche CMS, 1206 [3216 Metric], 0.1 µF, 25 V, ± 10%, X7R</v>
      </c>
      <c r="C11" s="4" t="s">
        <v>304</v>
      </c>
      <c r="D11" s="4">
        <v>4</v>
      </c>
      <c r="E11" s="4">
        <f>VLOOKUP(Table14[[#This Row],[Man. Number]],Articles!B:H,COLUMN(Table1[[#Headers],[In stock]])-1,FALSE)</f>
        <v>91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Number]],Articles!B:H,COLUMN(Table1[[#Headers],[Description]]) - 1,FALSE)</f>
        <v>Condensateur électrolytique, 10 µF, 35 V, Série MCGPR, ± 20%, À sorties radiales, 5 mm</v>
      </c>
      <c r="C12" s="4" t="s">
        <v>306</v>
      </c>
      <c r="D12" s="4">
        <v>1</v>
      </c>
      <c r="E12" s="4">
        <f>VLOOKUP(Table14[[#This Row],[Man. Number]],Articles!B:H,COLUMN(Table1[[#Headers],[In stock]])-1,FALSE)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Number]],Articles!B:H,COLUMN(Table1[[#Headers],[Description]]) - 1,FALSE)</f>
        <v>Porte fusible, Design ouvert, 500V, 10A, 5 x 20mm, traversant, noir</v>
      </c>
      <c r="D13" s="4">
        <v>0</v>
      </c>
      <c r="E13" s="4">
        <f>VLOOKUP(Table14[[#This Row],[Man. Number]],Articles!B:H,COLUMN(Table1[[#Headers],[In stock]])-1,FALSE)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Number]],Articles!B:H,COLUMN(Table1[[#Headers],[Description]]) - 1,FALSE)</f>
        <v>Accessoire de fusible, Fusible cartouche, 5 x 20mm, OGN et OGN-SMD, Noir, Poignée</v>
      </c>
      <c r="D14" s="4">
        <v>0</v>
      </c>
      <c r="E14" s="4">
        <f>VLOOKUP(Table14[[#This Row],[Man. Number]],Articles!B:H,COLUMN(Table1[[#Headers],[In stock]])-1,FALSE)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Number]],Articles!B:H,COLUMN(Table1[[#Headers],[Description]]) - 1,FALSE)</f>
        <v>Condensateur électrolytique, 4.7 µF, 35 V, Série MCGPR, ± 20%, À sorties radiales, 5 mm</v>
      </c>
      <c r="C15" s="4" t="s">
        <v>305</v>
      </c>
      <c r="D15" s="4">
        <v>1</v>
      </c>
      <c r="E15" s="4">
        <f>VLOOKUP(Table14[[#This Row],[Man. Number]],Articles!B:H,COLUMN(Table1[[#Headers],[In stock]])-1,FALSE)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Number]],Articles!B:H,COLUMN(Table1[[#Headers],[Description]]) - 1,FALSE)</f>
        <v>Connecteur carte-à-carte, 2.54 mm, 36 Contact(s), Embase</v>
      </c>
      <c r="C16" s="4" t="s">
        <v>65</v>
      </c>
      <c r="D16" s="4">
        <v>0.63888888888888884</v>
      </c>
      <c r="E16" s="4">
        <f>VLOOKUP(Table14[[#This Row],[Man. Number]],Articles!B:H,COLUMN(Table1[[#Headers],[In stock]])-1,FALSE)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300</v>
      </c>
      <c r="B17" s="4" t="str">
        <f>VLOOKUP(Table14[[#This Row],[Man. Number]],Articles!B:H,COLUMN(Table1[[#Headers],[Description]]) - 1,FALSE)</f>
        <v>FUSE BOARD MNT 630MA 63VDC 1206</v>
      </c>
      <c r="C17" s="4" t="s">
        <v>303</v>
      </c>
      <c r="D17" s="4">
        <v>1</v>
      </c>
      <c r="E17" s="4">
        <f>VLOOKUP(Table14[[#This Row],[Man. Number]],Articles!B:H,COLUMN(Table1[[#Headers],[In stock]])-1,FALSE)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4" t="s">
        <v>81</v>
      </c>
      <c r="B18" s="4" t="str">
        <f>VLOOKUP(Table14[[#This Row],[Man. Number]],Articles!B:H,COLUMN(Table1[[#Headers],[Description]]) - 1,FALSE)</f>
        <v>IC MCU 8BIT 7KB FLASH 18DIP</v>
      </c>
      <c r="C18" s="4" t="s">
        <v>324</v>
      </c>
      <c r="D18" s="4">
        <v>1</v>
      </c>
      <c r="E18" s="4">
        <f>VLOOKUP(Table14[[#This Row],[Man. Number]],Articles!B:H,COLUMN(Table1[[#Headers],[In stock]])-1,FALSE)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Number]],Articles!B:H,COLUMN(Table1[[#Headers],[Description]]) - 1,FALSE)</f>
        <v>LED, Rouge, Traversant, 3mm, 20 mA, 1.8 V, 643 nm</v>
      </c>
      <c r="C19" s="4" t="s">
        <v>309</v>
      </c>
      <c r="D19" s="4">
        <v>1</v>
      </c>
      <c r="E19" s="4">
        <f>VLOOKUP(Table14[[#This Row],[Man. Number]],Articles!B:H,COLUMN(Table1[[#Headers],[In stock]])-1,FALSE)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Number]],Articles!B:H,COLUMN(Table1[[#Headers],[Description]]) - 1,FALSE)</f>
        <v>Panneau solaire</v>
      </c>
      <c r="C20" s="4" t="s">
        <v>325</v>
      </c>
      <c r="D20" s="4">
        <v>1</v>
      </c>
      <c r="E20" s="4">
        <f>VLOOKUP(Table14[[#This Row],[Man. Number]],Articles!B:H,COLUMN(Table1[[#Headers],[In stock]])-1,FALSE)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337</v>
      </c>
      <c r="B21" s="4" t="str">
        <f>VLOOKUP(Table14[[#This Row],[Man. Number]],Articles!B:H,COLUMN(Table1[[#Headers],[Description]]) - 1,FALSE)</f>
        <v>PCB Lampe solaire v4</v>
      </c>
      <c r="C21" s="4" t="s">
        <v>65</v>
      </c>
      <c r="D21" s="4">
        <v>1</v>
      </c>
      <c r="E21" s="4">
        <f>VLOOKUP(Table14[[#This Row],[Man. Number]],Articles!B:H,COLUMN(Table1[[#Headers],[In stock]])-1,FALSE)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Number]],Articles!B:H,COLUMN(Table1[[#Headers],[Description]]) - 1,FALSE)</f>
        <v>Résistance à puce CMS, Couche épaisse, 150 kohm</v>
      </c>
      <c r="D22" s="4">
        <v>0</v>
      </c>
      <c r="E22" s="4">
        <f>VLOOKUP(Table14[[#This Row],[Man. Number]],Articles!B:H,COLUMN(Table1[[#Headers],[In stock]])-1,FALSE)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335</v>
      </c>
      <c r="B23" s="4" t="str">
        <f>VLOOKUP(Table14[[#This Row],[Man. Number]],Articles!B:H,COLUMN(Table1[[#Headers],[Description]]) - 1,FALSE)</f>
        <v>PCB Led adaptateur v1</v>
      </c>
      <c r="C23" s="4" t="s">
        <v>312</v>
      </c>
      <c r="D23" s="4">
        <v>1</v>
      </c>
      <c r="E23" s="4">
        <f>VLOOKUP(Table14[[#This Row],[Man. Number]],Articles!B:H,COLUMN(Table1[[#Headers],[In stock]])-1,FALSE)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Number]],Articles!B:H,COLUMN(Table1[[#Headers],[Description]]) - 1,FALSE)</f>
        <v>Porte Logique NON-ET, 4 Portes, 2 entrées, 12 mA, 2V à 5.5V</v>
      </c>
      <c r="C24" s="4" t="s">
        <v>307</v>
      </c>
      <c r="D24" s="4">
        <v>1</v>
      </c>
      <c r="E24" s="4">
        <f>VLOOKUP(Table14[[#This Row],[Man. Number]],Articles!B:H,COLUMN(Table1[[#Headers],[In stock]])-1,FALSE)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Number]],Articles!B:H,COLUMN(Table1[[#Headers],[Description]]) - 1,FALSE)</f>
        <v>Porte-batterie</v>
      </c>
      <c r="C25" s="4" t="s">
        <v>326</v>
      </c>
      <c r="D25" s="4">
        <v>1</v>
      </c>
      <c r="E25" s="4">
        <f>VLOOKUP(Table14[[#This Row],[Man. Number]],Articles!B:H,COLUMN(Table1[[#Headers],[In stock]])-1,FALSE)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Number]],Articles!B:H,COLUMN(Table1[[#Headers],[Description]]) - 1,FALSE)</f>
        <v>Résistance à puce CMS, Couche épaisse, 110 kohm</v>
      </c>
      <c r="D26" s="4">
        <v>0</v>
      </c>
      <c r="E26" s="4">
        <f>VLOOKUP(Table14[[#This Row],[Man. Number]],Articles!B:H,COLUMN(Table1[[#Headers],[In stock]])-1,FALSE)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Number]],Articles!B:H,COLUMN(Table1[[#Headers],[Description]]) - 1,FALSE)</f>
        <v>Potentiomètres variables, 10 ohm, 15 Tour(s), Traversant</v>
      </c>
      <c r="C27" s="4" t="s">
        <v>313</v>
      </c>
      <c r="D27" s="4">
        <v>2</v>
      </c>
      <c r="E27" s="4">
        <f>VLOOKUP(Table14[[#This Row],[Man. Number]],Articles!B:H,COLUMN(Table1[[#Headers],[In stock]])-1,FALSE)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Number]],Articles!B:H,COLUMN(Table1[[#Headers],[Description]]) - 1,FALSE)</f>
        <v>Potentiomètres variables, 100 kohm, 23 Tour(s), Traversant</v>
      </c>
      <c r="C28" s="4" t="s">
        <v>316</v>
      </c>
      <c r="D28" s="4">
        <v>1</v>
      </c>
      <c r="E28" s="4">
        <f>VLOOKUP(Table14[[#This Row],[Man. Number]],Articles!B:H,COLUMN(Table1[[#Headers],[In stock]])-1,FALSE)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Number]],Articles!B:H,COLUMN(Table1[[#Headers],[Description]]) - 1,FALSE)</f>
        <v>Régulateur LDO, Fixe, Entrée 1.7 V à 5,5 V, Sortie 3.3 V/300 mA, Chute de 150 mV</v>
      </c>
      <c r="C29" s="4" t="s">
        <v>311</v>
      </c>
      <c r="D29" s="4">
        <v>1</v>
      </c>
      <c r="E29" s="4">
        <f>VLOOKUP(Table14[[#This Row],[Man. Number]],Articles!B:H,COLUMN(Table1[[#Headers],[In stock]])-1,FALSE)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4" t="s">
        <v>139</v>
      </c>
      <c r="B30" s="4" t="str">
        <f>VLOOKUP(Table14[[#This Row],[Man. Number]],Articles!B:H,COLUMN(Table1[[#Headers],[Description]]) - 1,FALSE)</f>
        <v>RELAY TELECOM DPDT 5A 2.4V</v>
      </c>
      <c r="C30" s="4" t="s">
        <v>322</v>
      </c>
      <c r="D30" s="4">
        <v>1</v>
      </c>
      <c r="E30" s="4">
        <f>VLOOKUP(Table14[[#This Row],[Man. Number]],Articles!B:H,COLUMN(Table1[[#Headers],[In stock]])-1,FALSE)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190</v>
      </c>
      <c r="B31" s="4" t="str">
        <f>VLOOKUP(Table14[[#This Row],[Man. Number]],Articles!B:H,COLUMN(Table1[[#Headers],[Description]]) - 1,FALSE)</f>
        <v>RES SMD 4.7K OHM 1% 1/8W 0805</v>
      </c>
      <c r="C31" s="4" t="s">
        <v>317</v>
      </c>
      <c r="D31" s="4">
        <v>3</v>
      </c>
      <c r="E31" s="4">
        <f>VLOOKUP(Table14[[#This Row],[Man. Number]],Articles!B:H,COLUMN(Table1[[#Headers],[In stock]])-1,FALSE)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332</v>
      </c>
      <c r="B32" s="4" t="str">
        <f>VLOOKUP(Table14[[#This Row],[Man. Number]],Articles!B:H,COLUMN(Table1[[#Headers],[Description]]) - 1,FALSE)</f>
        <v>Résistance SMD 1k OHM 0805</v>
      </c>
      <c r="C32" s="4" t="s">
        <v>318</v>
      </c>
      <c r="D32" s="4">
        <v>4</v>
      </c>
      <c r="E32" s="4">
        <f>VLOOKUP(Table14[[#This Row],[Man. Number]],Articles!B:H,COLUMN(Table1[[#Headers],[In stock]])-1,FALSE)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331</v>
      </c>
      <c r="B33" s="4" t="str">
        <f>VLOOKUP(Table14[[#This Row],[Man. Number]],Articles!B:H,COLUMN(Table1[[#Headers],[Description]]) - 1,FALSE)</f>
        <v>Résistance SMD 3.3k OHM 0805</v>
      </c>
      <c r="C33" s="4" t="s">
        <v>328</v>
      </c>
      <c r="D33" s="4">
        <v>1</v>
      </c>
      <c r="E33" s="4">
        <f>VLOOKUP(Table14[[#This Row],[Man. Number]],Articles!B:H,COLUMN(Table1[[#Headers],[In stock]])-1,FALSE)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Number]],Articles!B:H,COLUMN(Table1[[#Headers],[Description]]) - 1,FALSE)</f>
        <v>Résistance à puce CMS, 100 kohm</v>
      </c>
      <c r="C34" s="4" t="s">
        <v>321</v>
      </c>
      <c r="D34" s="4">
        <v>2</v>
      </c>
      <c r="E34" s="4">
        <f>VLOOKUP(Table14[[#This Row],[Man. Number]],Articles!B:H,COLUMN(Table1[[#Headers],[In stock]])-1,FALSE)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Number]],Articles!B:H,COLUMN(Table1[[#Headers],[Description]]) - 1,FALSE)</f>
        <v>Résistance à puce CMS, Céramique, 22 ohm</v>
      </c>
      <c r="C35" s="4" t="s">
        <v>319</v>
      </c>
      <c r="D35" s="4">
        <v>1</v>
      </c>
      <c r="E35" s="4">
        <f>VLOOKUP(Table14[[#This Row],[Man. Number]],Articles!B:H,COLUMN(Table1[[#Headers],[In stock]])-1,FALSE)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Number]],Articles!B:H,COLUMN(Table1[[#Headers],[Description]]) - 1,FALSE)</f>
        <v>Résistance à puce CMS, Couche épaisse, 1 Mohm</v>
      </c>
      <c r="C36" s="4" t="s">
        <v>320</v>
      </c>
      <c r="D36" s="4">
        <v>1</v>
      </c>
      <c r="E36" s="4">
        <f>VLOOKUP(Table14[[#This Row],[Man. Number]],Articles!B:H,COLUMN(Table1[[#Headers],[In stock]])-1,FALSE)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Number]],Articles!B:H,COLUMN(Table1[[#Headers],[Description]]) - 1,FALSE)</f>
        <v>DC Step-up</v>
      </c>
      <c r="D37" s="4">
        <v>0</v>
      </c>
      <c r="E37" s="4">
        <f>VLOOKUP(Table14[[#This Row],[Man. Number]],Articles!B:H,COLUMN(Table1[[#Headers],[In stock]])-1,FALSE)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Number]],Articles!B:H,COLUMN(Table1[[#Headers],[Description]]) - 1,FALSE)</f>
        <v>Superviseur, Reset drain ouvert, actif à l'état bas, 1V-5.5Vin</v>
      </c>
      <c r="C38" s="4" t="s">
        <v>310</v>
      </c>
      <c r="D38" s="4">
        <v>1</v>
      </c>
      <c r="E38" s="4">
        <f>VLOOKUP(Table14[[#This Row],[Man. Number]],Articles!B:H,COLUMN(Table1[[#Headers],[In stock]])-1,FALSE)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Number]],Articles!B:H,COLUMN(Table1[[#Headers],[Description]]) - 1,FALSE)</f>
        <v>Transistor MOSFET, Canal N, 2.2 A, 30 V, 65 mohm, 4.5 V, 700 mV</v>
      </c>
      <c r="C39" s="4" t="s">
        <v>315</v>
      </c>
      <c r="D39" s="4">
        <v>5</v>
      </c>
      <c r="E39" s="4">
        <f>VLOOKUP(Table14[[#This Row],[Man. Number]],Articles!B:H,COLUMN(Table1[[#Headers],[In stock]])-1,FALSE)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Number]],Articles!B:H,COLUMN(Table1[[#Headers],[Description]]) - 1,FALSE)</f>
        <v>Transistor MOSFET, Canal P, -7.1 A, -12 V, 28.5 mohm, -4.5 V, -400 mV</v>
      </c>
      <c r="C40" s="4" t="s">
        <v>314</v>
      </c>
      <c r="D40" s="4">
        <v>2</v>
      </c>
      <c r="E40" s="4">
        <f>VLOOKUP(Table14[[#This Row],[Man. Number]],Articles!B:H,COLUMN(Table1[[#Headers],[In stock]])-1,FALSE)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40" priority="3" operator="containsText" text="NO">
      <formula>NOT(ISERROR(SEARCH("NO",F2)))</formula>
    </cfRule>
  </conditionalFormatting>
  <conditionalFormatting sqref="A24">
    <cfRule type="duplicateValues" dxfId="39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H2:H1048576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E10" sqref="E10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369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218</v>
      </c>
      <c r="B2" s="4" t="str">
        <f>VLOOKUP(Table146[[#This Row],[Man. Number]],Articles!B:H,COLUMN(Table1[[#Headers],[Description]]) - 1,FALSE)</f>
        <v>IC MCU 8BIT 7KB FLASH 14SOIC</v>
      </c>
      <c r="D2" s="4">
        <v>1</v>
      </c>
      <c r="E2" s="4">
        <f>VLOOKUP(Table146[[#This Row],[Man. Number]],Articles!B:H,COLUMN(Table1[[#Headers],[In stock]])-1,FALSE)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219</v>
      </c>
      <c r="B3" s="4" t="str">
        <f>VLOOKUP(Table146[[#This Row],[Man. Number]],Articles!B:H,COLUMN(Table1[[#Headers],[Description]]) - 1,FALSE)</f>
        <v>ACCELEROMETER 2-8G I2C 16QFN</v>
      </c>
      <c r="D3" s="4">
        <v>1</v>
      </c>
      <c r="E3" s="4">
        <f>VLOOKUP(Table146[[#This Row],[Man. Number]],Articles!B:H,COLUMN(Table1[[#Headers],[In stock]])-1,FALSE)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224</v>
      </c>
      <c r="B4" s="4" t="str">
        <f>VLOOKUP(Table146[[#This Row],[Man. Number]],Articles!B:H,COLUMN(Table1[[#Headers],[Description]]) - 1,FALSE)</f>
        <v>IC REG LINEAR 2.5V 300MA SOT23-5</v>
      </c>
      <c r="D4" s="4">
        <v>1</v>
      </c>
      <c r="E4" s="4">
        <f>VLOOKUP(Table146[[#This Row],[Man. Number]],Articles!B:H,COLUMN(Table1[[#Headers],[In stock]])-1,FALSE)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228</v>
      </c>
      <c r="B5" s="4" t="str">
        <f>VLOOKUP(Table146[[#This Row],[Man. Number]],Articles!B:H,COLUMN(Table1[[#Headers],[Description]]) - 1,FALSE)</f>
        <v>BATTERY HOLDER COIN 20MM SMD</v>
      </c>
      <c r="D5" s="4">
        <v>1</v>
      </c>
      <c r="E5" s="4">
        <f>VLOOKUP(Table146[[#This Row],[Man. Number]],Articles!B:H,COLUMN(Table1[[#Headers],[In stock]])-1,FALSE)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232</v>
      </c>
      <c r="B6" s="4" t="str">
        <f>VLOOKUP(Table146[[#This Row],[Man. Number]],Articles!B:H,COLUMN(Table1[[#Headers],[Description]]) - 1,FALSE)</f>
        <v>LED GREEN CLEAR 0603 SMD</v>
      </c>
      <c r="D6" s="4">
        <v>1</v>
      </c>
      <c r="E6" s="4">
        <f>VLOOKUP(Table146[[#This Row],[Man. Number]],Articles!B:H,COLUMN(Table1[[#Headers],[In stock]])-1,FALSE)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234</v>
      </c>
      <c r="B7" s="4" t="str">
        <f>VLOOKUP(Table146[[#This Row],[Man. Number]],Articles!B:H,COLUMN(Table1[[#Headers],[Description]]) - 1,FALSE)</f>
        <v>LED RED 0603 SMD</v>
      </c>
      <c r="D7" s="4">
        <v>1</v>
      </c>
      <c r="E7" s="4">
        <f>VLOOKUP(Table146[[#This Row],[Man. Number]],Articles!B:H,COLUMN(Table1[[#Headers],[In stock]])-1,FALSE)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237</v>
      </c>
      <c r="B8" s="4" t="str">
        <f>VLOOKUP(Table146[[#This Row],[Man. Number]],Articles!B:H,COLUMN(Table1[[#Headers],[Description]]) - 1,FALSE)</f>
        <v>SWITCH SLIDE SPDT 300MA 125V</v>
      </c>
      <c r="D8" s="4">
        <v>1</v>
      </c>
      <c r="E8" s="4">
        <f>VLOOKUP(Table146[[#This Row],[Man. Number]],Articles!B:H,COLUMN(Table1[[#Headers],[In stock]])-1,FALSE)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241</v>
      </c>
      <c r="B9" s="4" t="str">
        <f>VLOOKUP(Table146[[#This Row],[Man. Number]],Articles!B:H,COLUMN(Table1[[#Headers],[Description]]) - 1,FALSE)</f>
        <v>SWITCH SLIDE DIP SPST 100MA 24V</v>
      </c>
      <c r="D9" s="4">
        <v>1</v>
      </c>
      <c r="E9" s="4">
        <f>VLOOKUP(Table146[[#This Row],[Man. Number]],Articles!B:H,COLUMN(Table1[[#Headers],[In stock]])-1,FALSE)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245</v>
      </c>
      <c r="B10" s="4" t="str">
        <f>VLOOKUP(Table146[[#This Row],[Man. Number]],Articles!B:H,COLUMN(Table1[[#Headers],[Description]]) - 1,FALSE)</f>
        <v>CAP CER 4.7UF 25V X7R 1206</v>
      </c>
      <c r="D10" s="4">
        <v>3</v>
      </c>
      <c r="E10" s="4">
        <f>VLOOKUP(Table146[[#This Row],[Man. Number]],Articles!B:H,COLUMN(Table1[[#Headers],[In stock]])-1,FALSE)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190</v>
      </c>
      <c r="B11" s="4" t="str">
        <f>VLOOKUP(Table146[[#This Row],[Man. Number]],Articles!B:H,COLUMN(Table1[[#Headers],[Description]]) - 1,FALSE)</f>
        <v>RES SMD 4.7K OHM 1% 1/8W 0805</v>
      </c>
      <c r="D11" s="4">
        <v>4</v>
      </c>
      <c r="E11" s="4">
        <f>VLOOKUP(Table146[[#This Row],[Man. Number]],Articles!B:H,COLUMN(Table1[[#Headers],[In stock]])-1,FALSE)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Number]],Articles!B:H,COLUMN(Table1[[#Headers],[Description]]) - 1,FALSE)</f>
        <v>Condensateur céramique multicouche CMS, 1206 [3216 Metric], 0.1 µF, 25 V, ± 10%, X7R</v>
      </c>
      <c r="D12" s="4">
        <v>2</v>
      </c>
      <c r="E12" s="4">
        <f>VLOOKUP(Table146[[#This Row],[Man. Number]],Articles!B:H,COLUMN(Table1[[#Headers],[In stock]])-1,FALSE)</f>
        <v>91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249</v>
      </c>
      <c r="B13" s="4" t="str">
        <f>VLOOKUP(Table146[[#This Row],[Man. Number]],Articles!B:H,COLUMN(Table1[[#Headers],[Description]]) - 1,FALSE)</f>
        <v>RES SMD 150 OHM 1% 1/8W 0805</v>
      </c>
      <c r="D13" s="4">
        <v>1</v>
      </c>
      <c r="E13" s="4">
        <f>VLOOKUP(Table146[[#This Row],[Man. Number]],Articles!B:H,COLUMN(Table1[[#Headers],[In stock]])-1,FALSE)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253</v>
      </c>
      <c r="B14" s="4" t="str">
        <f>VLOOKUP(Table146[[#This Row],[Man. Number]],Articles!B:H,COLUMN(Table1[[#Headers],[Description]]) - 1,FALSE)</f>
        <v>RES SMD 100 OHM 1% 1/8W 0805</v>
      </c>
      <c r="D14" s="4">
        <v>1</v>
      </c>
      <c r="E14" s="4">
        <f>VLOOKUP(Table146[[#This Row],[Man. Number]],Articles!B:H,COLUMN(Table1[[#Headers],[In stock]])-1,FALSE)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336</v>
      </c>
      <c r="B15" s="4" t="str">
        <f>VLOOKUP(Table146[[#This Row],[Man. Number]],Articles!B:H,COLUMN(Table1[[#Headers],[Description]]) - 1,FALSE)</f>
        <v>PCB TempoMetter v1</v>
      </c>
      <c r="D15" s="4">
        <v>1</v>
      </c>
      <c r="E15" s="4">
        <f>VLOOKUP(Table146[[#This Row],[Man. Number]],Articles!B:H,COLUMN(Table1[[#Headers],[In stock]])-1,FALSE)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26" priority="4" operator="containsText" text="NO">
      <formula>NOT(ISERROR(SEARCH("NO",F2)))</formula>
    </cfRule>
  </conditionalFormatting>
  <conditionalFormatting sqref="H2:H1048576">
    <cfRule type="containsText" dxfId="25" priority="3" operator="containsText" text="NO">
      <formula>NOT(ISERROR(SEARCH("NO",H2)))</formula>
    </cfRule>
  </conditionalFormatting>
  <conditionalFormatting sqref="A13:A14">
    <cfRule type="duplicateValues" dxfId="24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workbookViewId="0">
      <pane ySplit="1" topLeftCell="A2" activePane="bottomLeft" state="frozen"/>
      <selection pane="bottomLeft" activeCell="D33" sqref="D33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369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367</v>
      </c>
      <c r="B2" s="4" t="e">
        <f>VLOOKUP(Table1468[[#This Row],[Man. Number]],Articles!B:H,COLUMN(Table1[[#Headers],[Description]]) - 1,FALSE)</f>
        <v>#N/A</v>
      </c>
      <c r="C2" s="4" t="s">
        <v>368</v>
      </c>
      <c r="D2" s="4" t="s">
        <v>366</v>
      </c>
      <c r="E2" s="4" t="e">
        <f>VLOOKUP(Table1468[[#This Row],[Man. Number]],Articles!B:H,COLUMN(Table1[[#Headers],[In stock]])-1,FALSE)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12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C8"/>
  <sheetViews>
    <sheetView workbookViewId="0">
      <selection activeCell="L37" sqref="L37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6.42578125" bestFit="1" customWidth="1"/>
  </cols>
  <sheetData>
    <row r="1" spans="1:3" x14ac:dyDescent="0.25">
      <c r="A1" t="s">
        <v>371</v>
      </c>
      <c r="B1" t="s">
        <v>216</v>
      </c>
    </row>
    <row r="3" spans="1:3" s="29" customFormat="1" ht="23.25" x14ac:dyDescent="0.35">
      <c r="A3" s="29" t="s">
        <v>211</v>
      </c>
    </row>
    <row r="6" spans="1:3" x14ac:dyDescent="0.25">
      <c r="A6" t="s">
        <v>212</v>
      </c>
      <c r="B6" t="s">
        <v>213</v>
      </c>
      <c r="C6" t="s">
        <v>214</v>
      </c>
    </row>
    <row r="7" spans="1:3" x14ac:dyDescent="0.25">
      <c r="A7">
        <v>0</v>
      </c>
      <c r="B7" t="s">
        <v>370</v>
      </c>
      <c r="C7" t="s">
        <v>371</v>
      </c>
    </row>
    <row r="8" spans="1:3" x14ac:dyDescent="0.25">
      <c r="A8">
        <v>1</v>
      </c>
      <c r="B8" t="s">
        <v>215</v>
      </c>
      <c r="C8" t="s">
        <v>216</v>
      </c>
    </row>
  </sheetData>
  <mergeCells count="1">
    <mergeCell ref="A3:XFD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5"/>
  <sheetViews>
    <sheetView workbookViewId="0">
      <selection activeCell="L26" sqref="L26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30" t="s">
        <v>365</v>
      </c>
      <c r="B2" s="30"/>
      <c r="C2" s="30"/>
      <c r="D2" s="30"/>
      <c r="F2" s="31" t="str">
        <f>IF(ISNUMBER(C5),"","Man. Number must be set")</f>
        <v/>
      </c>
      <c r="G2" s="31"/>
      <c r="H2" s="31"/>
    </row>
    <row r="4" spans="1:23" x14ac:dyDescent="0.25">
      <c r="A4" s="19" t="s">
        <v>138</v>
      </c>
      <c r="B4" s="19" t="s">
        <v>264</v>
      </c>
      <c r="C4" s="19" t="s">
        <v>0</v>
      </c>
      <c r="D4" s="19" t="s">
        <v>6</v>
      </c>
      <c r="E4" s="19" t="s">
        <v>4</v>
      </c>
      <c r="F4" s="19" t="s">
        <v>2</v>
      </c>
      <c r="G4" s="19" t="s">
        <v>8</v>
      </c>
      <c r="H4" s="19" t="s">
        <v>263</v>
      </c>
      <c r="O4" s="18" t="s">
        <v>362</v>
      </c>
      <c r="P4" t="s">
        <v>138</v>
      </c>
      <c r="Q4" t="s">
        <v>264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263</v>
      </c>
    </row>
    <row r="5" spans="1:23" x14ac:dyDescent="0.25">
      <c r="A5" s="17">
        <v>2</v>
      </c>
      <c r="B5" s="17"/>
      <c r="C5" s="17">
        <v>1</v>
      </c>
      <c r="D5" s="17"/>
      <c r="E5" s="17"/>
      <c r="F5" s="17"/>
      <c r="G5" s="17"/>
      <c r="H5" s="17">
        <v>1</v>
      </c>
      <c r="O5" s="8"/>
      <c r="P5" s="8">
        <v>2</v>
      </c>
      <c r="Q5" s="8">
        <v>3</v>
      </c>
      <c r="R5" s="8">
        <v>4</v>
      </c>
      <c r="S5" s="8" t="s">
        <v>262</v>
      </c>
      <c r="T5" s="8" t="s">
        <v>82</v>
      </c>
      <c r="U5" s="8">
        <v>5</v>
      </c>
      <c r="V5" s="8">
        <v>8</v>
      </c>
      <c r="W5" s="8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D33"/>
  <sheetViews>
    <sheetView workbookViewId="0">
      <selection activeCell="B33" sqref="B33"/>
    </sheetView>
  </sheetViews>
  <sheetFormatPr defaultRowHeight="15" x14ac:dyDescent="0.25"/>
  <cols>
    <col min="1" max="1" width="21" style="20" bestFit="1" customWidth="1"/>
    <col min="2" max="16384" width="9.140625" style="20"/>
  </cols>
  <sheetData>
    <row r="1" spans="1:4" x14ac:dyDescent="0.25">
      <c r="A1"/>
      <c r="B1"/>
      <c r="C1"/>
      <c r="D1"/>
    </row>
    <row r="2" spans="1:4" x14ac:dyDescent="0.25">
      <c r="A2"/>
      <c r="B2"/>
      <c r="C2"/>
      <c r="D2"/>
    </row>
    <row r="3" spans="1:4" x14ac:dyDescent="0.25">
      <c r="A3"/>
      <c r="B3"/>
      <c r="C3"/>
      <c r="D3"/>
    </row>
    <row r="4" spans="1:4" x14ac:dyDescent="0.25">
      <c r="A4"/>
      <c r="B4"/>
      <c r="C4"/>
      <c r="D4"/>
    </row>
    <row r="5" spans="1:4" x14ac:dyDescent="0.25">
      <c r="A5"/>
      <c r="B5"/>
      <c r="C5"/>
      <c r="D5"/>
    </row>
    <row r="6" spans="1:4" x14ac:dyDescent="0.25">
      <c r="A6"/>
      <c r="B6"/>
      <c r="C6"/>
      <c r="D6"/>
    </row>
    <row r="7" spans="1:4" x14ac:dyDescent="0.25">
      <c r="A7"/>
      <c r="B7"/>
      <c r="C7"/>
      <c r="D7"/>
    </row>
    <row r="8" spans="1:4" x14ac:dyDescent="0.25">
      <c r="A8"/>
      <c r="B8"/>
      <c r="C8"/>
      <c r="D8"/>
    </row>
    <row r="9" spans="1:4" x14ac:dyDescent="0.25">
      <c r="A9"/>
      <c r="B9"/>
      <c r="C9"/>
      <c r="D9"/>
    </row>
    <row r="10" spans="1:4" x14ac:dyDescent="0.25">
      <c r="A10"/>
      <c r="B10"/>
      <c r="C10"/>
      <c r="D10"/>
    </row>
    <row r="11" spans="1:4" x14ac:dyDescent="0.25">
      <c r="A11"/>
      <c r="B11"/>
      <c r="C11"/>
      <c r="D11"/>
    </row>
    <row r="12" spans="1:4" x14ac:dyDescent="0.25">
      <c r="A12"/>
      <c r="B12"/>
      <c r="C12"/>
      <c r="D12"/>
    </row>
    <row r="13" spans="1:4" x14ac:dyDescent="0.25">
      <c r="A13"/>
      <c r="B13"/>
      <c r="C13"/>
      <c r="D13"/>
    </row>
    <row r="14" spans="1:4" x14ac:dyDescent="0.25">
      <c r="A14"/>
      <c r="B14"/>
      <c r="C14"/>
      <c r="D14"/>
    </row>
    <row r="15" spans="1:4" x14ac:dyDescent="0.25">
      <c r="A15"/>
      <c r="B15"/>
      <c r="C15"/>
      <c r="D15"/>
    </row>
    <row r="16" spans="1:4" x14ac:dyDescent="0.25">
      <c r="A16"/>
      <c r="B16"/>
      <c r="C16"/>
      <c r="D16"/>
    </row>
    <row r="17" spans="1:4" x14ac:dyDescent="0.25">
      <c r="A17"/>
      <c r="B17"/>
      <c r="C17"/>
      <c r="D17"/>
    </row>
    <row r="18" spans="1:4" x14ac:dyDescent="0.25">
      <c r="A18"/>
      <c r="B18"/>
      <c r="C18"/>
      <c r="D18"/>
    </row>
    <row r="19" spans="1:4" x14ac:dyDescent="0.25">
      <c r="A19"/>
      <c r="B19"/>
      <c r="C19"/>
      <c r="D19"/>
    </row>
    <row r="20" spans="1:4" x14ac:dyDescent="0.25">
      <c r="A20"/>
      <c r="B20"/>
      <c r="C20"/>
      <c r="D20"/>
    </row>
    <row r="21" spans="1:4" x14ac:dyDescent="0.25">
      <c r="A21"/>
      <c r="B21"/>
      <c r="C21"/>
      <c r="D21"/>
    </row>
    <row r="22" spans="1:4" x14ac:dyDescent="0.25">
      <c r="A22"/>
      <c r="B22"/>
      <c r="C22"/>
      <c r="D22"/>
    </row>
    <row r="23" spans="1:4" x14ac:dyDescent="0.25">
      <c r="A23"/>
      <c r="B23"/>
      <c r="C23"/>
      <c r="D23"/>
    </row>
    <row r="24" spans="1:4" x14ac:dyDescent="0.25">
      <c r="A24"/>
      <c r="B24"/>
      <c r="C24"/>
      <c r="D24"/>
    </row>
    <row r="25" spans="1:4" x14ac:dyDescent="0.25">
      <c r="A25"/>
      <c r="B25"/>
      <c r="C25"/>
      <c r="D25"/>
    </row>
    <row r="26" spans="1:4" x14ac:dyDescent="0.25">
      <c r="A26"/>
      <c r="B26"/>
      <c r="C26"/>
      <c r="D26"/>
    </row>
    <row r="27" spans="1:4" x14ac:dyDescent="0.25">
      <c r="A27"/>
      <c r="B27"/>
      <c r="C27"/>
      <c r="D27"/>
    </row>
    <row r="28" spans="1:4" x14ac:dyDescent="0.25">
      <c r="A28"/>
      <c r="B28"/>
      <c r="C28"/>
      <c r="D28"/>
    </row>
    <row r="29" spans="1:4" x14ac:dyDescent="0.25">
      <c r="A29"/>
      <c r="B29"/>
      <c r="C29"/>
      <c r="D29"/>
    </row>
    <row r="30" spans="1:4" x14ac:dyDescent="0.25">
      <c r="A30"/>
      <c r="B30"/>
      <c r="C30"/>
      <c r="D30"/>
    </row>
    <row r="31" spans="1:4" x14ac:dyDescent="0.25">
      <c r="A31"/>
      <c r="B31"/>
      <c r="C31"/>
      <c r="D31"/>
    </row>
    <row r="32" spans="1:4" x14ac:dyDescent="0.25">
      <c r="A32"/>
      <c r="B32"/>
      <c r="C32"/>
      <c r="D32"/>
    </row>
    <row r="33" spans="1:4" x14ac:dyDescent="0.25">
      <c r="A33"/>
      <c r="B33"/>
      <c r="C33"/>
      <c r="D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StockHistory</vt:lpstr>
      <vt:lpstr>Main</vt:lpstr>
      <vt:lpstr>Articles</vt:lpstr>
      <vt:lpstr>Articles_commandes</vt:lpstr>
      <vt:lpstr>Commands</vt:lpstr>
      <vt:lpstr>LampeSolaire_v4</vt:lpstr>
      <vt:lpstr>TempoMetter_v1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dcterms:created xsi:type="dcterms:W3CDTF">2018-08-18T11:04:50Z</dcterms:created>
  <dcterms:modified xsi:type="dcterms:W3CDTF">2019-04-17T07:08:13Z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