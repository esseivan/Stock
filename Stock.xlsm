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3B62B443-2AA7-42B0-ACBF-3A6948613353}" xr6:coauthVersionLast="41" xr6:coauthVersionMax="43" xr10:uidLastSave="{00000000-0000-0000-0000-000000000000}"/>
  <bookViews>
    <workbookView xWindow="-120" yWindow="-120" windowWidth="29040" windowHeight="15990" firstSheet="3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</externalReferences>
  <definedNames>
    <definedName name="_xlnm._FilterDatabase" localSheetId="10" hidden="1">EXT_RF_RX_v1!$A$1:$F$10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LampeSolaire_v6!$A$1:$F$39</definedName>
    <definedName name="_xlnm._FilterDatabase" localSheetId="2" hidden="1">Order!$A$1:$L$3</definedName>
    <definedName name="_xlnm._FilterDatabase" localSheetId="11" hidden="1">ProductTemplate!$A$1:$F$2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USB_Tool_v4!$A$1:$F$38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68" i="19" l="1"/>
  <c r="J1068" i="19"/>
  <c r="K1068" i="19"/>
  <c r="AC106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H5" i="21" s="1"/>
  <c r="K1057" i="19"/>
  <c r="AC1057" i="19"/>
  <c r="J5" i="21" l="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H5" i="22" s="1"/>
  <c r="K1048" i="19"/>
  <c r="AC1048" i="19"/>
  <c r="J8" i="22" l="1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6" i="19"/>
  <c r="J196" i="19"/>
  <c r="K196" i="19"/>
  <c r="AC196" i="19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K996" i="19"/>
  <c r="AC996" i="19"/>
  <c r="I979" i="19"/>
  <c r="J979" i="19"/>
  <c r="H30" i="21" s="1"/>
  <c r="K979" i="19"/>
  <c r="AC979" i="19"/>
  <c r="I1018" i="19"/>
  <c r="J1018" i="19"/>
  <c r="K1018" i="19"/>
  <c r="AC1018" i="19"/>
  <c r="I1015" i="19"/>
  <c r="J1015" i="19"/>
  <c r="K1015" i="19"/>
  <c r="AC1015" i="19"/>
  <c r="H2" i="14" l="1"/>
  <c r="H3" i="14" s="1"/>
  <c r="I1013" i="19" l="1"/>
  <c r="J1013" i="19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H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H18" i="22" l="1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H34" i="21" s="1"/>
  <c r="J1012" i="19"/>
  <c r="H4" i="21" s="1"/>
  <c r="J990" i="19"/>
  <c r="J40" i="19"/>
  <c r="H36" i="21" s="1"/>
  <c r="J980" i="19"/>
  <c r="J33" i="19"/>
  <c r="J58" i="19"/>
  <c r="J984" i="19"/>
  <c r="H7" i="21" s="1"/>
  <c r="J985" i="19"/>
  <c r="H6" i="21" s="1"/>
  <c r="J1044" i="19"/>
  <c r="H2" i="23" s="1"/>
  <c r="J11" i="19"/>
  <c r="J4" i="19"/>
  <c r="H33" i="21" s="1"/>
  <c r="J31" i="19"/>
  <c r="J19" i="19"/>
  <c r="J20" i="19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H9" i="21" s="1"/>
  <c r="J8" i="19"/>
  <c r="J981" i="19"/>
  <c r="J989" i="19"/>
  <c r="H25" i="21" s="1"/>
  <c r="J995" i="19"/>
  <c r="H24" i="21" s="1"/>
  <c r="J1002" i="19"/>
  <c r="G3" i="8" s="1"/>
  <c r="J42" i="19"/>
  <c r="J43" i="19"/>
  <c r="J17" i="19"/>
  <c r="H3" i="21" s="1"/>
  <c r="J982" i="19"/>
  <c r="J1001" i="19"/>
  <c r="G4" i="8" s="1"/>
  <c r="J1004" i="19"/>
  <c r="J15" i="19"/>
  <c r="J16" i="19"/>
  <c r="J32" i="19"/>
  <c r="J1036" i="19"/>
  <c r="J1039" i="19"/>
  <c r="J1043" i="19"/>
  <c r="J1033" i="19"/>
  <c r="J1034" i="19"/>
  <c r="H29" i="21" s="1"/>
  <c r="J1006" i="19"/>
  <c r="J1007" i="19"/>
  <c r="G2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H2" i="21" s="1"/>
  <c r="J197" i="19"/>
  <c r="H11" i="21" s="1"/>
  <c r="J199" i="19"/>
  <c r="G15" i="8" s="1"/>
  <c r="J1005" i="19"/>
  <c r="J5" i="19"/>
  <c r="H21" i="21" s="1"/>
  <c r="J1045" i="19"/>
  <c r="G35" i="3" s="1"/>
  <c r="J1046" i="19"/>
  <c r="J1047" i="19"/>
  <c r="J14" i="19"/>
  <c r="J60" i="19"/>
  <c r="G14" i="8" s="1"/>
  <c r="J90" i="19"/>
  <c r="H17" i="21" s="1"/>
  <c r="J191" i="19"/>
  <c r="J201" i="19"/>
  <c r="G20" i="3" s="1"/>
  <c r="J202" i="19"/>
  <c r="H13" i="21" s="1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H23" i="21" s="1"/>
  <c r="J1017" i="19"/>
  <c r="H22" i="21" s="1"/>
  <c r="J21" i="19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38" i="22" l="1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11" i="23" l="1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<sst xmlns="http://schemas.openxmlformats.org/spreadsheetml/2006/main" count="9786" uniqueCount="3552">
  <si>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</si>
  <si>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</si>
  <si>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</si>
  <si>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</si>
  <si>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</si>
  <si>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</si>
  <si>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</si>
  <si>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</si>
  <si>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</si>
  <si>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</si>
  <si>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</si>
  <si>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</si>
  <si>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</si>
  <si>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</si>
  <si>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</si>
  <si>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</si>
  <si>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</si>
  <si>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</si>
  <si>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</si>
  <si>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</si>
  <si>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</si>
  <si>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</si>
  <si>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</si>
  <si>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</si>
  <si>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</si>
  <si>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</si>
  <si>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</si>
  <si>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</si>
  <si>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</si>
  <si>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</si>
  <si>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</si>
  <si>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</si>
  <si>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</si>
  <si>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</si>
  <si>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</si>
  <si>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</si>
  <si>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</si>
  <si>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</si>
  <si>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</si>
  <si>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</si>
  <si>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</si>
  <si>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</si>
  <si>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</si>
  <si>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</si>
  <si>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</si>
  <si>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</si>
  <si>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</si>
  <si>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</si>
  <si>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</si>
  <si>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</si>
  <si>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</si>
  <si>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</si>
  <si>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</si>
  <si>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</si>
  <si>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</si>
  <si>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</si>
  <si>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</si>
  <si>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</si>
  <si>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</si>
  <si>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</si>
  <si>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</si>
  <si>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</si>
  <si>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</si>
  <si>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</si>
  <si>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</si>
  <si>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</si>
  <si>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</si>
  <si>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</si>
  <si>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</si>
  <si>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</si>
  <si>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</si>
  <si>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</si>
  <si>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</si>
  <si>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</si>
  <si>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</si>
  <si>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</si>
  <si>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</si>
  <si>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</si>
  <si>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</si>
  <si>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</si>
  <si>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</si>
  <si>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</si>
  <si>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</si>
  <si>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</si>
  <si>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</si>
  <si>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</si>
  <si>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</si>
  <si>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</si>
  <si>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</si>
  <si>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</si>
  <si>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</si>
  <si>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</si>
  <si>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</si>
  <si>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</si>
  <si>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</si>
  <si>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</si>
  <si>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</si>
  <si>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</si>
  <si>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</si>
  <si>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</si>
  <si>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</si>
  <si>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</si>
  <si>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</si>
  <si>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</si>
  <si>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</si>
  <si>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</si>
  <si>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</si>
  <si>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</si>
  <si>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</si>
  <si>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</si>
  <si>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</si>
  <si>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</si>
  <si>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</si>
  <si>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</si>
  <si>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</si>
  <si>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</si>
  <si>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</si>
  <si>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</si>
  <si>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</si>
  <si>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</si>
  <si>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</si>
  <si>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</si>
  <si>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</si>
  <si>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</si>
  <si>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</si>
  <si>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</si>
  <si>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</si>
  <si>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</si>
  <si>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</si>
  <si>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</si>
  <si>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</si>
  <si>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</si>
  <si>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</si>
  <si>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</si>
  <si>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</si>
  <si>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</si>
  <si>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</si>
  <si>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</si>
  <si>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</si>
  <si>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</si>
  <si>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</si>
  <si>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</si>
  <si>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</si>
  <si>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</si>
  <si>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</si>
  <si>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</si>
  <si>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</si>
  <si>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</si>
  <si>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</si>
  <si>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</si>
  <si>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</si>
  <si>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</si>
  <si>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</si>
  <si>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</si>
  <si>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</si>
  <si>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</si>
  <si>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</si>
  <si>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</si>
  <si>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</si>
  <si>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</si>
  <si>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</si>
  <si>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</si>
  <si>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</si>
  <si>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</si>
  <si>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</si>
  <si>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</si>
  <si>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</si>
  <si>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</si>
  <si>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</si>
  <si>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</si>
  <si>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</si>
  <si>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</si>
  <si>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</si>
  <si>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</si>
  <si>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</si>
  <si>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</si>
  <si>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</si>
  <si>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</si>
  <si>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</si>
  <si>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</si>
  <si>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</si>
  <si>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</si>
  <si>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</si>
  <si>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</si>
  <si>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</si>
  <si>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</si>
  <si>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</si>
  <si>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</si>
  <si>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</si>
  <si>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</si>
  <si>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</si>
  <si>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</si>
  <si>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</si>
  <si>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</si>
  <si>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</si>
  <si>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</si>
  <si>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</si>
  <si>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</si>
  <si>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</si>
  <si>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</si>
  <si>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</si>
  <si>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</si>
  <si>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</si>
  <si>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</si>
  <si>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</si>
  <si>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</si>
  <si>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</si>
  <si>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</si>
  <si>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</si>
  <si>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</si>
  <si>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</si>
  <si>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</si>
  <si>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</si>
  <si>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</si>
  <si>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</si>
  <si>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</si>
  <si>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</si>
  <si>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</si>
  <si>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</si>
  <si>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</si>
  <si>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</si>
  <si>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</si>
  <si>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</si>
  <si>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</si>
  <si>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</si>
  <si>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</si>
  <si>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</si>
  <si>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</si>
  <si>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</si>
  <si>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</si>
  <si>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</si>
  <si>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</si>
  <si>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</si>
  <si>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</si>
  <si>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</si>
  <si>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</si>
  <si>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</si>
  <si>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</si>
  <si>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</si>
  <si>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</si>
  <si>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</si>
  <si>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</si>
  <si>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</si>
  <si>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</si>
  <si>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</si>
  <si>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</si>
  <si>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</si>
  <si>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</si>
  <si>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</si>
  <si>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</si>
  <si>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</si>
  <si>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</si>
  <si>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</si>
  <si>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</si>
  <si>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</si>
  <si>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</si>
  <si>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</si>
  <si>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</si>
  <si>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</si>
  <si>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</si>
  <si>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</si>
  <si>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</si>
  <si>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</si>
  <si>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</si>
  <si>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</si>
  <si>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</si>
  <si>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</si>
  <si>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</si>
  <si>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</si>
  <si>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</si>
  <si>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</si>
  <si>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</si>
  <si>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</si>
  <si>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</si>
  <si>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</si>
  <si>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</si>
  <si>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</si>
  <si>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</si>
  <si>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</si>
  <si>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</si>
  <si>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</si>
  <si>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</si>
  <si>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</si>
  <si>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</si>
  <si>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</si>
  <si>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</si>
  <si>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</si>
  <si>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</si>
  <si>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</si>
  <si>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</si>
  <si>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</si>
  <si>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</si>
  <si>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</si>
  <si>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</si>
  <si>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</si>
  <si>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</si>
  <si>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</si>
  <si>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</si>
  <si>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</si>
  <si>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</si>
  <si>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</si>
  <si>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</si>
  <si>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</si>
  <si>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</si>
  <si>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</si>
  <si>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</si>
  <si>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</si>
  <si>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</si>
  <si>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</si>
  <si>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</si>
  <si>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</si>
  <si>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</si>
  <si>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</si>
  <si>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</si>
  <si>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</si>
  <si>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</si>
  <si>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</si>
  <si>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</si>
  <si>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</si>
  <si>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</si>
  <si>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</si>
  <si>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</si>
  <si>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</si>
  <si>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</si>
  <si>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</si>
  <si>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</si>
  <si>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</si>
  <si>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</si>
  <si>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</si>
  <si>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</si>
  <si>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</si>
  <si>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</si>
  <si>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</si>
  <si>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</si>
  <si>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</si>
  <si>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</si>
  <si>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</si>
  <si>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</si>
  <si>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</si>
  <si>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</si>
  <si>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</si>
  <si>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</si>
  <si>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</si>
  <si>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</si>
  <si>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</si>
  <si>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</si>
  <si>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</si>
  <si>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</si>
  <si>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</si>
  <si>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</si>
  <si>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</si>
  <si>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</si>
  <si>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</si>
  <si>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</si>
  <si>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</si>
  <si>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</si>
  <si>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</si>
  <si>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</si>
  <si>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</si>
  <si>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</si>
  <si>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</si>
  <si>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</si>
  <si>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</si>
  <si>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</si>
  <si>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</si>
  <si>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</si>
  <si>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</si>
  <si>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</si>
  <si>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</si>
  <si>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</si>
  <si>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</si>
  <si>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</si>
  <si>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</si>
  <si>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</si>
  <si>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</si>
  <si>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</si>
  <si>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</si>
  <si>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</si>
  <si>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</si>
  <si>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</si>
  <si>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</si>
  <si>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</si>
  <si>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</si>
  <si>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</si>
  <si>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</si>
  <si>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</si>
  <si>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</si>
  <si>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</si>
  <si>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</si>
  <si>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</si>
  <si>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</si>
  <si>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</si>
  <si>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</si>
  <si>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</si>
  <si>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</si>
  <si>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</si>
  <si>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</si>
  <si>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</si>
  <si>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</si>
  <si>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</si>
  <si>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</si>
  <si>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</si>
  <si>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</si>
  <si>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</si>
  <si>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</si>
  <si>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</si>
  <si>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</si>
  <si>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</si>
  <si>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</si>
  <si>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</si>
  <si>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</si>
  <si>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</si>
  <si>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</si>
  <si>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</si>
  <si>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</si>
  <si>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</si>
  <si>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</si>
  <si>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</si>
  <si>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</si>
  <si>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</si>
  <si>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</si>
  <si>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</si>
  <si>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</si>
  <si>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</si>
  <si>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</si>
  <si>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</si>
  <si>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</si>
  <si>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</si>
  <si>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</si>
  <si>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</si>
  <si>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</si>
  <si>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</si>
  <si>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</si>
  <si>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</si>
  <si>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</si>
  <si>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</si>
  <si>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</si>
  <si>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</si>
  <si>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</si>
  <si>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</si>
  <si>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</si>
  <si>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</si>
  <si>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</si>
  <si>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</si>
  <si>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</si>
  <si>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</si>
  <si>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</si>
  <si>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</si>
  <si>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</si>
  <si>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</si>
  <si>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</si>
  <si>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</si>
  <si>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</si>
  <si>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</si>
  <si>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</si>
  <si>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</si>
  <si>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</si>
  <si>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</si>
  <si>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</si>
  <si>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</si>
  <si>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</si>
  <si>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</si>
  <si>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</si>
  <si>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</si>
  <si>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</si>
  <si>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</si>
  <si>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</si>
  <si>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</si>
  <si>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</si>
  <si>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</si>
  <si>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</si>
  <si>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</si>
  <si>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</si>
  <si>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</si>
  <si>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</si>
  <si>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</si>
  <si>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</si>
  <si>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</si>
  <si>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</si>
  <si>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</si>
  <si>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</si>
  <si>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</si>
  <si>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</si>
  <si>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</si>
  <si>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</si>
  <si>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</si>
  <si>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</si>
  <si>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</si>
  <si>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</si>
  <si>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</si>
  <si>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</si>
  <si>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</si>
  <si>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</si>
  <si>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</si>
  <si>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</si>
  <si>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</si>
  <si>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</si>
  <si>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</si>
  <si>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</si>
  <si>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</si>
  <si>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</si>
  <si>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</si>
  <si>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</si>
  <si>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</si>
  <si>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</si>
  <si>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</si>
  <si>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</si>
  <si>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</si>
  <si>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</si>
  <si>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</si>
  <si>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</si>
  <si>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</si>
  <si>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</si>
  <si>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</si>
  <si>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</si>
  <si>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</si>
  <si>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</si>
  <si>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</si>
  <si>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</si>
  <si>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</si>
  <si>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</si>
  <si>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</si>
  <si>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</si>
  <si>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</si>
  <si>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</si>
  <si>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</si>
  <si>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</si>
  <si>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</si>
  <si>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</si>
  <si>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</si>
  <si>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</si>
  <si>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</si>
  <si>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</si>
  <si>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</si>
  <si>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</si>
  <si>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</si>
  <si>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</si>
  <si>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</si>
  <si>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</si>
  <si>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</si>
  <si>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</si>
  <si>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</si>
  <si>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</si>
  <si>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</si>
  <si>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</si>
  <si>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</si>
  <si>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</si>
  <si>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</si>
  <si>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</si>
  <si>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</si>
  <si>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</si>
  <si>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</si>
  <si>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</si>
  <si>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</si>
  <si>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</si>
  <si>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</si>
  <si>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</si>
  <si>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</si>
  <si>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</si>
  <si>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</si>
  <si>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</si>
  <si>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</si>
  <si>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</si>
  <si>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</si>
  <si>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</si>
  <si>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</si>
  <si>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</si>
  <si>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</si>
  <si>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</si>
  <si>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</si>
  <si>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</si>
  <si>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</si>
  <si>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</si>
  <si>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</si>
  <si>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</si>
  <si>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</si>
  <si>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</si>
  <si>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</si>
  <si>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</si>
  <si>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</si>
  <si>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</si>
  <si>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</si>
  <si>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</si>
  <si>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</si>
  <si>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</si>
  <si>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</si>
  <si>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</si>
  <si>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</si>
  <si>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</si>
  <si>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</si>
  <si>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</si>
  <si>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</si>
  <si>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</si>
  <si>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</si>
  <si>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</si>
  <si>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</si>
  <si>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</si>
  <si>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</si>
  <si>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</si>
  <si>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</si>
  <si>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</si>
  <si>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</si>
  <si>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</si>
  <si>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</si>
  <si>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</si>
  <si>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</si>
  <si>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</si>
  <si>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</si>
  <si>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</si>
  <si>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</si>
  <si>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</si>
  <si>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</si>
  <si>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</si>
  <si>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</si>
  <si>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</si>
  <si>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</si>
  <si>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</si>
  <si>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</si>
  <si>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</si>
  <si>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</si>
  <si>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</si>
  <si>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</si>
  <si>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</si>
  <si>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</si>
  <si>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</si>
  <si>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</si>
  <si>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</si>
  <si>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</si>
  <si>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</si>
  <si>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</si>
  <si>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</si>
  <si>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</si>
  <si>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</si>
  <si>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</si>
  <si>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</si>
  <si>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</si>
  <si>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</si>
  <si>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</si>
  <si>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</si>
  <si>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</si>
  <si>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</si>
  <si>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</si>
  <si>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</si>
  <si>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</si>
  <si>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</si>
  <si>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</si>
  <si>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</si>
  <si>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</si>
  <si>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</si>
  <si>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</si>
  <si>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</si>
  <si>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</si>
  <si>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</si>
  <si>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</si>
  <si>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</si>
  <si>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</si>
  <si>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</si>
  <si>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</si>
  <si>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</si>
  <si>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</si>
  <si>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</si>
  <si>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</si>
  <si>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</si>
  <si>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</si>
  <si>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</si>
  <si>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</si>
  <si>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</si>
  <si>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</si>
  <si>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</si>
  <si>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</si>
  <si>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</si>
  <si>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</si>
  <si>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</si>
  <si>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</si>
  <si>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</si>
  <si>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</si>
  <si>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</si>
  <si>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</si>
  <si>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</si>
  <si>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</si>
  <si>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</si>
  <si>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</si>
  <si>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</si>
  <si>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</si>
  <si>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</si>
  <si>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</si>
  <si>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</si>
  <si>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</si>
  <si>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</si>
  <si>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</si>
  <si>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</si>
  <si>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</si>
  <si>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</si>
  <si>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</si>
  <si>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</si>
  <si>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</si>
  <si>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</si>
  <si>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</si>
  <si>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</si>
  <si>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</si>
  <si>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</si>
  <si>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</si>
  <si>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</si>
  <si>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</si>
  <si>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</si>
  <si>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</si>
  <si>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</si>
  <si>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</si>
  <si>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</si>
  <si>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</si>
  <si>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</si>
  <si>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</si>
  <si>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</si>
  <si>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</si>
  <si>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</si>
  <si>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</si>
  <si>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</si>
  <si>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</si>
  <si>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</si>
  <si>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</si>
  <si>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</si>
  <si>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</si>
  <si>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</si>
  <si>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</si>
  <si>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</si>
  <si>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</si>
  <si>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</si>
  <si>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</si>
  <si>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</si>
  <si>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</si>
  <si>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</si>
  <si>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</si>
  <si>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</si>
  <si>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</si>
  <si>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</si>
  <si>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</si>
  <si>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</si>
  <si>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</si>
  <si>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</si>
  <si>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</si>
  <si>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</si>
  <si>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</si>
  <si>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</si>
  <si>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</si>
  <si>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</si>
  <si>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</si>
  <si>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</si>
  <si>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</si>
  <si>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</si>
  <si>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</si>
  <si>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</si>
  <si>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</si>
  <si>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</si>
  <si>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</si>
  <si>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</si>
  <si>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</si>
  <si>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</si>
  <si>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</si>
  <si>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</si>
  <si>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</si>
  <si>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</si>
  <si>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</si>
  <si>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</si>
  <si>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</si>
  <si>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</si>
  <si>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</si>
  <si>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</si>
  <si>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</si>
  <si>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</si>
  <si>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</si>
  <si>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</si>
  <si>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</si>
  <si>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</si>
  <si>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</si>
  <si>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</si>
  <si>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</si>
  <si>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</si>
  <si>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</si>
  <si>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</si>
  <si>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</si>
  <si>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</si>
  <si>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</si>
  <si>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</si>
  <si>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</si>
  <si>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</si>
  <si>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</si>
  <si>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</si>
  <si>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</si>
  <si>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</si>
  <si>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</si>
  <si>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</si>
  <si>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</si>
  <si>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</si>
  <si>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</si>
  <si>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</si>
  <si>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</si>
  <si>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</si>
  <si>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</si>
  <si>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</si>
  <si>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</si>
  <si>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</si>
  <si>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</si>
  <si>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</si>
  <si>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</si>
  <si>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</si>
  <si>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</si>
  <si>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</si>
  <si>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</si>
  <si>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</si>
  <si>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</si>
  <si>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</si>
  <si>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</si>
  <si>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</si>
  <si>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</si>
  <si>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</si>
  <si>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</si>
  <si>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</si>
  <si>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</si>
  <si>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</si>
  <si>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</si>
  <si>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</si>
  <si>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</si>
  <si>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</si>
  <si>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</si>
  <si>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</si>
  <si>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</si>
  <si>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</si>
  <si>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</si>
  <si>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</si>
  <si>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</si>
  <si>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</si>
  <si>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</si>
  <si>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</si>
  <si>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</si>
  <si>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</si>
  <si>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</si>
  <si>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</si>
  <si>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</si>
  <si>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</si>
  <si>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</si>
  <si>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</si>
  <si>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</si>
  <si>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</si>
  <si>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</si>
  <si>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</si>
  <si>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</si>
  <si>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</si>
  <si>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</si>
  <si>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</si>
  <si>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</si>
  <si>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</si>
  <si>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</si>
  <si>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</si>
  <si>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</si>
  <si>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</si>
  <si>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</si>
  <si>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</si>
  <si>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</si>
  <si>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</si>
  <si>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</si>
  <si>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</si>
  <si>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</si>
  <si>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</si>
  <si>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</si>
  <si>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</si>
  <si>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</si>
  <si>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</si>
  <si>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</si>
  <si>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</si>
  <si>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</si>
  <si>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</si>
  <si>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</si>
  <si>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</si>
  <si>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</si>
  <si>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</si>
  <si>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</si>
  <si>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</si>
  <si>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</si>
  <si>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</si>
  <si>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</si>
  <si>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</si>
  <si>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</si>
  <si>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</si>
  <si>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</si>
  <si>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</si>
  <si>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</si>
  <si>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</si>
  <si>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</si>
  <si>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</si>
  <si>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</si>
  <si>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</si>
  <si>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</si>
  <si>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</si>
  <si>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</si>
  <si>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</si>
  <si>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</si>
  <si>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</si>
  <si>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</si>
  <si>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</si>
  <si>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</si>
  <si>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</si>
  <si>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</si>
  <si>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</si>
  <si>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</si>
  <si>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</si>
  <si>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</si>
  <si>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</si>
  <si>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</si>
  <si>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</si>
  <si>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</si>
  <si>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</si>
  <si>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</si>
  <si>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</si>
  <si>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</si>
  <si>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</si>
  <si>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</si>
  <si>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</si>
  <si>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</si>
  <si>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</si>
  <si>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</si>
  <si>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</si>
  <si>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</si>
  <si>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</si>
  <si>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</si>
  <si>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</si>
  <si>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</si>
  <si>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</si>
  <si>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</si>
  <si>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</si>
  <si>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</si>
  <si>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</si>
  <si>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</si>
  <si>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</si>
  <si>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</si>
  <si>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</si>
  <si>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</si>
  <si>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</si>
  <si>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</si>
  <si>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</si>
  <si>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</si>
  <si>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</si>
  <si>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</si>
  <si>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</si>
  <si>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</si>
  <si>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</si>
  <si>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</si>
  <si>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</si>
  <si>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</si>
  <si>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</si>
  <si>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</si>
  <si>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</si>
  <si>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</si>
  <si>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</si>
  <si>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</si>
  <si>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</si>
  <si>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</si>
  <si>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</si>
  <si>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</si>
  <si>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</si>
  <si>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</si>
  <si>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</si>
  <si>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</si>
  <si>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</si>
  <si>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</si>
  <si>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</si>
  <si>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</si>
  <si>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</si>
  <si>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</si>
  <si>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</si>
  <si>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</si>
  <si>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</si>
  <si>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</si>
  <si>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</si>
  <si>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</si>
  <si>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</si>
  <si>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</si>
  <si>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</si>
  <si>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</si>
  <si>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</si>
  <si>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</si>
  <si>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</si>
  <si>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</si>
  <si>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</si>
  <si>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</si>
  <si>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</si>
  <si>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</si>
  <si>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</si>
  <si>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</si>
  <si>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</si>
  <si>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</si>
  <si>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</si>
  <si>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</si>
  <si>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</si>
  <si>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</si>
  <si>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</si>
  <si>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</si>
  <si>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</si>
  <si>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</si>
  <si>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</si>
  <si>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</si>
  <si>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</si>
  <si>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</si>
  <si>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</si>
  <si>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</si>
  <si>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</si>
  <si>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</si>
  <si>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</si>
  <si>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</si>
  <si>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</si>
  <si>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</si>
  <si>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</si>
  <si>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</si>
  <si>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</si>
  <si>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</si>
  <si>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</si>
  <si>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</si>
  <si>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</si>
  <si>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</si>
  <si>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</si>
  <si>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</si>
  <si>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</si>
  <si>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</si>
  <si>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</si>
  <si>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</si>
  <si>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</si>
  <si>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</si>
  <si>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</si>
  <si>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</si>
  <si>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</si>
  <si>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</si>
  <si>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</si>
  <si>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</si>
  <si>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</si>
  <si>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</si>
  <si>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</si>
  <si>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</si>
  <si>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</si>
  <si>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</si>
  <si>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</si>
  <si>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</si>
  <si>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</si>
  <si>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</si>
  <si>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</si>
  <si>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</si>
  <si>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</si>
  <si>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</si>
  <si>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</si>
  <si>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</si>
  <si>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</si>
  <si>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</si>
  <si>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</si>
  <si>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</si>
  <si>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</si>
  <si>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</si>
  <si>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</si>
  <si>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</si>
  <si>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</si>
  <si>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</si>
  <si>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</si>
  <si>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</si>
  <si>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</si>
  <si>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</si>
  <si>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</si>
  <si>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</si>
  <si>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</si>
  <si>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</si>
  <si>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</si>
  <si>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</si>
  <si>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</si>
  <si>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</si>
  <si>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</si>
  <si>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</si>
  <si>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</si>
  <si>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</si>
  <si>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</si>
  <si>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</si>
  <si>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</si>
  <si>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</si>
  <si>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</si>
  <si>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</si>
  <si>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</si>
  <si>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</si>
  <si>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</si>
  <si>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</si>
  <si>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</si>
  <si>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</si>
  <si>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</si>
  <si>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</si>
  <si>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</si>
  <si>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</si>
  <si>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</si>
  <si>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</si>
  <si>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</si>
  <si>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</si>
  <si>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</si>
  <si>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</si>
  <si>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</si>
  <si>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</si>
  <si>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</si>
  <si>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</si>
  <si>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</si>
  <si>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</si>
  <si>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</si>
  <si>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</si>
  <si>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</si>
  <si>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</si>
  <si>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</si>
  <si>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</si>
  <si>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</si>
  <si>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</si>
  <si>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</si>
  <si>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</si>
  <si>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</si>
  <si>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</si>
  <si>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</si>
  <si>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</si>
  <si>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</si>
  <si>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</si>
  <si>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</si>
  <si>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</si>
  <si>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</si>
  <si>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</si>
  <si>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</si>
  <si>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</si>
  <si>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</si>
  <si>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</si>
  <si>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</si>
  <si>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</si>
  <si>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</si>
  <si>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</si>
  <si>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</si>
  <si>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</si>
  <si>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</si>
  <si>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</si>
  <si>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</si>
  <si>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</si>
  <si>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</si>
  <si>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</si>
  <si>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</si>
  <si>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</si>
  <si>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</si>
  <si>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</si>
  <si>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</si>
  <si>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</si>
  <si>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</si>
  <si>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</si>
  <si>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</si>
  <si>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</si>
  <si>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</si>
  <si>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</si>
  <si>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</si>
  <si>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</si>
  <si>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</si>
  <si>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</si>
  <si>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</si>
  <si>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</si>
  <si>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</si>
  <si>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</si>
  <si>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</si>
  <si>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</si>
  <si>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</si>
  <si>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</si>
  <si>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</si>
  <si>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</si>
  <si>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</si>
  <si>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</si>
  <si>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</si>
  <si>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</si>
  <si>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</si>
  <si>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</si>
  <si>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</si>
  <si>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</si>
  <si>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</si>
  <si>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</si>
  <si>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</si>
  <si>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</si>
  <si>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</si>
  <si>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</si>
  <si>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</si>
  <si>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</si>
  <si>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</si>
  <si>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</si>
  <si>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</si>
  <si>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</si>
  <si>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</si>
  <si>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</si>
  <si>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</si>
  <si>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</si>
  <si>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</si>
  <si>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</si>
  <si>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</si>
  <si>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</si>
  <si>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</si>
  <si>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</si>
  <si>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</si>
  <si>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</si>
  <si>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</si>
  <si>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</si>
  <si>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</si>
  <si>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</si>
  <si>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</si>
  <si>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</si>
  <si>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</si>
  <si>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</si>
  <si>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</si>
  <si>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</si>
  <si>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</si>
  <si>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</si>
  <si>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</si>
  <si>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</si>
  <si>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</si>
  <si>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</si>
  <si>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</si>
  <si>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</si>
  <si>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</si>
  <si>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</si>
  <si>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</si>
  <si>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</si>
  <si>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</si>
  <si>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</si>
  <si>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</si>
  <si>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</si>
  <si>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</si>
  <si>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</si>
  <si>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</si>
  <si>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</si>
  <si>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</si>
  <si>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</si>
  <si>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</si>
  <si>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</si>
  <si>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</si>
  <si>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</si>
  <si>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</si>
  <si>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</si>
  <si>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</si>
  <si>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</si>
  <si>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</si>
  <si>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</si>
  <si>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</si>
  <si>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</si>
  <si>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</si>
  <si>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</si>
  <si>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</si>
  <si>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</si>
  <si>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</si>
  <si>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</si>
  <si>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</si>
  <si>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</si>
  <si>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</si>
  <si>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</si>
  <si>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</si>
  <si>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</si>
  <si>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</si>
  <si>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</si>
  <si>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</si>
  <si>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</si>
  <si>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</si>
  <si>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</si>
  <si>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</si>
  <si>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</si>
  <si>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</si>
  <si>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</si>
  <si>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</si>
  <si>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</si>
  <si>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</si>
  <si>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</si>
  <si>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</si>
  <si>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</si>
  <si>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</si>
  <si>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</si>
  <si>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</si>
  <si>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</si>
  <si>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</si>
  <si>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</si>
  <si>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</si>
  <si>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</si>
  <si>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</si>
  <si>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</si>
  <si>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</si>
  <si>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</si>
  <si>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</si>
  <si>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</si>
  <si>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</si>
  <si>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</si>
  <si>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</si>
  <si>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</si>
  <si>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</si>
  <si>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</si>
  <si>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</si>
  <si>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</si>
  <si>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</si>
  <si>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</si>
  <si>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</si>
  <si>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</si>
  <si>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</si>
  <si>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</si>
  <si>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</si>
  <si>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</si>
  <si>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</si>
  <si>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</si>
  <si>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</si>
  <si>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</si>
  <si>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</si>
  <si>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</si>
  <si>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</si>
  <si>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</si>
  <si>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</si>
  <si>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</si>
  <si>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</si>
  <si>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</si>
  <si>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</si>
  <si>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</si>
  <si>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</si>
  <si>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</si>
  <si>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</si>
  <si>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</si>
  <si>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</si>
  <si>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</si>
  <si>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</si>
  <si>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</si>
  <si>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</si>
  <si>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</si>
  <si>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</si>
  <si>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</si>
  <si>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</si>
  <si>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</si>
  <si>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</si>
  <si>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</si>
  <si>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</si>
  <si>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</si>
  <si>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</si>
  <si>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</si>
  <si>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</si>
  <si>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</si>
  <si>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</si>
  <si>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</si>
  <si>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</si>
  <si>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</si>
  <si>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</si>
  <si>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</si>
  <si>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</si>
  <si>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</si>
  <si>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</si>
  <si>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</si>
  <si>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</si>
  <si>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</si>
  <si>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</si>
  <si>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</si>
  <si>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</si>
  <si>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</si>
  <si>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</si>
  <si>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</si>
  <si>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</si>
  <si>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</si>
  <si>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</si>
  <si>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</si>
  <si>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</si>
  <si>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</si>
  <si>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</si>
  <si>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</si>
  <si>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</si>
  <si>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</si>
  <si>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</si>
  <si>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</si>
  <si>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</si>
  <si>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</si>
  <si>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</si>
  <si>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</si>
  <si>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</si>
  <si>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</si>
  <si>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</si>
  <si>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</si>
  <si>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</si>
  <si>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</si>
  <si>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</si>
  <si>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</si>
  <si>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</si>
  <si>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</si>
  <si>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</si>
  <si>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</si>
  <si>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</si>
  <si>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</si>
  <si>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</si>
  <si>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</si>
  <si>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</si>
  <si>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</si>
  <si>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</si>
  <si>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</si>
  <si>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</si>
  <si>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</si>
  <si>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</si>
  <si>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</si>
  <si>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</si>
  <si>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</si>
  <si>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</si>
  <si>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</si>
  <si>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</si>
  <si>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</si>
  <si>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</si>
  <si>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</si>
  <si>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</si>
  <si>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</si>
  <si>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</si>
  <si>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</si>
  <si>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</si>
  <si>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</si>
  <si>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</si>
  <si>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</si>
  <si>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</si>
  <si>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</si>
  <si>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</si>
  <si>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</si>
  <si>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</si>
  <si>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</si>
  <si>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</si>
  <si>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</si>
  <si>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</si>
  <si>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</si>
  <si>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</si>
  <si>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</si>
  <si>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</si>
  <si>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</si>
  <si>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</si>
  <si>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</si>
  <si>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</si>
  <si>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</si>
  <si>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</si>
  <si>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</si>
  <si>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</si>
  <si>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</si>
  <si>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</si>
  <si>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</si>
  <si>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</si>
  <si>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</si>
  <si>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</si>
  <si>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</si>
  <si>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</si>
  <si>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</si>
  <si>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</si>
  <si>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</si>
  <si>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</si>
  <si>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</si>
  <si>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</si>
  <si>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</si>
  <si>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</si>
  <si>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</si>
  <si>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</si>
  <si>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</si>
  <si>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</si>
  <si>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</si>
  <si>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</si>
  <si>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</si>
  <si>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</si>
  <si>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</si>
  <si>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</si>
  <si>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</si>
  <si>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</si>
  <si>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</si>
  <si>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</si>
  <si>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</si>
  <si>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</si>
  <si>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</si>
  <si>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</si>
  <si>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</si>
  <si>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</si>
  <si>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</si>
  <si>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</si>
  <si>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</si>
  <si>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</si>
  <si>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</si>
  <si>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</si>
  <si>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</si>
  <si>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</si>
  <si>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</si>
  <si>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</si>
  <si>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</si>
  <si>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</si>
  <si>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</si>
  <si>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</si>
  <si>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</si>
  <si>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</si>
  <si>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</si>
  <si>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</si>
  <si>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</si>
  <si>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</si>
  <si>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</si>
  <si>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</si>
  <si>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</si>
  <si>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</si>
  <si>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</si>
  <si>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</si>
  <si>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</si>
  <si>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</si>
  <si>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</si>
  <si>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</si>
  <si>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</si>
  <si>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</si>
  <si>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</si>
  <si>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</si>
  <si>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</si>
  <si>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</si>
  <si>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</si>
  <si>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</si>
  <si>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</si>
  <si>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</si>
  <si>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</si>
  <si>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</si>
  <si>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</si>
  <si>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</si>
  <si>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</si>
  <si>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</si>
  <si>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</si>
  <si>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</si>
  <si>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</si>
  <si>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</si>
  <si>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</si>
  <si>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</si>
  <si>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</si>
  <si>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</si>
  <si>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</si>
  <si>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</si>
  <si>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</si>
  <si>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</si>
  <si>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</si>
  <si>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</si>
  <si>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</si>
  <si>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</si>
  <si>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</si>
  <si>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</si>
  <si>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</si>
  <si>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</si>
  <si>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</si>
  <si>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</si>
  <si>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</si>
  <si>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</si>
  <si>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</si>
  <si>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</si>
  <si>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</si>
  <si>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</si>
  <si>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</si>
  <si>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</si>
  <si>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</si>
  <si>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</si>
  <si>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</si>
  <si>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</si>
  <si>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</si>
  <si>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</si>
  <si>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</si>
  <si>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</si>
  <si>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</si>
  <si>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</si>
  <si>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</si>
  <si>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</si>
  <si>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</si>
  <si>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</si>
  <si>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</si>
  <si>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</si>
  <si>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</si>
  <si>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</si>
  <si>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</si>
  <si>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</si>
  <si>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</si>
  <si>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</si>
  <si>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</si>
  <si>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</si>
  <si>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</si>
  <si>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</si>
  <si>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</si>
  <si>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</si>
  <si>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</si>
  <si>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</si>
  <si>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</si>
  <si>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</si>
  <si>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</si>
  <si>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</si>
  <si>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</si>
  <si>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</si>
  <si>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</si>
  <si>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</si>
  <si>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</si>
  <si>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</si>
  <si>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</si>
  <si>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</si>
  <si>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</si>
  <si>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</si>
  <si>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</si>
  <si>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</si>
  <si>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</si>
  <si>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</si>
  <si>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</si>
  <si>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</si>
  <si>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</si>
  <si>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</si>
  <si>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</si>
  <si>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</si>
  <si>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</si>
  <si>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</si>
  <si>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</si>
  <si>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</si>
  <si>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</si>
  <si>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</si>
  <si>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</si>
  <si>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</si>
  <si>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</si>
  <si>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</si>
  <si>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</si>
  <si>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</si>
  <si>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</si>
  <si>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</si>
  <si>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</si>
  <si>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</si>
  <si>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</si>
  <si>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</si>
  <si>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</si>
  <si>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</si>
  <si>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</si>
  <si>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</si>
  <si>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</si>
  <si>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</si>
  <si>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</si>
  <si>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</si>
  <si>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</si>
  <si>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</si>
  <si>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</si>
  <si>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</si>
  <si>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</si>
  <si>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</si>
  <si>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</si>
  <si>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</si>
  <si>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</si>
  <si>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</si>
  <si>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</si>
  <si>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</si>
  <si>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</si>
  <si>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</si>
  <si>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</si>
  <si>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</si>
  <si>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</si>
  <si>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</si>
  <si>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</si>
  <si>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</si>
  <si>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</si>
  <si>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</si>
  <si>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</si>
  <si>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</si>
  <si>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</si>
  <si>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</si>
  <si>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</si>
  <si>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</si>
  <si>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</si>
  <si>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</si>
  <si>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</si>
  <si>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</si>
  <si>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</si>
  <si>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</si>
  <si>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</si>
  <si>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</si>
  <si>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</si>
  <si>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</si>
  <si>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</si>
  <si>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</si>
  <si>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</si>
  <si>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</si>
  <si>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</si>
  <si>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</si>
  <si>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</si>
  <si>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</si>
  <si>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</si>
  <si>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</si>
  <si>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</si>
  <si>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</si>
  <si>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</si>
  <si>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</si>
  <si>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</si>
  <si>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</si>
  <si>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</si>
  <si>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</si>
  <si>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</si>
  <si>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</si>
  <si>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</si>
  <si>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</si>
  <si>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</si>
  <si>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</si>
  <si>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</si>
  <si>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</si>
  <si>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</si>
  <si>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</si>
  <si>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</si>
  <si>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</si>
  <si>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</si>
  <si>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</si>
  <si>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</si>
  <si>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</si>
  <si>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</si>
  <si>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</si>
  <si>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</si>
  <si>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</si>
  <si>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</si>
  <si>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</si>
  <si>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</si>
  <si>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</si>
  <si>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</si>
  <si>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</si>
  <si>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</si>
  <si>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</si>
  <si>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</si>
  <si>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</si>
  <si>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</si>
  <si>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</si>
  <si>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</si>
  <si>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</si>
  <si>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</si>
  <si>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</si>
  <si>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</si>
  <si>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</si>
  <si>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</si>
  <si>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</si>
  <si>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</si>
  <si>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</si>
  <si>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</si>
  <si>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</si>
  <si>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</si>
  <si>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</si>
  <si>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</si>
  <si>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</si>
  <si>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</si>
  <si>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</si>
  <si>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</si>
  <si>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</si>
  <si>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</si>
  <si>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</si>
  <si>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</si>
  <si>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</si>
  <si>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</si>
  <si>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</si>
  <si>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</si>
  <si>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</si>
  <si>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</si>
  <si>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</si>
  <si>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</si>
  <si>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</si>
  <si>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</si>
  <si>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</si>
  <si>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</si>
  <si>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</si>
  <si>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</si>
  <si>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</si>
  <si>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</si>
  <si>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</si>
  <si>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</si>
  <si>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</si>
  <si>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</si>
  <si>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</si>
  <si>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</si>
  <si>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</si>
  <si>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</si>
  <si>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</si>
  <si>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</si>
  <si>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</si>
  <si>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</si>
  <si>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</si>
  <si>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</si>
  <si>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</si>
  <si>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</si>
  <si>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</si>
  <si>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</si>
  <si>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</si>
  <si>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</si>
  <si>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</si>
  <si>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</si>
  <si>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</si>
  <si>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</si>
  <si>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</si>
  <si>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</si>
  <si>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</si>
  <si>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</si>
  <si>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</si>
  <si>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</si>
  <si>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</si>
  <si>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</si>
  <si>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</si>
  <si>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</si>
  <si>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</si>
  <si>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</si>
  <si>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</si>
  <si>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</si>
  <si>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</si>
  <si>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</si>
  <si>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</si>
  <si>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</si>
  <si>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</si>
  <si>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</si>
  <si>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</si>
  <si>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</si>
  <si>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</si>
  <si>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</si>
  <si>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</si>
  <si>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</si>
  <si>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</si>
  <si>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</si>
  <si>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</si>
  <si>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</si>
  <si>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</si>
  <si>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</si>
  <si>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</si>
  <si>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</si>
  <si>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</si>
  <si>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</si>
  <si>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</si>
  <si>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</si>
  <si>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</si>
  <si>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</si>
  <si>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</si>
  <si>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</si>
  <si>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</si>
  <si>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</si>
  <si>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</si>
  <si>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</si>
  <si>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</si>
  <si>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</si>
  <si>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</si>
  <si>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</si>
  <si>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</si>
  <si>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</si>
  <si>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</si>
  <si>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</si>
  <si>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</si>
  <si>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</si>
  <si>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</si>
  <si>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</si>
  <si>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</si>
  <si>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</si>
  <si>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</si>
  <si>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</si>
  <si>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</si>
  <si>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</si>
  <si>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</si>
  <si>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</si>
  <si>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</si>
  <si>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</si>
  <si>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</si>
  <si>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</si>
  <si>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</si>
  <si>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</si>
  <si>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</si>
  <si>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</si>
  <si>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</si>
  <si>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</si>
  <si>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</si>
  <si>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</si>
  <si>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</si>
  <si>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</si>
  <si>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</si>
  <si>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</si>
  <si>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</si>
  <si>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</si>
  <si>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</si>
  <si>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</si>
  <si>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</si>
  <si>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</si>
  <si>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</si>
  <si>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</si>
  <si>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</si>
  <si>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</si>
  <si>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</si>
  <si>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</si>
  <si>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</si>
  <si>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</si>
  <si>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</si>
  <si>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</si>
  <si>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</si>
  <si>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</si>
  <si>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</si>
  <si>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</si>
  <si>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</si>
  <si>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</si>
  <si>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</si>
  <si>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</si>
  <si>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</si>
  <si>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</si>
  <si>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</si>
  <si>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</si>
  <si>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</si>
  <si>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</si>
  <si>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</si>
  <si>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</si>
  <si>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</si>
  <si>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</si>
  <si>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</si>
  <si>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</si>
  <si>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</si>
  <si>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</si>
  <si>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</si>
  <si>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</si>
  <si>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</si>
  <si>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</si>
  <si>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</si>
  <si>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</si>
  <si>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</si>
  <si>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</si>
  <si>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</si>
  <si>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</si>
  <si>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</si>
  <si>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</si>
  <si>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</si>
  <si>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</si>
  <si>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</si>
  <si>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</si>
  <si>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</si>
  <si>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</si>
  <si>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</si>
  <si>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</si>
  <si>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</si>
  <si>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</si>
  <si>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</si>
  <si>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</si>
  <si>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</si>
  <si>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</si>
  <si>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</si>
  <si>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</si>
  <si>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</si>
  <si>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</si>
  <si>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</si>
  <si>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</si>
  <si>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</si>
  <si>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</si>
  <si>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</si>
  <si>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</si>
  <si>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</si>
  <si>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</si>
  <si>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</si>
  <si>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</si>
  <si>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</si>
  <si>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</si>
  <si>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</si>
  <si>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</si>
  <si>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</si>
  <si>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</si>
  <si>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</si>
  <si>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</si>
  <si>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</si>
  <si>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</si>
  <si>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</si>
  <si>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</si>
  <si>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</si>
  <si>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</si>
  <si>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</si>
  <si>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</si>
  <si>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</si>
  <si>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</si>
  <si>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</si>
  <si>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</si>
  <si>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</si>
  <si>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</si>
  <si>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</si>
  <si>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</si>
  <si>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</si>
  <si>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</si>
  <si>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</si>
  <si>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</si>
  <si>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</si>
  <si>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</si>
  <si>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</si>
  <si>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</si>
  <si>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</si>
  <si>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</si>
  <si>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</si>
  <si>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</si>
  <si>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</si>
  <si>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</si>
  <si>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</si>
  <si>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</si>
  <si>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</si>
  <si>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</si>
  <si>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</si>
  <si>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</si>
  <si>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</si>
  <si>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</si>
  <si>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</si>
  <si>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</si>
  <si>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</si>
  <si>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</si>
  <si>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</si>
  <si>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</si>
  <si>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</si>
  <si>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</si>
  <si>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</si>
  <si>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</si>
  <si>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</si>
  <si>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</si>
  <si>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</si>
  <si>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</si>
  <si>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</si>
  <si>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</si>
  <si>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</si>
  <si>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</si>
  <si>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</si>
  <si>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</si>
  <si>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</si>
  <si>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</si>
  <si>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</si>
  <si>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</si>
  <si>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</si>
  <si>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</si>
  <si>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</si>
  <si>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</si>
  <si>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</si>
  <si>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</si>
  <si>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</si>
  <si>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</si>
  <si>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</si>
  <si>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</si>
  <si>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</si>
  <si>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</si>
  <si>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</si>
  <si>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</si>
  <si>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</si>
  <si>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</si>
  <si>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</si>
  <si>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</si>
  <si>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</si>
  <si>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</si>
  <si>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</si>
  <si>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</si>
  <si>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</si>
  <si>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</si>
  <si>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</si>
  <si>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</si>
  <si>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</si>
  <si>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</si>
  <si>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</si>
  <si>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</si>
  <si>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</si>
  <si>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</si>
  <si>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</si>
  <si>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</si>
  <si>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</si>
  <si>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</si>
  <si>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</si>
  <si>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</si>
  <si>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</si>
  <si>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</si>
  <si>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</si>
  <si>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</si>
  <si>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</si>
  <si>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</si>
  <si>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</si>
  <si>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</si>
  <si>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</si>
  <si>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</si>
  <si>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</si>
  <si>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</si>
  <si>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</si>
  <si>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</si>
  <si>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</si>
  <si>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</si>
  <si>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</si>
  <si>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</si>
  <si>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</si>
  <si>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</si>
  <si>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</si>
  <si>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</si>
  <si>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</si>
  <si>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</si>
  <si>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</si>
  <si>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</si>
  <si>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</si>
  <si>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</si>
  <si>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</si>
  <si>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</si>
  <si>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</si>
  <si>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</si>
  <si>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</si>
  <si>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</si>
  <si>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</si>
  <si>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</si>
  <si>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</si>
  <si>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</si>
  <si>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</si>
  <si>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</si>
  <si>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</si>
  <si>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</si>
  <si>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</si>
  <si>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</si>
  <si>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</si>
  <si>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</si>
  <si>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</si>
  <si>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</si>
  <si>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</si>
  <si>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</si>
  <si>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</si>
  <si>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</si>
  <si>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</si>
  <si>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</si>
  <si>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</si>
  <si>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</si>
  <si>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</si>
  <si>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</si>
  <si>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</si>
  <si>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</si>
  <si>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</si>
  <si>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</si>
  <si>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</si>
  <si>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</si>
  <si>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</si>
  <si>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</si>
  <si>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</si>
  <si>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</si>
  <si>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</si>
  <si>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</si>
  <si>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</si>
  <si>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</si>
  <si>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</si>
  <si>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</si>
  <si>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</si>
  <si>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</si>
  <si>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</si>
  <si>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</si>
  <si>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</si>
  <si>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</si>
  <si>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</si>
  <si>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</si>
  <si>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</si>
  <si>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</si>
  <si>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</si>
  <si>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</si>
  <si>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</si>
  <si>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</si>
  <si>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</si>
  <si>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</si>
  <si>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</si>
  <si>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</si>
  <si>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</si>
  <si>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</si>
  <si>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</si>
  <si>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</si>
  <si>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</si>
  <si>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</si>
  <si>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</si>
  <si>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</si>
  <si>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</si>
  <si>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</si>
  <si>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</si>
  <si>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</si>
  <si>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</si>
  <si>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</si>
  <si>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</si>
  <si>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</si>
  <si>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</si>
  <si>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</si>
  <si>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</si>
  <si>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</si>
  <si>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</si>
  <si>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</si>
  <si>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</si>
  <si>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</si>
  <si>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</si>
  <si>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</si>
  <si>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</si>
  <si>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</si>
  <si>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</si>
  <si>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</si>
  <si>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</si>
  <si>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</si>
  <si>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</si>
  <si>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</si>
  <si>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</si>
  <si>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</si>
  <si>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</si>
  <si>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</si>
  <si>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</si>
  <si>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</si>
  <si>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</si>
  <si>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</si>
  <si>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</si>
  <si>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</si>
  <si>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</si>
  <si>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</si>
  <si>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</si>
  <si>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</si>
  <si>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</si>
  <si>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</si>
  <si>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</si>
  <si>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</si>
  <si>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</si>
  <si>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</si>
  <si>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</si>
  <si>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</si>
  <si>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</si>
  <si>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</si>
  <si>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</si>
  <si>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</si>
  <si>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</si>
  <si>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</si>
  <si>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</si>
  <si>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</si>
  <si>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</si>
  <si>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</si>
  <si>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</si>
  <si>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</si>
  <si>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</si>
  <si>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</si>
  <si>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</si>
  <si>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</si>
  <si>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</si>
  <si>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</si>
  <si>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</si>
  <si>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</si>
  <si>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</si>
  <si>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</si>
  <si>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</si>
  <si>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</si>
  <si>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</si>
  <si>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</si>
  <si>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</si>
  <si>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</si>
  <si>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</si>
  <si>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</si>
  <si>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</si>
  <si>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</si>
  <si>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</si>
  <si>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</si>
  <si>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</si>
  <si>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</si>
  <si>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</si>
  <si>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</si>
  <si>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</si>
  <si>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</si>
  <si>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</si>
  <si>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</si>
  <si>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</si>
  <si>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</si>
  <si>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</si>
  <si>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</si>
  <si>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</si>
  <si>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</si>
  <si>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</si>
  <si>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</si>
  <si>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</si>
  <si>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</si>
  <si>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</si>
  <si>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</si>
  <si>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</si>
  <si>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</si>
  <si>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</si>
  <si>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</si>
  <si>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</si>
  <si>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</si>
  <si>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</si>
  <si>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</si>
  <si>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</si>
  <si>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</si>
  <si>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</si>
  <si>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</si>
  <si>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</si>
  <si>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</si>
  <si>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</si>
  <si>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</si>
  <si>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</si>
  <si>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</si>
  <si>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</si>
  <si>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</si>
  <si>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</si>
  <si>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</si>
  <si>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</si>
  <si>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</si>
  <si>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</si>
  <si>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</si>
  <si>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</si>
  <si>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</si>
  <si>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</si>
  <si>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</si>
  <si>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</si>
  <si>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</si>
  <si>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</si>
  <si>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</si>
  <si>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</si>
  <si>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</si>
  <si>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</si>
  <si>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</si>
  <si>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</si>
  <si>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</si>
  <si>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</si>
  <si>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</si>
  <si>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</si>
  <si>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</si>
  <si>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</si>
  <si>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</si>
  <si>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</si>
  <si>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</si>
  <si>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</si>
  <si>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</si>
  <si>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</si>
  <si>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</si>
  <si>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</si>
  <si>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</si>
  <si>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</si>
  <si>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</si>
  <si>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</si>
  <si>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</si>
  <si>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</si>
  <si>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</si>
  <si>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</si>
  <si>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</si>
  <si>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</si>
  <si>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</si>
  <si>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</si>
  <si>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</si>
  <si>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</si>
  <si>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</si>
  <si>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</si>
  <si>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</si>
  <si>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</si>
  <si>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</si>
  <si>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</si>
  <si>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</si>
  <si>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</si>
  <si>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</si>
  <si>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</si>
  <si>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</si>
  <si>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</si>
  <si>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</si>
  <si>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</si>
  <si>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</si>
  <si>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</si>
  <si>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</si>
  <si>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</si>
  <si>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</si>
  <si>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</si>
  <si>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</si>
  <si>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</si>
  <si>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</si>
  <si>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</si>
  <si>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</si>
  <si>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</si>
  <si>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</si>
  <si>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</si>
  <si>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</si>
  <si>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</si>
  <si>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</si>
  <si>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</si>
  <si>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</si>
  <si>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</si>
  <si>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</si>
  <si>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</si>
  <si>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</si>
  <si>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</si>
  <si>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</si>
  <si>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</si>
  <si>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</si>
  <si>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</si>
  <si>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</si>
  <si>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</si>
  <si>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</si>
  <si>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</si>
  <si>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</si>
  <si>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</si>
  <si>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</si>
  <si>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</si>
  <si>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</si>
  <si>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</si>
  <si>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</si>
  <si>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</si>
  <si>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</si>
  <si>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</si>
  <si>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</si>
  <si>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</si>
  <si>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</si>
  <si>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</si>
  <si>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</si>
  <si>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</si>
  <si>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</si>
  <si>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</si>
  <si>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</si>
  <si>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</si>
  <si>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</si>
  <si>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</si>
  <si>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</si>
  <si>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</si>
  <si>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</si>
  <si>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</si>
  <si>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</si>
  <si>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</si>
  <si>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</si>
  <si>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</si>
  <si>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</si>
  <si>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</si>
  <si>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</si>
  <si>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</si>
  <si>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</si>
  <si>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</si>
  <si>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</si>
  <si>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</si>
  <si>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</si>
  <si>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</si>
  <si>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</si>
  <si>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</si>
  <si>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</si>
  <si>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</si>
  <si>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</si>
  <si>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</si>
  <si>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</si>
  <si>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</si>
  <si>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</si>
  <si>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</si>
  <si>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</si>
  <si>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</si>
  <si>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</si>
  <si>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</si>
  <si>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</si>
  <si>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</si>
  <si>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</si>
  <si>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</si>
  <si>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</si>
  <si>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</si>
  <si>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</si>
  <si>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</si>
  <si>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</si>
  <si>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</si>
  <si>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</si>
  <si>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</si>
  <si>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</si>
  <si>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</si>
  <si>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</si>
  <si>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</si>
  <si>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</si>
  <si>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</si>
  <si>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</si>
  <si>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</si>
  <si>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</si>
  <si>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</si>
  <si>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</si>
  <si>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</si>
  <si>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</si>
  <si>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</si>
  <si>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</si>
  <si>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</si>
  <si>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</si>
  <si>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</si>
  <si>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</si>
  <si>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</si>
  <si>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</si>
  <si>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</si>
  <si>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</si>
  <si>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</si>
  <si>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</si>
  <si>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</si>
  <si>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</si>
  <si>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</si>
  <si>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</si>
  <si>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</si>
  <si>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</si>
  <si>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</si>
  <si>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</si>
  <si>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</si>
  <si>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</si>
  <si>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</si>
  <si>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</si>
  <si>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</si>
  <si>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</si>
  <si>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</si>
  <si>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</si>
  <si>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</si>
  <si>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</si>
  <si>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</si>
  <si>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</si>
  <si>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</si>
  <si>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</si>
  <si>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</si>
  <si>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</si>
  <si>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</si>
  <si>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</si>
  <si>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</si>
  <si>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</si>
  <si>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</si>
  <si>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</si>
  <si>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</si>
  <si>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</si>
  <si>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</si>
  <si>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</si>
  <si>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</si>
  <si>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</si>
  <si>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</si>
  <si>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</si>
  <si>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</si>
  <si>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</si>
  <si>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</si>
  <si>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</si>
  <si>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</si>
  <si>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</si>
  <si>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</si>
  <si>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</si>
  <si>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</si>
  <si>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</si>
  <si>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</si>
  <si>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</si>
  <si>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</si>
  <si>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</si>
  <si>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</si>
  <si>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</si>
  <si>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</si>
  <si>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</si>
  <si>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</si>
  <si>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</si>
  <si>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</si>
  <si>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</si>
  <si>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</si>
  <si>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</si>
  <si>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</si>
  <si>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</si>
  <si>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</si>
  <si>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</si>
  <si>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</si>
  <si>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</si>
  <si>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</si>
  <si>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</si>
  <si>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</si>
  <si>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</si>
  <si>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</si>
  <si>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</si>
  <si>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</si>
  <si>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</si>
  <si>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</si>
  <si>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</si>
  <si>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</si>
  <si>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</si>
  <si>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</si>
  <si>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</si>
  <si>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</si>
  <si>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</si>
  <si>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</si>
  <si>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</si>
  <si>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</si>
  <si>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</si>
  <si>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</si>
  <si>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</si>
  <si>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</si>
  <si>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</si>
  <si>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</si>
  <si>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</si>
  <si>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</si>
  <si>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</si>
  <si>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</si>
  <si>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</si>
  <si>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</si>
  <si>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</si>
  <si>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</si>
  <si>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</si>
  <si>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</si>
  <si>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</si>
  <si>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</si>
  <si>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</si>
  <si>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</si>
  <si>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</si>
  <si>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</si>
  <si>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</si>
  <si>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</si>
  <si>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</si>
  <si>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</si>
  <si>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</si>
  <si>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</si>
  <si>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</si>
  <si>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</si>
  <si>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</si>
  <si>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</si>
  <si>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</si>
  <si>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</si>
  <si>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</si>
  <si>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</si>
  <si>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</si>
  <si>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</si>
  <si>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</si>
  <si>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</si>
  <si>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</si>
  <si>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</si>
  <si>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</si>
  <si>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</si>
  <si>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</si>
  <si>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</si>
  <si>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</si>
  <si>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</si>
  <si>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</si>
  <si>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</si>
  <si>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</si>
  <si>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</si>
  <si>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</si>
  <si>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</si>
  <si>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</si>
  <si>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</si>
  <si>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</si>
  <si>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</si>
  <si>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</si>
  <si>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</si>
  <si>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</si>
  <si>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</si>
  <si>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</si>
  <si>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</si>
  <si>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</si>
  <si>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</si>
  <si>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</si>
  <si>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</si>
  <si>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</si>
  <si>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</si>
  <si>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</si>
  <si>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</si>
  <si>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</si>
  <si>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</si>
  <si>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</si>
  <si>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</si>
  <si>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</si>
  <si>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</si>
  <si>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</si>
  <si>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</si>
  <si>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</si>
  <si>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</si>
  <si>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</si>
  <si>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</si>
  <si>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</si>
  <si>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</si>
  <si>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</si>
  <si>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</si>
  <si>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</si>
  <si>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</si>
  <si>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</si>
  <si>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</si>
  <si>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</si>
  <si>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</si>
  <si>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</si>
  <si>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</si>
  <si>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</si>
  <si>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</si>
  <si>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</si>
  <si>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</si>
  <si>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</si>
  <si>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</si>
  <si>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</si>
  <si>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</si>
  <si>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</si>
  <si>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</si>
  <si>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</si>
  <si>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</si>
  <si>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</si>
  <si>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</si>
  <si>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</si>
  <si>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</si>
  <si>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</si>
  <si>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</si>
  <si>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</si>
  <si>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</si>
  <si>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</si>
  <si>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</si>
  <si>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</si>
  <si>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</si>
  <si>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</si>
  <si>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</si>
  <si>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</si>
  <si>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</si>
  <si>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</si>
  <si>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</si>
  <si>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</si>
  <si>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</si>
  <si>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</si>
  <si>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</si>
  <si>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</si>
  <si>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</si>
  <si>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</si>
  <si>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</si>
  <si>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</si>
  <si>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</si>
  <si>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</si>
  <si>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</si>
  <si>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</si>
  <si>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</si>
  <si>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</si>
  <si>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</si>
  <si>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</si>
  <si>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</si>
  <si>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</si>
  <si>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</si>
  <si>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</si>
  <si>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</si>
  <si>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</si>
  <si>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</si>
  <si>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</si>
  <si>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</si>
  <si>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</si>
  <si>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</si>
  <si>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</si>
  <si>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</si>
  <si>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</si>
  <si>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</si>
  <si>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</si>
  <si>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</si>
  <si>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</si>
  <si>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</si>
  <si>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</si>
  <si>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</si>
  <si>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</si>
  <si>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</si>
  <si>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</si>
  <si>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</si>
  <si>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</si>
  <si>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</si>
  <si>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</si>
  <si>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</si>
  <si>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</si>
  <si>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</si>
  <si>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</si>
  <si>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</si>
  <si>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</si>
  <si>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</si>
  <si>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</si>
  <si>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</si>
  <si>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</si>
  <si>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</si>
  <si>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</si>
  <si>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</si>
  <si>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</si>
  <si>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</si>
  <si>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</si>
  <si>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</si>
  <si>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</si>
  <si>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</si>
  <si>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</si>
  <si>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</si>
  <si>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</si>
  <si>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</si>
  <si>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</si>
  <si>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</si>
  <si>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</si>
  <si>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</si>
  <si>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</si>
  <si>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</si>
  <si>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</si>
  <si>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</si>
  <si>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</si>
  <si>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</si>
  <si>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</si>
  <si>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</si>
  <si>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</si>
  <si>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</si>
  <si>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</si>
  <si>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</si>
  <si>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</si>
  <si>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</si>
  <si>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</si>
  <si>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</si>
  <si>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</si>
  <si>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</si>
  <si>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</si>
  <si>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</si>
  <si>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</si>
  <si>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</si>
  <si>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</si>
  <si>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</si>
  <si>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</si>
  <si>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</si>
  <si>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</si>
  <si>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</si>
  <si>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</si>
  <si>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</si>
  <si>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</si>
  <si>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</si>
  <si>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</si>
  <si>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</si>
  <si>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</si>
  <si>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</si>
  <si>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</si>
  <si>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</si>
  <si>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</si>
  <si>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</si>
  <si>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</si>
  <si>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</si>
  <si>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</si>
  <si>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</si>
  <si>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</si>
  <si>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</si>
  <si>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</si>
  <si>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</si>
  <si>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</si>
  <si>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</si>
  <si>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</si>
  <si>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</si>
  <si>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</si>
  <si>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</si>
  <si>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</si>
  <si>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</si>
  <si>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</si>
  <si>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</si>
  <si>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</si>
  <si>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</si>
  <si>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</si>
  <si>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</si>
  <si>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</si>
  <si>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</si>
  <si>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</si>
  <si>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</si>
  <si>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</si>
  <si>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</si>
  <si>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</si>
  <si>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</si>
  <si>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</si>
  <si>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</si>
  <si>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</si>
  <si>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</si>
  <si>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</si>
  <si>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</si>
  <si>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</si>
  <si>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</si>
  <si>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</si>
  <si>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</si>
  <si>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</si>
  <si>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</si>
  <si>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</si>
  <si>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</si>
  <si>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</si>
  <si>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</si>
  <si>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</si>
  <si>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</si>
  <si>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</si>
  <si>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</si>
  <si>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</si>
  <si>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</si>
  <si>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</si>
  <si>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</si>
  <si>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</si>
  <si>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</si>
  <si>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</si>
  <si>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</si>
  <si>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</si>
  <si>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</si>
  <si>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</si>
  <si>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</si>
  <si>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</si>
  <si>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</si>
  <si>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</si>
  <si>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</si>
  <si>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</si>
  <si>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</si>
  <si>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</si>
  <si>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</si>
  <si>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</si>
  <si>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</si>
  <si>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</si>
  <si>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</si>
  <si>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</si>
  <si>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</si>
  <si>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</si>
  <si>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</si>
  <si>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</si>
  <si>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</si>
  <si>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</si>
  <si>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</si>
  <si>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</si>
  <si>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</si>
  <si>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</si>
  <si>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</si>
  <si>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</si>
  <si>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</si>
  <si>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</si>
  <si>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</si>
  <si>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</si>
  <si>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</si>
  <si>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</si>
  <si>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</si>
  <si>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</si>
  <si>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</si>
  <si>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</si>
  <si>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</si>
  <si>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</si>
  <si>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</si>
  <si>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</si>
  <si>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</si>
  <si>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</si>
  <si>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</si>
  <si>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</si>
  <si>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</si>
  <si>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</si>
  <si>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</si>
  <si>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</si>
  <si>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</si>
  <si>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</si>
  <si>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</si>
  <si>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</si>
  <si>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</si>
  <si>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</si>
  <si>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</si>
  <si>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</si>
  <si>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</si>
  <si>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</si>
  <si>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</si>
  <si>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</si>
  <si>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</si>
  <si>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</si>
  <si>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</si>
  <si>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</si>
  <si>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</si>
  <si>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</si>
  <si>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</si>
  <si>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</si>
  <si>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</si>
  <si>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</si>
  <si>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</si>
  <si>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</si>
  <si>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</si>
  <si>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</si>
  <si>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</si>
  <si>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</si>
  <si>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</si>
  <si>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</si>
  <si>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</si>
  <si>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</si>
  <si>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</si>
  <si>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</si>
  <si>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</si>
  <si>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</si>
  <si>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</si>
  <si>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</si>
  <si>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</si>
  <si>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</si>
  <si>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</si>
  <si>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</si>
  <si>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</si>
  <si>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</si>
  <si>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</si>
  <si>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</si>
  <si>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</si>
  <si>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</si>
  <si>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</si>
  <si>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</si>
  <si>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</si>
  <si>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</si>
  <si>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</si>
  <si>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</si>
  <si>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</si>
  <si>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</si>
  <si>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</si>
  <si>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</si>
  <si>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</si>
  <si>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</si>
  <si>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</si>
  <si>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</si>
  <si>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</si>
  <si>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</si>
  <si>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</si>
  <si>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</si>
  <si>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</si>
  <si>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</si>
  <si>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</si>
  <si>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</si>
  <si>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</si>
  <si>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</si>
  <si>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</si>
  <si>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</si>
  <si>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</si>
  <si>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</si>
  <si>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</si>
  <si>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</si>
  <si>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</si>
  <si>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</si>
  <si>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</si>
  <si>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</si>
  <si>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</si>
  <si>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</si>
  <si>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</si>
  <si>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</si>
  <si>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</si>
  <si>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</si>
  <si>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</si>
  <si>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</si>
  <si>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</si>
  <si>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</si>
  <si>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</si>
  <si>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</si>
  <si>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</si>
  <si>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</si>
  <si>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</si>
  <si>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</si>
  <si>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</si>
  <si>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</si>
  <si>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</si>
  <si>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</si>
  <si>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</si>
  <si>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</si>
  <si>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</si>
  <si>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</si>
  <si>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</si>
  <si>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</si>
  <si>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</si>
  <si>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</si>
  <si>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</si>
  <si>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</si>
  <si>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</si>
  <si>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</si>
  <si>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</si>
  <si>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</si>
  <si>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</si>
  <si>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</si>
  <si>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</si>
  <si>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</si>
  <si>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</si>
  <si>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</si>
  <si>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</si>
  <si>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</si>
  <si>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</si>
  <si>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</si>
  <si>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</si>
  <si>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</si>
  <si>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</si>
  <si>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</si>
  <si>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</si>
  <si>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</si>
  <si>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</si>
  <si>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</si>
  <si>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</si>
  <si>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</si>
  <si>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</si>
  <si>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</si>
  <si>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</si>
  <si>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</si>
  <si>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</si>
  <si>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</si>
  <si>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</si>
  <si>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</si>
  <si>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</si>
  <si>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</si>
  <si>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</si>
  <si>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</si>
  <si>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</si>
  <si>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</si>
  <si>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</si>
  <si>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</si>
  <si>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</si>
  <si>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</si>
  <si>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</si>
  <si>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</si>
  <si>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</si>
  <si>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</si>
  <si>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</si>
  <si>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</si>
  <si>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</si>
  <si>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</si>
  <si>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</si>
  <si>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</si>
  <si>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</si>
  <si>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</si>
  <si>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</si>
  <si>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</si>
  <si>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</si>
  <si>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</si>
  <si>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</si>
  <si>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</si>
  <si>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</si>
  <si>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</si>
  <si>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</si>
  <si>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</si>
  <si>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</si>
  <si>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</si>
  <si>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</si>
  <si>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</si>
  <si>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</si>
  <si>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</si>
  <si>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</si>
  <si>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</si>
  <si>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</si>
  <si>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</si>
  <si>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</si>
  <si>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</si>
  <si>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</si>
  <si>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</si>
  <si>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</si>
  <si>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</si>
  <si>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</si>
  <si>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</si>
  <si>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</si>
  <si>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</si>
  <si>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</si>
  <si>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</si>
  <si>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</si>
  <si>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</si>
  <si>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</si>
  <si>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</si>
  <si>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</si>
  <si>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</si>
  <si>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</si>
  <si>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</si>
  <si>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</si>
  <si>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</si>
  <si>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</si>
  <si>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</si>
  <si>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</si>
  <si>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</si>
  <si>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</si>
  <si>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</si>
  <si>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</si>
  <si>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</si>
  <si>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</si>
  <si>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</si>
  <si>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</si>
  <si>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</si>
  <si>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</si>
  <si>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</si>
  <si>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</si>
  <si>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</si>
  <si>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</si>
  <si>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</si>
  <si>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</si>
  <si>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</si>
  <si>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</si>
  <si>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</si>
  <si>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</si>
  <si>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</si>
  <si>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</si>
  <si>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</si>
  <si>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</si>
  <si>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</si>
  <si>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</si>
  <si>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</si>
  <si>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</si>
  <si>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</si>
  <si>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</si>
  <si>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</si>
  <si>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</si>
  <si>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</si>
  <si>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</si>
  <si>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</si>
  <si>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</si>
  <si>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</si>
  <si>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</si>
  <si>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</si>
  <si>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</si>
  <si>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</si>
  <si>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</si>
  <si>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</si>
  <si>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</si>
  <si>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</si>
  <si>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</si>
  <si>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</si>
  <si>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</si>
  <si>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</si>
  <si>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</si>
  <si>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</si>
  <si>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</si>
  <si>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</si>
  <si>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</si>
  <si>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</si>
  <si>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</si>
  <si>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</si>
  <si>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</si>
  <si>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</si>
  <si>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</si>
  <si>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</si>
  <si>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</si>
  <si>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</si>
  <si>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</si>
  <si>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</si>
  <si>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</si>
  <si>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</si>
  <si>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</si>
  <si>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</si>
  <si>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</si>
  <si>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</si>
  <si>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</si>
  <si>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</si>
  <si>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</si>
  <si>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</si>
  <si>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</si>
  <si>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</si>
  <si>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</si>
  <si>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</si>
  <si>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</si>
  <si>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</si>
  <si>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</si>
  <si>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</si>
  <si>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</si>
  <si>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</si>
  <si>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</si>
  <si>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</si>
  <si>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</si>
  <si>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</si>
  <si>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</si>
  <si>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</si>
  <si>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</si>
  <si>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</si>
  <si>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</si>
  <si>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</si>
  <si>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</si>
  <si>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</si>
  <si>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</si>
  <si>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</si>
  <si>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</si>
  <si>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</si>
  <si>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</si>
  <si>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</si>
  <si>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</si>
  <si>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</si>
  <si>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</si>
  <si>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</si>
  <si>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</si>
  <si>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</si>
  <si>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</si>
  <si>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</si>
  <si>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</si>
  <si>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</si>
  <si>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</si>
  <si>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</si>
  <si>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</si>
  <si>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</si>
  <si>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</si>
  <si>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</si>
  <si>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</si>
  <si>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</si>
  <si>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</si>
  <si>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</si>
  <si>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</si>
  <si>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</si>
  <si>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</si>
  <si>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</si>
  <si>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</si>
  <si>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</si>
  <si>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</si>
  <si>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</si>
  <si>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</si>
  <si>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</si>
  <si>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</si>
  <si>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</si>
  <si>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</si>
  <si>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</si>
  <si>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</si>
  <si>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</si>
  <si>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</si>
  <si>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</si>
  <si>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</si>
  <si>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</si>
  <si>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</si>
  <si>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</si>
  <si>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</si>
  <si>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</si>
  <si>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</si>
  <si>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</si>
  <si>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</si>
  <si>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</si>
  <si>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</si>
  <si>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</si>
  <si>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</si>
  <si>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</si>
  <si>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</si>
  <si>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</si>
  <si>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</si>
  <si>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</si>
  <si>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</si>
  <si>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</si>
  <si>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</si>
  <si>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</si>
  <si>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</si>
  <si>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</si>
  <si>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</si>
  <si>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</si>
  <si>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</si>
  <si>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</si>
  <si>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</si>
  <si>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</si>
  <si>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</si>
  <si>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</si>
  <si>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</si>
  <si>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</si>
  <si>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</si>
  <si>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</si>
  <si>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</si>
  <si>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</si>
  <si>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</si>
  <si>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</si>
  <si>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</si>
  <si>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</si>
  <si>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</si>
  <si>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</si>
  <si>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</si>
  <si>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</si>
  <si>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</si>
  <si>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</si>
  <si>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</si>
  <si>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</si>
  <si>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</si>
  <si>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</si>
  <si>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</si>
  <si>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</si>
  <si>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</si>
  <si>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</si>
  <si>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</si>
  <si>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</si>
  <si>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</si>
  <si>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</si>
  <si>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</si>
  <si>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</si>
  <si>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</si>
  <si>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</si>
  <si>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</si>
  <si>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</si>
  <si>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</si>
  <si>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</si>
  <si>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</si>
  <si>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</si>
  <si>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</si>
  <si>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</si>
  <si>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</si>
  <si>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</si>
  <si>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</si>
  <si>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</si>
  <si>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</si>
  <si>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</si>
  <si>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</si>
  <si>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</si>
  <si>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</si>
  <si>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</si>
  <si>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</si>
  <si>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</si>
  <si>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</si>
  <si>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</si>
  <si>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</si>
  <si>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</si>
  <si>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</si>
  <si>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</si>
  <si>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</si>
  <si>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</si>
  <si>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</si>
  <si>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</si>
  <si>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</si>
  <si>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</si>
  <si>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</si>
  <si>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</si>
  <si>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</si>
  <si>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</si>
  <si>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</si>
  <si>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</si>
  <si>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</si>
  <si>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</si>
  <si>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</si>
  <si>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</si>
  <si>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</si>
  <si>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</si>
  <si>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</si>
  <si>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</si>
  <si>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</si>
  <si>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</si>
  <si>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</si>
  <si>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</si>
  <si>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</si>
  <si>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</si>
  <si>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</si>
  <si>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</si>
  <si>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</si>
  <si>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</si>
  <si>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</si>
  <si>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</si>
  <si>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</si>
  <si>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</si>
  <si>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</si>
  <si>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</si>
  <si>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</si>
  <si>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</si>
  <si>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</si>
  <si>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</si>
  <si>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</si>
  <si>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</si>
  <si>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</si>
  <si>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</si>
  <si>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</si>
  <si>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</si>
  <si>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</si>
  <si>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</si>
  <si>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</si>
  <si>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</si>
  <si>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</si>
  <si>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</si>
  <si>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</si>
  <si>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</si>
  <si>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</si>
  <si>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</si>
  <si>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</si>
  <si>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</si>
  <si>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</si>
  <si>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</si>
  <si>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</si>
  <si>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</si>
  <si>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</si>
  <si>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</si>
  <si>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</si>
  <si>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</si>
  <si>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</si>
  <si>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</si>
  <si>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</si>
  <si>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</si>
  <si>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</si>
  <si>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</si>
  <si>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</si>
  <si>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</si>
  <si>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</si>
  <si>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</si>
  <si>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</si>
  <si>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</si>
  <si>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</si>
  <si>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</si>
  <si>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</si>
  <si>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</si>
  <si>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</si>
  <si>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</si>
  <si>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</si>
  <si>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</si>
  <si>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</si>
  <si>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</si>
  <si>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</si>
  <si>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</si>
  <si>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</si>
  <si>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</si>
  <si>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</si>
  <si>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</si>
  <si>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</si>
  <si>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</si>
  <si>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</si>
  <si>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</si>
  <si>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</si>
  <si>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</si>
  <si>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</si>
  <si>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</si>
  <si>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</si>
  <si>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</si>
  <si>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</si>
  <si>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</si>
  <si>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</si>
  <si>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</si>
  <si>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</si>
  <si>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</si>
  <si>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</si>
  <si>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</si>
  <si>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</si>
  <si>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</si>
  <si>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</si>
  <si>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</si>
  <si>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</si>
  <si>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</si>
  <si>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</si>
  <si>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</si>
  <si>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</si>
  <si>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</si>
  <si>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</si>
  <si>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</si>
  <si>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</si>
  <si>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</si>
  <si>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</si>
  <si>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</si>
  <si>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</si>
  <si>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</si>
  <si>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</si>
  <si>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</si>
  <si>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</si>
  <si>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</si>
  <si>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</si>
  <si>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</si>
  <si>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</si>
  <si>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</si>
  <si>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</si>
  <si>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</si>
  <si>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</si>
  <si>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</si>
  <si>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</si>
  <si>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</si>
  <si>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</si>
  <si>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</si>
  <si>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</si>
  <si>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</si>
  <si>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</si>
  <si>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</si>
  <si>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</si>
  <si>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</si>
  <si>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</si>
  <si>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</si>
  <si>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</si>
  <si>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</si>
  <si>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</si>
  <si>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</si>
  <si>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</si>
  <si>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</si>
  <si>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</si>
  <si>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</si>
  <si>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</si>
  <si>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</si>
  <si>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</si>
  <si>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</si>
  <si>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</si>
  <si>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</si>
  <si>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</si>
  <si>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</si>
  <si>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</si>
  <si>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</si>
  <si>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</si>
  <si>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</si>
  <si>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</si>
  <si>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</si>
  <si>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</si>
  <si>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</si>
  <si>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</si>
  <si>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</si>
  <si>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</si>
  <si>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</si>
  <si>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</si>
  <si>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</si>
  <si>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</si>
  <si>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</si>
  <si>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</si>
  <si>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</si>
  <si>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</si>
  <si>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</si>
  <si>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</si>
  <si>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</si>
  <si>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</si>
  <si>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</si>
  <si>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</si>
  <si>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</si>
  <si>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</si>
  <si>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</si>
  <si>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</si>
  <si>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</si>
  <si>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</si>
  <si>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</si>
  <si>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</si>
  <si>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</si>
  <si>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</si>
  <si>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</si>
  <si>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</si>
  <si>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</si>
  <si>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</si>
  <si>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</si>
  <si>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</si>
  <si>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</si>
  <si>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</si>
  <si>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</si>
  <si>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</si>
  <si>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</si>
  <si>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</si>
  <si>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</si>
  <si>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</si>
  <si>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</si>
  <si>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</si>
  <si>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</si>
  <si>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</si>
  <si>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</si>
  <si>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</si>
  <si>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</si>
  <si>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</si>
  <si>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Connector Header Through Hole 8 position 0.100" (2.54mm)</t>
  </si>
  <si>
    <t>WM4206-ND</t>
  </si>
  <si>
    <t>0022232081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</si>
</sst>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21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20"/>
      <tableStyleElement type="headerRow" dxfId="31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71" totalsRowShown="0" headerRowDxfId="318">
  <autoFilter ref="A1:F771" xr:uid="{BDAE12D6-129D-4B55-B01B-D1493E590308}"/>
  <tableColumns count="6">
    <tableColumn id="1" xr3:uid="{F20AB9A4-F1CA-4493-AFCA-1ECFD6C72926}" name="Date" dataDxfId="317"/>
    <tableColumn id="2" xr3:uid="{9E5C5770-C960-45BB-8115-75DB62A3B16C}" name="Article Number" dataDxfId="316"/>
    <tableColumn id="5" xr3:uid="{16BFD56B-B56A-4848-9201-68C2F28CFA64}" name="Modification" dataDxfId="315"/>
    <tableColumn id="3" xr3:uid="{10BA92E7-A8AC-46B9-9939-48EDBF630513}" name="Stock Before" dataDxfId="314"/>
    <tableColumn id="4" xr3:uid="{89A58CF5-EDCB-4EF1-963E-E9EB1A0CCFEF}" name="Stock After" dataDxfId="313"/>
    <tableColumn id="6" xr3:uid="{FF179CF1-10A5-4445-94E5-D3770F8EB2DA}" name="INFO" dataDxfId="3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11" dataDxfId="309" headerRowBorderDxfId="310" tableBorderDxfId="308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07" totalsRowDxfId="306"/>
    <tableColumn id="1" xr3:uid="{B10D53AF-03D1-4287-B98C-B2EBD99019D4}" name="Ret. Art. Number" dataDxfId="305" totalsRowDxfId="304"/>
    <tableColumn id="3" xr3:uid="{4C487402-2AAB-4AF3-BE67-7394C36C842C}" name="Manufacturer" dataDxfId="303" totalsRowDxfId="302"/>
    <tableColumn id="4" xr3:uid="{8EC0DC8E-76AD-4B9F-83B7-1A0DD14BB27F}" name="Retailer" dataDxfId="301" totalsRowDxfId="300"/>
    <tableColumn id="5" xr3:uid="{F034F88F-58E3-461F-AA98-A329A317450C}" name="Place" dataDxfId="299" totalsRowDxfId="298"/>
    <tableColumn id="6" xr3:uid="{270626A5-5AC9-4B4B-BFA1-CB61FB278FF7}" name="Description" dataDxfId="297" totalsRowDxfId="296"/>
    <tableColumn id="7" xr3:uid="{6AED47F2-55E6-446F-831B-A118A7B0B1ED}" name="In stock" dataDxfId="295" totalsRowDxfId="294"/>
    <tableColumn id="8" xr3:uid="{AC92F839-E54E-493C-ABE5-5E0757E61859}" name="Min Stock" dataDxfId="293" totalsRowDxfId="292"/>
    <tableColumn id="11" xr3:uid="{FA19872E-A366-497E-9D69-828A97ECF042}" name="Unit price" dataDxfId="291" totalsRowDxfId="290"/>
    <tableColumn id="13" xr3:uid="{EA825846-8448-46C3-B6A4-847B2F364E4E}" name="Quantity" dataDxfId="289" totalsRowDxfId="288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87" totalsRowDxfId="286">
      <calculatedColumnFormula>Table8[[#This Row],[Quantity]]*Table8[[#This Row],[Unit price]]</calculatedColumnFormula>
    </tableColumn>
    <tableColumn id="9" xr3:uid="{CF148814-A309-4554-8503-283AD3C9BC12}" name="Bulk Add" dataDxfId="285" totalsRowDxfId="284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68" totalsRowShown="0" headerRowDxfId="274" dataDxfId="273" tableBorderDxfId="272">
  <autoFilter ref="A1:AC1068" xr:uid="{D4CB05D4-73DA-43F1-913F-071595400883}"/>
  <tableColumns count="29">
    <tableColumn id="1" xr3:uid="{435165AF-465B-418C-8DDE-9CFA2D278BBE}" name="Art. Number" dataDxfId="271" totalsRowDxfId="270"/>
    <tableColumn id="2" xr3:uid="{FBC6B9C9-57F8-45DA-AF22-C249E2B185F4}" name="Manufacturer" dataDxfId="269" totalsRowDxfId="268"/>
    <tableColumn id="3" xr3:uid="{288AF9C9-A6A1-4913-A84A-1B41F0951CD7}" name="Place" dataDxfId="267" totalsRowDxfId="266"/>
    <tableColumn id="4" xr3:uid="{991CB349-C1A2-4024-AD86-41FE070F01AA}" name="Description" dataDxfId="265" totalsRowDxfId="264"/>
    <tableColumn id="28" xr3:uid="{2D19DEDD-0807-4720-910B-711676B70DD0}" name="Category" dataDxfId="263"/>
    <tableColumn id="5" xr3:uid="{AF531B20-C2C7-43E4-88F6-C002EAFA6EF0}" name="In stock" dataDxfId="262" totalsRowDxfId="261"/>
    <tableColumn id="6" xr3:uid="{4AE22FEC-1D74-4166-880B-DE3C3B0F48C3}" name="Min in stock" dataDxfId="260" totalsRowDxfId="259"/>
    <tableColumn id="7" xr3:uid="{DDF25EC9-10A6-4A51-A3FF-5F173DC0429C}" name="Auto Order" dataDxfId="258" totalsRowDxfId="257"/>
    <tableColumn id="8" xr3:uid="{8FB77B6F-1796-445F-A628-6683E80A406B}" name="Default Art. Number" dataDxfId="256" totalsRowDxfId="25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54" totalsRowDxfId="25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52" totalsRowDxfId="251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50" totalsRowDxfId="249"/>
    <tableColumn id="11" xr3:uid="{904ACEAE-3EBB-4B5A-B40F-F27BEC67197D}" name="Unit price - Digikey" dataDxfId="248" totalsRowDxfId="247"/>
    <tableColumn id="12" xr3:uid="{1C8E6FC8-F976-4331-BE85-AE9F5CCE5385}" name="Farnell" dataDxfId="246" totalsRowDxfId="245"/>
    <tableColumn id="13" xr3:uid="{9CEB0B0D-E776-4EE1-BA17-F20F36573DF1}" name="Unit price - Farnell" dataDxfId="244" totalsRowDxfId="243"/>
    <tableColumn id="14" xr3:uid="{4835AE8C-6AA4-4E3D-AA3C-47D081785B10}" name="Distrelec" dataDxfId="242" totalsRowDxfId="241"/>
    <tableColumn id="15" xr3:uid="{CFC19F72-EB6A-4DA4-8140-6E03AC8C87E2}" name="Unit price - Distrelec" dataDxfId="240" totalsRowDxfId="239"/>
    <tableColumn id="16" xr3:uid="{440F2FEC-A527-4DB9-8F02-E02C455DD168}" name="Conrad" dataDxfId="238" totalsRowDxfId="237"/>
    <tableColumn id="17" xr3:uid="{C15F9ED7-FCDD-4ED8-8193-766AD4AACE12}" name="Unit price - Conrad" dataDxfId="236" totalsRowDxfId="235"/>
    <tableColumn id="18" xr3:uid="{E8BE4F49-80E3-4D58-8712-2588048DD5B2}" name="Mouser" dataDxfId="234" totalsRowDxfId="233"/>
    <tableColumn id="19" xr3:uid="{71B82CF1-AA7C-485A-B22F-DFCA002E3E0B}" name="Unit price - Mouser" dataDxfId="232" totalsRowDxfId="231"/>
    <tableColumn id="20" xr3:uid="{B372D927-D0BD-4305-A32A-0C014ACEEBAB}" name="Aliexpress" dataDxfId="230" totalsRowDxfId="229"/>
    <tableColumn id="21" xr3:uid="{56A9B167-940C-4D6B-8B5D-F91623F90BD6}" name="Unit price - Aliexpress" dataDxfId="228" totalsRowDxfId="227"/>
    <tableColumn id="22" xr3:uid="{2E67C835-F42C-4886-A3E6-A86A66CF03DE}" name="Banggood" dataDxfId="226" totalsRowDxfId="225"/>
    <tableColumn id="23" xr3:uid="{96EE1B48-7059-4798-A1ED-B830DB9D7D70}" name="Unit price - Banggood" dataDxfId="224" totalsRowDxfId="223"/>
    <tableColumn id="29" xr3:uid="{D6F9B11D-16CF-4797-AFD2-F208CE8FD675}" name="Other - Name" dataDxfId="222" totalsRowDxfId="221"/>
    <tableColumn id="24" xr3:uid="{DFC2A0A6-4951-479C-8775-526D9FDB26B4}" name="Other" dataDxfId="220" totalsRowDxfId="219"/>
    <tableColumn id="25" xr3:uid="{09619815-DA2C-43CD-A998-2BAAC30ACE14}" name="Unit price - Other" dataDxfId="218" totalsRowDxfId="217"/>
    <tableColumn id="26" xr3:uid="{CBAAFE5B-29D9-4E86-8241-3FA6E46052BB}" name="In next order" dataDxfId="216" totalsRowDxfId="215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09" dataDxfId="207" headerRowBorderDxfId="208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06" totalsRowDxfId="205"/>
    <tableColumn id="5" xr3:uid="{E0A4C7BE-9780-40B2-9139-D4958FD92F57}" name="Description" dataDxfId="204" totalsRowDxfId="203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2" totalsRowDxfId="201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0" totalsRowDxfId="199"/>
    <tableColumn id="8" xr3:uid="{DE9DE279-0ECD-46C6-B40F-146EE0CF2811}" name="Quantity" dataDxfId="198" totalsRowDxfId="197"/>
    <tableColumn id="6" xr3:uid="{9281657B-B3CE-4A4B-90BB-A2508C24B80E}" name="In stock" dataDxfId="196" totalsRowDxfId="195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4" totalsRowDxfId="19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2" totalsRowDxfId="191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0" totalsRowDxfId="189">
      <calculatedColumnFormula>Table14113[[#This Row],[Quantity]]*$M$1</calculatedColumnFormula>
    </tableColumn>
    <tableColumn id="4" xr3:uid="{21625822-F558-4C24-A1DF-CA1415AF72CC}" name="Total available" dataDxfId="188" totalsRowDxfId="187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82" dataDxfId="180" headerRowBorderDxfId="181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79" totalsRowDxfId="178"/>
    <tableColumn id="5" xr3:uid="{0807D2E3-C08E-4A05-95EC-685278834536}" name="Description" dataDxfId="177" totalsRowDxfId="17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75" totalsRowDxfId="174"/>
    <tableColumn id="8" xr3:uid="{27D63D9B-1923-4857-A374-5FF3D8D6B64C}" name="Quantity" dataDxfId="173" totalsRowDxfId="172"/>
    <tableColumn id="6" xr3:uid="{39724770-BCF0-4F8C-A311-212B97612672}" name="In stock" dataDxfId="171" totalsRowDxfId="17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9" totalsRowDxfId="168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7" totalsRowDxfId="166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5" totalsRowDxfId="164">
      <calculatedColumnFormula>Table1411[[#This Row],[Quantity]]*$L$1</calculatedColumnFormula>
    </tableColumn>
    <tableColumn id="4" xr3:uid="{CEA2F06F-2F21-492E-B2A3-DF977A078F50}" name="Total available" dataDxfId="163" totalsRowDxfId="16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7" dataDxfId="155" headerRowBorderDxfId="156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54" totalsRowDxfId="153"/>
    <tableColumn id="5" xr3:uid="{B1418FC9-8422-4A82-9D50-1C20CEF4A1DB}" name="Description" dataDxfId="152" totalsRowDxfId="151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Row],[Quantity]]*$L$1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32" dataDxfId="130" headerRowBorderDxfId="131">
  <autoFilter ref="A1:I15" xr:uid="{06E2CB8E-61AB-472E-BCF2-E6E1E6F7BC5B}"/>
  <tableColumns count="9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25" totalsRowDxfId="124"/>
    <tableColumn id="8" xr3:uid="{79E97D26-BF86-43B2-AEF5-CE725327DF74}" name="Quantity" dataDxfId="123" totalsRowDxfId="122"/>
    <tableColumn id="6" xr3:uid="{55CA5BD7-34A5-4A62-9044-29A0D9B81880}" name="In stock" dataDxfId="121" totalsRowDxfId="120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9" totalsRowDxfId="118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7" totalsRowDxfId="116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5" totalsRowDxfId="114">
      <calculatedColumnFormula>Table146[[#This Row],[Quantity]]*$L$1</calculatedColumnFormula>
    </tableColumn>
    <tableColumn id="4" xr3:uid="{04D63216-7DC3-4D59-A043-09BBD0852B90}" name="Total available" dataDxfId="113" totalsRowDxfId="11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07" dataDxfId="105" headerRowBorderDxfId="106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04" totalsRowDxfId="103"/>
    <tableColumn id="5" xr3:uid="{8149F83F-B4D5-4C51-A87E-B863B43D92B1}" name="Description" dataDxfId="102" totalsRowDxfId="101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00" totalsRowDxfId="99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8" totalsRowDxfId="97"/>
    <tableColumn id="8" xr3:uid="{4A2F7A9A-01D2-44CD-B775-ECE675E39975}" name="Quantity" dataDxfId="96" totalsRowDxfId="95"/>
    <tableColumn id="6" xr3:uid="{E35C4648-7918-49E6-8585-13FE1A3EB382}" name="In stock" dataDxfId="94" totalsRowDxfId="93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2" totalsRowDxfId="91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90" totalsRowDxfId="89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8" totalsRowDxfId="87">
      <calculatedColumnFormula>Table14681012[[#This Row],[Quantity]]*$M$1</calculatedColumnFormula>
    </tableColumn>
    <tableColumn id="4" xr3:uid="{B277331F-9B8C-48C1-AF3B-39B0DF714F6F}" name="Total available" dataDxfId="86" totalsRowDxfId="85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80" dataDxfId="78" headerRowBorderDxfId="79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7" totalsRowDxfId="76"/>
    <tableColumn id="5" xr3:uid="{EE74CBB7-B4AE-4E4F-A276-4111D2262064}" name="Description" dataDxfId="75" totalsRowDxfId="74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73" totalsRowDxfId="72"/>
    <tableColumn id="8" xr3:uid="{C50EC552-0304-4799-AAF5-38B8D35A381E}" name="Quantity" dataDxfId="71" totalsRowDxfId="70"/>
    <tableColumn id="6" xr3:uid="{F740468C-0E09-4D56-BD5D-693ECC8337EF}" name="In stock" dataDxfId="69" totalsRowDxfId="68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7" totalsRowDxfId="66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5" totalsRowDxfId="64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63" totalsRowDxfId="62">
      <calculatedColumnFormula>Table146810[[#This Row],[Quantity]]*$L$1</calculatedColumnFormula>
    </tableColumn>
    <tableColumn id="4" xr3:uid="{562176AD-2473-43BF-B998-A5B71A21527C}" name="Total available" dataDxfId="61" totalsRowDxfId="6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71"/>
  <sheetViews>
    <sheetView workbookViewId="0">
      <pane ySplit="1" topLeftCell="A744" activePane="bottomLeft" state="frozen"/>
      <selection pane="bottomLeft" activeCell="B767" sqref="B767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3551</v>
      </c>
      <c r="C771" s="12" t="s">
        <v>315</v>
      </c>
      <c r="D771" s="12">
        <v>0</v>
      </c>
      <c r="E771" s="12" t="s">
        <v>315</v>
      </c>
      <c r="F771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75" t="s">
        <v>475</v>
      </c>
      <c r="G2" s="18" t="s">
        <v>484</v>
      </c>
      <c r="J2" s="18" t="s">
        <v>483</v>
      </c>
    </row>
    <row r="3" spans="1:11" x14ac:dyDescent="0.25">
      <c r="B3" s="75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75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75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75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75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75" t="s">
        <v>478</v>
      </c>
      <c r="J11" t="s">
        <v>438</v>
      </c>
    </row>
    <row r="12" spans="1:11" x14ac:dyDescent="0.25">
      <c r="A12" s="36"/>
      <c r="B12" s="75"/>
      <c r="J12" t="s">
        <v>439</v>
      </c>
    </row>
    <row r="13" spans="1:11" x14ac:dyDescent="0.25">
      <c r="J13" t="s">
        <v>440</v>
      </c>
    </row>
    <row r="14" spans="1:11" x14ac:dyDescent="0.25">
      <c r="B14" s="75" t="s">
        <v>554</v>
      </c>
      <c r="J14" t="s">
        <v>441</v>
      </c>
    </row>
    <row r="15" spans="1:11" x14ac:dyDescent="0.25">
      <c r="B15" s="75"/>
    </row>
    <row r="17" spans="2:2" x14ac:dyDescent="0.25">
      <c r="B17" s="75" t="s">
        <v>3368</v>
      </c>
    </row>
    <row r="18" spans="2:2" x14ac:dyDescent="0.25">
      <c r="B18" s="7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68"/>
  <sheetViews>
    <sheetView tabSelected="1" zoomScaleNormal="100" workbookViewId="0">
      <pane ySplit="1" topLeftCell="A1065" activePane="bottomLeft" state="frozen"/>
      <selection activeCell="B186" sqref="B186"/>
      <selection pane="bottomLeft" activeCell="D1079" sqref="D1079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50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50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50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50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50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50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50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9" t="s">
        <v>3538</v>
      </c>
      <c r="B1065" s="69" t="s">
        <v>3439</v>
      </c>
      <c r="C1065" s="69" t="s">
        <v>335</v>
      </c>
      <c r="D1065" s="69" t="s">
        <v>3539</v>
      </c>
      <c r="E1065" s="69" t="s">
        <v>3441</v>
      </c>
      <c r="F1065" s="70">
        <v>0</v>
      </c>
      <c r="G1065" s="70"/>
      <c r="H1065" s="70"/>
      <c r="I1065" s="69" t="s">
        <v>3532</v>
      </c>
      <c r="J1065" s="71">
        <v>0.53</v>
      </c>
      <c r="K1065" s="72" t="s">
        <v>78</v>
      </c>
      <c r="L1065" s="69" t="s">
        <v>3540</v>
      </c>
      <c r="M1065" s="73">
        <v>5.05</v>
      </c>
      <c r="N1065" s="69"/>
      <c r="O1065" s="73"/>
      <c r="P1065" s="69"/>
      <c r="Q1065" s="73"/>
      <c r="R1065" s="69"/>
      <c r="S1065" s="73"/>
      <c r="T1065" s="69"/>
      <c r="U1065" s="73"/>
      <c r="V1065" s="69"/>
      <c r="W1065" s="73"/>
      <c r="X1065" s="69"/>
      <c r="Y1065" s="73"/>
      <c r="Z1065" s="73"/>
      <c r="AA1065" s="74"/>
      <c r="AB1065" s="71"/>
      <c r="AC1065" s="72" t="s">
        <v>3547</v>
      </c>
    </row>
    <row r="1066" spans="1:29" x14ac:dyDescent="0.25">
      <c r="A1066" s="49" t="s">
        <v>3541</v>
      </c>
      <c r="B1066" s="69" t="s">
        <v>3542</v>
      </c>
      <c r="C1066" s="69" t="s">
        <v>335</v>
      </c>
      <c r="D1066" s="69" t="s">
        <v>3543</v>
      </c>
      <c r="E1066" s="69" t="s">
        <v>3544</v>
      </c>
      <c r="F1066" s="70">
        <v>0</v>
      </c>
      <c r="G1066" s="70"/>
      <c r="H1066" s="70"/>
      <c r="I1066" s="69" t="s">
        <v>3546</v>
      </c>
      <c r="J1066" s="71">
        <v>1.8</v>
      </c>
      <c r="K1066" s="72" t="s">
        <v>78</v>
      </c>
      <c r="L1066" s="69" t="s">
        <v>3545</v>
      </c>
      <c r="M1066" s="73">
        <v>2.13</v>
      </c>
      <c r="N1066" s="69"/>
      <c r="O1066" s="73"/>
      <c r="P1066" s="69"/>
      <c r="Q1066" s="73"/>
      <c r="R1066" s="69"/>
      <c r="S1066" s="73"/>
      <c r="T1066" s="69"/>
      <c r="U1066" s="73"/>
      <c r="V1066" s="69"/>
      <c r="W1066" s="73"/>
      <c r="X1066" s="69"/>
      <c r="Y1066" s="73"/>
      <c r="Z1066" s="73"/>
      <c r="AA1066" s="74"/>
      <c r="AB1066" s="71"/>
      <c r="AC1066" s="72" t="s">
        <v>3547</v>
      </c>
    </row>
    <row r="1067" spans="1:29" x14ac:dyDescent="0.25">
      <c r="A1067" s="50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  <row r="1068" spans="1:29" x14ac:dyDescent="0.25">
      <c r="A1068" s="50">
        <v>22232081</v>
      </c>
      <c r="B1068" s="33" t="s">
        <v>3548</v>
      </c>
      <c r="C1068" s="33" t="s">
        <v>335</v>
      </c>
      <c r="D1068" s="33" t="s">
        <v>3549</v>
      </c>
      <c r="E1068" s="33" t="s">
        <v>522</v>
      </c>
      <c r="F1068" s="45">
        <v>0</v>
      </c>
      <c r="G1068" s="45"/>
      <c r="H1068" s="45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10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3550</v>
      </c>
      <c r="M1068" s="41">
        <v>0.54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7" t="str">
        <f>IF(Table1[[#This Row],[Auto Order]]=1,IF(Table1[[#This Row],[In stock]]&lt;Table1[[#This Row],[Min in stock]],1,""),"")</f>
        <v/>
      </c>
    </row>
  </sheetData>
  <dataConsolidate/>
  <conditionalFormatting sqref="AC1:AC1064 AC1067:AC1048576">
    <cfRule type="cellIs" dxfId="283" priority="66" operator="equal">
      <formula>1</formula>
    </cfRule>
  </conditionalFormatting>
  <conditionalFormatting sqref="A1:A1064 A1067:A1048576">
    <cfRule type="duplicateValues" dxfId="282" priority="7"/>
  </conditionalFormatting>
  <conditionalFormatting sqref="F1:F1064 F1067:F1048576">
    <cfRule type="containsBlanks" priority="9" stopIfTrue="1">
      <formula>LEN(TRIM(F1))=0</formula>
    </cfRule>
    <cfRule type="cellIs" dxfId="281" priority="26" operator="lessThan">
      <formula>$G1</formula>
    </cfRule>
  </conditionalFormatting>
  <conditionalFormatting sqref="F1">
    <cfRule type="cellIs" dxfId="280" priority="15" stopIfTrue="1" operator="equal">
      <formula>"In stock"</formula>
    </cfRule>
  </conditionalFormatting>
  <conditionalFormatting sqref="E1:E1064 E1067:E1048576">
    <cfRule type="containsText" dxfId="279" priority="6" operator="containsText" text="N/A">
      <formula>NOT(ISERROR(SEARCH("N/A",E1)))</formula>
    </cfRule>
  </conditionalFormatting>
  <conditionalFormatting sqref="AC1065:AC1066">
    <cfRule type="cellIs" dxfId="278" priority="5" operator="equal">
      <formula>1</formula>
    </cfRule>
  </conditionalFormatting>
  <conditionalFormatting sqref="A1065:A1066">
    <cfRule type="duplicateValues" dxfId="277" priority="2"/>
  </conditionalFormatting>
  <conditionalFormatting sqref="F1065:F1066">
    <cfRule type="containsBlanks" priority="3" stopIfTrue="1">
      <formula>LEN(TRIM(F1065))=0</formula>
    </cfRule>
    <cfRule type="cellIs" dxfId="276" priority="4" operator="lessThan">
      <formula>$G1065</formula>
    </cfRule>
  </conditionalFormatting>
  <conditionalFormatting sqref="E1065:E1066">
    <cfRule type="containsText" dxfId="275" priority="1" operator="containsText" text="N/A">
      <formula>NOT(ISERROR(SEARCH("N/A",E1065)))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10" activePane="bottomLeft" state="frozen"/>
      <selection activeCell="B6" sqref="B6"/>
      <selection pane="bottomLeft" activeCell="D43" sqref="D4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214" priority="4"/>
  </conditionalFormatting>
  <conditionalFormatting sqref="G1:H1048576 J1:J1048576">
    <cfRule type="containsText" dxfId="213" priority="5" operator="containsText" text="NO">
      <formula>NOT(ISERROR(SEARCH("NO",G1)))</formula>
    </cfRule>
  </conditionalFormatting>
  <conditionalFormatting sqref="N1">
    <cfRule type="cellIs" dxfId="212" priority="2" stopIfTrue="1" operator="equal">
      <formula>"Locked"</formula>
    </cfRule>
    <cfRule type="cellIs" dxfId="211" priority="3" stopIfTrue="1" operator="equal">
      <formula>"Unlocked"</formula>
    </cfRule>
  </conditionalFormatting>
  <conditionalFormatting sqref="A6">
    <cfRule type="duplicateValues" dxfId="210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186" priority="5"/>
  </conditionalFormatting>
  <conditionalFormatting sqref="F1:G1048576 I1:I1048576">
    <cfRule type="containsText" dxfId="185" priority="6" operator="containsText" text="NO">
      <formula>NOT(ISERROR(SEARCH("NO",F1)))</formula>
    </cfRule>
  </conditionalFormatting>
  <conditionalFormatting sqref="M1">
    <cfRule type="cellIs" dxfId="184" priority="1" stopIfTrue="1" operator="equal">
      <formula>"Locked"</formula>
    </cfRule>
    <cfRule type="cellIs" dxfId="18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161" priority="3"/>
  </conditionalFormatting>
  <conditionalFormatting sqref="F1:G1048576 I1:I1048576">
    <cfRule type="containsText" dxfId="160" priority="4" operator="containsText" text="NO">
      <formula>NOT(ISERROR(SEARCH("NO",F1)))</formula>
    </cfRule>
  </conditionalFormatting>
  <conditionalFormatting sqref="M1">
    <cfRule type="cellIs" dxfId="159" priority="1" stopIfTrue="1" operator="equal">
      <formula>"Locked"</formula>
    </cfRule>
    <cfRule type="cellIs" dxfId="158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6" priority="5" operator="containsText" text="NO">
      <formula>NOT(ISERROR(SEARCH("NO",F1)))</formula>
    </cfRule>
  </conditionalFormatting>
  <conditionalFormatting sqref="A1:A1048576">
    <cfRule type="duplicateValues" dxfId="135" priority="3"/>
  </conditionalFormatting>
  <conditionalFormatting sqref="M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111" priority="4" operator="containsText" text="NO">
      <formula>NOT(ISERROR(SEARCH("NO",G1)))</formula>
    </cfRule>
  </conditionalFormatting>
  <conditionalFormatting sqref="A1:A1048576">
    <cfRule type="duplicateValues" dxfId="110" priority="3"/>
  </conditionalFormatting>
  <conditionalFormatting sqref="N1">
    <cfRule type="cellIs" dxfId="109" priority="1" stopIfTrue="1" operator="equal">
      <formula>"Locked"</formula>
    </cfRule>
    <cfRule type="cellIs" dxfId="108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4" priority="7" operator="containsText" text="NO">
      <formula>NOT(ISERROR(SEARCH("NO",F1)))</formula>
    </cfRule>
  </conditionalFormatting>
  <conditionalFormatting sqref="A1:A1048576">
    <cfRule type="duplicateValues" dxfId="83" priority="5"/>
  </conditionalFormatting>
  <conditionalFormatting sqref="M1">
    <cfRule type="cellIs" dxfId="82" priority="2" stopIfTrue="1" operator="equal">
      <formula>"Locked"</formula>
    </cfRule>
    <cfRule type="cellIs" dxfId="81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59" priority="8" operator="containsText" text="NO">
      <formula>NOT(ISERROR(SEARCH("NO",G1)))</formula>
    </cfRule>
  </conditionalFormatting>
  <conditionalFormatting sqref="A11:A1048576 A1 A4:A5 A7:A8">
    <cfRule type="duplicateValues" dxfId="58" priority="7"/>
  </conditionalFormatting>
  <conditionalFormatting sqref="N1">
    <cfRule type="cellIs" dxfId="57" priority="5" stopIfTrue="1" operator="equal">
      <formula>"Locked"</formula>
    </cfRule>
    <cfRule type="cellIs" dxfId="56" priority="6" stopIfTrue="1" operator="equal">
      <formula>"Unlocked"</formula>
    </cfRule>
  </conditionalFormatting>
  <conditionalFormatting sqref="A2">
    <cfRule type="duplicateValues" dxfId="55" priority="4"/>
  </conditionalFormatting>
  <conditionalFormatting sqref="A3">
    <cfRule type="duplicateValues" dxfId="54" priority="3"/>
  </conditionalFormatting>
  <conditionalFormatting sqref="A6">
    <cfRule type="duplicateValues" dxfId="53" priority="2"/>
  </conditionalFormatting>
  <conditionalFormatting sqref="A9">
    <cfRule type="duplicateValues" dxfId="52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6" t="s">
        <v>336</v>
      </c>
      <c r="B2" s="76"/>
      <c r="C2" s="76"/>
      <c r="D2" s="76"/>
      <c r="F2" s="77" t="str">
        <f>IF(ISNUMBER(C5),"","Man. Number must be set")</f>
        <v/>
      </c>
      <c r="G2" s="77"/>
      <c r="H2" s="77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2019-07-02T16:31:39Z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