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460DD50A-4EF4-4B8B-A620-8F06F720CD87}" xr6:coauthVersionLast="43" xr6:coauthVersionMax="43" xr10:uidLastSave="{00000000-0000-0000-0000-000000000000}"/>
  <bookViews>
    <workbookView xWindow="-120" yWindow="-120" windowWidth="29040" windowHeight="15990" firstSheet="2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Order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4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67" i="19" l="1"/>
  <c r="J967" i="19"/>
  <c r="K967" i="19"/>
  <c r="AC967" i="19"/>
  <c r="I988" i="19"/>
  <c r="J988" i="19"/>
  <c r="K988" i="19"/>
  <c r="AC988" i="19"/>
  <c r="I948" i="19"/>
  <c r="J948" i="19"/>
  <c r="K948" i="19"/>
  <c r="AC948" i="19"/>
  <c r="I135" i="19"/>
  <c r="J135" i="19"/>
  <c r="K135" i="19"/>
  <c r="AC135" i="19"/>
  <c r="I137" i="19"/>
  <c r="J137" i="19"/>
  <c r="K137" i="19"/>
  <c r="AC137" i="19"/>
  <c r="I999" i="19"/>
  <c r="J999" i="19"/>
  <c r="K999" i="19"/>
  <c r="AC999" i="19"/>
  <c r="I985" i="19"/>
  <c r="J985" i="19"/>
  <c r="K985" i="19"/>
  <c r="AC985" i="19"/>
  <c r="I1018" i="19"/>
  <c r="J1018" i="19"/>
  <c r="K1018" i="19"/>
  <c r="AC1018" i="19"/>
  <c r="I953" i="19"/>
  <c r="J953" i="19"/>
  <c r="K953" i="19"/>
  <c r="AC953" i="19"/>
  <c r="I1009" i="19"/>
  <c r="J1009" i="19"/>
  <c r="K1009" i="19"/>
  <c r="AC1009" i="19"/>
  <c r="I1014" i="19"/>
  <c r="J1014" i="19"/>
  <c r="K1014" i="19"/>
  <c r="AC1014" i="19"/>
  <c r="I1020" i="19"/>
  <c r="J1020" i="19"/>
  <c r="K1020" i="19"/>
  <c r="AC1020" i="19"/>
  <c r="I169" i="19"/>
  <c r="J169" i="19"/>
  <c r="K169" i="19"/>
  <c r="AC169" i="19"/>
  <c r="I1028" i="19"/>
  <c r="J1028" i="19"/>
  <c r="K1028" i="19"/>
  <c r="AC1028" i="19"/>
  <c r="I150" i="19"/>
  <c r="J150" i="19"/>
  <c r="K150" i="19"/>
  <c r="AC150" i="19"/>
  <c r="I1021" i="19"/>
  <c r="J1021" i="19"/>
  <c r="K1021" i="19"/>
  <c r="AC1021" i="19"/>
  <c r="I156" i="19"/>
  <c r="J156" i="19"/>
  <c r="K156" i="19"/>
  <c r="AC156" i="19"/>
  <c r="I1019" i="19"/>
  <c r="J1019" i="19"/>
  <c r="K1019" i="19"/>
  <c r="AC1019" i="19"/>
  <c r="I1017" i="19"/>
  <c r="J1017" i="19"/>
  <c r="K1017" i="19"/>
  <c r="AC1017" i="19"/>
  <c r="I146" i="19"/>
  <c r="J146" i="19"/>
  <c r="K146" i="19"/>
  <c r="AC146" i="19"/>
  <c r="I1015" i="19"/>
  <c r="J1015" i="19"/>
  <c r="K1015" i="19"/>
  <c r="AC1015" i="19"/>
  <c r="I997" i="19"/>
  <c r="J997" i="19"/>
  <c r="K997" i="19"/>
  <c r="AC997" i="19"/>
  <c r="I980" i="19"/>
  <c r="J980" i="19"/>
  <c r="K980" i="19"/>
  <c r="AC980" i="19"/>
  <c r="I1026" i="19"/>
  <c r="J1026" i="19"/>
  <c r="K1026" i="19"/>
  <c r="AC1026" i="19"/>
  <c r="I158" i="19"/>
  <c r="J158" i="19"/>
  <c r="K158" i="19"/>
  <c r="AC158" i="19"/>
  <c r="I153" i="19"/>
  <c r="J153" i="19"/>
  <c r="K153" i="19"/>
  <c r="AC153" i="19"/>
  <c r="I1006" i="19"/>
  <c r="J1006" i="19"/>
  <c r="K1006" i="19"/>
  <c r="AC1006" i="19"/>
  <c r="I1022" i="19"/>
  <c r="J1022" i="19"/>
  <c r="K1022" i="19"/>
  <c r="AC1022" i="19"/>
  <c r="I144" i="19"/>
  <c r="J144" i="19"/>
  <c r="K144" i="19"/>
  <c r="AC144" i="19"/>
  <c r="I986" i="19"/>
  <c r="J986" i="19"/>
  <c r="K986" i="19"/>
  <c r="AC986" i="19"/>
  <c r="I1036" i="19"/>
  <c r="J1036" i="19"/>
  <c r="K1036" i="19"/>
  <c r="AC1036" i="19"/>
  <c r="I998" i="19"/>
  <c r="J998" i="19"/>
  <c r="K998" i="19"/>
  <c r="AC998" i="19"/>
  <c r="I131" i="19"/>
  <c r="J131" i="19"/>
  <c r="K131" i="19"/>
  <c r="AC131" i="19"/>
  <c r="I976" i="19"/>
  <c r="J976" i="19"/>
  <c r="K976" i="19"/>
  <c r="AC976" i="19"/>
  <c r="I978" i="19"/>
  <c r="J978" i="19"/>
  <c r="K978" i="19"/>
  <c r="AC978" i="19"/>
  <c r="I1034" i="19"/>
  <c r="J1034" i="19"/>
  <c r="K1034" i="19"/>
  <c r="AC1034" i="19"/>
  <c r="I1016" i="19"/>
  <c r="J1016" i="19"/>
  <c r="K1016" i="19"/>
  <c r="AC1016" i="19"/>
  <c r="I983" i="19"/>
  <c r="J983" i="19"/>
  <c r="K983" i="19"/>
  <c r="AC983" i="19"/>
  <c r="I1025" i="19"/>
  <c r="J1025" i="19"/>
  <c r="K1025" i="19"/>
  <c r="AC1025" i="19"/>
  <c r="I149" i="19"/>
  <c r="J149" i="19"/>
  <c r="K149" i="19"/>
  <c r="AC149" i="19"/>
  <c r="I964" i="19"/>
  <c r="J964" i="19"/>
  <c r="K964" i="19"/>
  <c r="AC964" i="19"/>
  <c r="I132" i="19"/>
  <c r="J132" i="19"/>
  <c r="K132" i="19"/>
  <c r="AC132" i="19"/>
  <c r="I971" i="19"/>
  <c r="J971" i="19"/>
  <c r="K971" i="19"/>
  <c r="AC971" i="19"/>
  <c r="I130" i="19"/>
  <c r="J130" i="19"/>
  <c r="K130" i="19"/>
  <c r="AC130" i="19"/>
  <c r="I129" i="19"/>
  <c r="J129" i="19"/>
  <c r="K129" i="19"/>
  <c r="AC129" i="19"/>
  <c r="I949" i="19"/>
  <c r="J949" i="19"/>
  <c r="K949" i="19"/>
  <c r="AC949" i="19"/>
  <c r="I1001" i="19"/>
  <c r="J1001" i="19"/>
  <c r="K1001" i="19"/>
  <c r="AC1001" i="19"/>
  <c r="I984" i="19"/>
  <c r="J984" i="19"/>
  <c r="K984" i="19"/>
  <c r="AC984" i="19"/>
  <c r="I958" i="19"/>
  <c r="J958" i="19"/>
  <c r="K958" i="19"/>
  <c r="AC958" i="19"/>
  <c r="I1031" i="19"/>
  <c r="J1031" i="19"/>
  <c r="K1031" i="19"/>
  <c r="AC1031" i="19"/>
  <c r="I1023" i="19"/>
  <c r="J1023" i="19"/>
  <c r="K1023" i="19"/>
  <c r="AC1023" i="19"/>
  <c r="I1011" i="19"/>
  <c r="J1011" i="19"/>
  <c r="K1011" i="19"/>
  <c r="AC1011" i="19"/>
  <c r="I987" i="19"/>
  <c r="J987" i="19"/>
  <c r="K987" i="19"/>
  <c r="AC987" i="19"/>
  <c r="I155" i="19"/>
  <c r="J155" i="19"/>
  <c r="K155" i="19"/>
  <c r="AC155" i="19"/>
  <c r="I145" i="19"/>
  <c r="J145" i="19"/>
  <c r="K145" i="19"/>
  <c r="AC145" i="19"/>
  <c r="I959" i="19"/>
  <c r="J959" i="19"/>
  <c r="K959" i="19"/>
  <c r="AC959" i="19"/>
  <c r="I962" i="19"/>
  <c r="J962" i="19"/>
  <c r="K962" i="19"/>
  <c r="AC962" i="19"/>
  <c r="I946" i="19"/>
  <c r="J946" i="19"/>
  <c r="K946" i="19"/>
  <c r="AC946" i="19"/>
  <c r="I975" i="19"/>
  <c r="J975" i="19"/>
  <c r="K975" i="19"/>
  <c r="AC975" i="19"/>
  <c r="I994" i="19"/>
  <c r="J994" i="19"/>
  <c r="K994" i="19"/>
  <c r="AC994" i="19"/>
  <c r="I973" i="19"/>
  <c r="J973" i="19"/>
  <c r="K973" i="19"/>
  <c r="AC973" i="19"/>
  <c r="I970" i="19"/>
  <c r="J970" i="19"/>
  <c r="K970" i="19"/>
  <c r="AC970" i="19"/>
  <c r="I134" i="19"/>
  <c r="J134" i="19"/>
  <c r="K134" i="19"/>
  <c r="AC134" i="19"/>
  <c r="I990" i="19"/>
  <c r="J990" i="19"/>
  <c r="K990" i="19"/>
  <c r="AC990" i="19"/>
  <c r="I945" i="19"/>
  <c r="J945" i="19"/>
  <c r="K945" i="19"/>
  <c r="AC945" i="19"/>
  <c r="I991" i="19"/>
  <c r="J991" i="19"/>
  <c r="K991" i="19"/>
  <c r="AC991" i="19"/>
  <c r="I1035" i="19"/>
  <c r="J1035" i="19"/>
  <c r="K1035" i="19"/>
  <c r="AC1035" i="19"/>
  <c r="I1010" i="19"/>
  <c r="J1010" i="19"/>
  <c r="K1010" i="19"/>
  <c r="AC1010" i="19"/>
  <c r="I157" i="19"/>
  <c r="J157" i="19"/>
  <c r="K157" i="19"/>
  <c r="AC157" i="19"/>
  <c r="I147" i="19"/>
  <c r="J147" i="19"/>
  <c r="K147" i="19"/>
  <c r="AC147" i="19"/>
  <c r="I1012" i="19"/>
  <c r="J1012" i="19"/>
  <c r="K1012" i="19"/>
  <c r="AC1012" i="19"/>
  <c r="I151" i="19"/>
  <c r="J151" i="19"/>
  <c r="K151" i="19"/>
  <c r="AC151" i="19"/>
  <c r="I1024" i="19"/>
  <c r="J1024" i="19"/>
  <c r="K1024" i="19"/>
  <c r="AC1024" i="19"/>
  <c r="I982" i="19"/>
  <c r="J982" i="19"/>
  <c r="K982" i="19"/>
  <c r="AC982" i="19"/>
  <c r="I966" i="19"/>
  <c r="J966" i="19"/>
  <c r="K966" i="19"/>
  <c r="AC966" i="19"/>
  <c r="I1027" i="19"/>
  <c r="J1027" i="19"/>
  <c r="K1027" i="19"/>
  <c r="AC1027" i="19"/>
  <c r="I961" i="19"/>
  <c r="J961" i="19"/>
  <c r="K961" i="19"/>
  <c r="AC961" i="19"/>
  <c r="I152" i="19"/>
  <c r="J152" i="19"/>
  <c r="K152" i="19"/>
  <c r="AC152" i="19"/>
  <c r="I1030" i="19"/>
  <c r="J1030" i="19"/>
  <c r="K1030" i="19"/>
  <c r="AC1030" i="19"/>
  <c r="I1003" i="19"/>
  <c r="J1003" i="19"/>
  <c r="K1003" i="19"/>
  <c r="AC1003" i="19"/>
  <c r="I951" i="19"/>
  <c r="J951" i="19"/>
  <c r="K951" i="19"/>
  <c r="AC951" i="19"/>
  <c r="I1029" i="19"/>
  <c r="J1029" i="19"/>
  <c r="K1029" i="19"/>
  <c r="AC1029" i="19"/>
  <c r="I954" i="19"/>
  <c r="J954" i="19"/>
  <c r="K954" i="19"/>
  <c r="AC954" i="19"/>
  <c r="I138" i="19"/>
  <c r="J138" i="19"/>
  <c r="K138" i="19"/>
  <c r="AC138" i="19"/>
  <c r="I1004" i="19"/>
  <c r="J1004" i="19"/>
  <c r="K1004" i="19"/>
  <c r="AC1004" i="19"/>
  <c r="I148" i="19"/>
  <c r="J148" i="19"/>
  <c r="K148" i="19"/>
  <c r="AC148" i="19"/>
  <c r="I1000" i="19"/>
  <c r="J1000" i="19"/>
  <c r="K1000" i="19"/>
  <c r="AC1000" i="19"/>
  <c r="I160" i="19"/>
  <c r="J160" i="19"/>
  <c r="K160" i="19"/>
  <c r="AC160" i="19"/>
  <c r="I140" i="19"/>
  <c r="J140" i="19"/>
  <c r="K140" i="19"/>
  <c r="AC140" i="19"/>
  <c r="I141" i="19"/>
  <c r="J141" i="19"/>
  <c r="K141" i="19"/>
  <c r="AC141" i="19"/>
  <c r="I161" i="19"/>
  <c r="J161" i="19"/>
  <c r="K161" i="19"/>
  <c r="AC161" i="19"/>
  <c r="I127" i="19"/>
  <c r="J127" i="19"/>
  <c r="K127" i="19"/>
  <c r="AC127" i="19"/>
  <c r="D40" i="20" l="1"/>
  <c r="I944" i="19"/>
  <c r="J944" i="19"/>
  <c r="K944" i="19"/>
  <c r="AC944" i="19"/>
  <c r="I943" i="19"/>
  <c r="J943" i="19"/>
  <c r="K943" i="19"/>
  <c r="AC943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K3" i="15"/>
  <c r="J3" i="15"/>
  <c r="K2" i="15"/>
  <c r="J2" i="15"/>
  <c r="H42" i="20" l="1"/>
  <c r="H41" i="20"/>
  <c r="H40" i="20"/>
  <c r="H19" i="20"/>
  <c r="H21" i="20"/>
  <c r="H13" i="20"/>
  <c r="H36" i="20"/>
  <c r="H35" i="20"/>
  <c r="H38" i="20"/>
  <c r="H37" i="20"/>
  <c r="H34" i="20"/>
  <c r="H23" i="19"/>
  <c r="AC23" i="19" s="1"/>
  <c r="I23" i="19"/>
  <c r="J23" i="19"/>
  <c r="K23" i="19"/>
  <c r="L2" i="15"/>
  <c r="B35" i="16"/>
  <c r="E35" i="16"/>
  <c r="F35" i="16" s="1"/>
  <c r="G35" i="16"/>
  <c r="B34" i="16"/>
  <c r="E34" i="16"/>
  <c r="F34" i="16" s="1"/>
  <c r="G34" i="16"/>
  <c r="B33" i="16"/>
  <c r="E33" i="16"/>
  <c r="F33" i="16" s="1"/>
  <c r="G33" i="16"/>
  <c r="B32" i="16"/>
  <c r="E32" i="16"/>
  <c r="F32" i="16" s="1"/>
  <c r="G32" i="16"/>
  <c r="B31" i="16"/>
  <c r="E31" i="16"/>
  <c r="F31" i="16" s="1"/>
  <c r="G31" i="16"/>
  <c r="L3" i="15" l="1"/>
  <c r="H35" i="16"/>
  <c r="H34" i="16"/>
  <c r="H33" i="16"/>
  <c r="H32" i="16"/>
  <c r="H31" i="16"/>
  <c r="K9" i="19"/>
  <c r="K108" i="19"/>
  <c r="K24" i="19"/>
  <c r="K122" i="19"/>
  <c r="K109" i="19"/>
  <c r="K2" i="19"/>
  <c r="K76" i="19"/>
  <c r="K3" i="19"/>
  <c r="K77" i="19"/>
  <c r="K25" i="19"/>
  <c r="K934" i="19"/>
  <c r="K931" i="19"/>
  <c r="K126" i="19"/>
  <c r="K95" i="19"/>
  <c r="K94" i="19"/>
  <c r="K90" i="19"/>
  <c r="K72" i="19"/>
  <c r="K26" i="19"/>
  <c r="K29" i="19"/>
  <c r="K940" i="19"/>
  <c r="K4" i="19"/>
  <c r="K110" i="19"/>
  <c r="K112" i="19"/>
  <c r="K27" i="19"/>
  <c r="K28" i="19"/>
  <c r="K111" i="19"/>
  <c r="K78" i="19"/>
  <c r="K936" i="19"/>
  <c r="K932" i="19"/>
  <c r="K31" i="19"/>
  <c r="K97" i="19"/>
  <c r="K89" i="19"/>
  <c r="K14" i="19"/>
  <c r="K15" i="19"/>
  <c r="K16" i="19"/>
  <c r="K17" i="19"/>
  <c r="K18" i="19"/>
  <c r="K30" i="19"/>
  <c r="K12" i="19"/>
  <c r="K942" i="19"/>
  <c r="K87" i="19"/>
  <c r="K88" i="19"/>
  <c r="K32" i="19"/>
  <c r="K19" i="19"/>
  <c r="K142" i="19"/>
  <c r="K139" i="19"/>
  <c r="K143" i="19"/>
  <c r="K136" i="19"/>
  <c r="K154" i="19"/>
  <c r="K159" i="19"/>
  <c r="K133" i="19"/>
  <c r="K162" i="19"/>
  <c r="K128" i="19"/>
  <c r="K955" i="19"/>
  <c r="K952" i="19"/>
  <c r="K956" i="19"/>
  <c r="K950" i="19"/>
  <c r="K960" i="19"/>
  <c r="K963" i="19"/>
  <c r="K957" i="19"/>
  <c r="K965" i="19"/>
  <c r="K968" i="19"/>
  <c r="K947" i="19"/>
  <c r="K969" i="19"/>
  <c r="K163" i="19"/>
  <c r="K977" i="19"/>
  <c r="K981" i="19"/>
  <c r="K979" i="19"/>
  <c r="K974" i="19"/>
  <c r="K972" i="19"/>
  <c r="K996" i="19"/>
  <c r="K1002" i="19"/>
  <c r="K1005" i="19"/>
  <c r="K1008" i="19"/>
  <c r="K1007" i="19"/>
  <c r="K992" i="19"/>
  <c r="K995" i="19"/>
  <c r="K989" i="19"/>
  <c r="K993" i="19"/>
  <c r="K1013" i="19"/>
  <c r="K1033" i="19"/>
  <c r="K1032" i="19"/>
  <c r="K114" i="19"/>
  <c r="K164" i="19"/>
  <c r="K115" i="19"/>
  <c r="K116" i="19"/>
  <c r="K117" i="19"/>
  <c r="K118" i="19"/>
  <c r="K119" i="19"/>
  <c r="K165" i="19"/>
  <c r="K166" i="19"/>
  <c r="K167" i="19"/>
  <c r="K168" i="19"/>
  <c r="K170" i="19"/>
  <c r="K171" i="19"/>
  <c r="K216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27" i="19"/>
  <c r="K217" i="19"/>
  <c r="K218" i="19"/>
  <c r="K219" i="19"/>
  <c r="K220" i="19"/>
  <c r="K221" i="19"/>
  <c r="K222" i="19"/>
  <c r="K223" i="19"/>
  <c r="K224" i="19"/>
  <c r="K225" i="19"/>
  <c r="K226" i="19"/>
  <c r="K300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93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938" i="19"/>
  <c r="K7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13" i="19"/>
  <c r="K83" i="19"/>
  <c r="K91" i="19"/>
  <c r="K82" i="19"/>
  <c r="K20" i="19"/>
  <c r="K21" i="19"/>
  <c r="K925" i="19"/>
  <c r="K926" i="19"/>
  <c r="K927" i="19"/>
  <c r="K84" i="19"/>
  <c r="K11" i="19"/>
  <c r="K5" i="19"/>
  <c r="K6" i="19"/>
  <c r="K7" i="19"/>
  <c r="K8" i="19"/>
  <c r="K86" i="19"/>
  <c r="K928" i="19"/>
  <c r="K929" i="19"/>
  <c r="K80" i="19"/>
  <c r="K81" i="19"/>
  <c r="K92" i="19"/>
  <c r="K85" i="19"/>
  <c r="K113" i="19"/>
  <c r="K93" i="19"/>
  <c r="K121" i="19"/>
  <c r="K102" i="19"/>
  <c r="K103" i="19"/>
  <c r="K104" i="19"/>
  <c r="K105" i="19"/>
  <c r="K106" i="19"/>
  <c r="K107" i="19"/>
  <c r="K10" i="19"/>
  <c r="K939" i="19"/>
  <c r="K935" i="19"/>
  <c r="K75" i="19"/>
  <c r="K100" i="19"/>
  <c r="K101" i="19"/>
  <c r="K933" i="19"/>
  <c r="K96" i="19"/>
  <c r="K941" i="19"/>
  <c r="K99" i="19"/>
  <c r="K73" i="19"/>
  <c r="K74" i="19"/>
  <c r="K937" i="19"/>
  <c r="K98" i="19"/>
  <c r="K22" i="19"/>
  <c r="K123" i="19"/>
  <c r="K124" i="19"/>
  <c r="K125" i="19"/>
  <c r="K33" i="19"/>
  <c r="K48" i="19"/>
  <c r="K49" i="19"/>
  <c r="K50" i="19"/>
  <c r="K51" i="19"/>
  <c r="K55" i="19"/>
  <c r="K52" i="19"/>
  <c r="K53" i="19"/>
  <c r="K54" i="19"/>
  <c r="K58" i="19"/>
  <c r="K56" i="19"/>
  <c r="K57" i="19"/>
  <c r="K62" i="19"/>
  <c r="K59" i="19"/>
  <c r="K60" i="19"/>
  <c r="K61" i="19"/>
  <c r="K71" i="19"/>
  <c r="K63" i="19"/>
  <c r="K64" i="19"/>
  <c r="K65" i="19"/>
  <c r="K66" i="19"/>
  <c r="K67" i="19"/>
  <c r="K68" i="19"/>
  <c r="K69" i="19"/>
  <c r="K70" i="19"/>
  <c r="K34" i="19"/>
  <c r="K35" i="19"/>
  <c r="K36" i="19"/>
  <c r="K37" i="19"/>
  <c r="K38" i="19"/>
  <c r="K39" i="19"/>
  <c r="K47" i="19"/>
  <c r="K40" i="19"/>
  <c r="K41" i="19"/>
  <c r="K42" i="19"/>
  <c r="K43" i="19"/>
  <c r="K44" i="19"/>
  <c r="K45" i="19"/>
  <c r="K46" i="19"/>
  <c r="K120" i="19"/>
  <c r="AC120" i="19"/>
  <c r="I120" i="19"/>
  <c r="J120" i="19"/>
  <c r="B30" i="16"/>
  <c r="E30" i="16"/>
  <c r="F30" i="16" s="1"/>
  <c r="G30" i="16"/>
  <c r="B29" i="16"/>
  <c r="E29" i="16"/>
  <c r="F29" i="16" s="1"/>
  <c r="G29" i="16"/>
  <c r="B28" i="16"/>
  <c r="E28" i="16"/>
  <c r="F28" i="16" s="1"/>
  <c r="G28" i="16"/>
  <c r="B27" i="16"/>
  <c r="E27" i="16"/>
  <c r="F27" i="16" s="1"/>
  <c r="G27" i="16"/>
  <c r="B26" i="16"/>
  <c r="E26" i="16"/>
  <c r="F26" i="16" s="1"/>
  <c r="G26" i="16"/>
  <c r="I46" i="19"/>
  <c r="J46" i="19"/>
  <c r="AC46" i="19"/>
  <c r="AC45" i="19"/>
  <c r="I45" i="19"/>
  <c r="J45" i="19"/>
  <c r="I44" i="19"/>
  <c r="J44" i="19"/>
  <c r="AC44" i="19"/>
  <c r="AC43" i="19"/>
  <c r="I43" i="19"/>
  <c r="J43" i="19"/>
  <c r="I42" i="19"/>
  <c r="J42" i="19"/>
  <c r="AC42" i="19"/>
  <c r="AC41" i="19"/>
  <c r="I41" i="19"/>
  <c r="J41" i="19"/>
  <c r="AC40" i="19"/>
  <c r="I40" i="19"/>
  <c r="J40" i="19"/>
  <c r="AC47" i="19"/>
  <c r="I47" i="19"/>
  <c r="J47" i="19"/>
  <c r="I39" i="19"/>
  <c r="J39" i="19"/>
  <c r="AC39" i="19"/>
  <c r="AC38" i="19"/>
  <c r="I38" i="19"/>
  <c r="J38" i="19"/>
  <c r="AC37" i="19"/>
  <c r="I37" i="19"/>
  <c r="J37" i="19"/>
  <c r="AC36" i="19"/>
  <c r="I36" i="19"/>
  <c r="J36" i="19"/>
  <c r="I35" i="19"/>
  <c r="J35" i="19"/>
  <c r="AC35" i="19"/>
  <c r="I34" i="19"/>
  <c r="J34" i="19"/>
  <c r="AC34" i="19"/>
  <c r="I70" i="19"/>
  <c r="J70" i="19"/>
  <c r="AC70" i="19"/>
  <c r="I69" i="19"/>
  <c r="J69" i="19"/>
  <c r="AC69" i="19"/>
  <c r="I68" i="19"/>
  <c r="J68" i="19"/>
  <c r="AC68" i="19"/>
  <c r="I67" i="19"/>
  <c r="J67" i="19"/>
  <c r="AC67" i="19"/>
  <c r="I66" i="19"/>
  <c r="J66" i="19"/>
  <c r="AC66" i="19"/>
  <c r="I65" i="19"/>
  <c r="J65" i="19"/>
  <c r="AC65" i="19"/>
  <c r="I64" i="19"/>
  <c r="J64" i="19"/>
  <c r="AC64" i="19"/>
  <c r="AC63" i="19"/>
  <c r="I63" i="19"/>
  <c r="J63" i="19"/>
  <c r="AC71" i="19"/>
  <c r="I71" i="19"/>
  <c r="J71" i="19"/>
  <c r="AC61" i="19"/>
  <c r="I61" i="19"/>
  <c r="J61" i="19"/>
  <c r="AC60" i="19"/>
  <c r="I60" i="19"/>
  <c r="J60" i="19"/>
  <c r="AC59" i="19"/>
  <c r="I59" i="19"/>
  <c r="J59" i="19"/>
  <c r="I62" i="19"/>
  <c r="J62" i="19"/>
  <c r="AC62" i="19"/>
  <c r="AC57" i="19"/>
  <c r="I57" i="19"/>
  <c r="J57" i="19"/>
  <c r="AC56" i="19"/>
  <c r="I56" i="19"/>
  <c r="J56" i="19"/>
  <c r="I58" i="19"/>
  <c r="J58" i="19"/>
  <c r="AC58" i="19"/>
  <c r="I54" i="19"/>
  <c r="J54" i="19"/>
  <c r="AC54" i="19"/>
  <c r="I53" i="19"/>
  <c r="J53" i="19"/>
  <c r="AC53" i="19"/>
  <c r="AC52" i="19"/>
  <c r="I52" i="19"/>
  <c r="J52" i="19"/>
  <c r="I55" i="19"/>
  <c r="J55" i="19"/>
  <c r="AC55" i="19"/>
  <c r="AC51" i="19"/>
  <c r="I51" i="19"/>
  <c r="J51" i="19"/>
  <c r="I50" i="19"/>
  <c r="J50" i="19"/>
  <c r="AC50" i="19"/>
  <c r="AC49" i="19"/>
  <c r="I49" i="19"/>
  <c r="J49" i="19"/>
  <c r="AC48" i="19"/>
  <c r="I48" i="19"/>
  <c r="J48" i="19"/>
  <c r="AC33" i="19"/>
  <c r="I33" i="19"/>
  <c r="J33" i="19"/>
  <c r="D25" i="16"/>
  <c r="G25" i="16" s="1"/>
  <c r="B25" i="16"/>
  <c r="E25" i="16"/>
  <c r="I381" i="19"/>
  <c r="J381" i="19"/>
  <c r="AC381" i="19"/>
  <c r="I189" i="19"/>
  <c r="J189" i="19"/>
  <c r="AC189" i="19"/>
  <c r="AC187" i="19"/>
  <c r="I187" i="19"/>
  <c r="J187" i="19"/>
  <c r="AC183" i="19"/>
  <c r="I183" i="19"/>
  <c r="J183" i="19"/>
  <c r="AC182" i="19"/>
  <c r="I182" i="19"/>
  <c r="J182" i="19"/>
  <c r="AC264" i="19"/>
  <c r="I264" i="19"/>
  <c r="J264" i="19"/>
  <c r="AC538" i="19"/>
  <c r="I538" i="19"/>
  <c r="J538" i="19"/>
  <c r="AC285" i="19"/>
  <c r="I285" i="19"/>
  <c r="J285" i="19"/>
  <c r="AC314" i="19"/>
  <c r="I314" i="19"/>
  <c r="J314" i="19"/>
  <c r="AC437" i="19"/>
  <c r="I437" i="19"/>
  <c r="J437" i="19"/>
  <c r="AC243" i="19"/>
  <c r="I243" i="19"/>
  <c r="J243" i="19"/>
  <c r="AC294" i="19"/>
  <c r="I294" i="19"/>
  <c r="J294" i="19"/>
  <c r="AC276" i="19"/>
  <c r="I276" i="19"/>
  <c r="J276" i="19"/>
  <c r="AC523" i="19"/>
  <c r="I523" i="19"/>
  <c r="J523" i="19"/>
  <c r="AC425" i="19"/>
  <c r="I425" i="19"/>
  <c r="J425" i="19"/>
  <c r="AC261" i="19"/>
  <c r="I261" i="19"/>
  <c r="J261" i="19"/>
  <c r="AC533" i="19"/>
  <c r="I533" i="19"/>
  <c r="J533" i="19"/>
  <c r="AC236" i="19"/>
  <c r="I236" i="19"/>
  <c r="J236" i="19"/>
  <c r="AC537" i="19"/>
  <c r="I537" i="19"/>
  <c r="J537" i="19"/>
  <c r="AC275" i="19"/>
  <c r="I275" i="19"/>
  <c r="J275" i="19"/>
  <c r="AC332" i="19"/>
  <c r="I332" i="19"/>
  <c r="J332" i="19"/>
  <c r="AC291" i="19"/>
  <c r="I291" i="19"/>
  <c r="J291" i="19"/>
  <c r="AC303" i="19"/>
  <c r="I303" i="19"/>
  <c r="J303" i="19"/>
  <c r="AC345" i="19"/>
  <c r="I345" i="19"/>
  <c r="J345" i="19"/>
  <c r="AC220" i="19"/>
  <c r="I220" i="19"/>
  <c r="J220" i="19"/>
  <c r="AC469" i="19"/>
  <c r="I469" i="19"/>
  <c r="J469" i="19"/>
  <c r="AC456" i="19"/>
  <c r="I456" i="19"/>
  <c r="J456" i="19"/>
  <c r="AC495" i="19"/>
  <c r="I495" i="19"/>
  <c r="J495" i="19"/>
  <c r="AC341" i="19"/>
  <c r="I341" i="19"/>
  <c r="J341" i="19"/>
  <c r="AC516" i="19"/>
  <c r="I516" i="19"/>
  <c r="J516" i="19"/>
  <c r="AC496" i="19"/>
  <c r="I496" i="19"/>
  <c r="J496" i="19"/>
  <c r="AC297" i="19"/>
  <c r="I297" i="19"/>
  <c r="J297" i="19"/>
  <c r="AC427" i="19"/>
  <c r="I427" i="19"/>
  <c r="J427" i="19"/>
  <c r="AC436" i="19"/>
  <c r="I436" i="19"/>
  <c r="J436" i="19"/>
  <c r="AC313" i="19"/>
  <c r="I313" i="19"/>
  <c r="J313" i="19"/>
  <c r="AC327" i="19"/>
  <c r="I327" i="19"/>
  <c r="J327" i="19"/>
  <c r="AC266" i="19"/>
  <c r="I266" i="19"/>
  <c r="J266" i="19"/>
  <c r="AC476" i="19"/>
  <c r="I476" i="19"/>
  <c r="J476" i="19"/>
  <c r="AC494" i="19"/>
  <c r="I494" i="19"/>
  <c r="J494" i="19"/>
  <c r="AC492" i="19"/>
  <c r="I492" i="19"/>
  <c r="J492" i="19"/>
  <c r="AC299" i="19"/>
  <c r="I299" i="19"/>
  <c r="J299" i="19"/>
  <c r="AC280" i="19"/>
  <c r="I280" i="19"/>
  <c r="J280" i="19"/>
  <c r="AC489" i="19"/>
  <c r="I489" i="19"/>
  <c r="J489" i="19"/>
  <c r="AC253" i="19"/>
  <c r="I253" i="19"/>
  <c r="J253" i="19"/>
  <c r="AC448" i="19"/>
  <c r="I448" i="19"/>
  <c r="J448" i="19"/>
  <c r="AC556" i="19"/>
  <c r="I556" i="19"/>
  <c r="J556" i="19"/>
  <c r="AC503" i="19"/>
  <c r="I503" i="19"/>
  <c r="J503" i="19"/>
  <c r="AC512" i="19"/>
  <c r="I512" i="19"/>
  <c r="J512" i="19"/>
  <c r="AC499" i="19"/>
  <c r="I499" i="19"/>
  <c r="J499" i="19"/>
  <c r="AC212" i="19"/>
  <c r="I212" i="19"/>
  <c r="J212" i="19"/>
  <c r="AC295" i="19"/>
  <c r="I295" i="19"/>
  <c r="J295" i="19"/>
  <c r="AC528" i="19"/>
  <c r="I528" i="19"/>
  <c r="J528" i="19"/>
  <c r="AC517" i="19"/>
  <c r="I517" i="19"/>
  <c r="J517" i="19"/>
  <c r="AC547" i="19"/>
  <c r="I547" i="19"/>
  <c r="J547" i="19"/>
  <c r="AC549" i="19"/>
  <c r="I549" i="19"/>
  <c r="J549" i="19"/>
  <c r="AC270" i="19"/>
  <c r="I270" i="19"/>
  <c r="J270" i="19"/>
  <c r="AC201" i="19"/>
  <c r="I201" i="19"/>
  <c r="J201" i="19"/>
  <c r="AC485" i="19"/>
  <c r="I485" i="19"/>
  <c r="J485" i="19"/>
  <c r="AC238" i="19"/>
  <c r="I238" i="19"/>
  <c r="J238" i="19"/>
  <c r="AC304" i="19"/>
  <c r="I304" i="19"/>
  <c r="J304" i="19"/>
  <c r="AC443" i="19"/>
  <c r="I443" i="19"/>
  <c r="J443" i="19"/>
  <c r="I539" i="19"/>
  <c r="J539" i="19"/>
  <c r="AC539" i="19"/>
  <c r="AC559" i="19"/>
  <c r="I559" i="19"/>
  <c r="J559" i="19"/>
  <c r="AC328" i="19"/>
  <c r="I328" i="19"/>
  <c r="J328" i="19"/>
  <c r="AC541" i="19"/>
  <c r="I541" i="19"/>
  <c r="J541" i="19"/>
  <c r="AC335" i="19"/>
  <c r="I335" i="19"/>
  <c r="J335" i="19"/>
  <c r="I500" i="19"/>
  <c r="J500" i="19"/>
  <c r="AC500" i="19"/>
  <c r="AC457" i="19"/>
  <c r="I457" i="19"/>
  <c r="J457" i="19"/>
  <c r="AC337" i="19"/>
  <c r="I337" i="19"/>
  <c r="J337" i="19"/>
  <c r="AC209" i="19"/>
  <c r="I209" i="19"/>
  <c r="J209" i="19"/>
  <c r="AC286" i="19"/>
  <c r="I286" i="19"/>
  <c r="J286" i="19"/>
  <c r="AC347" i="19"/>
  <c r="I347" i="19"/>
  <c r="J347" i="19"/>
  <c r="AC255" i="19"/>
  <c r="I255" i="19"/>
  <c r="J255" i="19"/>
  <c r="AC256" i="19"/>
  <c r="I256" i="19"/>
  <c r="J256" i="19"/>
  <c r="AC198" i="19"/>
  <c r="I198" i="19"/>
  <c r="J198" i="19"/>
  <c r="AC206" i="19"/>
  <c r="I206" i="19"/>
  <c r="J206" i="19"/>
  <c r="AC449" i="19"/>
  <c r="I449" i="19"/>
  <c r="J449" i="19"/>
  <c r="AC452" i="19"/>
  <c r="I452" i="19"/>
  <c r="J452" i="19"/>
  <c r="I506" i="19"/>
  <c r="J506" i="19"/>
  <c r="AC506" i="19"/>
  <c r="I426" i="19"/>
  <c r="J426" i="19"/>
  <c r="AC426" i="19"/>
  <c r="AC507" i="19"/>
  <c r="I507" i="19"/>
  <c r="J507" i="19"/>
  <c r="I244" i="19"/>
  <c r="J244" i="19"/>
  <c r="AC244" i="19"/>
  <c r="AC230" i="19"/>
  <c r="I230" i="19"/>
  <c r="J230" i="19"/>
  <c r="AC223" i="19"/>
  <c r="I223" i="19"/>
  <c r="J223" i="19"/>
  <c r="AC429" i="19"/>
  <c r="I429" i="19"/>
  <c r="J429" i="19"/>
  <c r="AC552" i="19"/>
  <c r="I552" i="19"/>
  <c r="J552" i="19"/>
  <c r="I237" i="19"/>
  <c r="J237" i="19"/>
  <c r="AC237" i="19"/>
  <c r="AC498" i="19"/>
  <c r="I498" i="19"/>
  <c r="J498" i="19"/>
  <c r="AC349" i="19"/>
  <c r="I349" i="19"/>
  <c r="J349" i="19"/>
  <c r="AC316" i="19"/>
  <c r="I316" i="19"/>
  <c r="J316" i="19"/>
  <c r="AC278" i="19"/>
  <c r="I278" i="19"/>
  <c r="J278" i="19"/>
  <c r="AC465" i="19"/>
  <c r="I465" i="19"/>
  <c r="J465" i="19"/>
  <c r="AC431" i="19"/>
  <c r="I431" i="19"/>
  <c r="J431" i="19"/>
  <c r="AC326" i="19"/>
  <c r="I326" i="19"/>
  <c r="J326" i="19"/>
  <c r="AC321" i="19"/>
  <c r="I321" i="19"/>
  <c r="J321" i="19"/>
  <c r="AC553" i="19"/>
  <c r="I553" i="19"/>
  <c r="J553" i="19"/>
  <c r="AC548" i="19"/>
  <c r="I548" i="19"/>
  <c r="J548" i="19"/>
  <c r="AC540" i="19"/>
  <c r="I540" i="19"/>
  <c r="J540" i="19"/>
  <c r="AC536" i="19"/>
  <c r="I536" i="19"/>
  <c r="J536" i="19"/>
  <c r="I530" i="19"/>
  <c r="J530" i="19"/>
  <c r="AC530" i="19"/>
  <c r="AC524" i="19"/>
  <c r="I524" i="19"/>
  <c r="J524" i="19"/>
  <c r="AC490" i="19"/>
  <c r="I490" i="19"/>
  <c r="J490" i="19"/>
  <c r="AC454" i="19"/>
  <c r="I454" i="19"/>
  <c r="J454" i="19"/>
  <c r="AC453" i="19"/>
  <c r="I453" i="19"/>
  <c r="J453" i="19"/>
  <c r="I350" i="19"/>
  <c r="J350" i="19"/>
  <c r="AC350" i="19"/>
  <c r="AC343" i="19"/>
  <c r="I343" i="19"/>
  <c r="J343" i="19"/>
  <c r="AC342" i="19"/>
  <c r="I342" i="19"/>
  <c r="J342" i="19"/>
  <c r="AC336" i="19"/>
  <c r="I336" i="19"/>
  <c r="J336" i="19"/>
  <c r="AC282" i="19"/>
  <c r="I282" i="19"/>
  <c r="J282" i="19"/>
  <c r="AC281" i="19"/>
  <c r="I281" i="19"/>
  <c r="J281" i="19"/>
  <c r="AC233" i="19"/>
  <c r="I233" i="19"/>
  <c r="J233" i="19"/>
  <c r="AC225" i="19"/>
  <c r="I225" i="19"/>
  <c r="J225" i="19"/>
  <c r="AC214" i="19"/>
  <c r="I214" i="19"/>
  <c r="J214" i="19"/>
  <c r="AC213" i="19"/>
  <c r="I213" i="19"/>
  <c r="J213" i="19"/>
  <c r="AC202" i="19"/>
  <c r="I202" i="19"/>
  <c r="J202" i="19"/>
  <c r="AC529" i="19"/>
  <c r="I529" i="19"/>
  <c r="J529" i="19"/>
  <c r="AC509" i="19"/>
  <c r="I509" i="19"/>
  <c r="J509" i="19"/>
  <c r="AC483" i="19"/>
  <c r="I483" i="19"/>
  <c r="J483" i="19"/>
  <c r="AC430" i="19"/>
  <c r="I430" i="19"/>
  <c r="J430" i="19"/>
  <c r="AC535" i="19"/>
  <c r="I535" i="19"/>
  <c r="J535" i="19"/>
  <c r="AC518" i="19"/>
  <c r="I518" i="19"/>
  <c r="J518" i="19"/>
  <c r="AC488" i="19"/>
  <c r="I488" i="19"/>
  <c r="J488" i="19"/>
  <c r="AC480" i="19"/>
  <c r="I480" i="19"/>
  <c r="J480" i="19"/>
  <c r="AC471" i="19"/>
  <c r="I471" i="19"/>
  <c r="J471" i="19"/>
  <c r="AC442" i="19"/>
  <c r="I442" i="19"/>
  <c r="J442" i="19"/>
  <c r="AC351" i="19"/>
  <c r="I351" i="19"/>
  <c r="J351" i="19"/>
  <c r="AC348" i="19"/>
  <c r="I348" i="19"/>
  <c r="J348" i="19"/>
  <c r="AC334" i="19"/>
  <c r="I334" i="19"/>
  <c r="J334" i="19"/>
  <c r="AC330" i="19"/>
  <c r="I330" i="19"/>
  <c r="J330" i="19"/>
  <c r="I329" i="19"/>
  <c r="J329" i="19"/>
  <c r="AC329" i="19"/>
  <c r="AC322" i="19"/>
  <c r="I322" i="19"/>
  <c r="J322" i="19"/>
  <c r="AC318" i="19"/>
  <c r="I318" i="19"/>
  <c r="J318" i="19"/>
  <c r="AC315" i="19"/>
  <c r="I315" i="19"/>
  <c r="J315" i="19"/>
  <c r="AC311" i="19"/>
  <c r="I311" i="19"/>
  <c r="J311" i="19"/>
  <c r="I296" i="19"/>
  <c r="J296" i="19"/>
  <c r="AC296" i="19"/>
  <c r="AC293" i="19"/>
  <c r="I293" i="19"/>
  <c r="J293" i="19"/>
  <c r="AC292" i="19"/>
  <c r="I292" i="19"/>
  <c r="J292" i="19"/>
  <c r="AC288" i="19"/>
  <c r="I288" i="19"/>
  <c r="J288" i="19"/>
  <c r="AC277" i="19"/>
  <c r="I277" i="19"/>
  <c r="J277" i="19"/>
  <c r="AC271" i="19"/>
  <c r="I271" i="19"/>
  <c r="J271" i="19"/>
  <c r="AC254" i="19"/>
  <c r="I254" i="19"/>
  <c r="J254" i="19"/>
  <c r="AC251" i="19"/>
  <c r="I251" i="19"/>
  <c r="J251" i="19"/>
  <c r="AC249" i="19"/>
  <c r="I249" i="19"/>
  <c r="J249" i="19"/>
  <c r="AC234" i="19"/>
  <c r="I234" i="19"/>
  <c r="J234" i="19"/>
  <c r="AC231" i="19"/>
  <c r="I231" i="19"/>
  <c r="J231" i="19"/>
  <c r="AC219" i="19"/>
  <c r="I219" i="19"/>
  <c r="J219" i="19"/>
  <c r="AC211" i="19"/>
  <c r="I211" i="19"/>
  <c r="J211" i="19"/>
  <c r="AC208" i="19"/>
  <c r="I208" i="19"/>
  <c r="J208" i="19"/>
  <c r="AC200" i="19"/>
  <c r="I200" i="19"/>
  <c r="J200" i="19"/>
  <c r="AC199" i="19"/>
  <c r="I199" i="19"/>
  <c r="J199" i="19"/>
  <c r="AC250" i="19"/>
  <c r="I250" i="19"/>
  <c r="J250" i="19"/>
  <c r="AC558" i="19"/>
  <c r="I558" i="19"/>
  <c r="J558" i="19"/>
  <c r="AC557" i="19"/>
  <c r="I557" i="19"/>
  <c r="J557" i="19"/>
  <c r="AC555" i="19"/>
  <c r="I555" i="19"/>
  <c r="J555" i="19"/>
  <c r="AC554" i="19"/>
  <c r="I554" i="19"/>
  <c r="J554" i="19"/>
  <c r="AC551" i="19"/>
  <c r="I551" i="19"/>
  <c r="J551" i="19"/>
  <c r="AC532" i="19"/>
  <c r="I532" i="19"/>
  <c r="J532" i="19"/>
  <c r="AC527" i="19"/>
  <c r="I527" i="19"/>
  <c r="J527" i="19"/>
  <c r="AC511" i="19"/>
  <c r="I511" i="19"/>
  <c r="J511" i="19"/>
  <c r="AC504" i="19"/>
  <c r="I504" i="19"/>
  <c r="J504" i="19"/>
  <c r="AC497" i="19"/>
  <c r="I497" i="19"/>
  <c r="J497" i="19"/>
  <c r="AC470" i="19"/>
  <c r="I470" i="19"/>
  <c r="J470" i="19"/>
  <c r="AC464" i="19"/>
  <c r="I464" i="19"/>
  <c r="J464" i="19"/>
  <c r="AC459" i="19"/>
  <c r="I459" i="19"/>
  <c r="J459" i="19"/>
  <c r="AC444" i="19"/>
  <c r="I444" i="19"/>
  <c r="J444" i="19"/>
  <c r="AC438" i="19"/>
  <c r="I438" i="19"/>
  <c r="J438" i="19"/>
  <c r="AC428" i="19"/>
  <c r="I428" i="19"/>
  <c r="J428" i="19"/>
  <c r="AC346" i="19"/>
  <c r="I346" i="19"/>
  <c r="J346" i="19"/>
  <c r="AC396" i="19"/>
  <c r="I396" i="19"/>
  <c r="J396" i="19"/>
  <c r="AC180" i="19"/>
  <c r="I180" i="19"/>
  <c r="J180" i="19"/>
  <c r="AC176" i="19"/>
  <c r="I176" i="19"/>
  <c r="J176" i="19"/>
  <c r="AC173" i="19"/>
  <c r="I173" i="19"/>
  <c r="J173" i="19"/>
  <c r="AC534" i="19"/>
  <c r="I534" i="19"/>
  <c r="J534" i="19"/>
  <c r="AC340" i="19"/>
  <c r="I340" i="19"/>
  <c r="J340" i="19"/>
  <c r="AC339" i="19"/>
  <c r="I339" i="19"/>
  <c r="J339" i="19"/>
  <c r="AC338" i="19"/>
  <c r="I338" i="19"/>
  <c r="J338" i="19"/>
  <c r="AC331" i="19"/>
  <c r="I331" i="19"/>
  <c r="J331" i="19"/>
  <c r="AC323" i="19"/>
  <c r="I323" i="19"/>
  <c r="J323" i="19"/>
  <c r="AC320" i="19"/>
  <c r="I320" i="19"/>
  <c r="J320" i="19"/>
  <c r="AC309" i="19"/>
  <c r="I309" i="19"/>
  <c r="J309" i="19"/>
  <c r="AC302" i="19"/>
  <c r="I302" i="19"/>
  <c r="J302" i="19"/>
  <c r="AC290" i="19"/>
  <c r="I290" i="19"/>
  <c r="J290" i="19"/>
  <c r="AC283" i="19"/>
  <c r="I283" i="19"/>
  <c r="J283" i="19"/>
  <c r="AC279" i="19"/>
  <c r="I279" i="19"/>
  <c r="J279" i="19"/>
  <c r="AC269" i="19"/>
  <c r="I269" i="19"/>
  <c r="J269" i="19"/>
  <c r="AC268" i="19"/>
  <c r="I268" i="19"/>
  <c r="J268" i="19"/>
  <c r="AC259" i="19"/>
  <c r="I259" i="19"/>
  <c r="J259" i="19"/>
  <c r="AC228" i="19"/>
  <c r="I228" i="19"/>
  <c r="J228" i="19"/>
  <c r="AC221" i="19"/>
  <c r="I221" i="19"/>
  <c r="J221" i="19"/>
  <c r="AC207" i="19"/>
  <c r="I207" i="19"/>
  <c r="J207" i="19"/>
  <c r="AC205" i="19"/>
  <c r="I205" i="19"/>
  <c r="J205" i="19"/>
  <c r="I239" i="19"/>
  <c r="J239" i="19"/>
  <c r="AC239" i="19"/>
  <c r="AC222" i="19"/>
  <c r="I222" i="19"/>
  <c r="J222" i="19"/>
  <c r="AC196" i="19"/>
  <c r="I196" i="19"/>
  <c r="J196" i="19"/>
  <c r="AC544" i="19"/>
  <c r="I544" i="19"/>
  <c r="J544" i="19"/>
  <c r="AC487" i="19"/>
  <c r="I487" i="19"/>
  <c r="J487" i="19"/>
  <c r="I486" i="19"/>
  <c r="J486" i="19"/>
  <c r="AC486" i="19"/>
  <c r="AC481" i="19"/>
  <c r="I481" i="19"/>
  <c r="J481" i="19"/>
  <c r="AC463" i="19"/>
  <c r="I463" i="19"/>
  <c r="J463" i="19"/>
  <c r="AC450" i="19"/>
  <c r="I450" i="19"/>
  <c r="J450" i="19"/>
  <c r="AC446" i="19"/>
  <c r="I446" i="19"/>
  <c r="J446" i="19"/>
  <c r="AC440" i="19"/>
  <c r="I440" i="19"/>
  <c r="J440" i="19"/>
  <c r="AC284" i="19"/>
  <c r="I284" i="19"/>
  <c r="J284" i="19"/>
  <c r="AC247" i="19"/>
  <c r="I247" i="19"/>
  <c r="J247" i="19"/>
  <c r="AC361" i="19"/>
  <c r="I361" i="19"/>
  <c r="J361" i="19"/>
  <c r="AC400" i="19"/>
  <c r="I400" i="19"/>
  <c r="J400" i="19"/>
  <c r="AC415" i="19"/>
  <c r="I415" i="19"/>
  <c r="J415" i="19"/>
  <c r="AC379" i="19"/>
  <c r="I379" i="19"/>
  <c r="J379" i="19"/>
  <c r="AC380" i="19"/>
  <c r="I380" i="19"/>
  <c r="J380" i="19"/>
  <c r="I394" i="19"/>
  <c r="J394" i="19"/>
  <c r="AC394" i="19"/>
  <c r="AC414" i="19"/>
  <c r="I414" i="19"/>
  <c r="J414" i="19"/>
  <c r="AC420" i="19"/>
  <c r="I420" i="19"/>
  <c r="J420" i="19"/>
  <c r="AC378" i="19"/>
  <c r="I378" i="19"/>
  <c r="J378" i="19"/>
  <c r="AC364" i="19"/>
  <c r="I364" i="19"/>
  <c r="J364" i="19"/>
  <c r="AC407" i="19"/>
  <c r="I407" i="19"/>
  <c r="J407" i="19"/>
  <c r="AC409" i="19"/>
  <c r="I409" i="19"/>
  <c r="J409" i="19"/>
  <c r="AC392" i="19"/>
  <c r="I392" i="19"/>
  <c r="J392" i="19"/>
  <c r="AC362" i="19"/>
  <c r="I362" i="19"/>
  <c r="J362" i="19"/>
  <c r="AC369" i="19"/>
  <c r="I369" i="19"/>
  <c r="J369" i="19"/>
  <c r="AC419" i="19"/>
  <c r="I419" i="19"/>
  <c r="J419" i="19"/>
  <c r="AC399" i="19"/>
  <c r="I399" i="19"/>
  <c r="J399" i="19"/>
  <c r="AC388" i="19"/>
  <c r="I388" i="19"/>
  <c r="J388" i="19"/>
  <c r="AC373" i="19"/>
  <c r="I373" i="19"/>
  <c r="J373" i="19"/>
  <c r="AC382" i="19"/>
  <c r="I382" i="19"/>
  <c r="J382" i="19"/>
  <c r="AC391" i="19"/>
  <c r="I391" i="19"/>
  <c r="J391" i="19"/>
  <c r="AC413" i="19"/>
  <c r="I413" i="19"/>
  <c r="J413" i="19"/>
  <c r="AC174" i="19"/>
  <c r="I174" i="19"/>
  <c r="J174" i="19"/>
  <c r="AC181" i="19"/>
  <c r="I181" i="19"/>
  <c r="J181" i="19"/>
  <c r="AC186" i="19"/>
  <c r="I186" i="19"/>
  <c r="J186" i="19"/>
  <c r="AC175" i="19"/>
  <c r="I175" i="19"/>
  <c r="J175" i="19"/>
  <c r="AC195" i="19"/>
  <c r="I195" i="19"/>
  <c r="J195" i="19"/>
  <c r="AC505" i="19"/>
  <c r="I505" i="19"/>
  <c r="J505" i="19"/>
  <c r="AC310" i="19"/>
  <c r="I310" i="19"/>
  <c r="J310" i="19"/>
  <c r="AC472" i="19"/>
  <c r="I472" i="19"/>
  <c r="J472" i="19"/>
  <c r="AC265" i="19"/>
  <c r="I265" i="19"/>
  <c r="J265" i="19"/>
  <c r="AC526" i="19"/>
  <c r="I526" i="19"/>
  <c r="J526" i="19"/>
  <c r="AC248" i="19"/>
  <c r="I248" i="19"/>
  <c r="J248" i="19"/>
  <c r="AC525" i="19"/>
  <c r="I525" i="19"/>
  <c r="J525" i="19"/>
  <c r="AC445" i="19"/>
  <c r="I445" i="19"/>
  <c r="J445" i="19"/>
  <c r="AC217" i="19"/>
  <c r="I217" i="19"/>
  <c r="J217" i="19"/>
  <c r="AC229" i="19"/>
  <c r="I229" i="19"/>
  <c r="J229" i="19"/>
  <c r="AC522" i="19"/>
  <c r="I522" i="19"/>
  <c r="J522" i="19"/>
  <c r="AC308" i="19"/>
  <c r="I308" i="19"/>
  <c r="J308" i="19"/>
  <c r="AC543" i="19"/>
  <c r="I543" i="19"/>
  <c r="J543" i="19"/>
  <c r="AC501" i="19"/>
  <c r="I501" i="19"/>
  <c r="J501" i="19"/>
  <c r="H300" i="19"/>
  <c r="AC300" i="19" s="1"/>
  <c r="I300" i="19"/>
  <c r="J300" i="19"/>
  <c r="AC274" i="19"/>
  <c r="I274" i="19"/>
  <c r="J274" i="19"/>
  <c r="AC258" i="19"/>
  <c r="I258" i="19"/>
  <c r="J258" i="19"/>
  <c r="AC542" i="19"/>
  <c r="I542" i="19"/>
  <c r="J542" i="19"/>
  <c r="AC197" i="19"/>
  <c r="I197" i="19"/>
  <c r="J197" i="19"/>
  <c r="AC333" i="19"/>
  <c r="I333" i="19"/>
  <c r="J333" i="19"/>
  <c r="AC423" i="19"/>
  <c r="I423" i="19"/>
  <c r="J423" i="19"/>
  <c r="AC224" i="19"/>
  <c r="I224" i="19"/>
  <c r="J224" i="19"/>
  <c r="AC439" i="19"/>
  <c r="I439" i="19"/>
  <c r="J439" i="19"/>
  <c r="AC460" i="19"/>
  <c r="I460" i="19"/>
  <c r="J460" i="19"/>
  <c r="I235" i="19"/>
  <c r="J235" i="19"/>
  <c r="AC235" i="19"/>
  <c r="AC218" i="19"/>
  <c r="I218" i="19"/>
  <c r="J218" i="19"/>
  <c r="AC241" i="19"/>
  <c r="I241" i="19"/>
  <c r="J241" i="19"/>
  <c r="AC441" i="19"/>
  <c r="I441" i="19"/>
  <c r="J441" i="19"/>
  <c r="AC312" i="19"/>
  <c r="I312" i="19"/>
  <c r="J312" i="19"/>
  <c r="AC215" i="19"/>
  <c r="I215" i="19"/>
  <c r="J215" i="19"/>
  <c r="AC473" i="19"/>
  <c r="I473" i="19"/>
  <c r="J473" i="19"/>
  <c r="AC521" i="19"/>
  <c r="I521" i="19"/>
  <c r="J521" i="19"/>
  <c r="AC514" i="19"/>
  <c r="I514" i="19"/>
  <c r="J514" i="19"/>
  <c r="AC263" i="19"/>
  <c r="I263" i="19"/>
  <c r="J263" i="19"/>
  <c r="AC246" i="19"/>
  <c r="I246" i="19"/>
  <c r="J246" i="19"/>
  <c r="AC371" i="19"/>
  <c r="I371" i="19"/>
  <c r="J371" i="19"/>
  <c r="AC370" i="19"/>
  <c r="I370" i="19"/>
  <c r="J370" i="19"/>
  <c r="AC418" i="19"/>
  <c r="I418" i="19"/>
  <c r="J418" i="19"/>
  <c r="AC411" i="19"/>
  <c r="I411" i="19"/>
  <c r="J411" i="19"/>
  <c r="AC410" i="19"/>
  <c r="I410" i="19"/>
  <c r="J410" i="19"/>
  <c r="AC404" i="19"/>
  <c r="I404" i="19"/>
  <c r="J404" i="19"/>
  <c r="AC390" i="19"/>
  <c r="I390" i="19"/>
  <c r="J390" i="19"/>
  <c r="AC389" i="19"/>
  <c r="I389" i="19"/>
  <c r="J389" i="19"/>
  <c r="AC376" i="19"/>
  <c r="I376" i="19"/>
  <c r="J376" i="19"/>
  <c r="AC372" i="19"/>
  <c r="I372" i="19"/>
  <c r="J372" i="19"/>
  <c r="AC366" i="19"/>
  <c r="I366" i="19"/>
  <c r="J366" i="19"/>
  <c r="AC363" i="19"/>
  <c r="I363" i="19"/>
  <c r="J363" i="19"/>
  <c r="AC395" i="19"/>
  <c r="I395" i="19"/>
  <c r="J395" i="19"/>
  <c r="AC357" i="19"/>
  <c r="I357" i="19"/>
  <c r="J357" i="19"/>
  <c r="AC417" i="19"/>
  <c r="I417" i="19"/>
  <c r="J417" i="19"/>
  <c r="AC402" i="19"/>
  <c r="I402" i="19"/>
  <c r="J402" i="19"/>
  <c r="AC203" i="19"/>
  <c r="I203" i="19"/>
  <c r="J203" i="19"/>
  <c r="I546" i="19"/>
  <c r="J546" i="19"/>
  <c r="AC546" i="19"/>
  <c r="AC484" i="19"/>
  <c r="I484" i="19"/>
  <c r="J484" i="19"/>
  <c r="AC479" i="19"/>
  <c r="I479" i="19"/>
  <c r="J479" i="19"/>
  <c r="AC435" i="19"/>
  <c r="I435" i="19"/>
  <c r="J435" i="19"/>
  <c r="AC287" i="19"/>
  <c r="I287" i="19"/>
  <c r="J287" i="19"/>
  <c r="AC508" i="19"/>
  <c r="I508" i="19"/>
  <c r="J508" i="19"/>
  <c r="AC475" i="19"/>
  <c r="I475" i="19"/>
  <c r="J475" i="19"/>
  <c r="I474" i="19"/>
  <c r="J474" i="19"/>
  <c r="AC474" i="19"/>
  <c r="AC447" i="19"/>
  <c r="I447" i="19"/>
  <c r="J447" i="19"/>
  <c r="AC260" i="19"/>
  <c r="I260" i="19"/>
  <c r="J260" i="19"/>
  <c r="I432" i="19"/>
  <c r="J432" i="19"/>
  <c r="AC432" i="19"/>
  <c r="AC403" i="19"/>
  <c r="I403" i="19"/>
  <c r="J403" i="19"/>
  <c r="AC384" i="19"/>
  <c r="I384" i="19"/>
  <c r="J384" i="19"/>
  <c r="AC365" i="19"/>
  <c r="I365" i="19"/>
  <c r="J365" i="19"/>
  <c r="AC360" i="19"/>
  <c r="I360" i="19"/>
  <c r="J360" i="19"/>
  <c r="AC406" i="19"/>
  <c r="I406" i="19"/>
  <c r="J406" i="19"/>
  <c r="AC387" i="19"/>
  <c r="I387" i="19"/>
  <c r="J387" i="19"/>
  <c r="AC359" i="19"/>
  <c r="I359" i="19"/>
  <c r="J359" i="19"/>
  <c r="AC358" i="19"/>
  <c r="I358" i="19"/>
  <c r="J358" i="19"/>
  <c r="AC405" i="19"/>
  <c r="I405" i="19"/>
  <c r="J405" i="19"/>
  <c r="AC393" i="19"/>
  <c r="I393" i="19"/>
  <c r="J393" i="19"/>
  <c r="AC385" i="19"/>
  <c r="I385" i="19"/>
  <c r="J385" i="19"/>
  <c r="AC374" i="19"/>
  <c r="I374" i="19"/>
  <c r="J374" i="19"/>
  <c r="I386" i="19"/>
  <c r="J386" i="19"/>
  <c r="AC386" i="19"/>
  <c r="AC375" i="19"/>
  <c r="I375" i="19"/>
  <c r="J375" i="19"/>
  <c r="AC416" i="19"/>
  <c r="I416" i="19"/>
  <c r="J416" i="19"/>
  <c r="AC401" i="19"/>
  <c r="I401" i="19"/>
  <c r="J401" i="19"/>
  <c r="AC367" i="19"/>
  <c r="I367" i="19"/>
  <c r="J367" i="19"/>
  <c r="I355" i="19"/>
  <c r="J355" i="19"/>
  <c r="AC355" i="19"/>
  <c r="AC397" i="19"/>
  <c r="I397" i="19"/>
  <c r="J397" i="19"/>
  <c r="AC383" i="19"/>
  <c r="I383" i="19"/>
  <c r="J383" i="19"/>
  <c r="AC352" i="19"/>
  <c r="I352" i="19"/>
  <c r="J352" i="19"/>
  <c r="AC354" i="19"/>
  <c r="I354" i="19"/>
  <c r="J354" i="19"/>
  <c r="AC408" i="19"/>
  <c r="I408" i="19"/>
  <c r="J408" i="19"/>
  <c r="AC377" i="19"/>
  <c r="I377" i="19"/>
  <c r="J377" i="19"/>
  <c r="AC412" i="19"/>
  <c r="I412" i="19"/>
  <c r="J412" i="19"/>
  <c r="AC368" i="19"/>
  <c r="I368" i="19"/>
  <c r="J368" i="19"/>
  <c r="AC398" i="19"/>
  <c r="I398" i="19"/>
  <c r="J398" i="19"/>
  <c r="AC184" i="19"/>
  <c r="I184" i="19"/>
  <c r="J184" i="19"/>
  <c r="AC178" i="19"/>
  <c r="I178" i="19"/>
  <c r="J178" i="19"/>
  <c r="AC177" i="19"/>
  <c r="I177" i="19"/>
  <c r="J177" i="19"/>
  <c r="I179" i="19"/>
  <c r="J179" i="19"/>
  <c r="AC179" i="19"/>
  <c r="AC188" i="19"/>
  <c r="I188" i="19"/>
  <c r="J188" i="19"/>
  <c r="AC185" i="19"/>
  <c r="I185" i="19"/>
  <c r="J185" i="19"/>
  <c r="H216" i="19"/>
  <c r="AC216" i="19" s="1"/>
  <c r="I216" i="19"/>
  <c r="J216" i="19"/>
  <c r="AC344" i="19"/>
  <c r="I344" i="19"/>
  <c r="J344" i="19"/>
  <c r="AC262" i="19"/>
  <c r="I262" i="19"/>
  <c r="J262" i="19"/>
  <c r="AC242" i="19"/>
  <c r="I242" i="19"/>
  <c r="J242" i="19"/>
  <c r="AC194" i="19"/>
  <c r="I194" i="19"/>
  <c r="J194" i="19"/>
  <c r="AC545" i="19"/>
  <c r="I545" i="19"/>
  <c r="J545" i="19"/>
  <c r="AC502" i="19"/>
  <c r="I502" i="19"/>
  <c r="J502" i="19"/>
  <c r="AC493" i="19"/>
  <c r="I493" i="19"/>
  <c r="J493" i="19"/>
  <c r="AC462" i="19"/>
  <c r="I462" i="19"/>
  <c r="J462" i="19"/>
  <c r="AC434" i="19"/>
  <c r="I434" i="19"/>
  <c r="J434" i="19"/>
  <c r="AC317" i="19"/>
  <c r="I317" i="19"/>
  <c r="J317" i="19"/>
  <c r="I520" i="19"/>
  <c r="J520" i="19"/>
  <c r="AC520" i="19"/>
  <c r="AC482" i="19"/>
  <c r="I482" i="19"/>
  <c r="J482" i="19"/>
  <c r="AC325" i="19"/>
  <c r="I325" i="19"/>
  <c r="J325" i="19"/>
  <c r="AC257" i="19"/>
  <c r="I257" i="19"/>
  <c r="J257" i="19"/>
  <c r="AC301" i="19"/>
  <c r="I301" i="19"/>
  <c r="J301" i="19"/>
  <c r="AC515" i="19"/>
  <c r="I515" i="19"/>
  <c r="J515" i="19"/>
  <c r="AC513" i="19"/>
  <c r="I513" i="19"/>
  <c r="J513" i="19"/>
  <c r="AC491" i="19"/>
  <c r="I491" i="19"/>
  <c r="J491" i="19"/>
  <c r="AC477" i="19"/>
  <c r="I477" i="19"/>
  <c r="J477" i="19"/>
  <c r="AC455" i="19"/>
  <c r="I455" i="19"/>
  <c r="J455" i="19"/>
  <c r="AC307" i="19"/>
  <c r="I307" i="19"/>
  <c r="J307" i="19"/>
  <c r="AC210" i="19"/>
  <c r="I210" i="19"/>
  <c r="J210" i="19"/>
  <c r="AC226" i="19"/>
  <c r="I226" i="19"/>
  <c r="J226" i="19"/>
  <c r="AC272" i="19"/>
  <c r="I272" i="19"/>
  <c r="J272" i="19"/>
  <c r="AC458" i="19"/>
  <c r="I458" i="19"/>
  <c r="J458" i="19"/>
  <c r="AC267" i="19"/>
  <c r="I267" i="19"/>
  <c r="J267" i="19"/>
  <c r="AC289" i="19"/>
  <c r="I289" i="19"/>
  <c r="J289" i="19"/>
  <c r="AC324" i="19"/>
  <c r="I324" i="19"/>
  <c r="J324" i="19"/>
  <c r="AC466" i="19"/>
  <c r="I466" i="19"/>
  <c r="J466" i="19"/>
  <c r="H930" i="19"/>
  <c r="AC930" i="19" s="1"/>
  <c r="I930" i="19"/>
  <c r="J930" i="19"/>
  <c r="H227" i="19"/>
  <c r="AC227" i="19" s="1"/>
  <c r="I227" i="19"/>
  <c r="J227" i="19"/>
  <c r="AC319" i="19"/>
  <c r="I319" i="19"/>
  <c r="J319" i="19"/>
  <c r="AC240" i="19"/>
  <c r="I240" i="19"/>
  <c r="J240" i="19"/>
  <c r="I478" i="19"/>
  <c r="J478" i="19"/>
  <c r="AC478" i="19"/>
  <c r="AC461" i="19"/>
  <c r="I461" i="19"/>
  <c r="J461" i="19"/>
  <c r="AC531" i="19"/>
  <c r="I531" i="19"/>
  <c r="J531" i="19"/>
  <c r="AC252" i="19"/>
  <c r="I252" i="19"/>
  <c r="J252" i="19"/>
  <c r="AC510" i="19"/>
  <c r="I510" i="19"/>
  <c r="J510" i="19"/>
  <c r="AC468" i="19"/>
  <c r="I468" i="19"/>
  <c r="J468" i="19"/>
  <c r="AC433" i="19"/>
  <c r="I433" i="19"/>
  <c r="J433" i="19"/>
  <c r="AC306" i="19"/>
  <c r="I306" i="19"/>
  <c r="J306" i="19"/>
  <c r="AC298" i="19"/>
  <c r="I298" i="19"/>
  <c r="J298" i="19"/>
  <c r="AC305" i="19"/>
  <c r="I305" i="19"/>
  <c r="J305" i="19"/>
  <c r="AC204" i="19"/>
  <c r="I204" i="19"/>
  <c r="J204" i="19"/>
  <c r="I273" i="19"/>
  <c r="J273" i="19"/>
  <c r="AC273" i="19"/>
  <c r="AC232" i="19"/>
  <c r="I232" i="19"/>
  <c r="J232" i="19"/>
  <c r="AC550" i="19"/>
  <c r="I550" i="19"/>
  <c r="J550" i="19"/>
  <c r="AC424" i="19"/>
  <c r="I424" i="19"/>
  <c r="J424" i="19"/>
  <c r="AC519" i="19"/>
  <c r="I519" i="19"/>
  <c r="J519" i="19"/>
  <c r="AC245" i="19"/>
  <c r="I245" i="19"/>
  <c r="J245" i="19"/>
  <c r="AC421" i="19"/>
  <c r="I421" i="19"/>
  <c r="J421" i="19"/>
  <c r="AC422" i="19"/>
  <c r="I422" i="19"/>
  <c r="J422" i="19"/>
  <c r="AC193" i="19"/>
  <c r="I193" i="19"/>
  <c r="J193" i="19"/>
  <c r="AC191" i="19"/>
  <c r="I191" i="19"/>
  <c r="J191" i="19"/>
  <c r="AC467" i="19"/>
  <c r="I467" i="19"/>
  <c r="J467" i="19"/>
  <c r="AC451" i="19"/>
  <c r="I451" i="19"/>
  <c r="J451" i="19"/>
  <c r="AC353" i="19"/>
  <c r="I353" i="19"/>
  <c r="J353" i="19"/>
  <c r="I356" i="19"/>
  <c r="J356" i="19"/>
  <c r="AC356" i="19"/>
  <c r="AC170" i="19"/>
  <c r="I170" i="19"/>
  <c r="J170" i="19"/>
  <c r="H171" i="19"/>
  <c r="AC171" i="19" s="1"/>
  <c r="I171" i="19"/>
  <c r="J171" i="19"/>
  <c r="AC172" i="19"/>
  <c r="I172" i="19"/>
  <c r="J172" i="19"/>
  <c r="AC190" i="19"/>
  <c r="I190" i="19"/>
  <c r="J190" i="19"/>
  <c r="AC192" i="19"/>
  <c r="I192" i="19"/>
  <c r="J192" i="19"/>
  <c r="B17" i="16"/>
  <c r="E17" i="16"/>
  <c r="F17" i="16" s="1"/>
  <c r="G17" i="16"/>
  <c r="AC636" i="19"/>
  <c r="I636" i="19"/>
  <c r="J636" i="19"/>
  <c r="AC823" i="19"/>
  <c r="I823" i="19"/>
  <c r="J823" i="19"/>
  <c r="AC565" i="19"/>
  <c r="I565" i="19"/>
  <c r="J565" i="19"/>
  <c r="AC735" i="19"/>
  <c r="I735" i="19"/>
  <c r="J735" i="19"/>
  <c r="AC670" i="19"/>
  <c r="I670" i="19"/>
  <c r="J670" i="19"/>
  <c r="AC777" i="19"/>
  <c r="I777" i="19"/>
  <c r="J777" i="19"/>
  <c r="AC645" i="19"/>
  <c r="I645" i="19"/>
  <c r="J645" i="19"/>
  <c r="AC870" i="19"/>
  <c r="I870" i="19"/>
  <c r="J870" i="19"/>
  <c r="AC625" i="19"/>
  <c r="I625" i="19"/>
  <c r="J625" i="19"/>
  <c r="AC736" i="19"/>
  <c r="I736" i="19"/>
  <c r="J736" i="19"/>
  <c r="AC808" i="19"/>
  <c r="I808" i="19"/>
  <c r="J808" i="19"/>
  <c r="AC582" i="19"/>
  <c r="I582" i="19"/>
  <c r="J582" i="19"/>
  <c r="AC628" i="19"/>
  <c r="I628" i="19"/>
  <c r="J628" i="19"/>
  <c r="AC730" i="19"/>
  <c r="I730" i="19"/>
  <c r="J730" i="19"/>
  <c r="AC754" i="19"/>
  <c r="I754" i="19"/>
  <c r="J754" i="19"/>
  <c r="AC712" i="19"/>
  <c r="I712" i="19"/>
  <c r="J712" i="19"/>
  <c r="AC692" i="19"/>
  <c r="I692" i="19"/>
  <c r="J692" i="19"/>
  <c r="AC724" i="19"/>
  <c r="I724" i="19"/>
  <c r="J724" i="19"/>
  <c r="AC593" i="19"/>
  <c r="I593" i="19"/>
  <c r="J593" i="19"/>
  <c r="AC841" i="19"/>
  <c r="I841" i="19"/>
  <c r="J841" i="19"/>
  <c r="AC653" i="19"/>
  <c r="I653" i="19"/>
  <c r="J653" i="19"/>
  <c r="AC722" i="19"/>
  <c r="I722" i="19"/>
  <c r="J722" i="19"/>
  <c r="AC719" i="19"/>
  <c r="I719" i="19"/>
  <c r="J719" i="19"/>
  <c r="AC756" i="19"/>
  <c r="I756" i="19"/>
  <c r="J756" i="19"/>
  <c r="AC691" i="19"/>
  <c r="I691" i="19"/>
  <c r="J691" i="19"/>
  <c r="AC728" i="19"/>
  <c r="I728" i="19"/>
  <c r="J728" i="19"/>
  <c r="AC633" i="19"/>
  <c r="I633" i="19"/>
  <c r="J633" i="19"/>
  <c r="AC774" i="19"/>
  <c r="I774" i="19"/>
  <c r="J774" i="19"/>
  <c r="AC860" i="19"/>
  <c r="I860" i="19"/>
  <c r="J860" i="19"/>
  <c r="AC571" i="19"/>
  <c r="I571" i="19"/>
  <c r="J571" i="19"/>
  <c r="AC709" i="19"/>
  <c r="I709" i="19"/>
  <c r="J709" i="19"/>
  <c r="AC920" i="19"/>
  <c r="I920" i="19"/>
  <c r="J920" i="19"/>
  <c r="AC923" i="19"/>
  <c r="I923" i="19"/>
  <c r="J923" i="19"/>
  <c r="AC914" i="19"/>
  <c r="I914" i="19"/>
  <c r="J914" i="19"/>
  <c r="AC916" i="19"/>
  <c r="I916" i="19"/>
  <c r="J916" i="19"/>
  <c r="AC908" i="19"/>
  <c r="I908" i="19"/>
  <c r="J908" i="19"/>
  <c r="AC897" i="19"/>
  <c r="I897" i="19"/>
  <c r="J897" i="19"/>
  <c r="AC892" i="19"/>
  <c r="I892" i="19"/>
  <c r="J892" i="19"/>
  <c r="AC888" i="19"/>
  <c r="I888" i="19"/>
  <c r="J888" i="19"/>
  <c r="AC887" i="19"/>
  <c r="I887" i="19"/>
  <c r="J887" i="19"/>
  <c r="I881" i="19"/>
  <c r="J881" i="19"/>
  <c r="AC881" i="19"/>
  <c r="AC876" i="19"/>
  <c r="I876" i="19"/>
  <c r="J876" i="19"/>
  <c r="AC873" i="19"/>
  <c r="I873" i="19"/>
  <c r="J873" i="19"/>
  <c r="AC867" i="19"/>
  <c r="I867" i="19"/>
  <c r="J867" i="19"/>
  <c r="AC861" i="19"/>
  <c r="I861" i="19"/>
  <c r="J861" i="19"/>
  <c r="AC848" i="19"/>
  <c r="I848" i="19"/>
  <c r="J848" i="19"/>
  <c r="AC836" i="19"/>
  <c r="I836" i="19"/>
  <c r="J836" i="19"/>
  <c r="AC827" i="19"/>
  <c r="I827" i="19"/>
  <c r="J827" i="19"/>
  <c r="AC788" i="19"/>
  <c r="I788" i="19"/>
  <c r="J788" i="19"/>
  <c r="AC782" i="19"/>
  <c r="I782" i="19"/>
  <c r="J782" i="19"/>
  <c r="AC773" i="19"/>
  <c r="I773" i="19"/>
  <c r="J773" i="19"/>
  <c r="AC757" i="19"/>
  <c r="I757" i="19"/>
  <c r="J757" i="19"/>
  <c r="AC749" i="19"/>
  <c r="I749" i="19"/>
  <c r="J749" i="19"/>
  <c r="AC746" i="19"/>
  <c r="I746" i="19"/>
  <c r="J746" i="19"/>
  <c r="AC732" i="19"/>
  <c r="I732" i="19"/>
  <c r="J732" i="19"/>
  <c r="AC718" i="19"/>
  <c r="I718" i="19"/>
  <c r="J718" i="19"/>
  <c r="AC717" i="19"/>
  <c r="I717" i="19"/>
  <c r="J717" i="19"/>
  <c r="AC702" i="19"/>
  <c r="I702" i="19"/>
  <c r="J702" i="19"/>
  <c r="AC695" i="19"/>
  <c r="I695" i="19"/>
  <c r="J695" i="19"/>
  <c r="AC688" i="19"/>
  <c r="I688" i="19"/>
  <c r="J688" i="19"/>
  <c r="AC669" i="19"/>
  <c r="I669" i="19"/>
  <c r="J669" i="19"/>
  <c r="AC666" i="19"/>
  <c r="I666" i="19"/>
  <c r="J666" i="19"/>
  <c r="AC665" i="19"/>
  <c r="I665" i="19"/>
  <c r="J665" i="19"/>
  <c r="I664" i="19"/>
  <c r="J664" i="19"/>
  <c r="AC664" i="19"/>
  <c r="AC661" i="19"/>
  <c r="I661" i="19"/>
  <c r="J661" i="19"/>
  <c r="AC650" i="19"/>
  <c r="I650" i="19"/>
  <c r="J650" i="19"/>
  <c r="AC629" i="19"/>
  <c r="I629" i="19"/>
  <c r="J629" i="19"/>
  <c r="AC620" i="19"/>
  <c r="I620" i="19"/>
  <c r="J620" i="19"/>
  <c r="AC619" i="19"/>
  <c r="I619" i="19"/>
  <c r="J619" i="19"/>
  <c r="AC612" i="19"/>
  <c r="I612" i="19"/>
  <c r="J612" i="19"/>
  <c r="AC605" i="19"/>
  <c r="I605" i="19"/>
  <c r="J605" i="19"/>
  <c r="AC603" i="19"/>
  <c r="I603" i="19"/>
  <c r="J603" i="19"/>
  <c r="AC599" i="19"/>
  <c r="I599" i="19"/>
  <c r="J599" i="19"/>
  <c r="AC598" i="19"/>
  <c r="I598" i="19"/>
  <c r="J598" i="19"/>
  <c r="AC579" i="19"/>
  <c r="I579" i="19"/>
  <c r="J579" i="19"/>
  <c r="AC578" i="19"/>
  <c r="I578" i="19"/>
  <c r="J578" i="19"/>
  <c r="AC567" i="19"/>
  <c r="I567" i="19"/>
  <c r="J567" i="19"/>
  <c r="AC917" i="19"/>
  <c r="I917" i="19"/>
  <c r="J917" i="19"/>
  <c r="AC898" i="19"/>
  <c r="I898" i="19"/>
  <c r="J898" i="19"/>
  <c r="AC893" i="19"/>
  <c r="I893" i="19"/>
  <c r="J893" i="19"/>
  <c r="AC839" i="19"/>
  <c r="I839" i="19"/>
  <c r="J839" i="19"/>
  <c r="AC831" i="19"/>
  <c r="I831" i="19"/>
  <c r="J831" i="19"/>
  <c r="AC783" i="19"/>
  <c r="I783" i="19"/>
  <c r="J783" i="19"/>
  <c r="AC731" i="19"/>
  <c r="I731" i="19"/>
  <c r="J731" i="19"/>
  <c r="AC696" i="19"/>
  <c r="I696" i="19"/>
  <c r="J696" i="19"/>
  <c r="AC687" i="19"/>
  <c r="I687" i="19"/>
  <c r="J687" i="19"/>
  <c r="AC685" i="19"/>
  <c r="I685" i="19"/>
  <c r="J685" i="19"/>
  <c r="AC663" i="19"/>
  <c r="I663" i="19"/>
  <c r="J663" i="19"/>
  <c r="AC602" i="19"/>
  <c r="I602" i="19"/>
  <c r="J602" i="19"/>
  <c r="AC587" i="19"/>
  <c r="I587" i="19"/>
  <c r="J587" i="19"/>
  <c r="AC771" i="19"/>
  <c r="I771" i="19"/>
  <c r="J771" i="19"/>
  <c r="AC919" i="19"/>
  <c r="I919" i="19"/>
  <c r="J919" i="19"/>
  <c r="AC921" i="19"/>
  <c r="I921" i="19"/>
  <c r="J921" i="19"/>
  <c r="AC915" i="19"/>
  <c r="I915" i="19"/>
  <c r="J915" i="19"/>
  <c r="AC913" i="19"/>
  <c r="I913" i="19"/>
  <c r="J913" i="19"/>
  <c r="AC820" i="19"/>
  <c r="I820" i="19"/>
  <c r="J820" i="19"/>
  <c r="AC671" i="19"/>
  <c r="I671" i="19"/>
  <c r="J671" i="19"/>
  <c r="I834" i="19"/>
  <c r="J834" i="19"/>
  <c r="AC834" i="19"/>
  <c r="AC560" i="19"/>
  <c r="I560" i="19"/>
  <c r="J560" i="19"/>
  <c r="AC902" i="19"/>
  <c r="I902" i="19"/>
  <c r="J902" i="19"/>
  <c r="AC792" i="19"/>
  <c r="I792" i="19"/>
  <c r="J792" i="19"/>
  <c r="AC657" i="19"/>
  <c r="I657" i="19"/>
  <c r="J657" i="19"/>
  <c r="AC760" i="19"/>
  <c r="I760" i="19"/>
  <c r="J760" i="19"/>
  <c r="AC802" i="19"/>
  <c r="I802" i="19"/>
  <c r="J802" i="19"/>
  <c r="AC793" i="19"/>
  <c r="I793" i="19"/>
  <c r="J793" i="19"/>
  <c r="AC595" i="19"/>
  <c r="I595" i="19"/>
  <c r="J595" i="19"/>
  <c r="AC655" i="19"/>
  <c r="I655" i="19"/>
  <c r="J655" i="19"/>
  <c r="AC654" i="19"/>
  <c r="I654" i="19"/>
  <c r="J654" i="19"/>
  <c r="I726" i="19"/>
  <c r="J726" i="19"/>
  <c r="AC726" i="19"/>
  <c r="AC615" i="19"/>
  <c r="I615" i="19"/>
  <c r="J615" i="19"/>
  <c r="AC613" i="19"/>
  <c r="I613" i="19"/>
  <c r="J613" i="19"/>
  <c r="AC855" i="19"/>
  <c r="I855" i="19"/>
  <c r="J855" i="19"/>
  <c r="AC804" i="19"/>
  <c r="I804" i="19"/>
  <c r="J804" i="19"/>
  <c r="AC676" i="19"/>
  <c r="I676" i="19"/>
  <c r="J676" i="19"/>
  <c r="AC614" i="19"/>
  <c r="I614" i="19"/>
  <c r="J614" i="19"/>
  <c r="I775" i="19"/>
  <c r="J775" i="19"/>
  <c r="AC775" i="19"/>
  <c r="AC580" i="19"/>
  <c r="I580" i="19"/>
  <c r="J580" i="19"/>
  <c r="AC905" i="19"/>
  <c r="I905" i="19"/>
  <c r="J905" i="19"/>
  <c r="I720" i="19"/>
  <c r="J720" i="19"/>
  <c r="AC720" i="19"/>
  <c r="AC769" i="19"/>
  <c r="I769" i="19"/>
  <c r="J769" i="19"/>
  <c r="AC805" i="19"/>
  <c r="I805" i="19"/>
  <c r="J805" i="19"/>
  <c r="I608" i="19"/>
  <c r="J608" i="19"/>
  <c r="AC608" i="19"/>
  <c r="AC803" i="19"/>
  <c r="I803" i="19"/>
  <c r="J803" i="19"/>
  <c r="AC814" i="19"/>
  <c r="I814" i="19"/>
  <c r="J814" i="19"/>
  <c r="AC680" i="19"/>
  <c r="I680" i="19"/>
  <c r="J680" i="19"/>
  <c r="AC835" i="19"/>
  <c r="I835" i="19"/>
  <c r="J835" i="19"/>
  <c r="AC630" i="19"/>
  <c r="I630" i="19"/>
  <c r="J630" i="19"/>
  <c r="AC682" i="19"/>
  <c r="I682" i="19"/>
  <c r="J682" i="19"/>
  <c r="AC651" i="19"/>
  <c r="I651" i="19"/>
  <c r="J651" i="19"/>
  <c r="AC721" i="19"/>
  <c r="I721" i="19"/>
  <c r="J721" i="19"/>
  <c r="AC816" i="19"/>
  <c r="I816" i="19"/>
  <c r="J816" i="19"/>
  <c r="AC646" i="19"/>
  <c r="I646" i="19"/>
  <c r="J646" i="19"/>
  <c r="AC693" i="19"/>
  <c r="I693" i="19"/>
  <c r="J693" i="19"/>
  <c r="AC584" i="19"/>
  <c r="I584" i="19"/>
  <c r="J584" i="19"/>
  <c r="AC899" i="19"/>
  <c r="I899" i="19"/>
  <c r="J899" i="19"/>
  <c r="AC795" i="19"/>
  <c r="I795" i="19"/>
  <c r="J795" i="19"/>
  <c r="I807" i="19"/>
  <c r="J807" i="19"/>
  <c r="AC807" i="19"/>
  <c r="AC632" i="19"/>
  <c r="I632" i="19"/>
  <c r="J632" i="19"/>
  <c r="AC853" i="19"/>
  <c r="I853" i="19"/>
  <c r="J853" i="19"/>
  <c r="AC740" i="19"/>
  <c r="I740" i="19"/>
  <c r="J740" i="19"/>
  <c r="AC789" i="19"/>
  <c r="I789" i="19"/>
  <c r="J789" i="19"/>
  <c r="AC656" i="19"/>
  <c r="I656" i="19"/>
  <c r="J656" i="19"/>
  <c r="AC758" i="19"/>
  <c r="I758" i="19"/>
  <c r="J758" i="19"/>
  <c r="AC574" i="19"/>
  <c r="I574" i="19"/>
  <c r="J574" i="19"/>
  <c r="AC798" i="19"/>
  <c r="I798" i="19"/>
  <c r="J798" i="19"/>
  <c r="AC766" i="19"/>
  <c r="I766" i="19"/>
  <c r="J766" i="19"/>
  <c r="AC677" i="19"/>
  <c r="I677" i="19"/>
  <c r="J677" i="19"/>
  <c r="AC763" i="19"/>
  <c r="I763" i="19"/>
  <c r="J763" i="19"/>
  <c r="AC906" i="19"/>
  <c r="I906" i="19"/>
  <c r="J906" i="19"/>
  <c r="AC843" i="19"/>
  <c r="I843" i="19"/>
  <c r="J843" i="19"/>
  <c r="AC644" i="19"/>
  <c r="I644" i="19"/>
  <c r="J644" i="19"/>
  <c r="AC862" i="19"/>
  <c r="I862" i="19"/>
  <c r="J862" i="19"/>
  <c r="AC896" i="19"/>
  <c r="I896" i="19"/>
  <c r="J896" i="19"/>
  <c r="AC649" i="19"/>
  <c r="I649" i="19"/>
  <c r="J649" i="19"/>
  <c r="AC904" i="19"/>
  <c r="I904" i="19"/>
  <c r="J904" i="19"/>
  <c r="AC865" i="19"/>
  <c r="I865" i="19"/>
  <c r="J865" i="19"/>
  <c r="AC846" i="19"/>
  <c r="I846" i="19"/>
  <c r="J846" i="19"/>
  <c r="AC909" i="19"/>
  <c r="I909" i="19"/>
  <c r="J909" i="19"/>
  <c r="AC857" i="19"/>
  <c r="I857" i="19"/>
  <c r="J857" i="19"/>
  <c r="AC678" i="19"/>
  <c r="I678" i="19"/>
  <c r="J678" i="19"/>
  <c r="AC787" i="19"/>
  <c r="I787" i="19"/>
  <c r="J787" i="19"/>
  <c r="AC572" i="19"/>
  <c r="I572" i="19"/>
  <c r="J572" i="19"/>
  <c r="AC575" i="19"/>
  <c r="I575" i="19"/>
  <c r="J575" i="19"/>
  <c r="AC874" i="19"/>
  <c r="I874" i="19"/>
  <c r="J874" i="19"/>
  <c r="AC647" i="19"/>
  <c r="I647" i="19"/>
  <c r="J647" i="19"/>
  <c r="AC640" i="19"/>
  <c r="I640" i="19"/>
  <c r="J640" i="19"/>
  <c r="AC745" i="19"/>
  <c r="I745" i="19"/>
  <c r="J745" i="19"/>
  <c r="AC638" i="19"/>
  <c r="I638" i="19"/>
  <c r="J638" i="19"/>
  <c r="AC675" i="19"/>
  <c r="I675" i="19"/>
  <c r="J675" i="19"/>
  <c r="AC566" i="19"/>
  <c r="I566" i="19"/>
  <c r="J566" i="19"/>
  <c r="AC714" i="19"/>
  <c r="I714" i="19"/>
  <c r="J714" i="19"/>
  <c r="AC561" i="19"/>
  <c r="I561" i="19"/>
  <c r="J561" i="19"/>
  <c r="AC753" i="19"/>
  <c r="I753" i="19"/>
  <c r="J753" i="19"/>
  <c r="I900" i="19"/>
  <c r="J900" i="19"/>
  <c r="AC900" i="19"/>
  <c r="AC667" i="19"/>
  <c r="I667" i="19"/>
  <c r="J667" i="19"/>
  <c r="AC755" i="19"/>
  <c r="I755" i="19"/>
  <c r="J755" i="19"/>
  <c r="AC634" i="19"/>
  <c r="I634" i="19"/>
  <c r="J634" i="19"/>
  <c r="AC883" i="19"/>
  <c r="I883" i="19"/>
  <c r="J883" i="19"/>
  <c r="I716" i="19"/>
  <c r="J716" i="19"/>
  <c r="AC716" i="19"/>
  <c r="AC817" i="19"/>
  <c r="I817" i="19"/>
  <c r="J817" i="19"/>
  <c r="AC591" i="19"/>
  <c r="I591" i="19"/>
  <c r="J591" i="19"/>
  <c r="AC751" i="19"/>
  <c r="I751" i="19"/>
  <c r="J751" i="19"/>
  <c r="AC891" i="19"/>
  <c r="I891" i="19"/>
  <c r="J891" i="19"/>
  <c r="AC707" i="19"/>
  <c r="I707" i="19"/>
  <c r="J707" i="19"/>
  <c r="AC652" i="19"/>
  <c r="I652" i="19"/>
  <c r="J652" i="19"/>
  <c r="AC701" i="19"/>
  <c r="I701" i="19"/>
  <c r="J701" i="19"/>
  <c r="AC781" i="19"/>
  <c r="I781" i="19"/>
  <c r="J781" i="19"/>
  <c r="AC744" i="19"/>
  <c r="I744" i="19"/>
  <c r="J744" i="19"/>
  <c r="AC604" i="19"/>
  <c r="I604" i="19"/>
  <c r="J604" i="19"/>
  <c r="AC697" i="19"/>
  <c r="I697" i="19"/>
  <c r="J697" i="19"/>
  <c r="AC850" i="19"/>
  <c r="I850" i="19"/>
  <c r="J850" i="19"/>
  <c r="AC851" i="19"/>
  <c r="I851" i="19"/>
  <c r="J851" i="19"/>
  <c r="AC901" i="19"/>
  <c r="I901" i="19"/>
  <c r="J901" i="19"/>
  <c r="AC592" i="19"/>
  <c r="I592" i="19"/>
  <c r="J592" i="19"/>
  <c r="AC819" i="19"/>
  <c r="I819" i="19"/>
  <c r="J819" i="19"/>
  <c r="AC910" i="19"/>
  <c r="I910" i="19"/>
  <c r="J910" i="19"/>
  <c r="AC708" i="19"/>
  <c r="I708" i="19"/>
  <c r="J708" i="19"/>
  <c r="AC648" i="19"/>
  <c r="I648" i="19"/>
  <c r="J648" i="19"/>
  <c r="AC847" i="19"/>
  <c r="I847" i="19"/>
  <c r="J847" i="19"/>
  <c r="AC568" i="19"/>
  <c r="I568" i="19"/>
  <c r="J568" i="19"/>
  <c r="AC838" i="19"/>
  <c r="I838" i="19"/>
  <c r="J838" i="19"/>
  <c r="AC765" i="19"/>
  <c r="I765" i="19"/>
  <c r="J765" i="19"/>
  <c r="AC611" i="19"/>
  <c r="I611" i="19"/>
  <c r="J611" i="19"/>
  <c r="AC597" i="19"/>
  <c r="I597" i="19"/>
  <c r="J597" i="19"/>
  <c r="AC830" i="19"/>
  <c r="I830" i="19"/>
  <c r="J830" i="19"/>
  <c r="AC662" i="19"/>
  <c r="I662" i="19"/>
  <c r="J662" i="19"/>
  <c r="AC576" i="19"/>
  <c r="I576" i="19"/>
  <c r="J576" i="19"/>
  <c r="AC747" i="19"/>
  <c r="I747" i="19"/>
  <c r="J747" i="19"/>
  <c r="AC911" i="19"/>
  <c r="I911" i="19"/>
  <c r="J911" i="19"/>
  <c r="AC894" i="19"/>
  <c r="I894" i="19"/>
  <c r="J894" i="19"/>
  <c r="AC907" i="19"/>
  <c r="I907" i="19"/>
  <c r="J907" i="19"/>
  <c r="AC849" i="19"/>
  <c r="I849" i="19"/>
  <c r="J849" i="19"/>
  <c r="AC631" i="19"/>
  <c r="I631" i="19"/>
  <c r="J631" i="19"/>
  <c r="I577" i="19"/>
  <c r="J577" i="19"/>
  <c r="AC577" i="19"/>
  <c r="AC733" i="19"/>
  <c r="I733" i="19"/>
  <c r="J733" i="19"/>
  <c r="AC623" i="19"/>
  <c r="I623" i="19"/>
  <c r="J623" i="19"/>
  <c r="I879" i="19"/>
  <c r="J879" i="19"/>
  <c r="AC879" i="19"/>
  <c r="AC641" i="19"/>
  <c r="I641" i="19"/>
  <c r="J641" i="19"/>
  <c r="AC764" i="19"/>
  <c r="I764" i="19"/>
  <c r="J764" i="19"/>
  <c r="AC715" i="19"/>
  <c r="I715" i="19"/>
  <c r="J715" i="19"/>
  <c r="AC884" i="19"/>
  <c r="I884" i="19"/>
  <c r="J884" i="19"/>
  <c r="AC609" i="19"/>
  <c r="I609" i="19"/>
  <c r="J609" i="19"/>
  <c r="AC815" i="19"/>
  <c r="I815" i="19"/>
  <c r="J815" i="19"/>
  <c r="AC585" i="19"/>
  <c r="I585" i="19"/>
  <c r="J585" i="19"/>
  <c r="AC606" i="19"/>
  <c r="I606" i="19"/>
  <c r="J606" i="19"/>
  <c r="AC864" i="19"/>
  <c r="I864" i="19"/>
  <c r="J864" i="19"/>
  <c r="AC698" i="19"/>
  <c r="I698" i="19"/>
  <c r="J698" i="19"/>
  <c r="AC875" i="19"/>
  <c r="I875" i="19"/>
  <c r="J875" i="19"/>
  <c r="AC895" i="19"/>
  <c r="I895" i="19"/>
  <c r="J895" i="19"/>
  <c r="AC624" i="19"/>
  <c r="I624" i="19"/>
  <c r="J624" i="19"/>
  <c r="AC679" i="19"/>
  <c r="I679" i="19"/>
  <c r="J679" i="19"/>
  <c r="AC660" i="19"/>
  <c r="I660" i="19"/>
  <c r="J660" i="19"/>
  <c r="AC621" i="19"/>
  <c r="I621" i="19"/>
  <c r="J621" i="19"/>
  <c r="AC837" i="19"/>
  <c r="I837" i="19"/>
  <c r="J837" i="19"/>
  <c r="AC729" i="19"/>
  <c r="I729" i="19"/>
  <c r="J729" i="19"/>
  <c r="AC600" i="19"/>
  <c r="I600" i="19"/>
  <c r="J600" i="19"/>
  <c r="AC589" i="19"/>
  <c r="I589" i="19"/>
  <c r="J589" i="19"/>
  <c r="AC885" i="19"/>
  <c r="I885" i="19"/>
  <c r="J885" i="19"/>
  <c r="AC890" i="19"/>
  <c r="I890" i="19"/>
  <c r="J890" i="19"/>
  <c r="AC780" i="19"/>
  <c r="I780" i="19"/>
  <c r="J780" i="19"/>
  <c r="AC639" i="19"/>
  <c r="I639" i="19"/>
  <c r="J639" i="19"/>
  <c r="AC785" i="19"/>
  <c r="I785" i="19"/>
  <c r="J785" i="19"/>
  <c r="AC637" i="19"/>
  <c r="I637" i="19"/>
  <c r="J637" i="19"/>
  <c r="AC713" i="19"/>
  <c r="I713" i="19"/>
  <c r="J713" i="19"/>
  <c r="AC750" i="19"/>
  <c r="I750" i="19"/>
  <c r="J750" i="19"/>
  <c r="AC700" i="19"/>
  <c r="I700" i="19"/>
  <c r="J700" i="19"/>
  <c r="AC748" i="19"/>
  <c r="I748" i="19"/>
  <c r="J748" i="19"/>
  <c r="AC776" i="19"/>
  <c r="I776" i="19"/>
  <c r="J776" i="19"/>
  <c r="AC922" i="19"/>
  <c r="I922" i="19"/>
  <c r="J922" i="19"/>
  <c r="AC918" i="19"/>
  <c r="I918" i="19"/>
  <c r="J918" i="19"/>
  <c r="AC912" i="19"/>
  <c r="I912" i="19"/>
  <c r="J912" i="19"/>
  <c r="AC889" i="19"/>
  <c r="I889" i="19"/>
  <c r="J889" i="19"/>
  <c r="AC878" i="19"/>
  <c r="I878" i="19"/>
  <c r="J878" i="19"/>
  <c r="AC877" i="19"/>
  <c r="I877" i="19"/>
  <c r="J877" i="19"/>
  <c r="AC872" i="19"/>
  <c r="I872" i="19"/>
  <c r="J872" i="19"/>
  <c r="AC871" i="19"/>
  <c r="I871" i="19"/>
  <c r="J871" i="19"/>
  <c r="AC866" i="19"/>
  <c r="I866" i="19"/>
  <c r="J866" i="19"/>
  <c r="AC863" i="19"/>
  <c r="I863" i="19"/>
  <c r="J863" i="19"/>
  <c r="AC858" i="19"/>
  <c r="I858" i="19"/>
  <c r="J858" i="19"/>
  <c r="AC833" i="19"/>
  <c r="I833" i="19"/>
  <c r="J833" i="19"/>
  <c r="AC832" i="19"/>
  <c r="I832" i="19"/>
  <c r="J832" i="19"/>
  <c r="AC829" i="19"/>
  <c r="I829" i="19"/>
  <c r="J829" i="19"/>
  <c r="AC821" i="19"/>
  <c r="I821" i="19"/>
  <c r="J821" i="19"/>
  <c r="AC818" i="19"/>
  <c r="I818" i="19"/>
  <c r="J818" i="19"/>
  <c r="AC813" i="19"/>
  <c r="I813" i="19"/>
  <c r="J813" i="19"/>
  <c r="AC812" i="19"/>
  <c r="I812" i="19"/>
  <c r="J812" i="19"/>
  <c r="AC799" i="19"/>
  <c r="I799" i="19"/>
  <c r="J799" i="19"/>
  <c r="AC790" i="19"/>
  <c r="I790" i="19"/>
  <c r="J790" i="19"/>
  <c r="AC786" i="19"/>
  <c r="I786" i="19"/>
  <c r="J786" i="19"/>
  <c r="AC772" i="19"/>
  <c r="I772" i="19"/>
  <c r="J772" i="19"/>
  <c r="AC743" i="19"/>
  <c r="I743" i="19"/>
  <c r="J743" i="19"/>
  <c r="AC734" i="19"/>
  <c r="I734" i="19"/>
  <c r="J734" i="19"/>
  <c r="AC727" i="19"/>
  <c r="I727" i="19"/>
  <c r="J727" i="19"/>
  <c r="AC711" i="19"/>
  <c r="I711" i="19"/>
  <c r="J711" i="19"/>
  <c r="AC710" i="19"/>
  <c r="I710" i="19"/>
  <c r="J710" i="19"/>
  <c r="AC703" i="19"/>
  <c r="I703" i="19"/>
  <c r="J703" i="19"/>
  <c r="AC690" i="19"/>
  <c r="I690" i="19"/>
  <c r="J690" i="19"/>
  <c r="AC684" i="19"/>
  <c r="I684" i="19"/>
  <c r="J684" i="19"/>
  <c r="AC681" i="19"/>
  <c r="I681" i="19"/>
  <c r="J681" i="19"/>
  <c r="AC668" i="19"/>
  <c r="I668" i="19"/>
  <c r="J668" i="19"/>
  <c r="AC642" i="19"/>
  <c r="I642" i="19"/>
  <c r="J642" i="19"/>
  <c r="AC635" i="19"/>
  <c r="I635" i="19"/>
  <c r="J635" i="19"/>
  <c r="AC626" i="19"/>
  <c r="I626" i="19"/>
  <c r="J626" i="19"/>
  <c r="AC622" i="19"/>
  <c r="I622" i="19"/>
  <c r="J622" i="19"/>
  <c r="AC618" i="19"/>
  <c r="I618" i="19"/>
  <c r="J618" i="19"/>
  <c r="AC610" i="19"/>
  <c r="I610" i="19"/>
  <c r="J610" i="19"/>
  <c r="AC601" i="19"/>
  <c r="I601" i="19"/>
  <c r="J601" i="19"/>
  <c r="AC586" i="19"/>
  <c r="I586" i="19"/>
  <c r="J586" i="19"/>
  <c r="AC569" i="19"/>
  <c r="I569" i="19"/>
  <c r="J569" i="19"/>
  <c r="AC856" i="19"/>
  <c r="I856" i="19"/>
  <c r="J856" i="19"/>
  <c r="AC779" i="19"/>
  <c r="I779" i="19"/>
  <c r="J779" i="19"/>
  <c r="AC752" i="19"/>
  <c r="I752" i="19"/>
  <c r="J752" i="19"/>
  <c r="AC840" i="19"/>
  <c r="I840" i="19"/>
  <c r="J840" i="19"/>
  <c r="AC689" i="19"/>
  <c r="I689" i="19"/>
  <c r="J689" i="19"/>
  <c r="AC791" i="19"/>
  <c r="I791" i="19"/>
  <c r="J791" i="19"/>
  <c r="AC880" i="19"/>
  <c r="I880" i="19"/>
  <c r="J880" i="19"/>
  <c r="AC869" i="19"/>
  <c r="I869" i="19"/>
  <c r="J869" i="19"/>
  <c r="AC868" i="19"/>
  <c r="I868" i="19"/>
  <c r="J868" i="19"/>
  <c r="AC859" i="19"/>
  <c r="I859" i="19"/>
  <c r="J859" i="19"/>
  <c r="AC842" i="19"/>
  <c r="I842" i="19"/>
  <c r="J842" i="19"/>
  <c r="AC828" i="19"/>
  <c r="I828" i="19"/>
  <c r="J828" i="19"/>
  <c r="AC824" i="19"/>
  <c r="I824" i="19"/>
  <c r="J824" i="19"/>
  <c r="I797" i="19"/>
  <c r="J797" i="19"/>
  <c r="AC797" i="19"/>
  <c r="AC778" i="19"/>
  <c r="I778" i="19"/>
  <c r="J778" i="19"/>
  <c r="AC768" i="19"/>
  <c r="I768" i="19"/>
  <c r="J768" i="19"/>
  <c r="AC762" i="19"/>
  <c r="I762" i="19"/>
  <c r="J762" i="19"/>
  <c r="AC759" i="19"/>
  <c r="I759" i="19"/>
  <c r="J759" i="19"/>
  <c r="AC742" i="19"/>
  <c r="I742" i="19"/>
  <c r="J742" i="19"/>
  <c r="AC739" i="19"/>
  <c r="I739" i="19"/>
  <c r="J739" i="19"/>
  <c r="AC725" i="19"/>
  <c r="I725" i="19"/>
  <c r="J725" i="19"/>
  <c r="AC705" i="19"/>
  <c r="I705" i="19"/>
  <c r="J705" i="19"/>
  <c r="AC704" i="19"/>
  <c r="I704" i="19"/>
  <c r="J704" i="19"/>
  <c r="AC694" i="19"/>
  <c r="I694" i="19"/>
  <c r="J694" i="19"/>
  <c r="AC686" i="19"/>
  <c r="I686" i="19"/>
  <c r="J686" i="19"/>
  <c r="AC683" i="19"/>
  <c r="I683" i="19"/>
  <c r="J683" i="19"/>
  <c r="AC643" i="19"/>
  <c r="I643" i="19"/>
  <c r="J643" i="19"/>
  <c r="AC607" i="19"/>
  <c r="I607" i="19"/>
  <c r="J607" i="19"/>
  <c r="AC594" i="19"/>
  <c r="I594" i="19"/>
  <c r="J594" i="19"/>
  <c r="AC590" i="19"/>
  <c r="I590" i="19"/>
  <c r="J590" i="19"/>
  <c r="AC588" i="19"/>
  <c r="I588" i="19"/>
  <c r="J588" i="19"/>
  <c r="AC573" i="19"/>
  <c r="I573" i="19"/>
  <c r="J573" i="19"/>
  <c r="AC903" i="19"/>
  <c r="I903" i="19"/>
  <c r="J903" i="19"/>
  <c r="AC844" i="19"/>
  <c r="I844" i="19"/>
  <c r="J844" i="19"/>
  <c r="AC741" i="19"/>
  <c r="I741" i="19"/>
  <c r="J741" i="19"/>
  <c r="AC699" i="19"/>
  <c r="I699" i="19"/>
  <c r="J699" i="19"/>
  <c r="AC617" i="19"/>
  <c r="I617" i="19"/>
  <c r="J617" i="19"/>
  <c r="AC886" i="19"/>
  <c r="I886" i="19"/>
  <c r="J886" i="19"/>
  <c r="I852" i="19"/>
  <c r="J852" i="19"/>
  <c r="AC852" i="19"/>
  <c r="AC845" i="19"/>
  <c r="I845" i="19"/>
  <c r="J845" i="19"/>
  <c r="AC826" i="19"/>
  <c r="I826" i="19"/>
  <c r="J826" i="19"/>
  <c r="AC809" i="19"/>
  <c r="I809" i="19"/>
  <c r="J809" i="19"/>
  <c r="AC800" i="19"/>
  <c r="I800" i="19"/>
  <c r="J800" i="19"/>
  <c r="AC770" i="19"/>
  <c r="I770" i="19"/>
  <c r="J770" i="19"/>
  <c r="AC767" i="19"/>
  <c r="I767" i="19"/>
  <c r="J767" i="19"/>
  <c r="AC737" i="19"/>
  <c r="I737" i="19"/>
  <c r="J737" i="19"/>
  <c r="AC596" i="19"/>
  <c r="I596" i="19"/>
  <c r="J596" i="19"/>
  <c r="AC581" i="19"/>
  <c r="I581" i="19"/>
  <c r="J581" i="19"/>
  <c r="AC882" i="19"/>
  <c r="I882" i="19"/>
  <c r="J882" i="19"/>
  <c r="AC825" i="19"/>
  <c r="I825" i="19"/>
  <c r="J825" i="19"/>
  <c r="AC784" i="19"/>
  <c r="I784" i="19"/>
  <c r="J784" i="19"/>
  <c r="AC616" i="19"/>
  <c r="I616" i="19"/>
  <c r="J616" i="19"/>
  <c r="AC583" i="19"/>
  <c r="I583" i="19"/>
  <c r="J583" i="19"/>
  <c r="AC627" i="19"/>
  <c r="I627" i="19"/>
  <c r="J627" i="19"/>
  <c r="AC810" i="19"/>
  <c r="I810" i="19"/>
  <c r="J810" i="19"/>
  <c r="AC822" i="19"/>
  <c r="I822" i="19"/>
  <c r="J822" i="19"/>
  <c r="AC924" i="19"/>
  <c r="I924" i="19"/>
  <c r="J924" i="19"/>
  <c r="AC854" i="19"/>
  <c r="I854" i="19"/>
  <c r="J854" i="19"/>
  <c r="AC801" i="19"/>
  <c r="I801" i="19"/>
  <c r="J801" i="19"/>
  <c r="AC570" i="19"/>
  <c r="I570" i="19"/>
  <c r="J570" i="19"/>
  <c r="AC794" i="19"/>
  <c r="I794" i="19"/>
  <c r="J794" i="19"/>
  <c r="AC738" i="19"/>
  <c r="I738" i="19"/>
  <c r="J738" i="19"/>
  <c r="AC672" i="19"/>
  <c r="I672" i="19"/>
  <c r="J672" i="19"/>
  <c r="AC796" i="19"/>
  <c r="I796" i="19"/>
  <c r="J796" i="19"/>
  <c r="AC723" i="19"/>
  <c r="I723" i="19"/>
  <c r="J723" i="19"/>
  <c r="AC674" i="19"/>
  <c r="I674" i="19"/>
  <c r="J674" i="19"/>
  <c r="AC761" i="19"/>
  <c r="I761" i="19"/>
  <c r="J761" i="19"/>
  <c r="AC659" i="19"/>
  <c r="I659" i="19"/>
  <c r="J659" i="19"/>
  <c r="AC811" i="19"/>
  <c r="I811" i="19"/>
  <c r="J811" i="19"/>
  <c r="AC806" i="19"/>
  <c r="I806" i="19"/>
  <c r="J806" i="19"/>
  <c r="AC706" i="19"/>
  <c r="I706" i="19"/>
  <c r="J706" i="19"/>
  <c r="AC564" i="19"/>
  <c r="I564" i="19"/>
  <c r="J564" i="19"/>
  <c r="AC673" i="19"/>
  <c r="I673" i="19"/>
  <c r="J673" i="19"/>
  <c r="AC563" i="19"/>
  <c r="I563" i="19"/>
  <c r="J563" i="19"/>
  <c r="AC658" i="19"/>
  <c r="I658" i="19"/>
  <c r="J658" i="19"/>
  <c r="I562" i="19"/>
  <c r="J562" i="19"/>
  <c r="AC562" i="19"/>
  <c r="B11" i="16"/>
  <c r="E11" i="16"/>
  <c r="F11" i="16" s="1"/>
  <c r="G11" i="16"/>
  <c r="B12" i="16"/>
  <c r="E12" i="16"/>
  <c r="F12" i="16" s="1"/>
  <c r="G12" i="16"/>
  <c r="B18" i="16"/>
  <c r="E18" i="16"/>
  <c r="F18" i="16" s="1"/>
  <c r="G18" i="16"/>
  <c r="H16" i="19"/>
  <c r="I16" i="19"/>
  <c r="J16" i="19"/>
  <c r="H18" i="19"/>
  <c r="I18" i="19"/>
  <c r="J18" i="19"/>
  <c r="H17" i="19"/>
  <c r="AC17" i="19" s="1"/>
  <c r="I17" i="19"/>
  <c r="J17" i="19"/>
  <c r="I15" i="19"/>
  <c r="J15" i="19"/>
  <c r="B23" i="16"/>
  <c r="E23" i="16"/>
  <c r="F23" i="16" s="1"/>
  <c r="G23" i="16"/>
  <c r="F25" i="16" l="1"/>
  <c r="H30" i="16"/>
  <c r="H29" i="16"/>
  <c r="H28" i="16"/>
  <c r="H27" i="16"/>
  <c r="H26" i="16"/>
  <c r="AC18" i="19"/>
  <c r="H25" i="16"/>
  <c r="H17" i="16"/>
  <c r="AC16" i="19"/>
  <c r="AC15" i="19"/>
  <c r="H11" i="16"/>
  <c r="H12" i="16"/>
  <c r="H18" i="16"/>
  <c r="H23" i="16"/>
  <c r="AC25" i="19"/>
  <c r="AC29" i="19"/>
  <c r="AC110" i="19"/>
  <c r="AC112" i="19"/>
  <c r="AC31" i="19"/>
  <c r="AC30" i="19"/>
  <c r="AC11" i="19"/>
  <c r="AC6" i="19"/>
  <c r="AC7" i="19"/>
  <c r="AC85" i="19"/>
  <c r="AC941" i="19"/>
  <c r="G2" i="14" l="1"/>
  <c r="G2" i="16"/>
  <c r="G3" i="16"/>
  <c r="G4" i="16"/>
  <c r="G5" i="16"/>
  <c r="G6" i="16"/>
  <c r="G7" i="16"/>
  <c r="G8" i="16"/>
  <c r="G9" i="16"/>
  <c r="G10" i="16"/>
  <c r="G13" i="16"/>
  <c r="G14" i="16"/>
  <c r="G15" i="16"/>
  <c r="G16" i="16"/>
  <c r="G19" i="16"/>
  <c r="G20" i="16"/>
  <c r="G21" i="16"/>
  <c r="G22" i="16"/>
  <c r="G24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3" i="16"/>
  <c r="H13" i="16" s="1"/>
  <c r="E14" i="16"/>
  <c r="H14" i="16" s="1"/>
  <c r="E15" i="16"/>
  <c r="E16" i="16"/>
  <c r="E19" i="16"/>
  <c r="E20" i="16"/>
  <c r="E21" i="16"/>
  <c r="E22" i="16"/>
  <c r="E24" i="16"/>
  <c r="H24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3" i="16"/>
  <c r="B14" i="16"/>
  <c r="B15" i="16"/>
  <c r="B16" i="16"/>
  <c r="B19" i="16"/>
  <c r="B20" i="16"/>
  <c r="B21" i="16"/>
  <c r="B22" i="16"/>
  <c r="B24" i="16"/>
  <c r="H10" i="16" l="1"/>
  <c r="H21" i="16"/>
  <c r="H22" i="16"/>
  <c r="H20" i="16"/>
  <c r="H15" i="16"/>
  <c r="H5" i="16"/>
  <c r="H2" i="16"/>
  <c r="H4" i="16"/>
  <c r="H16" i="16"/>
  <c r="H6" i="16"/>
  <c r="H8" i="16"/>
  <c r="H19" i="16"/>
  <c r="H7" i="16"/>
  <c r="H9" i="16"/>
  <c r="F19" i="16"/>
  <c r="F7" i="16"/>
  <c r="F16" i="16"/>
  <c r="F6" i="16"/>
  <c r="F15" i="16"/>
  <c r="F5" i="16"/>
  <c r="F24" i="16"/>
  <c r="F14" i="16"/>
  <c r="F4" i="16"/>
  <c r="F13" i="16"/>
  <c r="F3" i="16"/>
  <c r="F22" i="16"/>
  <c r="F10" i="16"/>
  <c r="F2" i="16"/>
  <c r="F21" i="16"/>
  <c r="F9" i="16"/>
  <c r="H2" i="14"/>
  <c r="F20" i="16"/>
  <c r="F8" i="16"/>
  <c r="I969" i="19"/>
  <c r="J969" i="19"/>
  <c r="I162" i="19"/>
  <c r="J162" i="19"/>
  <c r="I965" i="19"/>
  <c r="J965" i="19"/>
  <c r="I955" i="19"/>
  <c r="J955" i="19"/>
  <c r="I142" i="19"/>
  <c r="J142" i="19"/>
  <c r="I1008" i="19"/>
  <c r="J1008" i="19"/>
  <c r="I1005" i="19"/>
  <c r="J1005" i="19"/>
  <c r="I996" i="19"/>
  <c r="J996" i="19"/>
  <c r="I963" i="19"/>
  <c r="J963" i="19"/>
  <c r="I956" i="19"/>
  <c r="J956" i="19"/>
  <c r="I154" i="19"/>
  <c r="J154" i="19"/>
  <c r="I1032" i="19"/>
  <c r="J1032" i="19"/>
  <c r="I1013" i="19"/>
  <c r="J1013" i="19"/>
  <c r="I995" i="19"/>
  <c r="J995" i="19"/>
  <c r="I974" i="19"/>
  <c r="J974" i="19"/>
  <c r="I947" i="19"/>
  <c r="J947" i="19"/>
  <c r="I968" i="19"/>
  <c r="J968" i="19"/>
  <c r="I133" i="19"/>
  <c r="J133" i="19"/>
  <c r="I159" i="19"/>
  <c r="J159" i="19"/>
  <c r="AC1033" i="19"/>
  <c r="I1033" i="19"/>
  <c r="J1033" i="19"/>
  <c r="I1002" i="19"/>
  <c r="J1002" i="19"/>
  <c r="I981" i="19"/>
  <c r="J981" i="19"/>
  <c r="I960" i="19"/>
  <c r="J960" i="19"/>
  <c r="I952" i="19"/>
  <c r="J952" i="19"/>
  <c r="I1007" i="19"/>
  <c r="J1007" i="19"/>
  <c r="I979" i="19"/>
  <c r="J979" i="19"/>
  <c r="I977" i="19"/>
  <c r="J977" i="19"/>
  <c r="AC957" i="19"/>
  <c r="I957" i="19"/>
  <c r="J957" i="19"/>
  <c r="I950" i="19"/>
  <c r="J950" i="19"/>
  <c r="I136" i="19"/>
  <c r="J136" i="19"/>
  <c r="I993" i="19"/>
  <c r="J993" i="19"/>
  <c r="I989" i="19"/>
  <c r="J989" i="19"/>
  <c r="I972" i="19"/>
  <c r="J972" i="19"/>
  <c r="I163" i="19"/>
  <c r="J163" i="19"/>
  <c r="I128" i="19"/>
  <c r="J128" i="19"/>
  <c r="AC143" i="19"/>
  <c r="I143" i="19"/>
  <c r="J143" i="19"/>
  <c r="AC989" i="19" l="1"/>
  <c r="AC128" i="19"/>
  <c r="AC977" i="19"/>
  <c r="AC136" i="19"/>
  <c r="AC981" i="19"/>
  <c r="AC995" i="19"/>
  <c r="AC1008" i="19"/>
  <c r="AC1032" i="19"/>
  <c r="AC955" i="19"/>
  <c r="AC952" i="19"/>
  <c r="AC947" i="19"/>
  <c r="AC996" i="19"/>
  <c r="AC159" i="19"/>
  <c r="AC154" i="19"/>
  <c r="AC965" i="19"/>
  <c r="AC163" i="19"/>
  <c r="AC979" i="19"/>
  <c r="AC133" i="19"/>
  <c r="AC956" i="19"/>
  <c r="AC162" i="19"/>
  <c r="AC950" i="19"/>
  <c r="AC1002" i="19"/>
  <c r="AC1013" i="19"/>
  <c r="AC142" i="19"/>
  <c r="AC972" i="19"/>
  <c r="AC1007" i="19"/>
  <c r="AC968" i="19"/>
  <c r="AC963" i="19"/>
  <c r="AC969" i="19"/>
  <c r="AC993" i="19"/>
  <c r="AC960" i="19"/>
  <c r="AC974" i="19"/>
  <c r="AC1005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2" i="19"/>
  <c r="J3" i="19"/>
  <c r="J4" i="19"/>
  <c r="J5" i="19"/>
  <c r="J6" i="19"/>
  <c r="J7" i="19"/>
  <c r="J8" i="19"/>
  <c r="J9" i="19"/>
  <c r="J10" i="19"/>
  <c r="J11" i="19"/>
  <c r="J12" i="19"/>
  <c r="J13" i="19"/>
  <c r="J14" i="19"/>
  <c r="J19" i="19"/>
  <c r="J20" i="19"/>
  <c r="J21" i="19"/>
  <c r="J22" i="19"/>
  <c r="J25" i="19"/>
  <c r="J24" i="19"/>
  <c r="J31" i="19"/>
  <c r="J26" i="19"/>
  <c r="J29" i="19"/>
  <c r="J27" i="19"/>
  <c r="J28" i="19"/>
  <c r="J30" i="19"/>
  <c r="J32" i="19"/>
  <c r="J72" i="19"/>
  <c r="J73" i="19"/>
  <c r="J74" i="19"/>
  <c r="J75" i="19"/>
  <c r="J77" i="19"/>
  <c r="J78" i="19"/>
  <c r="J79" i="19"/>
  <c r="J82" i="19"/>
  <c r="J80" i="19"/>
  <c r="J81" i="19"/>
  <c r="J76" i="19"/>
  <c r="J83" i="19"/>
  <c r="J84" i="19"/>
  <c r="J86" i="19"/>
  <c r="J85" i="19"/>
  <c r="J87" i="19"/>
  <c r="J88" i="19"/>
  <c r="J90" i="19"/>
  <c r="J89" i="19"/>
  <c r="J91" i="19"/>
  <c r="J92" i="19"/>
  <c r="J93" i="19"/>
  <c r="J95" i="19"/>
  <c r="J94" i="19"/>
  <c r="J97" i="19"/>
  <c r="J96" i="19"/>
  <c r="J99" i="19"/>
  <c r="J98" i="19"/>
  <c r="J100" i="19"/>
  <c r="J101" i="19"/>
  <c r="J102" i="19"/>
  <c r="J103" i="19"/>
  <c r="J104" i="19"/>
  <c r="J105" i="19"/>
  <c r="J106" i="19"/>
  <c r="J107" i="19"/>
  <c r="J108" i="19"/>
  <c r="J109" i="19"/>
  <c r="J110" i="19"/>
  <c r="J112" i="19"/>
  <c r="J111" i="19"/>
  <c r="J113" i="19"/>
  <c r="J114" i="19"/>
  <c r="J115" i="19"/>
  <c r="J116" i="19"/>
  <c r="J117" i="19"/>
  <c r="J118" i="19"/>
  <c r="J119" i="19"/>
  <c r="J121" i="19"/>
  <c r="J122" i="19"/>
  <c r="J123" i="19"/>
  <c r="J124" i="19"/>
  <c r="J125" i="19"/>
  <c r="J126" i="19"/>
  <c r="J139" i="19"/>
  <c r="J992" i="19"/>
  <c r="J164" i="19"/>
  <c r="J165" i="19"/>
  <c r="J166" i="19"/>
  <c r="J167" i="19"/>
  <c r="J168" i="19"/>
  <c r="J925" i="19"/>
  <c r="J926" i="19"/>
  <c r="J927" i="19"/>
  <c r="J928" i="19"/>
  <c r="J929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9" i="19"/>
  <c r="I20" i="19"/>
  <c r="I21" i="19"/>
  <c r="I22" i="19"/>
  <c r="I25" i="19"/>
  <c r="I24" i="19"/>
  <c r="I31" i="19"/>
  <c r="I26" i="19"/>
  <c r="I29" i="19"/>
  <c r="I27" i="19"/>
  <c r="I28" i="19"/>
  <c r="I30" i="19"/>
  <c r="I32" i="19"/>
  <c r="I72" i="19"/>
  <c r="I73" i="19"/>
  <c r="I74" i="19"/>
  <c r="I75" i="19"/>
  <c r="I77" i="19"/>
  <c r="I78" i="19"/>
  <c r="I79" i="19"/>
  <c r="I82" i="19"/>
  <c r="I80" i="19"/>
  <c r="I81" i="19"/>
  <c r="I76" i="19"/>
  <c r="I83" i="19"/>
  <c r="I84" i="19"/>
  <c r="I86" i="19"/>
  <c r="I85" i="19"/>
  <c r="I87" i="19"/>
  <c r="I88" i="19"/>
  <c r="I90" i="19"/>
  <c r="I89" i="19"/>
  <c r="I91" i="19"/>
  <c r="I92" i="19"/>
  <c r="I93" i="19"/>
  <c r="I95" i="19"/>
  <c r="I94" i="19"/>
  <c r="I97" i="19"/>
  <c r="I96" i="19"/>
  <c r="I99" i="19"/>
  <c r="I98" i="19"/>
  <c r="I100" i="19"/>
  <c r="I101" i="19"/>
  <c r="I102" i="19"/>
  <c r="I103" i="19"/>
  <c r="I104" i="19"/>
  <c r="I105" i="19"/>
  <c r="I106" i="19"/>
  <c r="I107" i="19"/>
  <c r="I108" i="19"/>
  <c r="I109" i="19"/>
  <c r="I110" i="19"/>
  <c r="I112" i="19"/>
  <c r="I111" i="19"/>
  <c r="I113" i="19"/>
  <c r="I114" i="19"/>
  <c r="I115" i="19"/>
  <c r="I116" i="19"/>
  <c r="I117" i="19"/>
  <c r="I118" i="19"/>
  <c r="I119" i="19"/>
  <c r="I121" i="19"/>
  <c r="I122" i="19"/>
  <c r="I123" i="19"/>
  <c r="I124" i="19"/>
  <c r="I125" i="19"/>
  <c r="I126" i="19"/>
  <c r="I139" i="19"/>
  <c r="I992" i="19"/>
  <c r="I164" i="19"/>
  <c r="I165" i="19"/>
  <c r="I166" i="19"/>
  <c r="I167" i="19"/>
  <c r="I168" i="19"/>
  <c r="I925" i="19"/>
  <c r="I926" i="19"/>
  <c r="I927" i="19"/>
  <c r="I928" i="19"/>
  <c r="I929" i="19"/>
  <c r="I931" i="19"/>
  <c r="I932" i="19"/>
  <c r="I933" i="19"/>
  <c r="I934" i="19"/>
  <c r="I935" i="19"/>
  <c r="I936" i="19"/>
  <c r="I937" i="19"/>
  <c r="I938" i="19"/>
  <c r="I939" i="19"/>
  <c r="I940" i="19"/>
  <c r="I941" i="19"/>
  <c r="I942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76" i="19" l="1"/>
  <c r="AC76" i="19" s="1"/>
  <c r="H107" i="19"/>
  <c r="AC107" i="19" s="1"/>
  <c r="AC113" i="19"/>
  <c r="H114" i="19"/>
  <c r="AC114" i="19" s="1"/>
  <c r="AC111" i="19" l="1"/>
  <c r="AC4" i="19"/>
  <c r="AC27" i="19"/>
  <c r="AC28" i="19"/>
  <c r="AC9" i="19"/>
  <c r="AC108" i="19"/>
  <c r="H24" i="19"/>
  <c r="AC24" i="19" s="1"/>
  <c r="AC122" i="19"/>
  <c r="AC109" i="19"/>
  <c r="AC78" i="19"/>
  <c r="AC936" i="19"/>
  <c r="AC126" i="19"/>
  <c r="AC94" i="19"/>
  <c r="AC12" i="19"/>
  <c r="H121" i="19"/>
  <c r="AC121" i="19" s="1"/>
  <c r="AC102" i="19"/>
  <c r="AC103" i="19"/>
  <c r="H104" i="19"/>
  <c r="AC104" i="19" s="1"/>
  <c r="AC106" i="19"/>
  <c r="AC10" i="19"/>
  <c r="AC98" i="19"/>
  <c r="H77" i="19"/>
  <c r="AC77" i="19" s="1"/>
  <c r="AC124" i="19"/>
  <c r="AC125" i="19"/>
  <c r="AC992" i="19"/>
  <c r="AC91" i="19"/>
  <c r="AC96" i="19"/>
  <c r="H75" i="19"/>
  <c r="AC75" i="19" s="1"/>
  <c r="AC105" i="19"/>
  <c r="AC92" i="19"/>
  <c r="H32" i="19"/>
  <c r="AC32" i="19" s="1"/>
  <c r="H95" i="19"/>
  <c r="H99" i="19"/>
  <c r="AC99" i="19" s="1"/>
  <c r="H935" i="19"/>
  <c r="AC935" i="19" s="1"/>
  <c r="H934" i="19"/>
  <c r="AC934" i="19" s="1"/>
  <c r="H19" i="19"/>
  <c r="AC19" i="19" s="1"/>
  <c r="AC167" i="19"/>
  <c r="AC139" i="19"/>
  <c r="AC164" i="19"/>
  <c r="AC88" i="19"/>
  <c r="AC87" i="19"/>
  <c r="AC14" i="19"/>
  <c r="AC942" i="19"/>
  <c r="AC80" i="19"/>
  <c r="AC81" i="19"/>
  <c r="AC83" i="19"/>
  <c r="H937" i="19"/>
  <c r="AC937" i="19" s="1"/>
  <c r="AC13" i="19"/>
  <c r="H79" i="19"/>
  <c r="AC79" i="19" s="1"/>
  <c r="AC115" i="19"/>
  <c r="AC116" i="19"/>
  <c r="AC117" i="19"/>
  <c r="AC118" i="19"/>
  <c r="AC119" i="19"/>
  <c r="AC166" i="19"/>
  <c r="AC165" i="19"/>
  <c r="AC2" i="19"/>
  <c r="AC3" i="19"/>
  <c r="H931" i="19"/>
  <c r="AC931" i="19" s="1"/>
  <c r="H72" i="19"/>
  <c r="H26" i="19"/>
  <c r="AC26" i="19" s="1"/>
  <c r="AC940" i="19"/>
  <c r="H932" i="19"/>
  <c r="AC932" i="19" s="1"/>
  <c r="H97" i="19"/>
  <c r="AC97" i="19" s="1"/>
  <c r="AC89" i="19"/>
  <c r="AC168" i="19"/>
  <c r="H938" i="19"/>
  <c r="H82" i="19"/>
  <c r="AC82" i="19" s="1"/>
  <c r="H20" i="19"/>
  <c r="AC20" i="19" s="1"/>
  <c r="H21" i="19"/>
  <c r="AC21" i="19" s="1"/>
  <c r="AC927" i="19"/>
  <c r="H84" i="19"/>
  <c r="AC84" i="19" s="1"/>
  <c r="AC5" i="19"/>
  <c r="AC8" i="19"/>
  <c r="H86" i="19"/>
  <c r="AC86" i="19" s="1"/>
  <c r="AC928" i="19"/>
  <c r="AC929" i="19"/>
  <c r="H93" i="19"/>
  <c r="AC93" i="19" s="1"/>
  <c r="H939" i="19"/>
  <c r="AC939" i="19" s="1"/>
  <c r="AC100" i="19"/>
  <c r="AC101" i="19"/>
  <c r="H933" i="19"/>
  <c r="AC933" i="19" s="1"/>
  <c r="H73" i="19"/>
  <c r="AC73" i="19" s="1"/>
  <c r="AC74" i="19"/>
  <c r="AC22" i="19"/>
  <c r="AC123" i="19"/>
  <c r="G95" i="19"/>
  <c r="G72" i="19"/>
  <c r="G938" i="19"/>
  <c r="AC90" i="19" l="1"/>
  <c r="AC926" i="19"/>
  <c r="AC925" i="19"/>
  <c r="AC72" i="19"/>
  <c r="AC938" i="19"/>
  <c r="AC9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<sst xmlns="http://schemas.openxmlformats.org/spreadsheetml/2006/main" count="10231" uniqueCount="3504">
  <si>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</si>
  <si>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</si>
  <si>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</si>
  <si>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</si>
  <si>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</si>
  <si>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</si>
  <si>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</si>
  <si>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</si>
  <si>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</si>
  <si>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</si>
  <si>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</si>
  <si>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</si>
  <si>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</si>
  <si>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</si>
  <si>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</si>
  <si>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</si>
  <si>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</si>
  <si>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</si>
  <si>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</si>
  <si>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</si>
  <si>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</si>
  <si>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</si>
  <si>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</si>
  <si>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</si>
  <si>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</si>
  <si>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</si>
  <si>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</si>
  <si>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</si>
  <si>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</si>
  <si>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</si>
  <si>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</si>
  <si>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</si>
  <si>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</si>
  <si>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</si>
  <si>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</si>
  <si>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</si>
  <si>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</si>
  <si>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</si>
  <si>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</si>
  <si>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</si>
  <si>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</si>
  <si>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</si>
  <si>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</si>
  <si>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</si>
  <si>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</si>
  <si>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</si>
  <si>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</si>
  <si>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</si>
  <si>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</si>
  <si>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</si>
  <si>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</si>
  <si>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</si>
  <si>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</si>
  <si>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</si>
  <si>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</si>
  <si>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</si>
  <si>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</si>
  <si>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</si>
  <si>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</si>
  <si>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</si>
  <si>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</si>
  <si>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</si>
  <si>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</si>
  <si>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</si>
  <si>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</si>
  <si>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</si>
  <si>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</si>
  <si>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</si>
  <si>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</si>
  <si>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</si>
  <si>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</si>
  <si>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</si>
  <si>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</si>
  <si>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</si>
  <si>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</si>
  <si>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</si>
  <si>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</si>
  <si>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</si>
  <si>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</si>
  <si>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</si>
  <si>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</si>
  <si>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</si>
  <si>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</si>
  <si>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</si>
  <si>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</si>
  <si>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</si>
  <si>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</si>
  <si>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</si>
  <si>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</si>
  <si>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</si>
  <si>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</si>
  <si>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</si>
  <si>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</si>
  <si>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</si>
  <si>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</si>
  <si>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</si>
  <si>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</si>
  <si>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</si>
  <si>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</si>
  <si>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</si>
  <si>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</si>
  <si>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</si>
  <si>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</si>
  <si>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</si>
  <si>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</si>
  <si>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</si>
  <si>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</si>
  <si>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</si>
  <si>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</si>
  <si>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</si>
  <si>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</si>
  <si>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</si>
  <si>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</si>
  <si>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</si>
  <si>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</si>
  <si>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</si>
  <si>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</si>
  <si>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</si>
  <si>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</si>
  <si>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</si>
  <si>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</si>
  <si>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</si>
  <si>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</si>
  <si>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</si>
  <si>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</si>
  <si>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</si>
  <si>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</si>
  <si>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</si>
  <si>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</si>
  <si>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</si>
  <si>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</si>
  <si>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</si>
  <si>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</si>
  <si>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</si>
  <si>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</si>
  <si>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</si>
  <si>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</si>
  <si>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</si>
  <si>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</si>
  <si>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</si>
  <si>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</si>
  <si>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</si>
  <si>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</si>
  <si>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</si>
  <si>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</si>
  <si>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</si>
  <si>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</si>
  <si>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</si>
  <si>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</si>
  <si>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</si>
  <si>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</si>
  <si>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</si>
  <si>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</si>
  <si>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</si>
  <si>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</si>
  <si>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</si>
  <si>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</si>
  <si>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</si>
  <si>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</si>
  <si>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</si>
  <si>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</si>
  <si>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</si>
  <si>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</si>
  <si>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</si>
  <si>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</si>
  <si>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</si>
  <si>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</si>
  <si>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</si>
  <si>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</si>
  <si>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</si>
  <si>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</si>
  <si>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</si>
  <si>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</si>
  <si>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</si>
  <si>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</si>
  <si>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</si>
  <si>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</si>
  <si>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</si>
  <si>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</si>
  <si>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</si>
  <si>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</si>
  <si>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</si>
  <si>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</si>
  <si>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</si>
  <si>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</si>
  <si>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</si>
  <si>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</si>
  <si>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</si>
  <si>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</si>
  <si>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</si>
  <si>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</si>
  <si>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</si>
  <si>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</si>
  <si>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</si>
  <si>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</si>
  <si>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</si>
  <si>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</si>
  <si>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</si>
  <si>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</si>
  <si>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</si>
  <si>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</si>
  <si>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</si>
  <si>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</si>
  <si>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</si>
  <si>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</si>
  <si>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</si>
  <si>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</si>
  <si>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</si>
  <si>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</si>
  <si>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</si>
  <si>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</si>
  <si>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</si>
  <si>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</si>
  <si>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</si>
  <si>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</si>
  <si>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</si>
  <si>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</si>
  <si>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</si>
  <si>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</si>
  <si>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</si>
  <si>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</si>
  <si>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</si>
  <si>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</si>
  <si>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</si>
  <si>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</si>
  <si>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</si>
  <si>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</si>
  <si>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</si>
  <si>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</si>
  <si>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</si>
  <si>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</si>
  <si>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</si>
  <si>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</si>
  <si>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</si>
  <si>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</si>
  <si>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</si>
  <si>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</si>
  <si>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</si>
  <si>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</si>
  <si>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</si>
  <si>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</si>
  <si>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</si>
  <si>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</si>
  <si>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</si>
  <si>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</si>
  <si>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</si>
  <si>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</si>
  <si>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</si>
  <si>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</si>
  <si>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</si>
  <si>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</si>
  <si>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</si>
  <si>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</si>
  <si>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</si>
  <si>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</si>
  <si>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</si>
  <si>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</si>
  <si>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</si>
  <si>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</si>
  <si>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</si>
  <si>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</si>
  <si>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</si>
  <si>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</si>
  <si>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</si>
  <si>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</si>
  <si>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</si>
  <si>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</si>
  <si>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</si>
  <si>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</si>
  <si>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</si>
  <si>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</si>
  <si>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</si>
  <si>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</si>
  <si>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</si>
  <si>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</si>
  <si>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</si>
  <si>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</si>
  <si>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</si>
  <si>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</si>
  <si>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</si>
  <si>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</si>
  <si>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</si>
  <si>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</si>
  <si>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</si>
  <si>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</si>
  <si>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</si>
  <si>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</si>
  <si>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</si>
  <si>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</si>
  <si>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</si>
  <si>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</si>
  <si>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</si>
  <si>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</si>
  <si>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</si>
  <si>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</si>
  <si>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</si>
  <si>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</si>
  <si>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</si>
  <si>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</si>
  <si>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</si>
  <si>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</si>
  <si>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</si>
  <si>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</si>
  <si>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</si>
  <si>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</si>
  <si>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</si>
  <si>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</si>
  <si>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</si>
  <si>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</si>
  <si>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</si>
  <si>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</si>
  <si>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</si>
  <si>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</si>
  <si>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</si>
  <si>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</si>
  <si>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</si>
  <si>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</si>
  <si>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</si>
  <si>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</si>
  <si>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</si>
  <si>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</si>
  <si>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</si>
  <si>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</si>
  <si>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</si>
  <si>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</si>
  <si>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</si>
  <si>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</si>
  <si>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</si>
  <si>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</si>
  <si>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</si>
  <si>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</si>
  <si>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</si>
  <si>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</si>
  <si>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</si>
  <si>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</si>
  <si>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</si>
  <si>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</si>
  <si>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</si>
  <si>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</si>
  <si>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</si>
  <si>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</si>
  <si>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</si>
  <si>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</si>
  <si>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</si>
  <si>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</si>
  <si>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</si>
  <si>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</si>
  <si>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</si>
  <si>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</si>
  <si>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</si>
  <si>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</si>
  <si>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</si>
  <si>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</si>
  <si>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</si>
  <si>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</si>
  <si>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</si>
  <si>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</si>
  <si>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</si>
  <si>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</si>
  <si>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</si>
  <si>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</si>
  <si>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</si>
  <si>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</si>
  <si>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</si>
  <si>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</si>
  <si>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</si>
  <si>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</si>
  <si>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</si>
  <si>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</si>
  <si>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</si>
  <si>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</si>
  <si>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</si>
  <si>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</si>
  <si>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</si>
  <si>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</si>
  <si>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</si>
  <si>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</si>
  <si>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</si>
  <si>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</si>
  <si>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</si>
  <si>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</si>
  <si>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</si>
  <si>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</si>
  <si>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</si>
  <si>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</si>
  <si>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</si>
  <si>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</si>
  <si>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</si>
  <si>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</si>
  <si>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</si>
  <si>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</si>
  <si>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</si>
  <si>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</si>
  <si>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</si>
  <si>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</si>
  <si>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</si>
  <si>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</si>
  <si>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</si>
  <si>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</si>
  <si>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</si>
  <si>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</si>
  <si>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</si>
  <si>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</si>
  <si>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</si>
  <si>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</si>
  <si>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</si>
  <si>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</si>
  <si>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</si>
  <si>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</si>
  <si>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</si>
  <si>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</si>
  <si>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</si>
  <si>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</si>
  <si>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</si>
  <si>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</si>
  <si>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</si>
  <si>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</si>
  <si>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</si>
  <si>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</si>
  <si>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</si>
  <si>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</si>
  <si>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</si>
  <si>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</si>
  <si>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</si>
  <si>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</si>
  <si>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</si>
  <si>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</si>
  <si>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</si>
  <si>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</si>
  <si>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</si>
  <si>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</si>
  <si>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</si>
  <si>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</si>
  <si>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</si>
  <si>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</si>
  <si>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</si>
  <si>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</si>
  <si>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</si>
  <si>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</si>
  <si>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</si>
  <si>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</si>
  <si>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</si>
  <si>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</si>
  <si>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</si>
  <si>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</si>
  <si>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</si>
  <si>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</si>
  <si>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</si>
  <si>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</si>
  <si>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</si>
  <si>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</si>
  <si>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</si>
  <si>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</si>
  <si>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</si>
  <si>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</si>
  <si>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</si>
  <si>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</si>
  <si>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</si>
  <si>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</si>
  <si>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</si>
  <si>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</si>
  <si>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</si>
  <si>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</si>
  <si>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</si>
  <si>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</si>
  <si>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</si>
  <si>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</si>
  <si>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</si>
  <si>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</si>
  <si>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</si>
  <si>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</si>
  <si>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</si>
  <si>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</si>
  <si>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</si>
  <si>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</si>
  <si>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</si>
  <si>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</si>
  <si>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</si>
  <si>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</si>
  <si>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</si>
  <si>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</si>
  <si>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</si>
  <si>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</si>
  <si>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</si>
  <si>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</si>
  <si>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</si>
  <si>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</si>
  <si>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</si>
  <si>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</si>
  <si>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</si>
  <si>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</si>
  <si>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</si>
  <si>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</si>
  <si>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</si>
  <si>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</si>
  <si>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</si>
  <si>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</si>
  <si>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</si>
  <si>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</si>
  <si>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</si>
  <si>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</si>
  <si>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</si>
  <si>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</si>
  <si>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</si>
  <si>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</si>
  <si>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</si>
  <si>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</si>
  <si>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</si>
  <si>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</si>
  <si>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</si>
  <si>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</si>
  <si>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</si>
  <si>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</si>
  <si>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</si>
  <si>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</si>
  <si>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</si>
  <si>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</si>
  <si>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</si>
  <si>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</si>
  <si>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</si>
  <si>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</si>
  <si>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</si>
  <si>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</si>
  <si>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</si>
  <si>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</si>
  <si>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</si>
  <si>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</si>
  <si>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</si>
  <si>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</si>
  <si>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</si>
  <si>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</si>
  <si>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</si>
  <si>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</si>
  <si>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</si>
  <si>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</si>
  <si>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</si>
  <si>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</si>
  <si>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</si>
  <si>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</si>
  <si>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</si>
  <si>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</si>
  <si>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</si>
  <si>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</si>
  <si>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</si>
  <si>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</si>
  <si>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</si>
  <si>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</si>
  <si>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</si>
  <si>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</si>
  <si>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</si>
  <si>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</si>
  <si>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</si>
  <si>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</si>
  <si>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</si>
  <si>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</si>
  <si>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</si>
  <si>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</si>
  <si>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</si>
  <si>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</si>
  <si>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</si>
  <si>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</si>
  <si>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</si>
  <si>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</si>
  <si>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</si>
  <si>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</si>
  <si>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</si>
  <si>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</si>
  <si>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</si>
  <si>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</si>
  <si>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</si>
  <si>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</si>
  <si>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</si>
  <si>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</si>
  <si>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</si>
  <si>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</si>
  <si>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</si>
  <si>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</si>
  <si>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</si>
  <si>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</si>
  <si>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</si>
  <si>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</si>
  <si>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</si>
  <si>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</si>
  <si>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</si>
  <si>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</si>
  <si>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</si>
  <si>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</si>
  <si>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</si>
  <si>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</si>
  <si>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</si>
  <si>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</si>
  <si>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</si>
  <si>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</si>
  <si>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</si>
  <si>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</si>
  <si>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</si>
  <si>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</si>
  <si>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</si>
  <si>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</si>
  <si>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</si>
  <si>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</si>
  <si>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</si>
  <si>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</si>
  <si>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</si>
  <si>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</si>
  <si>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</si>
  <si>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</si>
  <si>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</si>
  <si>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</si>
  <si>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</si>
  <si>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</si>
  <si>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</si>
  <si>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</si>
  <si>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</si>
  <si>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</si>
  <si>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</si>
  <si>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</si>
  <si>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</si>
  <si>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</si>
  <si>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</si>
  <si>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</si>
  <si>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</si>
  <si>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</si>
  <si>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</si>
  <si>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</si>
  <si>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</si>
  <si>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</si>
  <si>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</si>
  <si>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</si>
  <si>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</si>
  <si>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</si>
  <si>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</si>
  <si>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</si>
  <si>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</si>
  <si>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</si>
  <si>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</si>
  <si>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</si>
  <si>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</si>
  <si>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</si>
  <si>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</si>
  <si>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</si>
  <si>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</si>
  <si>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</si>
  <si>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</si>
  <si>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</si>
  <si>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</si>
  <si>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</si>
  <si>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</si>
  <si>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</si>
  <si>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</si>
  <si>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</si>
  <si>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</si>
  <si>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</si>
  <si>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</si>
  <si>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</si>
  <si>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</si>
  <si>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</si>
  <si>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</si>
  <si>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</si>
  <si>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</si>
  <si>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</si>
  <si>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</si>
  <si>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</si>
  <si>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</si>
  <si>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</si>
  <si>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</si>
  <si>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</si>
  <si>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</si>
  <si>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</si>
  <si>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</si>
  <si>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</si>
  <si>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</si>
  <si>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</si>
  <si>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</si>
  <si>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</si>
  <si>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</si>
  <si>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</si>
  <si>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</si>
  <si>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</si>
  <si>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</si>
  <si>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</si>
  <si>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</si>
  <si>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</si>
  <si>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</si>
  <si>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</si>
  <si>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</si>
  <si>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</si>
  <si>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</si>
  <si>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</si>
  <si>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</si>
  <si>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</si>
  <si>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</si>
  <si>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</si>
  <si>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</si>
  <si>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</si>
  <si>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</si>
  <si>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</si>
  <si>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</si>
  <si>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</si>
  <si>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</si>
  <si>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</si>
  <si>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</si>
  <si>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</si>
  <si>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</si>
  <si>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</si>
  <si>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</si>
  <si>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</si>
  <si>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</si>
  <si>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</si>
  <si>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</si>
  <si>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</si>
  <si>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</si>
  <si>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</si>
  <si>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</si>
  <si>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</si>
  <si>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</si>
  <si>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</si>
  <si>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</si>
  <si>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</si>
  <si>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</si>
  <si>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</si>
  <si>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</si>
  <si>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</si>
  <si>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</si>
  <si>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</si>
  <si>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</si>
  <si>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</si>
  <si>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</si>
  <si>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</si>
  <si>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</si>
  <si>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</si>
  <si>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</si>
  <si>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</si>
  <si>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</si>
  <si>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</si>
  <si>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</si>
  <si>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</si>
  <si>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</si>
  <si>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</si>
  <si>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</si>
  <si>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</si>
  <si>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</si>
  <si>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</si>
  <si>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</si>
  <si>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</si>
  <si>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</si>
  <si>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</si>
  <si>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</si>
  <si>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</si>
  <si>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</si>
  <si>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</si>
  <si>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</si>
  <si>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</si>
  <si>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</si>
  <si>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</si>
  <si>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</si>
  <si>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</si>
  <si>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</si>
  <si>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</si>
  <si>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</si>
  <si>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</si>
  <si>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</si>
  <si>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</si>
  <si>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</si>
  <si>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</si>
  <si>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</si>
  <si>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</si>
  <si>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</si>
  <si>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</si>
  <si>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</si>
  <si>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</si>
  <si>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</si>
  <si>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</si>
  <si>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</si>
  <si>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</si>
  <si>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</si>
  <si>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</si>
  <si>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</si>
  <si>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</si>
  <si>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</si>
  <si>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</si>
  <si>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</si>
  <si>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</si>
  <si>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</si>
  <si>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</si>
  <si>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</si>
  <si>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</si>
  <si>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</si>
  <si>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</si>
  <si>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</si>
  <si>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</si>
  <si>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</si>
  <si>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</si>
  <si>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</si>
  <si>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</si>
  <si>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</si>
  <si>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</si>
  <si>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</si>
  <si>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</si>
  <si>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</si>
  <si>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</si>
  <si>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</si>
  <si>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</si>
  <si>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</si>
  <si>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</si>
  <si>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</si>
  <si>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</si>
  <si>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</si>
  <si>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</si>
  <si>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</si>
  <si>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</si>
  <si>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</si>
  <si>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</si>
  <si>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</si>
  <si>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</si>
  <si>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</si>
  <si>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</si>
  <si>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</si>
  <si>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</si>
  <si>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</si>
  <si>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</si>
  <si>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</si>
  <si>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</si>
  <si>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</si>
  <si>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</si>
  <si>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</si>
  <si>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</si>
  <si>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</si>
  <si>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</si>
  <si>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</si>
  <si>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</si>
  <si>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</si>
  <si>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</si>
  <si>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</si>
  <si>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</si>
  <si>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</si>
  <si>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</si>
  <si>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</si>
  <si>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</si>
  <si>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</si>
  <si>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</si>
  <si>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</si>
  <si>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</si>
  <si>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</si>
  <si>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</si>
  <si>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</si>
  <si>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</si>
  <si>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</si>
  <si>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</si>
  <si>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</si>
  <si>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</si>
  <si>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</si>
  <si>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</si>
  <si>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</si>
  <si>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</si>
  <si>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</si>
  <si>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</si>
  <si>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</si>
  <si>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</si>
  <si>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</si>
  <si>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</si>
  <si>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</si>
  <si>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</si>
  <si>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</si>
  <si>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</si>
  <si>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</si>
  <si>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</si>
  <si>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</si>
  <si>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</si>
  <si>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</si>
  <si>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</si>
  <si>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</si>
  <si>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</si>
  <si>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</si>
  <si>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</si>
  <si>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</si>
  <si>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</si>
  <si>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</si>
  <si>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</si>
  <si>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</si>
  <si>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</si>
  <si>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</si>
  <si>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</si>
  <si>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</si>
  <si>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</si>
  <si>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</si>
  <si>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</si>
  <si>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</si>
  <si>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</si>
  <si>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</si>
  <si>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</si>
  <si>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</si>
  <si>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</si>
  <si>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</si>
  <si>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</si>
  <si>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</si>
  <si>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</si>
  <si>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</si>
  <si>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</si>
  <si>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</si>
  <si>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</si>
  <si>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</si>
  <si>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</si>
  <si>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</si>
  <si>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</si>
  <si>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</si>
  <si>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</si>
  <si>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</si>
  <si>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</si>
  <si>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</si>
  <si>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</si>
  <si>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</si>
  <si>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</si>
  <si>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</si>
  <si>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</si>
  <si>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</si>
  <si>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</si>
  <si>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</si>
  <si>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</si>
  <si>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</si>
  <si>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</si>
  <si>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</si>
  <si>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</si>
  <si>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</si>
  <si>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</si>
  <si>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</si>
  <si>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</si>
  <si>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</si>
  <si>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</si>
  <si>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</si>
  <si>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</si>
  <si>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</si>
  <si>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</si>
  <si>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</si>
  <si>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</si>
  <si>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</si>
  <si>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</si>
  <si>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</si>
  <si>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</si>
  <si>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</si>
  <si>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</si>
  <si>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</si>
  <si>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</si>
  <si>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</si>
  <si>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</si>
  <si>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</si>
  <si>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</si>
  <si>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</si>
  <si>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</si>
  <si>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</si>
  <si>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</si>
  <si>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</si>
  <si>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</si>
  <si>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</si>
  <si>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</si>
  <si>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</si>
  <si>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</si>
  <si>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</si>
  <si>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</si>
  <si>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</si>
  <si>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</si>
  <si>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</si>
  <si>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</si>
  <si>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</si>
  <si>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</si>
  <si>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</si>
  <si>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</si>
  <si>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</si>
  <si>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</si>
  <si>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</si>
  <si>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</si>
  <si>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</si>
  <si>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</si>
  <si>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</si>
  <si>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</si>
  <si>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</si>
  <si>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</si>
  <si>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</si>
  <si>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</si>
  <si>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</si>
  <si>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</si>
  <si>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</si>
  <si>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</si>
  <si>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</si>
  <si>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</si>
  <si>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</si>
  <si>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</si>
  <si>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</si>
  <si>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</si>
  <si>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</si>
  <si>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</si>
  <si>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</si>
  <si>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</si>
  <si>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</si>
  <si>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</si>
  <si>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</si>
  <si>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</si>
  <si>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</si>
  <si>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</si>
  <si>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</si>
  <si>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</si>
  <si>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</si>
  <si>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</si>
  <si>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</si>
  <si>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</si>
  <si>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</si>
  <si>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</si>
  <si>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</si>
  <si>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</si>
  <si>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</si>
  <si>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</si>
  <si>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</si>
  <si>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</si>
  <si>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</si>
  <si>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</si>
  <si>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</si>
  <si>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</si>
  <si>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</si>
  <si>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</si>
  <si>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</si>
  <si>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</si>
  <si>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</si>
  <si>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</si>
  <si>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</si>
  <si>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</si>
  <si>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</si>
  <si>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</si>
  <si>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</si>
  <si>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</si>
  <si>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</si>
  <si>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</si>
  <si>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</si>
  <si>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</si>
  <si>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</si>
  <si>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</si>
  <si>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</si>
  <si>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</si>
  <si>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</si>
  <si>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</si>
  <si>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</si>
  <si>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</si>
  <si>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</si>
  <si>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</si>
  <si>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</si>
  <si>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</si>
  <si>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</si>
  <si>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</si>
  <si>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</si>
  <si>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</si>
  <si>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</si>
  <si>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</si>
  <si>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</si>
  <si>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</si>
  <si>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</si>
  <si>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</si>
  <si>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</si>
  <si>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</si>
  <si>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</si>
  <si>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</si>
  <si>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</si>
  <si>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</si>
  <si>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</si>
  <si>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</si>
  <si>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</si>
  <si>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</si>
  <si>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</si>
  <si>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</si>
  <si>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</si>
  <si>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</si>
  <si>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</si>
  <si>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</si>
  <si>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</si>
  <si>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</si>
  <si>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</si>
  <si>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</si>
  <si>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</si>
  <si>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</si>
  <si>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</si>
  <si>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</si>
  <si>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</si>
  <si>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</si>
  <si>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</si>
  <si>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</si>
  <si>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</si>
  <si>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</si>
  <si>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</si>
  <si>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</si>
  <si>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</si>
  <si>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</si>
  <si>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</si>
  <si>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</si>
  <si>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</si>
  <si>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</si>
  <si>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</si>
  <si>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</si>
  <si>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</si>
  <si>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</si>
  <si>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</si>
  <si>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</si>
  <si>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</si>
  <si>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</si>
  <si>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</si>
  <si>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</si>
  <si>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</si>
  <si>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</si>
  <si>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</si>
  <si>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</si>
  <si>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</si>
  <si>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</si>
  <si>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</si>
  <si>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</si>
  <si>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</si>
  <si>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</si>
  <si>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</si>
  <si>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</si>
  <si>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</si>
  <si>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</si>
  <si>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</si>
  <si>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</si>
  <si>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</si>
  <si>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</si>
  <si>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</si>
  <si>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</si>
  <si>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</si>
  <si>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</si>
  <si>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</si>
  <si>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</si>
  <si>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</si>
  <si>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</si>
  <si>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</si>
  <si>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</si>
  <si>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</si>
  <si>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</si>
  <si>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</si>
  <si>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</si>
  <si>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</si>
  <si>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</si>
  <si>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</si>
  <si>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</si>
  <si>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</si>
  <si>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</si>
  <si>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</si>
  <si>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</si>
  <si>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</si>
  <si>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</si>
  <si>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</si>
  <si>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</si>
  <si>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</si>
  <si>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</si>
  <si>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</si>
  <si>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</si>
  <si>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</si>
  <si>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</si>
  <si>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</si>
  <si>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</si>
  <si>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</si>
  <si>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</si>
  <si>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</si>
  <si>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</si>
  <si>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</si>
  <si>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</si>
  <si>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</si>
  <si>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</si>
  <si>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</si>
  <si>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</si>
  <si>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</si>
  <si>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</si>
  <si>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</si>
  <si>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</si>
  <si>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</si>
  <si>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</si>
  <si>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</si>
  <si>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</si>
  <si>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</si>
  <si>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</si>
  <si>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</si>
  <si>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</si>
  <si>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</si>
  <si>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</si>
  <si>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</si>
  <si>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</si>
  <si>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</si>
  <si>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</si>
  <si>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</si>
  <si>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</si>
  <si>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</si>
  <si>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</si>
  <si>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</si>
  <si>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</si>
  <si>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</si>
  <si>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</si>
  <si>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</si>
  <si>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</si>
  <si>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</si>
  <si>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</si>
  <si>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</si>
  <si>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</si>
  <si>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</si>
  <si>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</si>
  <si>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</si>
  <si>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</si>
  <si>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</si>
  <si>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</si>
  <si>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</si>
  <si>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</si>
  <si>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</si>
  <si>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</si>
  <si>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</si>
  <si>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</si>
  <si>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</si>
  <si>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</si>
  <si>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</si>
  <si>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</si>
  <si>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</si>
  <si>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</si>
  <si>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</si>
  <si>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</si>
  <si>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</si>
  <si>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</si>
  <si>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</si>
  <si>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</si>
  <si>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</si>
  <si>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</si>
  <si>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</si>
  <si>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</si>
  <si>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</si>
  <si>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</si>
  <si>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</si>
  <si>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</si>
  <si>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</si>
  <si>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</si>
  <si>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</si>
  <si>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</si>
  <si>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</si>
  <si>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</si>
  <si>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</si>
  <si>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</si>
  <si>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</si>
  <si>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</si>
  <si>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</si>
  <si>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</si>
  <si>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</si>
  <si>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</si>
  <si>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</si>
  <si>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</si>
  <si>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</si>
  <si>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</si>
  <si>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</si>
  <si>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</si>
  <si>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</si>
  <si>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</si>
  <si>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</si>
  <si>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</si>
  <si>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</si>
  <si>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</si>
  <si>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</si>
  <si>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</si>
  <si>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</si>
  <si>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</si>
  <si>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</si>
  <si>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</si>
  <si>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</si>
  <si>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</si>
  <si>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</si>
  <si>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</si>
  <si>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</si>
  <si>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</si>
  <si>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</si>
  <si>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</si>
  <si>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</si>
  <si>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</si>
  <si>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</si>
  <si>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</si>
  <si>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</si>
  <si>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</si>
  <si>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</si>
  <si>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</si>
  <si>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</si>
  <si>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</si>
  <si>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</si>
  <si>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</si>
  <si>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</si>
  <si>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</si>
  <si>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</si>
  <si>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</si>
  <si>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</si>
  <si>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</si>
  <si>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</si>
  <si>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</si>
  <si>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</si>
  <si>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</si>
  <si>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</si>
  <si>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</si>
  <si>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</si>
  <si>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</si>
  <si>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</si>
  <si>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</si>
  <si>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</si>
  <si>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</si>
  <si>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</si>
  <si>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</si>
  <si>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</si>
  <si>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</si>
  <si>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</si>
  <si>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</si>
  <si>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</si>
  <si>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</si>
  <si>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</si>
  <si>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</si>
  <si>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</si>
  <si>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</si>
  <si>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</si>
  <si>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</si>
  <si>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</si>
  <si>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</si>
  <si>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</si>
  <si>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</si>
  <si>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</si>
  <si>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</si>
  <si>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</si>
  <si>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</si>
  <si>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</si>
  <si>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</si>
  <si>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</si>
  <si>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</si>
  <si>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</si>
  <si>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</si>
  <si>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</si>
  <si>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</si>
  <si>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</si>
  <si>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</si>
  <si>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</si>
  <si>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</si>
  <si>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</si>
  <si>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</si>
  <si>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</si>
  <si>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</si>
  <si>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</si>
  <si>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</si>
  <si>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</si>
  <si>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</si>
  <si>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</si>
  <si>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</si>
  <si>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</si>
  <si>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</si>
  <si>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</si>
  <si>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</si>
  <si>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</si>
  <si>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</si>
  <si>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</si>
  <si>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</si>
  <si>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</si>
  <si>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</si>
  <si>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</si>
  <si>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</si>
  <si>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</si>
  <si>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</si>
  <si>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</si>
  <si>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</si>
  <si>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</si>
  <si>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</si>
  <si>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</si>
  <si>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</si>
  <si>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</si>
  <si>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</si>
  <si>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</si>
  <si>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</si>
  <si>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</si>
  <si>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</si>
  <si>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</si>
  <si>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</si>
  <si>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</si>
  <si>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</si>
  <si>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</si>
  <si>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</si>
  <si>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</si>
  <si>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</si>
  <si>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</si>
  <si>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</si>
  <si>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</si>
  <si>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</si>
  <si>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</si>
  <si>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</si>
  <si>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</si>
  <si>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</si>
  <si>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</si>
  <si>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</si>
  <si>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</si>
  <si>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</si>
  <si>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</si>
  <si>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</si>
  <si>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</si>
  <si>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</si>
  <si>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</si>
  <si>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</si>
  <si>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</si>
  <si>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</si>
  <si>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</si>
  <si>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</si>
  <si>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</si>
  <si>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</si>
  <si>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</si>
  <si>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</si>
  <si>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</si>
  <si>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</si>
  <si>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</si>
  <si>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</si>
  <si>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</si>
  <si>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</si>
  <si>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</si>
  <si>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</si>
  <si>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</si>
  <si>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</si>
  <si>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</si>
  <si>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</si>
  <si>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</si>
  <si>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</si>
  <si>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</si>
  <si>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</si>
  <si>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</si>
  <si>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</si>
  <si>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</si>
  <si>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</si>
  <si>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</si>
  <si>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</si>
  <si>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</si>
  <si>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</si>
  <si>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</si>
  <si>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</si>
  <si>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</si>
  <si>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</si>
  <si>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</si>
  <si>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</si>
  <si>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</si>
  <si>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</si>
  <si>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</si>
  <si>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</si>
  <si>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</si>
  <si>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</si>
  <si>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</si>
  <si>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</si>
  <si>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</si>
  <si>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</si>
  <si>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</si>
  <si>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</si>
  <si>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</si>
  <si>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</si>
  <si>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</si>
  <si>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</si>
  <si>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</si>
  <si>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</si>
  <si>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</si>
  <si>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</si>
  <si>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</si>
  <si>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</si>
  <si>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</si>
  <si>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</si>
  <si>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</si>
  <si>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</si>
  <si>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</si>
  <si>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</si>
  <si>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</si>
  <si>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</si>
  <si>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</si>
  <si>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</si>
  <si>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</si>
  <si>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</si>
  <si>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</si>
  <si>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</si>
  <si>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</si>
  <si>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</si>
  <si>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</si>
  <si>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</si>
  <si>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</si>
  <si>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</si>
  <si>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</si>
  <si>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</si>
  <si>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</si>
  <si>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</si>
  <si>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</si>
  <si>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</si>
  <si>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</si>
  <si>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</si>
  <si>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</si>
  <si>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</si>
  <si>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</si>
  <si>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</si>
  <si>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</si>
  <si>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</si>
  <si>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</si>
  <si>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</si>
  <si>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</si>
  <si>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</si>
  <si>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</si>
  <si>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</si>
  <si>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</si>
  <si>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</si>
  <si>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</si>
  <si>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</si>
  <si>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</si>
  <si>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</si>
  <si>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</si>
  <si>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</si>
  <si>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</si>
  <si>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</si>
  <si>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</si>
  <si>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</si>
  <si>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</si>
  <si>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</si>
  <si>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</si>
  <si>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</si>
  <si>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</si>
  <si>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</si>
  <si>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</si>
  <si>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</si>
  <si>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</si>
  <si>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</si>
  <si>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</si>
  <si>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</si>
  <si>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</si>
  <si>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</si>
  <si>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</si>
  <si>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</si>
  <si>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</si>
  <si>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</si>
  <si>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</si>
  <si>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</si>
  <si>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</si>
  <si>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</si>
  <si>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</si>
  <si>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</si>
  <si>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</si>
  <si>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</si>
  <si>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</si>
  <si>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</si>
  <si>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</si>
  <si>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</si>
  <si>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</si>
  <si>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</si>
  <si>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</si>
  <si>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</si>
  <si>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</si>
  <si>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</si>
  <si>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</si>
  <si>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</si>
  <si>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</si>
  <si>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</si>
  <si>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</si>
  <si>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</si>
  <si>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</si>
  <si>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</si>
  <si>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</si>
  <si>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</si>
  <si>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</si>
  <si>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</si>
  <si>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</si>
  <si>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</si>
  <si>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</si>
  <si>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</si>
  <si>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</si>
  <si>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</si>
  <si>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</si>
  <si>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</si>
  <si>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</si>
  <si>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</si>
  <si>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</si>
  <si>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</si>
  <si>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</si>
  <si>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</si>
  <si>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</si>
  <si>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</si>
  <si>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</si>
  <si>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</si>
  <si>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</si>
  <si>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</si>
  <si>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</si>
  <si>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</si>
  <si>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</si>
  <si>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</si>
  <si>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</si>
  <si>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</si>
  <si>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</si>
  <si>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</si>
  <si>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</si>
  <si>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</si>
  <si>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</si>
  <si>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</si>
  <si>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</si>
  <si>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</si>
  <si>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</si>
  <si>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</si>
  <si>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</si>
  <si>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</si>
  <si>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</si>
  <si>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</si>
  <si>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</si>
  <si>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</si>
  <si>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</si>
  <si>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</si>
  <si>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</si>
  <si>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</si>
  <si>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</si>
  <si>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</si>
  <si>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</si>
  <si>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</si>
  <si>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</si>
  <si>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</si>
  <si>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</si>
  <si>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</si>
  <si>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</si>
  <si>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</si>
  <si>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</si>
  <si>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</si>
  <si>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</si>
  <si>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</si>
  <si>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</si>
  <si>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</si>
  <si>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</si>
  <si>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</si>
  <si>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</si>
  <si>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</si>
  <si>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</si>
  <si>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</si>
  <si>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</si>
  <si>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</si>
  <si>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</si>
  <si>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</si>
  <si>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</si>
  <si>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</si>
  <si>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</si>
  <si>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</si>
  <si>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</si>
  <si>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</si>
  <si>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</si>
  <si>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</si>
  <si>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</si>
  <si>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</si>
  <si>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</si>
  <si>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</si>
  <si>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</si>
  <si>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</si>
  <si>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</si>
  <si>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</si>
  <si>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</si>
  <si>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</si>
  <si>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</si>
  <si>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</si>
  <si>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</si>
  <si>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</si>
  <si>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</si>
  <si>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</si>
  <si>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</si>
  <si>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</si>
  <si>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</si>
  <si>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</si>
  <si>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</si>
  <si>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</si>
  <si>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</si>
  <si>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</si>
  <si>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</si>
  <si>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</si>
  <si>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</si>
  <si>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</si>
  <si>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</si>
  <si>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</si>
  <si>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</si>
  <si>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</si>
  <si>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</si>
  <si>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</si>
  <si>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</si>
  <si>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</si>
  <si>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</si>
  <si>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</si>
  <si>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</si>
  <si>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</si>
  <si>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</si>
  <si>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</si>
  <si>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</si>
  <si>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</si>
  <si>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</si>
  <si>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</si>
  <si>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</si>
  <si>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</si>
  <si>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</si>
  <si>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</si>
  <si>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</si>
  <si>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</si>
  <si>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</si>
  <si>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</si>
  <si>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</si>
  <si>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</si>
  <si>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</si>
  <si>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</si>
  <si>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</si>
  <si>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</si>
  <si>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</si>
  <si>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</si>
  <si>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</si>
  <si>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</si>
  <si>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</si>
  <si>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</si>
  <si>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</si>
  <si>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</si>
  <si>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</si>
  <si>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</si>
  <si>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</si>
  <si>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</si>
  <si>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</si>
  <si>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</si>
  <si>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</si>
  <si>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</si>
  <si>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</si>
  <si>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</si>
  <si>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</si>
  <si>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</si>
  <si>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</si>
  <si>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</si>
  <si>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</si>
  <si>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</si>
  <si>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</si>
  <si>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</si>
  <si>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</si>
  <si>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</si>
  <si>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</si>
  <si>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</si>
  <si>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</si>
  <si>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</si>
  <si>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</si>
  <si>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</si>
  <si>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</si>
  <si>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</si>
  <si>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</si>
  <si>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</si>
  <si>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</si>
  <si>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</si>
  <si>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</si>
  <si>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</si>
  <si>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</si>
  <si>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</si>
  <si>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</si>
  <si>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</si>
  <si>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</si>
  <si>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</si>
  <si>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</si>
  <si>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</si>
  <si>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</si>
  <si>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</si>
  <si>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</si>
  <si>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</si>
  <si>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</si>
  <si>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</si>
  <si>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</si>
  <si>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</si>
  <si>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</si>
  <si>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</si>
  <si>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</si>
  <si>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</si>
  <si>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</si>
  <si>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</si>
  <si>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</si>
  <si>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</si>
  <si>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</si>
  <si>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</si>
  <si>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</si>
  <si>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</si>
  <si>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</si>
  <si>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</si>
  <si>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</si>
  <si>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</si>
  <si>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</si>
  <si>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</si>
  <si>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</si>
  <si>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</si>
  <si>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</si>
  <si>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</si>
  <si>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</si>
  <si>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</si>
  <si>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</si>
  <si>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</si>
  <si>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</si>
  <si>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</si>
  <si>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</si>
  <si>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</si>
  <si>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</si>
  <si>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</si>
  <si>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</si>
  <si>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</si>
  <si>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</si>
  <si>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</si>
  <si>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</si>
  <si>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</si>
  <si>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</si>
  <si>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</si>
  <si>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</si>
  <si>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</si>
  <si>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</si>
  <si>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</si>
  <si>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</si>
  <si>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</si>
  <si>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</si>
  <si>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</si>
  <si>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</si>
  <si>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</si>
  <si>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</si>
  <si>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</si>
  <si>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</si>
  <si>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</si>
  <si>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</si>
  <si>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</si>
  <si>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</si>
  <si>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</si>
  <si>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</si>
  <si>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</si>
  <si>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</si>
  <si>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</si>
  <si>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</si>
  <si>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</si>
  <si>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</si>
  <si>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</si>
  <si>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</si>
  <si>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</si>
  <si>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</si>
  <si>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</si>
  <si>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</si>
  <si>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</si>
  <si>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</si>
  <si>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</si>
  <si>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</si>
  <si>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</si>
  <si>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</si>
  <si>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</si>
  <si>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</si>
  <si>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</si>
  <si>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</si>
  <si>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</si>
  <si>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</si>
  <si>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</si>
  <si>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</si>
  <si>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</si>
  <si>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</si>
  <si>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</si>
  <si>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</si>
  <si>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</si>
  <si>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</si>
  <si>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</si>
  <si>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</si>
  <si>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</si>
  <si>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</si>
  <si>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</si>
  <si>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</si>
  <si>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</si>
  <si>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</si>
  <si>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</si>
  <si>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</si>
  <si>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</si>
  <si>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</si>
  <si>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</si>
  <si>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</si>
  <si>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</si>
  <si>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</si>
  <si>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</si>
  <si>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</si>
  <si>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</si>
  <si>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</si>
  <si>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</si>
  <si>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</si>
  <si>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</si>
  <si>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</si>
  <si>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</si>
  <si>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</si>
  <si>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</si>
  <si>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</si>
  <si>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</si>
  <si>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</si>
  <si>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</si>
  <si>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</si>
  <si>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</si>
  <si>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</si>
  <si>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</si>
  <si>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</si>
  <si>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</si>
  <si>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</si>
  <si>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</si>
  <si>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</si>
  <si>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</si>
  <si>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</si>
  <si>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</si>
  <si>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</si>
  <si>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</si>
  <si>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</si>
  <si>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</si>
  <si>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</si>
  <si>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</si>
  <si>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</si>
  <si>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</si>
  <si>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</si>
  <si>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</si>
  <si>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</si>
  <si>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</si>
  <si>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</si>
  <si>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</si>
  <si>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</si>
  <si>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</si>
  <si>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</si>
  <si>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</si>
  <si>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</si>
  <si>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</si>
  <si>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</si>
  <si>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</si>
  <si>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</si>
  <si>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</si>
  <si>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</si>
  <si>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</si>
  <si>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</si>
  <si>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</si>
  <si>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</si>
  <si>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</si>
  <si>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</si>
  <si>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</si>
  <si>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</si>
  <si>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</si>
  <si>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</si>
  <si>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</si>
  <si>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</si>
  <si>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</si>
  <si>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</si>
  <si>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</si>
  <si>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</si>
  <si>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</si>
  <si>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</si>
  <si>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</si>
  <si>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</si>
  <si>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</si>
  <si>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</si>
  <si>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</si>
  <si>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</si>
  <si>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</si>
  <si>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</si>
  <si>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</si>
  <si>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</si>
  <si>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</si>
  <si>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</si>
  <si>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</si>
  <si>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</si>
  <si>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</si>
  <si>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</si>
  <si>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</si>
  <si>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</si>
  <si>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</si>
  <si>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</si>
  <si>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</si>
  <si>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</si>
  <si>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</si>
  <si>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</si>
  <si>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</si>
  <si>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</si>
  <si>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</si>
  <si>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</si>
  <si>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</si>
  <si>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</si>
  <si>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</si>
  <si>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</si>
  <si>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</si>
  <si>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</si>
  <si>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</si>
  <si>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</si>
  <si>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</si>
  <si>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</si>
  <si>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</si>
  <si>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</si>
  <si>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</si>
  <si>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</si>
  <si>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</si>
  <si>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</si>
  <si>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</si>
  <si>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</si>
  <si>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</si>
  <si>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</si>
  <si>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</si>
  <si>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</si>
  <si>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</si>
  <si>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</si>
  <si>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</si>
  <si>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</si>
  <si>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</si>
  <si>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</si>
  <si>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</si>
  <si>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</si>
  <si>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</si>
  <si>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</si>
  <si>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</si>
  <si>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</si>
  <si>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</si>
  <si>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</si>
  <si>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</si>
  <si>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</si>
  <si>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</si>
  <si>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</si>
  <si>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</si>
  <si>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</si>
  <si>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</si>
  <si>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</si>
  <si>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</si>
  <si>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</si>
  <si>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</si>
  <si>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</si>
  <si>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</si>
  <si>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</si>
  <si>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</si>
  <si>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</si>
  <si>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</si>
  <si>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</si>
  <si>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</si>
  <si>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</si>
  <si>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</si>
  <si>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</si>
  <si>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</si>
  <si>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</si>
  <si>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</si>
  <si>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</si>
  <si>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</si>
  <si>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</si>
  <si>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</si>
  <si>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</si>
  <si>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</si>
  <si>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</si>
  <si>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</si>
  <si>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</si>
  <si>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</si>
  <si>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</si>
  <si>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</si>
  <si>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</si>
  <si>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</si>
  <si>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</si>
  <si>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</si>
  <si>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</si>
  <si>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</si>
  <si>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</si>
  <si>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</si>
  <si>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</si>
  <si>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</si>
  <si>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</si>
  <si>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</si>
  <si>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</si>
  <si>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</si>
  <si>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</si>
  <si>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</si>
  <si>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</si>
  <si>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</si>
  <si>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</si>
  <si>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</si>
  <si>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</si>
  <si>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</si>
  <si>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</si>
  <si>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</si>
  <si>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</si>
  <si>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</si>
  <si>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</si>
  <si>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</si>
  <si>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</si>
  <si>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</si>
  <si>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</si>
  <si>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</si>
  <si>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</si>
  <si>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</si>
  <si>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</si>
  <si>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</si>
  <si>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</si>
  <si>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</si>
  <si>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</si>
  <si>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</si>
  <si>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</si>
  <si>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</si>
  <si>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</si>
  <si>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</si>
  <si>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</si>
  <si>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</si>
  <si>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</si>
  <si>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</si>
  <si>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</si>
  <si>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</si>
  <si>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</si>
  <si>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</si>
  <si>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</si>
  <si>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</si>
  <si>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</si>
  <si>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</si>
  <si>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</si>
  <si>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</si>
  <si>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</si>
  <si>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</si>
  <si>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</si>
  <si>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</si>
  <si>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</si>
  <si>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</si>
  <si>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</si>
  <si>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</si>
  <si>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</si>
  <si>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</si>
  <si>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</si>
  <si>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</si>
  <si>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</si>
  <si>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</si>
  <si>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</si>
  <si>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</si>
  <si>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</si>
  <si>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</si>
  <si>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</si>
  <si>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</si>
  <si>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</si>
  <si>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</si>
  <si>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</si>
  <si>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</si>
  <si>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</si>
  <si>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</si>
  <si>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</si>
  <si>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</si>
  <si>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</si>
  <si>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</si>
  <si>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</si>
  <si>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</si>
  <si>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</si>
  <si>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</si>
  <si>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</si>
  <si>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</si>
  <si>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</si>
  <si>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</si>
  <si>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</si>
  <si>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</si>
  <si>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</si>
  <si>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</si>
  <si>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</si>
  <si>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</si>
  <si>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</si>
  <si>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</si>
  <si>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</si>
  <si>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</si>
  <si>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</si>
  <si>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</si>
  <si>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</si>
  <si>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</si>
  <si>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</si>
  <si>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</si>
  <si>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</si>
  <si>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</si>
  <si>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</si>
  <si>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</si>
  <si>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</si>
  <si>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</si>
  <si>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</si>
  <si>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</si>
  <si>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</si>
  <si>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</si>
  <si>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</si>
  <si>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</si>
  <si>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</si>
  <si>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</si>
  <si>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</si>
  <si>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</si>
  <si>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</si>
  <si>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</si>
  <si>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</si>
  <si>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</si>
  <si>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</si>
  <si>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</si>
  <si>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</si>
  <si>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</si>
  <si>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</si>
  <si>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</si>
  <si>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</si>
  <si>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</si>
  <si>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</si>
  <si>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</si>
  <si>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</si>
  <si>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</si>
  <si>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</si>
  <si>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</si>
  <si>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</si>
  <si>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</si>
  <si>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</si>
  <si>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</si>
  <si>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</si>
  <si>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</si>
  <si>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</si>
  <si>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</si>
  <si>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</si>
  <si>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</si>
  <si>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</si>
  <si>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</si>
  <si>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</si>
  <si>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</si>
  <si>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</si>
  <si>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</si>
  <si>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</si>
  <si>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</si>
  <si>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</si>
  <si>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</si>
  <si>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</si>
  <si>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</si>
  <si>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</si>
  <si>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</si>
  <si>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</si>
  <si>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</si>
  <si>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</si>
  <si>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</si>
  <si>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</si>
  <si>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</si>
  <si>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</si>
  <si>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</si>
  <si>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</si>
  <si>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</si>
  <si>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</si>
  <si>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</si>
  <si>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</si>
  <si>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</si>
  <si>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</si>
  <si>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</si>
  <si>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</si>
  <si>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</si>
  <si>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</si>
  <si>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</si>
  <si>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</si>
  <si>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</si>
  <si>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</si>
  <si>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</si>
  <si>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</si>
  <si>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</si>
  <si>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</si>
  <si>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</si>
  <si>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</si>
  <si>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</si>
  <si>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</si>
  <si>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</si>
  <si>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</si>
  <si>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</si>
  <si>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</si>
  <si>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</si>
  <si>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</si>
  <si>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</si>
  <si>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</si>
  <si>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</si>
  <si>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</si>
  <si>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</si>
  <si>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</si>
  <si>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</si>
  <si>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</si>
  <si>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</si>
  <si>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</si>
  <si>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</si>
  <si>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</si>
  <si>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</si>
  <si>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</si>
  <si>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</si>
  <si>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</si>
  <si>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</si>
  <si>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</si>
  <si>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</si>
  <si>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</si>
  <si>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</si>
  <si>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</si>
  <si>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</si>
  <si>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</si>
  <si>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</si>
  <si>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</si>
  <si>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</si>
  <si>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</si>
  <si>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</si>
  <si>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</si>
  <si>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</si>
  <si>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</si>
  <si>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</si>
  <si>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</si>
  <si>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</si>
  <si>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</si>
  <si>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</si>
  <si>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</si>
  <si>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</si>
  <si>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</si>
  <si>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</si>
  <si>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</si>
  <si>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</si>
  <si>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</si>
  <si>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</si>
  <si>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</si>
  <si>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</si>
  <si>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</si>
  <si>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</si>
  <si>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</si>
  <si>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</si>
  <si>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</si>
  <si>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</si>
  <si>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</si>
  <si>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</si>
  <si>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</si>
  <si>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</si>
  <si>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</si>
  <si>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</si>
  <si>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</si>
  <si>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</si>
  <si>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</si>
  <si>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</si>
  <si>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</si>
  <si>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</si>
  <si>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</si>
  <si>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</si>
  <si>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</si>
  <si>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</si>
  <si>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</si>
  <si>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</si>
  <si>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</si>
  <si>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</si>
  <si>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</si>
  <si>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</si>
  <si>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</si>
  <si>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</si>
  <si>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</si>
  <si>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</si>
  <si>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</si>
  <si>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</si>
  <si>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</si>
  <si>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</si>
  <si>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</si>
  <si>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</si>
  <si>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</si>
  <si>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</si>
  <si>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</si>
  <si>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</si>
  <si>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</si>
  <si>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</si>
  <si>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</si>
  <si>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</si>
  <si>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</si>
  <si>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</si>
  <si>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</si>
  <si>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</si>
  <si>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</si>
  <si>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</si>
  <si>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</si>
  <si>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</si>
  <si>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</si>
  <si>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</si>
  <si>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</si>
  <si>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</si>
  <si>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</si>
  <si>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</si>
  <si>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</si>
  <si>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</si>
  <si>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</si>
  <si>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</si>
  <si>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</si>
  <si>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</si>
  <si>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</si>
  <si>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</si>
  <si>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</si>
  <si>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</si>
  <si>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</si>
  <si>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</si>
  <si>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</si>
  <si>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</si>
  <si>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</si>
  <si>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</si>
  <si>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</si>
  <si>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</si>
  <si>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</si>
  <si>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</si>
  <si>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</si>
  <si>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</si>
  <si>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</si>
  <si>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</si>
  <si>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</si>
  <si>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</si>
  <si>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</si>
  <si>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</si>
  <si>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</si>
  <si>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</si>
  <si>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</si>
  <si>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</si>
  <si>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</si>
  <si>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</si>
  <si>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</si>
  <si>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</si>
  <si>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</si>
  <si>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</si>
  <si>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</si>
  <si>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</si>
  <si>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</si>
  <si>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</si>
  <si>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</si>
  <si>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</si>
  <si>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</si>
  <si>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</si>
  <si>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</si>
  <si>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</si>
  <si>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</si>
  <si>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</si>
  <si>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</si>
  <si>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</si>
  <si>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</si>
  <si>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</si>
  <si>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</si>
  <si>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</si>
  <si>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</si>
  <si>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</si>
  <si>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</si>
  <si>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</si>
  <si>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</si>
  <si>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</si>
  <si>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</si>
  <si>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</si>
  <si>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</si>
  <si>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</si>
  <si>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</si>
  <si>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</si>
  <si>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</si>
  <si>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</si>
  <si>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</si>
  <si>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</si>
  <si>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</si>
  <si>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</si>
  <si>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</si>
  <si>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</si>
  <si>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</si>
  <si>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</si>
  <si>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</si>
  <si>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</si>
  <si>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</si>
  <si>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</si>
  <si>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</si>
  <si>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</si>
  <si>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</si>
  <si>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</si>
  <si>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</si>
  <si>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</si>
  <si>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</si>
  <si>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</si>
  <si>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</si>
  <si>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</si>
  <si>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</si>
  <si>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</si>
  <si>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</si>
  <si>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</si>
  <si>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</si>
  <si>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</si>
  <si>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</si>
  <si>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</si>
  <si>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</si>
  <si>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</si>
  <si>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</si>
  <si>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</si>
  <si>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</si>
  <si>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</si>
  <si>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</si>
  <si>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</si>
  <si>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</si>
  <si>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</si>
  <si>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</si>
  <si>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</si>
  <si>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</si>
  <si>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</si>
  <si>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</si>
  <si>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</si>
  <si>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</si>
  <si>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</si>
  <si>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</si>
  <si>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</si>
  <si>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</si>
  <si>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</si>
  <si>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</si>
  <si>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</si>
  <si>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</si>
  <si>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</si>
  <si>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</si>
  <si>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</si>
  <si>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</si>
  <si>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</si>
  <si>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</si>
  <si>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</si>
  <si>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</si>
  <si>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</si>
  <si>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</si>
  <si>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</si>
  <si>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</si>
  <si>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</si>
  <si>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</si>
  <si>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</si>
  <si>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</si>
  <si>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</si>
  <si>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</si>
  <si>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</si>
  <si>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</si>
  <si>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</si>
  <si>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</si>
  <si>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</si>
  <si>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</si>
  <si>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</si>
  <si>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</si>
  <si>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</si>
  <si>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</si>
  <si>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</si>
  <si>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</si>
  <si>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</si>
  <si>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</si>
  <si>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</si>
  <si>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</si>
  <si>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</si>
  <si>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</si>
  <si>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</si>
  <si>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</si>
  <si>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</si>
  <si>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</si>
  <si>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</si>
  <si>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</si>
  <si>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</si>
  <si>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</si>
  <si>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</si>
  <si>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</si>
  <si>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</si>
  <si>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</si>
  <si>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</si>
  <si>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</si>
  <si>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</si>
  <si>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</si>
  <si>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</si>
  <si>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</si>
  <si>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</si>
  <si>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</si>
  <si>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</si>
  <si>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</si>
  <si>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</si>
  <si>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</si>
  <si>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</si>
  <si>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</si>
  <si>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</si>
  <si>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</si>
  <si>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</si>
  <si>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</si>
  <si>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</si>
  <si>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</si>
  <si>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</si>
  <si>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</si>
  <si>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</si>
  <si>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</si>
  <si>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</si>
  <si>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</si>
  <si>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</si>
  <si>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</si>
  <si>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</si>
  <si>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</si>
  <si>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</si>
  <si>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</si>
  <si>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</si>
  <si>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</si>
  <si>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</si>
  <si>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</si>
  <si>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</si>
  <si>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</si>
  <si>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</si>
  <si>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</si>
  <si>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</si>
  <si>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</si>
  <si>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</si>
  <si>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</si>
  <si>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</si>
  <si>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</si>
  <si>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</si>
  <si>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</si>
  <si>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</si>
  <si>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</si>
  <si>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</si>
  <si>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</si>
  <si>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</si>
  <si>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</si>
  <si>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</si>
  <si>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</si>
  <si>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</si>
  <si>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</si>
  <si>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</si>
  <si>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</si>
  <si>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</si>
  <si>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</si>
  <si>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</si>
  <si>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</si>
  <si>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</si>
  <si>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</si>
  <si>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</si>
  <si>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</si>
  <si>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</si>
  <si>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</si>
  <si>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</si>
  <si>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</si>
  <si>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</si>
  <si>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</si>
  <si>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</si>
  <si>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</si>
  <si>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</si>
  <si>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</si>
  <si>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</si>
  <si>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</si>
  <si>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</si>
  <si>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</si>
  <si>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</si>
  <si>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</si>
  <si>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</si>
  <si>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</si>
  <si>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</si>
  <si>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</si>
  <si>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</si>
  <si>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</si>
  <si>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</si>
  <si>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</si>
  <si>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</si>
  <si>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</si>
  <si>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</si>
  <si>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</si>
  <si>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</si>
  <si>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</si>
  <si>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</si>
  <si>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</si>
  <si>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</si>
  <si>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</si>
  <si>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</si>
  <si>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</si>
  <si>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</si>
  <si>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</si>
  <si>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</si>
  <si>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</si>
  <si>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</si>
  <si>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</si>
  <si>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</si>
  <si>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</si>
  <si>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</si>
  <si>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</si>
  <si>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</si>
  <si>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</si>
  <si>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</si>
  <si>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</si>
  <si>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</si>
  <si>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</si>
  <si>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</si>
  <si>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</si>
  <si>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</si>
  <si>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</si>
  <si>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</si>
  <si>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</si>
  <si>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</si>
  <si>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</si>
  <si>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</si>
  <si>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</si>
  <si>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</si>
  <si>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</si>
  <si>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</si>
  <si>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</si>
  <si>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</si>
  <si>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</si>
  <si>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</si>
  <si>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</si>
  <si>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</si>
  <si>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</si>
  <si>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</si>
  <si>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</si>
  <si>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</si>
  <si>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</si>
  <si>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</si>
  <si>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</si>
  <si>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</si>
  <si>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</si>
  <si>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</si>
  <si>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</si>
  <si>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</si>
  <si>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</si>
  <si>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</si>
  <si>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</si>
  <si>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</si>
  <si>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</si>
  <si>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</si>
  <si>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</si>
  <si>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</si>
  <si>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</si>
  <si>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</si>
  <si>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</si>
  <si>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</si>
  <si>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</si>
  <si>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</si>
  <si>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</si>
  <si>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</si>
  <si>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</si>
  <si>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</si>
  <si>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</si>
  <si>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</si>
  <si>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</si>
  <si>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</si>
  <si>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</si>
  <si>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</si>
  <si>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</si>
  <si>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</si>
  <si>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</si>
  <si>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</si>
  <si>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</si>
  <si>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</si>
  <si>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</si>
  <si>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</si>
  <si>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</si>
  <si>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</si>
  <si>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</si>
  <si>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</si>
  <si>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</si>
  <si>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</si>
  <si>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</si>
  <si>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</si>
  <si>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</si>
  <si>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</si>
  <si>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</si>
  <si>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</si>
  <si>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</si>
  <si>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</si>
  <si>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</si>
  <si>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</si>
  <si>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</si>
  <si>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</si>
  <si>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</si>
  <si>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</si>
  <si>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</si>
  <si>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</si>
  <si>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</si>
  <si>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</si>
  <si>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</si>
  <si>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</si>
  <si>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</si>
  <si>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</si>
  <si>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</si>
  <si>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</si>
  <si>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</si>
  <si>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</si>
  <si>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</si>
  <si>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</si>
  <si>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</si>
  <si>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</si>
  <si>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</si>
  <si>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</si>
  <si>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</si>
  <si>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</si>
  <si>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</si>
  <si>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</si>
  <si>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</si>
  <si>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</si>
  <si>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</si>
  <si>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</si>
  <si>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</si>
  <si>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</si>
  <si>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</si>
  <si>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</si>
  <si>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</si>
  <si>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</si>
  <si>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</si>
  <si>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</si>
  <si>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</si>
  <si>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</si>
  <si>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</si>
  <si>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</si>
  <si>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</si>
  <si>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</si>
  <si>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</si>
  <si>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</si>
  <si>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</si>
  <si>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</si>
  <si>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</si>
  <si>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</si>
  <si>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</si>
  <si>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</si>
  <si>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</si>
  <si>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</si>
  <si>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</si>
  <si>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</si>
  <si>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</si>
  <si>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</si>
  <si>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</si>
  <si>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</si>
  <si>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</si>
  <si>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</si>
  <si>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</si>
  <si>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</si>
  <si>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</si>
  <si>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</si>
  <si>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</si>
  <si>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</si>
  <si>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</si>
  <si>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</si>
  <si>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</si>
  <si>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</si>
  <si>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</si>
  <si>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</si>
  <si>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</si>
  <si>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</si>
  <si>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</si>
  <si>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</si>
  <si>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</si>
  <si>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</si>
  <si>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</si>
  <si>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</si>
  <si>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</si>
  <si>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</si>
  <si>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</si>
  <si>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</si>
  <si>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</si>
  <si>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</si>
  <si>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</si>
  <si>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</si>
  <si>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</si>
  <si>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</si>
  <si>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</si>
  <si>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</si>
  <si>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</si>
  <si>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</si>
  <si>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</si>
  <si>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</si>
  <si>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</si>
  <si>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</si>
  <si>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</si>
  <si>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</si>
  <si>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</si>
  <si>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</si>
  <si>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</si>
  <si>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</si>
  <si>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</si>
  <si>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</si>
  <si>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</si>
  <si>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</si>
  <si>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</si>
  <si>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</si>
  <si>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</si>
  <si>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</si>
  <si>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</si>
  <si>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</si>
  <si>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</si>
  <si>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</si>
  <si>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</si>
  <si>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</si>
  <si>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</si>
  <si>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</si>
  <si>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</si>
  <si>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</si>
  <si>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</si>
  <si>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</si>
  <si>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</si>
  <si>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</si>
  <si>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</si>
  <si>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</si>
  <si>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</si>
  <si>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</si>
  <si>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</si>
  <si>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</si>
  <si>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</si>
  <si>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</si>
  <si>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</si>
  <si>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</si>
  <si>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</si>
  <si>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</si>
  <si>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</si>
  <si>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</si>
  <si>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</si>
  <si>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</si>
  <si>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</si>
  <si>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</si>
  <si>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</si>
  <si>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</si>
  <si>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</si>
  <si>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</si>
  <si>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</si>
  <si>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</si>
  <si>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</si>
  <si>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</si>
  <si>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</si>
  <si>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</si>
  <si>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</si>
  <si>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</si>
  <si>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</si>
  <si>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</si>
  <si>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</si>
  <si>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</si>
  <si>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</si>
  <si>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</si>
  <si>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</si>
  <si>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</si>
  <si>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</si>
  <si>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</si>
  <si>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</si>
  <si>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</si>
  <si>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</si>
  <si>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</si>
  <si>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</si>
  <si>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</si>
  <si>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</si>
  <si>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</si>
  <si>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</si>
  <si>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</si>
  <si>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</si>
  <si>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</si>
  <si>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</si>
  <si>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</si>
  <si>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</si>
  <si>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</si>
  <si>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</si>
  <si>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</si>
  <si>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</si>
  <si>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</si>
  <si>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</si>
  <si>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</si>
  <si>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</si>
  <si>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</si>
  <si>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</si>
  <si>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</si>
  <si>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</si>
  <si>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</si>
  <si>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</si>
  <si>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</si>
  <si>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</si>
  <si>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</si>
  <si>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</si>
  <si>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</si>
  <si>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</si>
  <si>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</si>
  <si>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</si>
  <si>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</si>
  <si>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</si>
  <si>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</si>
  <si>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</si>
  <si>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</si>
  <si>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</si>
  <si>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</si>
  <si>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</si>
  <si>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</si>
  <si>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</si>
  <si>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</si>
  <si>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</si>
  <si>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</si>
  <si>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</si>
  <si>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</si>
  <si>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</si>
  <si>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</si>
  <si>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</si>
  <si>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</si>
  <si>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</si>
  <si>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</si>
  <si>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</si>
  <si>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</si>
  <si>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</si>
  <si>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</si>
  <si>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</si>
  <si>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</si>
  <si>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</si>
  <si>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</si>
  <si>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</si>
  <si>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</si>
  <si>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</si>
  <si>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</si>
  <si>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</si>
  <si>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</si>
  <si>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</si>
  <si>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</si>
  <si>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</si>
  <si>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</si>
  <si>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</si>
  <si>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</si>
  <si>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</si>
  <si>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</si>
  <si>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</si>
  <si>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</si>
  <si>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</si>
  <si>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</si>
  <si>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</si>
  <si>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</si>
  <si>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</si>
  <si>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</si>
  <si>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</si>
  <si>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</si>
  <si>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</si>
  <si>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</si>
  <si>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</si>
  <si>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</si>
  <si>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</si>
  <si>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</si>
  <si>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</si>
  <si>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</si>
  <si>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</si>
  <si>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</si>
  <si>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</si>
  <si>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</si>
  <si>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</si>
  <si>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</si>
  <si>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</si>
  <si>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</si>
  <si>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</si>
  <si>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</si>
  <si>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</si>
  <si>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</si>
  <si>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</si>
  <si>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</si>
  <si>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</si>
  <si>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</si>
  <si>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</si>
  <si>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</si>
  <si>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</si>
  <si>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</si>
  <si>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</si>
  <si>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</si>
  <si>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</si>
  <si>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</si>
  <si>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</si>
  <si>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</si>
  <si>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</si>
  <si>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</si>
  <si>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</si>
  <si>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</si>
  <si>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</si>
  <si>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</si>
  <si>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</si>
  <si>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</si>
  <si>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</si>
  <si>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</si>
  <si>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</si>
  <si>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</si>
  <si>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</si>
  <si>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</si>
  <si>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</si>
  <si>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</si>
  <si>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</si>
  <si>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</si>
  <si>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</si>
  <si>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</si>
  <si>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</si>
  <si>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</si>
  <si>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</si>
  <si>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</si>
  <si>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</si>
  <si>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</si>
  <si>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</si>
  <si>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</si>
  <si>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</si>
  <si>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</si>
  <si>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</si>
  <si>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</si>
  <si>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</si>
  <si>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</si>
  <si>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</si>
  <si>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</si>
  <si>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</si>
  <si>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</si>
  <si>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</si>
  <si>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</si>
  <si>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</si>
  <si>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</si>
  <si>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</si>
  <si>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</si>
  <si>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</si>
  <si>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</si>
  <si>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</si>
  <si>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</si>
  <si>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</si>
  <si>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</si>
  <si>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</si>
  <si>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</si>
  <si>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</si>
  <si>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</si>
  <si>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</si>
  <si>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</si>
  <si>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</si>
  <si>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</si>
  <si>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</si>
  <si>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</si>
  <si>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</si>
  <si>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</si>
  <si>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</si>
  <si>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</si>
  <si>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</si>
  <si>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</si>
  <si>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</si>
  <si>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</si>
  <si>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</si>
  <si>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</si>
  <si>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</si>
  <si>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</si>
  <si>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</si>
  <si>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</si>
  <si>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</si>
  <si>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</si>
  <si>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</si>
  <si>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</si>
  <si>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</si>
  <si>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</si>
  <si>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</si>
  <si>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</si>
  <si>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</si>
  <si>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</si>
  <si>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</si>
  <si>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</si>
  <si>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</si>
  <si>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</si>
  <si>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</si>
  <si>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</si>
  <si>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</si>
  <si>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</si>
  <si>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</si>
  <si>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</si>
  <si>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</si>
  <si>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</si>
  <si>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</si>
  <si>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</si>
  <si>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</si>
  <si>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</si>
  <si>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Datasheets</t>
  </si>
  <si>
    <t>Image</t>
  </si>
  <si>
    <t>Digi-Key Part Number</t>
  </si>
  <si>
    <t>Manufacturer Part Number</t>
  </si>
  <si>
    <t>Quantity Available</t>
  </si>
  <si>
    <t>Factory Stock</t>
  </si>
  <si>
    <t>Unit Price (CHF)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</si>
  <si>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</si>
  <si>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</si>
  <si>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</si>
  <si>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</si>
  <si>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</si>
  <si>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</si>
  <si>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</si>
  <si>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</si>
  <si>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</si>
  <si>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</si>
  <si>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</si>
  <si>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</si>
  <si>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</si>
  <si>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</si>
  <si>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</si>
  <si>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</si>
  <si>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</si>
  <si>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</si>
  <si>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http://www.vishay.com/docs/20043/crcwhpe3.pdf</t>
  </si>
  <si>
    <t>//media.digikey.com/Renders/Vishay%20Dale%20Renders/CRCW-HP-1206.jpg</t>
  </si>
  <si>
    <t>541-0.0UBCT-ND</t>
  </si>
  <si>
    <t>CRCW12060000Z0EAHP</t>
  </si>
  <si>
    <t>RES SMD 0 OHM JUMPER 3/4W 1206</t>
  </si>
  <si>
    <t>Cut Tape (CT)</t>
  </si>
  <si>
    <t>CRCW-HP</t>
  </si>
  <si>
    <t>Active</t>
  </si>
  <si>
    <t>0 Ohms</t>
  </si>
  <si>
    <t>0.75W, 3/4W</t>
  </si>
  <si>
    <t>Thick Film</t>
  </si>
  <si>
    <t>Automotive AEC-Q200, Pulse Withstanding</t>
  </si>
  <si>
    <t>-55°C ~ 155°C</t>
  </si>
  <si>
    <t>1206 (3216 Metric)</t>
  </si>
  <si>
    <t>0.122" L x 0.063" W (3.10mm x 1.60mm)</t>
  </si>
  <si>
    <t>0.024" (0.60mm)</t>
  </si>
  <si>
    <t>541-1.0KUACT-ND</t>
  </si>
  <si>
    <t>CRCW12061K00JNEAHP</t>
  </si>
  <si>
    <t>RES SMD 1K OHM 5% 3/4W 1206</t>
  </si>
  <si>
    <t>1 kOhms</t>
  </si>
  <si>
    <t>±5%</t>
  </si>
  <si>
    <t>±200ppm/°C</t>
  </si>
  <si>
    <t>541-100UACT-ND</t>
  </si>
  <si>
    <t>CRCW1206100RJNEAHP</t>
  </si>
  <si>
    <t>RES SMD 100 OHM 5% 3/4W 1206</t>
  </si>
  <si>
    <t>100 Ohms</t>
  </si>
  <si>
    <t>541-100UCT-ND</t>
  </si>
  <si>
    <t>CRCW1206100RFKEAHP</t>
  </si>
  <si>
    <t>RES SMD 100 OHM 1% 3/4W 1206</t>
  </si>
  <si>
    <t>±1%</t>
  </si>
  <si>
    <t>±100ppm/°C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</si>
  <si>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</si>
  <si>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</si>
  <si>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</si>
  <si>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</si>
  <si>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</si>
  <si>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</si>
  <si>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47 Ohms</t>
  </si>
  <si>
    <t>541-12UACT-ND</t>
  </si>
  <si>
    <t>CRCW120612R0JNEAHP</t>
  </si>
  <si>
    <t>RES SMD 12 OHM 5% 3/4W 1206</t>
  </si>
  <si>
    <t>12 Ohms</t>
  </si>
  <si>
    <t>541-470UACT-ND</t>
  </si>
  <si>
    <t>CRCW1206470RJNEAHP</t>
  </si>
  <si>
    <t>RES SMD 470 OHM 5% 3/4W 1206</t>
  </si>
  <si>
    <t>470 Ohms</t>
  </si>
  <si>
    <t>541-10UACT-ND</t>
  </si>
  <si>
    <t>CRCW120610R0JNEAHP</t>
  </si>
  <si>
    <t>RES SMD 10 OHM 5% 3/4W 1206</t>
  </si>
  <si>
    <t>10 Ohms</t>
  </si>
  <si>
    <t>541-200UACT-ND</t>
  </si>
  <si>
    <t>CRCW1206200RJNEAHP</t>
  </si>
  <si>
    <t>RES SMD 200 OHM 5% 3/4W 1206</t>
  </si>
  <si>
    <t>200 Ohms</t>
  </si>
  <si>
    <t>541-75.0UCT-ND</t>
  </si>
  <si>
    <t>CRCW120675R0FKEAHP</t>
  </si>
  <si>
    <t>RES SMD 75 OHM 1% 3/4W 1206</t>
  </si>
  <si>
    <t>75 Ohms</t>
  </si>
  <si>
    <t>541-20.0UCT-ND</t>
  </si>
  <si>
    <t>CRCW120620R0FKEAHP</t>
  </si>
  <si>
    <t>RES SMD 20 OHM 1% 3/4W 1206</t>
  </si>
  <si>
    <t>20 Ohms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</si>
  <si>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</si>
  <si>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</si>
  <si>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</si>
  <si>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</si>
  <si>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</si>
  <si>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</si>
  <si>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750 Ohms</t>
  </si>
  <si>
    <t>541-15.0UCT-ND</t>
  </si>
  <si>
    <t>CRCW120615R0FKEAHP</t>
  </si>
  <si>
    <t>RES SMD 15 OHM 1% 3/4W 1206</t>
  </si>
  <si>
    <t>15 Ohms</t>
  </si>
  <si>
    <t>541-220UCT-ND</t>
  </si>
  <si>
    <t>CRCW1206220RFKEAHP</t>
  </si>
  <si>
    <t>RES SMD 220 OHM 1% 3/4W 1206</t>
  </si>
  <si>
    <t>220 Ohms</t>
  </si>
  <si>
    <t>541-68.0UCT-ND</t>
  </si>
  <si>
    <t>CRCW120668R0FKEAHP</t>
  </si>
  <si>
    <t>RES SMD 68 OHM 1% 3/4W 1206</t>
  </si>
  <si>
    <t>68 Ohms</t>
  </si>
  <si>
    <t>541-270UCT-ND</t>
  </si>
  <si>
    <t>CRCW1206270RFKEAHP</t>
  </si>
  <si>
    <t>RES SMD 270 OHM 1% 3/4W 1206</t>
  </si>
  <si>
    <t>270 Ohms</t>
  </si>
  <si>
    <t>541-330UCT-ND</t>
  </si>
  <si>
    <t>CRCW1206330RFKEAHP</t>
  </si>
  <si>
    <t>RES SMD 330 OHM 1% 3/4W 1206</t>
  </si>
  <si>
    <t>330 Ohms</t>
  </si>
  <si>
    <t>541-61.9UCT-ND</t>
  </si>
  <si>
    <t>CRCW120661R9FKEAHP</t>
  </si>
  <si>
    <t>RES SMD 61.9 OHM 1% 3/4W 1206</t>
  </si>
  <si>
    <t>61,9 Ohms</t>
  </si>
  <si>
    <t>541-13.0UCT-ND</t>
  </si>
  <si>
    <t>CRCW120613R0FKEAHP</t>
  </si>
  <si>
    <t>RES SMD 13 OHM 1% 3/4W 1206</t>
  </si>
  <si>
    <t>13 Ohms</t>
  </si>
  <si>
    <t>541-5.11UCT-ND</t>
  </si>
  <si>
    <t>CRCW12065R11FKEAHP</t>
  </si>
  <si>
    <t>RES SMD 5.11 OHM 1% 3/4W 1206</t>
  </si>
  <si>
    <t>5,11 Ohms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</si>
  <si>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</si>
  <si>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</si>
  <si>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</si>
  <si>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</si>
  <si>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</si>
  <si>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</si>
  <si>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180 Ohms</t>
  </si>
  <si>
    <t>541-5.10UCT-ND</t>
  </si>
  <si>
    <t>CRCW12065R10FKEAHP</t>
  </si>
  <si>
    <t>RES SMD 5.1 OHM 1% 3/4W 1206</t>
  </si>
  <si>
    <t>5,1 Ohms</t>
  </si>
  <si>
    <t>541-9.10UCT-ND</t>
  </si>
  <si>
    <t>CRCW12069R10FKEAHP</t>
  </si>
  <si>
    <t>RES SMD 9.1 OHM 1% 3/4W 1206</t>
  </si>
  <si>
    <t>9,1 Ohms</t>
  </si>
  <si>
    <t>541-4.7UACT-ND</t>
  </si>
  <si>
    <t>CRCW12064R70JNEAHP</t>
  </si>
  <si>
    <t>RES SMD 4.7 OHM 5% 3/4W 1206</t>
  </si>
  <si>
    <t>4,7 Ohms</t>
  </si>
  <si>
    <t>541-2.2UACT-ND</t>
  </si>
  <si>
    <t>CRCW12062R20JNEAHP</t>
  </si>
  <si>
    <t>RES SMD 2.2 OHM 5% 3/4W 1206</t>
  </si>
  <si>
    <t>2,2 Ohms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</si>
  <si>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</si>
  <si>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</si>
  <si>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</si>
  <si>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</si>
  <si>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</si>
  <si>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</si>
  <si>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1,6 Ohms</t>
  </si>
  <si>
    <t>541-3.01UCT-ND</t>
  </si>
  <si>
    <t>CRCW12063R01FKEAHP</t>
  </si>
  <si>
    <t>RES SMD 3.01 OHM 1% 3/4W 1206</t>
  </si>
  <si>
    <t>3,01 Ohms</t>
  </si>
  <si>
    <t>541-3.30UCT-ND</t>
  </si>
  <si>
    <t>CRCW12063R30FKEAHP</t>
  </si>
  <si>
    <t>RES SMD 3.3 OHM 1% 3/4W 1206</t>
  </si>
  <si>
    <t>3,3 Ohms</t>
  </si>
  <si>
    <t>541-4.99UCT-ND</t>
  </si>
  <si>
    <t>CRCW12064R99FKEAHP</t>
  </si>
  <si>
    <t>RES SMD 4.99 OHM 1% 3/4W 1206</t>
  </si>
  <si>
    <t>4,99 Ohms</t>
  </si>
  <si>
    <t>541-3.40UCT-ND</t>
  </si>
  <si>
    <t>CRCW12063R40FKEAHP</t>
  </si>
  <si>
    <t>RES SMD 3.4 OHM 1% 3/4W 1206</t>
  </si>
  <si>
    <t>3,4 Ohms</t>
  </si>
  <si>
    <t>541-2.26UCT-ND</t>
  </si>
  <si>
    <t>CRCW12062R26FKEAHP</t>
  </si>
  <si>
    <t>RES SMD 2.26 OHM 1% 3/4W 1206</t>
  </si>
  <si>
    <t>2,26 Ohms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</si>
  <si>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</si>
  <si>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</si>
  <si>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</si>
  <si>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</si>
  <si>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</si>
  <si>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</si>
  <si>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22 Ohms</t>
  </si>
  <si>
    <t>541-11UACT-ND</t>
  </si>
  <si>
    <t>CRCW120611R0JNEAHP</t>
  </si>
  <si>
    <t>RES SMD 11 OHM 5% 3/4W 1206</t>
  </si>
  <si>
    <t>11 Ohms</t>
  </si>
  <si>
    <t>541-16.0UACT-ND</t>
  </si>
  <si>
    <t>CRCW120616R0JNEAHP</t>
  </si>
  <si>
    <t>RES SMD 16 OHM 5% 3/4W 1206</t>
  </si>
  <si>
    <t>16 Ohms</t>
  </si>
  <si>
    <t>541-39UACT-ND</t>
  </si>
  <si>
    <t>CRCW120639R0JNEAHP</t>
  </si>
  <si>
    <t>RES SMD 39 OHM 5% 3/4W 1206</t>
  </si>
  <si>
    <t>39 Ohms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</si>
  <si>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</si>
  <si>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</si>
  <si>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</si>
  <si>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</si>
  <si>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</si>
  <si>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</si>
  <si>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604 Ohms</t>
  </si>
  <si>
    <t>541-8.20UCT-ND</t>
  </si>
  <si>
    <t>CRCW12068R20FKEAHP</t>
  </si>
  <si>
    <t>RES SMD 8.2 OHM 1% 3/4W 1206</t>
  </si>
  <si>
    <t>8,2 Ohms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</si>
  <si>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</si>
  <si>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</si>
  <si>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</si>
  <si>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</si>
  <si>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</si>
  <si>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</si>
  <si>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332 Ohms</t>
  </si>
  <si>
    <t>541-47.5UCT-ND</t>
  </si>
  <si>
    <t>CRCW120647R5FKEAHP</t>
  </si>
  <si>
    <t>RES SMD 47.5 OHM 1% 3/4W 1206</t>
  </si>
  <si>
    <t>47,5 Ohms</t>
  </si>
  <si>
    <t>541-2.7UACT-ND</t>
  </si>
  <si>
    <t>CRCW12062R70JNEAHP</t>
  </si>
  <si>
    <t>RES SMD 2.7 OHM 5% 3/4W 1206</t>
  </si>
  <si>
    <t>2,7 Ohms</t>
  </si>
  <si>
    <t>541-1.1UACT-ND</t>
  </si>
  <si>
    <t>CRCW12061R10JNEAHP</t>
  </si>
  <si>
    <t>RES SMD 1.1 OHM 5% 3/4W 1206</t>
  </si>
  <si>
    <t>1,1 Ohms</t>
  </si>
  <si>
    <t>541-1.27UCT-ND</t>
  </si>
  <si>
    <t>CRCW12061R27FKEAHP</t>
  </si>
  <si>
    <t>RES SMD 1.27 OHM 1% 3/4W 1206</t>
  </si>
  <si>
    <t>1,27 Ohms</t>
  </si>
  <si>
    <t>541-3238-1-ND</t>
  </si>
  <si>
    <t>CRCW12063R24FKEAHP</t>
  </si>
  <si>
    <t>RES SMD 3.24 OHM 1% 3/4W 1206</t>
  </si>
  <si>
    <t>3,24 Ohms</t>
  </si>
  <si>
    <t>541-1.54UCT-ND</t>
  </si>
  <si>
    <t>CRCW12061R54FKEAHP</t>
  </si>
  <si>
    <t>RES SMD 1.54 OHM 1% 3/4W 1206</t>
  </si>
  <si>
    <t>1,54 Ohms</t>
  </si>
  <si>
    <t>541-240UACT-ND</t>
  </si>
  <si>
    <t>CRCW1206240RJNEAHP</t>
  </si>
  <si>
    <t>RES SMD 240 OHM 5% 3/4W 1206</t>
  </si>
  <si>
    <t>240 Ohms</t>
  </si>
  <si>
    <t>541-120UACT-ND</t>
  </si>
  <si>
    <t>CRCW1206120RJNEAHP</t>
  </si>
  <si>
    <t>RES SMD 120 OHM 5% 3/4W 1206</t>
  </si>
  <si>
    <t>120 Ohms</t>
  </si>
  <si>
    <t>541-62UACT-ND</t>
  </si>
  <si>
    <t>CRCW120662R0JNEAHP</t>
  </si>
  <si>
    <t>RES SMD 62 OHM 5% 3/4W 1206</t>
  </si>
  <si>
    <t>62 Ohms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</si>
  <si>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</si>
  <si>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</si>
  <si>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</si>
  <si>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</si>
  <si>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</si>
  <si>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</si>
  <si>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51 Ohms</t>
  </si>
  <si>
    <t>541-820UACT-ND</t>
  </si>
  <si>
    <t>CRCW1206820RJNEAHP</t>
  </si>
  <si>
    <t>RES SMD 820 OHM 5% 3/4W 1206</t>
  </si>
  <si>
    <t>820 Ohms</t>
  </si>
  <si>
    <t>541-300UACT-ND</t>
  </si>
  <si>
    <t>CRCW1206300RJNEAHP</t>
  </si>
  <si>
    <t>RES SMD 300 OHM 5% 3/4W 1206</t>
  </si>
  <si>
    <t>300 Ohms</t>
  </si>
  <si>
    <t>541-3.9UACT-ND</t>
  </si>
  <si>
    <t>CRCW12063R90JNEAHP</t>
  </si>
  <si>
    <t>RES SMD 3.9 OHM 5% 3/4W 1206</t>
  </si>
  <si>
    <t>3,9 Ohms</t>
  </si>
  <si>
    <t>541-1.40UCT-ND</t>
  </si>
  <si>
    <t>CRCW12061R40FKEAHP</t>
  </si>
  <si>
    <t>RES SMD 1.4 OHM 1% 3/4W 1206</t>
  </si>
  <si>
    <t>1,4 Ohms</t>
  </si>
  <si>
    <t>541-442UCT-ND</t>
  </si>
  <si>
    <t>CRCW1206442RFKEAHP</t>
  </si>
  <si>
    <t>RES SMD 442 OHM 1% 3/4W 1206</t>
  </si>
  <si>
    <t>442 Ohms</t>
  </si>
  <si>
    <t>541-953UCT-ND</t>
  </si>
  <si>
    <t>CRCW1206953RFKEAHP</t>
  </si>
  <si>
    <t>RES SMD 953 OHM 1% 3/4W 1206</t>
  </si>
  <si>
    <t>953 Ohms</t>
  </si>
  <si>
    <t>541-37.4UCT-ND</t>
  </si>
  <si>
    <t>CRCW120637R4FKEAHP</t>
  </si>
  <si>
    <t>RES SMD 37.4 OHM 1% 3/4W 1206</t>
  </si>
  <si>
    <t>37,4 Ohms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</si>
  <si>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</si>
  <si>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</si>
  <si>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</si>
  <si>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</si>
  <si>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</si>
  <si>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</si>
  <si>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6,8 Ohms</t>
  </si>
  <si>
    <t>541-487UCT-ND</t>
  </si>
  <si>
    <t>CRCW1206487RFKEAHP</t>
  </si>
  <si>
    <t>RES SMD 487 OHM 1% 3/4W 1206</t>
  </si>
  <si>
    <t>487 Ohms</t>
  </si>
  <si>
    <t>541-150UCT-ND</t>
  </si>
  <si>
    <t>CRCW1206150RFKEAHP</t>
  </si>
  <si>
    <t>RES SMD 150 OHM 1% 3/4W 1206</t>
  </si>
  <si>
    <t>150 Ohms</t>
  </si>
  <si>
    <t>541-196UCT-ND</t>
  </si>
  <si>
    <t>CRCW1206196RFKEAHP</t>
  </si>
  <si>
    <t>RES SMD 196 OHM 1% 3/4W 1206</t>
  </si>
  <si>
    <t>196 Ohms</t>
  </si>
  <si>
    <t>541-66.5UCT-ND</t>
  </si>
  <si>
    <t>CRCW120666R5FKEAHP</t>
  </si>
  <si>
    <t>RES SMD 66.5 OHM 1% 3/4W 1206</t>
  </si>
  <si>
    <t>66,5 Ohms</t>
  </si>
  <si>
    <t>541-33.0UCT-ND</t>
  </si>
  <si>
    <t>CRCW120633R0FKEAHP</t>
  </si>
  <si>
    <t>RES SMD 33 OHM 1% 3/4W 1206</t>
  </si>
  <si>
    <t>33 Ohms</t>
  </si>
  <si>
    <t>541-44.2UCT-ND</t>
  </si>
  <si>
    <t>CRCW120644R2FKEAHP</t>
  </si>
  <si>
    <t>RES SMD 44.2 OHM 1% 3/4W 1206</t>
  </si>
  <si>
    <t>44,2 Ohms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</si>
  <si>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</si>
  <si>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</si>
  <si>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</si>
  <si>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</si>
  <si>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</si>
  <si>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</si>
  <si>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110 Ohms</t>
  </si>
  <si>
    <t>541-51.1UCT-ND</t>
  </si>
  <si>
    <t>CRCW120651R1FKEAHP</t>
  </si>
  <si>
    <t>RES SMD 51.1 OHM 1% 3/4W 1206</t>
  </si>
  <si>
    <t>51,1 Ohms</t>
  </si>
  <si>
    <t>541-56.2UCT-ND</t>
  </si>
  <si>
    <t>CRCW120656R2FKEAHP</t>
  </si>
  <si>
    <t>RES SMD 56.2 OHM 1% 3/4W 1206</t>
  </si>
  <si>
    <t>56,2 Ohms</t>
  </si>
  <si>
    <t>541-18.0UCT-ND</t>
  </si>
  <si>
    <t>CRCW120618R0FKEAHP</t>
  </si>
  <si>
    <t>RES SMD 18 OHM 1% 3/4W 1206</t>
  </si>
  <si>
    <t>18 Ohms</t>
  </si>
  <si>
    <t>541-562UCT-ND</t>
  </si>
  <si>
    <t>CRCW1206562RFKEAHP</t>
  </si>
  <si>
    <t>RES SMD 562 OHM 1% 3/4W 1206</t>
  </si>
  <si>
    <t>562 Ohms</t>
  </si>
  <si>
    <t>541-124UCT-ND</t>
  </si>
  <si>
    <t>CRCW1206124RFKEAHP</t>
  </si>
  <si>
    <t>RES SMD 124 OHM 1% 3/4W 1206</t>
  </si>
  <si>
    <t>124 Ohms</t>
  </si>
  <si>
    <t>541-680UCT-ND</t>
  </si>
  <si>
    <t>CRCW1206680RFKEAHP</t>
  </si>
  <si>
    <t>RES SMD 680 OHM 1% 3/4W 1206</t>
  </si>
  <si>
    <t>680 Ohms</t>
  </si>
  <si>
    <t>541-2.0UACT-ND</t>
  </si>
  <si>
    <t>CRCW12062R00JNEAHP</t>
  </si>
  <si>
    <t>RES SMD 2 OHM 5% 3/4W 1206</t>
  </si>
  <si>
    <t>2 Ohms</t>
  </si>
  <si>
    <t>541-560UCT-ND</t>
  </si>
  <si>
    <t>CRCW1206560RFKEAHP</t>
  </si>
  <si>
    <t>RES SMD 560 OHM 1% 3/4W 1206</t>
  </si>
  <si>
    <t>560 Ohms</t>
  </si>
  <si>
    <t>541-5.60UCT-ND</t>
  </si>
  <si>
    <t>CRCW12065R60FKEAHP</t>
  </si>
  <si>
    <t>RES SMD 5.6 OHM 1% 3/4W 1206</t>
  </si>
  <si>
    <t>5,6 Ohms</t>
  </si>
  <si>
    <t>541-499UCT-ND</t>
  </si>
  <si>
    <t>CRCW1206499RFKEAHP</t>
  </si>
  <si>
    <t>RES SMD 499 OHM 1% 3/4W 1206</t>
  </si>
  <si>
    <t>499 Ohms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</si>
  <si>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</si>
  <si>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</si>
  <si>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</si>
  <si>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</si>
  <si>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</si>
  <si>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</si>
  <si>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511 Ohms</t>
  </si>
  <si>
    <t>541-348UCT-ND</t>
  </si>
  <si>
    <t>CRCW1206348RFKEAHP</t>
  </si>
  <si>
    <t>RES SMD 348 OHM 1% 3/4W 1206</t>
  </si>
  <si>
    <t>348 Ohms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</si>
  <si>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</si>
  <si>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</si>
  <si>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</si>
  <si>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</si>
  <si>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</si>
  <si>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</si>
  <si>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</si>
  <si>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</si>
  <si>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</si>
  <si>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1,8 Ohms</t>
  </si>
  <si>
    <t>541-2.49UCT-ND</t>
  </si>
  <si>
    <t>CRCW12062R49FKEAHP</t>
  </si>
  <si>
    <t>RES SMD 2.49 OHM 1% 3/4W 1206</t>
  </si>
  <si>
    <t>2,49 Ohms</t>
  </si>
  <si>
    <t>541-390UACT-ND</t>
  </si>
  <si>
    <t>CRCW1206390RJNEAHP</t>
  </si>
  <si>
    <t>RES SMD 390 OHM 5% 3/4W 1206</t>
  </si>
  <si>
    <t>390 Ohms</t>
  </si>
  <si>
    <t>541-294UCT-ND</t>
  </si>
  <si>
    <t>CRCW1206294RFKEAHP</t>
  </si>
  <si>
    <t>RES SMD 294 OHM 1% 3/4W 1206</t>
  </si>
  <si>
    <t>294 Ohms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</si>
</sst>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</xdr:row>
          <xdr:rowOff>0</xdr:rowOff>
        </xdr:from>
        <xdr:to>
          <xdr:col>13</xdr:col>
          <xdr:colOff>933450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4</xdr:row>
          <xdr:rowOff>0</xdr:rowOff>
        </xdr:from>
        <xdr:to>
          <xdr:col>13</xdr:col>
          <xdr:colOff>933450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7</xdr:row>
          <xdr:rowOff>0</xdr:rowOff>
        </xdr:from>
        <xdr:to>
          <xdr:col>13</xdr:col>
          <xdr:colOff>933450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10</xdr:row>
          <xdr:rowOff>0</xdr:rowOff>
        </xdr:from>
        <xdr:to>
          <xdr:col>13</xdr:col>
          <xdr:colOff>933450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0" totalsRowShown="0" headerRowDxfId="176">
  <autoFilter ref="A1:F630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6" totalsRowShown="0" headerRowDxfId="169" dataDxfId="168" tableBorderDxfId="167">
  <autoFilter ref="A1:AC1036" xr:uid="{3C65767D-796D-455D-8592-2DCFC786B11E}">
    <filterColumn colId="3">
      <filters>
        <filter val="RES SMD 1.1 OHM 5% 3/4W 1206"/>
        <filter val="RES SMD 10 OHM 5% 3/4W 1206"/>
        <filter val="RES SMD 100 OHM 5% 3/4W 1206"/>
        <filter val="RES SMD 11 OHM 5% 3/4W 1206"/>
        <filter val="RES SMD 12 OHM 5% 3/4W 1206"/>
        <filter val="RES SMD 120 OHM 5% 3/4W 1206"/>
        <filter val="RES SMD 16 OHM 5% 3/4W 1206"/>
        <filter val="RES SMD 1K OHM 5% 3/4W 1206"/>
        <filter val="RES SMD 2 OHM 5% 3/4W 1206"/>
        <filter val="RES SMD 2.2 OHM 5% 3/4W 1206"/>
        <filter val="RES SMD 2.7 OHM 5% 3/4W 1206"/>
        <filter val="RES SMD 200 OHM 5% 3/4W 1206"/>
        <filter val="RES SMD 22 OHM 5% 3/4W 1206"/>
        <filter val="RES SMD 220 OHM 5% 3/4W 1206"/>
        <filter val="RES SMD 240 OHM 5% 3/4W 1206"/>
        <filter val="RES SMD 3.9 OHM 5% 3/4W 1206"/>
        <filter val="RES SMD 300 OHM 5% 3/4W 1206"/>
        <filter val="RES SMD 330 OHM 5% 3/4W 1206"/>
        <filter val="RES SMD 39 OHM 5% 3/4W 1206"/>
        <filter val="RES SMD 390 OHM 5% 3/4W 1206"/>
        <filter val="RES SMD 4.7 OHM 5% 3/4W 1206"/>
        <filter val="RES SMD 47 OHM 5% 3/4W 1206"/>
        <filter val="RES SMD 470 OHM 5% 3/4W 1206"/>
        <filter val="RES SMD 5.1 OHM 5% 3/4W 1206"/>
        <filter val="RES SMD 51 OHM 5% 3/4W 1206"/>
        <filter val="RES SMD 62 OHM 5% 3/4W 1206"/>
        <filter val="RES SMD 820 OHM 5% 3/4W 1206"/>
      </filters>
    </filterColumn>
    <filterColumn colId="4">
      <filters>
        <filter val="Resistor"/>
      </filters>
    </filterColumn>
  </autoFilter>
  <tableColumns count="29">
    <tableColumn id="1" xr3:uid="{435165AF-465B-418C-8DDE-9CFA2D278BBE}" name="Article Number" dataDxfId="166" totalsRowDxfId="165"/>
    <tableColumn id="2" xr3:uid="{FBC6B9C9-57F8-45DA-AF22-C249E2B185F4}" name="Manufacturer" dataDxfId="164" totalsRowDxfId="163"/>
    <tableColumn id="3" xr3:uid="{288AF9C9-A6A1-4913-A84A-1B41F0951CD7}" name="Place" dataDxfId="162" totalsRowDxfId="161"/>
    <tableColumn id="4" xr3:uid="{991CB349-C1A2-4024-AD86-41FE070F01AA}" name="Description" dataDxfId="160" totalsRowDxfId="159"/>
    <tableColumn id="28" xr3:uid="{2D19DEDD-0807-4720-910B-711676B70DD0}" name="Category" dataDxfId="158"/>
    <tableColumn id="5" xr3:uid="{AF531B20-C2C7-43E4-88F6-C002EAFA6EF0}" name="In stock" dataDxfId="157" totalsRowDxfId="156"/>
    <tableColumn id="6" xr3:uid="{4AE22FEC-1D74-4166-880B-DE3C3B0F48C3}" name="Min in stock" dataDxfId="155" totalsRowDxfId="154"/>
    <tableColumn id="7" xr3:uid="{DDF25EC9-10A6-4A51-A3FF-5F173DC0429C}" name="Auto Order" dataDxfId="153" totalsRowDxfId="152"/>
    <tableColumn id="8" xr3:uid="{8FB77B6F-1796-445F-A628-6683E80A406B}" name="Default Art. Number" dataDxfId="151" totalsRowDxfId="150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49" totalsRowDxfId="148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47" totalsRowDxfId="146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45" totalsRowDxfId="144"/>
    <tableColumn id="11" xr3:uid="{904ACEAE-3EBB-4B5A-B40F-F27BEC67197D}" name="Unit price - Digikey" dataDxfId="143" totalsRowDxfId="142"/>
    <tableColumn id="12" xr3:uid="{1C8E6FC8-F976-4331-BE85-AE9F5CCE5385}" name="Farnell" dataDxfId="141" totalsRowDxfId="140"/>
    <tableColumn id="13" xr3:uid="{9CEB0B0D-E776-4EE1-BA17-F20F36573DF1}" name="Unit price - Farnell" dataDxfId="139" totalsRowDxfId="138"/>
    <tableColumn id="14" xr3:uid="{4835AE8C-6AA4-4E3D-AA3C-47D081785B10}" name="Distrelec" dataDxfId="137" totalsRowDxfId="136"/>
    <tableColumn id="15" xr3:uid="{CFC19F72-EB6A-4DA4-8140-6E03AC8C87E2}" name="Unit price - Distrelec" dataDxfId="135" totalsRowDxfId="134"/>
    <tableColumn id="16" xr3:uid="{440F2FEC-A527-4DB9-8F02-E02C455DD168}" name="Conrad" dataDxfId="133" totalsRowDxfId="132"/>
    <tableColumn id="17" xr3:uid="{C15F9ED7-FCDD-4ED8-8193-766AD4AACE12}" name="Unit price - Conrad" dataDxfId="131" totalsRowDxfId="130"/>
    <tableColumn id="18" xr3:uid="{E8BE4F49-80E3-4D58-8712-2588048DD5B2}" name="Mouser" dataDxfId="129" totalsRowDxfId="128"/>
    <tableColumn id="19" xr3:uid="{71B82CF1-AA7C-485A-B22F-DFCA002E3E0B}" name="Unit price - Mouser" dataDxfId="127" totalsRowDxfId="126"/>
    <tableColumn id="20" xr3:uid="{B372D927-D0BD-4305-A32A-0C014ACEEBAB}" name="Aliexpress" dataDxfId="125" totalsRowDxfId="124"/>
    <tableColumn id="21" xr3:uid="{56A9B167-940C-4D6B-8B5D-F91623F90BD6}" name="Unit price - Aliexpress" dataDxfId="123" totalsRowDxfId="122"/>
    <tableColumn id="22" xr3:uid="{2E67C835-F42C-4886-A3E6-A86A66CF03DE}" name="Banggood" dataDxfId="121" totalsRowDxfId="120"/>
    <tableColumn id="23" xr3:uid="{96EE1B48-7059-4798-A1ED-B830DB9D7D70}" name="Unit price - Banggood" dataDxfId="119" totalsRowDxfId="118"/>
    <tableColumn id="29" xr3:uid="{D6F9B11D-16CF-4797-AFD2-F208CE8FD675}" name="Other - Name" dataDxfId="117" totalsRowDxfId="116"/>
    <tableColumn id="24" xr3:uid="{DFC2A0A6-4951-479C-8775-526D9FDB26B4}" name="Other" dataDxfId="115" totalsRowDxfId="114"/>
    <tableColumn id="25" xr3:uid="{09619815-DA2C-43CD-A998-2BAAC30ACE14}" name="Unit price - Other" dataDxfId="113" totalsRowDxfId="112"/>
    <tableColumn id="26" xr3:uid="{CBAAFE5B-29D9-4E86-8241-3FA6E46052BB}" name="In next order" dataDxfId="111" totalsRowDxfId="110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9" dataDxfId="107" headerRowBorderDxfId="108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6"/>
    <tableColumn id="2" xr3:uid="{868F71A1-EA8D-4FE4-9E10-4FA4EE5293B1}" name="Man. Number" dataDxfId="105"/>
    <tableColumn id="3" xr3:uid="{2BE62D1D-359E-4098-A703-65FA8EB2A2EB}" name="Manufacturer" dataDxfId="104"/>
    <tableColumn id="4" xr3:uid="{AEC8A4D9-9242-49C2-8841-3FA0C13E4BF7}" name="Retailer" dataDxfId="103"/>
    <tableColumn id="5" xr3:uid="{727086BC-BBF9-470F-8005-62D7E303CEAD}" name="Description" dataDxfId="102"/>
    <tableColumn id="7" xr3:uid="{38960764-2FF5-4AE8-BD63-75EC1C594716}" name="Unit price" dataDxfId="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100" dataDxfId="98" headerRowBorderDxfId="99" tableBorderDxfId="97">
  <autoFilter ref="A1:L3" xr:uid="{46700432-4BF0-4DCB-9154-EC411D24C381}"/>
  <sortState ref="A2:L2">
    <sortCondition ref="A1:A2"/>
  </sortState>
  <tableColumns count="12">
    <tableColumn id="2" xr3:uid="{09884C69-0E00-49B1-878D-118ACDF0CE5A}" name="Art. Number" totalsRowLabel="Total" dataDxfId="96" totalsRowDxfId="95"/>
    <tableColumn id="1" xr3:uid="{B10D53AF-03D1-4287-B98C-B2EBD99019D4}" name="Ret. Art. Number" dataDxfId="94" totalsRowDxfId="93"/>
    <tableColumn id="3" xr3:uid="{4C487402-2AAB-4AF3-BE67-7394C36C842C}" name="Manufacturer" dataDxfId="92" totalsRowDxfId="91"/>
    <tableColumn id="4" xr3:uid="{8EC0DC8E-76AD-4B9F-83B7-1A0DD14BB27F}" name="Retailer" dataDxfId="90" totalsRowDxfId="89"/>
    <tableColumn id="5" xr3:uid="{F034F88F-58E3-461F-AA98-A329A317450C}" name="Place" dataDxfId="88" totalsRowDxfId="87"/>
    <tableColumn id="6" xr3:uid="{270626A5-5AC9-4B4B-BFA1-CB61FB278FF7}" name="Description" dataDxfId="86" totalsRowDxfId="85"/>
    <tableColumn id="7" xr3:uid="{6AED47F2-55E6-446F-831B-A118A7B0B1ED}" name="In stock" dataDxfId="84" totalsRowDxfId="83"/>
    <tableColumn id="8" xr3:uid="{AC92F839-E54E-493C-ABE5-5E0757E61859}" name="Min Stock" dataDxfId="82" totalsRowDxfId="81"/>
    <tableColumn id="11" xr3:uid="{FA19872E-A366-497E-9D69-828A97ECF042}" name="Unit price" dataDxfId="80" totalsRowDxfId="79"/>
    <tableColumn id="13" xr3:uid="{EA825846-8448-46C3-B6A4-847B2F364E4E}" name="Quantity" dataDxfId="78" totalsRowDxfId="7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6" totalsRowDxfId="75">
      <calculatedColumnFormula>Table8[[#This Row],[Quantity]]*Table8[[#This Row],[Unit price]]</calculatedColumnFormula>
    </tableColumn>
    <tableColumn id="9" xr3:uid="{CF148814-A309-4554-8503-283AD3C9BC12}" name="Bulk Add" dataDxfId="74" totalsRowDxfId="7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72" dataDxfId="70" headerRowBorderDxfId="71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69"/>
    <tableColumn id="5" xr3:uid="{0807D2E3-C08E-4A05-95EC-685278834536}" name="Description" dataDxfId="6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67"/>
    <tableColumn id="8" xr3:uid="{27D63D9B-1923-4857-A374-5FF3D8D6B64C}" name="Quantity" dataDxfId="66"/>
    <tableColumn id="6" xr3:uid="{39724770-BCF0-4F8C-A311-212B97612672}" name="In stock" dataDxfId="6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64">
      <calculatedColumnFormula>IF(Table1411[[#This Row],[In stock]] &gt;= Table1411[[#This Row],[Quantity]],"YES","NO")</calculatedColumnFormula>
    </tableColumn>
    <tableColumn id="3" xr3:uid="{DE5EC53F-EAFF-4E70-BBA5-E847907BD895}" name="Total quantity" dataDxfId="63">
      <calculatedColumnFormula>Table1411[[#This Row],[Quantity]]*$K$1</calculatedColumnFormula>
    </tableColumn>
    <tableColumn id="4" xr3:uid="{CEA2F06F-2F21-492E-B2A3-DF977A078F50}" name="Total available" dataDxfId="6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0" dataDxfId="48" headerRowBorderDxfId="49">
  <autoFilter ref="A1:H15" xr:uid="{06E2CB8E-61AB-472E-BCF2-E6E1E6F7BC5B}"/>
  <tableColumns count="8">
    <tableColumn id="2" xr3:uid="{9E0E6405-0958-4064-8395-03A32BA24ED3}" name="Man. Number" dataDxfId="47"/>
    <tableColumn id="5" xr3:uid="{BA21CA97-DCD9-408A-9894-96A639A19D11}" name="Description" dataDxfId="4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5"/>
    <tableColumn id="8" xr3:uid="{79E97D26-BF86-43B2-AEF5-CE725327DF74}" name="Quantity" dataDxfId="44"/>
    <tableColumn id="6" xr3:uid="{55CA5BD7-34A5-4A62-9044-29A0D9B81880}" name="In stock" dataDxfId="4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2">
      <calculatedColumnFormula>IF(Table146[[#This Row],[In stock]] &gt;= Table146[[#This Row],[Quantity]],"YES","NO")</calculatedColumnFormula>
    </tableColumn>
    <tableColumn id="3" xr3:uid="{A3EA9E6B-B1AC-439E-A8AB-942C2E65E112}" name="Total quantity" dataDxfId="41">
      <calculatedColumnFormula>Table146[[#This Row],[Quantity]]*$K$1</calculatedColumnFormula>
    </tableColumn>
    <tableColumn id="4" xr3:uid="{04D63216-7DC3-4D59-A043-09BBD0852B90}" name="Total available" dataDxfId="4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39" dataDxfId="37" headerRowBorderDxfId="38">
  <autoFilter ref="A1:H35" xr:uid="{06E2CB8E-61AB-472E-BCF2-E6E1E6F7BC5B}"/>
  <sortState ref="A2:H24">
    <sortCondition ref="C1:C15"/>
  </sortState>
  <tableColumns count="8">
    <tableColumn id="2" xr3:uid="{E1B3591E-7FDF-432B-8B47-D1874E0B26F5}" name="Man. Number" dataDxfId="36"/>
    <tableColumn id="5" xr3:uid="{EE74CBB7-B4AE-4E4F-A276-4111D2262064}" name="Description" dataDxfId="35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4"/>
    <tableColumn id="8" xr3:uid="{C50EC552-0304-4799-AAF5-38B8D35A381E}" name="Quantity" dataDxfId="33"/>
    <tableColumn id="6" xr3:uid="{F740468C-0E09-4D56-BD5D-693ECC8337EF}" name="In stock" dataDxfId="3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1">
      <calculatedColumnFormula>IF(Table146810[[#This Row],[In stock]] &gt;= Table146810[[#This Row],[Quantity]],"YES","NO")</calculatedColumnFormula>
    </tableColumn>
    <tableColumn id="3" xr3:uid="{4A6F19BB-BD74-4582-AA81-751983BFF844}" name="Total quantity" dataDxfId="30">
      <calculatedColumnFormula>Table146810[[#This Row],[Quantity]]*$K$1</calculatedColumnFormula>
    </tableColumn>
    <tableColumn id="4" xr3:uid="{562176AD-2473-43BF-B998-A5B71A21527C}" name="Total available" dataDxfId="2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8" dataDxfId="26" headerRowBorderDxfId="27">
  <autoFilter ref="A1:H2" xr:uid="{06E2CB8E-61AB-472E-BCF2-E6E1E6F7BC5B}"/>
  <tableColumns count="8">
    <tableColumn id="2" xr3:uid="{82F37E31-D1D4-4FFD-A09E-64F3B03018B7}" name="Man. Number" dataDxfId="25"/>
    <tableColumn id="5" xr3:uid="{524F6B01-486E-4166-AE6A-BDBA58BD1A60}" name="Description" dataDxfId="24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3"/>
    <tableColumn id="8" xr3:uid="{A834D686-252C-4BF4-9FDE-28A4A6AFDD1F}" name="Quantity" dataDxfId="22"/>
    <tableColumn id="6" xr3:uid="{66DB620F-4FDE-44EB-BF35-96CAEBE4C1C6}" name="In stock" dataDxfId="2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0">
      <calculatedColumnFormula>IF(Table1468[[#This Row],[In stock]] &gt;= Table1468[[#This Row],[Quantity]],"YES","NO")</calculatedColumnFormula>
    </tableColumn>
    <tableColumn id="3" xr3:uid="{67B74FDC-0575-406A-89BB-0D882E866451}" name="Total quantity" dataDxfId="19">
      <calculatedColumnFormula>Table1468[[#This Row],[Quantity]]*$K$1</calculatedColumnFormula>
    </tableColumn>
    <tableColumn id="4" xr3:uid="{56337732-A0D6-4CED-A2E1-0A9BD957CBCA}" name="Total available" dataDxfId="1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0"/>
  <sheetViews>
    <sheetView workbookViewId="0">
      <pane ySplit="1" topLeftCell="A595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495</v>
      </c>
      <c r="G2" s="19" t="s">
        <v>504</v>
      </c>
      <c r="J2" s="19" t="s">
        <v>503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4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4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4" t="s">
        <v>498</v>
      </c>
      <c r="J11" t="s">
        <v>457</v>
      </c>
    </row>
    <row r="12" spans="1:11" x14ac:dyDescent="0.25">
      <c r="A12" s="37"/>
      <c r="B12" s="64"/>
      <c r="J12" t="s">
        <v>458</v>
      </c>
    </row>
    <row r="13" spans="1:11" x14ac:dyDescent="0.25">
      <c r="J13" t="s">
        <v>459</v>
      </c>
    </row>
    <row r="14" spans="1:11" x14ac:dyDescent="0.25">
      <c r="B14" s="64" t="s">
        <v>575</v>
      </c>
      <c r="J14" t="s">
        <v>460</v>
      </c>
    </row>
    <row r="15" spans="1:11" x14ac:dyDescent="0.25">
      <c r="B15" s="64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6"/>
  <sheetViews>
    <sheetView tabSelected="1" zoomScaleNormal="100" workbookViewId="0">
      <pane ySplit="1" topLeftCell="A962" activePane="bottomLeft" state="frozen"/>
      <selection activeCell="B186" sqref="B186"/>
      <selection pane="bottomLeft" activeCell="D983" sqref="D983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5" bestFit="1" customWidth="1"/>
    <col min="7" max="7" width="14" style="55" bestFit="1" customWidth="1"/>
    <col min="8" max="8" width="13.140625" style="55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481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hidden="1" x14ac:dyDescent="0.25">
      <c r="A2" s="34" t="s">
        <v>117</v>
      </c>
      <c r="B2" s="34" t="s">
        <v>93</v>
      </c>
      <c r="C2" s="34"/>
      <c r="D2" s="34" t="s">
        <v>29</v>
      </c>
      <c r="E2" s="34" t="s">
        <v>546</v>
      </c>
      <c r="F2" s="54">
        <v>4</v>
      </c>
      <c r="G2" s="54"/>
      <c r="H2" s="54"/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465</v>
      </c>
      <c r="M2" s="42">
        <v>0.91</v>
      </c>
      <c r="N2" s="34">
        <v>1162740</v>
      </c>
      <c r="O2" s="42">
        <v>0.505</v>
      </c>
      <c r="P2" s="34"/>
      <c r="Q2" s="42"/>
      <c r="R2" s="34"/>
      <c r="S2" s="42"/>
      <c r="T2" s="34"/>
      <c r="U2" s="42"/>
      <c r="V2" s="34"/>
      <c r="W2" s="42"/>
      <c r="X2" s="34"/>
      <c r="Y2" s="42">
        <v>0.505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hidden="1" x14ac:dyDescent="0.25">
      <c r="A3" s="34" t="s">
        <v>31</v>
      </c>
      <c r="B3" s="34" t="s">
        <v>93</v>
      </c>
      <c r="C3" s="34"/>
      <c r="D3" s="34" t="s">
        <v>30</v>
      </c>
      <c r="E3" s="34" t="s">
        <v>546</v>
      </c>
      <c r="F3" s="54">
        <v>4</v>
      </c>
      <c r="G3" s="54"/>
      <c r="H3" s="54"/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466</v>
      </c>
      <c r="M3" s="42">
        <v>1.27</v>
      </c>
      <c r="N3" s="34">
        <v>1829519</v>
      </c>
      <c r="O3" s="42">
        <v>0.78900000000000003</v>
      </c>
      <c r="P3" s="34"/>
      <c r="Q3" s="42"/>
      <c r="R3" s="34"/>
      <c r="S3" s="42"/>
      <c r="T3" s="34"/>
      <c r="U3" s="42"/>
      <c r="V3" s="34"/>
      <c r="W3" s="42"/>
      <c r="X3" s="34"/>
      <c r="Y3" s="42">
        <v>0.78900000000000003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hidden="1" x14ac:dyDescent="0.25">
      <c r="A4" s="34" t="s">
        <v>367</v>
      </c>
      <c r="B4" s="34" t="s">
        <v>365</v>
      </c>
      <c r="C4" s="34"/>
      <c r="D4" s="34" t="s">
        <v>368</v>
      </c>
      <c r="E4" s="34" t="s">
        <v>546</v>
      </c>
      <c r="F4" s="54">
        <v>1</v>
      </c>
      <c r="G4" s="54"/>
      <c r="H4" s="54"/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4" s="34"/>
      <c r="M4" s="42"/>
      <c r="N4" s="34"/>
      <c r="O4" s="42"/>
      <c r="P4" s="34"/>
      <c r="Q4" s="42"/>
      <c r="R4" s="34"/>
      <c r="S4" s="42"/>
      <c r="T4" s="34"/>
      <c r="U4" s="42"/>
      <c r="V4" s="34" t="s">
        <v>367</v>
      </c>
      <c r="W4" s="42">
        <v>1</v>
      </c>
      <c r="X4" s="34"/>
      <c r="Y4" s="42"/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hidden="1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4">
        <v>19</v>
      </c>
      <c r="G5" s="54"/>
      <c r="H5" s="54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hidden="1" x14ac:dyDescent="0.25">
      <c r="A6" s="62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4">
        <v>10</v>
      </c>
      <c r="G6" s="54"/>
      <c r="H6" s="54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hidden="1" x14ac:dyDescent="0.25">
      <c r="A7" s="34" t="s">
        <v>105</v>
      </c>
      <c r="B7" s="34" t="s">
        <v>94</v>
      </c>
      <c r="C7" s="34"/>
      <c r="D7" s="34" t="s">
        <v>104</v>
      </c>
      <c r="E7" s="34" t="s">
        <v>565</v>
      </c>
      <c r="F7" s="54">
        <v>5</v>
      </c>
      <c r="G7" s="54"/>
      <c r="H7" s="54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106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hidden="1" x14ac:dyDescent="0.25">
      <c r="A8" s="62" t="s">
        <v>100</v>
      </c>
      <c r="B8" s="34" t="s">
        <v>94</v>
      </c>
      <c r="C8" s="34" t="s">
        <v>395</v>
      </c>
      <c r="D8" s="34" t="s">
        <v>104</v>
      </c>
      <c r="E8" s="34" t="s">
        <v>565</v>
      </c>
      <c r="F8" s="54">
        <v>10</v>
      </c>
      <c r="G8" s="54"/>
      <c r="H8" s="54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99</v>
      </c>
      <c r="O8" s="42">
        <v>0.44600000000000001</v>
      </c>
      <c r="P8" s="34"/>
      <c r="Q8" s="42"/>
      <c r="R8" s="34"/>
      <c r="S8" s="42"/>
      <c r="T8" s="34"/>
      <c r="U8" s="42"/>
      <c r="V8" s="34"/>
      <c r="W8" s="42"/>
      <c r="X8" s="34"/>
      <c r="Y8" s="42">
        <v>0.44600000000000001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hidden="1" x14ac:dyDescent="0.25">
      <c r="A9" s="34">
        <v>90990</v>
      </c>
      <c r="B9" s="34" t="s">
        <v>65</v>
      </c>
      <c r="C9" s="34"/>
      <c r="D9" s="34" t="s">
        <v>390</v>
      </c>
      <c r="E9" s="34" t="s">
        <v>541</v>
      </c>
      <c r="F9" s="54">
        <v>1</v>
      </c>
      <c r="G9" s="54"/>
      <c r="H9" s="54"/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9" s="34"/>
      <c r="M9" s="42"/>
      <c r="N9" s="34"/>
      <c r="O9" s="42"/>
      <c r="P9" s="34"/>
      <c r="Q9" s="42"/>
      <c r="R9" s="34"/>
      <c r="S9" s="42"/>
      <c r="T9" s="34"/>
      <c r="U9" s="42"/>
      <c r="V9" s="34"/>
      <c r="W9" s="42"/>
      <c r="X9" s="34" t="s">
        <v>201</v>
      </c>
      <c r="Y9" s="42">
        <v>13.1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hidden="1" x14ac:dyDescent="0.25">
      <c r="A10" s="34" t="s">
        <v>158</v>
      </c>
      <c r="B10" s="34" t="s">
        <v>95</v>
      </c>
      <c r="C10" s="34"/>
      <c r="D10" s="34" t="s">
        <v>66</v>
      </c>
      <c r="E10" s="34" t="s">
        <v>568</v>
      </c>
      <c r="F10" s="54">
        <v>1</v>
      </c>
      <c r="G10" s="54"/>
      <c r="H10" s="54"/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" s="34" t="s">
        <v>64</v>
      </c>
      <c r="M10" s="42">
        <v>15.9</v>
      </c>
      <c r="N10" s="34"/>
      <c r="O10" s="42"/>
      <c r="P10" s="34"/>
      <c r="Q10" s="42"/>
      <c r="R10" s="34"/>
      <c r="S10" s="42"/>
      <c r="T10" s="34"/>
      <c r="U10" s="42"/>
      <c r="V10" s="34"/>
      <c r="W10" s="42"/>
      <c r="X10" s="34"/>
      <c r="Y10" s="42"/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hidden="1" x14ac:dyDescent="0.25">
      <c r="A11" s="53" t="s">
        <v>505</v>
      </c>
      <c r="B11" s="34" t="s">
        <v>80</v>
      </c>
      <c r="C11" s="34"/>
      <c r="D11" s="34" t="s">
        <v>507</v>
      </c>
      <c r="E11" s="34" t="s">
        <v>573</v>
      </c>
      <c r="F11" s="54">
        <v>0</v>
      </c>
      <c r="G11" s="54">
        <v>1</v>
      </c>
      <c r="H11" s="54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506</v>
      </c>
      <c r="M11" s="42">
        <v>2</v>
      </c>
      <c r="N11" s="34"/>
      <c r="O11" s="42"/>
      <c r="P11" s="34"/>
      <c r="Q11" s="42"/>
      <c r="R11" s="34"/>
      <c r="S11" s="42"/>
      <c r="T11" s="34"/>
      <c r="U11" s="42"/>
      <c r="V11" s="34"/>
      <c r="W11" s="42"/>
      <c r="X11" s="34"/>
      <c r="Y11" s="42"/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hidden="1" x14ac:dyDescent="0.25">
      <c r="A12" s="34" t="s">
        <v>77</v>
      </c>
      <c r="B12" s="34" t="s">
        <v>76</v>
      </c>
      <c r="C12" s="34"/>
      <c r="D12" s="34" t="s">
        <v>75</v>
      </c>
      <c r="E12" s="34" t="s">
        <v>557</v>
      </c>
      <c r="F12" s="54">
        <v>1</v>
      </c>
      <c r="G12" s="54"/>
      <c r="H12" s="54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" s="34" t="s">
        <v>74</v>
      </c>
      <c r="M12" s="42">
        <v>2.98</v>
      </c>
      <c r="N12" s="34"/>
      <c r="O12" s="42"/>
      <c r="P12" s="34"/>
      <c r="Q12" s="42"/>
      <c r="R12" s="34"/>
      <c r="S12" s="42"/>
      <c r="T12" s="34"/>
      <c r="U12" s="42"/>
      <c r="V12" s="34"/>
      <c r="W12" s="42"/>
      <c r="X12" s="34"/>
      <c r="Y12" s="42"/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hidden="1" x14ac:dyDescent="0.25">
      <c r="A13" s="34" t="s">
        <v>335</v>
      </c>
      <c r="B13" s="34" t="s">
        <v>336</v>
      </c>
      <c r="C13" s="34"/>
      <c r="D13" s="34" t="s">
        <v>337</v>
      </c>
      <c r="E13" s="34" t="s">
        <v>562</v>
      </c>
      <c r="F13" s="54">
        <v>0</v>
      </c>
      <c r="G13" s="54"/>
      <c r="H13" s="54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3" s="34"/>
      <c r="M13" s="42"/>
      <c r="N13" s="34"/>
      <c r="O13" s="42"/>
      <c r="P13" s="34" t="s">
        <v>334</v>
      </c>
      <c r="Q13" s="42">
        <v>24.6</v>
      </c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hidden="1" x14ac:dyDescent="0.25">
      <c r="A14" s="34" t="s">
        <v>522</v>
      </c>
      <c r="B14" s="34" t="s">
        <v>258</v>
      </c>
      <c r="C14" s="34"/>
      <c r="D14" s="34" t="s">
        <v>268</v>
      </c>
      <c r="E14" s="34" t="s">
        <v>547</v>
      </c>
      <c r="F14" s="54">
        <v>4</v>
      </c>
      <c r="G14" s="54"/>
      <c r="H14" s="54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267</v>
      </c>
      <c r="M14" s="42">
        <v>0.43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hidden="1" x14ac:dyDescent="0.25">
      <c r="A15" s="58" t="s">
        <v>583</v>
      </c>
      <c r="B15" s="34" t="s">
        <v>160</v>
      </c>
      <c r="C15" s="34"/>
      <c r="D15" s="34" t="s">
        <v>703</v>
      </c>
      <c r="E15" s="34" t="s">
        <v>547</v>
      </c>
      <c r="F15" s="54">
        <v>0</v>
      </c>
      <c r="G15" s="54"/>
      <c r="H15" s="54"/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704</v>
      </c>
      <c r="M15" s="42">
        <v>0.151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57" t="str">
        <f>IF(Table1[[#This Row],[Auto Order]]=1,IF(Table1[[#This Row],[In stock]]&lt;Table1[[#This Row],[Min in stock]],1,""),"")</f>
        <v/>
      </c>
    </row>
    <row r="16" spans="1:29" hidden="1" x14ac:dyDescent="0.25">
      <c r="A16" s="58" t="s">
        <v>585</v>
      </c>
      <c r="B16" s="34" t="s">
        <v>160</v>
      </c>
      <c r="C16" s="34"/>
      <c r="D16" s="34" t="s">
        <v>709</v>
      </c>
      <c r="E16" s="34" t="s">
        <v>547</v>
      </c>
      <c r="F16" s="54">
        <v>0</v>
      </c>
      <c r="G16" s="54">
        <v>2</v>
      </c>
      <c r="H16" s="54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710</v>
      </c>
      <c r="M16" s="42">
        <v>3.5999999999999997E-2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57">
        <f>IF(Table1[[#This Row],[Auto Order]]=1,IF(Table1[[#This Row],[In stock]]&lt;Table1[[#This Row],[Min in stock]],1,""),"")</f>
        <v>1</v>
      </c>
    </row>
    <row r="17" spans="1:29" hidden="1" x14ac:dyDescent="0.25">
      <c r="A17" s="58" t="s">
        <v>582</v>
      </c>
      <c r="B17" s="34" t="s">
        <v>160</v>
      </c>
      <c r="C17" s="34"/>
      <c r="D17" s="34" t="s">
        <v>705</v>
      </c>
      <c r="E17" s="34" t="s">
        <v>547</v>
      </c>
      <c r="F17" s="54">
        <v>0</v>
      </c>
      <c r="G17" s="54">
        <v>2</v>
      </c>
      <c r="H17" s="54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706</v>
      </c>
      <c r="M17" s="42">
        <v>0.10199999999999999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57">
        <f>IF(Table1[[#This Row],[Auto Order]]=1,IF(Table1[[#This Row],[In stock]]&lt;Table1[[#This Row],[Min in stock]],1,""),"")</f>
        <v>1</v>
      </c>
    </row>
    <row r="18" spans="1:29" hidden="1" x14ac:dyDescent="0.25">
      <c r="A18" s="58" t="s">
        <v>584</v>
      </c>
      <c r="B18" s="34" t="s">
        <v>160</v>
      </c>
      <c r="C18" s="34"/>
      <c r="D18" s="34" t="s">
        <v>707</v>
      </c>
      <c r="E18" s="34" t="s">
        <v>547</v>
      </c>
      <c r="F18" s="54">
        <v>0</v>
      </c>
      <c r="G18" s="54">
        <v>20</v>
      </c>
      <c r="H18" s="54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708</v>
      </c>
      <c r="M18" s="42">
        <v>0.08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57">
        <f>IF(Table1[[#This Row],[Auto Order]]=1,IF(Table1[[#This Row],[In stock]]&lt;Table1[[#This Row],[Min in stock]],1,""),"")</f>
        <v>1</v>
      </c>
    </row>
    <row r="19" spans="1:29" hidden="1" x14ac:dyDescent="0.25">
      <c r="A19" s="34" t="s">
        <v>242</v>
      </c>
      <c r="B19" s="34" t="s">
        <v>243</v>
      </c>
      <c r="C19" s="34"/>
      <c r="D19" s="34" t="s">
        <v>244</v>
      </c>
      <c r="E19" s="34" t="s">
        <v>547</v>
      </c>
      <c r="F19" s="54">
        <v>17</v>
      </c>
      <c r="G19" s="54">
        <v>20</v>
      </c>
      <c r="H19" s="54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" s="34" t="s">
        <v>241</v>
      </c>
      <c r="M19" s="42">
        <v>0.27</v>
      </c>
      <c r="N19" s="34"/>
      <c r="O19" s="42"/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>
        <f>IF(Table1[[#This Row],[Auto Order]]=1,IF(Table1[[#This Row],[In stock]]&lt;Table1[[#This Row],[Min in stock]],1,""),"")</f>
        <v>1</v>
      </c>
    </row>
    <row r="20" spans="1:29" hidden="1" x14ac:dyDescent="0.25">
      <c r="A20" s="52" t="s">
        <v>14</v>
      </c>
      <c r="B20" s="34" t="s">
        <v>33</v>
      </c>
      <c r="C20" s="34"/>
      <c r="D20" s="34" t="s">
        <v>13</v>
      </c>
      <c r="E20" s="34" t="s">
        <v>547</v>
      </c>
      <c r="F20" s="54">
        <v>49</v>
      </c>
      <c r="G20" s="54">
        <v>20</v>
      </c>
      <c r="H20" s="54">
        <f>1</f>
        <v>1</v>
      </c>
      <c r="I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" s="34"/>
      <c r="M20" s="42"/>
      <c r="N20" s="34">
        <v>9451242</v>
      </c>
      <c r="O20" s="42">
        <v>5.1700000000000003E-2</v>
      </c>
      <c r="P20" s="34"/>
      <c r="Q20" s="42"/>
      <c r="R20" s="34"/>
      <c r="S20" s="42"/>
      <c r="T20" s="34"/>
      <c r="U20" s="42"/>
      <c r="V20" s="34"/>
      <c r="W20" s="42"/>
      <c r="X20" s="34"/>
      <c r="Y20" s="42">
        <v>5.1700000000000003E-2</v>
      </c>
      <c r="Z20" s="42"/>
      <c r="AA20" s="36"/>
      <c r="AB20" s="50"/>
      <c r="AC20" s="35" t="str">
        <f>IF(Table1[[#This Row],[Auto Order]]=1,IF(Table1[[#This Row],[In stock]]&lt;Table1[[#This Row],[Min in stock]],1,""),"")</f>
        <v/>
      </c>
    </row>
    <row r="21" spans="1:29" hidden="1" x14ac:dyDescent="0.25">
      <c r="A21" s="34" t="s">
        <v>12</v>
      </c>
      <c r="B21" s="34" t="s">
        <v>33</v>
      </c>
      <c r="C21" s="34" t="s">
        <v>426</v>
      </c>
      <c r="D21" s="34" t="s">
        <v>11</v>
      </c>
      <c r="E21" s="34" t="s">
        <v>547</v>
      </c>
      <c r="F21" s="54">
        <v>48</v>
      </c>
      <c r="G21" s="54">
        <v>20</v>
      </c>
      <c r="H21" s="54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1" s="34"/>
      <c r="M21" s="42"/>
      <c r="N21" s="34" t="s">
        <v>163</v>
      </c>
      <c r="O21" s="42">
        <v>5.0900000000000001E-2</v>
      </c>
      <c r="P21" s="34"/>
      <c r="Q21" s="42"/>
      <c r="R21" s="34"/>
      <c r="S21" s="42"/>
      <c r="T21" s="34"/>
      <c r="U21" s="42"/>
      <c r="V21" s="34"/>
      <c r="W21" s="42"/>
      <c r="X21" s="34"/>
      <c r="Y21" s="42">
        <v>5.0900000000000001E-2</v>
      </c>
      <c r="Z21" s="42"/>
      <c r="AA21" s="36"/>
      <c r="AB21" s="50"/>
      <c r="AC21" s="35" t="str">
        <f>IF(Table1[[#This Row],[Auto Order]]=1,IF(Table1[[#This Row],[In stock]]&lt;Table1[[#This Row],[Min in stock]],1,""),"")</f>
        <v/>
      </c>
    </row>
    <row r="22" spans="1:29" hidden="1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4">
        <v>92</v>
      </c>
      <c r="G22" s="54"/>
      <c r="H22" s="54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hidden="1" x14ac:dyDescent="0.25">
      <c r="A23" s="58" t="s">
        <v>3085</v>
      </c>
      <c r="B23" s="34" t="s">
        <v>243</v>
      </c>
      <c r="C23" s="34"/>
      <c r="D23" s="34" t="s">
        <v>3086</v>
      </c>
      <c r="E23" s="34" t="s">
        <v>547</v>
      </c>
      <c r="F23" s="54">
        <v>0</v>
      </c>
      <c r="G23" s="54">
        <v>100</v>
      </c>
      <c r="H23" s="54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" s="34" t="s">
        <v>3087</v>
      </c>
      <c r="M23" s="42">
        <v>2.7E-2</v>
      </c>
      <c r="N23" s="34"/>
      <c r="O23" s="42"/>
      <c r="P23" s="34"/>
      <c r="Q23" s="42"/>
      <c r="R23" s="34"/>
      <c r="S23" s="42"/>
      <c r="T23" s="34"/>
      <c r="U23" s="42"/>
      <c r="V23" s="34"/>
      <c r="W23" s="42"/>
      <c r="X23" s="34"/>
      <c r="Y23" s="42"/>
      <c r="Z23" s="42"/>
      <c r="AA23" s="36"/>
      <c r="AB23" s="50"/>
      <c r="AC23" s="57">
        <f>IF(Table1[[#This Row],[Auto Order]]=1,IF(Table1[[#This Row],[In stock]]&lt;Table1[[#This Row],[Min in stock]],1,""),"")</f>
        <v>1</v>
      </c>
    </row>
    <row r="24" spans="1:29" hidden="1" x14ac:dyDescent="0.25">
      <c r="A24" s="34">
        <v>965083</v>
      </c>
      <c r="B24" s="34" t="s">
        <v>65</v>
      </c>
      <c r="C24" s="34"/>
      <c r="D24" s="34" t="s">
        <v>87</v>
      </c>
      <c r="E24" s="34" t="s">
        <v>543</v>
      </c>
      <c r="F24" s="54">
        <v>2</v>
      </c>
      <c r="G24" s="54">
        <v>1</v>
      </c>
      <c r="H24" s="54">
        <f>1</f>
        <v>1</v>
      </c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>
        <v>965083</v>
      </c>
      <c r="Y24" s="42">
        <v>3.18</v>
      </c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hidden="1" x14ac:dyDescent="0.25">
      <c r="A25" s="34" t="s">
        <v>156</v>
      </c>
      <c r="B25" s="34" t="s">
        <v>162</v>
      </c>
      <c r="C25" s="34"/>
      <c r="D25" s="34" t="s">
        <v>157</v>
      </c>
      <c r="E25" s="34" t="s">
        <v>543</v>
      </c>
      <c r="F25" s="54">
        <v>10</v>
      </c>
      <c r="G25" s="54">
        <v>2</v>
      </c>
      <c r="H25" s="54"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" s="34" t="s">
        <v>155</v>
      </c>
      <c r="M25" s="42">
        <v>0.66500000000000004</v>
      </c>
      <c r="N25" s="34"/>
      <c r="O25" s="42"/>
      <c r="P25" s="34"/>
      <c r="Q25" s="42"/>
      <c r="R25" s="34"/>
      <c r="S25" s="42"/>
      <c r="T25" s="34"/>
      <c r="U25" s="42"/>
      <c r="V25" s="34"/>
      <c r="W25" s="42"/>
      <c r="X25" s="34"/>
      <c r="Y25" s="42"/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hidden="1" x14ac:dyDescent="0.25">
      <c r="A26" s="34" t="s">
        <v>113</v>
      </c>
      <c r="B26" s="34" t="s">
        <v>33</v>
      </c>
      <c r="C26" s="34"/>
      <c r="D26" s="34" t="s">
        <v>116</v>
      </c>
      <c r="E26" s="34" t="s">
        <v>543</v>
      </c>
      <c r="F26" s="54">
        <v>-2.2000000000000002</v>
      </c>
      <c r="G26" s="54">
        <v>5</v>
      </c>
      <c r="H26" s="54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114</v>
      </c>
      <c r="O26" s="42">
        <v>0.28699999999999998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0.28699999999999998</v>
      </c>
      <c r="Z26" s="42"/>
      <c r="AA26" s="36"/>
      <c r="AB26" s="50"/>
      <c r="AC26" s="35">
        <f>IF(Table1[[#This Row],[Auto Order]]=1,IF(Table1[[#This Row],[In stock]]&lt;Table1[[#This Row],[Min in stock]],1,""),"")</f>
        <v>1</v>
      </c>
    </row>
    <row r="27" spans="1:29" hidden="1" x14ac:dyDescent="0.25">
      <c r="A27" s="34" t="s">
        <v>482</v>
      </c>
      <c r="B27" s="34" t="s">
        <v>419</v>
      </c>
      <c r="C27" s="34"/>
      <c r="D27" s="34" t="s">
        <v>420</v>
      </c>
      <c r="E27" s="34" t="s">
        <v>543</v>
      </c>
      <c r="F27" s="54">
        <v>5</v>
      </c>
      <c r="G27" s="54"/>
      <c r="H27" s="54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7" s="34"/>
      <c r="M27" s="42"/>
      <c r="N27" s="34"/>
      <c r="O27" s="42"/>
      <c r="P27" s="34"/>
      <c r="Q27" s="42"/>
      <c r="R27" s="34"/>
      <c r="S27" s="42"/>
      <c r="T27" s="34"/>
      <c r="U27" s="42"/>
      <c r="V27" s="34" t="s">
        <v>418</v>
      </c>
      <c r="W27" s="42">
        <v>0.127</v>
      </c>
      <c r="X27" s="34"/>
      <c r="Y27" s="42"/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hidden="1" x14ac:dyDescent="0.25">
      <c r="A28" s="34" t="s">
        <v>483</v>
      </c>
      <c r="B28" s="34" t="s">
        <v>419</v>
      </c>
      <c r="C28" s="34"/>
      <c r="D28" s="34" t="s">
        <v>421</v>
      </c>
      <c r="E28" s="34" t="s">
        <v>543</v>
      </c>
      <c r="F28" s="54">
        <v>5</v>
      </c>
      <c r="G28" s="54"/>
      <c r="H28" s="54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8" s="34"/>
      <c r="M28" s="42"/>
      <c r="N28" s="34"/>
      <c r="O28" s="42"/>
      <c r="P28" s="34"/>
      <c r="Q28" s="42"/>
      <c r="R28" s="34"/>
      <c r="S28" s="42"/>
      <c r="T28" s="34"/>
      <c r="U28" s="42"/>
      <c r="V28" s="34" t="s">
        <v>418</v>
      </c>
      <c r="W28" s="42">
        <v>0.127</v>
      </c>
      <c r="X28" s="34"/>
      <c r="Y28" s="42"/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hidden="1" x14ac:dyDescent="0.25">
      <c r="A29" s="53" t="s">
        <v>590</v>
      </c>
      <c r="B29" s="34" t="s">
        <v>108</v>
      </c>
      <c r="C29" s="34"/>
      <c r="D29" s="34" t="s">
        <v>589</v>
      </c>
      <c r="E29" s="34" t="s">
        <v>543</v>
      </c>
      <c r="F29" s="54">
        <v>3</v>
      </c>
      <c r="G29" s="54">
        <v>5</v>
      </c>
      <c r="H29" s="54"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" s="34" t="s">
        <v>538</v>
      </c>
      <c r="M29" s="42">
        <v>1.02</v>
      </c>
      <c r="N29" s="34" t="s">
        <v>109</v>
      </c>
      <c r="O29" s="42">
        <v>1.55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</v>
      </c>
      <c r="Z29" s="42"/>
      <c r="AA29" s="36"/>
      <c r="AB29" s="50"/>
      <c r="AC29" s="35">
        <f>IF(Table1[[#This Row],[Auto Order]]=1,IF(Table1[[#This Row],[In stock]]&lt;Table1[[#This Row],[Min in stock]],1,""),"")</f>
        <v>1</v>
      </c>
    </row>
    <row r="30" spans="1:29" hidden="1" x14ac:dyDescent="0.25">
      <c r="A30" s="34" t="s">
        <v>40</v>
      </c>
      <c r="B30" s="34" t="s">
        <v>7</v>
      </c>
      <c r="C30" s="34"/>
      <c r="D30" s="34" t="s">
        <v>588</v>
      </c>
      <c r="E30" s="34" t="s">
        <v>543</v>
      </c>
      <c r="F30" s="54">
        <v>0</v>
      </c>
      <c r="G30" s="54"/>
      <c r="H30" s="54"/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" s="34" t="s">
        <v>539</v>
      </c>
      <c r="M30" s="42">
        <v>3.12</v>
      </c>
      <c r="N30" s="34">
        <v>2064805</v>
      </c>
      <c r="O30" s="42">
        <v>2.95</v>
      </c>
      <c r="P30" s="34"/>
      <c r="Q30" s="42"/>
      <c r="R30" s="34"/>
      <c r="S30" s="42"/>
      <c r="T30" s="34"/>
      <c r="U30" s="42"/>
      <c r="V30" s="34"/>
      <c r="W30" s="42"/>
      <c r="X30" s="34"/>
      <c r="Y30" s="42">
        <v>2.95</v>
      </c>
      <c r="Z30" s="42"/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hidden="1" x14ac:dyDescent="0.25">
      <c r="A31" s="34" t="s">
        <v>591</v>
      </c>
      <c r="B31" s="34" t="s">
        <v>112</v>
      </c>
      <c r="C31" s="34"/>
      <c r="D31" s="34" t="s">
        <v>592</v>
      </c>
      <c r="E31" s="34" t="s">
        <v>543</v>
      </c>
      <c r="F31" s="54">
        <v>9.85</v>
      </c>
      <c r="G31" s="54">
        <v>2</v>
      </c>
      <c r="H31" s="54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" s="34" t="s">
        <v>464</v>
      </c>
      <c r="M31" s="42">
        <v>1.44</v>
      </c>
      <c r="N31" s="34" t="s">
        <v>111</v>
      </c>
      <c r="O31" s="42">
        <v>1.58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1.58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hidden="1" x14ac:dyDescent="0.25">
      <c r="A32" s="34" t="s">
        <v>225</v>
      </c>
      <c r="B32" s="34" t="s">
        <v>226</v>
      </c>
      <c r="C32" s="34"/>
      <c r="D32" s="34" t="s">
        <v>227</v>
      </c>
      <c r="E32" s="34" t="s">
        <v>543</v>
      </c>
      <c r="F32" s="54">
        <v>4</v>
      </c>
      <c r="G32" s="54">
        <v>1</v>
      </c>
      <c r="H32" s="54">
        <f>1</f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224</v>
      </c>
      <c r="M32" s="42">
        <v>1.21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35" t="str">
        <f>IF(Table1[[#This Row],[Auto Order]]=1,IF(Table1[[#This Row],[In stock]]&lt;Table1[[#This Row],[Min in stock]],1,""),"")</f>
        <v/>
      </c>
    </row>
    <row r="33" spans="1:29" hidden="1" x14ac:dyDescent="0.25">
      <c r="A33" s="58" t="s">
        <v>2957</v>
      </c>
      <c r="B33" s="34" t="s">
        <v>2958</v>
      </c>
      <c r="C33" s="34"/>
      <c r="D33" s="34" t="s">
        <v>2959</v>
      </c>
      <c r="E33" s="34" t="s">
        <v>2956</v>
      </c>
      <c r="F33" s="54">
        <v>0</v>
      </c>
      <c r="G33" s="54">
        <v>100</v>
      </c>
      <c r="H33" s="54"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2960</v>
      </c>
      <c r="M33" s="42">
        <v>6.5000000000000002E-2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7">
        <f>IF(Table1[[#This Row],[Auto Order]]=1,IF(Table1[[#This Row],[In stock]]&lt;Table1[[#This Row],[Min in stock]],1,""),"")</f>
        <v>1</v>
      </c>
    </row>
    <row r="34" spans="1:29" hidden="1" x14ac:dyDescent="0.25">
      <c r="A34" s="58" t="s">
        <v>3034</v>
      </c>
      <c r="B34" s="34" t="s">
        <v>2958</v>
      </c>
      <c r="C34" s="34" t="s">
        <v>352</v>
      </c>
      <c r="D34" s="34" t="s">
        <v>3035</v>
      </c>
      <c r="E34" s="34" t="s">
        <v>2954</v>
      </c>
      <c r="F34" s="54">
        <v>0</v>
      </c>
      <c r="G34" s="54"/>
      <c r="H34" s="54"/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3033</v>
      </c>
      <c r="M34" s="42">
        <v>0.12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7" t="str">
        <f>IF(Table1[[#This Row],[Auto Order]]=1,IF(Table1[[#This Row],[In stock]]&lt;Table1[[#This Row],[Min in stock]],1,""),"")</f>
        <v/>
      </c>
    </row>
    <row r="35" spans="1:29" hidden="1" x14ac:dyDescent="0.25">
      <c r="A35" s="58" t="s">
        <v>3037</v>
      </c>
      <c r="B35" s="34" t="s">
        <v>2958</v>
      </c>
      <c r="C35" s="34" t="s">
        <v>352</v>
      </c>
      <c r="D35" s="34" t="s">
        <v>3038</v>
      </c>
      <c r="E35" s="34" t="s">
        <v>2954</v>
      </c>
      <c r="F35" s="54">
        <v>0</v>
      </c>
      <c r="G35" s="54"/>
      <c r="H35" s="54"/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3036</v>
      </c>
      <c r="M35" s="42">
        <v>0.17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7" t="str">
        <f>IF(Table1[[#This Row],[Auto Order]]=1,IF(Table1[[#This Row],[In stock]]&lt;Table1[[#This Row],[Min in stock]],1,""),"")</f>
        <v/>
      </c>
    </row>
    <row r="36" spans="1:29" hidden="1" x14ac:dyDescent="0.25">
      <c r="A36" s="58" t="s">
        <v>3040</v>
      </c>
      <c r="B36" s="34" t="s">
        <v>2958</v>
      </c>
      <c r="C36" s="34" t="s">
        <v>352</v>
      </c>
      <c r="D36" s="34" t="s">
        <v>3041</v>
      </c>
      <c r="E36" s="34" t="s">
        <v>2954</v>
      </c>
      <c r="F36" s="54">
        <v>0</v>
      </c>
      <c r="G36" s="54"/>
      <c r="H36" s="54"/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3039</v>
      </c>
      <c r="M36" s="42">
        <v>0.13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7" t="str">
        <f>IF(Table1[[#This Row],[Auto Order]]=1,IF(Table1[[#This Row],[In stock]]&lt;Table1[[#This Row],[Min in stock]],1,""),"")</f>
        <v/>
      </c>
    </row>
    <row r="37" spans="1:29" hidden="1" x14ac:dyDescent="0.25">
      <c r="A37" s="58" t="s">
        <v>3043</v>
      </c>
      <c r="B37" s="34" t="s">
        <v>2958</v>
      </c>
      <c r="C37" s="34" t="s">
        <v>352</v>
      </c>
      <c r="D37" s="34" t="s">
        <v>3044</v>
      </c>
      <c r="E37" s="34" t="s">
        <v>2954</v>
      </c>
      <c r="F37" s="54">
        <v>0</v>
      </c>
      <c r="G37" s="54">
        <v>4</v>
      </c>
      <c r="H37" s="54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3042</v>
      </c>
      <c r="M37" s="42">
        <v>0.13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7">
        <f>IF(Table1[[#This Row],[Auto Order]]=1,IF(Table1[[#This Row],[In stock]]&lt;Table1[[#This Row],[Min in stock]],1,""),"")</f>
        <v>1</v>
      </c>
    </row>
    <row r="38" spans="1:29" hidden="1" x14ac:dyDescent="0.25">
      <c r="A38" s="58" t="s">
        <v>3046</v>
      </c>
      <c r="B38" s="34" t="s">
        <v>2958</v>
      </c>
      <c r="C38" s="34" t="s">
        <v>352</v>
      </c>
      <c r="D38" s="34" t="s">
        <v>3047</v>
      </c>
      <c r="E38" s="34" t="s">
        <v>2954</v>
      </c>
      <c r="F38" s="54">
        <v>0</v>
      </c>
      <c r="G38" s="54">
        <v>4</v>
      </c>
      <c r="H38" s="54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3045</v>
      </c>
      <c r="M38" s="42">
        <v>0.17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7">
        <f>IF(Table1[[#This Row],[Auto Order]]=1,IF(Table1[[#This Row],[In stock]]&lt;Table1[[#This Row],[Min in stock]],1,""),"")</f>
        <v>1</v>
      </c>
    </row>
    <row r="39" spans="1:29" hidden="1" x14ac:dyDescent="0.25">
      <c r="A39" s="58" t="s">
        <v>3049</v>
      </c>
      <c r="B39" s="34" t="s">
        <v>2958</v>
      </c>
      <c r="C39" s="34" t="s">
        <v>352</v>
      </c>
      <c r="D39" s="34" t="s">
        <v>3050</v>
      </c>
      <c r="E39" s="34" t="s">
        <v>2954</v>
      </c>
      <c r="F39" s="54">
        <v>0</v>
      </c>
      <c r="G39" s="54">
        <v>4</v>
      </c>
      <c r="H39" s="54"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3048</v>
      </c>
      <c r="M39" s="42">
        <v>0.18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7">
        <f>IF(Table1[[#This Row],[Auto Order]]=1,IF(Table1[[#This Row],[In stock]]&lt;Table1[[#This Row],[Min in stock]],1,""),"")</f>
        <v>1</v>
      </c>
    </row>
    <row r="40" spans="1:29" hidden="1" x14ac:dyDescent="0.25">
      <c r="A40" s="58" t="s">
        <v>3055</v>
      </c>
      <c r="B40" s="34" t="s">
        <v>2958</v>
      </c>
      <c r="C40" s="34" t="s">
        <v>352</v>
      </c>
      <c r="D40" s="34" t="s">
        <v>3056</v>
      </c>
      <c r="E40" s="34" t="s">
        <v>2954</v>
      </c>
      <c r="F40" s="54">
        <v>0</v>
      </c>
      <c r="G40" s="54"/>
      <c r="H40" s="54"/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3054</v>
      </c>
      <c r="M40" s="42">
        <v>0.18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7" t="str">
        <f>IF(Table1[[#This Row],[Auto Order]]=1,IF(Table1[[#This Row],[In stock]]&lt;Table1[[#This Row],[Min in stock]],1,""),"")</f>
        <v/>
      </c>
    </row>
    <row r="41" spans="1:29" hidden="1" x14ac:dyDescent="0.25">
      <c r="A41" s="58" t="s">
        <v>3058</v>
      </c>
      <c r="B41" s="34" t="s">
        <v>2958</v>
      </c>
      <c r="C41" s="34" t="s">
        <v>352</v>
      </c>
      <c r="D41" s="34" t="s">
        <v>3059</v>
      </c>
      <c r="E41" s="34" t="s">
        <v>2954</v>
      </c>
      <c r="F41" s="54">
        <v>0</v>
      </c>
      <c r="G41" s="54"/>
      <c r="H41" s="54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3057</v>
      </c>
      <c r="M41" s="42">
        <v>0.18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7" t="str">
        <f>IF(Table1[[#This Row],[Auto Order]]=1,IF(Table1[[#This Row],[In stock]]&lt;Table1[[#This Row],[Min in stock]],1,""),"")</f>
        <v/>
      </c>
    </row>
    <row r="42" spans="1:29" hidden="1" x14ac:dyDescent="0.25">
      <c r="A42" s="58" t="s">
        <v>3061</v>
      </c>
      <c r="B42" s="34" t="s">
        <v>2958</v>
      </c>
      <c r="C42" s="34" t="s">
        <v>352</v>
      </c>
      <c r="D42" s="34" t="s">
        <v>3062</v>
      </c>
      <c r="E42" s="34" t="s">
        <v>2954</v>
      </c>
      <c r="F42" s="54">
        <v>0</v>
      </c>
      <c r="G42" s="54"/>
      <c r="H42" s="54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3060</v>
      </c>
      <c r="M42" s="42">
        <v>0.19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7" t="str">
        <f>IF(Table1[[#This Row],[Auto Order]]=1,IF(Table1[[#This Row],[In stock]]&lt;Table1[[#This Row],[Min in stock]],1,""),"")</f>
        <v/>
      </c>
    </row>
    <row r="43" spans="1:29" hidden="1" x14ac:dyDescent="0.25">
      <c r="A43" s="58" t="s">
        <v>3064</v>
      </c>
      <c r="B43" s="34" t="s">
        <v>2958</v>
      </c>
      <c r="C43" s="34" t="s">
        <v>352</v>
      </c>
      <c r="D43" s="34" t="s">
        <v>3065</v>
      </c>
      <c r="E43" s="34" t="s">
        <v>2954</v>
      </c>
      <c r="F43" s="54">
        <v>0</v>
      </c>
      <c r="G43" s="54"/>
      <c r="H43" s="54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3063</v>
      </c>
      <c r="M43" s="42">
        <v>0.2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7" t="str">
        <f>IF(Table1[[#This Row],[Auto Order]]=1,IF(Table1[[#This Row],[In stock]]&lt;Table1[[#This Row],[Min in stock]],1,""),"")</f>
        <v/>
      </c>
    </row>
    <row r="44" spans="1:29" hidden="1" x14ac:dyDescent="0.25">
      <c r="A44" s="58" t="s">
        <v>3067</v>
      </c>
      <c r="B44" s="34" t="s">
        <v>2958</v>
      </c>
      <c r="C44" s="34" t="s">
        <v>352</v>
      </c>
      <c r="D44" s="34" t="s">
        <v>3068</v>
      </c>
      <c r="E44" s="34" t="s">
        <v>2954</v>
      </c>
      <c r="F44" s="54">
        <v>0</v>
      </c>
      <c r="G44" s="54"/>
      <c r="H44" s="54"/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3066</v>
      </c>
      <c r="M44" s="42">
        <v>0.2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7" t="str">
        <f>IF(Table1[[#This Row],[Auto Order]]=1,IF(Table1[[#This Row],[In stock]]&lt;Table1[[#This Row],[Min in stock]],1,""),"")</f>
        <v/>
      </c>
    </row>
    <row r="45" spans="1:29" hidden="1" x14ac:dyDescent="0.25">
      <c r="A45" s="58" t="s">
        <v>3070</v>
      </c>
      <c r="B45" s="34" t="s">
        <v>2958</v>
      </c>
      <c r="C45" s="34" t="s">
        <v>352</v>
      </c>
      <c r="D45" s="34" t="s">
        <v>3071</v>
      </c>
      <c r="E45" s="34" t="s">
        <v>2954</v>
      </c>
      <c r="F45" s="54">
        <v>0</v>
      </c>
      <c r="G45" s="54"/>
      <c r="H45" s="54"/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3069</v>
      </c>
      <c r="M45" s="42">
        <v>0.2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7" t="str">
        <f>IF(Table1[[#This Row],[Auto Order]]=1,IF(Table1[[#This Row],[In stock]]&lt;Table1[[#This Row],[Min in stock]],1,""),"")</f>
        <v/>
      </c>
    </row>
    <row r="46" spans="1:29" hidden="1" x14ac:dyDescent="0.25">
      <c r="A46" s="58" t="s">
        <v>3073</v>
      </c>
      <c r="B46" s="34" t="s">
        <v>2958</v>
      </c>
      <c r="C46" s="34" t="s">
        <v>352</v>
      </c>
      <c r="D46" s="34" t="s">
        <v>3074</v>
      </c>
      <c r="E46" s="34" t="s">
        <v>2954</v>
      </c>
      <c r="F46" s="54">
        <v>0</v>
      </c>
      <c r="G46" s="54"/>
      <c r="H46" s="54"/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3072</v>
      </c>
      <c r="M46" s="42">
        <v>0.21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7" t="str">
        <f>IF(Table1[[#This Row],[Auto Order]]=1,IF(Table1[[#This Row],[In stock]]&lt;Table1[[#This Row],[Min in stock]],1,""),"")</f>
        <v/>
      </c>
    </row>
    <row r="47" spans="1:29" hidden="1" x14ac:dyDescent="0.25">
      <c r="A47" s="58" t="s">
        <v>3052</v>
      </c>
      <c r="B47" s="34" t="s">
        <v>2958</v>
      </c>
      <c r="C47" s="34" t="s">
        <v>352</v>
      </c>
      <c r="D47" s="34" t="s">
        <v>3053</v>
      </c>
      <c r="E47" s="34" t="s">
        <v>2954</v>
      </c>
      <c r="F47" s="54">
        <v>0</v>
      </c>
      <c r="G47" s="54">
        <v>2</v>
      </c>
      <c r="H47" s="54"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3051</v>
      </c>
      <c r="M47" s="42">
        <v>0.18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7">
        <f>IF(Table1[[#This Row],[Auto Order]]=1,IF(Table1[[#This Row],[In stock]]&lt;Table1[[#This Row],[Min in stock]],1,""),"")</f>
        <v>1</v>
      </c>
    </row>
    <row r="48" spans="1:29" hidden="1" x14ac:dyDescent="0.25">
      <c r="A48" s="58" t="s">
        <v>2962</v>
      </c>
      <c r="B48" s="34" t="s">
        <v>2958</v>
      </c>
      <c r="C48" s="34" t="s">
        <v>352</v>
      </c>
      <c r="D48" s="34" t="s">
        <v>2963</v>
      </c>
      <c r="E48" s="34" t="s">
        <v>2955</v>
      </c>
      <c r="F48" s="54">
        <v>0</v>
      </c>
      <c r="G48" s="54"/>
      <c r="H48" s="54"/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2961</v>
      </c>
      <c r="M48" s="42">
        <v>0.43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7" t="str">
        <f>IF(Table1[[#This Row],[Auto Order]]=1,IF(Table1[[#This Row],[In stock]]&lt;Table1[[#This Row],[Min in stock]],1,""),"")</f>
        <v/>
      </c>
    </row>
    <row r="49" spans="1:29" hidden="1" x14ac:dyDescent="0.25">
      <c r="A49" s="58" t="s">
        <v>2965</v>
      </c>
      <c r="B49" s="34" t="s">
        <v>2958</v>
      </c>
      <c r="C49" s="34" t="s">
        <v>352</v>
      </c>
      <c r="D49" s="34" t="s">
        <v>2966</v>
      </c>
      <c r="E49" s="34" t="s">
        <v>2955</v>
      </c>
      <c r="F49" s="54">
        <v>0</v>
      </c>
      <c r="G49" s="54"/>
      <c r="H49" s="54"/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2964</v>
      </c>
      <c r="M49" s="42">
        <v>0.46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7" t="str">
        <f>IF(Table1[[#This Row],[Auto Order]]=1,IF(Table1[[#This Row],[In stock]]&lt;Table1[[#This Row],[Min in stock]],1,""),"")</f>
        <v/>
      </c>
    </row>
    <row r="50" spans="1:29" hidden="1" x14ac:dyDescent="0.25">
      <c r="A50" s="58" t="s">
        <v>2968</v>
      </c>
      <c r="B50" s="34" t="s">
        <v>2958</v>
      </c>
      <c r="C50" s="34" t="s">
        <v>352</v>
      </c>
      <c r="D50" s="34" t="s">
        <v>2969</v>
      </c>
      <c r="E50" s="34" t="s">
        <v>2955</v>
      </c>
      <c r="F50" s="54">
        <v>0</v>
      </c>
      <c r="G50" s="54"/>
      <c r="H50" s="54"/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2967</v>
      </c>
      <c r="M50" s="42">
        <v>0.48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7" t="str">
        <f>IF(Table1[[#This Row],[Auto Order]]=1,IF(Table1[[#This Row],[In stock]]&lt;Table1[[#This Row],[Min in stock]],1,""),"")</f>
        <v/>
      </c>
    </row>
    <row r="51" spans="1:29" hidden="1" x14ac:dyDescent="0.25">
      <c r="A51" s="58" t="s">
        <v>2971</v>
      </c>
      <c r="B51" s="34" t="s">
        <v>2958</v>
      </c>
      <c r="C51" s="34" t="s">
        <v>352</v>
      </c>
      <c r="D51" s="34" t="s">
        <v>2972</v>
      </c>
      <c r="E51" s="34" t="s">
        <v>2955</v>
      </c>
      <c r="F51" s="54">
        <v>0</v>
      </c>
      <c r="G51" s="54"/>
      <c r="H51" s="54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2970</v>
      </c>
      <c r="M51" s="42">
        <v>0.49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7" t="str">
        <f>IF(Table1[[#This Row],[Auto Order]]=1,IF(Table1[[#This Row],[In stock]]&lt;Table1[[#This Row],[Min in stock]],1,""),"")</f>
        <v/>
      </c>
    </row>
    <row r="52" spans="1:29" hidden="1" x14ac:dyDescent="0.25">
      <c r="A52" s="58" t="s">
        <v>2977</v>
      </c>
      <c r="B52" s="34" t="s">
        <v>2958</v>
      </c>
      <c r="C52" s="34" t="s">
        <v>352</v>
      </c>
      <c r="D52" s="34" t="s">
        <v>2978</v>
      </c>
      <c r="E52" s="34" t="s">
        <v>2955</v>
      </c>
      <c r="F52" s="54">
        <v>0</v>
      </c>
      <c r="G52" s="54"/>
      <c r="H52" s="54"/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2976</v>
      </c>
      <c r="M52" s="42">
        <v>0.45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7" t="str">
        <f>IF(Table1[[#This Row],[Auto Order]]=1,IF(Table1[[#This Row],[In stock]]&lt;Table1[[#This Row],[Min in stock]],1,""),"")</f>
        <v/>
      </c>
    </row>
    <row r="53" spans="1:29" hidden="1" x14ac:dyDescent="0.25">
      <c r="A53" s="58" t="s">
        <v>2980</v>
      </c>
      <c r="B53" s="34" t="s">
        <v>2958</v>
      </c>
      <c r="C53" s="34" t="s">
        <v>352</v>
      </c>
      <c r="D53" s="34" t="s">
        <v>2981</v>
      </c>
      <c r="E53" s="34" t="s">
        <v>2955</v>
      </c>
      <c r="F53" s="54">
        <v>0</v>
      </c>
      <c r="G53" s="54"/>
      <c r="H53" s="54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2979</v>
      </c>
      <c r="M53" s="42">
        <v>0.46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7" t="str">
        <f>IF(Table1[[#This Row],[Auto Order]]=1,IF(Table1[[#This Row],[In stock]]&lt;Table1[[#This Row],[Min in stock]],1,""),"")</f>
        <v/>
      </c>
    </row>
    <row r="54" spans="1:29" hidden="1" x14ac:dyDescent="0.25">
      <c r="A54" s="58" t="s">
        <v>2983</v>
      </c>
      <c r="B54" s="34" t="s">
        <v>2958</v>
      </c>
      <c r="C54" s="34" t="s">
        <v>352</v>
      </c>
      <c r="D54" s="34" t="s">
        <v>2984</v>
      </c>
      <c r="E54" s="34" t="s">
        <v>2955</v>
      </c>
      <c r="F54" s="54">
        <v>0</v>
      </c>
      <c r="G54" s="54"/>
      <c r="H54" s="54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2982</v>
      </c>
      <c r="M54" s="42">
        <v>0.48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7" t="str">
        <f>IF(Table1[[#This Row],[Auto Order]]=1,IF(Table1[[#This Row],[In stock]]&lt;Table1[[#This Row],[Min in stock]],1,""),"")</f>
        <v/>
      </c>
    </row>
    <row r="55" spans="1:29" hidden="1" x14ac:dyDescent="0.25">
      <c r="A55" s="58" t="s">
        <v>2974</v>
      </c>
      <c r="B55" s="34" t="s">
        <v>2958</v>
      </c>
      <c r="C55" s="34" t="s">
        <v>352</v>
      </c>
      <c r="D55" s="34" t="s">
        <v>2975</v>
      </c>
      <c r="E55" s="34" t="s">
        <v>2955</v>
      </c>
      <c r="F55" s="54">
        <v>0</v>
      </c>
      <c r="G55" s="54">
        <v>2</v>
      </c>
      <c r="H55" s="54"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2973</v>
      </c>
      <c r="M55" s="42">
        <v>0.44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7">
        <f>IF(Table1[[#This Row],[Auto Order]]=1,IF(Table1[[#This Row],[In stock]]&lt;Table1[[#This Row],[Min in stock]],1,""),"")</f>
        <v>1</v>
      </c>
    </row>
    <row r="56" spans="1:29" hidden="1" x14ac:dyDescent="0.25">
      <c r="A56" s="58" t="s">
        <v>2989</v>
      </c>
      <c r="B56" s="34" t="s">
        <v>2958</v>
      </c>
      <c r="C56" s="34" t="s">
        <v>352</v>
      </c>
      <c r="D56" s="34" t="s">
        <v>2990</v>
      </c>
      <c r="E56" s="34" t="s">
        <v>2955</v>
      </c>
      <c r="F56" s="54">
        <v>0</v>
      </c>
      <c r="G56" s="54"/>
      <c r="H56" s="54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2988</v>
      </c>
      <c r="M56" s="42">
        <v>0.57999999999999996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7" t="str">
        <f>IF(Table1[[#This Row],[Auto Order]]=1,IF(Table1[[#This Row],[In stock]]&lt;Table1[[#This Row],[Min in stock]],1,""),"")</f>
        <v/>
      </c>
    </row>
    <row r="57" spans="1:29" hidden="1" x14ac:dyDescent="0.25">
      <c r="A57" s="58" t="s">
        <v>2992</v>
      </c>
      <c r="B57" s="34" t="s">
        <v>2958</v>
      </c>
      <c r="C57" s="34" t="s">
        <v>352</v>
      </c>
      <c r="D57" s="34" t="s">
        <v>2993</v>
      </c>
      <c r="E57" s="34" t="s">
        <v>2955</v>
      </c>
      <c r="F57" s="54">
        <v>0</v>
      </c>
      <c r="G57" s="54"/>
      <c r="H57" s="54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2991</v>
      </c>
      <c r="M57" s="42">
        <v>0.59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7" t="str">
        <f>IF(Table1[[#This Row],[Auto Order]]=1,IF(Table1[[#This Row],[In stock]]&lt;Table1[[#This Row],[Min in stock]],1,""),"")</f>
        <v/>
      </c>
    </row>
    <row r="58" spans="1:29" hidden="1" x14ac:dyDescent="0.25">
      <c r="A58" s="58" t="s">
        <v>2986</v>
      </c>
      <c r="B58" s="34" t="s">
        <v>2958</v>
      </c>
      <c r="C58" s="34" t="s">
        <v>352</v>
      </c>
      <c r="D58" s="34" t="s">
        <v>2987</v>
      </c>
      <c r="E58" s="34" t="s">
        <v>2955</v>
      </c>
      <c r="F58" s="54">
        <v>0</v>
      </c>
      <c r="G58" s="54">
        <v>2</v>
      </c>
      <c r="H58" s="54"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2985</v>
      </c>
      <c r="M58" s="42">
        <v>0.56000000000000005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7">
        <f>IF(Table1[[#This Row],[Auto Order]]=1,IF(Table1[[#This Row],[In stock]]&lt;Table1[[#This Row],[Min in stock]],1,""),"")</f>
        <v>1</v>
      </c>
    </row>
    <row r="59" spans="1:29" hidden="1" x14ac:dyDescent="0.25">
      <c r="A59" s="58" t="s">
        <v>2998</v>
      </c>
      <c r="B59" s="34" t="s">
        <v>2958</v>
      </c>
      <c r="C59" s="34" t="s">
        <v>352</v>
      </c>
      <c r="D59" s="34" t="s">
        <v>2999</v>
      </c>
      <c r="E59" s="34" t="s">
        <v>2955</v>
      </c>
      <c r="F59" s="54">
        <v>0</v>
      </c>
      <c r="G59" s="54"/>
      <c r="H59" s="54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2997</v>
      </c>
      <c r="M59" s="42">
        <v>0.6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7" t="str">
        <f>IF(Table1[[#This Row],[Auto Order]]=1,IF(Table1[[#This Row],[In stock]]&lt;Table1[[#This Row],[Min in stock]],1,""),"")</f>
        <v/>
      </c>
    </row>
    <row r="60" spans="1:29" hidden="1" x14ac:dyDescent="0.25">
      <c r="A60" s="58" t="s">
        <v>3001</v>
      </c>
      <c r="B60" s="34" t="s">
        <v>2958</v>
      </c>
      <c r="C60" s="34" t="s">
        <v>352</v>
      </c>
      <c r="D60" s="34" t="s">
        <v>3002</v>
      </c>
      <c r="E60" s="34" t="s">
        <v>2955</v>
      </c>
      <c r="F60" s="54">
        <v>0</v>
      </c>
      <c r="G60" s="54"/>
      <c r="H60" s="54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3000</v>
      </c>
      <c r="M60" s="42">
        <v>0.63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7" t="str">
        <f>IF(Table1[[#This Row],[Auto Order]]=1,IF(Table1[[#This Row],[In stock]]&lt;Table1[[#This Row],[Min in stock]],1,""),"")</f>
        <v/>
      </c>
    </row>
    <row r="61" spans="1:29" hidden="1" x14ac:dyDescent="0.25">
      <c r="A61" s="58" t="s">
        <v>3004</v>
      </c>
      <c r="B61" s="34" t="s">
        <v>2958</v>
      </c>
      <c r="C61" s="34" t="s">
        <v>352</v>
      </c>
      <c r="D61" s="34" t="s">
        <v>3005</v>
      </c>
      <c r="E61" s="34" t="s">
        <v>2955</v>
      </c>
      <c r="F61" s="54">
        <v>0</v>
      </c>
      <c r="G61" s="54"/>
      <c r="H61" s="54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3003</v>
      </c>
      <c r="M61" s="42">
        <v>0.65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7" t="str">
        <f>IF(Table1[[#This Row],[Auto Order]]=1,IF(Table1[[#This Row],[In stock]]&lt;Table1[[#This Row],[Min in stock]],1,""),"")</f>
        <v/>
      </c>
    </row>
    <row r="62" spans="1:29" hidden="1" x14ac:dyDescent="0.25">
      <c r="A62" s="58" t="s">
        <v>2995</v>
      </c>
      <c r="B62" s="34" t="s">
        <v>2958</v>
      </c>
      <c r="C62" s="34" t="s">
        <v>352</v>
      </c>
      <c r="D62" s="34" t="s">
        <v>2996</v>
      </c>
      <c r="E62" s="34" t="s">
        <v>2955</v>
      </c>
      <c r="F62" s="54">
        <v>0</v>
      </c>
      <c r="G62" s="54">
        <v>2</v>
      </c>
      <c r="H62" s="54"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2994</v>
      </c>
      <c r="M62" s="42">
        <v>0.59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7">
        <f>IF(Table1[[#This Row],[Auto Order]]=1,IF(Table1[[#This Row],[In stock]]&lt;Table1[[#This Row],[Min in stock]],1,""),"")</f>
        <v>1</v>
      </c>
    </row>
    <row r="63" spans="1:29" hidden="1" x14ac:dyDescent="0.25">
      <c r="A63" s="58" t="s">
        <v>3010</v>
      </c>
      <c r="B63" s="34" t="s">
        <v>2958</v>
      </c>
      <c r="C63" s="34" t="s">
        <v>352</v>
      </c>
      <c r="D63" s="34" t="s">
        <v>3011</v>
      </c>
      <c r="E63" s="34" t="s">
        <v>2955</v>
      </c>
      <c r="F63" s="54">
        <v>0</v>
      </c>
      <c r="G63" s="54"/>
      <c r="H63" s="54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3009</v>
      </c>
      <c r="M63" s="42">
        <v>0.71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7" t="str">
        <f>IF(Table1[[#This Row],[Auto Order]]=1,IF(Table1[[#This Row],[In stock]]&lt;Table1[[#This Row],[Min in stock]],1,""),"")</f>
        <v/>
      </c>
    </row>
    <row r="64" spans="1:29" hidden="1" x14ac:dyDescent="0.25">
      <c r="A64" s="58" t="s">
        <v>3013</v>
      </c>
      <c r="B64" s="34" t="s">
        <v>2958</v>
      </c>
      <c r="C64" s="34" t="s">
        <v>352</v>
      </c>
      <c r="D64" s="34" t="s">
        <v>3014</v>
      </c>
      <c r="E64" s="34" t="s">
        <v>2955</v>
      </c>
      <c r="F64" s="54">
        <v>0</v>
      </c>
      <c r="G64" s="54"/>
      <c r="H64" s="54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3012</v>
      </c>
      <c r="M64" s="42">
        <v>0.73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7" t="str">
        <f>IF(Table1[[#This Row],[Auto Order]]=1,IF(Table1[[#This Row],[In stock]]&lt;Table1[[#This Row],[Min in stock]],1,""),"")</f>
        <v/>
      </c>
    </row>
    <row r="65" spans="1:29" hidden="1" x14ac:dyDescent="0.25">
      <c r="A65" s="58" t="s">
        <v>3016</v>
      </c>
      <c r="B65" s="34" t="s">
        <v>2958</v>
      </c>
      <c r="C65" s="34" t="s">
        <v>352</v>
      </c>
      <c r="D65" s="34" t="s">
        <v>3017</v>
      </c>
      <c r="E65" s="34" t="s">
        <v>2955</v>
      </c>
      <c r="F65" s="54">
        <v>0</v>
      </c>
      <c r="G65" s="54"/>
      <c r="H65" s="54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3015</v>
      </c>
      <c r="M65" s="42">
        <v>0.77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7" t="str">
        <f>IF(Table1[[#This Row],[Auto Order]]=1,IF(Table1[[#This Row],[In stock]]&lt;Table1[[#This Row],[Min in stock]],1,""),"")</f>
        <v/>
      </c>
    </row>
    <row r="66" spans="1:29" hidden="1" x14ac:dyDescent="0.25">
      <c r="A66" s="58" t="s">
        <v>3019</v>
      </c>
      <c r="B66" s="34" t="s">
        <v>2958</v>
      </c>
      <c r="C66" s="34" t="s">
        <v>352</v>
      </c>
      <c r="D66" s="34" t="s">
        <v>3020</v>
      </c>
      <c r="E66" s="34" t="s">
        <v>2955</v>
      </c>
      <c r="F66" s="54">
        <v>0</v>
      </c>
      <c r="G66" s="54"/>
      <c r="H66" s="54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3018</v>
      </c>
      <c r="M66" s="42">
        <v>0.78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7" t="str">
        <f>IF(Table1[[#This Row],[Auto Order]]=1,IF(Table1[[#This Row],[In stock]]&lt;Table1[[#This Row],[Min in stock]],1,""),"")</f>
        <v/>
      </c>
    </row>
    <row r="67" spans="1:29" hidden="1" x14ac:dyDescent="0.25">
      <c r="A67" s="58" t="s">
        <v>3022</v>
      </c>
      <c r="B67" s="34" t="s">
        <v>2958</v>
      </c>
      <c r="C67" s="34" t="s">
        <v>352</v>
      </c>
      <c r="D67" s="34" t="s">
        <v>3023</v>
      </c>
      <c r="E67" s="34" t="s">
        <v>2955</v>
      </c>
      <c r="F67" s="54">
        <v>0</v>
      </c>
      <c r="G67" s="54"/>
      <c r="H67" s="54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3021</v>
      </c>
      <c r="M67" s="42">
        <v>0.81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7" t="str">
        <f>IF(Table1[[#This Row],[Auto Order]]=1,IF(Table1[[#This Row],[In stock]]&lt;Table1[[#This Row],[Min in stock]],1,""),"")</f>
        <v/>
      </c>
    </row>
    <row r="68" spans="1:29" hidden="1" x14ac:dyDescent="0.25">
      <c r="A68" s="58" t="s">
        <v>3025</v>
      </c>
      <c r="B68" s="34" t="s">
        <v>2958</v>
      </c>
      <c r="C68" s="34" t="s">
        <v>352</v>
      </c>
      <c r="D68" s="34" t="s">
        <v>3026</v>
      </c>
      <c r="E68" s="34" t="s">
        <v>2955</v>
      </c>
      <c r="F68" s="54">
        <v>0</v>
      </c>
      <c r="G68" s="54"/>
      <c r="H68" s="54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3024</v>
      </c>
      <c r="M68" s="42">
        <v>0.69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7" t="str">
        <f>IF(Table1[[#This Row],[Auto Order]]=1,IF(Table1[[#This Row],[In stock]]&lt;Table1[[#This Row],[Min in stock]],1,""),"")</f>
        <v/>
      </c>
    </row>
    <row r="69" spans="1:29" hidden="1" x14ac:dyDescent="0.25">
      <c r="A69" s="58" t="s">
        <v>3028</v>
      </c>
      <c r="B69" s="34" t="s">
        <v>2958</v>
      </c>
      <c r="C69" s="34" t="s">
        <v>352</v>
      </c>
      <c r="D69" s="34" t="s">
        <v>3029</v>
      </c>
      <c r="E69" s="34" t="s">
        <v>2955</v>
      </c>
      <c r="F69" s="54">
        <v>0</v>
      </c>
      <c r="G69" s="54"/>
      <c r="H69" s="54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3027</v>
      </c>
      <c r="M69" s="42">
        <v>0.74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7" t="str">
        <f>IF(Table1[[#This Row],[Auto Order]]=1,IF(Table1[[#This Row],[In stock]]&lt;Table1[[#This Row],[Min in stock]],1,""),"")</f>
        <v/>
      </c>
    </row>
    <row r="70" spans="1:29" hidden="1" x14ac:dyDescent="0.25">
      <c r="A70" s="58" t="s">
        <v>3031</v>
      </c>
      <c r="B70" s="34" t="s">
        <v>2958</v>
      </c>
      <c r="C70" s="34" t="s">
        <v>352</v>
      </c>
      <c r="D70" s="34" t="s">
        <v>3032</v>
      </c>
      <c r="E70" s="34" t="s">
        <v>2955</v>
      </c>
      <c r="F70" s="54">
        <v>0</v>
      </c>
      <c r="G70" s="54"/>
      <c r="H70" s="54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3030</v>
      </c>
      <c r="M70" s="42">
        <v>0.82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7" t="str">
        <f>IF(Table1[[#This Row],[Auto Order]]=1,IF(Table1[[#This Row],[In stock]]&lt;Table1[[#This Row],[Min in stock]],1,""),"")</f>
        <v/>
      </c>
    </row>
    <row r="71" spans="1:29" hidden="1" x14ac:dyDescent="0.25">
      <c r="A71" s="58" t="s">
        <v>3007</v>
      </c>
      <c r="B71" s="34" t="s">
        <v>2958</v>
      </c>
      <c r="C71" s="34" t="s">
        <v>352</v>
      </c>
      <c r="D71" s="34" t="s">
        <v>3008</v>
      </c>
      <c r="E71" s="34" t="s">
        <v>2955</v>
      </c>
      <c r="F71" s="54">
        <v>0</v>
      </c>
      <c r="G71" s="54">
        <v>2</v>
      </c>
      <c r="H71" s="54"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3006</v>
      </c>
      <c r="M71" s="42">
        <v>0.67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7">
        <f>IF(Table1[[#This Row],[Auto Order]]=1,IF(Table1[[#This Row],[In stock]]&lt;Table1[[#This Row],[Min in stock]],1,""),"")</f>
        <v>1</v>
      </c>
    </row>
    <row r="72" spans="1:29" hidden="1" x14ac:dyDescent="0.25">
      <c r="A72" s="34" t="s">
        <v>97</v>
      </c>
      <c r="B72" s="34" t="s">
        <v>45</v>
      </c>
      <c r="C72" s="34"/>
      <c r="D72" s="34" t="s">
        <v>98</v>
      </c>
      <c r="E72" s="34" t="s">
        <v>551</v>
      </c>
      <c r="F72" s="54">
        <v>100</v>
      </c>
      <c r="G72" s="54">
        <f>10</f>
        <v>10</v>
      </c>
      <c r="H72" s="54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2" s="34"/>
      <c r="M72" s="42"/>
      <c r="N72" s="34" t="s">
        <v>159</v>
      </c>
      <c r="O72" s="42">
        <v>5.8900000000000001E-2</v>
      </c>
      <c r="P72" s="34"/>
      <c r="Q72" s="42"/>
      <c r="R72" s="34"/>
      <c r="S72" s="42"/>
      <c r="T72" s="34"/>
      <c r="U72" s="42"/>
      <c r="V72" s="34"/>
      <c r="W72" s="42"/>
      <c r="X72" s="34"/>
      <c r="Y72" s="42">
        <v>5.8900000000000001E-2</v>
      </c>
      <c r="Z72" s="42"/>
      <c r="AA72" s="36"/>
      <c r="AB72" s="50"/>
      <c r="AC72" s="35" t="str">
        <f>IF(Table1[[#This Row],[Auto Order]]=1,IF(Table1[[#This Row],[In stock]]&lt;Table1[[#This Row],[Min in stock]],1,""),"")</f>
        <v/>
      </c>
    </row>
    <row r="73" spans="1:29" hidden="1" x14ac:dyDescent="0.25">
      <c r="A73" s="34" t="s">
        <v>129</v>
      </c>
      <c r="B73" s="34" t="s">
        <v>127</v>
      </c>
      <c r="C73" s="34" t="s">
        <v>388</v>
      </c>
      <c r="D73" s="34" t="s">
        <v>131</v>
      </c>
      <c r="E73" s="34" t="s">
        <v>571</v>
      </c>
      <c r="F73" s="54">
        <v>10</v>
      </c>
      <c r="G73" s="54">
        <v>1</v>
      </c>
      <c r="H73" s="54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3" s="34"/>
      <c r="M73" s="42"/>
      <c r="N73" s="34" t="s">
        <v>130</v>
      </c>
      <c r="O73" s="42">
        <v>0.54600000000000004</v>
      </c>
      <c r="P73" s="34"/>
      <c r="Q73" s="42"/>
      <c r="R73" s="34"/>
      <c r="S73" s="42"/>
      <c r="T73" s="34"/>
      <c r="U73" s="42"/>
      <c r="V73" s="34"/>
      <c r="W73" s="42"/>
      <c r="X73" s="34"/>
      <c r="Y73" s="42">
        <v>0.54600000000000004</v>
      </c>
      <c r="Z73" s="42"/>
      <c r="AA73" s="36"/>
      <c r="AB73" s="50"/>
      <c r="AC73" s="35" t="str">
        <f>IF(Table1[[#This Row],[Auto Order]]=1,IF(Table1[[#This Row],[In stock]]&lt;Table1[[#This Row],[Min in stock]],1,""),"")</f>
        <v/>
      </c>
    </row>
    <row r="74" spans="1:29" hidden="1" x14ac:dyDescent="0.25">
      <c r="A74" s="34" t="s">
        <v>126</v>
      </c>
      <c r="B74" s="34" t="s">
        <v>127</v>
      </c>
      <c r="C74" s="34"/>
      <c r="D74" s="34" t="s">
        <v>125</v>
      </c>
      <c r="E74" s="34" t="s">
        <v>571</v>
      </c>
      <c r="F74" s="54">
        <v>5</v>
      </c>
      <c r="G74" s="54"/>
      <c r="H74" s="54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4" s="34"/>
      <c r="M74" s="42"/>
      <c r="N74" s="34" t="s">
        <v>128</v>
      </c>
      <c r="O74" s="42">
        <v>0.68600000000000005</v>
      </c>
      <c r="P74" s="34"/>
      <c r="Q74" s="42"/>
      <c r="R74" s="34"/>
      <c r="S74" s="42"/>
      <c r="T74" s="34"/>
      <c r="U74" s="42"/>
      <c r="V74" s="34"/>
      <c r="W74" s="42"/>
      <c r="X74" s="34"/>
      <c r="Y74" s="42">
        <v>0.68600000000000005</v>
      </c>
      <c r="Z74" s="42"/>
      <c r="AA74" s="36"/>
      <c r="AB74" s="50"/>
      <c r="AC74" s="35" t="str">
        <f>IF(Table1[[#This Row],[Auto Order]]=1,IF(Table1[[#This Row],[In stock]]&lt;Table1[[#This Row],[Min in stock]],1,""),"")</f>
        <v/>
      </c>
    </row>
    <row r="75" spans="1:29" hidden="1" x14ac:dyDescent="0.25">
      <c r="A75" s="34" t="s">
        <v>197</v>
      </c>
      <c r="B75" s="34" t="s">
        <v>177</v>
      </c>
      <c r="C75" s="34"/>
      <c r="D75" s="34" t="s">
        <v>198</v>
      </c>
      <c r="E75" s="34" t="s">
        <v>569</v>
      </c>
      <c r="F75" s="54">
        <v>1</v>
      </c>
      <c r="G75" s="54">
        <v>1</v>
      </c>
      <c r="H75" s="54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196</v>
      </c>
      <c r="M75" s="42">
        <v>15.95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35" t="str">
        <f>IF(Table1[[#This Row],[Auto Order]]=1,IF(Table1[[#This Row],[In stock]]&lt;Table1[[#This Row],[Min in stock]],1,""),"")</f>
        <v/>
      </c>
    </row>
    <row r="76" spans="1:29" hidden="1" x14ac:dyDescent="0.25">
      <c r="A76" s="53" t="s">
        <v>516</v>
      </c>
      <c r="B76" s="34" t="s">
        <v>517</v>
      </c>
      <c r="C76" s="34"/>
      <c r="D76" s="34" t="s">
        <v>519</v>
      </c>
      <c r="E76" s="34" t="s">
        <v>542</v>
      </c>
      <c r="F76" s="54">
        <v>0</v>
      </c>
      <c r="G76" s="54">
        <v>5</v>
      </c>
      <c r="H76" s="54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518</v>
      </c>
      <c r="M76" s="42">
        <v>0.34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35">
        <f>IF(Table1[[#This Row],[Auto Order]]=1,IF(Table1[[#This Row],[In stock]]&lt;Table1[[#This Row],[Min in stock]],1,""),"")</f>
        <v>1</v>
      </c>
    </row>
    <row r="77" spans="1:29" hidden="1" x14ac:dyDescent="0.25">
      <c r="A77" s="34" t="s">
        <v>179</v>
      </c>
      <c r="B77" s="34" t="s">
        <v>177</v>
      </c>
      <c r="C77" s="34"/>
      <c r="D77" s="34" t="s">
        <v>180</v>
      </c>
      <c r="E77" s="34" t="s">
        <v>542</v>
      </c>
      <c r="F77" s="54">
        <v>4</v>
      </c>
      <c r="G77" s="54">
        <v>2</v>
      </c>
      <c r="H77" s="54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178</v>
      </c>
      <c r="M77" s="42">
        <v>1.82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35" t="str">
        <f>IF(Table1[[#This Row],[Auto Order]]=1,IF(Table1[[#This Row],[In stock]]&lt;Table1[[#This Row],[Min in stock]],1,""),"")</f>
        <v/>
      </c>
    </row>
    <row r="78" spans="1:29" hidden="1" x14ac:dyDescent="0.25">
      <c r="A78" s="34" t="s">
        <v>343</v>
      </c>
      <c r="B78" s="34" t="s">
        <v>344</v>
      </c>
      <c r="C78" s="34"/>
      <c r="D78" s="34" t="s">
        <v>345</v>
      </c>
      <c r="E78" s="34" t="s">
        <v>542</v>
      </c>
      <c r="F78" s="54">
        <v>0</v>
      </c>
      <c r="G78" s="54"/>
      <c r="H78" s="54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78" s="34"/>
      <c r="M78" s="42"/>
      <c r="N78" s="34"/>
      <c r="O78" s="42"/>
      <c r="P78" s="34"/>
      <c r="Q78" s="42"/>
      <c r="R78" s="34" t="s">
        <v>342</v>
      </c>
      <c r="S78" s="42">
        <v>0.31</v>
      </c>
      <c r="T78" s="34"/>
      <c r="U78" s="42"/>
      <c r="V78" s="34"/>
      <c r="W78" s="42"/>
      <c r="X78" s="34"/>
      <c r="Y78" s="42"/>
      <c r="Z78" s="42"/>
      <c r="AA78" s="36"/>
      <c r="AB78" s="50"/>
      <c r="AC78" s="35" t="str">
        <f>IF(Table1[[#This Row],[Auto Order]]=1,IF(Table1[[#This Row],[In stock]]&lt;Table1[[#This Row],[Min in stock]],1,""),"")</f>
        <v/>
      </c>
    </row>
    <row r="79" spans="1:29" hidden="1" x14ac:dyDescent="0.25">
      <c r="A79" s="34" t="s">
        <v>339</v>
      </c>
      <c r="B79" s="34" t="s">
        <v>340</v>
      </c>
      <c r="C79" s="34"/>
      <c r="D79" s="34" t="s">
        <v>341</v>
      </c>
      <c r="E79" s="34" t="s">
        <v>542</v>
      </c>
      <c r="F79" s="54">
        <v>0</v>
      </c>
      <c r="G79" s="54">
        <v>1</v>
      </c>
      <c r="H79" s="54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79" s="34"/>
      <c r="M79" s="42"/>
      <c r="N79" s="34"/>
      <c r="O79" s="42"/>
      <c r="P79" s="34" t="s">
        <v>338</v>
      </c>
      <c r="Q79" s="42">
        <v>5.4</v>
      </c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35">
        <f>IF(Table1[[#This Row],[Auto Order]]=1,IF(Table1[[#This Row],[In stock]]&lt;Table1[[#This Row],[Min in stock]],1,""),"")</f>
        <v>1</v>
      </c>
    </row>
    <row r="80" spans="1:29" hidden="1" x14ac:dyDescent="0.25">
      <c r="A80" s="34" t="s">
        <v>488</v>
      </c>
      <c r="B80" s="34" t="s">
        <v>288</v>
      </c>
      <c r="C80" s="34"/>
      <c r="D80" s="34" t="s">
        <v>289</v>
      </c>
      <c r="E80" s="34" t="s">
        <v>542</v>
      </c>
      <c r="F80" s="54">
        <v>0</v>
      </c>
      <c r="G80" s="54"/>
      <c r="H80" s="54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287</v>
      </c>
      <c r="M80" s="42">
        <v>0.62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35" t="str">
        <f>IF(Table1[[#This Row],[Auto Order]]=1,IF(Table1[[#This Row],[In stock]]&lt;Table1[[#This Row],[Min in stock]],1,""),"")</f>
        <v/>
      </c>
    </row>
    <row r="81" spans="1:29" hidden="1" x14ac:dyDescent="0.25">
      <c r="A81" s="34" t="s">
        <v>290</v>
      </c>
      <c r="B81" s="34" t="s">
        <v>288</v>
      </c>
      <c r="C81" s="34"/>
      <c r="D81" s="34" t="s">
        <v>291</v>
      </c>
      <c r="E81" s="34" t="s">
        <v>542</v>
      </c>
      <c r="F81" s="54">
        <v>0</v>
      </c>
      <c r="G81" s="54"/>
      <c r="H81" s="54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452</v>
      </c>
      <c r="M81" s="42">
        <v>0.97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35" t="str">
        <f>IF(Table1[[#This Row],[Auto Order]]=1,IF(Table1[[#This Row],[In stock]]&lt;Table1[[#This Row],[Min in stock]],1,""),"")</f>
        <v/>
      </c>
    </row>
    <row r="82" spans="1:29" hidden="1" x14ac:dyDescent="0.25">
      <c r="A82" s="34" t="s">
        <v>16</v>
      </c>
      <c r="B82" s="34" t="s">
        <v>33</v>
      </c>
      <c r="C82" s="34"/>
      <c r="D82" s="34" t="s">
        <v>15</v>
      </c>
      <c r="E82" s="34" t="s">
        <v>542</v>
      </c>
      <c r="F82" s="54">
        <v>14</v>
      </c>
      <c r="G82" s="54">
        <v>2</v>
      </c>
      <c r="H82" s="54">
        <f>1</f>
        <v>1</v>
      </c>
      <c r="I8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2" s="34"/>
      <c r="M82" s="42"/>
      <c r="N82" s="34">
        <v>2461217</v>
      </c>
      <c r="O82" s="42">
        <v>0.20200000000000001</v>
      </c>
      <c r="P82" s="34"/>
      <c r="Q82" s="42"/>
      <c r="R82" s="34"/>
      <c r="S82" s="42"/>
      <c r="T82" s="34"/>
      <c r="U82" s="42"/>
      <c r="V82" s="34"/>
      <c r="W82" s="42"/>
      <c r="X82" s="34"/>
      <c r="Y82" s="42">
        <v>0.20200000000000001</v>
      </c>
      <c r="Z82" s="42"/>
      <c r="AA82" s="36"/>
      <c r="AB82" s="50"/>
      <c r="AC82" s="35" t="str">
        <f>IF(Table1[[#This Row],[Auto Order]]=1,IF(Table1[[#This Row],[In stock]]&lt;Table1[[#This Row],[Min in stock]],1,""),"")</f>
        <v/>
      </c>
    </row>
    <row r="83" spans="1:29" hidden="1" x14ac:dyDescent="0.25">
      <c r="A83" s="34" t="s">
        <v>272</v>
      </c>
      <c r="B83" s="34" t="s">
        <v>273</v>
      </c>
      <c r="C83" s="34"/>
      <c r="D83" s="34" t="s">
        <v>274</v>
      </c>
      <c r="E83" s="34" t="s">
        <v>563</v>
      </c>
      <c r="F83" s="54">
        <v>5</v>
      </c>
      <c r="G83" s="54"/>
      <c r="H83" s="54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463</v>
      </c>
      <c r="M83" s="42">
        <v>1.34</v>
      </c>
      <c r="N83" s="34"/>
      <c r="O83" s="42"/>
      <c r="P83" s="34" t="s">
        <v>271</v>
      </c>
      <c r="Q83" s="42">
        <v>1.04</v>
      </c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35" t="str">
        <f>IF(Table1[[#This Row],[Auto Order]]=1,IF(Table1[[#This Row],[In stock]]&lt;Table1[[#This Row],[Min in stock]],1,""),"")</f>
        <v/>
      </c>
    </row>
    <row r="84" spans="1:29" hidden="1" x14ac:dyDescent="0.25">
      <c r="A84" s="34" t="s">
        <v>24</v>
      </c>
      <c r="B84" s="34" t="s">
        <v>94</v>
      </c>
      <c r="C84" s="34" t="s">
        <v>400</v>
      </c>
      <c r="D84" s="34" t="s">
        <v>23</v>
      </c>
      <c r="E84" s="34" t="s">
        <v>563</v>
      </c>
      <c r="F84" s="54">
        <v>4</v>
      </c>
      <c r="G84" s="54">
        <v>2</v>
      </c>
      <c r="H84" s="54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475</v>
      </c>
      <c r="M84" s="42">
        <v>0.52</v>
      </c>
      <c r="N84" s="34" t="s">
        <v>399</v>
      </c>
      <c r="O84" s="42">
        <v>0.51600000000000001</v>
      </c>
      <c r="P84" s="34"/>
      <c r="Q84" s="42"/>
      <c r="R84" s="34"/>
      <c r="S84" s="42"/>
      <c r="T84" s="34"/>
      <c r="U84" s="42"/>
      <c r="V84" s="34"/>
      <c r="W84" s="42"/>
      <c r="X84" s="34"/>
      <c r="Y84" s="42">
        <v>0.51600000000000001</v>
      </c>
      <c r="Z84" s="42"/>
      <c r="AA84" s="36"/>
      <c r="AB84" s="50"/>
      <c r="AC84" s="35" t="str">
        <f>IF(Table1[[#This Row],[Auto Order]]=1,IF(Table1[[#This Row],[In stock]]&lt;Table1[[#This Row],[Min in stock]],1,""),"")</f>
        <v/>
      </c>
    </row>
    <row r="85" spans="1:29" hidden="1" x14ac:dyDescent="0.25">
      <c r="A85" s="34" t="s">
        <v>216</v>
      </c>
      <c r="B85" s="34" t="s">
        <v>219</v>
      </c>
      <c r="C85" s="34" t="s">
        <v>410</v>
      </c>
      <c r="D85" s="34" t="s">
        <v>217</v>
      </c>
      <c r="E85" s="34" t="s">
        <v>563</v>
      </c>
      <c r="F85" s="54">
        <v>4</v>
      </c>
      <c r="G85" s="54"/>
      <c r="H85" s="54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218</v>
      </c>
      <c r="M85" s="42">
        <v>2.64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35" t="str">
        <f>IF(Table1[[#This Row],[Auto Order]]=1,IF(Table1[[#This Row],[In stock]]&lt;Table1[[#This Row],[Min in stock]],1,""),"")</f>
        <v/>
      </c>
    </row>
    <row r="86" spans="1:29" hidden="1" x14ac:dyDescent="0.25">
      <c r="A86" s="34" t="s">
        <v>22</v>
      </c>
      <c r="B86" s="34" t="s">
        <v>94</v>
      </c>
      <c r="C86" s="34" t="s">
        <v>402</v>
      </c>
      <c r="D86" s="34" t="s">
        <v>21</v>
      </c>
      <c r="E86" s="34" t="s">
        <v>563</v>
      </c>
      <c r="F86" s="54">
        <v>9</v>
      </c>
      <c r="G86" s="54">
        <v>2</v>
      </c>
      <c r="H86" s="54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6" s="34"/>
      <c r="M86" s="42"/>
      <c r="N86" s="34" t="s">
        <v>401</v>
      </c>
      <c r="O86" s="42">
        <v>0.57499999999999996</v>
      </c>
      <c r="P86" s="34"/>
      <c r="Q86" s="42"/>
      <c r="R86" s="34"/>
      <c r="S86" s="42"/>
      <c r="T86" s="34"/>
      <c r="U86" s="42"/>
      <c r="V86" s="34"/>
      <c r="W86" s="42"/>
      <c r="X86" s="34"/>
      <c r="Y86" s="42">
        <v>0.57499999999999996</v>
      </c>
      <c r="Z86" s="42"/>
      <c r="AA86" s="36"/>
      <c r="AB86" s="50"/>
      <c r="AC86" s="35" t="str">
        <f>IF(Table1[[#This Row],[Auto Order]]=1,IF(Table1[[#This Row],[In stock]]&lt;Table1[[#This Row],[Min in stock]],1,""),"")</f>
        <v/>
      </c>
    </row>
    <row r="87" spans="1:29" hidden="1" x14ac:dyDescent="0.25">
      <c r="A87" s="34" t="s">
        <v>486</v>
      </c>
      <c r="B87" s="34" t="s">
        <v>258</v>
      </c>
      <c r="C87" s="34"/>
      <c r="D87" s="34" t="s">
        <v>266</v>
      </c>
      <c r="E87" s="34" t="s">
        <v>558</v>
      </c>
      <c r="F87" s="54">
        <v>1</v>
      </c>
      <c r="G87" s="54"/>
      <c r="H87" s="54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265</v>
      </c>
      <c r="M87" s="42">
        <v>0.72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35" t="str">
        <f>IF(Table1[[#This Row],[Auto Order]]=1,IF(Table1[[#This Row],[In stock]]&lt;Table1[[#This Row],[Min in stock]],1,""),"")</f>
        <v/>
      </c>
    </row>
    <row r="88" spans="1:29" hidden="1" x14ac:dyDescent="0.25">
      <c r="A88" s="34" t="s">
        <v>485</v>
      </c>
      <c r="B88" s="34" t="s">
        <v>258</v>
      </c>
      <c r="C88" s="34"/>
      <c r="D88" s="34" t="s">
        <v>264</v>
      </c>
      <c r="E88" s="34" t="s">
        <v>558</v>
      </c>
      <c r="F88" s="54">
        <v>1</v>
      </c>
      <c r="G88" s="54"/>
      <c r="H88" s="54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263</v>
      </c>
      <c r="M88" s="42">
        <v>0.93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35" t="str">
        <f>IF(Table1[[#This Row],[Auto Order]]=1,IF(Table1[[#This Row],[In stock]]&lt;Table1[[#This Row],[Min in stock]],1,""),"")</f>
        <v/>
      </c>
    </row>
    <row r="89" spans="1:29" hidden="1" x14ac:dyDescent="0.25">
      <c r="A89" s="34" t="s">
        <v>90</v>
      </c>
      <c r="B89" s="34" t="s">
        <v>91</v>
      </c>
      <c r="C89" s="34"/>
      <c r="D89" s="34" t="s">
        <v>96</v>
      </c>
      <c r="E89" s="34" t="s">
        <v>554</v>
      </c>
      <c r="F89" s="54">
        <v>0</v>
      </c>
      <c r="G89" s="54"/>
      <c r="H89" s="54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472</v>
      </c>
      <c r="M89" s="42">
        <v>1.38</v>
      </c>
      <c r="N89" s="34" t="s">
        <v>89</v>
      </c>
      <c r="O89" s="42">
        <v>0.32600000000000001</v>
      </c>
      <c r="P89" s="34"/>
      <c r="Q89" s="42"/>
      <c r="R89" s="34"/>
      <c r="S89" s="42"/>
      <c r="T89" s="34"/>
      <c r="U89" s="42"/>
      <c r="V89" s="34"/>
      <c r="W89" s="42"/>
      <c r="X89" s="34"/>
      <c r="Y89" s="42">
        <v>0.32600000000000001</v>
      </c>
      <c r="Z89" s="42"/>
      <c r="AA89" s="36"/>
      <c r="AB89" s="50"/>
      <c r="AC89" s="35" t="str">
        <f>IF(Table1[[#This Row],[Auto Order]]=1,IF(Table1[[#This Row],[In stock]]&lt;Table1[[#This Row],[Min in stock]],1,""),"")</f>
        <v/>
      </c>
    </row>
    <row r="90" spans="1:29" hidden="1" x14ac:dyDescent="0.25">
      <c r="A90" s="34" t="s">
        <v>118</v>
      </c>
      <c r="B90" s="34" t="s">
        <v>91</v>
      </c>
      <c r="C90" s="34"/>
      <c r="D90" s="34" t="s">
        <v>28</v>
      </c>
      <c r="E90" s="34" t="s">
        <v>554</v>
      </c>
      <c r="F90" s="54">
        <v>100</v>
      </c>
      <c r="G90" s="54"/>
      <c r="H90" s="54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468</v>
      </c>
      <c r="M90" s="42">
        <v>0.26</v>
      </c>
      <c r="N90" s="34" t="s">
        <v>164</v>
      </c>
      <c r="O90" s="42">
        <v>0.112</v>
      </c>
      <c r="P90" s="34"/>
      <c r="Q90" s="42"/>
      <c r="R90" s="34"/>
      <c r="S90" s="42"/>
      <c r="T90" s="34"/>
      <c r="U90" s="42"/>
      <c r="V90" s="34"/>
      <c r="W90" s="42"/>
      <c r="X90" s="34"/>
      <c r="Y90" s="42">
        <v>0.112</v>
      </c>
      <c r="Z90" s="42"/>
      <c r="AA90" s="36"/>
      <c r="AB90" s="50"/>
      <c r="AC90" s="35" t="str">
        <f>IF(Table1[[#This Row],[Auto Order]]=1,IF(Table1[[#This Row],[In stock]]&lt;Table1[[#This Row],[Min in stock]],1,""),"")</f>
        <v/>
      </c>
    </row>
    <row r="91" spans="1:29" hidden="1" x14ac:dyDescent="0.25">
      <c r="A91" s="34" t="s">
        <v>191</v>
      </c>
      <c r="B91" s="34" t="s">
        <v>177</v>
      </c>
      <c r="C91" s="34"/>
      <c r="D91" s="34" t="s">
        <v>192</v>
      </c>
      <c r="E91" s="34" t="s">
        <v>564</v>
      </c>
      <c r="F91" s="54">
        <v>1</v>
      </c>
      <c r="G91" s="54"/>
      <c r="H91" s="54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190</v>
      </c>
      <c r="M91" s="42">
        <v>1.82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35" t="str">
        <f>IF(Table1[[#This Row],[Auto Order]]=1,IF(Table1[[#This Row],[In stock]]&lt;Table1[[#This Row],[Min in stock]],1,""),"")</f>
        <v/>
      </c>
    </row>
    <row r="92" spans="1:29" hidden="1" x14ac:dyDescent="0.25">
      <c r="A92" s="34" t="s">
        <v>221</v>
      </c>
      <c r="B92" s="34" t="s">
        <v>80</v>
      </c>
      <c r="C92" s="34" t="s">
        <v>406</v>
      </c>
      <c r="D92" s="34" t="s">
        <v>222</v>
      </c>
      <c r="E92" s="34" t="s">
        <v>564</v>
      </c>
      <c r="F92" s="54">
        <v>24</v>
      </c>
      <c r="G92" s="54"/>
      <c r="H92" s="54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223</v>
      </c>
      <c r="M92" s="42">
        <v>0.11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35" t="str">
        <f>IF(Table1[[#This Row],[Auto Order]]=1,IF(Table1[[#This Row],[In stock]]&lt;Table1[[#This Row],[Min in stock]],1,""),"")</f>
        <v/>
      </c>
    </row>
    <row r="93" spans="1:29" hidden="1" x14ac:dyDescent="0.25">
      <c r="A93" s="34" t="s">
        <v>27</v>
      </c>
      <c r="B93" s="34" t="s">
        <v>45</v>
      </c>
      <c r="C93" s="34" t="s">
        <v>404</v>
      </c>
      <c r="D93" s="34" t="s">
        <v>25</v>
      </c>
      <c r="E93" s="34" t="s">
        <v>564</v>
      </c>
      <c r="F93" s="54">
        <v>9</v>
      </c>
      <c r="G93" s="54">
        <v>20</v>
      </c>
      <c r="H93" s="54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476</v>
      </c>
      <c r="M93" s="42">
        <v>0.35</v>
      </c>
      <c r="N93" s="34" t="s">
        <v>403</v>
      </c>
      <c r="O93" s="42">
        <v>0.26500000000000001</v>
      </c>
      <c r="P93" s="34"/>
      <c r="Q93" s="42"/>
      <c r="R93" s="34"/>
      <c r="S93" s="42"/>
      <c r="T93" s="34"/>
      <c r="U93" s="42"/>
      <c r="V93" s="34"/>
      <c r="W93" s="42"/>
      <c r="X93" s="34"/>
      <c r="Y93" s="42">
        <v>0.26500000000000001</v>
      </c>
      <c r="Z93" s="42"/>
      <c r="AA93" s="36"/>
      <c r="AB93" s="50"/>
      <c r="AC93" s="35">
        <f>IF(Table1[[#This Row],[Auto Order]]=1,IF(Table1[[#This Row],[In stock]]&lt;Table1[[#This Row],[Min in stock]],1,""),"")</f>
        <v>1</v>
      </c>
    </row>
    <row r="94" spans="1:29" hidden="1" x14ac:dyDescent="0.25">
      <c r="A94" s="34" t="s">
        <v>141</v>
      </c>
      <c r="B94" s="34" t="s">
        <v>160</v>
      </c>
      <c r="C94" s="34"/>
      <c r="D94" s="34" t="s">
        <v>142</v>
      </c>
      <c r="E94" s="34" t="s">
        <v>550</v>
      </c>
      <c r="F94" s="54">
        <v>5</v>
      </c>
      <c r="G94" s="54"/>
      <c r="H94" s="54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140</v>
      </c>
      <c r="M94" s="42">
        <v>0.45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35" t="str">
        <f>IF(Table1[[#This Row],[Auto Order]]=1,IF(Table1[[#This Row],[In stock]]&lt;Table1[[#This Row],[Min in stock]],1,""),"")</f>
        <v/>
      </c>
    </row>
    <row r="95" spans="1:29" hidden="1" x14ac:dyDescent="0.25">
      <c r="A95" s="34" t="s">
        <v>229</v>
      </c>
      <c r="B95" s="34" t="s">
        <v>160</v>
      </c>
      <c r="C95" s="34" t="s">
        <v>415</v>
      </c>
      <c r="D95" s="34" t="s">
        <v>230</v>
      </c>
      <c r="E95" s="34" t="s">
        <v>550</v>
      </c>
      <c r="F95" s="54">
        <v>9</v>
      </c>
      <c r="G95" s="54">
        <f>10</f>
        <v>10</v>
      </c>
      <c r="H95" s="54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228</v>
      </c>
      <c r="M95" s="42">
        <v>0.14000000000000001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35">
        <f>IF(Table1[[#This Row],[Auto Order]]=1,IF(Table1[[#This Row],[In stock]]&lt;Table1[[#This Row],[Min in stock]],1,""),"")</f>
        <v>1</v>
      </c>
    </row>
    <row r="96" spans="1:29" hidden="1" x14ac:dyDescent="0.25">
      <c r="A96" s="34" t="s">
        <v>194</v>
      </c>
      <c r="B96" s="34" t="s">
        <v>177</v>
      </c>
      <c r="C96" s="34"/>
      <c r="D96" s="34" t="s">
        <v>195</v>
      </c>
      <c r="E96" s="34" t="s">
        <v>550</v>
      </c>
      <c r="F96" s="54">
        <v>2</v>
      </c>
      <c r="G96" s="54"/>
      <c r="H96" s="54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193</v>
      </c>
      <c r="M96" s="42">
        <v>2.64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35" t="str">
        <f>IF(Table1[[#This Row],[Auto Order]]=1,IF(Table1[[#This Row],[In stock]]&lt;Table1[[#This Row],[Min in stock]],1,""),"")</f>
        <v/>
      </c>
    </row>
    <row r="97" spans="1:29" hidden="1" x14ac:dyDescent="0.25">
      <c r="A97" s="34" t="s">
        <v>34</v>
      </c>
      <c r="B97" s="34" t="s">
        <v>33</v>
      </c>
      <c r="C97" s="34"/>
      <c r="D97" s="34" t="s">
        <v>32</v>
      </c>
      <c r="E97" s="34" t="s">
        <v>550</v>
      </c>
      <c r="F97" s="54">
        <v>4</v>
      </c>
      <c r="G97" s="54">
        <v>2</v>
      </c>
      <c r="H97" s="54">
        <f>1</f>
        <v>1</v>
      </c>
      <c r="I9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7" s="34"/>
      <c r="M97" s="42"/>
      <c r="N97" s="34">
        <v>2112100</v>
      </c>
      <c r="O97" s="42">
        <v>0.28999999999999998</v>
      </c>
      <c r="P97" s="34"/>
      <c r="Q97" s="42"/>
      <c r="R97" s="34"/>
      <c r="S97" s="42"/>
      <c r="T97" s="34"/>
      <c r="U97" s="42"/>
      <c r="V97" s="34"/>
      <c r="W97" s="42"/>
      <c r="X97" s="34"/>
      <c r="Y97" s="42">
        <v>0.28999999999999998</v>
      </c>
      <c r="Z97" s="42"/>
      <c r="AA97" s="36"/>
      <c r="AB97" s="50"/>
      <c r="AC97" s="35" t="str">
        <f>IF(Table1[[#This Row],[Auto Order]]=1,IF(Table1[[#This Row],[In stock]]&lt;Table1[[#This Row],[Min in stock]],1,""),"")</f>
        <v/>
      </c>
    </row>
    <row r="98" spans="1:29" hidden="1" x14ac:dyDescent="0.25">
      <c r="A98" s="34" t="s">
        <v>144</v>
      </c>
      <c r="B98" s="34" t="s">
        <v>161</v>
      </c>
      <c r="C98" s="34"/>
      <c r="D98" s="34" t="s">
        <v>145</v>
      </c>
      <c r="E98" s="34" t="s">
        <v>550</v>
      </c>
      <c r="F98" s="54">
        <v>2</v>
      </c>
      <c r="G98" s="54"/>
      <c r="H98" s="54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143</v>
      </c>
      <c r="M98" s="42">
        <v>2.52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35" t="str">
        <f>IF(Table1[[#This Row],[Auto Order]]=1,IF(Table1[[#This Row],[In stock]]&lt;Table1[[#This Row],[Min in stock]],1,""),"")</f>
        <v/>
      </c>
    </row>
    <row r="99" spans="1:29" hidden="1" x14ac:dyDescent="0.25">
      <c r="A99" s="34" t="s">
        <v>231</v>
      </c>
      <c r="B99" s="34" t="s">
        <v>161</v>
      </c>
      <c r="C99" s="34" t="s">
        <v>414</v>
      </c>
      <c r="D99" s="34" t="s">
        <v>232</v>
      </c>
      <c r="E99" s="34" t="s">
        <v>550</v>
      </c>
      <c r="F99" s="54">
        <v>9</v>
      </c>
      <c r="G99" s="54">
        <v>10</v>
      </c>
      <c r="H99" s="54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3083</v>
      </c>
      <c r="M99" s="42">
        <v>0.52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35">
        <f>IF(Table1[[#This Row],[Auto Order]]=1,IF(Table1[[#This Row],[In stock]]&lt;Table1[[#This Row],[Min in stock]],1,""),"")</f>
        <v>1</v>
      </c>
    </row>
    <row r="100" spans="1:29" hidden="1" x14ac:dyDescent="0.25">
      <c r="A100" s="52" t="s">
        <v>136</v>
      </c>
      <c r="B100" s="34" t="s">
        <v>127</v>
      </c>
      <c r="C100" s="34" t="s">
        <v>405</v>
      </c>
      <c r="D100" s="34" t="s">
        <v>135</v>
      </c>
      <c r="E100" s="34" t="s">
        <v>570</v>
      </c>
      <c r="F100" s="54">
        <v>5</v>
      </c>
      <c r="G100" s="54"/>
      <c r="H100" s="54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0" s="34"/>
      <c r="M100" s="42"/>
      <c r="N100" s="34" t="s">
        <v>137</v>
      </c>
      <c r="O100" s="42">
        <v>0.27100000000000002</v>
      </c>
      <c r="P100" s="34"/>
      <c r="Q100" s="42"/>
      <c r="R100" s="34"/>
      <c r="S100" s="42"/>
      <c r="T100" s="34"/>
      <c r="U100" s="42"/>
      <c r="V100" s="34"/>
      <c r="W100" s="42"/>
      <c r="X100" s="34"/>
      <c r="Y100" s="42">
        <v>0.27100000000000002</v>
      </c>
      <c r="Z100" s="42"/>
      <c r="AA100" s="36"/>
      <c r="AB100" s="50"/>
      <c r="AC100" s="35" t="str">
        <f>IF(Table1[[#This Row],[Auto Order]]=1,IF(Table1[[#This Row],[In stock]]&lt;Table1[[#This Row],[Min in stock]],1,""),"")</f>
        <v/>
      </c>
    </row>
    <row r="101" spans="1:29" hidden="1" x14ac:dyDescent="0.25">
      <c r="A101" s="52" t="s">
        <v>9</v>
      </c>
      <c r="B101" s="34" t="s">
        <v>7</v>
      </c>
      <c r="C101" s="34" t="s">
        <v>397</v>
      </c>
      <c r="D101" s="34" t="s">
        <v>10</v>
      </c>
      <c r="E101" s="34" t="s">
        <v>570</v>
      </c>
      <c r="F101" s="54">
        <v>4</v>
      </c>
      <c r="G101" s="54"/>
      <c r="H101" s="54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1" s="34"/>
      <c r="M101" s="42"/>
      <c r="N101" s="34" t="s">
        <v>396</v>
      </c>
      <c r="O101" s="42">
        <v>0.33100000000000002</v>
      </c>
      <c r="P101" s="34"/>
      <c r="Q101" s="42"/>
      <c r="R101" s="34"/>
      <c r="S101" s="42"/>
      <c r="T101" s="34"/>
      <c r="U101" s="42"/>
      <c r="V101" s="34"/>
      <c r="W101" s="42"/>
      <c r="X101" s="34"/>
      <c r="Y101" s="42">
        <v>0.33100000000000002</v>
      </c>
      <c r="Z101" s="42"/>
      <c r="AA101" s="36"/>
      <c r="AB101" s="50"/>
      <c r="AC101" s="35" t="str">
        <f>IF(Table1[[#This Row],[Auto Order]]=1,IF(Table1[[#This Row],[In stock]]&lt;Table1[[#This Row],[Min in stock]],1,""),"")</f>
        <v/>
      </c>
    </row>
    <row r="102" spans="1:29" hidden="1" x14ac:dyDescent="0.25">
      <c r="A102" s="52" t="s">
        <v>153</v>
      </c>
      <c r="B102" s="34" t="s">
        <v>80</v>
      </c>
      <c r="C102" s="34"/>
      <c r="D102" s="34" t="s">
        <v>154</v>
      </c>
      <c r="E102" s="34" t="s">
        <v>567</v>
      </c>
      <c r="F102" s="54">
        <v>3</v>
      </c>
      <c r="G102" s="54"/>
      <c r="H102" s="54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152</v>
      </c>
      <c r="M102" s="42">
        <v>1.53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35" t="str">
        <f>IF(Table1[[#This Row],[Auto Order]]=1,IF(Table1[[#This Row],[In stock]]&lt;Table1[[#This Row],[Min in stock]],1,""),"")</f>
        <v/>
      </c>
    </row>
    <row r="103" spans="1:29" hidden="1" x14ac:dyDescent="0.25">
      <c r="A103" s="52" t="s">
        <v>81</v>
      </c>
      <c r="B103" s="34" t="s">
        <v>80</v>
      </c>
      <c r="C103" s="34"/>
      <c r="D103" s="34" t="s">
        <v>79</v>
      </c>
      <c r="E103" s="34" t="s">
        <v>567</v>
      </c>
      <c r="F103" s="54">
        <v>2</v>
      </c>
      <c r="G103" s="54"/>
      <c r="H103" s="54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78</v>
      </c>
      <c r="M103" s="42">
        <v>1.57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35" t="str">
        <f>IF(Table1[[#This Row],[Auto Order]]=1,IF(Table1[[#This Row],[In stock]]&lt;Table1[[#This Row],[Min in stock]],1,""),"")</f>
        <v/>
      </c>
    </row>
    <row r="104" spans="1:29" hidden="1" x14ac:dyDescent="0.25">
      <c r="A104" s="52" t="s">
        <v>147</v>
      </c>
      <c r="B104" s="34" t="s">
        <v>80</v>
      </c>
      <c r="C104" s="34" t="s">
        <v>408</v>
      </c>
      <c r="D104" s="34" t="s">
        <v>148</v>
      </c>
      <c r="E104" s="34" t="s">
        <v>567</v>
      </c>
      <c r="F104" s="54">
        <v>3</v>
      </c>
      <c r="G104" s="54">
        <v>1</v>
      </c>
      <c r="H104" s="54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146</v>
      </c>
      <c r="M104" s="42">
        <v>1.47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35" t="str">
        <f>IF(Table1[[#This Row],[Auto Order]]=1,IF(Table1[[#This Row],[In stock]]&lt;Table1[[#This Row],[Min in stock]],1,""),"")</f>
        <v/>
      </c>
    </row>
    <row r="105" spans="1:29" hidden="1" x14ac:dyDescent="0.25">
      <c r="A105" s="52" t="s">
        <v>215</v>
      </c>
      <c r="B105" s="34" t="s">
        <v>80</v>
      </c>
      <c r="C105" s="34" t="s">
        <v>409</v>
      </c>
      <c r="D105" s="34" t="s">
        <v>214</v>
      </c>
      <c r="E105" s="34" t="s">
        <v>567</v>
      </c>
      <c r="F105" s="54">
        <v>4</v>
      </c>
      <c r="G105" s="54"/>
      <c r="H105" s="54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220</v>
      </c>
      <c r="M105" s="42">
        <v>0.92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35" t="str">
        <f>IF(Table1[[#This Row],[Auto Order]]=1,IF(Table1[[#This Row],[In stock]]&lt;Table1[[#This Row],[Min in stock]],1,""),"")</f>
        <v/>
      </c>
    </row>
    <row r="106" spans="1:29" hidden="1" x14ac:dyDescent="0.25">
      <c r="A106" s="52" t="s">
        <v>150</v>
      </c>
      <c r="B106" s="34" t="s">
        <v>80</v>
      </c>
      <c r="C106" s="34" t="s">
        <v>407</v>
      </c>
      <c r="D106" s="34" t="s">
        <v>151</v>
      </c>
      <c r="E106" s="34" t="s">
        <v>567</v>
      </c>
      <c r="F106" s="54">
        <v>3</v>
      </c>
      <c r="G106" s="54"/>
      <c r="H106" s="54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149</v>
      </c>
      <c r="M106" s="42">
        <v>1.43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35" t="str">
        <f>IF(Table1[[#This Row],[Auto Order]]=1,IF(Table1[[#This Row],[In stock]]&lt;Table1[[#This Row],[Min in stock]],1,""),"")</f>
        <v/>
      </c>
    </row>
    <row r="107" spans="1:29" hidden="1" x14ac:dyDescent="0.25">
      <c r="A107" s="56" t="s">
        <v>513</v>
      </c>
      <c r="B107" s="34" t="s">
        <v>80</v>
      </c>
      <c r="C107" s="34"/>
      <c r="D107" s="34" t="s">
        <v>515</v>
      </c>
      <c r="E107" s="34" t="s">
        <v>567</v>
      </c>
      <c r="F107" s="54">
        <v>0</v>
      </c>
      <c r="G107" s="54">
        <v>1</v>
      </c>
      <c r="H107" s="54">
        <f>1</f>
        <v>1</v>
      </c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514</v>
      </c>
      <c r="M107" s="42">
        <v>1.78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35">
        <f>IF(Table1[[#This Row],[Auto Order]]=1,IF(Table1[[#This Row],[In stock]]&lt;Table1[[#This Row],[Min in stock]],1,""),"")</f>
        <v>1</v>
      </c>
    </row>
    <row r="108" spans="1:29" hidden="1" x14ac:dyDescent="0.25">
      <c r="A108" s="52">
        <v>912951</v>
      </c>
      <c r="B108" s="34" t="s">
        <v>65</v>
      </c>
      <c r="C108" s="34"/>
      <c r="D108" s="34" t="s">
        <v>85</v>
      </c>
      <c r="E108" s="34" t="s">
        <v>544</v>
      </c>
      <c r="F108" s="54">
        <v>1</v>
      </c>
      <c r="G108" s="54"/>
      <c r="H108" s="54"/>
      <c r="I10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8" s="62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8" s="34"/>
      <c r="M108" s="42"/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>
        <v>912951</v>
      </c>
      <c r="Y108" s="42">
        <v>3.43</v>
      </c>
      <c r="Z108" s="42"/>
      <c r="AA108" s="36"/>
      <c r="AB108" s="50"/>
      <c r="AC108" s="35" t="str">
        <f>IF(Table1[[#This Row],[Auto Order]]=1,IF(Table1[[#This Row],[In stock]]&lt;Table1[[#This Row],[Min in stock]],1,""),"")</f>
        <v/>
      </c>
    </row>
    <row r="109" spans="1:29" hidden="1" x14ac:dyDescent="0.25">
      <c r="A109" s="52">
        <v>1181876</v>
      </c>
      <c r="B109" s="34" t="s">
        <v>65</v>
      </c>
      <c r="C109" s="34"/>
      <c r="D109" s="34" t="s">
        <v>86</v>
      </c>
      <c r="E109" s="34" t="s">
        <v>544</v>
      </c>
      <c r="F109" s="54">
        <v>9</v>
      </c>
      <c r="G109" s="54"/>
      <c r="H109" s="54"/>
      <c r="I10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9" s="34"/>
      <c r="M109" s="42"/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>
        <v>1181876</v>
      </c>
      <c r="Y109" s="42">
        <v>3.79</v>
      </c>
      <c r="Z109" s="42"/>
      <c r="AA109" s="36"/>
      <c r="AB109" s="50"/>
      <c r="AC109" s="35" t="str">
        <f>IF(Table1[[#This Row],[Auto Order]]=1,IF(Table1[[#This Row],[In stock]]&lt;Table1[[#This Row],[Min in stock]],1,""),"")</f>
        <v/>
      </c>
    </row>
    <row r="110" spans="1:29" hidden="1" x14ac:dyDescent="0.25">
      <c r="A110" s="52" t="s">
        <v>369</v>
      </c>
      <c r="B110" s="34" t="s">
        <v>365</v>
      </c>
      <c r="C110" s="34"/>
      <c r="D110" s="34" t="s">
        <v>370</v>
      </c>
      <c r="E110" s="34" t="s">
        <v>544</v>
      </c>
      <c r="F110" s="54">
        <v>1</v>
      </c>
      <c r="G110" s="54"/>
      <c r="H110" s="54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0" s="34"/>
      <c r="M110" s="42"/>
      <c r="N110" s="34"/>
      <c r="O110" s="42"/>
      <c r="P110" s="34"/>
      <c r="Q110" s="42"/>
      <c r="R110" s="34"/>
      <c r="S110" s="42"/>
      <c r="T110" s="34"/>
      <c r="U110" s="42"/>
      <c r="V110" s="34" t="s">
        <v>369</v>
      </c>
      <c r="W110" s="42">
        <v>4.5999999999999996</v>
      </c>
      <c r="X110" s="34"/>
      <c r="Y110" s="42"/>
      <c r="Z110" s="42"/>
      <c r="AA110" s="36"/>
      <c r="AB110" s="50"/>
      <c r="AC110" s="35" t="str">
        <f>IF(Table1[[#This Row],[Auto Order]]=1,IF(Table1[[#This Row],[In stock]]&lt;Table1[[#This Row],[Min in stock]],1,""),"")</f>
        <v/>
      </c>
    </row>
    <row r="111" spans="1:29" hidden="1" x14ac:dyDescent="0.25">
      <c r="A111" s="52" t="s">
        <v>360</v>
      </c>
      <c r="B111" s="34" t="s">
        <v>361</v>
      </c>
      <c r="C111" s="34"/>
      <c r="D111" s="34" t="s">
        <v>362</v>
      </c>
      <c r="E111" s="34" t="s">
        <v>544</v>
      </c>
      <c r="F111" s="54">
        <v>1</v>
      </c>
      <c r="G111" s="54"/>
      <c r="H111" s="54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1" s="34"/>
      <c r="M111" s="42"/>
      <c r="N111" s="34"/>
      <c r="O111" s="42"/>
      <c r="P111" s="34"/>
      <c r="Q111" s="42"/>
      <c r="R111" s="34"/>
      <c r="S111" s="42"/>
      <c r="T111" s="34"/>
      <c r="U111" s="42"/>
      <c r="V111" s="34" t="s">
        <v>360</v>
      </c>
      <c r="W111" s="42">
        <v>7.46</v>
      </c>
      <c r="X111" s="34"/>
      <c r="Y111" s="42"/>
      <c r="Z111" s="42"/>
      <c r="AA111" s="36"/>
      <c r="AB111" s="50"/>
      <c r="AC111" s="35" t="str">
        <f>IF(Table1[[#This Row],[Auto Order]]=1,IF(Table1[[#This Row],[In stock]]&lt;Table1[[#This Row],[Min in stock]],1,""),"")</f>
        <v/>
      </c>
    </row>
    <row r="112" spans="1:29" hidden="1" x14ac:dyDescent="0.25">
      <c r="A112" s="52" t="s">
        <v>364</v>
      </c>
      <c r="B112" s="34" t="s">
        <v>365</v>
      </c>
      <c r="C112" s="34"/>
      <c r="D112" s="34" t="s">
        <v>366</v>
      </c>
      <c r="E112" s="34" t="s">
        <v>544</v>
      </c>
      <c r="F112" s="54">
        <v>1</v>
      </c>
      <c r="G112" s="54"/>
      <c r="H112" s="54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2" s="34"/>
      <c r="M112" s="42"/>
      <c r="N112" s="34"/>
      <c r="O112" s="42"/>
      <c r="P112" s="34"/>
      <c r="Q112" s="42"/>
      <c r="R112" s="34"/>
      <c r="S112" s="42"/>
      <c r="T112" s="34"/>
      <c r="U112" s="42"/>
      <c r="V112" s="34" t="s">
        <v>364</v>
      </c>
      <c r="W112" s="42">
        <v>1.1619999999999999</v>
      </c>
      <c r="X112" s="34"/>
      <c r="Y112" s="42"/>
      <c r="Z112" s="42"/>
      <c r="AA112" s="36"/>
      <c r="AB112" s="50"/>
      <c r="AC112" s="35" t="str">
        <f>IF(Table1[[#This Row],[Auto Order]]=1,IF(Table1[[#This Row],[In stock]]&lt;Table1[[#This Row],[Min in stock]],1,""),"")</f>
        <v/>
      </c>
    </row>
    <row r="113" spans="1:29" hidden="1" x14ac:dyDescent="0.25">
      <c r="A113" s="56" t="s">
        <v>511</v>
      </c>
      <c r="B113" s="34" t="s">
        <v>80</v>
      </c>
      <c r="C113" s="34"/>
      <c r="D113" s="34" t="s">
        <v>2952</v>
      </c>
      <c r="E113" s="34" t="s">
        <v>544</v>
      </c>
      <c r="F113" s="54">
        <v>0</v>
      </c>
      <c r="G113" s="54">
        <v>1</v>
      </c>
      <c r="H113" s="54"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512</v>
      </c>
      <c r="M113" s="42">
        <v>8.19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35">
        <f>IF(Table1[[#This Row],[Auto Order]]=1,IF(Table1[[#This Row],[In stock]]&lt;Table1[[#This Row],[Min in stock]],1,""),"")</f>
        <v>1</v>
      </c>
    </row>
    <row r="114" spans="1:29" hidden="1" x14ac:dyDescent="0.25">
      <c r="A114" s="56" t="s">
        <v>508</v>
      </c>
      <c r="B114" s="34" t="s">
        <v>80</v>
      </c>
      <c r="C114" s="34"/>
      <c r="D114" s="34" t="s">
        <v>510</v>
      </c>
      <c r="E114" s="34" t="s">
        <v>574</v>
      </c>
      <c r="F114" s="54">
        <v>0</v>
      </c>
      <c r="G114" s="54">
        <v>2</v>
      </c>
      <c r="H114" s="54">
        <f>1</f>
        <v>1</v>
      </c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509</v>
      </c>
      <c r="M114" s="42">
        <v>0.93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35">
        <f>IF(Table1[[#This Row],[Auto Order]]=1,IF(Table1[[#This Row],[In stock]]&lt;Table1[[#This Row],[Min in stock]],1,""),"")</f>
        <v>1</v>
      </c>
    </row>
    <row r="115" spans="1:29" hidden="1" x14ac:dyDescent="0.25">
      <c r="A115" s="52" t="s">
        <v>322</v>
      </c>
      <c r="B115" s="34" t="s">
        <v>253</v>
      </c>
      <c r="C115" s="34"/>
      <c r="D115" s="34" t="s">
        <v>254</v>
      </c>
      <c r="E115" s="34" t="s">
        <v>560</v>
      </c>
      <c r="F115" s="54">
        <v>9</v>
      </c>
      <c r="G115" s="54"/>
      <c r="H115" s="54"/>
      <c r="I11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5" s="34"/>
      <c r="M115" s="42"/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 t="s">
        <v>523</v>
      </c>
      <c r="AA115" s="36"/>
      <c r="AB115" s="50"/>
      <c r="AC115" s="35" t="str">
        <f>IF(Table1[[#This Row],[Auto Order]]=1,IF(Table1[[#This Row],[In stock]]&lt;Table1[[#This Row],[Min in stock]],1,""),"")</f>
        <v/>
      </c>
    </row>
    <row r="116" spans="1:29" hidden="1" x14ac:dyDescent="0.25">
      <c r="A116" s="52" t="s">
        <v>323</v>
      </c>
      <c r="B116" s="34" t="s">
        <v>253</v>
      </c>
      <c r="C116" s="34"/>
      <c r="D116" s="34" t="s">
        <v>255</v>
      </c>
      <c r="E116" s="34" t="s">
        <v>560</v>
      </c>
      <c r="F116" s="54">
        <v>10</v>
      </c>
      <c r="G116" s="54"/>
      <c r="H116" s="54"/>
      <c r="I11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6" s="34"/>
      <c r="M116" s="42"/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 t="s">
        <v>523</v>
      </c>
      <c r="AA116" s="36"/>
      <c r="AB116" s="50"/>
      <c r="AC116" s="35" t="str">
        <f>IF(Table1[[#This Row],[Auto Order]]=1,IF(Table1[[#This Row],[In stock]]&lt;Table1[[#This Row],[Min in stock]],1,""),"")</f>
        <v/>
      </c>
    </row>
    <row r="117" spans="1:29" hidden="1" x14ac:dyDescent="0.25">
      <c r="A117" s="52" t="s">
        <v>326</v>
      </c>
      <c r="B117" s="34" t="s">
        <v>253</v>
      </c>
      <c r="C117" s="34"/>
      <c r="D117" s="34" t="s">
        <v>327</v>
      </c>
      <c r="E117" s="34" t="s">
        <v>560</v>
      </c>
      <c r="F117" s="54">
        <v>10</v>
      </c>
      <c r="G117" s="54"/>
      <c r="H117" s="54"/>
      <c r="I11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7" s="34"/>
      <c r="M117" s="42"/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 t="s">
        <v>523</v>
      </c>
      <c r="AA117" s="36"/>
      <c r="AB117" s="50"/>
      <c r="AC117" s="35" t="str">
        <f>IF(Table1[[#This Row],[Auto Order]]=1,IF(Table1[[#This Row],[In stock]]&lt;Table1[[#This Row],[Min in stock]],1,""),"")</f>
        <v/>
      </c>
    </row>
    <row r="118" spans="1:29" hidden="1" x14ac:dyDescent="0.25">
      <c r="A118" s="52" t="s">
        <v>324</v>
      </c>
      <c r="B118" s="34" t="s">
        <v>253</v>
      </c>
      <c r="C118" s="34"/>
      <c r="D118" s="34" t="s">
        <v>385</v>
      </c>
      <c r="E118" s="34" t="s">
        <v>560</v>
      </c>
      <c r="F118" s="54">
        <v>9</v>
      </c>
      <c r="G118" s="54"/>
      <c r="H118" s="54"/>
      <c r="I11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8" s="34"/>
      <c r="M118" s="42"/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 t="s">
        <v>523</v>
      </c>
      <c r="AA118" s="36"/>
      <c r="AB118" s="50"/>
      <c r="AC118" s="35" t="str">
        <f>IF(Table1[[#This Row],[Auto Order]]=1,IF(Table1[[#This Row],[In stock]]&lt;Table1[[#This Row],[Min in stock]],1,""),"")</f>
        <v/>
      </c>
    </row>
    <row r="119" spans="1:29" hidden="1" x14ac:dyDescent="0.25">
      <c r="A119" s="52" t="s">
        <v>325</v>
      </c>
      <c r="B119" s="34" t="s">
        <v>253</v>
      </c>
      <c r="C119" s="34"/>
      <c r="D119" s="34" t="s">
        <v>256</v>
      </c>
      <c r="E119" s="34" t="s">
        <v>560</v>
      </c>
      <c r="F119" s="54">
        <v>9</v>
      </c>
      <c r="G119" s="54"/>
      <c r="H119" s="54"/>
      <c r="I1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9" s="34"/>
      <c r="M119" s="42"/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35" t="str">
        <f>IF(Table1[[#This Row],[Auto Order]]=1,IF(Table1[[#This Row],[In stock]]&lt;Table1[[#This Row],[Min in stock]],1,""),"")</f>
        <v/>
      </c>
    </row>
    <row r="120" spans="1:29" hidden="1" x14ac:dyDescent="0.25">
      <c r="A120" s="61" t="s">
        <v>3079</v>
      </c>
      <c r="B120" s="34" t="s">
        <v>253</v>
      </c>
      <c r="C120" s="34"/>
      <c r="D120" s="34" t="s">
        <v>3080</v>
      </c>
      <c r="E120" s="34" t="s">
        <v>560</v>
      </c>
      <c r="F120" s="54">
        <v>0</v>
      </c>
      <c r="G120" s="54"/>
      <c r="H120" s="54"/>
      <c r="I1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20" s="34"/>
      <c r="M120" s="42"/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7" t="str">
        <f>IF(Table1[[#This Row],[Auto Order]]=1,IF(Table1[[#This Row],[In stock]]&lt;Table1[[#This Row],[Min in stock]],1,""),"")</f>
        <v/>
      </c>
    </row>
    <row r="121" spans="1:29" hidden="1" x14ac:dyDescent="0.25">
      <c r="A121" s="52" t="s">
        <v>73</v>
      </c>
      <c r="B121" s="34" t="s">
        <v>72</v>
      </c>
      <c r="C121" s="34"/>
      <c r="D121" s="34" t="s">
        <v>71</v>
      </c>
      <c r="E121" s="34" t="s">
        <v>566</v>
      </c>
      <c r="F121" s="54">
        <v>3</v>
      </c>
      <c r="G121" s="54">
        <v>1</v>
      </c>
      <c r="H121" s="54">
        <f>1</f>
        <v>1</v>
      </c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70</v>
      </c>
      <c r="M121" s="42">
        <v>1.07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35" t="str">
        <f>IF(Table1[[#This Row],[Auto Order]]=1,IF(Table1[[#This Row],[In stock]]&lt;Table1[[#This Row],[Min in stock]],1,""),"")</f>
        <v/>
      </c>
    </row>
    <row r="122" spans="1:29" hidden="1" x14ac:dyDescent="0.25">
      <c r="A122" s="52">
        <v>1004068</v>
      </c>
      <c r="B122" s="34" t="s">
        <v>65</v>
      </c>
      <c r="C122" s="34"/>
      <c r="D122" s="34" t="s">
        <v>83</v>
      </c>
      <c r="E122" s="34" t="s">
        <v>545</v>
      </c>
      <c r="F122" s="54">
        <v>2</v>
      </c>
      <c r="G122" s="54"/>
      <c r="H122" s="54"/>
      <c r="I1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22" s="34"/>
      <c r="M122" s="42"/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>
        <v>1004068</v>
      </c>
      <c r="Y122" s="42">
        <v>3.49</v>
      </c>
      <c r="Z122" s="42"/>
      <c r="AA122" s="36"/>
      <c r="AB122" s="50"/>
      <c r="AC122" s="35" t="str">
        <f>IF(Table1[[#This Row],[Auto Order]]=1,IF(Table1[[#This Row],[In stock]]&lt;Table1[[#This Row],[Min in stock]],1,""),"")</f>
        <v/>
      </c>
    </row>
    <row r="123" spans="1:29" hidden="1" x14ac:dyDescent="0.25">
      <c r="A123" s="52" t="s">
        <v>20</v>
      </c>
      <c r="B123" s="34" t="s">
        <v>42</v>
      </c>
      <c r="C123" s="34" t="s">
        <v>413</v>
      </c>
      <c r="D123" s="34" t="s">
        <v>19</v>
      </c>
      <c r="E123" s="34" t="s">
        <v>572</v>
      </c>
      <c r="F123" s="54">
        <v>0</v>
      </c>
      <c r="G123" s="54"/>
      <c r="H123" s="54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3" s="34"/>
      <c r="M123" s="42"/>
      <c r="N123" s="34" t="s">
        <v>412</v>
      </c>
      <c r="O123" s="42">
        <v>3.64</v>
      </c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35" t="str">
        <f>IF(Table1[[#This Row],[Auto Order]]=1,IF(Table1[[#This Row],[In stock]]&lt;Table1[[#This Row],[Min in stock]],1,""),"")</f>
        <v/>
      </c>
    </row>
    <row r="124" spans="1:29" hidden="1" x14ac:dyDescent="0.25">
      <c r="A124" s="52" t="s">
        <v>182</v>
      </c>
      <c r="B124" s="34" t="s">
        <v>177</v>
      </c>
      <c r="C124" s="34"/>
      <c r="D124" s="34" t="s">
        <v>183</v>
      </c>
      <c r="E124" s="34" t="s">
        <v>572</v>
      </c>
      <c r="F124" s="54">
        <v>1</v>
      </c>
      <c r="G124" s="54"/>
      <c r="H124" s="54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181</v>
      </c>
      <c r="M124" s="42">
        <v>0.8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35" t="str">
        <f>IF(Table1[[#This Row],[Auto Order]]=1,IF(Table1[[#This Row],[In stock]]&lt;Table1[[#This Row],[Min in stock]],1,""),"")</f>
        <v/>
      </c>
    </row>
    <row r="125" spans="1:29" hidden="1" x14ac:dyDescent="0.25">
      <c r="A125" s="52" t="s">
        <v>185</v>
      </c>
      <c r="B125" s="34" t="s">
        <v>177</v>
      </c>
      <c r="C125" s="34"/>
      <c r="D125" s="34" t="s">
        <v>186</v>
      </c>
      <c r="E125" s="34" t="s">
        <v>572</v>
      </c>
      <c r="F125" s="54">
        <v>2</v>
      </c>
      <c r="G125" s="54"/>
      <c r="H125" s="54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184</v>
      </c>
      <c r="M125" s="42">
        <v>1.06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35" t="str">
        <f>IF(Table1[[#This Row],[Auto Order]]=1,IF(Table1[[#This Row],[In stock]]&lt;Table1[[#This Row],[Min in stock]],1,""),"")</f>
        <v/>
      </c>
    </row>
    <row r="126" spans="1:29" hidden="1" x14ac:dyDescent="0.25">
      <c r="A126" s="52" t="s">
        <v>139</v>
      </c>
      <c r="B126" s="34" t="s">
        <v>69</v>
      </c>
      <c r="C126" s="34" t="s">
        <v>411</v>
      </c>
      <c r="D126" s="34" t="s">
        <v>68</v>
      </c>
      <c r="E126" s="34" t="s">
        <v>549</v>
      </c>
      <c r="F126" s="54">
        <v>1</v>
      </c>
      <c r="G126" s="54"/>
      <c r="H126" s="54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67</v>
      </c>
      <c r="M126" s="42">
        <v>4.88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35" t="str">
        <f>IF(Table1[[#This Row],[Auto Order]]=1,IF(Table1[[#This Row],[In stock]]&lt;Table1[[#This Row],[Min in stock]],1,""),"")</f>
        <v/>
      </c>
    </row>
    <row r="127" spans="1:29" hidden="1" x14ac:dyDescent="0.25">
      <c r="A127" s="61" t="s">
        <v>3137</v>
      </c>
      <c r="B127" s="34" t="s">
        <v>251</v>
      </c>
      <c r="C127" s="34" t="s">
        <v>352</v>
      </c>
      <c r="D127" s="34" t="s">
        <v>3138</v>
      </c>
      <c r="E127" s="34" t="s">
        <v>559</v>
      </c>
      <c r="F127" s="54">
        <v>0</v>
      </c>
      <c r="G127" s="54"/>
      <c r="H127" s="54"/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3136</v>
      </c>
      <c r="M127" s="42">
        <v>0.42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7" t="str">
        <f>IF(Table1[[#This Row],[Auto Order]]=1,IF(Table1[[#This Row],[In stock]]&lt;Table1[[#This Row],[Min in stock]],1,""),"")</f>
        <v/>
      </c>
    </row>
    <row r="128" spans="1:29" hidden="1" x14ac:dyDescent="0.25">
      <c r="A128" s="63" t="s">
        <v>598</v>
      </c>
      <c r="B128" s="34" t="s">
        <v>251</v>
      </c>
      <c r="C128" s="34"/>
      <c r="D128" s="34" t="s">
        <v>600</v>
      </c>
      <c r="E128" s="34" t="s">
        <v>559</v>
      </c>
      <c r="F128" s="54">
        <v>0</v>
      </c>
      <c r="G128" s="54"/>
      <c r="H128" s="54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599</v>
      </c>
      <c r="M128" s="42">
        <v>0.2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7" t="str">
        <f>IF(Table1[[#This Row],[Auto Order]]=1,IF(Table1[[#This Row],[In stock]]&lt;Table1[[#This Row],[Min in stock]],1,""),"")</f>
        <v/>
      </c>
    </row>
    <row r="129" spans="1:29" x14ac:dyDescent="0.25">
      <c r="A129" s="61" t="s">
        <v>3331</v>
      </c>
      <c r="B129" s="34" t="s">
        <v>251</v>
      </c>
      <c r="C129" s="34" t="s">
        <v>352</v>
      </c>
      <c r="D129" s="34" t="s">
        <v>3332</v>
      </c>
      <c r="E129" s="34" t="s">
        <v>559</v>
      </c>
      <c r="F129" s="54">
        <v>0</v>
      </c>
      <c r="G129" s="54"/>
      <c r="H129" s="54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3330</v>
      </c>
      <c r="M129" s="42">
        <v>0.44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7" t="str">
        <f>IF(Table1[[#This Row],[Auto Order]]=1,IF(Table1[[#This Row],[In stock]]&lt;Table1[[#This Row],[Min in stock]],1,""),"")</f>
        <v/>
      </c>
    </row>
    <row r="130" spans="1:29" hidden="1" x14ac:dyDescent="0.25">
      <c r="A130" s="61" t="s">
        <v>3335</v>
      </c>
      <c r="B130" s="34" t="s">
        <v>251</v>
      </c>
      <c r="C130" s="34" t="s">
        <v>352</v>
      </c>
      <c r="D130" s="34" t="s">
        <v>3336</v>
      </c>
      <c r="E130" s="34" t="s">
        <v>559</v>
      </c>
      <c r="F130" s="54">
        <v>0</v>
      </c>
      <c r="G130" s="54"/>
      <c r="H130" s="54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3334</v>
      </c>
      <c r="M130" s="42">
        <v>0.47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7" t="str">
        <f>IF(Table1[[#This Row],[Auto Order]]=1,IF(Table1[[#This Row],[In stock]]&lt;Table1[[#This Row],[Min in stock]],1,""),"")</f>
        <v/>
      </c>
    </row>
    <row r="131" spans="1:29" hidden="1" x14ac:dyDescent="0.25">
      <c r="A131" s="61" t="s">
        <v>3378</v>
      </c>
      <c r="B131" s="34" t="s">
        <v>251</v>
      </c>
      <c r="C131" s="34" t="s">
        <v>352</v>
      </c>
      <c r="D131" s="34" t="s">
        <v>3379</v>
      </c>
      <c r="E131" s="34" t="s">
        <v>559</v>
      </c>
      <c r="F131" s="54">
        <v>0</v>
      </c>
      <c r="G131" s="54"/>
      <c r="H131" s="54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3377</v>
      </c>
      <c r="M131" s="42">
        <v>0.47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7" t="str">
        <f>IF(Table1[[#This Row],[Auto Order]]=1,IF(Table1[[#This Row],[In stock]]&lt;Table1[[#This Row],[Min in stock]],1,""),"")</f>
        <v/>
      </c>
    </row>
    <row r="132" spans="1:29" hidden="1" x14ac:dyDescent="0.25">
      <c r="A132" s="61" t="s">
        <v>3343</v>
      </c>
      <c r="B132" s="34" t="s">
        <v>251</v>
      </c>
      <c r="C132" s="34" t="s">
        <v>352</v>
      </c>
      <c r="D132" s="34" t="s">
        <v>3344</v>
      </c>
      <c r="E132" s="34" t="s">
        <v>559</v>
      </c>
      <c r="F132" s="54">
        <v>0</v>
      </c>
      <c r="G132" s="54"/>
      <c r="H132" s="54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3342</v>
      </c>
      <c r="M132" s="42">
        <v>0.47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7" t="str">
        <f>IF(Table1[[#This Row],[Auto Order]]=1,IF(Table1[[#This Row],[In stock]]&lt;Table1[[#This Row],[Min in stock]],1,""),"")</f>
        <v/>
      </c>
    </row>
    <row r="133" spans="1:29" hidden="1" x14ac:dyDescent="0.25">
      <c r="A133" s="63" t="s">
        <v>649</v>
      </c>
      <c r="B133" s="34" t="s">
        <v>251</v>
      </c>
      <c r="C133" s="34"/>
      <c r="D133" s="34" t="s">
        <v>651</v>
      </c>
      <c r="E133" s="34" t="s">
        <v>559</v>
      </c>
      <c r="F133" s="54">
        <v>0</v>
      </c>
      <c r="G133" s="54"/>
      <c r="H133" s="54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650</v>
      </c>
      <c r="M133" s="42">
        <v>0.1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7" t="str">
        <f>IF(Table1[[#This Row],[Auto Order]]=1,IF(Table1[[#This Row],[In stock]]&lt;Table1[[#This Row],[Min in stock]],1,""),"")</f>
        <v/>
      </c>
    </row>
    <row r="134" spans="1:29" hidden="1" x14ac:dyDescent="0.25">
      <c r="A134" s="61" t="s">
        <v>3262</v>
      </c>
      <c r="B134" s="34" t="s">
        <v>251</v>
      </c>
      <c r="C134" s="34" t="s">
        <v>352</v>
      </c>
      <c r="D134" s="34" t="s">
        <v>3263</v>
      </c>
      <c r="E134" s="34" t="s">
        <v>559</v>
      </c>
      <c r="F134" s="54">
        <v>0</v>
      </c>
      <c r="G134" s="54"/>
      <c r="H134" s="54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3261</v>
      </c>
      <c r="M134" s="42">
        <v>0.47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7" t="str">
        <f>IF(Table1[[#This Row],[Auto Order]]=1,IF(Table1[[#This Row],[In stock]]&lt;Table1[[#This Row],[Min in stock]],1,""),"")</f>
        <v/>
      </c>
    </row>
    <row r="135" spans="1:29" hidden="1" x14ac:dyDescent="0.25">
      <c r="A135" s="61" t="s">
        <v>3489</v>
      </c>
      <c r="B135" s="34" t="s">
        <v>251</v>
      </c>
      <c r="C135" s="34" t="s">
        <v>352</v>
      </c>
      <c r="D135" s="34" t="s">
        <v>3490</v>
      </c>
      <c r="E135" s="34" t="s">
        <v>559</v>
      </c>
      <c r="F135" s="54">
        <v>0</v>
      </c>
      <c r="G135" s="54"/>
      <c r="H135" s="54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3488</v>
      </c>
      <c r="M135" s="42">
        <v>0.47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7" t="str">
        <f>IF(Table1[[#This Row],[Auto Order]]=1,IF(Table1[[#This Row],[In stock]]&lt;Table1[[#This Row],[Min in stock]],1,""),"")</f>
        <v/>
      </c>
    </row>
    <row r="136" spans="1:29" hidden="1" x14ac:dyDescent="0.25">
      <c r="A136" s="63" t="s">
        <v>613</v>
      </c>
      <c r="B136" s="34" t="s">
        <v>251</v>
      </c>
      <c r="C136" s="34"/>
      <c r="D136" s="34" t="s">
        <v>615</v>
      </c>
      <c r="E136" s="34" t="s">
        <v>559</v>
      </c>
      <c r="F136" s="54">
        <v>0</v>
      </c>
      <c r="G136" s="54"/>
      <c r="H136" s="54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614</v>
      </c>
      <c r="M136" s="42">
        <v>0.1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7" t="str">
        <f>IF(Table1[[#This Row],[Auto Order]]=1,IF(Table1[[#This Row],[In stock]]&lt;Table1[[#This Row],[Min in stock]],1,""),"")</f>
        <v/>
      </c>
    </row>
    <row r="137" spans="1:29" hidden="1" x14ac:dyDescent="0.25">
      <c r="A137" s="61" t="s">
        <v>3486</v>
      </c>
      <c r="B137" s="34" t="s">
        <v>251</v>
      </c>
      <c r="C137" s="34" t="s">
        <v>352</v>
      </c>
      <c r="D137" s="34" t="s">
        <v>3487</v>
      </c>
      <c r="E137" s="34" t="s">
        <v>559</v>
      </c>
      <c r="F137" s="54">
        <v>0</v>
      </c>
      <c r="G137" s="54"/>
      <c r="H137" s="54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3485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7" t="str">
        <f>IF(Table1[[#This Row],[Auto Order]]=1,IF(Table1[[#This Row],[In stock]]&lt;Table1[[#This Row],[Min in stock]],1,""),"")</f>
        <v/>
      </c>
    </row>
    <row r="138" spans="1:29" x14ac:dyDescent="0.25">
      <c r="A138" s="61" t="s">
        <v>3181</v>
      </c>
      <c r="B138" s="34" t="s">
        <v>251</v>
      </c>
      <c r="C138" s="34" t="s">
        <v>352</v>
      </c>
      <c r="D138" s="34" t="s">
        <v>3182</v>
      </c>
      <c r="E138" s="34" t="s">
        <v>559</v>
      </c>
      <c r="F138" s="54">
        <v>0</v>
      </c>
      <c r="G138" s="54"/>
      <c r="H138" s="54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3180</v>
      </c>
      <c r="M138" s="42">
        <v>0.42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7" t="str">
        <f>IF(Table1[[#This Row],[Auto Order]]=1,IF(Table1[[#This Row],[In stock]]&lt;Table1[[#This Row],[Min in stock]],1,""),"")</f>
        <v/>
      </c>
    </row>
    <row r="139" spans="1:29" hidden="1" x14ac:dyDescent="0.25">
      <c r="A139" s="52" t="s">
        <v>250</v>
      </c>
      <c r="B139" s="34" t="s">
        <v>251</v>
      </c>
      <c r="C139" s="34"/>
      <c r="D139" s="34" t="s">
        <v>252</v>
      </c>
      <c r="E139" s="34" t="s">
        <v>559</v>
      </c>
      <c r="F139" s="54">
        <v>99</v>
      </c>
      <c r="G139" s="54"/>
      <c r="H139" s="54"/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249</v>
      </c>
      <c r="M139" s="42">
        <v>4.8000000000000001E-2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35" t="str">
        <f>IF(Table1[[#This Row],[Auto Order]]=1,IF(Table1[[#This Row],[In stock]]&lt;Table1[[#This Row],[Min in stock]],1,""),"")</f>
        <v/>
      </c>
    </row>
    <row r="140" spans="1:29" hidden="1" x14ac:dyDescent="0.25">
      <c r="A140" s="61" t="s">
        <v>3161</v>
      </c>
      <c r="B140" s="34" t="s">
        <v>251</v>
      </c>
      <c r="C140" s="34" t="s">
        <v>352</v>
      </c>
      <c r="D140" s="34" t="s">
        <v>3162</v>
      </c>
      <c r="E140" s="34" t="s">
        <v>559</v>
      </c>
      <c r="F140" s="54">
        <v>0</v>
      </c>
      <c r="G140" s="54"/>
      <c r="H140" s="54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3160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7" t="str">
        <f>IF(Table1[[#This Row],[Auto Order]]=1,IF(Table1[[#This Row],[In stock]]&lt;Table1[[#This Row],[Min in stock]],1,""),"")</f>
        <v/>
      </c>
    </row>
    <row r="141" spans="1:29" x14ac:dyDescent="0.25">
      <c r="A141" s="61" t="s">
        <v>3157</v>
      </c>
      <c r="B141" s="34" t="s">
        <v>251</v>
      </c>
      <c r="C141" s="34" t="s">
        <v>352</v>
      </c>
      <c r="D141" s="34" t="s">
        <v>3158</v>
      </c>
      <c r="E141" s="34" t="s">
        <v>559</v>
      </c>
      <c r="F141" s="54">
        <v>0</v>
      </c>
      <c r="G141" s="54"/>
      <c r="H141" s="54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3156</v>
      </c>
      <c r="M141" s="42">
        <v>0.42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7" t="str">
        <f>IF(Table1[[#This Row],[Auto Order]]=1,IF(Table1[[#This Row],[In stock]]&lt;Table1[[#This Row],[Min in stock]],1,""),"")</f>
        <v/>
      </c>
    </row>
    <row r="142" spans="1:29" hidden="1" x14ac:dyDescent="0.25">
      <c r="A142" s="63" t="s">
        <v>688</v>
      </c>
      <c r="B142" s="34" t="s">
        <v>251</v>
      </c>
      <c r="C142" s="34"/>
      <c r="D142" s="34" t="s">
        <v>690</v>
      </c>
      <c r="E142" s="34" t="s">
        <v>559</v>
      </c>
      <c r="F142" s="54">
        <v>0</v>
      </c>
      <c r="G142" s="54"/>
      <c r="H142" s="54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689</v>
      </c>
      <c r="M142" s="42">
        <v>0.1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7" t="str">
        <f>IF(Table1[[#This Row],[Auto Order]]=1,IF(Table1[[#This Row],[In stock]]&lt;Table1[[#This Row],[Min in stock]],1,""),"")</f>
        <v/>
      </c>
    </row>
    <row r="143" spans="1:29" hidden="1" x14ac:dyDescent="0.25">
      <c r="A143" s="63" t="s">
        <v>595</v>
      </c>
      <c r="B143" s="34" t="s">
        <v>251</v>
      </c>
      <c r="C143" s="34"/>
      <c r="D143" s="34" t="s">
        <v>597</v>
      </c>
      <c r="E143" s="34" t="s">
        <v>559</v>
      </c>
      <c r="F143" s="54">
        <v>0</v>
      </c>
      <c r="G143" s="54"/>
      <c r="H143" s="54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596</v>
      </c>
      <c r="M143" s="42">
        <v>0.1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7" t="str">
        <f>IF(Table1[[#This Row],[Auto Order]]=1,IF(Table1[[#This Row],[In stock]]&lt;Table1[[#This Row],[Min in stock]],1,""),"")</f>
        <v/>
      </c>
    </row>
    <row r="144" spans="1:29" hidden="1" x14ac:dyDescent="0.25">
      <c r="A144" s="61" t="s">
        <v>3394</v>
      </c>
      <c r="B144" s="34" t="s">
        <v>251</v>
      </c>
      <c r="C144" s="34" t="s">
        <v>352</v>
      </c>
      <c r="D144" s="34" t="s">
        <v>3395</v>
      </c>
      <c r="E144" s="34" t="s">
        <v>559</v>
      </c>
      <c r="F144" s="54">
        <v>0</v>
      </c>
      <c r="G144" s="54"/>
      <c r="H144" s="54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3393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7" t="str">
        <f>IF(Table1[[#This Row],[Auto Order]]=1,IF(Table1[[#This Row],[In stock]]&lt;Table1[[#This Row],[Min in stock]],1,""),"")</f>
        <v/>
      </c>
    </row>
    <row r="145" spans="1:29" x14ac:dyDescent="0.25">
      <c r="A145" s="61" t="s">
        <v>3293</v>
      </c>
      <c r="B145" s="34" t="s">
        <v>251</v>
      </c>
      <c r="C145" s="34" t="s">
        <v>352</v>
      </c>
      <c r="D145" s="34" t="s">
        <v>3294</v>
      </c>
      <c r="E145" s="34" t="s">
        <v>559</v>
      </c>
      <c r="F145" s="54">
        <v>0</v>
      </c>
      <c r="G145" s="54"/>
      <c r="H145" s="54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3292</v>
      </c>
      <c r="M145" s="42">
        <v>0.42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7" t="str">
        <f>IF(Table1[[#This Row],[Auto Order]]=1,IF(Table1[[#This Row],[In stock]]&lt;Table1[[#This Row],[Min in stock]],1,""),"")</f>
        <v/>
      </c>
    </row>
    <row r="146" spans="1:29" hidden="1" x14ac:dyDescent="0.25">
      <c r="A146" s="61" t="s">
        <v>3428</v>
      </c>
      <c r="B146" s="34" t="s">
        <v>251</v>
      </c>
      <c r="C146" s="34" t="s">
        <v>352</v>
      </c>
      <c r="D146" s="34" t="s">
        <v>3429</v>
      </c>
      <c r="E146" s="34" t="s">
        <v>559</v>
      </c>
      <c r="F146" s="54">
        <v>0</v>
      </c>
      <c r="G146" s="54"/>
      <c r="H146" s="54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3427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7" t="str">
        <f>IF(Table1[[#This Row],[Auto Order]]=1,IF(Table1[[#This Row],[In stock]]&lt;Table1[[#This Row],[Min in stock]],1,""),"")</f>
        <v/>
      </c>
    </row>
    <row r="147" spans="1:29" hidden="1" x14ac:dyDescent="0.25">
      <c r="A147" s="61" t="s">
        <v>3236</v>
      </c>
      <c r="B147" s="34" t="s">
        <v>251</v>
      </c>
      <c r="C147" s="34" t="s">
        <v>352</v>
      </c>
      <c r="D147" s="34" t="s">
        <v>3237</v>
      </c>
      <c r="E147" s="34" t="s">
        <v>559</v>
      </c>
      <c r="F147" s="54">
        <v>0</v>
      </c>
      <c r="G147" s="54"/>
      <c r="H147" s="54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3235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7" t="str">
        <f>IF(Table1[[#This Row],[Auto Order]]=1,IF(Table1[[#This Row],[In stock]]&lt;Table1[[#This Row],[Min in stock]],1,""),"")</f>
        <v/>
      </c>
    </row>
    <row r="148" spans="1:29" x14ac:dyDescent="0.25">
      <c r="A148" s="61" t="s">
        <v>3173</v>
      </c>
      <c r="B148" s="34" t="s">
        <v>251</v>
      </c>
      <c r="C148" s="34" t="s">
        <v>352</v>
      </c>
      <c r="D148" s="34" t="s">
        <v>3174</v>
      </c>
      <c r="E148" s="34" t="s">
        <v>559</v>
      </c>
      <c r="F148" s="54">
        <v>0</v>
      </c>
      <c r="G148" s="54"/>
      <c r="H148" s="54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3172</v>
      </c>
      <c r="M148" s="42">
        <v>0.42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7" t="str">
        <f>IF(Table1[[#This Row],[Auto Order]]=1,IF(Table1[[#This Row],[In stock]]&lt;Table1[[#This Row],[Min in stock]],1,""),"")</f>
        <v/>
      </c>
    </row>
    <row r="149" spans="1:29" x14ac:dyDescent="0.25">
      <c r="A149" s="61" t="s">
        <v>3351</v>
      </c>
      <c r="B149" s="34" t="s">
        <v>251</v>
      </c>
      <c r="C149" s="34" t="s">
        <v>352</v>
      </c>
      <c r="D149" s="34" t="s">
        <v>3352</v>
      </c>
      <c r="E149" s="34" t="s">
        <v>559</v>
      </c>
      <c r="F149" s="54">
        <v>0</v>
      </c>
      <c r="G149" s="54"/>
      <c r="H149" s="54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3350</v>
      </c>
      <c r="M149" s="42">
        <v>0.42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7" t="str">
        <f>IF(Table1[[#This Row],[Auto Order]]=1,IF(Table1[[#This Row],[In stock]]&lt;Table1[[#This Row],[Min in stock]],1,""),"")</f>
        <v/>
      </c>
    </row>
    <row r="150" spans="1:29" hidden="1" x14ac:dyDescent="0.25">
      <c r="A150" s="61" t="s">
        <v>3448</v>
      </c>
      <c r="B150" s="34" t="s">
        <v>251</v>
      </c>
      <c r="C150" s="34" t="s">
        <v>352</v>
      </c>
      <c r="D150" s="34" t="s">
        <v>3449</v>
      </c>
      <c r="E150" s="34" t="s">
        <v>559</v>
      </c>
      <c r="F150" s="54">
        <v>0</v>
      </c>
      <c r="G150" s="54"/>
      <c r="H150" s="54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3447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7" t="str">
        <f>IF(Table1[[#This Row],[Auto Order]]=1,IF(Table1[[#This Row],[In stock]]&lt;Table1[[#This Row],[Min in stock]],1,""),"")</f>
        <v/>
      </c>
    </row>
    <row r="151" spans="1:29" hidden="1" x14ac:dyDescent="0.25">
      <c r="A151" s="61" t="s">
        <v>3228</v>
      </c>
      <c r="B151" s="34" t="s">
        <v>251</v>
      </c>
      <c r="C151" s="34" t="s">
        <v>352</v>
      </c>
      <c r="D151" s="34" t="s">
        <v>3229</v>
      </c>
      <c r="E151" s="34" t="s">
        <v>559</v>
      </c>
      <c r="F151" s="54">
        <v>0</v>
      </c>
      <c r="G151" s="54"/>
      <c r="H151" s="54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3227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7" t="str">
        <f>IF(Table1[[#This Row],[Auto Order]]=1,IF(Table1[[#This Row],[In stock]]&lt;Table1[[#This Row],[Min in stock]],1,""),"")</f>
        <v/>
      </c>
    </row>
    <row r="152" spans="1:29" hidden="1" x14ac:dyDescent="0.25">
      <c r="A152" s="61" t="s">
        <v>3204</v>
      </c>
      <c r="B152" s="34" t="s">
        <v>251</v>
      </c>
      <c r="C152" s="34" t="s">
        <v>352</v>
      </c>
      <c r="D152" s="34" t="s">
        <v>3205</v>
      </c>
      <c r="E152" s="34" t="s">
        <v>559</v>
      </c>
      <c r="F152" s="54">
        <v>0</v>
      </c>
      <c r="G152" s="54"/>
      <c r="H152" s="54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3203</v>
      </c>
      <c r="M152" s="42">
        <v>0.48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7" t="str">
        <f>IF(Table1[[#This Row],[Auto Order]]=1,IF(Table1[[#This Row],[In stock]]&lt;Table1[[#This Row],[Min in stock]],1,""),"")</f>
        <v/>
      </c>
    </row>
    <row r="153" spans="1:29" hidden="1" x14ac:dyDescent="0.25">
      <c r="A153" s="61" t="s">
        <v>3405</v>
      </c>
      <c r="B153" s="34" t="s">
        <v>251</v>
      </c>
      <c r="C153" s="34" t="s">
        <v>352</v>
      </c>
      <c r="D153" s="34" t="s">
        <v>3406</v>
      </c>
      <c r="E153" s="34" t="s">
        <v>559</v>
      </c>
      <c r="F153" s="54">
        <v>0</v>
      </c>
      <c r="G153" s="54"/>
      <c r="H153" s="54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3404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7" t="str">
        <f>IF(Table1[[#This Row],[Auto Order]]=1,IF(Table1[[#This Row],[In stock]]&lt;Table1[[#This Row],[Min in stock]],1,""),"")</f>
        <v/>
      </c>
    </row>
    <row r="154" spans="1:29" hidden="1" x14ac:dyDescent="0.25">
      <c r="A154" s="63" t="s">
        <v>670</v>
      </c>
      <c r="B154" s="34" t="s">
        <v>251</v>
      </c>
      <c r="C154" s="34"/>
      <c r="D154" s="34" t="s">
        <v>672</v>
      </c>
      <c r="E154" s="34" t="s">
        <v>559</v>
      </c>
      <c r="F154" s="54">
        <v>0</v>
      </c>
      <c r="G154" s="54"/>
      <c r="H154" s="54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671</v>
      </c>
      <c r="M154" s="42">
        <v>0.1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7" t="str">
        <f>IF(Table1[[#This Row],[Auto Order]]=1,IF(Table1[[#This Row],[In stock]]&lt;Table1[[#This Row],[Min in stock]],1,""),"")</f>
        <v/>
      </c>
    </row>
    <row r="155" spans="1:29" x14ac:dyDescent="0.25">
      <c r="A155" s="61" t="s">
        <v>3297</v>
      </c>
      <c r="B155" s="34" t="s">
        <v>251</v>
      </c>
      <c r="C155" s="34" t="s">
        <v>352</v>
      </c>
      <c r="D155" s="34" t="s">
        <v>3298</v>
      </c>
      <c r="E155" s="34" t="s">
        <v>559</v>
      </c>
      <c r="F155" s="54">
        <v>0</v>
      </c>
      <c r="G155" s="54"/>
      <c r="H155" s="54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3296</v>
      </c>
      <c r="M155" s="42">
        <v>0.42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7" t="str">
        <f>IF(Table1[[#This Row],[Auto Order]]=1,IF(Table1[[#This Row],[In stock]]&lt;Table1[[#This Row],[Min in stock]],1,""),"")</f>
        <v/>
      </c>
    </row>
    <row r="156" spans="1:29" hidden="1" x14ac:dyDescent="0.25">
      <c r="A156" s="61" t="s">
        <v>3440</v>
      </c>
      <c r="B156" s="34" t="s">
        <v>251</v>
      </c>
      <c r="C156" s="34" t="s">
        <v>352</v>
      </c>
      <c r="D156" s="34" t="s">
        <v>3441</v>
      </c>
      <c r="E156" s="34" t="s">
        <v>559</v>
      </c>
      <c r="F156" s="54">
        <v>0</v>
      </c>
      <c r="G156" s="54"/>
      <c r="H156" s="54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3439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7" t="str">
        <f>IF(Table1[[#This Row],[Auto Order]]=1,IF(Table1[[#This Row],[In stock]]&lt;Table1[[#This Row],[Min in stock]],1,""),"")</f>
        <v/>
      </c>
    </row>
    <row r="157" spans="1:29" hidden="1" x14ac:dyDescent="0.25">
      <c r="A157" s="61" t="s">
        <v>3239</v>
      </c>
      <c r="B157" s="34" t="s">
        <v>251</v>
      </c>
      <c r="C157" s="34" t="s">
        <v>352</v>
      </c>
      <c r="D157" s="34" t="s">
        <v>3240</v>
      </c>
      <c r="E157" s="34" t="s">
        <v>559</v>
      </c>
      <c r="F157" s="54">
        <v>0</v>
      </c>
      <c r="G157" s="54"/>
      <c r="H157" s="54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3238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7" t="str">
        <f>IF(Table1[[#This Row],[Auto Order]]=1,IF(Table1[[#This Row],[In stock]]&lt;Table1[[#This Row],[Min in stock]],1,""),"")</f>
        <v/>
      </c>
    </row>
    <row r="158" spans="1:29" hidden="1" x14ac:dyDescent="0.25">
      <c r="A158" s="61" t="s">
        <v>3409</v>
      </c>
      <c r="B158" s="34" t="s">
        <v>251</v>
      </c>
      <c r="C158" s="34" t="s">
        <v>352</v>
      </c>
      <c r="D158" s="34" t="s">
        <v>3410</v>
      </c>
      <c r="E158" s="34" t="s">
        <v>559</v>
      </c>
      <c r="F158" s="54">
        <v>0</v>
      </c>
      <c r="G158" s="54"/>
      <c r="H158" s="54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3408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7" t="str">
        <f>IF(Table1[[#This Row],[Auto Order]]=1,IF(Table1[[#This Row],[In stock]]&lt;Table1[[#This Row],[Min in stock]],1,""),"")</f>
        <v/>
      </c>
    </row>
    <row r="159" spans="1:29" hidden="1" x14ac:dyDescent="0.25">
      <c r="A159" s="63" t="s">
        <v>646</v>
      </c>
      <c r="B159" s="34" t="s">
        <v>251</v>
      </c>
      <c r="C159" s="34"/>
      <c r="D159" s="34" t="s">
        <v>3088</v>
      </c>
      <c r="E159" s="34" t="s">
        <v>559</v>
      </c>
      <c r="F159" s="54">
        <v>0</v>
      </c>
      <c r="G159" s="54"/>
      <c r="H159" s="54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647</v>
      </c>
      <c r="M159" s="42">
        <v>0.1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7" t="str">
        <f>IF(Table1[[#This Row],[Auto Order]]=1,IF(Table1[[#This Row],[In stock]]&lt;Table1[[#This Row],[Min in stock]],1,""),"")</f>
        <v/>
      </c>
    </row>
    <row r="160" spans="1:29" hidden="1" x14ac:dyDescent="0.25">
      <c r="A160" s="61" t="s">
        <v>3166</v>
      </c>
      <c r="B160" s="34" t="s">
        <v>251</v>
      </c>
      <c r="C160" s="34" t="s">
        <v>352</v>
      </c>
      <c r="D160" s="34" t="s">
        <v>3167</v>
      </c>
      <c r="E160" s="34" t="s">
        <v>559</v>
      </c>
      <c r="F160" s="54">
        <v>0</v>
      </c>
      <c r="G160" s="54"/>
      <c r="H160" s="54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3165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7" t="str">
        <f>IF(Table1[[#This Row],[Auto Order]]=1,IF(Table1[[#This Row],[In stock]]&lt;Table1[[#This Row],[Min in stock]],1,""),"")</f>
        <v/>
      </c>
    </row>
    <row r="161" spans="1:29" x14ac:dyDescent="0.25">
      <c r="A161" s="61" t="s">
        <v>3151</v>
      </c>
      <c r="B161" s="34" t="s">
        <v>251</v>
      </c>
      <c r="C161" s="34" t="s">
        <v>352</v>
      </c>
      <c r="D161" s="34" t="s">
        <v>3152</v>
      </c>
      <c r="E161" s="34" t="s">
        <v>559</v>
      </c>
      <c r="F161" s="54">
        <v>0</v>
      </c>
      <c r="G161" s="54"/>
      <c r="H161" s="54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3150</v>
      </c>
      <c r="M161" s="42">
        <v>0.42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7" t="str">
        <f>IF(Table1[[#This Row],[Auto Order]]=1,IF(Table1[[#This Row],[In stock]]&lt;Table1[[#This Row],[Min in stock]],1,""),"")</f>
        <v/>
      </c>
    </row>
    <row r="162" spans="1:29" hidden="1" x14ac:dyDescent="0.25">
      <c r="A162" s="63" t="s">
        <v>697</v>
      </c>
      <c r="B162" s="34" t="s">
        <v>251</v>
      </c>
      <c r="C162" s="34"/>
      <c r="D162" s="34" t="s">
        <v>699</v>
      </c>
      <c r="E162" s="34" t="s">
        <v>559</v>
      </c>
      <c r="F162" s="54">
        <v>0</v>
      </c>
      <c r="G162" s="54"/>
      <c r="H162" s="54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698</v>
      </c>
      <c r="M162" s="42">
        <v>0.1</v>
      </c>
      <c r="N162" s="34"/>
      <c r="O162" s="42"/>
      <c r="P162" s="34"/>
      <c r="Q162" s="42"/>
      <c r="R162" s="34"/>
      <c r="S162" s="42"/>
      <c r="T162" s="34"/>
      <c r="U162" s="42"/>
      <c r="V162" s="34"/>
      <c r="W162" s="42"/>
      <c r="X162" s="34"/>
      <c r="Y162" s="42"/>
      <c r="Z162" s="42"/>
      <c r="AA162" s="36"/>
      <c r="AB162" s="50"/>
      <c r="AC162" s="57" t="str">
        <f>IF(Table1[[#This Row],[Auto Order]]=1,IF(Table1[[#This Row],[In stock]]&lt;Table1[[#This Row],[Min in stock]],1,""),"")</f>
        <v/>
      </c>
    </row>
    <row r="163" spans="1:29" hidden="1" x14ac:dyDescent="0.25">
      <c r="A163" s="63" t="s">
        <v>601</v>
      </c>
      <c r="B163" s="34" t="s">
        <v>251</v>
      </c>
      <c r="C163" s="34"/>
      <c r="D163" s="34" t="s">
        <v>603</v>
      </c>
      <c r="E163" s="34" t="s">
        <v>559</v>
      </c>
      <c r="F163" s="54">
        <v>0</v>
      </c>
      <c r="G163" s="54"/>
      <c r="H163" s="54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602</v>
      </c>
      <c r="M163" s="42">
        <v>0.2</v>
      </c>
      <c r="N163" s="34"/>
      <c r="O163" s="42"/>
      <c r="P163" s="34"/>
      <c r="Q163" s="42"/>
      <c r="R163" s="34"/>
      <c r="S163" s="42"/>
      <c r="T163" s="34"/>
      <c r="U163" s="42"/>
      <c r="V163" s="34"/>
      <c r="W163" s="42"/>
      <c r="X163" s="34"/>
      <c r="Y163" s="42"/>
      <c r="Z163" s="42"/>
      <c r="AA163" s="36"/>
      <c r="AB163" s="50"/>
      <c r="AC163" s="57" t="str">
        <f>IF(Table1[[#This Row],[Auto Order]]=1,IF(Table1[[#This Row],[In stock]]&lt;Table1[[#This Row],[Min in stock]],1,""),"")</f>
        <v/>
      </c>
    </row>
    <row r="164" spans="1:29" hidden="1" x14ac:dyDescent="0.25">
      <c r="A164" s="52" t="s">
        <v>484</v>
      </c>
      <c r="B164" s="34" t="s">
        <v>258</v>
      </c>
      <c r="C164" s="34"/>
      <c r="D164" s="34" t="s">
        <v>262</v>
      </c>
      <c r="E164" s="34" t="s">
        <v>559</v>
      </c>
      <c r="F164" s="54">
        <v>3</v>
      </c>
      <c r="G164" s="54"/>
      <c r="H164" s="54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4" s="34" t="s">
        <v>261</v>
      </c>
      <c r="M164" s="42">
        <v>0.31</v>
      </c>
      <c r="N164" s="34"/>
      <c r="O164" s="42"/>
      <c r="P164" s="34"/>
      <c r="Q164" s="42"/>
      <c r="R164" s="34"/>
      <c r="S164" s="42"/>
      <c r="T164" s="34"/>
      <c r="U164" s="42"/>
      <c r="V164" s="34"/>
      <c r="W164" s="42"/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hidden="1" x14ac:dyDescent="0.25">
      <c r="A165" s="52" t="s">
        <v>321</v>
      </c>
      <c r="B165" s="34" t="s">
        <v>253</v>
      </c>
      <c r="C165" s="34" t="s">
        <v>427</v>
      </c>
      <c r="D165" s="34" t="s">
        <v>318</v>
      </c>
      <c r="E165" s="34" t="s">
        <v>559</v>
      </c>
      <c r="F165" s="54">
        <v>5</v>
      </c>
      <c r="G165" s="54"/>
      <c r="H165" s="54"/>
      <c r="I16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5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65" s="34"/>
      <c r="M165" s="42"/>
      <c r="N165" s="34"/>
      <c r="O165" s="42"/>
      <c r="P165" s="34"/>
      <c r="Q165" s="42"/>
      <c r="R165" s="34"/>
      <c r="S165" s="42"/>
      <c r="T165" s="34"/>
      <c r="U165" s="42"/>
      <c r="V165" s="34"/>
      <c r="W165" s="42"/>
      <c r="X165" s="34"/>
      <c r="Y165" s="42"/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hidden="1" x14ac:dyDescent="0.25">
      <c r="A166" s="52" t="s">
        <v>320</v>
      </c>
      <c r="B166" s="34" t="s">
        <v>253</v>
      </c>
      <c r="C166" s="34" t="s">
        <v>438</v>
      </c>
      <c r="D166" s="34" t="s">
        <v>319</v>
      </c>
      <c r="E166" s="34" t="s">
        <v>559</v>
      </c>
      <c r="F166" s="54">
        <v>5</v>
      </c>
      <c r="G166" s="54"/>
      <c r="H166" s="54"/>
      <c r="I16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/>
      <c r="Y166" s="42"/>
      <c r="Z166" s="42" t="s">
        <v>523</v>
      </c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hidden="1" x14ac:dyDescent="0.25">
      <c r="A167" s="52" t="s">
        <v>246</v>
      </c>
      <c r="B167" s="34" t="s">
        <v>247</v>
      </c>
      <c r="C167" s="34"/>
      <c r="D167" s="34" t="s">
        <v>248</v>
      </c>
      <c r="E167" s="34" t="s">
        <v>559</v>
      </c>
      <c r="F167" s="54">
        <v>99</v>
      </c>
      <c r="G167" s="54"/>
      <c r="H167" s="54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245</v>
      </c>
      <c r="M167" s="42">
        <v>8.1000000000000003E-2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hidden="1" x14ac:dyDescent="0.25">
      <c r="A168" s="52" t="s">
        <v>59</v>
      </c>
      <c r="B168" s="34" t="s">
        <v>58</v>
      </c>
      <c r="C168" s="34" t="s">
        <v>433</v>
      </c>
      <c r="D168" s="34" t="s">
        <v>57</v>
      </c>
      <c r="E168" s="34" t="s">
        <v>559</v>
      </c>
      <c r="F168" s="54">
        <v>19</v>
      </c>
      <c r="G168" s="54"/>
      <c r="H168" s="54"/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8" s="34"/>
      <c r="M168" s="42"/>
      <c r="N168" s="34" t="s">
        <v>432</v>
      </c>
      <c r="O168" s="42">
        <v>3.7499999999999999E-2</v>
      </c>
      <c r="P168" s="34"/>
      <c r="Q168" s="42"/>
      <c r="R168" s="34"/>
      <c r="S168" s="42"/>
      <c r="T168" s="34"/>
      <c r="U168" s="42"/>
      <c r="V168" s="34"/>
      <c r="W168" s="42"/>
      <c r="X168" s="34"/>
      <c r="Y168" s="42">
        <v>3.7499999999999999E-2</v>
      </c>
      <c r="Z168" s="42"/>
      <c r="AA168" s="36"/>
      <c r="AB168" s="50"/>
      <c r="AC168" s="35" t="str">
        <f>IF(Table1[[#This Row],[Auto Order]]=1,IF(Table1[[#This Row],[In stock]]&lt;Table1[[#This Row],[Min in stock]],1,""),"")</f>
        <v/>
      </c>
    </row>
    <row r="169" spans="1:29" x14ac:dyDescent="0.25">
      <c r="A169" s="61" t="s">
        <v>3456</v>
      </c>
      <c r="B169" s="34" t="s">
        <v>251</v>
      </c>
      <c r="C169" s="34" t="s">
        <v>352</v>
      </c>
      <c r="D169" s="34" t="s">
        <v>3457</v>
      </c>
      <c r="E169" s="34" t="s">
        <v>559</v>
      </c>
      <c r="F169" s="54">
        <v>0</v>
      </c>
      <c r="G169" s="54"/>
      <c r="H169" s="54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3455</v>
      </c>
      <c r="M169" s="42">
        <v>0.44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57" t="str">
        <f>IF(Table1[[#This Row],[Auto Order]]=1,IF(Table1[[#This Row],[In stock]]&lt;Table1[[#This Row],[Min in stock]],1,""),"")</f>
        <v/>
      </c>
    </row>
    <row r="170" spans="1:29" hidden="1" x14ac:dyDescent="0.25">
      <c r="A170" s="63" t="s">
        <v>1794</v>
      </c>
      <c r="B170" s="34" t="s">
        <v>713</v>
      </c>
      <c r="C170" s="34"/>
      <c r="D170" s="34" t="s">
        <v>1795</v>
      </c>
      <c r="E170" s="34" t="s">
        <v>559</v>
      </c>
      <c r="F170" s="54">
        <v>0</v>
      </c>
      <c r="G170" s="54"/>
      <c r="H170" s="54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0" s="34" t="s">
        <v>1793</v>
      </c>
      <c r="M170" s="42">
        <v>0.13</v>
      </c>
      <c r="N170" s="34"/>
      <c r="O170" s="42"/>
      <c r="P170" s="34"/>
      <c r="Q170" s="42"/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57" t="str">
        <f>IF(Table1[[#This Row],[Auto Order]]=1,IF(Table1[[#This Row],[In stock]]&lt;Table1[[#This Row],[Min in stock]],1,""),"")</f>
        <v/>
      </c>
    </row>
    <row r="171" spans="1:29" hidden="1" x14ac:dyDescent="0.25">
      <c r="A171" s="63" t="s">
        <v>1791</v>
      </c>
      <c r="B171" s="34" t="s">
        <v>713</v>
      </c>
      <c r="C171" s="34"/>
      <c r="D171" s="34" t="s">
        <v>1792</v>
      </c>
      <c r="E171" s="34" t="s">
        <v>559</v>
      </c>
      <c r="F171" s="54">
        <v>0</v>
      </c>
      <c r="G171" s="54">
        <v>10</v>
      </c>
      <c r="H171" s="54">
        <f>1</f>
        <v>1</v>
      </c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1790</v>
      </c>
      <c r="M171" s="42">
        <v>0.13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57">
        <f>IF(Table1[[#This Row],[Auto Order]]=1,IF(Table1[[#This Row],[In stock]]&lt;Table1[[#This Row],[Min in stock]],1,""),"")</f>
        <v>1</v>
      </c>
    </row>
    <row r="172" spans="1:29" hidden="1" x14ac:dyDescent="0.25">
      <c r="A172" s="63" t="s">
        <v>1788</v>
      </c>
      <c r="B172" s="34" t="s">
        <v>713</v>
      </c>
      <c r="C172" s="34"/>
      <c r="D172" s="34" t="s">
        <v>1789</v>
      </c>
      <c r="E172" s="34" t="s">
        <v>559</v>
      </c>
      <c r="F172" s="54">
        <v>0</v>
      </c>
      <c r="G172" s="54"/>
      <c r="H172" s="54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1787</v>
      </c>
      <c r="M172" s="42">
        <v>0.13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7" t="str">
        <f>IF(Table1[[#This Row],[Auto Order]]=1,IF(Table1[[#This Row],[In stock]]&lt;Table1[[#This Row],[Min in stock]],1,""),"")</f>
        <v/>
      </c>
    </row>
    <row r="173" spans="1:29" hidden="1" x14ac:dyDescent="0.25">
      <c r="A173" s="63" t="s">
        <v>2436</v>
      </c>
      <c r="B173" s="34" t="s">
        <v>713</v>
      </c>
      <c r="C173" s="34"/>
      <c r="D173" s="34" t="s">
        <v>2437</v>
      </c>
      <c r="E173" s="34" t="s">
        <v>559</v>
      </c>
      <c r="F173" s="54">
        <v>0</v>
      </c>
      <c r="G173" s="54"/>
      <c r="H173" s="54"/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2435</v>
      </c>
      <c r="M173" s="42">
        <v>0.13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7" t="str">
        <f>IF(Table1[[#This Row],[Auto Order]]=1,IF(Table1[[#This Row],[In stock]]&lt;Table1[[#This Row],[Min in stock]],1,""),"")</f>
        <v/>
      </c>
    </row>
    <row r="174" spans="1:29" hidden="1" x14ac:dyDescent="0.25">
      <c r="A174" s="61" t="s">
        <v>2271</v>
      </c>
      <c r="B174" s="34" t="s">
        <v>713</v>
      </c>
      <c r="C174" s="34"/>
      <c r="D174" s="34" t="s">
        <v>2272</v>
      </c>
      <c r="E174" s="34" t="s">
        <v>559</v>
      </c>
      <c r="F174" s="54">
        <v>0</v>
      </c>
      <c r="G174" s="54"/>
      <c r="H174" s="54"/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2270</v>
      </c>
      <c r="M174" s="42">
        <v>0.13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7" t="str">
        <f>IF(Table1[[#This Row],[Auto Order]]=1,IF(Table1[[#This Row],[In stock]]&lt;Table1[[#This Row],[Min in stock]],1,""),"")</f>
        <v/>
      </c>
    </row>
    <row r="175" spans="1:29" hidden="1" x14ac:dyDescent="0.25">
      <c r="A175" s="61" t="s">
        <v>2262</v>
      </c>
      <c r="B175" s="34" t="s">
        <v>713</v>
      </c>
      <c r="C175" s="34"/>
      <c r="D175" s="34" t="s">
        <v>2263</v>
      </c>
      <c r="E175" s="34" t="s">
        <v>559</v>
      </c>
      <c r="F175" s="54">
        <v>0</v>
      </c>
      <c r="G175" s="54"/>
      <c r="H175" s="54"/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2261</v>
      </c>
      <c r="M175" s="42">
        <v>0.13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7" t="str">
        <f>IF(Table1[[#This Row],[Auto Order]]=1,IF(Table1[[#This Row],[In stock]]&lt;Table1[[#This Row],[Min in stock]],1,""),"")</f>
        <v/>
      </c>
    </row>
    <row r="176" spans="1:29" hidden="1" x14ac:dyDescent="0.25">
      <c r="A176" s="61" t="s">
        <v>2439</v>
      </c>
      <c r="B176" s="34" t="s">
        <v>713</v>
      </c>
      <c r="C176" s="34"/>
      <c r="D176" s="34" t="s">
        <v>2440</v>
      </c>
      <c r="E176" s="34" t="s">
        <v>559</v>
      </c>
      <c r="F176" s="54">
        <v>0</v>
      </c>
      <c r="G176" s="54"/>
      <c r="H176" s="54"/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2438</v>
      </c>
      <c r="M176" s="42">
        <v>0.13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57" t="str">
        <f>IF(Table1[[#This Row],[Auto Order]]=1,IF(Table1[[#This Row],[In stock]]&lt;Table1[[#This Row],[Min in stock]],1,""),"")</f>
        <v/>
      </c>
    </row>
    <row r="177" spans="1:29" hidden="1" x14ac:dyDescent="0.25">
      <c r="A177" s="61" t="s">
        <v>1983</v>
      </c>
      <c r="B177" s="34" t="s">
        <v>713</v>
      </c>
      <c r="C177" s="34"/>
      <c r="D177" s="34" t="s">
        <v>1984</v>
      </c>
      <c r="E177" s="34" t="s">
        <v>559</v>
      </c>
      <c r="F177" s="54">
        <v>0</v>
      </c>
      <c r="G177" s="54"/>
      <c r="H177" s="54"/>
      <c r="I1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7" s="34" t="s">
        <v>1982</v>
      </c>
      <c r="M177" s="42">
        <v>0.13</v>
      </c>
      <c r="N177" s="34"/>
      <c r="O177" s="42"/>
      <c r="P177" s="34"/>
      <c r="Q177" s="42"/>
      <c r="R177" s="34"/>
      <c r="S177" s="42"/>
      <c r="T177" s="34"/>
      <c r="U177" s="42"/>
      <c r="V177" s="34"/>
      <c r="W177" s="42"/>
      <c r="X177" s="34"/>
      <c r="Y177" s="42"/>
      <c r="Z177" s="42"/>
      <c r="AA177" s="36"/>
      <c r="AB177" s="50"/>
      <c r="AC177" s="57" t="str">
        <f>IF(Table1[[#This Row],[Auto Order]]=1,IF(Table1[[#This Row],[In stock]]&lt;Table1[[#This Row],[Min in stock]],1,""),"")</f>
        <v/>
      </c>
    </row>
    <row r="178" spans="1:29" hidden="1" x14ac:dyDescent="0.25">
      <c r="A178" s="61" t="s">
        <v>1986</v>
      </c>
      <c r="B178" s="34" t="s">
        <v>713</v>
      </c>
      <c r="C178" s="34"/>
      <c r="D178" s="34" t="s">
        <v>1987</v>
      </c>
      <c r="E178" s="34" t="s">
        <v>559</v>
      </c>
      <c r="F178" s="54">
        <v>0</v>
      </c>
      <c r="G178" s="54"/>
      <c r="H178" s="54"/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1985</v>
      </c>
      <c r="M178" s="42">
        <v>0.13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7" t="str">
        <f>IF(Table1[[#This Row],[Auto Order]]=1,IF(Table1[[#This Row],[In stock]]&lt;Table1[[#This Row],[Min in stock]],1,""),"")</f>
        <v/>
      </c>
    </row>
    <row r="179" spans="1:29" hidden="1" x14ac:dyDescent="0.25">
      <c r="A179" s="61" t="s">
        <v>1980</v>
      </c>
      <c r="B179" s="34" t="s">
        <v>713</v>
      </c>
      <c r="C179" s="34"/>
      <c r="D179" s="34" t="s">
        <v>1981</v>
      </c>
      <c r="E179" s="34" t="s">
        <v>559</v>
      </c>
      <c r="F179" s="54">
        <v>0</v>
      </c>
      <c r="G179" s="54"/>
      <c r="H179" s="54"/>
      <c r="I1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9" s="34" t="s">
        <v>1979</v>
      </c>
      <c r="M179" s="42">
        <v>0.13</v>
      </c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/>
      <c r="Y179" s="42"/>
      <c r="Z179" s="42"/>
      <c r="AA179" s="36"/>
      <c r="AB179" s="50"/>
      <c r="AC179" s="57" t="str">
        <f>IF(Table1[[#This Row],[Auto Order]]=1,IF(Table1[[#This Row],[In stock]]&lt;Table1[[#This Row],[Min in stock]],1,""),"")</f>
        <v/>
      </c>
    </row>
    <row r="180" spans="1:29" hidden="1" x14ac:dyDescent="0.25">
      <c r="A180" s="61" t="s">
        <v>2442</v>
      </c>
      <c r="B180" s="34" t="s">
        <v>713</v>
      </c>
      <c r="C180" s="34"/>
      <c r="D180" s="34" t="s">
        <v>2443</v>
      </c>
      <c r="E180" s="34" t="s">
        <v>559</v>
      </c>
      <c r="F180" s="54">
        <v>0</v>
      </c>
      <c r="G180" s="54"/>
      <c r="H180" s="54"/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2441</v>
      </c>
      <c r="M180" s="42">
        <v>0.13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57" t="str">
        <f>IF(Table1[[#This Row],[Auto Order]]=1,IF(Table1[[#This Row],[In stock]]&lt;Table1[[#This Row],[Min in stock]],1,""),"")</f>
        <v/>
      </c>
    </row>
    <row r="181" spans="1:29" hidden="1" x14ac:dyDescent="0.25">
      <c r="A181" s="61" t="s">
        <v>2268</v>
      </c>
      <c r="B181" s="34" t="s">
        <v>713</v>
      </c>
      <c r="C181" s="34"/>
      <c r="D181" s="34" t="s">
        <v>2269</v>
      </c>
      <c r="E181" s="34" t="s">
        <v>559</v>
      </c>
      <c r="F181" s="54">
        <v>0</v>
      </c>
      <c r="G181" s="54"/>
      <c r="H181" s="54"/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1" s="34" t="s">
        <v>2267</v>
      </c>
      <c r="M181" s="42">
        <v>0.13</v>
      </c>
      <c r="N181" s="34"/>
      <c r="O181" s="42"/>
      <c r="P181" s="34"/>
      <c r="Q181" s="42"/>
      <c r="R181" s="34"/>
      <c r="S181" s="42"/>
      <c r="T181" s="34"/>
      <c r="U181" s="42"/>
      <c r="V181" s="34"/>
      <c r="W181" s="42"/>
      <c r="X181" s="34"/>
      <c r="Y181" s="42"/>
      <c r="Z181" s="42"/>
      <c r="AA181" s="36"/>
      <c r="AB181" s="50"/>
      <c r="AC181" s="57" t="str">
        <f>IF(Table1[[#This Row],[Auto Order]]=1,IF(Table1[[#This Row],[In stock]]&lt;Table1[[#This Row],[Min in stock]],1,""),"")</f>
        <v/>
      </c>
    </row>
    <row r="182" spans="1:29" hidden="1" x14ac:dyDescent="0.25">
      <c r="A182" s="61" t="s">
        <v>2937</v>
      </c>
      <c r="B182" s="34" t="s">
        <v>713</v>
      </c>
      <c r="C182" s="34"/>
      <c r="D182" s="34" t="s">
        <v>2938</v>
      </c>
      <c r="E182" s="34" t="s">
        <v>559</v>
      </c>
      <c r="F182" s="54">
        <v>0</v>
      </c>
      <c r="G182" s="54"/>
      <c r="H182" s="54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2" s="34" t="s">
        <v>2936</v>
      </c>
      <c r="M182" s="42">
        <v>0.13</v>
      </c>
      <c r="N182" s="34"/>
      <c r="O182" s="42"/>
      <c r="P182" s="34"/>
      <c r="Q182" s="42"/>
      <c r="R182" s="34"/>
      <c r="S182" s="42"/>
      <c r="T182" s="34"/>
      <c r="U182" s="42"/>
      <c r="V182" s="34"/>
      <c r="W182" s="42"/>
      <c r="X182" s="34"/>
      <c r="Y182" s="42"/>
      <c r="Z182" s="42"/>
      <c r="AA182" s="36"/>
      <c r="AB182" s="50"/>
      <c r="AC182" s="57" t="str">
        <f>IF(Table1[[#This Row],[Auto Order]]=1,IF(Table1[[#This Row],[In stock]]&lt;Table1[[#This Row],[Min in stock]],1,""),"")</f>
        <v/>
      </c>
    </row>
    <row r="183" spans="1:29" hidden="1" x14ac:dyDescent="0.25">
      <c r="A183" s="61" t="s">
        <v>2940</v>
      </c>
      <c r="B183" s="34" t="s">
        <v>713</v>
      </c>
      <c r="C183" s="34"/>
      <c r="D183" s="34" t="s">
        <v>2941</v>
      </c>
      <c r="E183" s="34" t="s">
        <v>559</v>
      </c>
      <c r="F183" s="54">
        <v>0</v>
      </c>
      <c r="G183" s="54"/>
      <c r="H183" s="54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3" s="34" t="s">
        <v>2939</v>
      </c>
      <c r="M183" s="42">
        <v>0.13</v>
      </c>
      <c r="N183" s="34"/>
      <c r="O183" s="42"/>
      <c r="P183" s="34"/>
      <c r="Q183" s="42"/>
      <c r="R183" s="34"/>
      <c r="S183" s="42"/>
      <c r="T183" s="34"/>
      <c r="U183" s="42"/>
      <c r="V183" s="34"/>
      <c r="W183" s="42"/>
      <c r="X183" s="34"/>
      <c r="Y183" s="42"/>
      <c r="Z183" s="42"/>
      <c r="AA183" s="36"/>
      <c r="AB183" s="50"/>
      <c r="AC183" s="57" t="str">
        <f>IF(Table1[[#This Row],[Auto Order]]=1,IF(Table1[[#This Row],[In stock]]&lt;Table1[[#This Row],[Min in stock]],1,""),"")</f>
        <v/>
      </c>
    </row>
    <row r="184" spans="1:29" hidden="1" x14ac:dyDescent="0.25">
      <c r="A184" s="61" t="s">
        <v>1989</v>
      </c>
      <c r="B184" s="34" t="s">
        <v>713</v>
      </c>
      <c r="C184" s="34"/>
      <c r="D184" s="34" t="s">
        <v>1990</v>
      </c>
      <c r="E184" s="34" t="s">
        <v>559</v>
      </c>
      <c r="F184" s="54">
        <v>0</v>
      </c>
      <c r="G184" s="54"/>
      <c r="H184" s="54"/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1988</v>
      </c>
      <c r="M184" s="42">
        <v>0.13</v>
      </c>
      <c r="N184" s="34"/>
      <c r="O184" s="42"/>
      <c r="P184" s="34"/>
      <c r="Q184" s="42"/>
      <c r="R184" s="34"/>
      <c r="S184" s="42"/>
      <c r="T184" s="34"/>
      <c r="U184" s="42"/>
      <c r="V184" s="34"/>
      <c r="W184" s="42"/>
      <c r="X184" s="34"/>
      <c r="Y184" s="42"/>
      <c r="Z184" s="42"/>
      <c r="AA184" s="36"/>
      <c r="AB184" s="50"/>
      <c r="AC184" s="57" t="str">
        <f>IF(Table1[[#This Row],[Auto Order]]=1,IF(Table1[[#This Row],[In stock]]&lt;Table1[[#This Row],[Min in stock]],1,""),"")</f>
        <v/>
      </c>
    </row>
    <row r="185" spans="1:29" hidden="1" x14ac:dyDescent="0.25">
      <c r="A185" s="61" t="s">
        <v>1974</v>
      </c>
      <c r="B185" s="34" t="s">
        <v>713</v>
      </c>
      <c r="C185" s="34"/>
      <c r="D185" s="34" t="s">
        <v>1975</v>
      </c>
      <c r="E185" s="34" t="s">
        <v>559</v>
      </c>
      <c r="F185" s="54">
        <v>0</v>
      </c>
      <c r="G185" s="54"/>
      <c r="H185" s="54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1973</v>
      </c>
      <c r="M185" s="42">
        <v>0.13</v>
      </c>
      <c r="N185" s="34"/>
      <c r="O185" s="42"/>
      <c r="P185" s="34"/>
      <c r="Q185" s="42"/>
      <c r="R185" s="34"/>
      <c r="S185" s="42"/>
      <c r="T185" s="34"/>
      <c r="U185" s="42"/>
      <c r="V185" s="34"/>
      <c r="W185" s="42"/>
      <c r="X185" s="34"/>
      <c r="Y185" s="42"/>
      <c r="Z185" s="42"/>
      <c r="AA185" s="36"/>
      <c r="AB185" s="50"/>
      <c r="AC185" s="57" t="str">
        <f>IF(Table1[[#This Row],[Auto Order]]=1,IF(Table1[[#This Row],[In stock]]&lt;Table1[[#This Row],[Min in stock]],1,""),"")</f>
        <v/>
      </c>
    </row>
    <row r="186" spans="1:29" hidden="1" x14ac:dyDescent="0.25">
      <c r="A186" s="61" t="s">
        <v>2265</v>
      </c>
      <c r="B186" s="34" t="s">
        <v>713</v>
      </c>
      <c r="C186" s="34"/>
      <c r="D186" s="34" t="s">
        <v>2266</v>
      </c>
      <c r="E186" s="34" t="s">
        <v>559</v>
      </c>
      <c r="F186" s="54">
        <v>0</v>
      </c>
      <c r="G186" s="54"/>
      <c r="H186" s="54"/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2264</v>
      </c>
      <c r="M186" s="42">
        <v>0.13</v>
      </c>
      <c r="N186" s="34"/>
      <c r="O186" s="42"/>
      <c r="P186" s="34"/>
      <c r="Q186" s="42"/>
      <c r="R186" s="34"/>
      <c r="S186" s="42"/>
      <c r="T186" s="34"/>
      <c r="U186" s="42"/>
      <c r="V186" s="34"/>
      <c r="W186" s="42"/>
      <c r="X186" s="34"/>
      <c r="Y186" s="42"/>
      <c r="Z186" s="42"/>
      <c r="AA186" s="36"/>
      <c r="AB186" s="50"/>
      <c r="AC186" s="57" t="str">
        <f>IF(Table1[[#This Row],[Auto Order]]=1,IF(Table1[[#This Row],[In stock]]&lt;Table1[[#This Row],[Min in stock]],1,""),"")</f>
        <v/>
      </c>
    </row>
    <row r="187" spans="1:29" hidden="1" x14ac:dyDescent="0.25">
      <c r="A187" s="61" t="s">
        <v>2943</v>
      </c>
      <c r="B187" s="34" t="s">
        <v>713</v>
      </c>
      <c r="C187" s="34"/>
      <c r="D187" s="34" t="s">
        <v>2944</v>
      </c>
      <c r="E187" s="34" t="s">
        <v>559</v>
      </c>
      <c r="F187" s="54">
        <v>0</v>
      </c>
      <c r="G187" s="54"/>
      <c r="H187" s="54"/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2942</v>
      </c>
      <c r="M187" s="42">
        <v>0.13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57" t="str">
        <f>IF(Table1[[#This Row],[Auto Order]]=1,IF(Table1[[#This Row],[In stock]]&lt;Table1[[#This Row],[Min in stock]],1,""),"")</f>
        <v/>
      </c>
    </row>
    <row r="188" spans="1:29" hidden="1" x14ac:dyDescent="0.25">
      <c r="A188" s="61" t="s">
        <v>1977</v>
      </c>
      <c r="B188" s="34" t="s">
        <v>713</v>
      </c>
      <c r="C188" s="34"/>
      <c r="D188" s="34" t="s">
        <v>1978</v>
      </c>
      <c r="E188" s="34" t="s">
        <v>559</v>
      </c>
      <c r="F188" s="54">
        <v>0</v>
      </c>
      <c r="G188" s="54"/>
      <c r="H188" s="54"/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1976</v>
      </c>
      <c r="M188" s="42">
        <v>0.13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7" t="str">
        <f>IF(Table1[[#This Row],[Auto Order]]=1,IF(Table1[[#This Row],[In stock]]&lt;Table1[[#This Row],[Min in stock]],1,""),"")</f>
        <v/>
      </c>
    </row>
    <row r="189" spans="1:29" hidden="1" x14ac:dyDescent="0.25">
      <c r="A189" s="61" t="s">
        <v>2946</v>
      </c>
      <c r="B189" s="34" t="s">
        <v>713</v>
      </c>
      <c r="C189" s="34"/>
      <c r="D189" s="34" t="s">
        <v>2947</v>
      </c>
      <c r="E189" s="34" t="s">
        <v>559</v>
      </c>
      <c r="F189" s="54">
        <v>0</v>
      </c>
      <c r="G189" s="54"/>
      <c r="H189" s="54"/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9" s="34" t="s">
        <v>2945</v>
      </c>
      <c r="M189" s="42">
        <v>0.13</v>
      </c>
      <c r="N189" s="34"/>
      <c r="O189" s="42"/>
      <c r="P189" s="34"/>
      <c r="Q189" s="42"/>
      <c r="R189" s="34"/>
      <c r="S189" s="42"/>
      <c r="T189" s="34"/>
      <c r="U189" s="42"/>
      <c r="V189" s="34"/>
      <c r="W189" s="42"/>
      <c r="X189" s="34"/>
      <c r="Y189" s="42"/>
      <c r="Z189" s="42"/>
      <c r="AA189" s="36"/>
      <c r="AB189" s="50"/>
      <c r="AC189" s="57" t="str">
        <f>IF(Table1[[#This Row],[Auto Order]]=1,IF(Table1[[#This Row],[In stock]]&lt;Table1[[#This Row],[Min in stock]],1,""),"")</f>
        <v/>
      </c>
    </row>
    <row r="190" spans="1:29" hidden="1" x14ac:dyDescent="0.25">
      <c r="A190" s="61" t="s">
        <v>1785</v>
      </c>
      <c r="B190" s="34" t="s">
        <v>713</v>
      </c>
      <c r="C190" s="34"/>
      <c r="D190" s="34" t="s">
        <v>1786</v>
      </c>
      <c r="E190" s="34" t="s">
        <v>559</v>
      </c>
      <c r="F190" s="54">
        <v>0</v>
      </c>
      <c r="G190" s="54"/>
      <c r="H190" s="54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0" s="34" t="s">
        <v>1784</v>
      </c>
      <c r="M190" s="42">
        <v>0.1</v>
      </c>
      <c r="N190" s="34"/>
      <c r="O190" s="42"/>
      <c r="P190" s="34"/>
      <c r="Q190" s="42"/>
      <c r="R190" s="34"/>
      <c r="S190" s="42"/>
      <c r="T190" s="34"/>
      <c r="U190" s="42"/>
      <c r="V190" s="34"/>
      <c r="W190" s="42"/>
      <c r="X190" s="34"/>
      <c r="Y190" s="42"/>
      <c r="Z190" s="42"/>
      <c r="AA190" s="36"/>
      <c r="AB190" s="50"/>
      <c r="AC190" s="57" t="str">
        <f>IF(Table1[[#This Row],[Auto Order]]=1,IF(Table1[[#This Row],[In stock]]&lt;Table1[[#This Row],[Min in stock]],1,""),"")</f>
        <v/>
      </c>
    </row>
    <row r="191" spans="1:29" hidden="1" x14ac:dyDescent="0.25">
      <c r="A191" s="61" t="s">
        <v>1809</v>
      </c>
      <c r="B191" s="34" t="s">
        <v>713</v>
      </c>
      <c r="C191" s="34"/>
      <c r="D191" s="34" t="s">
        <v>1810</v>
      </c>
      <c r="E191" s="34" t="s">
        <v>559</v>
      </c>
      <c r="F191" s="54">
        <v>0</v>
      </c>
      <c r="G191" s="54"/>
      <c r="H191" s="54"/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1808</v>
      </c>
      <c r="M191" s="42">
        <v>0.1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57" t="str">
        <f>IF(Table1[[#This Row],[Auto Order]]=1,IF(Table1[[#This Row],[In stock]]&lt;Table1[[#This Row],[Min in stock]],1,""),"")</f>
        <v/>
      </c>
    </row>
    <row r="192" spans="1:29" hidden="1" x14ac:dyDescent="0.25">
      <c r="A192" s="61" t="s">
        <v>1782</v>
      </c>
      <c r="B192" s="34" t="s">
        <v>713</v>
      </c>
      <c r="C192" s="34"/>
      <c r="D192" s="34" t="s">
        <v>1783</v>
      </c>
      <c r="E192" s="34" t="s">
        <v>559</v>
      </c>
      <c r="F192" s="54">
        <v>0</v>
      </c>
      <c r="G192" s="54">
        <v>10</v>
      </c>
      <c r="H192" s="54"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1781</v>
      </c>
      <c r="M192" s="42">
        <v>0.1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57">
        <f>IF(Table1[[#This Row],[Auto Order]]=1,IF(Table1[[#This Row],[In stock]]&lt;Table1[[#This Row],[Min in stock]],1,""),"")</f>
        <v>1</v>
      </c>
    </row>
    <row r="193" spans="1:29" hidden="1" x14ac:dyDescent="0.25">
      <c r="A193" s="61" t="s">
        <v>1812</v>
      </c>
      <c r="B193" s="34" t="s">
        <v>713</v>
      </c>
      <c r="C193" s="34"/>
      <c r="D193" s="34" t="s">
        <v>1813</v>
      </c>
      <c r="E193" s="34" t="s">
        <v>559</v>
      </c>
      <c r="F193" s="54">
        <v>0</v>
      </c>
      <c r="G193" s="54"/>
      <c r="H193" s="54"/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1811</v>
      </c>
      <c r="M193" s="42">
        <v>0.1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57" t="str">
        <f>IF(Table1[[#This Row],[Auto Order]]=1,IF(Table1[[#This Row],[In stock]]&lt;Table1[[#This Row],[Min in stock]],1,""),"")</f>
        <v/>
      </c>
    </row>
    <row r="194" spans="1:29" hidden="1" x14ac:dyDescent="0.25">
      <c r="A194" s="61" t="s">
        <v>1959</v>
      </c>
      <c r="B194" s="34" t="s">
        <v>713</v>
      </c>
      <c r="C194" s="34"/>
      <c r="D194" s="34" t="s">
        <v>1960</v>
      </c>
      <c r="E194" s="34" t="s">
        <v>559</v>
      </c>
      <c r="F194" s="54">
        <v>0</v>
      </c>
      <c r="G194" s="54"/>
      <c r="H194" s="54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4" s="34" t="s">
        <v>1958</v>
      </c>
      <c r="M194" s="42">
        <v>0.1</v>
      </c>
      <c r="N194" s="34"/>
      <c r="O194" s="42"/>
      <c r="P194" s="34"/>
      <c r="Q194" s="42"/>
      <c r="R194" s="34"/>
      <c r="S194" s="42"/>
      <c r="T194" s="34"/>
      <c r="U194" s="42"/>
      <c r="V194" s="34"/>
      <c r="W194" s="42"/>
      <c r="X194" s="34"/>
      <c r="Y194" s="42"/>
      <c r="Z194" s="42"/>
      <c r="AA194" s="36"/>
      <c r="AB194" s="50"/>
      <c r="AC194" s="57" t="str">
        <f>IF(Table1[[#This Row],[Auto Order]]=1,IF(Table1[[#This Row],[In stock]]&lt;Table1[[#This Row],[Min in stock]],1,""),"")</f>
        <v/>
      </c>
    </row>
    <row r="195" spans="1:29" hidden="1" x14ac:dyDescent="0.25">
      <c r="A195" s="61" t="s">
        <v>2259</v>
      </c>
      <c r="B195" s="34" t="s">
        <v>713</v>
      </c>
      <c r="C195" s="34"/>
      <c r="D195" s="34" t="s">
        <v>2260</v>
      </c>
      <c r="E195" s="34" t="s">
        <v>559</v>
      </c>
      <c r="F195" s="54">
        <v>0</v>
      </c>
      <c r="G195" s="54"/>
      <c r="H195" s="54"/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5" s="34" t="s">
        <v>2258</v>
      </c>
      <c r="M195" s="42">
        <v>0.1</v>
      </c>
      <c r="N195" s="34"/>
      <c r="O195" s="42"/>
      <c r="P195" s="34"/>
      <c r="Q195" s="42"/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57" t="str">
        <f>IF(Table1[[#This Row],[Auto Order]]=1,IF(Table1[[#This Row],[In stock]]&lt;Table1[[#This Row],[Min in stock]],1,""),"")</f>
        <v/>
      </c>
    </row>
    <row r="196" spans="1:29" hidden="1" x14ac:dyDescent="0.25">
      <c r="A196" s="61" t="s">
        <v>2370</v>
      </c>
      <c r="B196" s="34" t="s">
        <v>713</v>
      </c>
      <c r="C196" s="34"/>
      <c r="D196" s="34" t="s">
        <v>2371</v>
      </c>
      <c r="E196" s="34" t="s">
        <v>559</v>
      </c>
      <c r="F196" s="54">
        <v>0</v>
      </c>
      <c r="G196" s="54"/>
      <c r="H196" s="54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2369</v>
      </c>
      <c r="M196" s="42">
        <v>0.1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57" t="str">
        <f>IF(Table1[[#This Row],[Auto Order]]=1,IF(Table1[[#This Row],[In stock]]&lt;Table1[[#This Row],[Min in stock]],1,""),"")</f>
        <v/>
      </c>
    </row>
    <row r="197" spans="1:29" hidden="1" x14ac:dyDescent="0.25">
      <c r="A197" s="61" t="s">
        <v>2202</v>
      </c>
      <c r="B197" s="34" t="s">
        <v>713</v>
      </c>
      <c r="C197" s="34"/>
      <c r="D197" s="34" t="s">
        <v>2203</v>
      </c>
      <c r="E197" s="34" t="s">
        <v>559</v>
      </c>
      <c r="F197" s="54">
        <v>0</v>
      </c>
      <c r="G197" s="54"/>
      <c r="H197" s="54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2201</v>
      </c>
      <c r="M197" s="42">
        <v>0.1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57" t="str">
        <f>IF(Table1[[#This Row],[Auto Order]]=1,IF(Table1[[#This Row],[In stock]]&lt;Table1[[#This Row],[Min in stock]],1,""),"")</f>
        <v/>
      </c>
    </row>
    <row r="198" spans="1:29" hidden="1" x14ac:dyDescent="0.25">
      <c r="A198" s="61" t="s">
        <v>2727</v>
      </c>
      <c r="B198" s="34" t="s">
        <v>713</v>
      </c>
      <c r="C198" s="34"/>
      <c r="D198" s="34" t="s">
        <v>2728</v>
      </c>
      <c r="E198" s="34" t="s">
        <v>559</v>
      </c>
      <c r="F198" s="54">
        <v>0</v>
      </c>
      <c r="G198" s="54"/>
      <c r="H198" s="54"/>
      <c r="I1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8" s="34" t="s">
        <v>2726</v>
      </c>
      <c r="M198" s="42">
        <v>0.1</v>
      </c>
      <c r="N198" s="34"/>
      <c r="O198" s="42"/>
      <c r="P198" s="34"/>
      <c r="Q198" s="42"/>
      <c r="R198" s="34"/>
      <c r="S198" s="42"/>
      <c r="T198" s="34"/>
      <c r="U198" s="42"/>
      <c r="V198" s="34"/>
      <c r="W198" s="42"/>
      <c r="X198" s="34"/>
      <c r="Y198" s="42"/>
      <c r="Z198" s="42"/>
      <c r="AA198" s="36"/>
      <c r="AB198" s="50"/>
      <c r="AC198" s="57" t="str">
        <f>IF(Table1[[#This Row],[Auto Order]]=1,IF(Table1[[#This Row],[In stock]]&lt;Table1[[#This Row],[Min in stock]],1,""),"")</f>
        <v/>
      </c>
    </row>
    <row r="199" spans="1:29" hidden="1" x14ac:dyDescent="0.25">
      <c r="A199" s="61" t="s">
        <v>2502</v>
      </c>
      <c r="B199" s="34" t="s">
        <v>713</v>
      </c>
      <c r="C199" s="34"/>
      <c r="D199" s="34" t="s">
        <v>2503</v>
      </c>
      <c r="E199" s="34" t="s">
        <v>559</v>
      </c>
      <c r="F199" s="54">
        <v>0</v>
      </c>
      <c r="G199" s="54"/>
      <c r="H199" s="54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2501</v>
      </c>
      <c r="M199" s="42">
        <v>0.1</v>
      </c>
      <c r="N199" s="34"/>
      <c r="O199" s="42"/>
      <c r="P199" s="34"/>
      <c r="Q199" s="42"/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57" t="str">
        <f>IF(Table1[[#This Row],[Auto Order]]=1,IF(Table1[[#This Row],[In stock]]&lt;Table1[[#This Row],[Min in stock]],1,""),"")</f>
        <v/>
      </c>
    </row>
    <row r="200" spans="1:29" hidden="1" x14ac:dyDescent="0.25">
      <c r="A200" s="61" t="s">
        <v>2505</v>
      </c>
      <c r="B200" s="34" t="s">
        <v>713</v>
      </c>
      <c r="C200" s="34"/>
      <c r="D200" s="34" t="s">
        <v>2506</v>
      </c>
      <c r="E200" s="34" t="s">
        <v>559</v>
      </c>
      <c r="F200" s="54">
        <v>0</v>
      </c>
      <c r="G200" s="54"/>
      <c r="H200" s="54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2504</v>
      </c>
      <c r="M200" s="42">
        <v>0.1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57" t="str">
        <f>IF(Table1[[#This Row],[Auto Order]]=1,IF(Table1[[#This Row],[In stock]]&lt;Table1[[#This Row],[Min in stock]],1,""),"")</f>
        <v/>
      </c>
    </row>
    <row r="201" spans="1:29" hidden="1" x14ac:dyDescent="0.25">
      <c r="A201" s="61" t="s">
        <v>2781</v>
      </c>
      <c r="B201" s="34" t="s">
        <v>713</v>
      </c>
      <c r="C201" s="34"/>
      <c r="D201" s="34" t="s">
        <v>2782</v>
      </c>
      <c r="E201" s="34" t="s">
        <v>559</v>
      </c>
      <c r="F201" s="54">
        <v>0</v>
      </c>
      <c r="G201" s="54"/>
      <c r="H201" s="54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2780</v>
      </c>
      <c r="M201" s="42">
        <v>0.1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57" t="str">
        <f>IF(Table1[[#This Row],[Auto Order]]=1,IF(Table1[[#This Row],[In stock]]&lt;Table1[[#This Row],[Min in stock]],1,""),"")</f>
        <v/>
      </c>
    </row>
    <row r="202" spans="1:29" hidden="1" x14ac:dyDescent="0.25">
      <c r="A202" s="61" t="s">
        <v>2607</v>
      </c>
      <c r="B202" s="34" t="s">
        <v>713</v>
      </c>
      <c r="C202" s="34"/>
      <c r="D202" s="34" t="s">
        <v>2608</v>
      </c>
      <c r="E202" s="34" t="s">
        <v>559</v>
      </c>
      <c r="F202" s="54">
        <v>0</v>
      </c>
      <c r="G202" s="54"/>
      <c r="H202" s="54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2606</v>
      </c>
      <c r="M202" s="42">
        <v>0.1</v>
      </c>
      <c r="N202" s="34"/>
      <c r="O202" s="42"/>
      <c r="P202" s="34"/>
      <c r="Q202" s="42"/>
      <c r="R202" s="34"/>
      <c r="S202" s="42"/>
      <c r="T202" s="34"/>
      <c r="U202" s="42"/>
      <c r="V202" s="34"/>
      <c r="W202" s="42"/>
      <c r="X202" s="34"/>
      <c r="Y202" s="42"/>
      <c r="Z202" s="42"/>
      <c r="AA202" s="36"/>
      <c r="AB202" s="50"/>
      <c r="AC202" s="57" t="str">
        <f>IF(Table1[[#This Row],[Auto Order]]=1,IF(Table1[[#This Row],[In stock]]&lt;Table1[[#This Row],[Min in stock]],1,""),"")</f>
        <v/>
      </c>
    </row>
    <row r="203" spans="1:29" hidden="1" x14ac:dyDescent="0.25">
      <c r="A203" s="61" t="s">
        <v>2103</v>
      </c>
      <c r="B203" s="34" t="s">
        <v>713</v>
      </c>
      <c r="C203" s="34"/>
      <c r="D203" s="34" t="s">
        <v>2104</v>
      </c>
      <c r="E203" s="34" t="s">
        <v>559</v>
      </c>
      <c r="F203" s="54">
        <v>0</v>
      </c>
      <c r="G203" s="54"/>
      <c r="H203" s="54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2102</v>
      </c>
      <c r="M203" s="42">
        <v>0.1</v>
      </c>
      <c r="N203" s="34"/>
      <c r="O203" s="42"/>
      <c r="P203" s="34"/>
      <c r="Q203" s="42"/>
      <c r="R203" s="34"/>
      <c r="S203" s="42"/>
      <c r="T203" s="34"/>
      <c r="U203" s="42"/>
      <c r="V203" s="34"/>
      <c r="W203" s="42"/>
      <c r="X203" s="34"/>
      <c r="Y203" s="42"/>
      <c r="Z203" s="42"/>
      <c r="AA203" s="36"/>
      <c r="AB203" s="50"/>
      <c r="AC203" s="57" t="str">
        <f>IF(Table1[[#This Row],[Auto Order]]=1,IF(Table1[[#This Row],[In stock]]&lt;Table1[[#This Row],[Min in stock]],1,""),"")</f>
        <v/>
      </c>
    </row>
    <row r="204" spans="1:29" hidden="1" x14ac:dyDescent="0.25">
      <c r="A204" s="61" t="s">
        <v>1839</v>
      </c>
      <c r="B204" s="34" t="s">
        <v>713</v>
      </c>
      <c r="C204" s="34"/>
      <c r="D204" s="34" t="s">
        <v>1840</v>
      </c>
      <c r="E204" s="34" t="s">
        <v>559</v>
      </c>
      <c r="F204" s="54">
        <v>0</v>
      </c>
      <c r="G204" s="54"/>
      <c r="H204" s="54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1838</v>
      </c>
      <c r="M204" s="42">
        <v>0.1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57" t="str">
        <f>IF(Table1[[#This Row],[Auto Order]]=1,IF(Table1[[#This Row],[In stock]]&lt;Table1[[#This Row],[Min in stock]],1,""),"")</f>
        <v/>
      </c>
    </row>
    <row r="205" spans="1:29" hidden="1" x14ac:dyDescent="0.25">
      <c r="A205" s="61" t="s">
        <v>2379</v>
      </c>
      <c r="B205" s="34" t="s">
        <v>713</v>
      </c>
      <c r="C205" s="34"/>
      <c r="D205" s="34" t="s">
        <v>2380</v>
      </c>
      <c r="E205" s="34" t="s">
        <v>559</v>
      </c>
      <c r="F205" s="54">
        <v>0</v>
      </c>
      <c r="G205" s="54"/>
      <c r="H205" s="54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2378</v>
      </c>
      <c r="M205" s="42">
        <v>0.1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57" t="str">
        <f>IF(Table1[[#This Row],[Auto Order]]=1,IF(Table1[[#This Row],[In stock]]&lt;Table1[[#This Row],[Min in stock]],1,""),"")</f>
        <v/>
      </c>
    </row>
    <row r="206" spans="1:29" hidden="1" x14ac:dyDescent="0.25">
      <c r="A206" s="61" t="s">
        <v>2724</v>
      </c>
      <c r="B206" s="34" t="s">
        <v>713</v>
      </c>
      <c r="C206" s="34"/>
      <c r="D206" s="34" t="s">
        <v>2725</v>
      </c>
      <c r="E206" s="34" t="s">
        <v>559</v>
      </c>
      <c r="F206" s="54">
        <v>0</v>
      </c>
      <c r="G206" s="54"/>
      <c r="H206" s="54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2723</v>
      </c>
      <c r="M206" s="42">
        <v>0.1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57" t="str">
        <f>IF(Table1[[#This Row],[Auto Order]]=1,IF(Table1[[#This Row],[In stock]]&lt;Table1[[#This Row],[Min in stock]],1,""),"")</f>
        <v/>
      </c>
    </row>
    <row r="207" spans="1:29" hidden="1" x14ac:dyDescent="0.25">
      <c r="A207" s="61" t="s">
        <v>2382</v>
      </c>
      <c r="B207" s="34" t="s">
        <v>713</v>
      </c>
      <c r="C207" s="34"/>
      <c r="D207" s="34" t="s">
        <v>2383</v>
      </c>
      <c r="E207" s="34" t="s">
        <v>559</v>
      </c>
      <c r="F207" s="54">
        <v>0</v>
      </c>
      <c r="G207" s="54"/>
      <c r="H207" s="54"/>
      <c r="I2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7" s="34" t="s">
        <v>2381</v>
      </c>
      <c r="M207" s="42">
        <v>0.1</v>
      </c>
      <c r="N207" s="34"/>
      <c r="O207" s="42"/>
      <c r="P207" s="34"/>
      <c r="Q207" s="42"/>
      <c r="R207" s="34"/>
      <c r="S207" s="42"/>
      <c r="T207" s="34"/>
      <c r="U207" s="42"/>
      <c r="V207" s="34"/>
      <c r="W207" s="42"/>
      <c r="X207" s="34"/>
      <c r="Y207" s="42"/>
      <c r="Z207" s="42"/>
      <c r="AA207" s="36"/>
      <c r="AB207" s="50"/>
      <c r="AC207" s="57" t="str">
        <f>IF(Table1[[#This Row],[Auto Order]]=1,IF(Table1[[#This Row],[In stock]]&lt;Table1[[#This Row],[Min in stock]],1,""),"")</f>
        <v/>
      </c>
    </row>
    <row r="208" spans="1:29" hidden="1" x14ac:dyDescent="0.25">
      <c r="A208" s="61" t="s">
        <v>2508</v>
      </c>
      <c r="B208" s="34" t="s">
        <v>713</v>
      </c>
      <c r="C208" s="34"/>
      <c r="D208" s="34" t="s">
        <v>2509</v>
      </c>
      <c r="E208" s="34" t="s">
        <v>559</v>
      </c>
      <c r="F208" s="54">
        <v>0</v>
      </c>
      <c r="G208" s="54"/>
      <c r="H208" s="54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2507</v>
      </c>
      <c r="M208" s="42">
        <v>0.1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57" t="str">
        <f>IF(Table1[[#This Row],[Auto Order]]=1,IF(Table1[[#This Row],[In stock]]&lt;Table1[[#This Row],[Min in stock]],1,""),"")</f>
        <v/>
      </c>
    </row>
    <row r="209" spans="1:29" hidden="1" x14ac:dyDescent="0.25">
      <c r="A209" s="61" t="s">
        <v>2742</v>
      </c>
      <c r="B209" s="34" t="s">
        <v>713</v>
      </c>
      <c r="C209" s="34"/>
      <c r="D209" s="34" t="s">
        <v>2743</v>
      </c>
      <c r="E209" s="34" t="s">
        <v>559</v>
      </c>
      <c r="F209" s="54">
        <v>0</v>
      </c>
      <c r="G209" s="54"/>
      <c r="H209" s="54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2741</v>
      </c>
      <c r="M209" s="42">
        <v>0.1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57" t="str">
        <f>IF(Table1[[#This Row],[Auto Order]]=1,IF(Table1[[#This Row],[In stock]]&lt;Table1[[#This Row],[Min in stock]],1,""),"")</f>
        <v/>
      </c>
    </row>
    <row r="210" spans="1:29" hidden="1" x14ac:dyDescent="0.25">
      <c r="A210" s="61" t="s">
        <v>1905</v>
      </c>
      <c r="B210" s="34" t="s">
        <v>713</v>
      </c>
      <c r="C210" s="34"/>
      <c r="D210" s="34" t="s">
        <v>1906</v>
      </c>
      <c r="E210" s="34" t="s">
        <v>559</v>
      </c>
      <c r="F210" s="54">
        <v>0</v>
      </c>
      <c r="G210" s="54"/>
      <c r="H210" s="54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1904</v>
      </c>
      <c r="M210" s="42">
        <v>0.1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57" t="str">
        <f>IF(Table1[[#This Row],[Auto Order]]=1,IF(Table1[[#This Row],[In stock]]&lt;Table1[[#This Row],[Min in stock]],1,""),"")</f>
        <v/>
      </c>
    </row>
    <row r="211" spans="1:29" hidden="1" x14ac:dyDescent="0.25">
      <c r="A211" s="61" t="s">
        <v>2511</v>
      </c>
      <c r="B211" s="34" t="s">
        <v>713</v>
      </c>
      <c r="C211" s="34"/>
      <c r="D211" s="34" t="s">
        <v>2512</v>
      </c>
      <c r="E211" s="34" t="s">
        <v>559</v>
      </c>
      <c r="F211" s="54">
        <v>0</v>
      </c>
      <c r="G211" s="54"/>
      <c r="H211" s="54"/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2510</v>
      </c>
      <c r="M211" s="42">
        <v>0.1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57" t="str">
        <f>IF(Table1[[#This Row],[Auto Order]]=1,IF(Table1[[#This Row],[In stock]]&lt;Table1[[#This Row],[Min in stock]],1,""),"")</f>
        <v/>
      </c>
    </row>
    <row r="212" spans="1:29" hidden="1" x14ac:dyDescent="0.25">
      <c r="A212" s="61" t="s">
        <v>2802</v>
      </c>
      <c r="B212" s="34" t="s">
        <v>713</v>
      </c>
      <c r="C212" s="34"/>
      <c r="D212" s="34" t="s">
        <v>2803</v>
      </c>
      <c r="E212" s="34" t="s">
        <v>559</v>
      </c>
      <c r="F212" s="54">
        <v>0</v>
      </c>
      <c r="G212" s="54"/>
      <c r="H212" s="54"/>
      <c r="I2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2" s="34" t="s">
        <v>2801</v>
      </c>
      <c r="M212" s="42">
        <v>0.1</v>
      </c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/>
      <c r="Y212" s="42"/>
      <c r="Z212" s="42"/>
      <c r="AA212" s="36"/>
      <c r="AB212" s="50"/>
      <c r="AC212" s="57" t="str">
        <f>IF(Table1[[#This Row],[Auto Order]]=1,IF(Table1[[#This Row],[In stock]]&lt;Table1[[#This Row],[Min in stock]],1,""),"")</f>
        <v/>
      </c>
    </row>
    <row r="213" spans="1:29" hidden="1" x14ac:dyDescent="0.25">
      <c r="A213" s="61" t="s">
        <v>2610</v>
      </c>
      <c r="B213" s="34" t="s">
        <v>713</v>
      </c>
      <c r="C213" s="34"/>
      <c r="D213" s="34" t="s">
        <v>2611</v>
      </c>
      <c r="E213" s="34" t="s">
        <v>559</v>
      </c>
      <c r="F213" s="54">
        <v>0</v>
      </c>
      <c r="G213" s="54"/>
      <c r="H213" s="54"/>
      <c r="I2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3" s="34" t="s">
        <v>2609</v>
      </c>
      <c r="M213" s="42">
        <v>0.1</v>
      </c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/>
      <c r="Y213" s="42"/>
      <c r="Z213" s="42"/>
      <c r="AA213" s="36"/>
      <c r="AB213" s="50"/>
      <c r="AC213" s="57" t="str">
        <f>IF(Table1[[#This Row],[Auto Order]]=1,IF(Table1[[#This Row],[In stock]]&lt;Table1[[#This Row],[Min in stock]],1,""),"")</f>
        <v/>
      </c>
    </row>
    <row r="214" spans="1:29" hidden="1" x14ac:dyDescent="0.25">
      <c r="A214" s="61" t="s">
        <v>2613</v>
      </c>
      <c r="B214" s="34" t="s">
        <v>713</v>
      </c>
      <c r="C214" s="34"/>
      <c r="D214" s="34" t="s">
        <v>2614</v>
      </c>
      <c r="E214" s="34" t="s">
        <v>559</v>
      </c>
      <c r="F214" s="54">
        <v>0</v>
      </c>
      <c r="G214" s="54"/>
      <c r="H214" s="54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4" s="34" t="s">
        <v>2612</v>
      </c>
      <c r="M214" s="42">
        <v>0.1</v>
      </c>
      <c r="N214" s="34"/>
      <c r="O214" s="42"/>
      <c r="P214" s="34"/>
      <c r="Q214" s="42"/>
      <c r="R214" s="34"/>
      <c r="S214" s="42"/>
      <c r="T214" s="34"/>
      <c r="U214" s="42"/>
      <c r="V214" s="34"/>
      <c r="W214" s="42"/>
      <c r="X214" s="34"/>
      <c r="Y214" s="42"/>
      <c r="Z214" s="42"/>
      <c r="AA214" s="36"/>
      <c r="AB214" s="50"/>
      <c r="AC214" s="57" t="str">
        <f>IF(Table1[[#This Row],[Auto Order]]=1,IF(Table1[[#This Row],[In stock]]&lt;Table1[[#This Row],[Min in stock]],1,""),"")</f>
        <v/>
      </c>
    </row>
    <row r="215" spans="1:29" hidden="1" x14ac:dyDescent="0.25">
      <c r="A215" s="61" t="s">
        <v>2169</v>
      </c>
      <c r="B215" s="34" t="s">
        <v>713</v>
      </c>
      <c r="C215" s="34"/>
      <c r="D215" s="34" t="s">
        <v>2170</v>
      </c>
      <c r="E215" s="34" t="s">
        <v>559</v>
      </c>
      <c r="F215" s="54">
        <v>0</v>
      </c>
      <c r="G215" s="54"/>
      <c r="H215" s="54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5" s="34" t="s">
        <v>2168</v>
      </c>
      <c r="M215" s="42">
        <v>0.1</v>
      </c>
      <c r="N215" s="34"/>
      <c r="O215" s="42"/>
      <c r="P215" s="34"/>
      <c r="Q215" s="42"/>
      <c r="R215" s="34"/>
      <c r="S215" s="42"/>
      <c r="T215" s="34"/>
      <c r="U215" s="42"/>
      <c r="V215" s="34"/>
      <c r="W215" s="42"/>
      <c r="X215" s="34"/>
      <c r="Y215" s="42"/>
      <c r="Z215" s="42"/>
      <c r="AA215" s="36"/>
      <c r="AB215" s="50"/>
      <c r="AC215" s="57" t="str">
        <f>IF(Table1[[#This Row],[Auto Order]]=1,IF(Table1[[#This Row],[In stock]]&lt;Table1[[#This Row],[Min in stock]],1,""),"")</f>
        <v/>
      </c>
    </row>
    <row r="216" spans="1:29" hidden="1" x14ac:dyDescent="0.25">
      <c r="A216" s="63" t="s">
        <v>1971</v>
      </c>
      <c r="B216" s="34" t="s">
        <v>713</v>
      </c>
      <c r="C216" s="34"/>
      <c r="D216" s="34" t="s">
        <v>1972</v>
      </c>
      <c r="E216" s="34" t="s">
        <v>559</v>
      </c>
      <c r="F216" s="54">
        <v>0</v>
      </c>
      <c r="G216" s="54">
        <v>10</v>
      </c>
      <c r="H216" s="54">
        <f>1</f>
        <v>1</v>
      </c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6" s="34" t="s">
        <v>1970</v>
      </c>
      <c r="M216" s="42">
        <v>0.13</v>
      </c>
      <c r="N216" s="34"/>
      <c r="O216" s="42"/>
      <c r="P216" s="34"/>
      <c r="Q216" s="42"/>
      <c r="R216" s="34"/>
      <c r="S216" s="42"/>
      <c r="T216" s="34"/>
      <c r="U216" s="42"/>
      <c r="V216" s="34"/>
      <c r="W216" s="42"/>
      <c r="X216" s="34"/>
      <c r="Y216" s="42"/>
      <c r="Z216" s="42"/>
      <c r="AA216" s="36"/>
      <c r="AB216" s="50"/>
      <c r="AC216" s="57">
        <f>IF(Table1[[#This Row],[Auto Order]]=1,IF(Table1[[#This Row],[In stock]]&lt;Table1[[#This Row],[Min in stock]],1,""),"")</f>
        <v>1</v>
      </c>
    </row>
    <row r="217" spans="1:29" hidden="1" x14ac:dyDescent="0.25">
      <c r="A217" s="61" t="s">
        <v>2232</v>
      </c>
      <c r="B217" s="34" t="s">
        <v>713</v>
      </c>
      <c r="C217" s="34"/>
      <c r="D217" s="34" t="s">
        <v>2233</v>
      </c>
      <c r="E217" s="34" t="s">
        <v>559</v>
      </c>
      <c r="F217" s="54">
        <v>0</v>
      </c>
      <c r="G217" s="54"/>
      <c r="H217" s="54"/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2231</v>
      </c>
      <c r="M217" s="42">
        <v>0.1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57" t="str">
        <f>IF(Table1[[#This Row],[Auto Order]]=1,IF(Table1[[#This Row],[In stock]]&lt;Table1[[#This Row],[Min in stock]],1,""),"")</f>
        <v/>
      </c>
    </row>
    <row r="218" spans="1:29" hidden="1" x14ac:dyDescent="0.25">
      <c r="A218" s="61" t="s">
        <v>2181</v>
      </c>
      <c r="B218" s="34" t="s">
        <v>713</v>
      </c>
      <c r="C218" s="34"/>
      <c r="D218" s="34" t="s">
        <v>2182</v>
      </c>
      <c r="E218" s="34" t="s">
        <v>559</v>
      </c>
      <c r="F218" s="54">
        <v>0</v>
      </c>
      <c r="G218" s="54"/>
      <c r="H218" s="54"/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2180</v>
      </c>
      <c r="M218" s="42">
        <v>0.1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57" t="str">
        <f>IF(Table1[[#This Row],[Auto Order]]=1,IF(Table1[[#This Row],[In stock]]&lt;Table1[[#This Row],[Min in stock]],1,""),"")</f>
        <v/>
      </c>
    </row>
    <row r="219" spans="1:29" hidden="1" x14ac:dyDescent="0.25">
      <c r="A219" s="61" t="s">
        <v>2514</v>
      </c>
      <c r="B219" s="34" t="s">
        <v>713</v>
      </c>
      <c r="C219" s="34"/>
      <c r="D219" s="34" t="s">
        <v>2515</v>
      </c>
      <c r="E219" s="34" t="s">
        <v>559</v>
      </c>
      <c r="F219" s="54">
        <v>0</v>
      </c>
      <c r="G219" s="54"/>
      <c r="H219" s="54"/>
      <c r="I2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9" s="34" t="s">
        <v>2513</v>
      </c>
      <c r="M219" s="42">
        <v>0.1</v>
      </c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/>
      <c r="AA219" s="36"/>
      <c r="AB219" s="50"/>
      <c r="AC219" s="57" t="str">
        <f>IF(Table1[[#This Row],[Auto Order]]=1,IF(Table1[[#This Row],[In stock]]&lt;Table1[[#This Row],[Min in stock]],1,""),"")</f>
        <v/>
      </c>
    </row>
    <row r="220" spans="1:29" hidden="1" x14ac:dyDescent="0.25">
      <c r="A220" s="61" t="s">
        <v>2877</v>
      </c>
      <c r="B220" s="34" t="s">
        <v>713</v>
      </c>
      <c r="C220" s="34"/>
      <c r="D220" s="34" t="s">
        <v>2878</v>
      </c>
      <c r="E220" s="34" t="s">
        <v>559</v>
      </c>
      <c r="F220" s="54">
        <v>0</v>
      </c>
      <c r="G220" s="54"/>
      <c r="H220" s="54"/>
      <c r="I2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0" s="34" t="s">
        <v>2876</v>
      </c>
      <c r="M220" s="42">
        <v>0.1</v>
      </c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/>
      <c r="AA220" s="36"/>
      <c r="AB220" s="50"/>
      <c r="AC220" s="57" t="str">
        <f>IF(Table1[[#This Row],[Auto Order]]=1,IF(Table1[[#This Row],[In stock]]&lt;Table1[[#This Row],[Min in stock]],1,""),"")</f>
        <v/>
      </c>
    </row>
    <row r="221" spans="1:29" hidden="1" x14ac:dyDescent="0.25">
      <c r="A221" s="61" t="s">
        <v>2385</v>
      </c>
      <c r="B221" s="34" t="s">
        <v>713</v>
      </c>
      <c r="C221" s="34"/>
      <c r="D221" s="34" t="s">
        <v>2386</v>
      </c>
      <c r="E221" s="34" t="s">
        <v>559</v>
      </c>
      <c r="F221" s="54">
        <v>0</v>
      </c>
      <c r="G221" s="54"/>
      <c r="H221" s="54"/>
      <c r="I2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1" s="34" t="s">
        <v>2384</v>
      </c>
      <c r="M221" s="42">
        <v>0.1</v>
      </c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/>
      <c r="AA221" s="36"/>
      <c r="AB221" s="50"/>
      <c r="AC221" s="57" t="str">
        <f>IF(Table1[[#This Row],[Auto Order]]=1,IF(Table1[[#This Row],[In stock]]&lt;Table1[[#This Row],[Min in stock]],1,""),"")</f>
        <v/>
      </c>
    </row>
    <row r="222" spans="1:29" hidden="1" x14ac:dyDescent="0.25">
      <c r="A222" s="61" t="s">
        <v>2373</v>
      </c>
      <c r="B222" s="34" t="s">
        <v>713</v>
      </c>
      <c r="C222" s="34"/>
      <c r="D222" s="34" t="s">
        <v>2374</v>
      </c>
      <c r="E222" s="34" t="s">
        <v>559</v>
      </c>
      <c r="F222" s="54">
        <v>0</v>
      </c>
      <c r="G222" s="54"/>
      <c r="H222" s="54"/>
      <c r="I2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2" s="34" t="s">
        <v>2372</v>
      </c>
      <c r="M222" s="42">
        <v>0.1</v>
      </c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/>
      <c r="AA222" s="36"/>
      <c r="AB222" s="50"/>
      <c r="AC222" s="57" t="str">
        <f>IF(Table1[[#This Row],[Auto Order]]=1,IF(Table1[[#This Row],[In stock]]&lt;Table1[[#This Row],[Min in stock]],1,""),"")</f>
        <v/>
      </c>
    </row>
    <row r="223" spans="1:29" hidden="1" x14ac:dyDescent="0.25">
      <c r="A223" s="61" t="s">
        <v>2700</v>
      </c>
      <c r="B223" s="34" t="s">
        <v>713</v>
      </c>
      <c r="C223" s="34"/>
      <c r="D223" s="34" t="s">
        <v>2701</v>
      </c>
      <c r="E223" s="34" t="s">
        <v>559</v>
      </c>
      <c r="F223" s="54">
        <v>0</v>
      </c>
      <c r="G223" s="54"/>
      <c r="H223" s="54"/>
      <c r="I2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3" s="34" t="s">
        <v>2699</v>
      </c>
      <c r="M223" s="42">
        <v>0.1</v>
      </c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57" t="str">
        <f>IF(Table1[[#This Row],[Auto Order]]=1,IF(Table1[[#This Row],[In stock]]&lt;Table1[[#This Row],[Min in stock]],1,""),"")</f>
        <v/>
      </c>
    </row>
    <row r="224" spans="1:29" hidden="1" x14ac:dyDescent="0.25">
      <c r="A224" s="61" t="s">
        <v>2193</v>
      </c>
      <c r="B224" s="34" t="s">
        <v>713</v>
      </c>
      <c r="C224" s="34"/>
      <c r="D224" s="34" t="s">
        <v>2194</v>
      </c>
      <c r="E224" s="34" t="s">
        <v>559</v>
      </c>
      <c r="F224" s="54">
        <v>0</v>
      </c>
      <c r="G224" s="54"/>
      <c r="H224" s="54"/>
      <c r="I2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4" s="34" t="s">
        <v>2192</v>
      </c>
      <c r="M224" s="42">
        <v>0.1</v>
      </c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7" t="str">
        <f>IF(Table1[[#This Row],[Auto Order]]=1,IF(Table1[[#This Row],[In stock]]&lt;Table1[[#This Row],[Min in stock]],1,""),"")</f>
        <v/>
      </c>
    </row>
    <row r="225" spans="1:29" hidden="1" x14ac:dyDescent="0.25">
      <c r="A225" s="61" t="s">
        <v>2616</v>
      </c>
      <c r="B225" s="34" t="s">
        <v>713</v>
      </c>
      <c r="C225" s="34"/>
      <c r="D225" s="34" t="s">
        <v>2617</v>
      </c>
      <c r="E225" s="34" t="s">
        <v>559</v>
      </c>
      <c r="F225" s="54">
        <v>0</v>
      </c>
      <c r="G225" s="54"/>
      <c r="H225" s="54"/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2615</v>
      </c>
      <c r="M225" s="42">
        <v>0.1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57" t="str">
        <f>IF(Table1[[#This Row],[Auto Order]]=1,IF(Table1[[#This Row],[In stock]]&lt;Table1[[#This Row],[Min in stock]],1,""),"")</f>
        <v/>
      </c>
    </row>
    <row r="226" spans="1:29" hidden="1" x14ac:dyDescent="0.25">
      <c r="A226" s="61" t="s">
        <v>1902</v>
      </c>
      <c r="B226" s="34" t="s">
        <v>713</v>
      </c>
      <c r="C226" s="34"/>
      <c r="D226" s="34" t="s">
        <v>1903</v>
      </c>
      <c r="E226" s="34" t="s">
        <v>559</v>
      </c>
      <c r="F226" s="54">
        <v>0</v>
      </c>
      <c r="G226" s="54"/>
      <c r="H226" s="54"/>
      <c r="I2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6" s="34" t="s">
        <v>1901</v>
      </c>
      <c r="M226" s="42">
        <v>0.1</v>
      </c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/>
      <c r="Y226" s="42"/>
      <c r="Z226" s="42"/>
      <c r="AA226" s="36"/>
      <c r="AB226" s="50"/>
      <c r="AC226" s="57" t="str">
        <f>IF(Table1[[#This Row],[Auto Order]]=1,IF(Table1[[#This Row],[In stock]]&lt;Table1[[#This Row],[Min in stock]],1,""),"")</f>
        <v/>
      </c>
    </row>
    <row r="227" spans="1:29" hidden="1" x14ac:dyDescent="0.25">
      <c r="A227" s="61" t="s">
        <v>1878</v>
      </c>
      <c r="B227" s="34" t="s">
        <v>713</v>
      </c>
      <c r="C227" s="34"/>
      <c r="D227" s="34" t="s">
        <v>1879</v>
      </c>
      <c r="E227" s="34" t="s">
        <v>559</v>
      </c>
      <c r="F227" s="54">
        <v>0</v>
      </c>
      <c r="G227" s="54">
        <v>10</v>
      </c>
      <c r="H227" s="54">
        <f>1</f>
        <v>1</v>
      </c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1877</v>
      </c>
      <c r="M227" s="42">
        <v>0.1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57">
        <f>IF(Table1[[#This Row],[Auto Order]]=1,IF(Table1[[#This Row],[In stock]]&lt;Table1[[#This Row],[Min in stock]],1,""),"")</f>
        <v>1</v>
      </c>
    </row>
    <row r="228" spans="1:29" hidden="1" x14ac:dyDescent="0.25">
      <c r="A228" s="61" t="s">
        <v>2388</v>
      </c>
      <c r="B228" s="34" t="s">
        <v>713</v>
      </c>
      <c r="C228" s="34"/>
      <c r="D228" s="34" t="s">
        <v>2389</v>
      </c>
      <c r="E228" s="34" t="s">
        <v>559</v>
      </c>
      <c r="F228" s="54">
        <v>0</v>
      </c>
      <c r="G228" s="54"/>
      <c r="H228" s="54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2387</v>
      </c>
      <c r="M228" s="42">
        <v>0.1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57" t="str">
        <f>IF(Table1[[#This Row],[Auto Order]]=1,IF(Table1[[#This Row],[In stock]]&lt;Table1[[#This Row],[Min in stock]],1,""),"")</f>
        <v/>
      </c>
    </row>
    <row r="229" spans="1:29" hidden="1" x14ac:dyDescent="0.25">
      <c r="A229" s="61" t="s">
        <v>2229</v>
      </c>
      <c r="B229" s="34" t="s">
        <v>713</v>
      </c>
      <c r="C229" s="34"/>
      <c r="D229" s="34" t="s">
        <v>2230</v>
      </c>
      <c r="E229" s="34" t="s">
        <v>559</v>
      </c>
      <c r="F229" s="54">
        <v>0</v>
      </c>
      <c r="G229" s="54"/>
      <c r="H229" s="54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2228</v>
      </c>
      <c r="M229" s="42">
        <v>0.1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7" t="str">
        <f>IF(Table1[[#This Row],[Auto Order]]=1,IF(Table1[[#This Row],[In stock]]&lt;Table1[[#This Row],[Min in stock]],1,""),"")</f>
        <v/>
      </c>
    </row>
    <row r="230" spans="1:29" hidden="1" x14ac:dyDescent="0.25">
      <c r="A230" s="61" t="s">
        <v>2703</v>
      </c>
      <c r="B230" s="34" t="s">
        <v>713</v>
      </c>
      <c r="C230" s="34"/>
      <c r="D230" s="34" t="s">
        <v>2704</v>
      </c>
      <c r="E230" s="34" t="s">
        <v>559</v>
      </c>
      <c r="F230" s="54">
        <v>0</v>
      </c>
      <c r="G230" s="54"/>
      <c r="H230" s="54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2702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7" t="str">
        <f>IF(Table1[[#This Row],[Auto Order]]=1,IF(Table1[[#This Row],[In stock]]&lt;Table1[[#This Row],[Min in stock]],1,""),"")</f>
        <v/>
      </c>
    </row>
    <row r="231" spans="1:29" hidden="1" x14ac:dyDescent="0.25">
      <c r="A231" s="61" t="s">
        <v>2517</v>
      </c>
      <c r="B231" s="34" t="s">
        <v>713</v>
      </c>
      <c r="C231" s="34"/>
      <c r="D231" s="34" t="s">
        <v>2518</v>
      </c>
      <c r="E231" s="34" t="s">
        <v>559</v>
      </c>
      <c r="F231" s="54">
        <v>0</v>
      </c>
      <c r="G231" s="54"/>
      <c r="H231" s="54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2516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7" t="str">
        <f>IF(Table1[[#This Row],[Auto Order]]=1,IF(Table1[[#This Row],[In stock]]&lt;Table1[[#This Row],[Min in stock]],1,""),"")</f>
        <v/>
      </c>
    </row>
    <row r="232" spans="1:29" hidden="1" x14ac:dyDescent="0.25">
      <c r="A232" s="61" t="s">
        <v>1833</v>
      </c>
      <c r="B232" s="34" t="s">
        <v>713</v>
      </c>
      <c r="C232" s="34"/>
      <c r="D232" s="34" t="s">
        <v>1834</v>
      </c>
      <c r="E232" s="34" t="s">
        <v>559</v>
      </c>
      <c r="F232" s="54">
        <v>0</v>
      </c>
      <c r="G232" s="54"/>
      <c r="H232" s="54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1832</v>
      </c>
      <c r="M232" s="42">
        <v>0.1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57" t="str">
        <f>IF(Table1[[#This Row],[Auto Order]]=1,IF(Table1[[#This Row],[In stock]]&lt;Table1[[#This Row],[Min in stock]],1,""),"")</f>
        <v/>
      </c>
    </row>
    <row r="233" spans="1:29" hidden="1" x14ac:dyDescent="0.25">
      <c r="A233" s="61" t="s">
        <v>2619</v>
      </c>
      <c r="B233" s="34" t="s">
        <v>713</v>
      </c>
      <c r="C233" s="34"/>
      <c r="D233" s="34" t="s">
        <v>2620</v>
      </c>
      <c r="E233" s="34" t="s">
        <v>559</v>
      </c>
      <c r="F233" s="54">
        <v>0</v>
      </c>
      <c r="G233" s="54"/>
      <c r="H233" s="54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2618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7" t="str">
        <f>IF(Table1[[#This Row],[Auto Order]]=1,IF(Table1[[#This Row],[In stock]]&lt;Table1[[#This Row],[Min in stock]],1,""),"")</f>
        <v/>
      </c>
    </row>
    <row r="234" spans="1:29" hidden="1" x14ac:dyDescent="0.25">
      <c r="A234" s="61" t="s">
        <v>2520</v>
      </c>
      <c r="B234" s="34" t="s">
        <v>713</v>
      </c>
      <c r="C234" s="34"/>
      <c r="D234" s="34" t="s">
        <v>2521</v>
      </c>
      <c r="E234" s="34" t="s">
        <v>559</v>
      </c>
      <c r="F234" s="54">
        <v>0</v>
      </c>
      <c r="G234" s="54"/>
      <c r="H234" s="54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2519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7" t="str">
        <f>IF(Table1[[#This Row],[Auto Order]]=1,IF(Table1[[#This Row],[In stock]]&lt;Table1[[#This Row],[Min in stock]],1,""),"")</f>
        <v/>
      </c>
    </row>
    <row r="235" spans="1:29" hidden="1" x14ac:dyDescent="0.25">
      <c r="A235" s="61" t="s">
        <v>2184</v>
      </c>
      <c r="B235" s="34" t="s">
        <v>713</v>
      </c>
      <c r="C235" s="34"/>
      <c r="D235" s="34" t="s">
        <v>2185</v>
      </c>
      <c r="E235" s="34" t="s">
        <v>559</v>
      </c>
      <c r="F235" s="54">
        <v>0</v>
      </c>
      <c r="G235" s="54"/>
      <c r="H235" s="54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2183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7" t="str">
        <f>IF(Table1[[#This Row],[Auto Order]]=1,IF(Table1[[#This Row],[In stock]]&lt;Table1[[#This Row],[Min in stock]],1,""),"")</f>
        <v/>
      </c>
    </row>
    <row r="236" spans="1:29" hidden="1" x14ac:dyDescent="0.25">
      <c r="A236" s="61" t="s">
        <v>2898</v>
      </c>
      <c r="B236" s="34" t="s">
        <v>713</v>
      </c>
      <c r="C236" s="34"/>
      <c r="D236" s="34" t="s">
        <v>2899</v>
      </c>
      <c r="E236" s="34" t="s">
        <v>559</v>
      </c>
      <c r="F236" s="54">
        <v>0</v>
      </c>
      <c r="G236" s="54"/>
      <c r="H236" s="54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2897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7" t="str">
        <f>IF(Table1[[#This Row],[Auto Order]]=1,IF(Table1[[#This Row],[In stock]]&lt;Table1[[#This Row],[Min in stock]],1,""),"")</f>
        <v/>
      </c>
    </row>
    <row r="237" spans="1:29" hidden="1" x14ac:dyDescent="0.25">
      <c r="A237" s="61" t="s">
        <v>2691</v>
      </c>
      <c r="B237" s="34" t="s">
        <v>713</v>
      </c>
      <c r="C237" s="34"/>
      <c r="D237" s="34" t="s">
        <v>2692</v>
      </c>
      <c r="E237" s="34" t="s">
        <v>559</v>
      </c>
      <c r="F237" s="54">
        <v>0</v>
      </c>
      <c r="G237" s="54"/>
      <c r="H237" s="54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2690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7" t="str">
        <f>IF(Table1[[#This Row],[Auto Order]]=1,IF(Table1[[#This Row],[In stock]]&lt;Table1[[#This Row],[Min in stock]],1,""),"")</f>
        <v/>
      </c>
    </row>
    <row r="238" spans="1:29" hidden="1" x14ac:dyDescent="0.25">
      <c r="A238" s="61" t="s">
        <v>2775</v>
      </c>
      <c r="B238" s="34" t="s">
        <v>713</v>
      </c>
      <c r="C238" s="34"/>
      <c r="D238" s="34" t="s">
        <v>2776</v>
      </c>
      <c r="E238" s="34" t="s">
        <v>559</v>
      </c>
      <c r="F238" s="54">
        <v>0</v>
      </c>
      <c r="G238" s="54"/>
      <c r="H238" s="54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2774</v>
      </c>
      <c r="M238" s="42">
        <v>0.1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7" t="str">
        <f>IF(Table1[[#This Row],[Auto Order]]=1,IF(Table1[[#This Row],[In stock]]&lt;Table1[[#This Row],[Min in stock]],1,""),"")</f>
        <v/>
      </c>
    </row>
    <row r="239" spans="1:29" hidden="1" x14ac:dyDescent="0.25">
      <c r="A239" s="61" t="s">
        <v>2376</v>
      </c>
      <c r="B239" s="34" t="s">
        <v>713</v>
      </c>
      <c r="C239" s="34"/>
      <c r="D239" s="34" t="s">
        <v>2377</v>
      </c>
      <c r="E239" s="34" t="s">
        <v>559</v>
      </c>
      <c r="F239" s="54">
        <v>0</v>
      </c>
      <c r="G239" s="54"/>
      <c r="H239" s="54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2375</v>
      </c>
      <c r="M239" s="42">
        <v>0.1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57" t="str">
        <f>IF(Table1[[#This Row],[Auto Order]]=1,IF(Table1[[#This Row],[In stock]]&lt;Table1[[#This Row],[Min in stock]],1,""),"")</f>
        <v/>
      </c>
    </row>
    <row r="240" spans="1:29" hidden="1" x14ac:dyDescent="0.25">
      <c r="A240" s="61" t="s">
        <v>1872</v>
      </c>
      <c r="B240" s="34" t="s">
        <v>713</v>
      </c>
      <c r="C240" s="34"/>
      <c r="D240" s="34" t="s">
        <v>1873</v>
      </c>
      <c r="E240" s="34" t="s">
        <v>559</v>
      </c>
      <c r="F240" s="54">
        <v>0</v>
      </c>
      <c r="G240" s="54"/>
      <c r="H240" s="54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1871</v>
      </c>
      <c r="M240" s="42">
        <v>0.1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57" t="str">
        <f>IF(Table1[[#This Row],[Auto Order]]=1,IF(Table1[[#This Row],[In stock]]&lt;Table1[[#This Row],[Min in stock]],1,""),"")</f>
        <v/>
      </c>
    </row>
    <row r="241" spans="1:29" hidden="1" x14ac:dyDescent="0.25">
      <c r="A241" s="61" t="s">
        <v>2178</v>
      </c>
      <c r="B241" s="34" t="s">
        <v>713</v>
      </c>
      <c r="C241" s="34"/>
      <c r="D241" s="34" t="s">
        <v>2179</v>
      </c>
      <c r="E241" s="34" t="s">
        <v>559</v>
      </c>
      <c r="F241" s="54">
        <v>0</v>
      </c>
      <c r="G241" s="54"/>
      <c r="H241" s="54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2177</v>
      </c>
      <c r="M241" s="42">
        <v>0.1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7" t="str">
        <f>IF(Table1[[#This Row],[Auto Order]]=1,IF(Table1[[#This Row],[In stock]]&lt;Table1[[#This Row],[Min in stock]],1,""),"")</f>
        <v/>
      </c>
    </row>
    <row r="242" spans="1:29" hidden="1" x14ac:dyDescent="0.25">
      <c r="A242" s="61" t="s">
        <v>1962</v>
      </c>
      <c r="B242" s="34" t="s">
        <v>713</v>
      </c>
      <c r="C242" s="34"/>
      <c r="D242" s="34" t="s">
        <v>1963</v>
      </c>
      <c r="E242" s="34" t="s">
        <v>559</v>
      </c>
      <c r="F242" s="54">
        <v>0</v>
      </c>
      <c r="G242" s="54"/>
      <c r="H242" s="54"/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1961</v>
      </c>
      <c r="M242" s="42">
        <v>0.1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7" t="str">
        <f>IF(Table1[[#This Row],[Auto Order]]=1,IF(Table1[[#This Row],[In stock]]&lt;Table1[[#This Row],[Min in stock]],1,""),"")</f>
        <v/>
      </c>
    </row>
    <row r="243" spans="1:29" hidden="1" x14ac:dyDescent="0.25">
      <c r="A243" s="61" t="s">
        <v>2919</v>
      </c>
      <c r="B243" s="34" t="s">
        <v>713</v>
      </c>
      <c r="C243" s="34"/>
      <c r="D243" s="34" t="s">
        <v>2920</v>
      </c>
      <c r="E243" s="34" t="s">
        <v>559</v>
      </c>
      <c r="F243" s="54">
        <v>0</v>
      </c>
      <c r="G243" s="54"/>
      <c r="H243" s="54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2918</v>
      </c>
      <c r="M243" s="42">
        <v>0.1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7" t="str">
        <f>IF(Table1[[#This Row],[Auto Order]]=1,IF(Table1[[#This Row],[In stock]]&lt;Table1[[#This Row],[Min in stock]],1,""),"")</f>
        <v/>
      </c>
    </row>
    <row r="244" spans="1:29" hidden="1" x14ac:dyDescent="0.25">
      <c r="A244" s="61" t="s">
        <v>2706</v>
      </c>
      <c r="B244" s="34" t="s">
        <v>713</v>
      </c>
      <c r="C244" s="34"/>
      <c r="D244" s="34" t="s">
        <v>2707</v>
      </c>
      <c r="E244" s="34" t="s">
        <v>559</v>
      </c>
      <c r="F244" s="54">
        <v>0</v>
      </c>
      <c r="G244" s="54"/>
      <c r="H244" s="54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2705</v>
      </c>
      <c r="M244" s="42">
        <v>0.1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7" t="str">
        <f>IF(Table1[[#This Row],[Auto Order]]=1,IF(Table1[[#This Row],[In stock]]&lt;Table1[[#This Row],[Min in stock]],1,""),"")</f>
        <v/>
      </c>
    </row>
    <row r="245" spans="1:29" hidden="1" x14ac:dyDescent="0.25">
      <c r="A245" s="61" t="s">
        <v>1821</v>
      </c>
      <c r="B245" s="34" t="s">
        <v>713</v>
      </c>
      <c r="C245" s="34"/>
      <c r="D245" s="34" t="s">
        <v>1822</v>
      </c>
      <c r="E245" s="34" t="s">
        <v>559</v>
      </c>
      <c r="F245" s="54">
        <v>0</v>
      </c>
      <c r="G245" s="54"/>
      <c r="H245" s="54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1820</v>
      </c>
      <c r="M245" s="42">
        <v>0.1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7" t="str">
        <f>IF(Table1[[#This Row],[Auto Order]]=1,IF(Table1[[#This Row],[In stock]]&lt;Table1[[#This Row],[Min in stock]],1,""),"")</f>
        <v/>
      </c>
    </row>
    <row r="246" spans="1:29" hidden="1" x14ac:dyDescent="0.25">
      <c r="A246" s="61" t="s">
        <v>2154</v>
      </c>
      <c r="B246" s="34" t="s">
        <v>713</v>
      </c>
      <c r="C246" s="34"/>
      <c r="D246" s="34" t="s">
        <v>2155</v>
      </c>
      <c r="E246" s="34" t="s">
        <v>559</v>
      </c>
      <c r="F246" s="54">
        <v>0</v>
      </c>
      <c r="G246" s="54"/>
      <c r="H246" s="54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2153</v>
      </c>
      <c r="M246" s="42">
        <v>0.1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7" t="str">
        <f>IF(Table1[[#This Row],[Auto Order]]=1,IF(Table1[[#This Row],[In stock]]&lt;Table1[[#This Row],[Min in stock]],1,""),"")</f>
        <v/>
      </c>
    </row>
    <row r="247" spans="1:29" hidden="1" x14ac:dyDescent="0.25">
      <c r="A247" s="61" t="s">
        <v>2340</v>
      </c>
      <c r="B247" s="34" t="s">
        <v>713</v>
      </c>
      <c r="C247" s="34"/>
      <c r="D247" s="34" t="s">
        <v>2341</v>
      </c>
      <c r="E247" s="34" t="s">
        <v>559</v>
      </c>
      <c r="F247" s="54">
        <v>0</v>
      </c>
      <c r="G247" s="54"/>
      <c r="H247" s="54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2339</v>
      </c>
      <c r="M247" s="42">
        <v>0.1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7" t="str">
        <f>IF(Table1[[#This Row],[Auto Order]]=1,IF(Table1[[#This Row],[In stock]]&lt;Table1[[#This Row],[Min in stock]],1,""),"")</f>
        <v/>
      </c>
    </row>
    <row r="248" spans="1:29" hidden="1" x14ac:dyDescent="0.25">
      <c r="A248" s="61" t="s">
        <v>2241</v>
      </c>
      <c r="B248" s="34" t="s">
        <v>713</v>
      </c>
      <c r="C248" s="34"/>
      <c r="D248" s="34" t="s">
        <v>2242</v>
      </c>
      <c r="E248" s="34" t="s">
        <v>559</v>
      </c>
      <c r="F248" s="54">
        <v>0</v>
      </c>
      <c r="G248" s="54"/>
      <c r="H248" s="54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2240</v>
      </c>
      <c r="M248" s="42">
        <v>0.1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7" t="str">
        <f>IF(Table1[[#This Row],[Auto Order]]=1,IF(Table1[[#This Row],[In stock]]&lt;Table1[[#This Row],[Min in stock]],1,""),"")</f>
        <v/>
      </c>
    </row>
    <row r="249" spans="1:29" hidden="1" x14ac:dyDescent="0.25">
      <c r="A249" s="61" t="s">
        <v>2523</v>
      </c>
      <c r="B249" s="34" t="s">
        <v>713</v>
      </c>
      <c r="C249" s="34"/>
      <c r="D249" s="34" t="s">
        <v>2524</v>
      </c>
      <c r="E249" s="34" t="s">
        <v>559</v>
      </c>
      <c r="F249" s="54">
        <v>0</v>
      </c>
      <c r="G249" s="54"/>
      <c r="H249" s="54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2522</v>
      </c>
      <c r="M249" s="42">
        <v>0.1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7" t="str">
        <f>IF(Table1[[#This Row],[Auto Order]]=1,IF(Table1[[#This Row],[In stock]]&lt;Table1[[#This Row],[Min in stock]],1,""),"")</f>
        <v/>
      </c>
    </row>
    <row r="250" spans="1:29" hidden="1" x14ac:dyDescent="0.25">
      <c r="A250" s="61" t="s">
        <v>2499</v>
      </c>
      <c r="B250" s="34" t="s">
        <v>713</v>
      </c>
      <c r="C250" s="34"/>
      <c r="D250" s="34" t="s">
        <v>2500</v>
      </c>
      <c r="E250" s="34" t="s">
        <v>559</v>
      </c>
      <c r="F250" s="54">
        <v>0</v>
      </c>
      <c r="G250" s="54"/>
      <c r="H250" s="54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2498</v>
      </c>
      <c r="M250" s="42">
        <v>0.1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7" t="str">
        <f>IF(Table1[[#This Row],[Auto Order]]=1,IF(Table1[[#This Row],[In stock]]&lt;Table1[[#This Row],[Min in stock]],1,""),"")</f>
        <v/>
      </c>
    </row>
    <row r="251" spans="1:29" hidden="1" x14ac:dyDescent="0.25">
      <c r="A251" s="61" t="s">
        <v>2526</v>
      </c>
      <c r="B251" s="34" t="s">
        <v>713</v>
      </c>
      <c r="C251" s="34"/>
      <c r="D251" s="34" t="s">
        <v>2527</v>
      </c>
      <c r="E251" s="34" t="s">
        <v>559</v>
      </c>
      <c r="F251" s="54">
        <v>0</v>
      </c>
      <c r="G251" s="54"/>
      <c r="H251" s="54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2525</v>
      </c>
      <c r="M251" s="42">
        <v>0.1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7" t="str">
        <f>IF(Table1[[#This Row],[Auto Order]]=1,IF(Table1[[#This Row],[In stock]]&lt;Table1[[#This Row],[Min in stock]],1,""),"")</f>
        <v/>
      </c>
    </row>
    <row r="252" spans="1:29" hidden="1" x14ac:dyDescent="0.25">
      <c r="A252" s="61" t="s">
        <v>1860</v>
      </c>
      <c r="B252" s="34" t="s">
        <v>713</v>
      </c>
      <c r="C252" s="34"/>
      <c r="D252" s="34" t="s">
        <v>1861</v>
      </c>
      <c r="E252" s="34" t="s">
        <v>559</v>
      </c>
      <c r="F252" s="54">
        <v>0</v>
      </c>
      <c r="G252" s="54"/>
      <c r="H252" s="54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1859</v>
      </c>
      <c r="M252" s="42">
        <v>0.1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7" t="str">
        <f>IF(Table1[[#This Row],[Auto Order]]=1,IF(Table1[[#This Row],[In stock]]&lt;Table1[[#This Row],[Min in stock]],1,""),"")</f>
        <v/>
      </c>
    </row>
    <row r="253" spans="1:29" hidden="1" x14ac:dyDescent="0.25">
      <c r="A253" s="61" t="s">
        <v>2820</v>
      </c>
      <c r="B253" s="34" t="s">
        <v>713</v>
      </c>
      <c r="C253" s="34"/>
      <c r="D253" s="34" t="s">
        <v>2821</v>
      </c>
      <c r="E253" s="34" t="s">
        <v>559</v>
      </c>
      <c r="F253" s="54">
        <v>0</v>
      </c>
      <c r="G253" s="54"/>
      <c r="H253" s="54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2819</v>
      </c>
      <c r="M253" s="42">
        <v>0.1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7" t="str">
        <f>IF(Table1[[#This Row],[Auto Order]]=1,IF(Table1[[#This Row],[In stock]]&lt;Table1[[#This Row],[Min in stock]],1,""),"")</f>
        <v/>
      </c>
    </row>
    <row r="254" spans="1:29" hidden="1" x14ac:dyDescent="0.25">
      <c r="A254" s="61" t="s">
        <v>2529</v>
      </c>
      <c r="B254" s="34" t="s">
        <v>713</v>
      </c>
      <c r="C254" s="34"/>
      <c r="D254" s="34" t="s">
        <v>2530</v>
      </c>
      <c r="E254" s="34" t="s">
        <v>559</v>
      </c>
      <c r="F254" s="54">
        <v>0</v>
      </c>
      <c r="G254" s="54"/>
      <c r="H254" s="54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2528</v>
      </c>
      <c r="M254" s="42">
        <v>0.1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7" t="str">
        <f>IF(Table1[[#This Row],[Auto Order]]=1,IF(Table1[[#This Row],[In stock]]&lt;Table1[[#This Row],[Min in stock]],1,""),"")</f>
        <v/>
      </c>
    </row>
    <row r="255" spans="1:29" hidden="1" x14ac:dyDescent="0.25">
      <c r="A255" s="61" t="s">
        <v>2733</v>
      </c>
      <c r="B255" s="34" t="s">
        <v>713</v>
      </c>
      <c r="C255" s="34"/>
      <c r="D255" s="34" t="s">
        <v>2734</v>
      </c>
      <c r="E255" s="34" t="s">
        <v>559</v>
      </c>
      <c r="F255" s="54">
        <v>0</v>
      </c>
      <c r="G255" s="54"/>
      <c r="H255" s="54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2732</v>
      </c>
      <c r="M255" s="42">
        <v>0.1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7" t="str">
        <f>IF(Table1[[#This Row],[Auto Order]]=1,IF(Table1[[#This Row],[In stock]]&lt;Table1[[#This Row],[Min in stock]],1,""),"")</f>
        <v/>
      </c>
    </row>
    <row r="256" spans="1:29" hidden="1" x14ac:dyDescent="0.25">
      <c r="A256" s="61" t="s">
        <v>2730</v>
      </c>
      <c r="B256" s="34" t="s">
        <v>713</v>
      </c>
      <c r="C256" s="34"/>
      <c r="D256" s="34" t="s">
        <v>2731</v>
      </c>
      <c r="E256" s="34" t="s">
        <v>559</v>
      </c>
      <c r="F256" s="54">
        <v>0</v>
      </c>
      <c r="G256" s="54"/>
      <c r="H256" s="54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2729</v>
      </c>
      <c r="M256" s="42">
        <v>0.1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7" t="str">
        <f>IF(Table1[[#This Row],[Auto Order]]=1,IF(Table1[[#This Row],[In stock]]&lt;Table1[[#This Row],[Min in stock]],1,""),"")</f>
        <v/>
      </c>
    </row>
    <row r="257" spans="1:29" hidden="1" x14ac:dyDescent="0.25">
      <c r="A257" s="61" t="s">
        <v>1929</v>
      </c>
      <c r="B257" s="34" t="s">
        <v>713</v>
      </c>
      <c r="C257" s="34"/>
      <c r="D257" s="34" t="s">
        <v>1930</v>
      </c>
      <c r="E257" s="34" t="s">
        <v>559</v>
      </c>
      <c r="F257" s="54">
        <v>0</v>
      </c>
      <c r="G257" s="54"/>
      <c r="H257" s="54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1928</v>
      </c>
      <c r="M257" s="42">
        <v>0.1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7" t="str">
        <f>IF(Table1[[#This Row],[Auto Order]]=1,IF(Table1[[#This Row],[In stock]]&lt;Table1[[#This Row],[Min in stock]],1,""),"")</f>
        <v/>
      </c>
    </row>
    <row r="258" spans="1:29" hidden="1" x14ac:dyDescent="0.25">
      <c r="A258" s="61" t="s">
        <v>2208</v>
      </c>
      <c r="B258" s="34" t="s">
        <v>713</v>
      </c>
      <c r="C258" s="34"/>
      <c r="D258" s="34" t="s">
        <v>2209</v>
      </c>
      <c r="E258" s="34" t="s">
        <v>559</v>
      </c>
      <c r="F258" s="54">
        <v>0</v>
      </c>
      <c r="G258" s="54"/>
      <c r="H258" s="54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2207</v>
      </c>
      <c r="M258" s="42">
        <v>0.1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7" t="str">
        <f>IF(Table1[[#This Row],[Auto Order]]=1,IF(Table1[[#This Row],[In stock]]&lt;Table1[[#This Row],[Min in stock]],1,""),"")</f>
        <v/>
      </c>
    </row>
    <row r="259" spans="1:29" hidden="1" x14ac:dyDescent="0.25">
      <c r="A259" s="61" t="s">
        <v>2391</v>
      </c>
      <c r="B259" s="34" t="s">
        <v>713</v>
      </c>
      <c r="C259" s="34"/>
      <c r="D259" s="34" t="s">
        <v>2392</v>
      </c>
      <c r="E259" s="34" t="s">
        <v>559</v>
      </c>
      <c r="F259" s="54">
        <v>0</v>
      </c>
      <c r="G259" s="54"/>
      <c r="H259" s="54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2390</v>
      </c>
      <c r="M259" s="42">
        <v>0.1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7" t="str">
        <f>IF(Table1[[#This Row],[Auto Order]]=1,IF(Table1[[#This Row],[In stock]]&lt;Table1[[#This Row],[Min in stock]],1,""),"")</f>
        <v/>
      </c>
    </row>
    <row r="260" spans="1:29" hidden="1" x14ac:dyDescent="0.25">
      <c r="A260" s="61" t="s">
        <v>2076</v>
      </c>
      <c r="B260" s="34" t="s">
        <v>713</v>
      </c>
      <c r="C260" s="34"/>
      <c r="D260" s="34" t="s">
        <v>2077</v>
      </c>
      <c r="E260" s="34" t="s">
        <v>559</v>
      </c>
      <c r="F260" s="54">
        <v>0</v>
      </c>
      <c r="G260" s="54"/>
      <c r="H260" s="54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2075</v>
      </c>
      <c r="M260" s="42">
        <v>0.1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7" t="str">
        <f>IF(Table1[[#This Row],[Auto Order]]=1,IF(Table1[[#This Row],[In stock]]&lt;Table1[[#This Row],[Min in stock]],1,""),"")</f>
        <v/>
      </c>
    </row>
    <row r="261" spans="1:29" hidden="1" x14ac:dyDescent="0.25">
      <c r="A261" s="61" t="s">
        <v>2904</v>
      </c>
      <c r="B261" s="34" t="s">
        <v>713</v>
      </c>
      <c r="C261" s="34"/>
      <c r="D261" s="34" t="s">
        <v>2905</v>
      </c>
      <c r="E261" s="34" t="s">
        <v>559</v>
      </c>
      <c r="F261" s="54">
        <v>0</v>
      </c>
      <c r="G261" s="54"/>
      <c r="H261" s="54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2903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7" t="str">
        <f>IF(Table1[[#This Row],[Auto Order]]=1,IF(Table1[[#This Row],[In stock]]&lt;Table1[[#This Row],[Min in stock]],1,""),"")</f>
        <v/>
      </c>
    </row>
    <row r="262" spans="1:29" hidden="1" x14ac:dyDescent="0.25">
      <c r="A262" s="61" t="s">
        <v>1965</v>
      </c>
      <c r="B262" s="34" t="s">
        <v>713</v>
      </c>
      <c r="C262" s="34"/>
      <c r="D262" s="34" t="s">
        <v>1966</v>
      </c>
      <c r="E262" s="34" t="s">
        <v>559</v>
      </c>
      <c r="F262" s="54">
        <v>0</v>
      </c>
      <c r="G262" s="54"/>
      <c r="H262" s="54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1964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7" t="str">
        <f>IF(Table1[[#This Row],[Auto Order]]=1,IF(Table1[[#This Row],[In stock]]&lt;Table1[[#This Row],[Min in stock]],1,""),"")</f>
        <v/>
      </c>
    </row>
    <row r="263" spans="1:29" hidden="1" x14ac:dyDescent="0.25">
      <c r="A263" s="61" t="s">
        <v>2157</v>
      </c>
      <c r="B263" s="34" t="s">
        <v>713</v>
      </c>
      <c r="C263" s="34"/>
      <c r="D263" s="34" t="s">
        <v>2158</v>
      </c>
      <c r="E263" s="34" t="s">
        <v>559</v>
      </c>
      <c r="F263" s="54">
        <v>0</v>
      </c>
      <c r="G263" s="54"/>
      <c r="H263" s="54"/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2156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7" t="str">
        <f>IF(Table1[[#This Row],[Auto Order]]=1,IF(Table1[[#This Row],[In stock]]&lt;Table1[[#This Row],[Min in stock]],1,""),"")</f>
        <v/>
      </c>
    </row>
    <row r="264" spans="1:29" hidden="1" x14ac:dyDescent="0.25">
      <c r="A264" s="61" t="s">
        <v>2934</v>
      </c>
      <c r="B264" s="34" t="s">
        <v>713</v>
      </c>
      <c r="C264" s="34"/>
      <c r="D264" s="34" t="s">
        <v>2935</v>
      </c>
      <c r="E264" s="34" t="s">
        <v>559</v>
      </c>
      <c r="F264" s="54">
        <v>0</v>
      </c>
      <c r="G264" s="54"/>
      <c r="H264" s="54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2933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7" t="str">
        <f>IF(Table1[[#This Row],[Auto Order]]=1,IF(Table1[[#This Row],[In stock]]&lt;Table1[[#This Row],[Min in stock]],1,""),"")</f>
        <v/>
      </c>
    </row>
    <row r="265" spans="1:29" hidden="1" x14ac:dyDescent="0.25">
      <c r="A265" s="61" t="s">
        <v>2247</v>
      </c>
      <c r="B265" s="34" t="s">
        <v>713</v>
      </c>
      <c r="C265" s="34"/>
      <c r="D265" s="34" t="s">
        <v>2248</v>
      </c>
      <c r="E265" s="34" t="s">
        <v>559</v>
      </c>
      <c r="F265" s="54">
        <v>0</v>
      </c>
      <c r="G265" s="54"/>
      <c r="H265" s="54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2246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7" t="str">
        <f>IF(Table1[[#This Row],[Auto Order]]=1,IF(Table1[[#This Row],[In stock]]&lt;Table1[[#This Row],[Min in stock]],1,""),"")</f>
        <v/>
      </c>
    </row>
    <row r="266" spans="1:29" hidden="1" x14ac:dyDescent="0.25">
      <c r="A266" s="61" t="s">
        <v>2841</v>
      </c>
      <c r="B266" s="34" t="s">
        <v>713</v>
      </c>
      <c r="C266" s="34"/>
      <c r="D266" s="34" t="s">
        <v>2842</v>
      </c>
      <c r="E266" s="34" t="s">
        <v>559</v>
      </c>
      <c r="F266" s="54">
        <v>0</v>
      </c>
      <c r="G266" s="54"/>
      <c r="H266" s="54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2840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7" t="str">
        <f>IF(Table1[[#This Row],[Auto Order]]=1,IF(Table1[[#This Row],[In stock]]&lt;Table1[[#This Row],[Min in stock]],1,""),"")</f>
        <v/>
      </c>
    </row>
    <row r="267" spans="1:29" hidden="1" x14ac:dyDescent="0.25">
      <c r="A267" s="61" t="s">
        <v>1893</v>
      </c>
      <c r="B267" s="34" t="s">
        <v>713</v>
      </c>
      <c r="C267" s="34"/>
      <c r="D267" s="34" t="s">
        <v>1894</v>
      </c>
      <c r="E267" s="34" t="s">
        <v>559</v>
      </c>
      <c r="F267" s="54">
        <v>0</v>
      </c>
      <c r="G267" s="54"/>
      <c r="H267" s="54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1892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7" t="str">
        <f>IF(Table1[[#This Row],[Auto Order]]=1,IF(Table1[[#This Row],[In stock]]&lt;Table1[[#This Row],[Min in stock]],1,""),"")</f>
        <v/>
      </c>
    </row>
    <row r="268" spans="1:29" hidden="1" x14ac:dyDescent="0.25">
      <c r="A268" s="61" t="s">
        <v>2394</v>
      </c>
      <c r="B268" s="34" t="s">
        <v>713</v>
      </c>
      <c r="C268" s="34"/>
      <c r="D268" s="34" t="s">
        <v>2395</v>
      </c>
      <c r="E268" s="34" t="s">
        <v>559</v>
      </c>
      <c r="F268" s="54">
        <v>0</v>
      </c>
      <c r="G268" s="54"/>
      <c r="H268" s="54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2393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7" t="str">
        <f>IF(Table1[[#This Row],[Auto Order]]=1,IF(Table1[[#This Row],[In stock]]&lt;Table1[[#This Row],[Min in stock]],1,""),"")</f>
        <v/>
      </c>
    </row>
    <row r="269" spans="1:29" hidden="1" x14ac:dyDescent="0.25">
      <c r="A269" s="61" t="s">
        <v>2397</v>
      </c>
      <c r="B269" s="34" t="s">
        <v>713</v>
      </c>
      <c r="C269" s="34"/>
      <c r="D269" s="34" t="s">
        <v>2398</v>
      </c>
      <c r="E269" s="34" t="s">
        <v>559</v>
      </c>
      <c r="F269" s="54">
        <v>0</v>
      </c>
      <c r="G269" s="54"/>
      <c r="H269" s="54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2396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7" t="str">
        <f>IF(Table1[[#This Row],[Auto Order]]=1,IF(Table1[[#This Row],[In stock]]&lt;Table1[[#This Row],[Min in stock]],1,""),"")</f>
        <v/>
      </c>
    </row>
    <row r="270" spans="1:29" hidden="1" x14ac:dyDescent="0.25">
      <c r="A270" s="61" t="s">
        <v>2784</v>
      </c>
      <c r="B270" s="34" t="s">
        <v>713</v>
      </c>
      <c r="C270" s="34"/>
      <c r="D270" s="34" t="s">
        <v>2785</v>
      </c>
      <c r="E270" s="34" t="s">
        <v>559</v>
      </c>
      <c r="F270" s="54">
        <v>0</v>
      </c>
      <c r="G270" s="54"/>
      <c r="H270" s="54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2783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7" t="str">
        <f>IF(Table1[[#This Row],[Auto Order]]=1,IF(Table1[[#This Row],[In stock]]&lt;Table1[[#This Row],[Min in stock]],1,""),"")</f>
        <v/>
      </c>
    </row>
    <row r="271" spans="1:29" hidden="1" x14ac:dyDescent="0.25">
      <c r="A271" s="61" t="s">
        <v>2532</v>
      </c>
      <c r="B271" s="34" t="s">
        <v>713</v>
      </c>
      <c r="C271" s="34"/>
      <c r="D271" s="34" t="s">
        <v>2533</v>
      </c>
      <c r="E271" s="34" t="s">
        <v>559</v>
      </c>
      <c r="F271" s="54">
        <v>0</v>
      </c>
      <c r="G271" s="54"/>
      <c r="H271" s="54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2531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7" t="str">
        <f>IF(Table1[[#This Row],[Auto Order]]=1,IF(Table1[[#This Row],[In stock]]&lt;Table1[[#This Row],[Min in stock]],1,""),"")</f>
        <v/>
      </c>
    </row>
    <row r="272" spans="1:29" hidden="1" x14ac:dyDescent="0.25">
      <c r="A272" s="61" t="s">
        <v>1899</v>
      </c>
      <c r="B272" s="34" t="s">
        <v>713</v>
      </c>
      <c r="C272" s="34"/>
      <c r="D272" s="34" t="s">
        <v>1900</v>
      </c>
      <c r="E272" s="34" t="s">
        <v>559</v>
      </c>
      <c r="F272" s="54">
        <v>0</v>
      </c>
      <c r="G272" s="54"/>
      <c r="H272" s="54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1898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7" t="str">
        <f>IF(Table1[[#This Row],[Auto Order]]=1,IF(Table1[[#This Row],[In stock]]&lt;Table1[[#This Row],[Min in stock]],1,""),"")</f>
        <v/>
      </c>
    </row>
    <row r="273" spans="1:29" hidden="1" x14ac:dyDescent="0.25">
      <c r="A273" s="61" t="s">
        <v>1836</v>
      </c>
      <c r="B273" s="34" t="s">
        <v>713</v>
      </c>
      <c r="C273" s="34"/>
      <c r="D273" s="34" t="s">
        <v>1837</v>
      </c>
      <c r="E273" s="34" t="s">
        <v>559</v>
      </c>
      <c r="F273" s="54">
        <v>0</v>
      </c>
      <c r="G273" s="54"/>
      <c r="H273" s="54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1835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7" t="str">
        <f>IF(Table1[[#This Row],[Auto Order]]=1,IF(Table1[[#This Row],[In stock]]&lt;Table1[[#This Row],[Min in stock]],1,""),"")</f>
        <v/>
      </c>
    </row>
    <row r="274" spans="1:29" hidden="1" x14ac:dyDescent="0.25">
      <c r="A274" s="61" t="s">
        <v>2211</v>
      </c>
      <c r="B274" s="34" t="s">
        <v>713</v>
      </c>
      <c r="C274" s="34"/>
      <c r="D274" s="34" t="s">
        <v>2212</v>
      </c>
      <c r="E274" s="34" t="s">
        <v>559</v>
      </c>
      <c r="F274" s="54">
        <v>0</v>
      </c>
      <c r="G274" s="54"/>
      <c r="H274" s="54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2210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7" t="str">
        <f>IF(Table1[[#This Row],[Auto Order]]=1,IF(Table1[[#This Row],[In stock]]&lt;Table1[[#This Row],[Min in stock]],1,""),"")</f>
        <v/>
      </c>
    </row>
    <row r="275" spans="1:29" hidden="1" x14ac:dyDescent="0.25">
      <c r="A275" s="61" t="s">
        <v>2892</v>
      </c>
      <c r="B275" s="34" t="s">
        <v>713</v>
      </c>
      <c r="C275" s="34"/>
      <c r="D275" s="34" t="s">
        <v>2893</v>
      </c>
      <c r="E275" s="34" t="s">
        <v>559</v>
      </c>
      <c r="F275" s="54">
        <v>0</v>
      </c>
      <c r="G275" s="54"/>
      <c r="H275" s="54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2891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7" t="str">
        <f>IF(Table1[[#This Row],[Auto Order]]=1,IF(Table1[[#This Row],[In stock]]&lt;Table1[[#This Row],[Min in stock]],1,""),"")</f>
        <v/>
      </c>
    </row>
    <row r="276" spans="1:29" hidden="1" x14ac:dyDescent="0.25">
      <c r="A276" s="61" t="s">
        <v>2913</v>
      </c>
      <c r="B276" s="34" t="s">
        <v>713</v>
      </c>
      <c r="C276" s="34"/>
      <c r="D276" s="34" t="s">
        <v>2914</v>
      </c>
      <c r="E276" s="34" t="s">
        <v>559</v>
      </c>
      <c r="F276" s="54">
        <v>0</v>
      </c>
      <c r="G276" s="54"/>
      <c r="H276" s="54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2912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7" t="str">
        <f>IF(Table1[[#This Row],[Auto Order]]=1,IF(Table1[[#This Row],[In stock]]&lt;Table1[[#This Row],[Min in stock]],1,""),"")</f>
        <v/>
      </c>
    </row>
    <row r="277" spans="1:29" hidden="1" x14ac:dyDescent="0.25">
      <c r="A277" s="61" t="s">
        <v>2535</v>
      </c>
      <c r="B277" s="34" t="s">
        <v>713</v>
      </c>
      <c r="C277" s="34"/>
      <c r="D277" s="34" t="s">
        <v>2536</v>
      </c>
      <c r="E277" s="34" t="s">
        <v>559</v>
      </c>
      <c r="F277" s="54">
        <v>0</v>
      </c>
      <c r="G277" s="54"/>
      <c r="H277" s="54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2534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7" t="str">
        <f>IF(Table1[[#This Row],[Auto Order]]=1,IF(Table1[[#This Row],[In stock]]&lt;Table1[[#This Row],[Min in stock]],1,""),"")</f>
        <v/>
      </c>
    </row>
    <row r="278" spans="1:29" hidden="1" x14ac:dyDescent="0.25">
      <c r="A278" s="61" t="s">
        <v>2679</v>
      </c>
      <c r="B278" s="34" t="s">
        <v>713</v>
      </c>
      <c r="C278" s="34"/>
      <c r="D278" s="34" t="s">
        <v>2680</v>
      </c>
      <c r="E278" s="34" t="s">
        <v>559</v>
      </c>
      <c r="F278" s="54">
        <v>0</v>
      </c>
      <c r="G278" s="54"/>
      <c r="H278" s="54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2678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7" t="str">
        <f>IF(Table1[[#This Row],[Auto Order]]=1,IF(Table1[[#This Row],[In stock]]&lt;Table1[[#This Row],[Min in stock]],1,""),"")</f>
        <v/>
      </c>
    </row>
    <row r="279" spans="1:29" hidden="1" x14ac:dyDescent="0.25">
      <c r="A279" s="61" t="s">
        <v>2400</v>
      </c>
      <c r="B279" s="34" t="s">
        <v>713</v>
      </c>
      <c r="C279" s="34"/>
      <c r="D279" s="34" t="s">
        <v>2401</v>
      </c>
      <c r="E279" s="34" t="s">
        <v>559</v>
      </c>
      <c r="F279" s="54">
        <v>0</v>
      </c>
      <c r="G279" s="54"/>
      <c r="H279" s="54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2399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7" t="str">
        <f>IF(Table1[[#This Row],[Auto Order]]=1,IF(Table1[[#This Row],[In stock]]&lt;Table1[[#This Row],[Min in stock]],1,""),"")</f>
        <v/>
      </c>
    </row>
    <row r="280" spans="1:29" hidden="1" x14ac:dyDescent="0.25">
      <c r="A280" s="61" t="s">
        <v>2826</v>
      </c>
      <c r="B280" s="34" t="s">
        <v>713</v>
      </c>
      <c r="C280" s="34"/>
      <c r="D280" s="34" t="s">
        <v>2827</v>
      </c>
      <c r="E280" s="34" t="s">
        <v>559</v>
      </c>
      <c r="F280" s="54">
        <v>0</v>
      </c>
      <c r="G280" s="54"/>
      <c r="H280" s="54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2825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7" t="str">
        <f>IF(Table1[[#This Row],[Auto Order]]=1,IF(Table1[[#This Row],[In stock]]&lt;Table1[[#This Row],[Min in stock]],1,""),"")</f>
        <v/>
      </c>
    </row>
    <row r="281" spans="1:29" hidden="1" x14ac:dyDescent="0.25">
      <c r="A281" s="61" t="s">
        <v>2622</v>
      </c>
      <c r="B281" s="34" t="s">
        <v>713</v>
      </c>
      <c r="C281" s="34"/>
      <c r="D281" s="34" t="s">
        <v>2623</v>
      </c>
      <c r="E281" s="34" t="s">
        <v>559</v>
      </c>
      <c r="F281" s="54">
        <v>0</v>
      </c>
      <c r="G281" s="54"/>
      <c r="H281" s="54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2621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7" t="str">
        <f>IF(Table1[[#This Row],[Auto Order]]=1,IF(Table1[[#This Row],[In stock]]&lt;Table1[[#This Row],[Min in stock]],1,""),"")</f>
        <v/>
      </c>
    </row>
    <row r="282" spans="1:29" hidden="1" x14ac:dyDescent="0.25">
      <c r="A282" s="61" t="s">
        <v>2625</v>
      </c>
      <c r="B282" s="34" t="s">
        <v>713</v>
      </c>
      <c r="C282" s="34"/>
      <c r="D282" s="34" t="s">
        <v>2626</v>
      </c>
      <c r="E282" s="34" t="s">
        <v>559</v>
      </c>
      <c r="F282" s="54">
        <v>0</v>
      </c>
      <c r="G282" s="54"/>
      <c r="H282" s="54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2624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7" t="str">
        <f>IF(Table1[[#This Row],[Auto Order]]=1,IF(Table1[[#This Row],[In stock]]&lt;Table1[[#This Row],[Min in stock]],1,""),"")</f>
        <v/>
      </c>
    </row>
    <row r="283" spans="1:29" hidden="1" x14ac:dyDescent="0.25">
      <c r="A283" s="61" t="s">
        <v>2403</v>
      </c>
      <c r="B283" s="34" t="s">
        <v>713</v>
      </c>
      <c r="C283" s="34"/>
      <c r="D283" s="34" t="s">
        <v>2404</v>
      </c>
      <c r="E283" s="34" t="s">
        <v>559</v>
      </c>
      <c r="F283" s="54">
        <v>0</v>
      </c>
      <c r="G283" s="54"/>
      <c r="H283" s="54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2402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7" t="str">
        <f>IF(Table1[[#This Row],[Auto Order]]=1,IF(Table1[[#This Row],[In stock]]&lt;Table1[[#This Row],[Min in stock]],1,""),"")</f>
        <v/>
      </c>
    </row>
    <row r="284" spans="1:29" hidden="1" x14ac:dyDescent="0.25">
      <c r="A284" s="61" t="s">
        <v>2343</v>
      </c>
      <c r="B284" s="34" t="s">
        <v>713</v>
      </c>
      <c r="C284" s="34"/>
      <c r="D284" s="34" t="s">
        <v>2344</v>
      </c>
      <c r="E284" s="34" t="s">
        <v>559</v>
      </c>
      <c r="F284" s="54">
        <v>0</v>
      </c>
      <c r="G284" s="54"/>
      <c r="H284" s="54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2342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7" t="str">
        <f>IF(Table1[[#This Row],[Auto Order]]=1,IF(Table1[[#This Row],[In stock]]&lt;Table1[[#This Row],[Min in stock]],1,""),"")</f>
        <v/>
      </c>
    </row>
    <row r="285" spans="1:29" hidden="1" x14ac:dyDescent="0.25">
      <c r="A285" s="61" t="s">
        <v>2928</v>
      </c>
      <c r="B285" s="34" t="s">
        <v>713</v>
      </c>
      <c r="C285" s="34"/>
      <c r="D285" s="34" t="s">
        <v>2929</v>
      </c>
      <c r="E285" s="34" t="s">
        <v>559</v>
      </c>
      <c r="F285" s="54">
        <v>0</v>
      </c>
      <c r="G285" s="54"/>
      <c r="H285" s="54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2927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7" t="str">
        <f>IF(Table1[[#This Row],[Auto Order]]=1,IF(Table1[[#This Row],[In stock]]&lt;Table1[[#This Row],[Min in stock]],1,""),"")</f>
        <v/>
      </c>
    </row>
    <row r="286" spans="1:29" hidden="1" x14ac:dyDescent="0.25">
      <c r="A286" s="61" t="s">
        <v>2739</v>
      </c>
      <c r="B286" s="34" t="s">
        <v>713</v>
      </c>
      <c r="C286" s="34"/>
      <c r="D286" s="34" t="s">
        <v>2740</v>
      </c>
      <c r="E286" s="34" t="s">
        <v>559</v>
      </c>
      <c r="F286" s="54">
        <v>0</v>
      </c>
      <c r="G286" s="54"/>
      <c r="H286" s="54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2738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7" t="str">
        <f>IF(Table1[[#This Row],[Auto Order]]=1,IF(Table1[[#This Row],[In stock]]&lt;Table1[[#This Row],[Min in stock]],1,""),"")</f>
        <v/>
      </c>
    </row>
    <row r="287" spans="1:29" hidden="1" x14ac:dyDescent="0.25">
      <c r="A287" s="61" t="s">
        <v>2091</v>
      </c>
      <c r="B287" s="34" t="s">
        <v>713</v>
      </c>
      <c r="C287" s="34"/>
      <c r="D287" s="34" t="s">
        <v>2092</v>
      </c>
      <c r="E287" s="34" t="s">
        <v>559</v>
      </c>
      <c r="F287" s="54">
        <v>0</v>
      </c>
      <c r="G287" s="54"/>
      <c r="H287" s="54"/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2090</v>
      </c>
      <c r="M287" s="42">
        <v>0.1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7" t="str">
        <f>IF(Table1[[#This Row],[Auto Order]]=1,IF(Table1[[#This Row],[In stock]]&lt;Table1[[#This Row],[Min in stock]],1,""),"")</f>
        <v/>
      </c>
    </row>
    <row r="288" spans="1:29" hidden="1" x14ac:dyDescent="0.25">
      <c r="A288" s="61" t="s">
        <v>2538</v>
      </c>
      <c r="B288" s="34" t="s">
        <v>713</v>
      </c>
      <c r="C288" s="34"/>
      <c r="D288" s="34" t="s">
        <v>2539</v>
      </c>
      <c r="E288" s="34" t="s">
        <v>559</v>
      </c>
      <c r="F288" s="54">
        <v>0</v>
      </c>
      <c r="G288" s="54"/>
      <c r="H288" s="54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2537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7" t="str">
        <f>IF(Table1[[#This Row],[Auto Order]]=1,IF(Table1[[#This Row],[In stock]]&lt;Table1[[#This Row],[Min in stock]],1,""),"")</f>
        <v/>
      </c>
    </row>
    <row r="289" spans="1:29" hidden="1" x14ac:dyDescent="0.25">
      <c r="A289" s="61" t="s">
        <v>1890</v>
      </c>
      <c r="B289" s="34" t="s">
        <v>713</v>
      </c>
      <c r="C289" s="34"/>
      <c r="D289" s="34" t="s">
        <v>1891</v>
      </c>
      <c r="E289" s="34" t="s">
        <v>559</v>
      </c>
      <c r="F289" s="54">
        <v>0</v>
      </c>
      <c r="G289" s="54"/>
      <c r="H289" s="54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1889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7" t="str">
        <f>IF(Table1[[#This Row],[Auto Order]]=1,IF(Table1[[#This Row],[In stock]]&lt;Table1[[#This Row],[Min in stock]],1,""),"")</f>
        <v/>
      </c>
    </row>
    <row r="290" spans="1:29" hidden="1" x14ac:dyDescent="0.25">
      <c r="A290" s="61" t="s">
        <v>2406</v>
      </c>
      <c r="B290" s="34" t="s">
        <v>713</v>
      </c>
      <c r="C290" s="34"/>
      <c r="D290" s="34" t="s">
        <v>2407</v>
      </c>
      <c r="E290" s="34" t="s">
        <v>559</v>
      </c>
      <c r="F290" s="54">
        <v>0</v>
      </c>
      <c r="G290" s="54"/>
      <c r="H290" s="54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2405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7" t="str">
        <f>IF(Table1[[#This Row],[Auto Order]]=1,IF(Table1[[#This Row],[In stock]]&lt;Table1[[#This Row],[Min in stock]],1,""),"")</f>
        <v/>
      </c>
    </row>
    <row r="291" spans="1:29" hidden="1" x14ac:dyDescent="0.25">
      <c r="A291" s="61" t="s">
        <v>2886</v>
      </c>
      <c r="B291" s="34" t="s">
        <v>713</v>
      </c>
      <c r="C291" s="34"/>
      <c r="D291" s="34" t="s">
        <v>2887</v>
      </c>
      <c r="E291" s="34" t="s">
        <v>559</v>
      </c>
      <c r="F291" s="54">
        <v>0</v>
      </c>
      <c r="G291" s="54"/>
      <c r="H291" s="54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2885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7" t="str">
        <f>IF(Table1[[#This Row],[Auto Order]]=1,IF(Table1[[#This Row],[In stock]]&lt;Table1[[#This Row],[Min in stock]],1,""),"")</f>
        <v/>
      </c>
    </row>
    <row r="292" spans="1:29" hidden="1" x14ac:dyDescent="0.25">
      <c r="A292" s="61" t="s">
        <v>2541</v>
      </c>
      <c r="B292" s="34" t="s">
        <v>713</v>
      </c>
      <c r="C292" s="34"/>
      <c r="D292" s="34" t="s">
        <v>2542</v>
      </c>
      <c r="E292" s="34" t="s">
        <v>559</v>
      </c>
      <c r="F292" s="54">
        <v>0</v>
      </c>
      <c r="G292" s="54"/>
      <c r="H292" s="54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2540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7" t="str">
        <f>IF(Table1[[#This Row],[Auto Order]]=1,IF(Table1[[#This Row],[In stock]]&lt;Table1[[#This Row],[Min in stock]],1,""),"")</f>
        <v/>
      </c>
    </row>
    <row r="293" spans="1:29" hidden="1" x14ac:dyDescent="0.25">
      <c r="A293" s="61" t="s">
        <v>2544</v>
      </c>
      <c r="B293" s="34" t="s">
        <v>713</v>
      </c>
      <c r="C293" s="34"/>
      <c r="D293" s="34" t="s">
        <v>2545</v>
      </c>
      <c r="E293" s="34" t="s">
        <v>559</v>
      </c>
      <c r="F293" s="54">
        <v>0</v>
      </c>
      <c r="G293" s="54"/>
      <c r="H293" s="54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2543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7" t="str">
        <f>IF(Table1[[#This Row],[Auto Order]]=1,IF(Table1[[#This Row],[In stock]]&lt;Table1[[#This Row],[Min in stock]],1,""),"")</f>
        <v/>
      </c>
    </row>
    <row r="294" spans="1:29" hidden="1" x14ac:dyDescent="0.25">
      <c r="A294" s="61" t="s">
        <v>2916</v>
      </c>
      <c r="B294" s="34" t="s">
        <v>713</v>
      </c>
      <c r="C294" s="34"/>
      <c r="D294" s="34" t="s">
        <v>2917</v>
      </c>
      <c r="E294" s="34" t="s">
        <v>559</v>
      </c>
      <c r="F294" s="54">
        <v>0</v>
      </c>
      <c r="G294" s="54"/>
      <c r="H294" s="54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2915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7" t="str">
        <f>IF(Table1[[#This Row],[Auto Order]]=1,IF(Table1[[#This Row],[In stock]]&lt;Table1[[#This Row],[Min in stock]],1,""),"")</f>
        <v/>
      </c>
    </row>
    <row r="295" spans="1:29" hidden="1" x14ac:dyDescent="0.25">
      <c r="A295" s="61" t="s">
        <v>2799</v>
      </c>
      <c r="B295" s="34" t="s">
        <v>713</v>
      </c>
      <c r="C295" s="34"/>
      <c r="D295" s="34" t="s">
        <v>2800</v>
      </c>
      <c r="E295" s="34" t="s">
        <v>559</v>
      </c>
      <c r="F295" s="54">
        <v>0</v>
      </c>
      <c r="G295" s="54"/>
      <c r="H295" s="54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2798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7" t="str">
        <f>IF(Table1[[#This Row],[Auto Order]]=1,IF(Table1[[#This Row],[In stock]]&lt;Table1[[#This Row],[Min in stock]],1,""),"")</f>
        <v/>
      </c>
    </row>
    <row r="296" spans="1:29" hidden="1" x14ac:dyDescent="0.25">
      <c r="A296" s="61" t="s">
        <v>2547</v>
      </c>
      <c r="B296" s="34" t="s">
        <v>713</v>
      </c>
      <c r="C296" s="34"/>
      <c r="D296" s="34" t="s">
        <v>2548</v>
      </c>
      <c r="E296" s="34" t="s">
        <v>559</v>
      </c>
      <c r="F296" s="54">
        <v>0</v>
      </c>
      <c r="G296" s="54"/>
      <c r="H296" s="54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2546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7" t="str">
        <f>IF(Table1[[#This Row],[Auto Order]]=1,IF(Table1[[#This Row],[In stock]]&lt;Table1[[#This Row],[Min in stock]],1,""),"")</f>
        <v/>
      </c>
    </row>
    <row r="297" spans="1:29" hidden="1" x14ac:dyDescent="0.25">
      <c r="A297" s="61" t="s">
        <v>2856</v>
      </c>
      <c r="B297" s="34" t="s">
        <v>713</v>
      </c>
      <c r="C297" s="34"/>
      <c r="D297" s="34" t="s">
        <v>2857</v>
      </c>
      <c r="E297" s="34" t="s">
        <v>559</v>
      </c>
      <c r="F297" s="54">
        <v>0</v>
      </c>
      <c r="G297" s="54"/>
      <c r="H297" s="54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2855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7" t="str">
        <f>IF(Table1[[#This Row],[Auto Order]]=1,IF(Table1[[#This Row],[In stock]]&lt;Table1[[#This Row],[Min in stock]],1,""),"")</f>
        <v/>
      </c>
    </row>
    <row r="298" spans="1:29" hidden="1" x14ac:dyDescent="0.25">
      <c r="A298" s="61" t="s">
        <v>1845</v>
      </c>
      <c r="B298" s="34" t="s">
        <v>713</v>
      </c>
      <c r="C298" s="34"/>
      <c r="D298" s="34" t="s">
        <v>1846</v>
      </c>
      <c r="E298" s="34" t="s">
        <v>559</v>
      </c>
      <c r="F298" s="54">
        <v>0</v>
      </c>
      <c r="G298" s="54"/>
      <c r="H298" s="54"/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1844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7" t="str">
        <f>IF(Table1[[#This Row],[Auto Order]]=1,IF(Table1[[#This Row],[In stock]]&lt;Table1[[#This Row],[Min in stock]],1,""),"")</f>
        <v/>
      </c>
    </row>
    <row r="299" spans="1:29" hidden="1" x14ac:dyDescent="0.25">
      <c r="A299" s="61" t="s">
        <v>2829</v>
      </c>
      <c r="B299" s="34" t="s">
        <v>713</v>
      </c>
      <c r="C299" s="34"/>
      <c r="D299" s="34" t="s">
        <v>2830</v>
      </c>
      <c r="E299" s="34" t="s">
        <v>559</v>
      </c>
      <c r="F299" s="54">
        <v>0</v>
      </c>
      <c r="G299" s="54"/>
      <c r="H299" s="54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2828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7" t="str">
        <f>IF(Table1[[#This Row],[Auto Order]]=1,IF(Table1[[#This Row],[In stock]]&lt;Table1[[#This Row],[Min in stock]],1,""),"")</f>
        <v/>
      </c>
    </row>
    <row r="300" spans="1:29" hidden="1" x14ac:dyDescent="0.25">
      <c r="A300" s="61" t="s">
        <v>2214</v>
      </c>
      <c r="B300" s="34" t="s">
        <v>713</v>
      </c>
      <c r="C300" s="34"/>
      <c r="D300" s="34" t="s">
        <v>2215</v>
      </c>
      <c r="E300" s="34" t="s">
        <v>559</v>
      </c>
      <c r="F300" s="54">
        <v>0</v>
      </c>
      <c r="G300" s="54">
        <v>10</v>
      </c>
      <c r="H300" s="54">
        <f>1</f>
        <v>1</v>
      </c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2213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7">
        <f>IF(Table1[[#This Row],[Auto Order]]=1,IF(Table1[[#This Row],[In stock]]&lt;Table1[[#This Row],[Min in stock]],1,""),"")</f>
        <v>1</v>
      </c>
    </row>
    <row r="301" spans="1:29" hidden="1" x14ac:dyDescent="0.25">
      <c r="A301" s="61" t="s">
        <v>1926</v>
      </c>
      <c r="B301" s="34" t="s">
        <v>713</v>
      </c>
      <c r="C301" s="34"/>
      <c r="D301" s="34" t="s">
        <v>1927</v>
      </c>
      <c r="E301" s="34" t="s">
        <v>559</v>
      </c>
      <c r="F301" s="54">
        <v>0</v>
      </c>
      <c r="G301" s="54"/>
      <c r="H301" s="54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1925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7" t="str">
        <f>IF(Table1[[#This Row],[Auto Order]]=1,IF(Table1[[#This Row],[In stock]]&lt;Table1[[#This Row],[Min in stock]],1,""),"")</f>
        <v/>
      </c>
    </row>
    <row r="302" spans="1:29" hidden="1" x14ac:dyDescent="0.25">
      <c r="A302" s="61" t="s">
        <v>2409</v>
      </c>
      <c r="B302" s="34" t="s">
        <v>713</v>
      </c>
      <c r="C302" s="34"/>
      <c r="D302" s="34" t="s">
        <v>2410</v>
      </c>
      <c r="E302" s="34" t="s">
        <v>559</v>
      </c>
      <c r="F302" s="54">
        <v>0</v>
      </c>
      <c r="G302" s="54"/>
      <c r="H302" s="54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2408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7" t="str">
        <f>IF(Table1[[#This Row],[Auto Order]]=1,IF(Table1[[#This Row],[In stock]]&lt;Table1[[#This Row],[Min in stock]],1,""),"")</f>
        <v/>
      </c>
    </row>
    <row r="303" spans="1:29" hidden="1" x14ac:dyDescent="0.25">
      <c r="A303" s="61" t="s">
        <v>2883</v>
      </c>
      <c r="B303" s="34" t="s">
        <v>713</v>
      </c>
      <c r="C303" s="34"/>
      <c r="D303" s="34" t="s">
        <v>2884</v>
      </c>
      <c r="E303" s="34" t="s">
        <v>559</v>
      </c>
      <c r="F303" s="54">
        <v>0</v>
      </c>
      <c r="G303" s="54"/>
      <c r="H303" s="54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2882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7" t="str">
        <f>IF(Table1[[#This Row],[Auto Order]]=1,IF(Table1[[#This Row],[In stock]]&lt;Table1[[#This Row],[Min in stock]],1,""),"")</f>
        <v/>
      </c>
    </row>
    <row r="304" spans="1:29" hidden="1" x14ac:dyDescent="0.25">
      <c r="A304" s="61" t="s">
        <v>2772</v>
      </c>
      <c r="B304" s="34" t="s">
        <v>713</v>
      </c>
      <c r="C304" s="34"/>
      <c r="D304" s="34" t="s">
        <v>2773</v>
      </c>
      <c r="E304" s="34" t="s">
        <v>559</v>
      </c>
      <c r="F304" s="54">
        <v>0</v>
      </c>
      <c r="G304" s="54"/>
      <c r="H304" s="54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2771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7" t="str">
        <f>IF(Table1[[#This Row],[Auto Order]]=1,IF(Table1[[#This Row],[In stock]]&lt;Table1[[#This Row],[Min in stock]],1,""),"")</f>
        <v/>
      </c>
    </row>
    <row r="305" spans="1:29" hidden="1" x14ac:dyDescent="0.25">
      <c r="A305" s="61" t="s">
        <v>1842</v>
      </c>
      <c r="B305" s="34" t="s">
        <v>713</v>
      </c>
      <c r="C305" s="34"/>
      <c r="D305" s="34" t="s">
        <v>1843</v>
      </c>
      <c r="E305" s="34" t="s">
        <v>559</v>
      </c>
      <c r="F305" s="54">
        <v>0</v>
      </c>
      <c r="G305" s="54"/>
      <c r="H305" s="54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1841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7" t="str">
        <f>IF(Table1[[#This Row],[Auto Order]]=1,IF(Table1[[#This Row],[In stock]]&lt;Table1[[#This Row],[Min in stock]],1,""),"")</f>
        <v/>
      </c>
    </row>
    <row r="306" spans="1:29" hidden="1" x14ac:dyDescent="0.25">
      <c r="A306" s="61" t="s">
        <v>1848</v>
      </c>
      <c r="B306" s="34" t="s">
        <v>713</v>
      </c>
      <c r="C306" s="34"/>
      <c r="D306" s="34" t="s">
        <v>1849</v>
      </c>
      <c r="E306" s="34" t="s">
        <v>559</v>
      </c>
      <c r="F306" s="54">
        <v>0</v>
      </c>
      <c r="G306" s="54"/>
      <c r="H306" s="54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1847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7" t="str">
        <f>IF(Table1[[#This Row],[Auto Order]]=1,IF(Table1[[#This Row],[In stock]]&lt;Table1[[#This Row],[Min in stock]],1,""),"")</f>
        <v/>
      </c>
    </row>
    <row r="307" spans="1:29" hidden="1" x14ac:dyDescent="0.25">
      <c r="A307" s="61" t="s">
        <v>1908</v>
      </c>
      <c r="B307" s="34" t="s">
        <v>713</v>
      </c>
      <c r="C307" s="34"/>
      <c r="D307" s="34" t="s">
        <v>1909</v>
      </c>
      <c r="E307" s="34" t="s">
        <v>559</v>
      </c>
      <c r="F307" s="54">
        <v>0</v>
      </c>
      <c r="G307" s="54"/>
      <c r="H307" s="54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1907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7" t="str">
        <f>IF(Table1[[#This Row],[Auto Order]]=1,IF(Table1[[#This Row],[In stock]]&lt;Table1[[#This Row],[Min in stock]],1,""),"")</f>
        <v/>
      </c>
    </row>
    <row r="308" spans="1:29" hidden="1" x14ac:dyDescent="0.25">
      <c r="A308" s="61" t="s">
        <v>2223</v>
      </c>
      <c r="B308" s="34" t="s">
        <v>713</v>
      </c>
      <c r="C308" s="34"/>
      <c r="D308" s="34" t="s">
        <v>2224</v>
      </c>
      <c r="E308" s="34" t="s">
        <v>559</v>
      </c>
      <c r="F308" s="54">
        <v>0</v>
      </c>
      <c r="G308" s="54"/>
      <c r="H308" s="54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2222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7" t="str">
        <f>IF(Table1[[#This Row],[Auto Order]]=1,IF(Table1[[#This Row],[In stock]]&lt;Table1[[#This Row],[Min in stock]],1,""),"")</f>
        <v/>
      </c>
    </row>
    <row r="309" spans="1:29" hidden="1" x14ac:dyDescent="0.25">
      <c r="A309" s="61" t="s">
        <v>2412</v>
      </c>
      <c r="B309" s="34" t="s">
        <v>713</v>
      </c>
      <c r="C309" s="34"/>
      <c r="D309" s="34" t="s">
        <v>2413</v>
      </c>
      <c r="E309" s="34" t="s">
        <v>559</v>
      </c>
      <c r="F309" s="54">
        <v>0</v>
      </c>
      <c r="G309" s="54"/>
      <c r="H309" s="54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2411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7" t="str">
        <f>IF(Table1[[#This Row],[Auto Order]]=1,IF(Table1[[#This Row],[In stock]]&lt;Table1[[#This Row],[Min in stock]],1,""),"")</f>
        <v/>
      </c>
    </row>
    <row r="310" spans="1:29" hidden="1" x14ac:dyDescent="0.25">
      <c r="A310" s="61" t="s">
        <v>2253</v>
      </c>
      <c r="B310" s="34" t="s">
        <v>713</v>
      </c>
      <c r="C310" s="34"/>
      <c r="D310" s="34" t="s">
        <v>2254</v>
      </c>
      <c r="E310" s="34" t="s">
        <v>559</v>
      </c>
      <c r="F310" s="54">
        <v>0</v>
      </c>
      <c r="G310" s="54"/>
      <c r="H310" s="54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2252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7" t="str">
        <f>IF(Table1[[#This Row],[Auto Order]]=1,IF(Table1[[#This Row],[In stock]]&lt;Table1[[#This Row],[Min in stock]],1,""),"")</f>
        <v/>
      </c>
    </row>
    <row r="311" spans="1:29" hidden="1" x14ac:dyDescent="0.25">
      <c r="A311" s="61" t="s">
        <v>2550</v>
      </c>
      <c r="B311" s="34" t="s">
        <v>713</v>
      </c>
      <c r="C311" s="34"/>
      <c r="D311" s="34" t="s">
        <v>2551</v>
      </c>
      <c r="E311" s="34" t="s">
        <v>559</v>
      </c>
      <c r="F311" s="54">
        <v>0</v>
      </c>
      <c r="G311" s="54"/>
      <c r="H311" s="54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2549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7" t="str">
        <f>IF(Table1[[#This Row],[Auto Order]]=1,IF(Table1[[#This Row],[In stock]]&lt;Table1[[#This Row],[Min in stock]],1,""),"")</f>
        <v/>
      </c>
    </row>
    <row r="312" spans="1:29" hidden="1" x14ac:dyDescent="0.25">
      <c r="A312" s="61" t="s">
        <v>2172</v>
      </c>
      <c r="B312" s="34" t="s">
        <v>713</v>
      </c>
      <c r="C312" s="34"/>
      <c r="D312" s="34" t="s">
        <v>2173</v>
      </c>
      <c r="E312" s="34" t="s">
        <v>559</v>
      </c>
      <c r="F312" s="54">
        <v>0</v>
      </c>
      <c r="G312" s="54"/>
      <c r="H312" s="54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2171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7" t="str">
        <f>IF(Table1[[#This Row],[Auto Order]]=1,IF(Table1[[#This Row],[In stock]]&lt;Table1[[#This Row],[Min in stock]],1,""),"")</f>
        <v/>
      </c>
    </row>
    <row r="313" spans="1:29" hidden="1" x14ac:dyDescent="0.25">
      <c r="A313" s="61" t="s">
        <v>2847</v>
      </c>
      <c r="B313" s="34" t="s">
        <v>713</v>
      </c>
      <c r="C313" s="34"/>
      <c r="D313" s="34" t="s">
        <v>2848</v>
      </c>
      <c r="E313" s="34" t="s">
        <v>559</v>
      </c>
      <c r="F313" s="54">
        <v>0</v>
      </c>
      <c r="G313" s="54"/>
      <c r="H313" s="54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2846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7" t="str">
        <f>IF(Table1[[#This Row],[Auto Order]]=1,IF(Table1[[#This Row],[In stock]]&lt;Table1[[#This Row],[Min in stock]],1,""),"")</f>
        <v/>
      </c>
    </row>
    <row r="314" spans="1:29" hidden="1" x14ac:dyDescent="0.25">
      <c r="A314" s="61" t="s">
        <v>2925</v>
      </c>
      <c r="B314" s="34" t="s">
        <v>713</v>
      </c>
      <c r="C314" s="34"/>
      <c r="D314" s="34" t="s">
        <v>2926</v>
      </c>
      <c r="E314" s="34" t="s">
        <v>559</v>
      </c>
      <c r="F314" s="54">
        <v>0</v>
      </c>
      <c r="G314" s="54"/>
      <c r="H314" s="54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2924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7" t="str">
        <f>IF(Table1[[#This Row],[Auto Order]]=1,IF(Table1[[#This Row],[In stock]]&lt;Table1[[#This Row],[Min in stock]],1,""),"")</f>
        <v/>
      </c>
    </row>
    <row r="315" spans="1:29" hidden="1" x14ac:dyDescent="0.25">
      <c r="A315" s="61" t="s">
        <v>2553</v>
      </c>
      <c r="B315" s="34" t="s">
        <v>713</v>
      </c>
      <c r="C315" s="34"/>
      <c r="D315" s="34" t="s">
        <v>2554</v>
      </c>
      <c r="E315" s="34" t="s">
        <v>559</v>
      </c>
      <c r="F315" s="54">
        <v>0</v>
      </c>
      <c r="G315" s="54"/>
      <c r="H315" s="54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2552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7" t="str">
        <f>IF(Table1[[#This Row],[Auto Order]]=1,IF(Table1[[#This Row],[In stock]]&lt;Table1[[#This Row],[Min in stock]],1,""),"")</f>
        <v/>
      </c>
    </row>
    <row r="316" spans="1:29" hidden="1" x14ac:dyDescent="0.25">
      <c r="A316" s="61" t="s">
        <v>2682</v>
      </c>
      <c r="B316" s="34" t="s">
        <v>713</v>
      </c>
      <c r="C316" s="34"/>
      <c r="D316" s="34" t="s">
        <v>2683</v>
      </c>
      <c r="E316" s="34" t="s">
        <v>559</v>
      </c>
      <c r="F316" s="54">
        <v>0</v>
      </c>
      <c r="G316" s="54"/>
      <c r="H316" s="54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2681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7" t="str">
        <f>IF(Table1[[#This Row],[Auto Order]]=1,IF(Table1[[#This Row],[In stock]]&lt;Table1[[#This Row],[Min in stock]],1,""),"")</f>
        <v/>
      </c>
    </row>
    <row r="317" spans="1:29" hidden="1" x14ac:dyDescent="0.25">
      <c r="A317" s="61" t="s">
        <v>1941</v>
      </c>
      <c r="B317" s="34" t="s">
        <v>713</v>
      </c>
      <c r="C317" s="34"/>
      <c r="D317" s="34" t="s">
        <v>1942</v>
      </c>
      <c r="E317" s="34" t="s">
        <v>559</v>
      </c>
      <c r="F317" s="54">
        <v>0</v>
      </c>
      <c r="G317" s="54"/>
      <c r="H317" s="54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1940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7" t="str">
        <f>IF(Table1[[#This Row],[Auto Order]]=1,IF(Table1[[#This Row],[In stock]]&lt;Table1[[#This Row],[Min in stock]],1,""),"")</f>
        <v/>
      </c>
    </row>
    <row r="318" spans="1:29" hidden="1" x14ac:dyDescent="0.25">
      <c r="A318" s="61" t="s">
        <v>2556</v>
      </c>
      <c r="B318" s="34" t="s">
        <v>713</v>
      </c>
      <c r="C318" s="34"/>
      <c r="D318" s="34" t="s">
        <v>2557</v>
      </c>
      <c r="E318" s="34" t="s">
        <v>559</v>
      </c>
      <c r="F318" s="54">
        <v>0</v>
      </c>
      <c r="G318" s="54"/>
      <c r="H318" s="54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2555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7" t="str">
        <f>IF(Table1[[#This Row],[Auto Order]]=1,IF(Table1[[#This Row],[In stock]]&lt;Table1[[#This Row],[Min in stock]],1,""),"")</f>
        <v/>
      </c>
    </row>
    <row r="319" spans="1:29" hidden="1" x14ac:dyDescent="0.25">
      <c r="A319" s="61" t="s">
        <v>1875</v>
      </c>
      <c r="B319" s="34" t="s">
        <v>713</v>
      </c>
      <c r="C319" s="34"/>
      <c r="D319" s="34" t="s">
        <v>1876</v>
      </c>
      <c r="E319" s="34" t="s">
        <v>559</v>
      </c>
      <c r="F319" s="54">
        <v>0</v>
      </c>
      <c r="G319" s="54"/>
      <c r="H319" s="54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1874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7" t="str">
        <f>IF(Table1[[#This Row],[Auto Order]]=1,IF(Table1[[#This Row],[In stock]]&lt;Table1[[#This Row],[Min in stock]],1,""),"")</f>
        <v/>
      </c>
    </row>
    <row r="320" spans="1:29" hidden="1" x14ac:dyDescent="0.25">
      <c r="A320" s="61" t="s">
        <v>2415</v>
      </c>
      <c r="B320" s="34" t="s">
        <v>713</v>
      </c>
      <c r="C320" s="34"/>
      <c r="D320" s="34" t="s">
        <v>2416</v>
      </c>
      <c r="E320" s="34" t="s">
        <v>559</v>
      </c>
      <c r="F320" s="54">
        <v>0</v>
      </c>
      <c r="G320" s="54"/>
      <c r="H320" s="54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2414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7" t="str">
        <f>IF(Table1[[#This Row],[Auto Order]]=1,IF(Table1[[#This Row],[In stock]]&lt;Table1[[#This Row],[Min in stock]],1,""),"")</f>
        <v/>
      </c>
    </row>
    <row r="321" spans="1:29" hidden="1" x14ac:dyDescent="0.25">
      <c r="A321" s="61" t="s">
        <v>2667</v>
      </c>
      <c r="B321" s="34" t="s">
        <v>713</v>
      </c>
      <c r="C321" s="34"/>
      <c r="D321" s="34" t="s">
        <v>2668</v>
      </c>
      <c r="E321" s="34" t="s">
        <v>559</v>
      </c>
      <c r="F321" s="54">
        <v>0</v>
      </c>
      <c r="G321" s="54"/>
      <c r="H321" s="54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2666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7" t="str">
        <f>IF(Table1[[#This Row],[Auto Order]]=1,IF(Table1[[#This Row],[In stock]]&lt;Table1[[#This Row],[Min in stock]],1,""),"")</f>
        <v/>
      </c>
    </row>
    <row r="322" spans="1:29" hidden="1" x14ac:dyDescent="0.25">
      <c r="A322" s="61" t="s">
        <v>2559</v>
      </c>
      <c r="B322" s="34" t="s">
        <v>713</v>
      </c>
      <c r="C322" s="34"/>
      <c r="D322" s="34" t="s">
        <v>2560</v>
      </c>
      <c r="E322" s="34" t="s">
        <v>559</v>
      </c>
      <c r="F322" s="54">
        <v>0</v>
      </c>
      <c r="G322" s="54"/>
      <c r="H322" s="54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2558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7" t="str">
        <f>IF(Table1[[#This Row],[Auto Order]]=1,IF(Table1[[#This Row],[In stock]]&lt;Table1[[#This Row],[Min in stock]],1,""),"")</f>
        <v/>
      </c>
    </row>
    <row r="323" spans="1:29" hidden="1" x14ac:dyDescent="0.25">
      <c r="A323" s="61" t="s">
        <v>2418</v>
      </c>
      <c r="B323" s="34" t="s">
        <v>713</v>
      </c>
      <c r="C323" s="34"/>
      <c r="D323" s="34" t="s">
        <v>2419</v>
      </c>
      <c r="E323" s="34" t="s">
        <v>559</v>
      </c>
      <c r="F323" s="54">
        <v>0</v>
      </c>
      <c r="G323" s="54"/>
      <c r="H323" s="54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2417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7" t="str">
        <f>IF(Table1[[#This Row],[Auto Order]]=1,IF(Table1[[#This Row],[In stock]]&lt;Table1[[#This Row],[Min in stock]],1,""),"")</f>
        <v/>
      </c>
    </row>
    <row r="324" spans="1:29" hidden="1" x14ac:dyDescent="0.25">
      <c r="A324" s="61" t="s">
        <v>1887</v>
      </c>
      <c r="B324" s="34" t="s">
        <v>713</v>
      </c>
      <c r="C324" s="34"/>
      <c r="D324" s="34" t="s">
        <v>1888</v>
      </c>
      <c r="E324" s="34" t="s">
        <v>559</v>
      </c>
      <c r="F324" s="54">
        <v>0</v>
      </c>
      <c r="G324" s="54"/>
      <c r="H324" s="54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1886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7" t="str">
        <f>IF(Table1[[#This Row],[Auto Order]]=1,IF(Table1[[#This Row],[In stock]]&lt;Table1[[#This Row],[Min in stock]],1,""),"")</f>
        <v/>
      </c>
    </row>
    <row r="325" spans="1:29" hidden="1" x14ac:dyDescent="0.25">
      <c r="A325" s="61" t="s">
        <v>1932</v>
      </c>
      <c r="B325" s="34" t="s">
        <v>713</v>
      </c>
      <c r="C325" s="34"/>
      <c r="D325" s="34" t="s">
        <v>1933</v>
      </c>
      <c r="E325" s="34" t="s">
        <v>559</v>
      </c>
      <c r="F325" s="54">
        <v>0</v>
      </c>
      <c r="G325" s="54"/>
      <c r="H325" s="54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1931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7" t="str">
        <f>IF(Table1[[#This Row],[Auto Order]]=1,IF(Table1[[#This Row],[In stock]]&lt;Table1[[#This Row],[Min in stock]],1,""),"")</f>
        <v/>
      </c>
    </row>
    <row r="326" spans="1:29" hidden="1" x14ac:dyDescent="0.25">
      <c r="A326" s="61" t="s">
        <v>2670</v>
      </c>
      <c r="B326" s="34" t="s">
        <v>713</v>
      </c>
      <c r="C326" s="34"/>
      <c r="D326" s="34" t="s">
        <v>2671</v>
      </c>
      <c r="E326" s="34" t="s">
        <v>559</v>
      </c>
      <c r="F326" s="54">
        <v>0</v>
      </c>
      <c r="G326" s="54"/>
      <c r="H326" s="54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2669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7" t="str">
        <f>IF(Table1[[#This Row],[Auto Order]]=1,IF(Table1[[#This Row],[In stock]]&lt;Table1[[#This Row],[Min in stock]],1,""),"")</f>
        <v/>
      </c>
    </row>
    <row r="327" spans="1:29" hidden="1" x14ac:dyDescent="0.25">
      <c r="A327" s="61" t="s">
        <v>2844</v>
      </c>
      <c r="B327" s="34" t="s">
        <v>713</v>
      </c>
      <c r="C327" s="34"/>
      <c r="D327" s="34" t="s">
        <v>2845</v>
      </c>
      <c r="E327" s="34" t="s">
        <v>559</v>
      </c>
      <c r="F327" s="54">
        <v>0</v>
      </c>
      <c r="G327" s="54"/>
      <c r="H327" s="54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2843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7" t="str">
        <f>IF(Table1[[#This Row],[Auto Order]]=1,IF(Table1[[#This Row],[In stock]]&lt;Table1[[#This Row],[Min in stock]],1,""),"")</f>
        <v/>
      </c>
    </row>
    <row r="328" spans="1:29" hidden="1" x14ac:dyDescent="0.25">
      <c r="A328" s="61" t="s">
        <v>2760</v>
      </c>
      <c r="B328" s="34" t="s">
        <v>713</v>
      </c>
      <c r="C328" s="34"/>
      <c r="D328" s="34" t="s">
        <v>2761</v>
      </c>
      <c r="E328" s="34" t="s">
        <v>559</v>
      </c>
      <c r="F328" s="54">
        <v>0</v>
      </c>
      <c r="G328" s="54"/>
      <c r="H328" s="54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2759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7" t="str">
        <f>IF(Table1[[#This Row],[Auto Order]]=1,IF(Table1[[#This Row],[In stock]]&lt;Table1[[#This Row],[Min in stock]],1,""),"")</f>
        <v/>
      </c>
    </row>
    <row r="329" spans="1:29" hidden="1" x14ac:dyDescent="0.25">
      <c r="A329" s="61" t="s">
        <v>2562</v>
      </c>
      <c r="B329" s="34" t="s">
        <v>713</v>
      </c>
      <c r="C329" s="34"/>
      <c r="D329" s="34" t="s">
        <v>2563</v>
      </c>
      <c r="E329" s="34" t="s">
        <v>559</v>
      </c>
      <c r="F329" s="54">
        <v>0</v>
      </c>
      <c r="G329" s="54"/>
      <c r="H329" s="54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2561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7" t="str">
        <f>IF(Table1[[#This Row],[Auto Order]]=1,IF(Table1[[#This Row],[In stock]]&lt;Table1[[#This Row],[Min in stock]],1,""),"")</f>
        <v/>
      </c>
    </row>
    <row r="330" spans="1:29" hidden="1" x14ac:dyDescent="0.25">
      <c r="A330" s="61" t="s">
        <v>2565</v>
      </c>
      <c r="B330" s="34" t="s">
        <v>713</v>
      </c>
      <c r="C330" s="34"/>
      <c r="D330" s="34" t="s">
        <v>2566</v>
      </c>
      <c r="E330" s="34" t="s">
        <v>559</v>
      </c>
      <c r="F330" s="54">
        <v>0</v>
      </c>
      <c r="G330" s="54"/>
      <c r="H330" s="54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2564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7" t="str">
        <f>IF(Table1[[#This Row],[Auto Order]]=1,IF(Table1[[#This Row],[In stock]]&lt;Table1[[#This Row],[Min in stock]],1,""),"")</f>
        <v/>
      </c>
    </row>
    <row r="331" spans="1:29" hidden="1" x14ac:dyDescent="0.25">
      <c r="A331" s="61" t="s">
        <v>2421</v>
      </c>
      <c r="B331" s="34" t="s">
        <v>713</v>
      </c>
      <c r="C331" s="34"/>
      <c r="D331" s="34" t="s">
        <v>2422</v>
      </c>
      <c r="E331" s="34" t="s">
        <v>559</v>
      </c>
      <c r="F331" s="54">
        <v>0</v>
      </c>
      <c r="G331" s="54"/>
      <c r="H331" s="54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2420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7" t="str">
        <f>IF(Table1[[#This Row],[Auto Order]]=1,IF(Table1[[#This Row],[In stock]]&lt;Table1[[#This Row],[Min in stock]],1,""),"")</f>
        <v/>
      </c>
    </row>
    <row r="332" spans="1:29" hidden="1" x14ac:dyDescent="0.25">
      <c r="A332" s="61" t="s">
        <v>2889</v>
      </c>
      <c r="B332" s="34" t="s">
        <v>713</v>
      </c>
      <c r="C332" s="34"/>
      <c r="D332" s="34" t="s">
        <v>2890</v>
      </c>
      <c r="E332" s="34" t="s">
        <v>559</v>
      </c>
      <c r="F332" s="54">
        <v>0</v>
      </c>
      <c r="G332" s="54"/>
      <c r="H332" s="54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2888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7" t="str">
        <f>IF(Table1[[#This Row],[Auto Order]]=1,IF(Table1[[#This Row],[In stock]]&lt;Table1[[#This Row],[Min in stock]],1,""),"")</f>
        <v/>
      </c>
    </row>
    <row r="333" spans="1:29" hidden="1" x14ac:dyDescent="0.25">
      <c r="A333" s="61" t="s">
        <v>2199</v>
      </c>
      <c r="B333" s="34" t="s">
        <v>713</v>
      </c>
      <c r="C333" s="34"/>
      <c r="D333" s="34" t="s">
        <v>2200</v>
      </c>
      <c r="E333" s="34" t="s">
        <v>559</v>
      </c>
      <c r="F333" s="54">
        <v>0</v>
      </c>
      <c r="G333" s="54"/>
      <c r="H333" s="54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2198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7" t="str">
        <f>IF(Table1[[#This Row],[Auto Order]]=1,IF(Table1[[#This Row],[In stock]]&lt;Table1[[#This Row],[Min in stock]],1,""),"")</f>
        <v/>
      </c>
    </row>
    <row r="334" spans="1:29" hidden="1" x14ac:dyDescent="0.25">
      <c r="A334" s="61" t="s">
        <v>2568</v>
      </c>
      <c r="B334" s="34" t="s">
        <v>713</v>
      </c>
      <c r="C334" s="34"/>
      <c r="D334" s="34" t="s">
        <v>2569</v>
      </c>
      <c r="E334" s="34" t="s">
        <v>559</v>
      </c>
      <c r="F334" s="54">
        <v>0</v>
      </c>
      <c r="G334" s="54"/>
      <c r="H334" s="54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2567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7" t="str">
        <f>IF(Table1[[#This Row],[Auto Order]]=1,IF(Table1[[#This Row],[In stock]]&lt;Table1[[#This Row],[Min in stock]],1,""),"")</f>
        <v/>
      </c>
    </row>
    <row r="335" spans="1:29" hidden="1" x14ac:dyDescent="0.25">
      <c r="A335" s="61" t="s">
        <v>2754</v>
      </c>
      <c r="B335" s="34" t="s">
        <v>713</v>
      </c>
      <c r="C335" s="34"/>
      <c r="D335" s="34" t="s">
        <v>2755</v>
      </c>
      <c r="E335" s="34" t="s">
        <v>559</v>
      </c>
      <c r="F335" s="54">
        <v>0</v>
      </c>
      <c r="G335" s="54"/>
      <c r="H335" s="54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2753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7" t="str">
        <f>IF(Table1[[#This Row],[Auto Order]]=1,IF(Table1[[#This Row],[In stock]]&lt;Table1[[#This Row],[Min in stock]],1,""),"")</f>
        <v/>
      </c>
    </row>
    <row r="336" spans="1:29" hidden="1" x14ac:dyDescent="0.25">
      <c r="A336" s="61" t="s">
        <v>2628</v>
      </c>
      <c r="B336" s="34" t="s">
        <v>713</v>
      </c>
      <c r="C336" s="34"/>
      <c r="D336" s="34" t="s">
        <v>2629</v>
      </c>
      <c r="E336" s="34" t="s">
        <v>559</v>
      </c>
      <c r="F336" s="54">
        <v>0</v>
      </c>
      <c r="G336" s="54"/>
      <c r="H336" s="54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2627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7" t="str">
        <f>IF(Table1[[#This Row],[Auto Order]]=1,IF(Table1[[#This Row],[In stock]]&lt;Table1[[#This Row],[Min in stock]],1,""),"")</f>
        <v/>
      </c>
    </row>
    <row r="337" spans="1:29" hidden="1" x14ac:dyDescent="0.25">
      <c r="A337" s="61" t="s">
        <v>2745</v>
      </c>
      <c r="B337" s="34" t="s">
        <v>713</v>
      </c>
      <c r="C337" s="34"/>
      <c r="D337" s="34" t="s">
        <v>2746</v>
      </c>
      <c r="E337" s="34" t="s">
        <v>559</v>
      </c>
      <c r="F337" s="54">
        <v>0</v>
      </c>
      <c r="G337" s="54"/>
      <c r="H337" s="54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2744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7" t="str">
        <f>IF(Table1[[#This Row],[Auto Order]]=1,IF(Table1[[#This Row],[In stock]]&lt;Table1[[#This Row],[Min in stock]],1,""),"")</f>
        <v/>
      </c>
    </row>
    <row r="338" spans="1:29" hidden="1" x14ac:dyDescent="0.25">
      <c r="A338" s="61" t="s">
        <v>2424</v>
      </c>
      <c r="B338" s="34" t="s">
        <v>713</v>
      </c>
      <c r="C338" s="34"/>
      <c r="D338" s="34" t="s">
        <v>2425</v>
      </c>
      <c r="E338" s="34" t="s">
        <v>559</v>
      </c>
      <c r="F338" s="54">
        <v>0</v>
      </c>
      <c r="G338" s="54"/>
      <c r="H338" s="54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2423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7" t="str">
        <f>IF(Table1[[#This Row],[Auto Order]]=1,IF(Table1[[#This Row],[In stock]]&lt;Table1[[#This Row],[Min in stock]],1,""),"")</f>
        <v/>
      </c>
    </row>
    <row r="339" spans="1:29" hidden="1" x14ac:dyDescent="0.25">
      <c r="A339" s="61" t="s">
        <v>2427</v>
      </c>
      <c r="B339" s="34" t="s">
        <v>713</v>
      </c>
      <c r="C339" s="34"/>
      <c r="D339" s="34" t="s">
        <v>2428</v>
      </c>
      <c r="E339" s="34" t="s">
        <v>559</v>
      </c>
      <c r="F339" s="54">
        <v>0</v>
      </c>
      <c r="G339" s="54"/>
      <c r="H339" s="54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2426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7" t="str">
        <f>IF(Table1[[#This Row],[Auto Order]]=1,IF(Table1[[#This Row],[In stock]]&lt;Table1[[#This Row],[Min in stock]],1,""),"")</f>
        <v/>
      </c>
    </row>
    <row r="340" spans="1:29" hidden="1" x14ac:dyDescent="0.25">
      <c r="A340" s="61" t="s">
        <v>2430</v>
      </c>
      <c r="B340" s="34" t="s">
        <v>713</v>
      </c>
      <c r="C340" s="34"/>
      <c r="D340" s="34" t="s">
        <v>2431</v>
      </c>
      <c r="E340" s="34" t="s">
        <v>559</v>
      </c>
      <c r="F340" s="54">
        <v>0</v>
      </c>
      <c r="G340" s="54"/>
      <c r="H340" s="54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2429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7" t="str">
        <f>IF(Table1[[#This Row],[Auto Order]]=1,IF(Table1[[#This Row],[In stock]]&lt;Table1[[#This Row],[Min in stock]],1,""),"")</f>
        <v/>
      </c>
    </row>
    <row r="341" spans="1:29" hidden="1" x14ac:dyDescent="0.25">
      <c r="A341" s="61" t="s">
        <v>2865</v>
      </c>
      <c r="B341" s="34" t="s">
        <v>713</v>
      </c>
      <c r="C341" s="34"/>
      <c r="D341" s="34" t="s">
        <v>2866</v>
      </c>
      <c r="E341" s="34" t="s">
        <v>559</v>
      </c>
      <c r="F341" s="54">
        <v>0</v>
      </c>
      <c r="G341" s="54"/>
      <c r="H341" s="54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2864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7" t="str">
        <f>IF(Table1[[#This Row],[Auto Order]]=1,IF(Table1[[#This Row],[In stock]]&lt;Table1[[#This Row],[Min in stock]],1,""),"")</f>
        <v/>
      </c>
    </row>
    <row r="342" spans="1:29" hidden="1" x14ac:dyDescent="0.25">
      <c r="A342" s="61" t="s">
        <v>2631</v>
      </c>
      <c r="B342" s="34" t="s">
        <v>713</v>
      </c>
      <c r="C342" s="34"/>
      <c r="D342" s="34" t="s">
        <v>2632</v>
      </c>
      <c r="E342" s="34" t="s">
        <v>559</v>
      </c>
      <c r="F342" s="54">
        <v>0</v>
      </c>
      <c r="G342" s="54"/>
      <c r="H342" s="54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2630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7" t="str">
        <f>IF(Table1[[#This Row],[Auto Order]]=1,IF(Table1[[#This Row],[In stock]]&lt;Table1[[#This Row],[Min in stock]],1,""),"")</f>
        <v/>
      </c>
    </row>
    <row r="343" spans="1:29" hidden="1" x14ac:dyDescent="0.25">
      <c r="A343" s="61" t="s">
        <v>2634</v>
      </c>
      <c r="B343" s="34" t="s">
        <v>713</v>
      </c>
      <c r="C343" s="34"/>
      <c r="D343" s="34" t="s">
        <v>2635</v>
      </c>
      <c r="E343" s="34" t="s">
        <v>559</v>
      </c>
      <c r="F343" s="54">
        <v>0</v>
      </c>
      <c r="G343" s="54"/>
      <c r="H343" s="54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2633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7" t="str">
        <f>IF(Table1[[#This Row],[Auto Order]]=1,IF(Table1[[#This Row],[In stock]]&lt;Table1[[#This Row],[Min in stock]],1,""),"")</f>
        <v/>
      </c>
    </row>
    <row r="344" spans="1:29" hidden="1" x14ac:dyDescent="0.25">
      <c r="A344" s="61" t="s">
        <v>1968</v>
      </c>
      <c r="B344" s="34" t="s">
        <v>713</v>
      </c>
      <c r="C344" s="34"/>
      <c r="D344" s="34" t="s">
        <v>1969</v>
      </c>
      <c r="E344" s="34" t="s">
        <v>559</v>
      </c>
      <c r="F344" s="54">
        <v>0</v>
      </c>
      <c r="G344" s="54"/>
      <c r="H344" s="54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1967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7" t="str">
        <f>IF(Table1[[#This Row],[Auto Order]]=1,IF(Table1[[#This Row],[In stock]]&lt;Table1[[#This Row],[Min in stock]],1,""),"")</f>
        <v/>
      </c>
    </row>
    <row r="345" spans="1:29" hidden="1" x14ac:dyDescent="0.25">
      <c r="A345" s="61" t="s">
        <v>2880</v>
      </c>
      <c r="B345" s="34" t="s">
        <v>713</v>
      </c>
      <c r="C345" s="34"/>
      <c r="D345" s="34" t="s">
        <v>2881</v>
      </c>
      <c r="E345" s="34" t="s">
        <v>559</v>
      </c>
      <c r="F345" s="54">
        <v>0</v>
      </c>
      <c r="G345" s="54"/>
      <c r="H345" s="54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2879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7" t="str">
        <f>IF(Table1[[#This Row],[Auto Order]]=1,IF(Table1[[#This Row],[In stock]]&lt;Table1[[#This Row],[Min in stock]],1,""),"")</f>
        <v/>
      </c>
    </row>
    <row r="346" spans="1:29" hidden="1" x14ac:dyDescent="0.25">
      <c r="A346" s="61" t="s">
        <v>2448</v>
      </c>
      <c r="B346" s="34" t="s">
        <v>713</v>
      </c>
      <c r="C346" s="34"/>
      <c r="D346" s="34" t="s">
        <v>2449</v>
      </c>
      <c r="E346" s="34" t="s">
        <v>559</v>
      </c>
      <c r="F346" s="54">
        <v>0</v>
      </c>
      <c r="G346" s="54"/>
      <c r="H346" s="54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2447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7" t="str">
        <f>IF(Table1[[#This Row],[Auto Order]]=1,IF(Table1[[#This Row],[In stock]]&lt;Table1[[#This Row],[Min in stock]],1,""),"")</f>
        <v/>
      </c>
    </row>
    <row r="347" spans="1:29" hidden="1" x14ac:dyDescent="0.25">
      <c r="A347" s="61" t="s">
        <v>2736</v>
      </c>
      <c r="B347" s="34" t="s">
        <v>713</v>
      </c>
      <c r="C347" s="34"/>
      <c r="D347" s="34" t="s">
        <v>2737</v>
      </c>
      <c r="E347" s="34" t="s">
        <v>559</v>
      </c>
      <c r="F347" s="54">
        <v>0</v>
      </c>
      <c r="G347" s="54"/>
      <c r="H347" s="54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2735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7" t="str">
        <f>IF(Table1[[#This Row],[Auto Order]]=1,IF(Table1[[#This Row],[In stock]]&lt;Table1[[#This Row],[Min in stock]],1,""),"")</f>
        <v/>
      </c>
    </row>
    <row r="348" spans="1:29" hidden="1" x14ac:dyDescent="0.25">
      <c r="A348" s="61" t="s">
        <v>2571</v>
      </c>
      <c r="B348" s="34" t="s">
        <v>713</v>
      </c>
      <c r="C348" s="34"/>
      <c r="D348" s="34" t="s">
        <v>2572</v>
      </c>
      <c r="E348" s="34" t="s">
        <v>559</v>
      </c>
      <c r="F348" s="54">
        <v>0</v>
      </c>
      <c r="G348" s="54"/>
      <c r="H348" s="54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2570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7" t="str">
        <f>IF(Table1[[#This Row],[Auto Order]]=1,IF(Table1[[#This Row],[In stock]]&lt;Table1[[#This Row],[Min in stock]],1,""),"")</f>
        <v/>
      </c>
    </row>
    <row r="349" spans="1:29" hidden="1" x14ac:dyDescent="0.25">
      <c r="A349" s="61" t="s">
        <v>2685</v>
      </c>
      <c r="B349" s="34" t="s">
        <v>713</v>
      </c>
      <c r="C349" s="34"/>
      <c r="D349" s="34" t="s">
        <v>2686</v>
      </c>
      <c r="E349" s="34" t="s">
        <v>559</v>
      </c>
      <c r="F349" s="54">
        <v>0</v>
      </c>
      <c r="G349" s="54"/>
      <c r="H349" s="54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2684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7" t="str">
        <f>IF(Table1[[#This Row],[Auto Order]]=1,IF(Table1[[#This Row],[In stock]]&lt;Table1[[#This Row],[Min in stock]],1,""),"")</f>
        <v/>
      </c>
    </row>
    <row r="350" spans="1:29" hidden="1" x14ac:dyDescent="0.25">
      <c r="A350" s="61" t="s">
        <v>2637</v>
      </c>
      <c r="B350" s="34" t="s">
        <v>713</v>
      </c>
      <c r="C350" s="34"/>
      <c r="D350" s="34" t="s">
        <v>2638</v>
      </c>
      <c r="E350" s="34" t="s">
        <v>559</v>
      </c>
      <c r="F350" s="54">
        <v>0</v>
      </c>
      <c r="G350" s="54"/>
      <c r="H350" s="54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2636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7" t="str">
        <f>IF(Table1[[#This Row],[Auto Order]]=1,IF(Table1[[#This Row],[In stock]]&lt;Table1[[#This Row],[Min in stock]],1,""),"")</f>
        <v/>
      </c>
    </row>
    <row r="351" spans="1:29" hidden="1" x14ac:dyDescent="0.25">
      <c r="A351" s="61" t="s">
        <v>2574</v>
      </c>
      <c r="B351" s="34" t="s">
        <v>713</v>
      </c>
      <c r="C351" s="34"/>
      <c r="D351" s="34" t="s">
        <v>2575</v>
      </c>
      <c r="E351" s="34" t="s">
        <v>559</v>
      </c>
      <c r="F351" s="54">
        <v>0</v>
      </c>
      <c r="G351" s="54"/>
      <c r="H351" s="54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2573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7" t="str">
        <f>IF(Table1[[#This Row],[Auto Order]]=1,IF(Table1[[#This Row],[In stock]]&lt;Table1[[#This Row],[Min in stock]],1,""),"")</f>
        <v/>
      </c>
    </row>
    <row r="352" spans="1:29" hidden="1" x14ac:dyDescent="0.25">
      <c r="A352" s="61" t="s">
        <v>2010</v>
      </c>
      <c r="B352" s="34" t="s">
        <v>713</v>
      </c>
      <c r="C352" s="34"/>
      <c r="D352" s="34" t="s">
        <v>2011</v>
      </c>
      <c r="E352" s="34" t="s">
        <v>559</v>
      </c>
      <c r="F352" s="54">
        <v>0</v>
      </c>
      <c r="G352" s="54"/>
      <c r="H352" s="54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2009</v>
      </c>
      <c r="M352" s="42">
        <v>0.17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7" t="str">
        <f>IF(Table1[[#This Row],[Auto Order]]=1,IF(Table1[[#This Row],[In stock]]&lt;Table1[[#This Row],[Min in stock]],1,""),"")</f>
        <v/>
      </c>
    </row>
    <row r="353" spans="1:29" hidden="1" x14ac:dyDescent="0.25">
      <c r="A353" s="61" t="s">
        <v>1800</v>
      </c>
      <c r="B353" s="34" t="s">
        <v>713</v>
      </c>
      <c r="C353" s="34"/>
      <c r="D353" s="34" t="s">
        <v>1801</v>
      </c>
      <c r="E353" s="34" t="s">
        <v>559</v>
      </c>
      <c r="F353" s="54">
        <v>0</v>
      </c>
      <c r="G353" s="54"/>
      <c r="H353" s="54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1799</v>
      </c>
      <c r="M353" s="42">
        <v>0.17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7" t="str">
        <f>IF(Table1[[#This Row],[Auto Order]]=1,IF(Table1[[#This Row],[In stock]]&lt;Table1[[#This Row],[Min in stock]],1,""),"")</f>
        <v/>
      </c>
    </row>
    <row r="354" spans="1:29" hidden="1" x14ac:dyDescent="0.25">
      <c r="A354" s="61" t="s">
        <v>2007</v>
      </c>
      <c r="B354" s="34" t="s">
        <v>713</v>
      </c>
      <c r="C354" s="34"/>
      <c r="D354" s="34" t="s">
        <v>2008</v>
      </c>
      <c r="E354" s="34" t="s">
        <v>559</v>
      </c>
      <c r="F354" s="54">
        <v>0</v>
      </c>
      <c r="G354" s="54"/>
      <c r="H354" s="54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2006</v>
      </c>
      <c r="M354" s="42">
        <v>0.17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7" t="str">
        <f>IF(Table1[[#This Row],[Auto Order]]=1,IF(Table1[[#This Row],[In stock]]&lt;Table1[[#This Row],[Min in stock]],1,""),"")</f>
        <v/>
      </c>
    </row>
    <row r="355" spans="1:29" hidden="1" x14ac:dyDescent="0.25">
      <c r="A355" s="61" t="s">
        <v>2019</v>
      </c>
      <c r="B355" s="34" t="s">
        <v>713</v>
      </c>
      <c r="C355" s="34"/>
      <c r="D355" s="34" t="s">
        <v>2020</v>
      </c>
      <c r="E355" s="34" t="s">
        <v>559</v>
      </c>
      <c r="F355" s="54">
        <v>0</v>
      </c>
      <c r="G355" s="54"/>
      <c r="H355" s="54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2018</v>
      </c>
      <c r="M355" s="42">
        <v>0.17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7" t="str">
        <f>IF(Table1[[#This Row],[Auto Order]]=1,IF(Table1[[#This Row],[In stock]]&lt;Table1[[#This Row],[Min in stock]],1,""),"")</f>
        <v/>
      </c>
    </row>
    <row r="356" spans="1:29" hidden="1" x14ac:dyDescent="0.25">
      <c r="A356" s="61" t="s">
        <v>1797</v>
      </c>
      <c r="B356" s="34" t="s">
        <v>713</v>
      </c>
      <c r="C356" s="34"/>
      <c r="D356" s="34" t="s">
        <v>1798</v>
      </c>
      <c r="E356" s="34" t="s">
        <v>559</v>
      </c>
      <c r="F356" s="54">
        <v>0</v>
      </c>
      <c r="G356" s="54"/>
      <c r="H356" s="54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1796</v>
      </c>
      <c r="M356" s="42">
        <v>0.17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7" t="str">
        <f>IF(Table1[[#This Row],[Auto Order]]=1,IF(Table1[[#This Row],[In stock]]&lt;Table1[[#This Row],[Min in stock]],1,""),"")</f>
        <v/>
      </c>
    </row>
    <row r="357" spans="1:29" hidden="1" x14ac:dyDescent="0.25">
      <c r="A357" s="61" t="s">
        <v>2112</v>
      </c>
      <c r="B357" s="34" t="s">
        <v>713</v>
      </c>
      <c r="C357" s="34"/>
      <c r="D357" s="34" t="s">
        <v>2113</v>
      </c>
      <c r="E357" s="34" t="s">
        <v>559</v>
      </c>
      <c r="F357" s="54">
        <v>0</v>
      </c>
      <c r="G357" s="54"/>
      <c r="H357" s="54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2111</v>
      </c>
      <c r="M357" s="42">
        <v>0.17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7" t="str">
        <f>IF(Table1[[#This Row],[Auto Order]]=1,IF(Table1[[#This Row],[In stock]]&lt;Table1[[#This Row],[Min in stock]],1,""),"")</f>
        <v/>
      </c>
    </row>
    <row r="358" spans="1:29" hidden="1" x14ac:dyDescent="0.25">
      <c r="A358" s="61" t="s">
        <v>2049</v>
      </c>
      <c r="B358" s="34" t="s">
        <v>713</v>
      </c>
      <c r="C358" s="34"/>
      <c r="D358" s="34" t="s">
        <v>2050</v>
      </c>
      <c r="E358" s="34" t="s">
        <v>559</v>
      </c>
      <c r="F358" s="54">
        <v>0</v>
      </c>
      <c r="G358" s="54"/>
      <c r="H358" s="54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2048</v>
      </c>
      <c r="M358" s="42">
        <v>0.17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7" t="str">
        <f>IF(Table1[[#This Row],[Auto Order]]=1,IF(Table1[[#This Row],[In stock]]&lt;Table1[[#This Row],[Min in stock]],1,""),"")</f>
        <v/>
      </c>
    </row>
    <row r="359" spans="1:29" hidden="1" x14ac:dyDescent="0.25">
      <c r="A359" s="61" t="s">
        <v>2052</v>
      </c>
      <c r="B359" s="34" t="s">
        <v>713</v>
      </c>
      <c r="C359" s="34"/>
      <c r="D359" s="34" t="s">
        <v>2053</v>
      </c>
      <c r="E359" s="34" t="s">
        <v>559</v>
      </c>
      <c r="F359" s="54">
        <v>0</v>
      </c>
      <c r="G359" s="54"/>
      <c r="H359" s="54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2051</v>
      </c>
      <c r="M359" s="42">
        <v>0.17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7" t="str">
        <f>IF(Table1[[#This Row],[Auto Order]]=1,IF(Table1[[#This Row],[In stock]]&lt;Table1[[#This Row],[Min in stock]],1,""),"")</f>
        <v/>
      </c>
    </row>
    <row r="360" spans="1:29" hidden="1" x14ac:dyDescent="0.25">
      <c r="A360" s="61" t="s">
        <v>2061</v>
      </c>
      <c r="B360" s="34" t="s">
        <v>713</v>
      </c>
      <c r="C360" s="34"/>
      <c r="D360" s="34" t="s">
        <v>2062</v>
      </c>
      <c r="E360" s="34" t="s">
        <v>559</v>
      </c>
      <c r="F360" s="54">
        <v>0</v>
      </c>
      <c r="G360" s="54"/>
      <c r="H360" s="54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2060</v>
      </c>
      <c r="M360" s="42">
        <v>0.17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7" t="str">
        <f>IF(Table1[[#This Row],[Auto Order]]=1,IF(Table1[[#This Row],[In stock]]&lt;Table1[[#This Row],[Min in stock]],1,""),"")</f>
        <v/>
      </c>
    </row>
    <row r="361" spans="1:29" hidden="1" x14ac:dyDescent="0.25">
      <c r="A361" s="61" t="s">
        <v>2337</v>
      </c>
      <c r="B361" s="34" t="s">
        <v>713</v>
      </c>
      <c r="C361" s="34"/>
      <c r="D361" s="34" t="s">
        <v>2338</v>
      </c>
      <c r="E361" s="34" t="s">
        <v>559</v>
      </c>
      <c r="F361" s="54">
        <v>0</v>
      </c>
      <c r="G361" s="54"/>
      <c r="H361" s="54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2336</v>
      </c>
      <c r="M361" s="42">
        <v>0.17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7" t="str">
        <f>IF(Table1[[#This Row],[Auto Order]]=1,IF(Table1[[#This Row],[In stock]]&lt;Table1[[#This Row],[Min in stock]],1,""),"")</f>
        <v/>
      </c>
    </row>
    <row r="362" spans="1:29" hidden="1" x14ac:dyDescent="0.25">
      <c r="A362" s="61" t="s">
        <v>2298</v>
      </c>
      <c r="B362" s="34" t="s">
        <v>713</v>
      </c>
      <c r="C362" s="34"/>
      <c r="D362" s="34" t="s">
        <v>2299</v>
      </c>
      <c r="E362" s="34" t="s">
        <v>559</v>
      </c>
      <c r="F362" s="54">
        <v>0</v>
      </c>
      <c r="G362" s="54"/>
      <c r="H362" s="54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2297</v>
      </c>
      <c r="M362" s="42">
        <v>0.17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7" t="str">
        <f>IF(Table1[[#This Row],[Auto Order]]=1,IF(Table1[[#This Row],[In stock]]&lt;Table1[[#This Row],[Min in stock]],1,""),"")</f>
        <v/>
      </c>
    </row>
    <row r="363" spans="1:29" hidden="1" x14ac:dyDescent="0.25">
      <c r="A363" s="61" t="s">
        <v>2118</v>
      </c>
      <c r="B363" s="34" t="s">
        <v>713</v>
      </c>
      <c r="C363" s="34"/>
      <c r="D363" s="34" t="s">
        <v>2119</v>
      </c>
      <c r="E363" s="34" t="s">
        <v>559</v>
      </c>
      <c r="F363" s="54">
        <v>0</v>
      </c>
      <c r="G363" s="54"/>
      <c r="H363" s="54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2117</v>
      </c>
      <c r="M363" s="42">
        <v>0.17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7" t="str">
        <f>IF(Table1[[#This Row],[Auto Order]]=1,IF(Table1[[#This Row],[In stock]]&lt;Table1[[#This Row],[Min in stock]],1,""),"")</f>
        <v/>
      </c>
    </row>
    <row r="364" spans="1:29" hidden="1" x14ac:dyDescent="0.25">
      <c r="A364" s="61" t="s">
        <v>2310</v>
      </c>
      <c r="B364" s="34" t="s">
        <v>713</v>
      </c>
      <c r="C364" s="34"/>
      <c r="D364" s="34" t="s">
        <v>2311</v>
      </c>
      <c r="E364" s="34" t="s">
        <v>559</v>
      </c>
      <c r="F364" s="54">
        <v>0</v>
      </c>
      <c r="G364" s="54"/>
      <c r="H364" s="54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2309</v>
      </c>
      <c r="M364" s="42">
        <v>0.17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7" t="str">
        <f>IF(Table1[[#This Row],[Auto Order]]=1,IF(Table1[[#This Row],[In stock]]&lt;Table1[[#This Row],[Min in stock]],1,""),"")</f>
        <v/>
      </c>
    </row>
    <row r="365" spans="1:29" hidden="1" x14ac:dyDescent="0.25">
      <c r="A365" s="61" t="s">
        <v>2064</v>
      </c>
      <c r="B365" s="34" t="s">
        <v>713</v>
      </c>
      <c r="C365" s="34"/>
      <c r="D365" s="34" t="s">
        <v>2065</v>
      </c>
      <c r="E365" s="34" t="s">
        <v>559</v>
      </c>
      <c r="F365" s="54">
        <v>0</v>
      </c>
      <c r="G365" s="54"/>
      <c r="H365" s="54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2063</v>
      </c>
      <c r="M365" s="42">
        <v>0.17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7" t="str">
        <f>IF(Table1[[#This Row],[Auto Order]]=1,IF(Table1[[#This Row],[In stock]]&lt;Table1[[#This Row],[Min in stock]],1,""),"")</f>
        <v/>
      </c>
    </row>
    <row r="366" spans="1:29" hidden="1" x14ac:dyDescent="0.25">
      <c r="A366" s="61" t="s">
        <v>2121</v>
      </c>
      <c r="B366" s="34" t="s">
        <v>713</v>
      </c>
      <c r="C366" s="34"/>
      <c r="D366" s="34" t="s">
        <v>2122</v>
      </c>
      <c r="E366" s="34" t="s">
        <v>559</v>
      </c>
      <c r="F366" s="54">
        <v>0</v>
      </c>
      <c r="G366" s="54"/>
      <c r="H366" s="54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2120</v>
      </c>
      <c r="M366" s="42">
        <v>0.17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7" t="str">
        <f>IF(Table1[[#This Row],[Auto Order]]=1,IF(Table1[[#This Row],[In stock]]&lt;Table1[[#This Row],[Min in stock]],1,""),"")</f>
        <v/>
      </c>
    </row>
    <row r="367" spans="1:29" hidden="1" x14ac:dyDescent="0.25">
      <c r="A367" s="61" t="s">
        <v>2022</v>
      </c>
      <c r="B367" s="34" t="s">
        <v>713</v>
      </c>
      <c r="C367" s="34"/>
      <c r="D367" s="34" t="s">
        <v>2023</v>
      </c>
      <c r="E367" s="34" t="s">
        <v>559</v>
      </c>
      <c r="F367" s="54">
        <v>0</v>
      </c>
      <c r="G367" s="54"/>
      <c r="H367" s="54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2021</v>
      </c>
      <c r="M367" s="42">
        <v>0.17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7" t="str">
        <f>IF(Table1[[#This Row],[Auto Order]]=1,IF(Table1[[#This Row],[In stock]]&lt;Table1[[#This Row],[Min in stock]],1,""),"")</f>
        <v/>
      </c>
    </row>
    <row r="368" spans="1:29" hidden="1" x14ac:dyDescent="0.25">
      <c r="A368" s="61" t="s">
        <v>1995</v>
      </c>
      <c r="B368" s="34" t="s">
        <v>713</v>
      </c>
      <c r="C368" s="34"/>
      <c r="D368" s="34" t="s">
        <v>1996</v>
      </c>
      <c r="E368" s="34" t="s">
        <v>559</v>
      </c>
      <c r="F368" s="54">
        <v>0</v>
      </c>
      <c r="G368" s="54"/>
      <c r="H368" s="54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1994</v>
      </c>
      <c r="M368" s="42">
        <v>0.17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7" t="str">
        <f>IF(Table1[[#This Row],[Auto Order]]=1,IF(Table1[[#This Row],[In stock]]&lt;Table1[[#This Row],[Min in stock]],1,""),"")</f>
        <v/>
      </c>
    </row>
    <row r="369" spans="1:29" hidden="1" x14ac:dyDescent="0.25">
      <c r="A369" s="61" t="s">
        <v>2295</v>
      </c>
      <c r="B369" s="34" t="s">
        <v>713</v>
      </c>
      <c r="C369" s="34"/>
      <c r="D369" s="34" t="s">
        <v>2296</v>
      </c>
      <c r="E369" s="34" t="s">
        <v>559</v>
      </c>
      <c r="F369" s="54">
        <v>0</v>
      </c>
      <c r="G369" s="54"/>
      <c r="H369" s="54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2294</v>
      </c>
      <c r="M369" s="42">
        <v>0.17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7" t="str">
        <f>IF(Table1[[#This Row],[Auto Order]]=1,IF(Table1[[#This Row],[In stock]]&lt;Table1[[#This Row],[Min in stock]],1,""),"")</f>
        <v/>
      </c>
    </row>
    <row r="370" spans="1:29" hidden="1" x14ac:dyDescent="0.25">
      <c r="A370" s="61" t="s">
        <v>2148</v>
      </c>
      <c r="B370" s="34" t="s">
        <v>713</v>
      </c>
      <c r="C370" s="34"/>
      <c r="D370" s="34" t="s">
        <v>2149</v>
      </c>
      <c r="E370" s="34" t="s">
        <v>559</v>
      </c>
      <c r="F370" s="54">
        <v>0</v>
      </c>
      <c r="G370" s="54"/>
      <c r="H370" s="54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2147</v>
      </c>
      <c r="M370" s="42">
        <v>0.17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7" t="str">
        <f>IF(Table1[[#This Row],[Auto Order]]=1,IF(Table1[[#This Row],[In stock]]&lt;Table1[[#This Row],[Min in stock]],1,""),"")</f>
        <v/>
      </c>
    </row>
    <row r="371" spans="1:29" hidden="1" x14ac:dyDescent="0.25">
      <c r="A371" s="61" t="s">
        <v>2151</v>
      </c>
      <c r="B371" s="34" t="s">
        <v>713</v>
      </c>
      <c r="C371" s="34"/>
      <c r="D371" s="34" t="s">
        <v>2152</v>
      </c>
      <c r="E371" s="34" t="s">
        <v>559</v>
      </c>
      <c r="F371" s="54">
        <v>0</v>
      </c>
      <c r="G371" s="54"/>
      <c r="H371" s="54"/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2150</v>
      </c>
      <c r="M371" s="42">
        <v>0.17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7" t="str">
        <f>IF(Table1[[#This Row],[Auto Order]]=1,IF(Table1[[#This Row],[In stock]]&lt;Table1[[#This Row],[Min in stock]],1,""),"")</f>
        <v/>
      </c>
    </row>
    <row r="372" spans="1:29" hidden="1" x14ac:dyDescent="0.25">
      <c r="A372" s="61" t="s">
        <v>2124</v>
      </c>
      <c r="B372" s="34" t="s">
        <v>713</v>
      </c>
      <c r="C372" s="34"/>
      <c r="D372" s="34" t="s">
        <v>2125</v>
      </c>
      <c r="E372" s="34" t="s">
        <v>559</v>
      </c>
      <c r="F372" s="54">
        <v>0</v>
      </c>
      <c r="G372" s="54"/>
      <c r="H372" s="54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2123</v>
      </c>
      <c r="M372" s="42">
        <v>0.17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7" t="str">
        <f>IF(Table1[[#This Row],[Auto Order]]=1,IF(Table1[[#This Row],[In stock]]&lt;Table1[[#This Row],[Min in stock]],1,""),"")</f>
        <v/>
      </c>
    </row>
    <row r="373" spans="1:29" hidden="1" x14ac:dyDescent="0.25">
      <c r="A373" s="61" t="s">
        <v>2283</v>
      </c>
      <c r="B373" s="34" t="s">
        <v>713</v>
      </c>
      <c r="C373" s="34"/>
      <c r="D373" s="34" t="s">
        <v>2284</v>
      </c>
      <c r="E373" s="34" t="s">
        <v>559</v>
      </c>
      <c r="F373" s="54">
        <v>0</v>
      </c>
      <c r="G373" s="54"/>
      <c r="H373" s="54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2282</v>
      </c>
      <c r="M373" s="42">
        <v>0.17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7" t="str">
        <f>IF(Table1[[#This Row],[Auto Order]]=1,IF(Table1[[#This Row],[In stock]]&lt;Table1[[#This Row],[Min in stock]],1,""),"")</f>
        <v/>
      </c>
    </row>
    <row r="374" spans="1:29" hidden="1" x14ac:dyDescent="0.25">
      <c r="A374" s="61" t="s">
        <v>2037</v>
      </c>
      <c r="B374" s="34" t="s">
        <v>713</v>
      </c>
      <c r="C374" s="34"/>
      <c r="D374" s="34" t="s">
        <v>2038</v>
      </c>
      <c r="E374" s="34" t="s">
        <v>559</v>
      </c>
      <c r="F374" s="54">
        <v>0</v>
      </c>
      <c r="G374" s="54"/>
      <c r="H374" s="54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2036</v>
      </c>
      <c r="M374" s="42">
        <v>0.17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7" t="str">
        <f>IF(Table1[[#This Row],[Auto Order]]=1,IF(Table1[[#This Row],[In stock]]&lt;Table1[[#This Row],[Min in stock]],1,""),"")</f>
        <v/>
      </c>
    </row>
    <row r="375" spans="1:29" hidden="1" x14ac:dyDescent="0.25">
      <c r="A375" s="61" t="s">
        <v>2031</v>
      </c>
      <c r="B375" s="34" t="s">
        <v>713</v>
      </c>
      <c r="C375" s="34"/>
      <c r="D375" s="34" t="s">
        <v>2032</v>
      </c>
      <c r="E375" s="34" t="s">
        <v>559</v>
      </c>
      <c r="F375" s="54">
        <v>0</v>
      </c>
      <c r="G375" s="54"/>
      <c r="H375" s="54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2030</v>
      </c>
      <c r="M375" s="42">
        <v>0.17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7" t="str">
        <f>IF(Table1[[#This Row],[Auto Order]]=1,IF(Table1[[#This Row],[In stock]]&lt;Table1[[#This Row],[Min in stock]],1,""),"")</f>
        <v/>
      </c>
    </row>
    <row r="376" spans="1:29" hidden="1" x14ac:dyDescent="0.25">
      <c r="A376" s="61" t="s">
        <v>2127</v>
      </c>
      <c r="B376" s="34" t="s">
        <v>713</v>
      </c>
      <c r="C376" s="34"/>
      <c r="D376" s="34" t="s">
        <v>2128</v>
      </c>
      <c r="E376" s="34" t="s">
        <v>559</v>
      </c>
      <c r="F376" s="54">
        <v>0</v>
      </c>
      <c r="G376" s="54"/>
      <c r="H376" s="54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2126</v>
      </c>
      <c r="M376" s="42">
        <v>0.17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7" t="str">
        <f>IF(Table1[[#This Row],[Auto Order]]=1,IF(Table1[[#This Row],[In stock]]&lt;Table1[[#This Row],[Min in stock]],1,""),"")</f>
        <v/>
      </c>
    </row>
    <row r="377" spans="1:29" hidden="1" x14ac:dyDescent="0.25">
      <c r="A377" s="61" t="s">
        <v>2001</v>
      </c>
      <c r="B377" s="34" t="s">
        <v>713</v>
      </c>
      <c r="C377" s="34"/>
      <c r="D377" s="34" t="s">
        <v>2002</v>
      </c>
      <c r="E377" s="34" t="s">
        <v>559</v>
      </c>
      <c r="F377" s="54">
        <v>0</v>
      </c>
      <c r="G377" s="54"/>
      <c r="H377" s="54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2000</v>
      </c>
      <c r="M377" s="42">
        <v>0.17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7" t="str">
        <f>IF(Table1[[#This Row],[Auto Order]]=1,IF(Table1[[#This Row],[In stock]]&lt;Table1[[#This Row],[Min in stock]],1,""),"")</f>
        <v/>
      </c>
    </row>
    <row r="378" spans="1:29" hidden="1" x14ac:dyDescent="0.25">
      <c r="A378" s="61" t="s">
        <v>2313</v>
      </c>
      <c r="B378" s="34" t="s">
        <v>713</v>
      </c>
      <c r="C378" s="34"/>
      <c r="D378" s="34" t="s">
        <v>2314</v>
      </c>
      <c r="E378" s="34" t="s">
        <v>559</v>
      </c>
      <c r="F378" s="54">
        <v>0</v>
      </c>
      <c r="G378" s="54"/>
      <c r="H378" s="54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2312</v>
      </c>
      <c r="M378" s="42">
        <v>0.17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7" t="str">
        <f>IF(Table1[[#This Row],[Auto Order]]=1,IF(Table1[[#This Row],[In stock]]&lt;Table1[[#This Row],[Min in stock]],1,""),"")</f>
        <v/>
      </c>
    </row>
    <row r="379" spans="1:29" hidden="1" x14ac:dyDescent="0.25">
      <c r="A379" s="61" t="s">
        <v>2328</v>
      </c>
      <c r="B379" s="34" t="s">
        <v>713</v>
      </c>
      <c r="C379" s="34"/>
      <c r="D379" s="34" t="s">
        <v>2329</v>
      </c>
      <c r="E379" s="34" t="s">
        <v>559</v>
      </c>
      <c r="F379" s="54">
        <v>0</v>
      </c>
      <c r="G379" s="54"/>
      <c r="H379" s="54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2327</v>
      </c>
      <c r="M379" s="42">
        <v>0.17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7" t="str">
        <f>IF(Table1[[#This Row],[Auto Order]]=1,IF(Table1[[#This Row],[In stock]]&lt;Table1[[#This Row],[Min in stock]],1,""),"")</f>
        <v/>
      </c>
    </row>
    <row r="380" spans="1:29" hidden="1" x14ac:dyDescent="0.25">
      <c r="A380" s="61" t="s">
        <v>2325</v>
      </c>
      <c r="B380" s="34" t="s">
        <v>713</v>
      </c>
      <c r="C380" s="34"/>
      <c r="D380" s="34" t="s">
        <v>2326</v>
      </c>
      <c r="E380" s="34" t="s">
        <v>559</v>
      </c>
      <c r="F380" s="54">
        <v>0</v>
      </c>
      <c r="G380" s="54"/>
      <c r="H380" s="54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2324</v>
      </c>
      <c r="M380" s="42">
        <v>0.17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7" t="str">
        <f>IF(Table1[[#This Row],[Auto Order]]=1,IF(Table1[[#This Row],[In stock]]&lt;Table1[[#This Row],[Min in stock]],1,""),"")</f>
        <v/>
      </c>
    </row>
    <row r="381" spans="1:29" hidden="1" x14ac:dyDescent="0.25">
      <c r="A381" s="61" t="s">
        <v>2949</v>
      </c>
      <c r="B381" s="34" t="s">
        <v>713</v>
      </c>
      <c r="C381" s="34"/>
      <c r="D381" s="34" t="s">
        <v>2950</v>
      </c>
      <c r="E381" s="34" t="s">
        <v>559</v>
      </c>
      <c r="F381" s="54">
        <v>0</v>
      </c>
      <c r="G381" s="54"/>
      <c r="H381" s="54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2948</v>
      </c>
      <c r="M381" s="42">
        <v>0.17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7" t="str">
        <f>IF(Table1[[#This Row],[Auto Order]]=1,IF(Table1[[#This Row],[In stock]]&lt;Table1[[#This Row],[Min in stock]],1,""),"")</f>
        <v/>
      </c>
    </row>
    <row r="382" spans="1:29" hidden="1" x14ac:dyDescent="0.25">
      <c r="A382" s="61" t="s">
        <v>2280</v>
      </c>
      <c r="B382" s="34" t="s">
        <v>713</v>
      </c>
      <c r="C382" s="34"/>
      <c r="D382" s="34" t="s">
        <v>2281</v>
      </c>
      <c r="E382" s="34" t="s">
        <v>559</v>
      </c>
      <c r="F382" s="54">
        <v>0</v>
      </c>
      <c r="G382" s="54"/>
      <c r="H382" s="54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2279</v>
      </c>
      <c r="M382" s="42">
        <v>0.17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7" t="str">
        <f>IF(Table1[[#This Row],[Auto Order]]=1,IF(Table1[[#This Row],[In stock]]&lt;Table1[[#This Row],[Min in stock]],1,""),"")</f>
        <v/>
      </c>
    </row>
    <row r="383" spans="1:29" hidden="1" x14ac:dyDescent="0.25">
      <c r="A383" s="61" t="s">
        <v>2013</v>
      </c>
      <c r="B383" s="34" t="s">
        <v>713</v>
      </c>
      <c r="C383" s="34"/>
      <c r="D383" s="34" t="s">
        <v>2014</v>
      </c>
      <c r="E383" s="34" t="s">
        <v>559</v>
      </c>
      <c r="F383" s="54">
        <v>0</v>
      </c>
      <c r="G383" s="54"/>
      <c r="H383" s="54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2012</v>
      </c>
      <c r="M383" s="42">
        <v>0.17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7" t="str">
        <f>IF(Table1[[#This Row],[Auto Order]]=1,IF(Table1[[#This Row],[In stock]]&lt;Table1[[#This Row],[Min in stock]],1,""),"")</f>
        <v/>
      </c>
    </row>
    <row r="384" spans="1:29" hidden="1" x14ac:dyDescent="0.25">
      <c r="A384" s="61" t="s">
        <v>2067</v>
      </c>
      <c r="B384" s="34" t="s">
        <v>713</v>
      </c>
      <c r="C384" s="34"/>
      <c r="D384" s="34" t="s">
        <v>2068</v>
      </c>
      <c r="E384" s="34" t="s">
        <v>559</v>
      </c>
      <c r="F384" s="54">
        <v>0</v>
      </c>
      <c r="G384" s="54"/>
      <c r="H384" s="54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2066</v>
      </c>
      <c r="M384" s="42">
        <v>0.17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7" t="str">
        <f>IF(Table1[[#This Row],[Auto Order]]=1,IF(Table1[[#This Row],[In stock]]&lt;Table1[[#This Row],[Min in stock]],1,""),"")</f>
        <v/>
      </c>
    </row>
    <row r="385" spans="1:29" hidden="1" x14ac:dyDescent="0.25">
      <c r="A385" s="61" t="s">
        <v>2040</v>
      </c>
      <c r="B385" s="34" t="s">
        <v>713</v>
      </c>
      <c r="C385" s="34"/>
      <c r="D385" s="34" t="s">
        <v>2041</v>
      </c>
      <c r="E385" s="34" t="s">
        <v>559</v>
      </c>
      <c r="F385" s="54">
        <v>0</v>
      </c>
      <c r="G385" s="54"/>
      <c r="H385" s="54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2039</v>
      </c>
      <c r="M385" s="42">
        <v>0.17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7" t="str">
        <f>IF(Table1[[#This Row],[Auto Order]]=1,IF(Table1[[#This Row],[In stock]]&lt;Table1[[#This Row],[Min in stock]],1,""),"")</f>
        <v/>
      </c>
    </row>
    <row r="386" spans="1:29" hidden="1" x14ac:dyDescent="0.25">
      <c r="A386" s="61" t="s">
        <v>2034</v>
      </c>
      <c r="B386" s="34" t="s">
        <v>713</v>
      </c>
      <c r="C386" s="34"/>
      <c r="D386" s="34" t="s">
        <v>2035</v>
      </c>
      <c r="E386" s="34" t="s">
        <v>559</v>
      </c>
      <c r="F386" s="54">
        <v>0</v>
      </c>
      <c r="G386" s="54"/>
      <c r="H386" s="54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2033</v>
      </c>
      <c r="M386" s="42">
        <v>0.17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7" t="str">
        <f>IF(Table1[[#This Row],[Auto Order]]=1,IF(Table1[[#This Row],[In stock]]&lt;Table1[[#This Row],[Min in stock]],1,""),"")</f>
        <v/>
      </c>
    </row>
    <row r="387" spans="1:29" hidden="1" x14ac:dyDescent="0.25">
      <c r="A387" s="61" t="s">
        <v>2055</v>
      </c>
      <c r="B387" s="34" t="s">
        <v>713</v>
      </c>
      <c r="C387" s="34"/>
      <c r="D387" s="34" t="s">
        <v>2056</v>
      </c>
      <c r="E387" s="34" t="s">
        <v>559</v>
      </c>
      <c r="F387" s="54">
        <v>0</v>
      </c>
      <c r="G387" s="54"/>
      <c r="H387" s="54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2054</v>
      </c>
      <c r="M387" s="42">
        <v>0.17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7" t="str">
        <f>IF(Table1[[#This Row],[Auto Order]]=1,IF(Table1[[#This Row],[In stock]]&lt;Table1[[#This Row],[Min in stock]],1,""),"")</f>
        <v/>
      </c>
    </row>
    <row r="388" spans="1:29" hidden="1" x14ac:dyDescent="0.25">
      <c r="A388" s="61" t="s">
        <v>2286</v>
      </c>
      <c r="B388" s="34" t="s">
        <v>713</v>
      </c>
      <c r="C388" s="34"/>
      <c r="D388" s="34" t="s">
        <v>2287</v>
      </c>
      <c r="E388" s="34" t="s">
        <v>559</v>
      </c>
      <c r="F388" s="54">
        <v>0</v>
      </c>
      <c r="G388" s="54"/>
      <c r="H388" s="54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2285</v>
      </c>
      <c r="M388" s="42">
        <v>0.17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7" t="str">
        <f>IF(Table1[[#This Row],[Auto Order]]=1,IF(Table1[[#This Row],[In stock]]&lt;Table1[[#This Row],[Min in stock]],1,""),"")</f>
        <v/>
      </c>
    </row>
    <row r="389" spans="1:29" hidden="1" x14ac:dyDescent="0.25">
      <c r="A389" s="61" t="s">
        <v>2130</v>
      </c>
      <c r="B389" s="34" t="s">
        <v>713</v>
      </c>
      <c r="C389" s="34"/>
      <c r="D389" s="34" t="s">
        <v>2131</v>
      </c>
      <c r="E389" s="34" t="s">
        <v>559</v>
      </c>
      <c r="F389" s="54">
        <v>0</v>
      </c>
      <c r="G389" s="54"/>
      <c r="H389" s="54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2129</v>
      </c>
      <c r="M389" s="42">
        <v>0.17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7" t="str">
        <f>IF(Table1[[#This Row],[Auto Order]]=1,IF(Table1[[#This Row],[In stock]]&lt;Table1[[#This Row],[Min in stock]],1,""),"")</f>
        <v/>
      </c>
    </row>
    <row r="390" spans="1:29" hidden="1" x14ac:dyDescent="0.25">
      <c r="A390" s="61" t="s">
        <v>2133</v>
      </c>
      <c r="B390" s="34" t="s">
        <v>713</v>
      </c>
      <c r="C390" s="34"/>
      <c r="D390" s="34" t="s">
        <v>2134</v>
      </c>
      <c r="E390" s="34" t="s">
        <v>559</v>
      </c>
      <c r="F390" s="54">
        <v>0</v>
      </c>
      <c r="G390" s="54"/>
      <c r="H390" s="54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2132</v>
      </c>
      <c r="M390" s="42">
        <v>0.17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7" t="str">
        <f>IF(Table1[[#This Row],[Auto Order]]=1,IF(Table1[[#This Row],[In stock]]&lt;Table1[[#This Row],[Min in stock]],1,""),"")</f>
        <v/>
      </c>
    </row>
    <row r="391" spans="1:29" hidden="1" x14ac:dyDescent="0.25">
      <c r="A391" s="61" t="s">
        <v>2277</v>
      </c>
      <c r="B391" s="34" t="s">
        <v>713</v>
      </c>
      <c r="C391" s="34"/>
      <c r="D391" s="34" t="s">
        <v>2278</v>
      </c>
      <c r="E391" s="34" t="s">
        <v>559</v>
      </c>
      <c r="F391" s="54">
        <v>0</v>
      </c>
      <c r="G391" s="54"/>
      <c r="H391" s="54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2276</v>
      </c>
      <c r="M391" s="42">
        <v>0.17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7" t="str">
        <f>IF(Table1[[#This Row],[Auto Order]]=1,IF(Table1[[#This Row],[In stock]]&lt;Table1[[#This Row],[Min in stock]],1,""),"")</f>
        <v/>
      </c>
    </row>
    <row r="392" spans="1:29" hidden="1" x14ac:dyDescent="0.25">
      <c r="A392" s="61" t="s">
        <v>2301</v>
      </c>
      <c r="B392" s="34" t="s">
        <v>713</v>
      </c>
      <c r="C392" s="34"/>
      <c r="D392" s="34" t="s">
        <v>2302</v>
      </c>
      <c r="E392" s="34" t="s">
        <v>559</v>
      </c>
      <c r="F392" s="54">
        <v>0</v>
      </c>
      <c r="G392" s="54"/>
      <c r="H392" s="54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2300</v>
      </c>
      <c r="M392" s="42">
        <v>0.17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7" t="str">
        <f>IF(Table1[[#This Row],[Auto Order]]=1,IF(Table1[[#This Row],[In stock]]&lt;Table1[[#This Row],[Min in stock]],1,""),"")</f>
        <v/>
      </c>
    </row>
    <row r="393" spans="1:29" hidden="1" x14ac:dyDescent="0.25">
      <c r="A393" s="61" t="s">
        <v>2043</v>
      </c>
      <c r="B393" s="34" t="s">
        <v>713</v>
      </c>
      <c r="C393" s="34"/>
      <c r="D393" s="34" t="s">
        <v>2044</v>
      </c>
      <c r="E393" s="34" t="s">
        <v>559</v>
      </c>
      <c r="F393" s="54">
        <v>0</v>
      </c>
      <c r="G393" s="54"/>
      <c r="H393" s="54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2042</v>
      </c>
      <c r="M393" s="42">
        <v>0.17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7" t="str">
        <f>IF(Table1[[#This Row],[Auto Order]]=1,IF(Table1[[#This Row],[In stock]]&lt;Table1[[#This Row],[Min in stock]],1,""),"")</f>
        <v/>
      </c>
    </row>
    <row r="394" spans="1:29" hidden="1" x14ac:dyDescent="0.25">
      <c r="A394" s="61" t="s">
        <v>2322</v>
      </c>
      <c r="B394" s="34" t="s">
        <v>713</v>
      </c>
      <c r="C394" s="34"/>
      <c r="D394" s="34" t="s">
        <v>2323</v>
      </c>
      <c r="E394" s="34" t="s">
        <v>559</v>
      </c>
      <c r="F394" s="54">
        <v>0</v>
      </c>
      <c r="G394" s="54"/>
      <c r="H394" s="54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2321</v>
      </c>
      <c r="M394" s="42">
        <v>0.17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7" t="str">
        <f>IF(Table1[[#This Row],[Auto Order]]=1,IF(Table1[[#This Row],[In stock]]&lt;Table1[[#This Row],[Min in stock]],1,""),"")</f>
        <v/>
      </c>
    </row>
    <row r="395" spans="1:29" hidden="1" x14ac:dyDescent="0.25">
      <c r="A395" s="61" t="s">
        <v>2115</v>
      </c>
      <c r="B395" s="34" t="s">
        <v>713</v>
      </c>
      <c r="C395" s="34"/>
      <c r="D395" s="34" t="s">
        <v>2116</v>
      </c>
      <c r="E395" s="34" t="s">
        <v>559</v>
      </c>
      <c r="F395" s="54">
        <v>0</v>
      </c>
      <c r="G395" s="54"/>
      <c r="H395" s="54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2114</v>
      </c>
      <c r="M395" s="42">
        <v>0.17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7" t="str">
        <f>IF(Table1[[#This Row],[Auto Order]]=1,IF(Table1[[#This Row],[In stock]]&lt;Table1[[#This Row],[Min in stock]],1,""),"")</f>
        <v/>
      </c>
    </row>
    <row r="396" spans="1:29" hidden="1" x14ac:dyDescent="0.25">
      <c r="A396" s="61" t="s">
        <v>2445</v>
      </c>
      <c r="B396" s="34" t="s">
        <v>713</v>
      </c>
      <c r="C396" s="34"/>
      <c r="D396" s="34" t="s">
        <v>2446</v>
      </c>
      <c r="E396" s="34" t="s">
        <v>559</v>
      </c>
      <c r="F396" s="54">
        <v>0</v>
      </c>
      <c r="G396" s="54"/>
      <c r="H396" s="54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2444</v>
      </c>
      <c r="M396" s="42">
        <v>0.17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7" t="str">
        <f>IF(Table1[[#This Row],[Auto Order]]=1,IF(Table1[[#This Row],[In stock]]&lt;Table1[[#This Row],[Min in stock]],1,""),"")</f>
        <v/>
      </c>
    </row>
    <row r="397" spans="1:29" hidden="1" x14ac:dyDescent="0.25">
      <c r="A397" s="61" t="s">
        <v>2016</v>
      </c>
      <c r="B397" s="34" t="s">
        <v>713</v>
      </c>
      <c r="C397" s="34"/>
      <c r="D397" s="34" t="s">
        <v>2017</v>
      </c>
      <c r="E397" s="34" t="s">
        <v>559</v>
      </c>
      <c r="F397" s="54">
        <v>0</v>
      </c>
      <c r="G397" s="54"/>
      <c r="H397" s="54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2015</v>
      </c>
      <c r="M397" s="42">
        <v>0.17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7" t="str">
        <f>IF(Table1[[#This Row],[Auto Order]]=1,IF(Table1[[#This Row],[In stock]]&lt;Table1[[#This Row],[Min in stock]],1,""),"")</f>
        <v/>
      </c>
    </row>
    <row r="398" spans="1:29" hidden="1" x14ac:dyDescent="0.25">
      <c r="A398" s="61" t="s">
        <v>1992</v>
      </c>
      <c r="B398" s="34" t="s">
        <v>713</v>
      </c>
      <c r="C398" s="34"/>
      <c r="D398" s="34" t="s">
        <v>1993</v>
      </c>
      <c r="E398" s="34" t="s">
        <v>559</v>
      </c>
      <c r="F398" s="54">
        <v>0</v>
      </c>
      <c r="G398" s="54"/>
      <c r="H398" s="54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1991</v>
      </c>
      <c r="M398" s="42">
        <v>0.17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7" t="str">
        <f>IF(Table1[[#This Row],[Auto Order]]=1,IF(Table1[[#This Row],[In stock]]&lt;Table1[[#This Row],[Min in stock]],1,""),"")</f>
        <v/>
      </c>
    </row>
    <row r="399" spans="1:29" hidden="1" x14ac:dyDescent="0.25">
      <c r="A399" s="61" t="s">
        <v>2289</v>
      </c>
      <c r="B399" s="34" t="s">
        <v>713</v>
      </c>
      <c r="C399" s="34"/>
      <c r="D399" s="34" t="s">
        <v>2290</v>
      </c>
      <c r="E399" s="34" t="s">
        <v>559</v>
      </c>
      <c r="F399" s="54">
        <v>0</v>
      </c>
      <c r="G399" s="54"/>
      <c r="H399" s="54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2288</v>
      </c>
      <c r="M399" s="42">
        <v>0.17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7" t="str">
        <f>IF(Table1[[#This Row],[Auto Order]]=1,IF(Table1[[#This Row],[In stock]]&lt;Table1[[#This Row],[Min in stock]],1,""),"")</f>
        <v/>
      </c>
    </row>
    <row r="400" spans="1:29" hidden="1" x14ac:dyDescent="0.25">
      <c r="A400" s="61" t="s">
        <v>2334</v>
      </c>
      <c r="B400" s="34" t="s">
        <v>713</v>
      </c>
      <c r="C400" s="34"/>
      <c r="D400" s="34" t="s">
        <v>2335</v>
      </c>
      <c r="E400" s="34" t="s">
        <v>559</v>
      </c>
      <c r="F400" s="54">
        <v>0</v>
      </c>
      <c r="G400" s="54"/>
      <c r="H400" s="54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2333</v>
      </c>
      <c r="M400" s="42">
        <v>0.17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7" t="str">
        <f>IF(Table1[[#This Row],[Auto Order]]=1,IF(Table1[[#This Row],[In stock]]&lt;Table1[[#This Row],[Min in stock]],1,""),"")</f>
        <v/>
      </c>
    </row>
    <row r="401" spans="1:29" hidden="1" x14ac:dyDescent="0.25">
      <c r="A401" s="61" t="s">
        <v>2025</v>
      </c>
      <c r="B401" s="34" t="s">
        <v>713</v>
      </c>
      <c r="C401" s="34"/>
      <c r="D401" s="34" t="s">
        <v>2026</v>
      </c>
      <c r="E401" s="34" t="s">
        <v>559</v>
      </c>
      <c r="F401" s="54">
        <v>0</v>
      </c>
      <c r="G401" s="54"/>
      <c r="H401" s="54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2024</v>
      </c>
      <c r="M401" s="42">
        <v>0.17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7" t="str">
        <f>IF(Table1[[#This Row],[Auto Order]]=1,IF(Table1[[#This Row],[In stock]]&lt;Table1[[#This Row],[Min in stock]],1,""),"")</f>
        <v/>
      </c>
    </row>
    <row r="402" spans="1:29" hidden="1" x14ac:dyDescent="0.25">
      <c r="A402" s="61" t="s">
        <v>2106</v>
      </c>
      <c r="B402" s="34" t="s">
        <v>713</v>
      </c>
      <c r="C402" s="34"/>
      <c r="D402" s="34" t="s">
        <v>2107</v>
      </c>
      <c r="E402" s="34" t="s">
        <v>559</v>
      </c>
      <c r="F402" s="54">
        <v>0</v>
      </c>
      <c r="G402" s="54"/>
      <c r="H402" s="54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2105</v>
      </c>
      <c r="M402" s="42">
        <v>0.17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7" t="str">
        <f>IF(Table1[[#This Row],[Auto Order]]=1,IF(Table1[[#This Row],[In stock]]&lt;Table1[[#This Row],[Min in stock]],1,""),"")</f>
        <v/>
      </c>
    </row>
    <row r="403" spans="1:29" hidden="1" x14ac:dyDescent="0.25">
      <c r="A403" s="61" t="s">
        <v>2070</v>
      </c>
      <c r="B403" s="34" t="s">
        <v>713</v>
      </c>
      <c r="C403" s="34"/>
      <c r="D403" s="34" t="s">
        <v>2071</v>
      </c>
      <c r="E403" s="34" t="s">
        <v>559</v>
      </c>
      <c r="F403" s="54">
        <v>0</v>
      </c>
      <c r="G403" s="54"/>
      <c r="H403" s="54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2069</v>
      </c>
      <c r="M403" s="42">
        <v>0.17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7" t="str">
        <f>IF(Table1[[#This Row],[Auto Order]]=1,IF(Table1[[#This Row],[In stock]]&lt;Table1[[#This Row],[Min in stock]],1,""),"")</f>
        <v/>
      </c>
    </row>
    <row r="404" spans="1:29" hidden="1" x14ac:dyDescent="0.25">
      <c r="A404" s="61" t="s">
        <v>2136</v>
      </c>
      <c r="B404" s="34" t="s">
        <v>713</v>
      </c>
      <c r="C404" s="34"/>
      <c r="D404" s="34" t="s">
        <v>2137</v>
      </c>
      <c r="E404" s="34" t="s">
        <v>559</v>
      </c>
      <c r="F404" s="54">
        <v>0</v>
      </c>
      <c r="G404" s="54"/>
      <c r="H404" s="54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2135</v>
      </c>
      <c r="M404" s="42">
        <v>0.17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7" t="str">
        <f>IF(Table1[[#This Row],[Auto Order]]=1,IF(Table1[[#This Row],[In stock]]&lt;Table1[[#This Row],[Min in stock]],1,""),"")</f>
        <v/>
      </c>
    </row>
    <row r="405" spans="1:29" hidden="1" x14ac:dyDescent="0.25">
      <c r="A405" s="61" t="s">
        <v>2046</v>
      </c>
      <c r="B405" s="34" t="s">
        <v>713</v>
      </c>
      <c r="C405" s="34"/>
      <c r="D405" s="34" t="s">
        <v>2047</v>
      </c>
      <c r="E405" s="34" t="s">
        <v>559</v>
      </c>
      <c r="F405" s="54">
        <v>0</v>
      </c>
      <c r="G405" s="54"/>
      <c r="H405" s="54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2045</v>
      </c>
      <c r="M405" s="42">
        <v>0.17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7" t="str">
        <f>IF(Table1[[#This Row],[Auto Order]]=1,IF(Table1[[#This Row],[In stock]]&lt;Table1[[#This Row],[Min in stock]],1,""),"")</f>
        <v/>
      </c>
    </row>
    <row r="406" spans="1:29" hidden="1" x14ac:dyDescent="0.25">
      <c r="A406" s="61" t="s">
        <v>2058</v>
      </c>
      <c r="B406" s="34" t="s">
        <v>713</v>
      </c>
      <c r="C406" s="34"/>
      <c r="D406" s="34" t="s">
        <v>2059</v>
      </c>
      <c r="E406" s="34" t="s">
        <v>559</v>
      </c>
      <c r="F406" s="54">
        <v>0</v>
      </c>
      <c r="G406" s="54"/>
      <c r="H406" s="54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2057</v>
      </c>
      <c r="M406" s="42">
        <v>0.17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7" t="str">
        <f>IF(Table1[[#This Row],[Auto Order]]=1,IF(Table1[[#This Row],[In stock]]&lt;Table1[[#This Row],[Min in stock]],1,""),"")</f>
        <v/>
      </c>
    </row>
    <row r="407" spans="1:29" hidden="1" x14ac:dyDescent="0.25">
      <c r="A407" s="61" t="s">
        <v>2307</v>
      </c>
      <c r="B407" s="34" t="s">
        <v>713</v>
      </c>
      <c r="C407" s="34"/>
      <c r="D407" s="34" t="s">
        <v>2308</v>
      </c>
      <c r="E407" s="34" t="s">
        <v>559</v>
      </c>
      <c r="F407" s="54">
        <v>0</v>
      </c>
      <c r="G407" s="54"/>
      <c r="H407" s="54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2306</v>
      </c>
      <c r="M407" s="42">
        <v>0.17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7" t="str">
        <f>IF(Table1[[#This Row],[Auto Order]]=1,IF(Table1[[#This Row],[In stock]]&lt;Table1[[#This Row],[Min in stock]],1,""),"")</f>
        <v/>
      </c>
    </row>
    <row r="408" spans="1:29" hidden="1" x14ac:dyDescent="0.25">
      <c r="A408" s="61" t="s">
        <v>2004</v>
      </c>
      <c r="B408" s="34" t="s">
        <v>713</v>
      </c>
      <c r="C408" s="34"/>
      <c r="D408" s="34" t="s">
        <v>2005</v>
      </c>
      <c r="E408" s="34" t="s">
        <v>559</v>
      </c>
      <c r="F408" s="54">
        <v>0</v>
      </c>
      <c r="G408" s="54"/>
      <c r="H408" s="54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2003</v>
      </c>
      <c r="M408" s="42">
        <v>0.17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7" t="str">
        <f>IF(Table1[[#This Row],[Auto Order]]=1,IF(Table1[[#This Row],[In stock]]&lt;Table1[[#This Row],[Min in stock]],1,""),"")</f>
        <v/>
      </c>
    </row>
    <row r="409" spans="1:29" hidden="1" x14ac:dyDescent="0.25">
      <c r="A409" s="61" t="s">
        <v>2304</v>
      </c>
      <c r="B409" s="34" t="s">
        <v>713</v>
      </c>
      <c r="C409" s="34"/>
      <c r="D409" s="34" t="s">
        <v>2305</v>
      </c>
      <c r="E409" s="34" t="s">
        <v>559</v>
      </c>
      <c r="F409" s="54">
        <v>0</v>
      </c>
      <c r="G409" s="54"/>
      <c r="H409" s="54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2303</v>
      </c>
      <c r="M409" s="42">
        <v>0.17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7" t="str">
        <f>IF(Table1[[#This Row],[Auto Order]]=1,IF(Table1[[#This Row],[In stock]]&lt;Table1[[#This Row],[Min in stock]],1,""),"")</f>
        <v/>
      </c>
    </row>
    <row r="410" spans="1:29" hidden="1" x14ac:dyDescent="0.25">
      <c r="A410" s="61" t="s">
        <v>2139</v>
      </c>
      <c r="B410" s="34" t="s">
        <v>713</v>
      </c>
      <c r="C410" s="34"/>
      <c r="D410" s="34" t="s">
        <v>2140</v>
      </c>
      <c r="E410" s="34" t="s">
        <v>559</v>
      </c>
      <c r="F410" s="54">
        <v>0</v>
      </c>
      <c r="G410" s="54"/>
      <c r="H410" s="54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2138</v>
      </c>
      <c r="M410" s="42">
        <v>0.17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7" t="str">
        <f>IF(Table1[[#This Row],[Auto Order]]=1,IF(Table1[[#This Row],[In stock]]&lt;Table1[[#This Row],[Min in stock]],1,""),"")</f>
        <v/>
      </c>
    </row>
    <row r="411" spans="1:29" hidden="1" x14ac:dyDescent="0.25">
      <c r="A411" s="61" t="s">
        <v>2142</v>
      </c>
      <c r="B411" s="34" t="s">
        <v>713</v>
      </c>
      <c r="C411" s="34"/>
      <c r="D411" s="34" t="s">
        <v>2143</v>
      </c>
      <c r="E411" s="34" t="s">
        <v>559</v>
      </c>
      <c r="F411" s="54">
        <v>0</v>
      </c>
      <c r="G411" s="54"/>
      <c r="H411" s="54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2141</v>
      </c>
      <c r="M411" s="42">
        <v>0.17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7" t="str">
        <f>IF(Table1[[#This Row],[Auto Order]]=1,IF(Table1[[#This Row],[In stock]]&lt;Table1[[#This Row],[Min in stock]],1,""),"")</f>
        <v/>
      </c>
    </row>
    <row r="412" spans="1:29" hidden="1" x14ac:dyDescent="0.25">
      <c r="A412" s="61" t="s">
        <v>1998</v>
      </c>
      <c r="B412" s="34" t="s">
        <v>713</v>
      </c>
      <c r="C412" s="34"/>
      <c r="D412" s="34" t="s">
        <v>1999</v>
      </c>
      <c r="E412" s="34" t="s">
        <v>559</v>
      </c>
      <c r="F412" s="54">
        <v>0</v>
      </c>
      <c r="G412" s="54"/>
      <c r="H412" s="54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1997</v>
      </c>
      <c r="M412" s="42">
        <v>0.17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7" t="str">
        <f>IF(Table1[[#This Row],[Auto Order]]=1,IF(Table1[[#This Row],[In stock]]&lt;Table1[[#This Row],[Min in stock]],1,""),"")</f>
        <v/>
      </c>
    </row>
    <row r="413" spans="1:29" hidden="1" x14ac:dyDescent="0.25">
      <c r="A413" s="61" t="s">
        <v>2274</v>
      </c>
      <c r="B413" s="34" t="s">
        <v>713</v>
      </c>
      <c r="C413" s="34"/>
      <c r="D413" s="34" t="s">
        <v>2275</v>
      </c>
      <c r="E413" s="34" t="s">
        <v>559</v>
      </c>
      <c r="F413" s="54">
        <v>0</v>
      </c>
      <c r="G413" s="54"/>
      <c r="H413" s="54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2273</v>
      </c>
      <c r="M413" s="42">
        <v>0.17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7" t="str">
        <f>IF(Table1[[#This Row],[Auto Order]]=1,IF(Table1[[#This Row],[In stock]]&lt;Table1[[#This Row],[Min in stock]],1,""),"")</f>
        <v/>
      </c>
    </row>
    <row r="414" spans="1:29" hidden="1" x14ac:dyDescent="0.25">
      <c r="A414" s="61" t="s">
        <v>2319</v>
      </c>
      <c r="B414" s="34" t="s">
        <v>713</v>
      </c>
      <c r="C414" s="34"/>
      <c r="D414" s="34" t="s">
        <v>2320</v>
      </c>
      <c r="E414" s="34" t="s">
        <v>559</v>
      </c>
      <c r="F414" s="54">
        <v>0</v>
      </c>
      <c r="G414" s="54"/>
      <c r="H414" s="54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2318</v>
      </c>
      <c r="M414" s="42">
        <v>0.17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7" t="str">
        <f>IF(Table1[[#This Row],[Auto Order]]=1,IF(Table1[[#This Row],[In stock]]&lt;Table1[[#This Row],[Min in stock]],1,""),"")</f>
        <v/>
      </c>
    </row>
    <row r="415" spans="1:29" hidden="1" x14ac:dyDescent="0.25">
      <c r="A415" s="61" t="s">
        <v>2331</v>
      </c>
      <c r="B415" s="34" t="s">
        <v>713</v>
      </c>
      <c r="C415" s="34"/>
      <c r="D415" s="34" t="s">
        <v>2332</v>
      </c>
      <c r="E415" s="34" t="s">
        <v>559</v>
      </c>
      <c r="F415" s="54">
        <v>0</v>
      </c>
      <c r="G415" s="54"/>
      <c r="H415" s="54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2330</v>
      </c>
      <c r="M415" s="42">
        <v>0.17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7" t="str">
        <f>IF(Table1[[#This Row],[Auto Order]]=1,IF(Table1[[#This Row],[In stock]]&lt;Table1[[#This Row],[Min in stock]],1,""),"")</f>
        <v/>
      </c>
    </row>
    <row r="416" spans="1:29" hidden="1" x14ac:dyDescent="0.25">
      <c r="A416" s="61" t="s">
        <v>2028</v>
      </c>
      <c r="B416" s="34" t="s">
        <v>713</v>
      </c>
      <c r="C416" s="34"/>
      <c r="D416" s="34" t="s">
        <v>2029</v>
      </c>
      <c r="E416" s="34" t="s">
        <v>559</v>
      </c>
      <c r="F416" s="54">
        <v>0</v>
      </c>
      <c r="G416" s="54"/>
      <c r="H416" s="54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2027</v>
      </c>
      <c r="M416" s="42">
        <v>0.17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7" t="str">
        <f>IF(Table1[[#This Row],[Auto Order]]=1,IF(Table1[[#This Row],[In stock]]&lt;Table1[[#This Row],[Min in stock]],1,""),"")</f>
        <v/>
      </c>
    </row>
    <row r="417" spans="1:29" hidden="1" x14ac:dyDescent="0.25">
      <c r="A417" s="61" t="s">
        <v>2109</v>
      </c>
      <c r="B417" s="34" t="s">
        <v>713</v>
      </c>
      <c r="C417" s="34"/>
      <c r="D417" s="34" t="s">
        <v>2110</v>
      </c>
      <c r="E417" s="34" t="s">
        <v>559</v>
      </c>
      <c r="F417" s="54">
        <v>0</v>
      </c>
      <c r="G417" s="54"/>
      <c r="H417" s="54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2108</v>
      </c>
      <c r="M417" s="42">
        <v>0.17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7" t="str">
        <f>IF(Table1[[#This Row],[Auto Order]]=1,IF(Table1[[#This Row],[In stock]]&lt;Table1[[#This Row],[Min in stock]],1,""),"")</f>
        <v/>
      </c>
    </row>
    <row r="418" spans="1:29" hidden="1" x14ac:dyDescent="0.25">
      <c r="A418" s="61" t="s">
        <v>2145</v>
      </c>
      <c r="B418" s="34" t="s">
        <v>713</v>
      </c>
      <c r="C418" s="34"/>
      <c r="D418" s="34" t="s">
        <v>2146</v>
      </c>
      <c r="E418" s="34" t="s">
        <v>559</v>
      </c>
      <c r="F418" s="54">
        <v>0</v>
      </c>
      <c r="G418" s="54"/>
      <c r="H418" s="54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2144</v>
      </c>
      <c r="M418" s="42">
        <v>0.17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7" t="str">
        <f>IF(Table1[[#This Row],[Auto Order]]=1,IF(Table1[[#This Row],[In stock]]&lt;Table1[[#This Row],[Min in stock]],1,""),"")</f>
        <v/>
      </c>
    </row>
    <row r="419" spans="1:29" hidden="1" x14ac:dyDescent="0.25">
      <c r="A419" s="61" t="s">
        <v>2292</v>
      </c>
      <c r="B419" s="34" t="s">
        <v>713</v>
      </c>
      <c r="C419" s="34"/>
      <c r="D419" s="34" t="s">
        <v>2293</v>
      </c>
      <c r="E419" s="34" t="s">
        <v>559</v>
      </c>
      <c r="F419" s="54">
        <v>0</v>
      </c>
      <c r="G419" s="54"/>
      <c r="H419" s="54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2291</v>
      </c>
      <c r="M419" s="42">
        <v>0.17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7" t="str">
        <f>IF(Table1[[#This Row],[Auto Order]]=1,IF(Table1[[#This Row],[In stock]]&lt;Table1[[#This Row],[Min in stock]],1,""),"")</f>
        <v/>
      </c>
    </row>
    <row r="420" spans="1:29" hidden="1" x14ac:dyDescent="0.25">
      <c r="A420" s="61" t="s">
        <v>2316</v>
      </c>
      <c r="B420" s="34" t="s">
        <v>713</v>
      </c>
      <c r="C420" s="34"/>
      <c r="D420" s="34" t="s">
        <v>2317</v>
      </c>
      <c r="E420" s="34" t="s">
        <v>559</v>
      </c>
      <c r="F420" s="54">
        <v>0</v>
      </c>
      <c r="G420" s="54"/>
      <c r="H420" s="54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2315</v>
      </c>
      <c r="M420" s="42">
        <v>0.17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7" t="str">
        <f>IF(Table1[[#This Row],[Auto Order]]=1,IF(Table1[[#This Row],[In stock]]&lt;Table1[[#This Row],[Min in stock]],1,""),"")</f>
        <v/>
      </c>
    </row>
    <row r="421" spans="1:29" hidden="1" x14ac:dyDescent="0.25">
      <c r="A421" s="61" t="s">
        <v>1818</v>
      </c>
      <c r="B421" s="34" t="s">
        <v>713</v>
      </c>
      <c r="C421" s="34"/>
      <c r="D421" s="34" t="s">
        <v>1819</v>
      </c>
      <c r="E421" s="34" t="s">
        <v>559</v>
      </c>
      <c r="F421" s="54">
        <v>0</v>
      </c>
      <c r="G421" s="54"/>
      <c r="H421" s="54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1817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7" t="str">
        <f>IF(Table1[[#This Row],[Auto Order]]=1,IF(Table1[[#This Row],[In stock]]&lt;Table1[[#This Row],[Min in stock]],1,""),"")</f>
        <v/>
      </c>
    </row>
    <row r="422" spans="1:29" hidden="1" x14ac:dyDescent="0.25">
      <c r="A422" s="61" t="s">
        <v>1815</v>
      </c>
      <c r="B422" s="34" t="s">
        <v>713</v>
      </c>
      <c r="C422" s="34"/>
      <c r="D422" s="34" t="s">
        <v>1816</v>
      </c>
      <c r="E422" s="34" t="s">
        <v>559</v>
      </c>
      <c r="F422" s="54">
        <v>0</v>
      </c>
      <c r="G422" s="54"/>
      <c r="H422" s="54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1814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7" t="str">
        <f>IF(Table1[[#This Row],[Auto Order]]=1,IF(Table1[[#This Row],[In stock]]&lt;Table1[[#This Row],[Min in stock]],1,""),"")</f>
        <v/>
      </c>
    </row>
    <row r="423" spans="1:29" hidden="1" x14ac:dyDescent="0.25">
      <c r="A423" s="61" t="s">
        <v>2196</v>
      </c>
      <c r="B423" s="34" t="s">
        <v>713</v>
      </c>
      <c r="C423" s="34"/>
      <c r="D423" s="34" t="s">
        <v>2197</v>
      </c>
      <c r="E423" s="34" t="s">
        <v>559</v>
      </c>
      <c r="F423" s="54">
        <v>0</v>
      </c>
      <c r="G423" s="54">
        <v>10</v>
      </c>
      <c r="H423" s="54">
        <v>1</v>
      </c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2195</v>
      </c>
      <c r="M423" s="42">
        <v>0.1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7">
        <f>IF(Table1[[#This Row],[Auto Order]]=1,IF(Table1[[#This Row],[In stock]]&lt;Table1[[#This Row],[Min in stock]],1,""),"")</f>
        <v>1</v>
      </c>
    </row>
    <row r="424" spans="1:29" hidden="1" x14ac:dyDescent="0.25">
      <c r="A424" s="61" t="s">
        <v>1827</v>
      </c>
      <c r="B424" s="34" t="s">
        <v>713</v>
      </c>
      <c r="C424" s="34"/>
      <c r="D424" s="34" t="s">
        <v>1828</v>
      </c>
      <c r="E424" s="34" t="s">
        <v>559</v>
      </c>
      <c r="F424" s="54">
        <v>0</v>
      </c>
      <c r="G424" s="54"/>
      <c r="H424" s="54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1826</v>
      </c>
      <c r="M424" s="42">
        <v>0.1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7" t="str">
        <f>IF(Table1[[#This Row],[Auto Order]]=1,IF(Table1[[#This Row],[In stock]]&lt;Table1[[#This Row],[Min in stock]],1,""),"")</f>
        <v/>
      </c>
    </row>
    <row r="425" spans="1:29" hidden="1" x14ac:dyDescent="0.25">
      <c r="A425" s="61" t="s">
        <v>2907</v>
      </c>
      <c r="B425" s="34" t="s">
        <v>713</v>
      </c>
      <c r="C425" s="34"/>
      <c r="D425" s="34" t="s">
        <v>2908</v>
      </c>
      <c r="E425" s="34" t="s">
        <v>559</v>
      </c>
      <c r="F425" s="54">
        <v>0</v>
      </c>
      <c r="G425" s="54"/>
      <c r="H425" s="54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2906</v>
      </c>
      <c r="M425" s="42">
        <v>0.1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7" t="str">
        <f>IF(Table1[[#This Row],[Auto Order]]=1,IF(Table1[[#This Row],[In stock]]&lt;Table1[[#This Row],[Min in stock]],1,""),"")</f>
        <v/>
      </c>
    </row>
    <row r="426" spans="1:29" hidden="1" x14ac:dyDescent="0.25">
      <c r="A426" s="61" t="s">
        <v>2712</v>
      </c>
      <c r="B426" s="34" t="s">
        <v>713</v>
      </c>
      <c r="C426" s="34"/>
      <c r="D426" s="34" t="s">
        <v>2713</v>
      </c>
      <c r="E426" s="34" t="s">
        <v>559</v>
      </c>
      <c r="F426" s="54">
        <v>0</v>
      </c>
      <c r="G426" s="54"/>
      <c r="H426" s="54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2711</v>
      </c>
      <c r="M426" s="42">
        <v>0.1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7" t="str">
        <f>IF(Table1[[#This Row],[Auto Order]]=1,IF(Table1[[#This Row],[In stock]]&lt;Table1[[#This Row],[Min in stock]],1,""),"")</f>
        <v/>
      </c>
    </row>
    <row r="427" spans="1:29" hidden="1" x14ac:dyDescent="0.25">
      <c r="A427" s="61" t="s">
        <v>2853</v>
      </c>
      <c r="B427" s="34" t="s">
        <v>713</v>
      </c>
      <c r="C427" s="34"/>
      <c r="D427" s="34" t="s">
        <v>2854</v>
      </c>
      <c r="E427" s="34" t="s">
        <v>559</v>
      </c>
      <c r="F427" s="54">
        <v>0</v>
      </c>
      <c r="G427" s="54"/>
      <c r="H427" s="54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2852</v>
      </c>
      <c r="M427" s="42">
        <v>0.1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7" t="str">
        <f>IF(Table1[[#This Row],[Auto Order]]=1,IF(Table1[[#This Row],[In stock]]&lt;Table1[[#This Row],[Min in stock]],1,""),"")</f>
        <v/>
      </c>
    </row>
    <row r="428" spans="1:29" hidden="1" x14ac:dyDescent="0.25">
      <c r="A428" s="61" t="s">
        <v>2451</v>
      </c>
      <c r="B428" s="34" t="s">
        <v>713</v>
      </c>
      <c r="C428" s="34"/>
      <c r="D428" s="34" t="s">
        <v>2452</v>
      </c>
      <c r="E428" s="34" t="s">
        <v>559</v>
      </c>
      <c r="F428" s="54">
        <v>0</v>
      </c>
      <c r="G428" s="54"/>
      <c r="H428" s="54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2450</v>
      </c>
      <c r="M428" s="42">
        <v>0.1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7" t="str">
        <f>IF(Table1[[#This Row],[Auto Order]]=1,IF(Table1[[#This Row],[In stock]]&lt;Table1[[#This Row],[Min in stock]],1,""),"")</f>
        <v/>
      </c>
    </row>
    <row r="429" spans="1:29" hidden="1" x14ac:dyDescent="0.25">
      <c r="A429" s="61" t="s">
        <v>2697</v>
      </c>
      <c r="B429" s="34" t="s">
        <v>713</v>
      </c>
      <c r="C429" s="34"/>
      <c r="D429" s="34" t="s">
        <v>2698</v>
      </c>
      <c r="E429" s="34" t="s">
        <v>559</v>
      </c>
      <c r="F429" s="54">
        <v>0</v>
      </c>
      <c r="G429" s="54"/>
      <c r="H429" s="54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2696</v>
      </c>
      <c r="M429" s="42">
        <v>0.1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7" t="str">
        <f>IF(Table1[[#This Row],[Auto Order]]=1,IF(Table1[[#This Row],[In stock]]&lt;Table1[[#This Row],[Min in stock]],1,""),"")</f>
        <v/>
      </c>
    </row>
    <row r="430" spans="1:29" hidden="1" x14ac:dyDescent="0.25">
      <c r="A430" s="61" t="s">
        <v>2595</v>
      </c>
      <c r="B430" s="34" t="s">
        <v>713</v>
      </c>
      <c r="C430" s="34"/>
      <c r="D430" s="34" t="s">
        <v>2596</v>
      </c>
      <c r="E430" s="34" t="s">
        <v>559</v>
      </c>
      <c r="F430" s="54">
        <v>0</v>
      </c>
      <c r="G430" s="54"/>
      <c r="H430" s="54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2594</v>
      </c>
      <c r="M430" s="42">
        <v>0.1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7" t="str">
        <f>IF(Table1[[#This Row],[Auto Order]]=1,IF(Table1[[#This Row],[In stock]]&lt;Table1[[#This Row],[Min in stock]],1,""),"")</f>
        <v/>
      </c>
    </row>
    <row r="431" spans="1:29" hidden="1" x14ac:dyDescent="0.25">
      <c r="A431" s="61" t="s">
        <v>2673</v>
      </c>
      <c r="B431" s="34" t="s">
        <v>713</v>
      </c>
      <c r="C431" s="34"/>
      <c r="D431" s="34" t="s">
        <v>2674</v>
      </c>
      <c r="E431" s="34" t="s">
        <v>559</v>
      </c>
      <c r="F431" s="54">
        <v>0</v>
      </c>
      <c r="G431" s="54"/>
      <c r="H431" s="54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2672</v>
      </c>
      <c r="M431" s="42">
        <v>0.1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7" t="str">
        <f>IF(Table1[[#This Row],[Auto Order]]=1,IF(Table1[[#This Row],[In stock]]&lt;Table1[[#This Row],[Min in stock]],1,""),"")</f>
        <v/>
      </c>
    </row>
    <row r="432" spans="1:29" hidden="1" x14ac:dyDescent="0.25">
      <c r="A432" s="61" t="s">
        <v>2073</v>
      </c>
      <c r="B432" s="34" t="s">
        <v>713</v>
      </c>
      <c r="C432" s="34"/>
      <c r="D432" s="34" t="s">
        <v>2074</v>
      </c>
      <c r="E432" s="34" t="s">
        <v>559</v>
      </c>
      <c r="F432" s="54">
        <v>0</v>
      </c>
      <c r="G432" s="54"/>
      <c r="H432" s="54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2072</v>
      </c>
      <c r="M432" s="42">
        <v>0.1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7" t="str">
        <f>IF(Table1[[#This Row],[Auto Order]]=1,IF(Table1[[#This Row],[In stock]]&lt;Table1[[#This Row],[Min in stock]],1,""),"")</f>
        <v/>
      </c>
    </row>
    <row r="433" spans="1:29" hidden="1" x14ac:dyDescent="0.25">
      <c r="A433" s="61" t="s">
        <v>1851</v>
      </c>
      <c r="B433" s="34" t="s">
        <v>713</v>
      </c>
      <c r="C433" s="34"/>
      <c r="D433" s="34" t="s">
        <v>1852</v>
      </c>
      <c r="E433" s="34" t="s">
        <v>559</v>
      </c>
      <c r="F433" s="54">
        <v>0</v>
      </c>
      <c r="G433" s="54"/>
      <c r="H433" s="54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1850</v>
      </c>
      <c r="M433" s="42">
        <v>0.1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7" t="str">
        <f>IF(Table1[[#This Row],[Auto Order]]=1,IF(Table1[[#This Row],[In stock]]&lt;Table1[[#This Row],[Min in stock]],1,""),"")</f>
        <v/>
      </c>
    </row>
    <row r="434" spans="1:29" hidden="1" x14ac:dyDescent="0.25">
      <c r="A434" s="61" t="s">
        <v>1944</v>
      </c>
      <c r="B434" s="34" t="s">
        <v>713</v>
      </c>
      <c r="C434" s="34"/>
      <c r="D434" s="34" t="s">
        <v>1945</v>
      </c>
      <c r="E434" s="34" t="s">
        <v>559</v>
      </c>
      <c r="F434" s="54">
        <v>0</v>
      </c>
      <c r="G434" s="54"/>
      <c r="H434" s="54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1943</v>
      </c>
      <c r="M434" s="42">
        <v>0.1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7" t="str">
        <f>IF(Table1[[#This Row],[Auto Order]]=1,IF(Table1[[#This Row],[In stock]]&lt;Table1[[#This Row],[Min in stock]],1,""),"")</f>
        <v/>
      </c>
    </row>
    <row r="435" spans="1:29" hidden="1" x14ac:dyDescent="0.25">
      <c r="A435" s="61" t="s">
        <v>2094</v>
      </c>
      <c r="B435" s="34" t="s">
        <v>713</v>
      </c>
      <c r="C435" s="34"/>
      <c r="D435" s="34" t="s">
        <v>2095</v>
      </c>
      <c r="E435" s="34" t="s">
        <v>559</v>
      </c>
      <c r="F435" s="54">
        <v>0</v>
      </c>
      <c r="G435" s="54"/>
      <c r="H435" s="54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2093</v>
      </c>
      <c r="M435" s="42">
        <v>0.1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7" t="str">
        <f>IF(Table1[[#This Row],[Auto Order]]=1,IF(Table1[[#This Row],[In stock]]&lt;Table1[[#This Row],[Min in stock]],1,""),"")</f>
        <v/>
      </c>
    </row>
    <row r="436" spans="1:29" hidden="1" x14ac:dyDescent="0.25">
      <c r="A436" s="61" t="s">
        <v>2850</v>
      </c>
      <c r="B436" s="34" t="s">
        <v>713</v>
      </c>
      <c r="C436" s="34"/>
      <c r="D436" s="34" t="s">
        <v>2851</v>
      </c>
      <c r="E436" s="34" t="s">
        <v>559</v>
      </c>
      <c r="F436" s="54">
        <v>0</v>
      </c>
      <c r="G436" s="54"/>
      <c r="H436" s="54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2849</v>
      </c>
      <c r="M436" s="42">
        <v>0.1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7" t="str">
        <f>IF(Table1[[#This Row],[Auto Order]]=1,IF(Table1[[#This Row],[In stock]]&lt;Table1[[#This Row],[Min in stock]],1,""),"")</f>
        <v/>
      </c>
    </row>
    <row r="437" spans="1:29" hidden="1" x14ac:dyDescent="0.25">
      <c r="A437" s="61" t="s">
        <v>2922</v>
      </c>
      <c r="B437" s="34" t="s">
        <v>713</v>
      </c>
      <c r="C437" s="34"/>
      <c r="D437" s="34" t="s">
        <v>2923</v>
      </c>
      <c r="E437" s="34" t="s">
        <v>559</v>
      </c>
      <c r="F437" s="54">
        <v>0</v>
      </c>
      <c r="G437" s="54"/>
      <c r="H437" s="54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2921</v>
      </c>
      <c r="M437" s="42">
        <v>0.1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7" t="str">
        <f>IF(Table1[[#This Row],[Auto Order]]=1,IF(Table1[[#This Row],[In stock]]&lt;Table1[[#This Row],[Min in stock]],1,""),"")</f>
        <v/>
      </c>
    </row>
    <row r="438" spans="1:29" hidden="1" x14ac:dyDescent="0.25">
      <c r="A438" s="61" t="s">
        <v>2454</v>
      </c>
      <c r="B438" s="34" t="s">
        <v>713</v>
      </c>
      <c r="C438" s="34"/>
      <c r="D438" s="34" t="s">
        <v>2455</v>
      </c>
      <c r="E438" s="34" t="s">
        <v>559</v>
      </c>
      <c r="F438" s="54">
        <v>0</v>
      </c>
      <c r="G438" s="54"/>
      <c r="H438" s="54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2453</v>
      </c>
      <c r="M438" s="42">
        <v>0.1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7" t="str">
        <f>IF(Table1[[#This Row],[Auto Order]]=1,IF(Table1[[#This Row],[In stock]]&lt;Table1[[#This Row],[Min in stock]],1,""),"")</f>
        <v/>
      </c>
    </row>
    <row r="439" spans="1:29" hidden="1" x14ac:dyDescent="0.25">
      <c r="A439" s="61" t="s">
        <v>2190</v>
      </c>
      <c r="B439" s="34" t="s">
        <v>713</v>
      </c>
      <c r="C439" s="34"/>
      <c r="D439" s="34" t="s">
        <v>2191</v>
      </c>
      <c r="E439" s="34" t="s">
        <v>559</v>
      </c>
      <c r="F439" s="54">
        <v>0</v>
      </c>
      <c r="G439" s="54"/>
      <c r="H439" s="54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2189</v>
      </c>
      <c r="M439" s="42">
        <v>0.1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7" t="str">
        <f>IF(Table1[[#This Row],[Auto Order]]=1,IF(Table1[[#This Row],[In stock]]&lt;Table1[[#This Row],[Min in stock]],1,""),"")</f>
        <v/>
      </c>
    </row>
    <row r="440" spans="1:29" hidden="1" x14ac:dyDescent="0.25">
      <c r="A440" s="61" t="s">
        <v>2346</v>
      </c>
      <c r="B440" s="34" t="s">
        <v>713</v>
      </c>
      <c r="C440" s="34"/>
      <c r="D440" s="34" t="s">
        <v>2347</v>
      </c>
      <c r="E440" s="34" t="s">
        <v>559</v>
      </c>
      <c r="F440" s="54">
        <v>0</v>
      </c>
      <c r="G440" s="54"/>
      <c r="H440" s="54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2345</v>
      </c>
      <c r="M440" s="42">
        <v>0.1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7" t="str">
        <f>IF(Table1[[#This Row],[Auto Order]]=1,IF(Table1[[#This Row],[In stock]]&lt;Table1[[#This Row],[Min in stock]],1,""),"")</f>
        <v/>
      </c>
    </row>
    <row r="441" spans="1:29" hidden="1" x14ac:dyDescent="0.25">
      <c r="A441" s="61" t="s">
        <v>2175</v>
      </c>
      <c r="B441" s="34" t="s">
        <v>713</v>
      </c>
      <c r="C441" s="34"/>
      <c r="D441" s="34" t="s">
        <v>2176</v>
      </c>
      <c r="E441" s="34" t="s">
        <v>559</v>
      </c>
      <c r="F441" s="54">
        <v>0</v>
      </c>
      <c r="G441" s="54"/>
      <c r="H441" s="54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2174</v>
      </c>
      <c r="M441" s="42">
        <v>0.1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7" t="str">
        <f>IF(Table1[[#This Row],[Auto Order]]=1,IF(Table1[[#This Row],[In stock]]&lt;Table1[[#This Row],[Min in stock]],1,""),"")</f>
        <v/>
      </c>
    </row>
    <row r="442" spans="1:29" hidden="1" x14ac:dyDescent="0.25">
      <c r="A442" s="61" t="s">
        <v>2577</v>
      </c>
      <c r="B442" s="34" t="s">
        <v>713</v>
      </c>
      <c r="C442" s="34"/>
      <c r="D442" s="34" t="s">
        <v>2578</v>
      </c>
      <c r="E442" s="34" t="s">
        <v>559</v>
      </c>
      <c r="F442" s="54">
        <v>0</v>
      </c>
      <c r="G442" s="54"/>
      <c r="H442" s="54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2576</v>
      </c>
      <c r="M442" s="42">
        <v>0.1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7" t="str">
        <f>IF(Table1[[#This Row],[Auto Order]]=1,IF(Table1[[#This Row],[In stock]]&lt;Table1[[#This Row],[Min in stock]],1,""),"")</f>
        <v/>
      </c>
    </row>
    <row r="443" spans="1:29" hidden="1" x14ac:dyDescent="0.25">
      <c r="A443" s="61" t="s">
        <v>2769</v>
      </c>
      <c r="B443" s="34" t="s">
        <v>713</v>
      </c>
      <c r="C443" s="34"/>
      <c r="D443" s="34" t="s">
        <v>2770</v>
      </c>
      <c r="E443" s="34" t="s">
        <v>559</v>
      </c>
      <c r="F443" s="54">
        <v>0</v>
      </c>
      <c r="G443" s="54"/>
      <c r="H443" s="54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2768</v>
      </c>
      <c r="M443" s="42">
        <v>0.1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7" t="str">
        <f>IF(Table1[[#This Row],[Auto Order]]=1,IF(Table1[[#This Row],[In stock]]&lt;Table1[[#This Row],[Min in stock]],1,""),"")</f>
        <v/>
      </c>
    </row>
    <row r="444" spans="1:29" hidden="1" x14ac:dyDescent="0.25">
      <c r="A444" s="61" t="s">
        <v>2457</v>
      </c>
      <c r="B444" s="34" t="s">
        <v>713</v>
      </c>
      <c r="C444" s="34"/>
      <c r="D444" s="34" t="s">
        <v>2458</v>
      </c>
      <c r="E444" s="34" t="s">
        <v>559</v>
      </c>
      <c r="F444" s="54">
        <v>0</v>
      </c>
      <c r="G444" s="54"/>
      <c r="H444" s="54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2456</v>
      </c>
      <c r="M444" s="42">
        <v>0.1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7" t="str">
        <f>IF(Table1[[#This Row],[Auto Order]]=1,IF(Table1[[#This Row],[In stock]]&lt;Table1[[#This Row],[Min in stock]],1,""),"")</f>
        <v/>
      </c>
    </row>
    <row r="445" spans="1:29" hidden="1" x14ac:dyDescent="0.25">
      <c r="A445" s="61" t="s">
        <v>2235</v>
      </c>
      <c r="B445" s="34" t="s">
        <v>713</v>
      </c>
      <c r="C445" s="34"/>
      <c r="D445" s="34" t="s">
        <v>2236</v>
      </c>
      <c r="E445" s="34" t="s">
        <v>559</v>
      </c>
      <c r="F445" s="54">
        <v>0</v>
      </c>
      <c r="G445" s="54"/>
      <c r="H445" s="54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2234</v>
      </c>
      <c r="M445" s="42">
        <v>0.1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7" t="str">
        <f>IF(Table1[[#This Row],[Auto Order]]=1,IF(Table1[[#This Row],[In stock]]&lt;Table1[[#This Row],[Min in stock]],1,""),"")</f>
        <v/>
      </c>
    </row>
    <row r="446" spans="1:29" hidden="1" x14ac:dyDescent="0.25">
      <c r="A446" s="61" t="s">
        <v>2349</v>
      </c>
      <c r="B446" s="34" t="s">
        <v>713</v>
      </c>
      <c r="C446" s="34"/>
      <c r="D446" s="34" t="s">
        <v>2350</v>
      </c>
      <c r="E446" s="34" t="s">
        <v>559</v>
      </c>
      <c r="F446" s="54">
        <v>0</v>
      </c>
      <c r="G446" s="54"/>
      <c r="H446" s="54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2348</v>
      </c>
      <c r="M446" s="42">
        <v>0.1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7" t="str">
        <f>IF(Table1[[#This Row],[Auto Order]]=1,IF(Table1[[#This Row],[In stock]]&lt;Table1[[#This Row],[Min in stock]],1,""),"")</f>
        <v/>
      </c>
    </row>
    <row r="447" spans="1:29" hidden="1" x14ac:dyDescent="0.25">
      <c r="A447" s="61" t="s">
        <v>2079</v>
      </c>
      <c r="B447" s="34" t="s">
        <v>713</v>
      </c>
      <c r="C447" s="34"/>
      <c r="D447" s="34" t="s">
        <v>2080</v>
      </c>
      <c r="E447" s="34" t="s">
        <v>559</v>
      </c>
      <c r="F447" s="54">
        <v>0</v>
      </c>
      <c r="G447" s="54"/>
      <c r="H447" s="54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2078</v>
      </c>
      <c r="M447" s="42">
        <v>0.1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7" t="str">
        <f>IF(Table1[[#This Row],[Auto Order]]=1,IF(Table1[[#This Row],[In stock]]&lt;Table1[[#This Row],[Min in stock]],1,""),"")</f>
        <v/>
      </c>
    </row>
    <row r="448" spans="1:29" hidden="1" x14ac:dyDescent="0.25">
      <c r="A448" s="61" t="s">
        <v>2817</v>
      </c>
      <c r="B448" s="34" t="s">
        <v>713</v>
      </c>
      <c r="C448" s="34"/>
      <c r="D448" s="34" t="s">
        <v>2818</v>
      </c>
      <c r="E448" s="34" t="s">
        <v>559</v>
      </c>
      <c r="F448" s="54">
        <v>0</v>
      </c>
      <c r="G448" s="54"/>
      <c r="H448" s="54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2816</v>
      </c>
      <c r="M448" s="42">
        <v>0.1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7" t="str">
        <f>IF(Table1[[#This Row],[Auto Order]]=1,IF(Table1[[#This Row],[In stock]]&lt;Table1[[#This Row],[Min in stock]],1,""),"")</f>
        <v/>
      </c>
    </row>
    <row r="449" spans="1:29" hidden="1" x14ac:dyDescent="0.25">
      <c r="A449" s="61" t="s">
        <v>2721</v>
      </c>
      <c r="B449" s="34" t="s">
        <v>713</v>
      </c>
      <c r="C449" s="34"/>
      <c r="D449" s="34" t="s">
        <v>2722</v>
      </c>
      <c r="E449" s="34" t="s">
        <v>559</v>
      </c>
      <c r="F449" s="54">
        <v>0</v>
      </c>
      <c r="G449" s="54"/>
      <c r="H449" s="54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2720</v>
      </c>
      <c r="M449" s="42">
        <v>0.1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7" t="str">
        <f>IF(Table1[[#This Row],[Auto Order]]=1,IF(Table1[[#This Row],[In stock]]&lt;Table1[[#This Row],[Min in stock]],1,""),"")</f>
        <v/>
      </c>
    </row>
    <row r="450" spans="1:29" hidden="1" x14ac:dyDescent="0.25">
      <c r="A450" s="61" t="s">
        <v>2352</v>
      </c>
      <c r="B450" s="34" t="s">
        <v>713</v>
      </c>
      <c r="C450" s="34"/>
      <c r="D450" s="34" t="s">
        <v>2353</v>
      </c>
      <c r="E450" s="34" t="s">
        <v>559</v>
      </c>
      <c r="F450" s="54">
        <v>0</v>
      </c>
      <c r="G450" s="54"/>
      <c r="H450" s="54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2351</v>
      </c>
      <c r="M450" s="42">
        <v>0.1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7" t="str">
        <f>IF(Table1[[#This Row],[Auto Order]]=1,IF(Table1[[#This Row],[In stock]]&lt;Table1[[#This Row],[Min in stock]],1,""),"")</f>
        <v/>
      </c>
    </row>
    <row r="451" spans="1:29" hidden="1" x14ac:dyDescent="0.25">
      <c r="A451" s="61" t="s">
        <v>1803</v>
      </c>
      <c r="B451" s="34" t="s">
        <v>713</v>
      </c>
      <c r="C451" s="34"/>
      <c r="D451" s="34" t="s">
        <v>1804</v>
      </c>
      <c r="E451" s="34" t="s">
        <v>559</v>
      </c>
      <c r="F451" s="54">
        <v>0</v>
      </c>
      <c r="G451" s="54"/>
      <c r="H451" s="54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1802</v>
      </c>
      <c r="M451" s="42">
        <v>0.1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7" t="str">
        <f>IF(Table1[[#This Row],[Auto Order]]=1,IF(Table1[[#This Row],[In stock]]&lt;Table1[[#This Row],[Min in stock]],1,""),"")</f>
        <v/>
      </c>
    </row>
    <row r="452" spans="1:29" hidden="1" x14ac:dyDescent="0.25">
      <c r="A452" s="61" t="s">
        <v>2718</v>
      </c>
      <c r="B452" s="34" t="s">
        <v>713</v>
      </c>
      <c r="C452" s="34"/>
      <c r="D452" s="34" t="s">
        <v>2719</v>
      </c>
      <c r="E452" s="34" t="s">
        <v>559</v>
      </c>
      <c r="F452" s="54">
        <v>0</v>
      </c>
      <c r="G452" s="54"/>
      <c r="H452" s="54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2717</v>
      </c>
      <c r="M452" s="42">
        <v>0.1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7" t="str">
        <f>IF(Table1[[#This Row],[Auto Order]]=1,IF(Table1[[#This Row],[In stock]]&lt;Table1[[#This Row],[Min in stock]],1,""),"")</f>
        <v/>
      </c>
    </row>
    <row r="453" spans="1:29" hidden="1" x14ac:dyDescent="0.25">
      <c r="A453" s="61" t="s">
        <v>2640</v>
      </c>
      <c r="B453" s="34" t="s">
        <v>713</v>
      </c>
      <c r="C453" s="34"/>
      <c r="D453" s="34" t="s">
        <v>2641</v>
      </c>
      <c r="E453" s="34" t="s">
        <v>559</v>
      </c>
      <c r="F453" s="54">
        <v>0</v>
      </c>
      <c r="G453" s="54"/>
      <c r="H453" s="54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2639</v>
      </c>
      <c r="M453" s="42">
        <v>0.1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7" t="str">
        <f>IF(Table1[[#This Row],[Auto Order]]=1,IF(Table1[[#This Row],[In stock]]&lt;Table1[[#This Row],[Min in stock]],1,""),"")</f>
        <v/>
      </c>
    </row>
    <row r="454" spans="1:29" hidden="1" x14ac:dyDescent="0.25">
      <c r="A454" s="61" t="s">
        <v>2643</v>
      </c>
      <c r="B454" s="34" t="s">
        <v>713</v>
      </c>
      <c r="C454" s="34"/>
      <c r="D454" s="34" t="s">
        <v>2644</v>
      </c>
      <c r="E454" s="34" t="s">
        <v>559</v>
      </c>
      <c r="F454" s="54">
        <v>0</v>
      </c>
      <c r="G454" s="54"/>
      <c r="H454" s="54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2642</v>
      </c>
      <c r="M454" s="42">
        <v>0.1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7" t="str">
        <f>IF(Table1[[#This Row],[Auto Order]]=1,IF(Table1[[#This Row],[In stock]]&lt;Table1[[#This Row],[Min in stock]],1,""),"")</f>
        <v/>
      </c>
    </row>
    <row r="455" spans="1:29" hidden="1" x14ac:dyDescent="0.25">
      <c r="A455" s="61" t="s">
        <v>1911</v>
      </c>
      <c r="B455" s="34" t="s">
        <v>713</v>
      </c>
      <c r="C455" s="34"/>
      <c r="D455" s="34" t="s">
        <v>1912</v>
      </c>
      <c r="E455" s="34" t="s">
        <v>559</v>
      </c>
      <c r="F455" s="54">
        <v>0</v>
      </c>
      <c r="G455" s="54"/>
      <c r="H455" s="54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1910</v>
      </c>
      <c r="M455" s="42">
        <v>0.1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7" t="str">
        <f>IF(Table1[[#This Row],[Auto Order]]=1,IF(Table1[[#This Row],[In stock]]&lt;Table1[[#This Row],[Min in stock]],1,""),"")</f>
        <v/>
      </c>
    </row>
    <row r="456" spans="1:29" hidden="1" x14ac:dyDescent="0.25">
      <c r="A456" s="61" t="s">
        <v>2871</v>
      </c>
      <c r="B456" s="34" t="s">
        <v>713</v>
      </c>
      <c r="C456" s="34"/>
      <c r="D456" s="34" t="s">
        <v>2872</v>
      </c>
      <c r="E456" s="34" t="s">
        <v>559</v>
      </c>
      <c r="F456" s="54">
        <v>0</v>
      </c>
      <c r="G456" s="54"/>
      <c r="H456" s="54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2870</v>
      </c>
      <c r="M456" s="42">
        <v>0.1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7" t="str">
        <f>IF(Table1[[#This Row],[Auto Order]]=1,IF(Table1[[#This Row],[In stock]]&lt;Table1[[#This Row],[Min in stock]],1,""),"")</f>
        <v/>
      </c>
    </row>
    <row r="457" spans="1:29" hidden="1" x14ac:dyDescent="0.25">
      <c r="A457" s="61" t="s">
        <v>2748</v>
      </c>
      <c r="B457" s="34" t="s">
        <v>713</v>
      </c>
      <c r="C457" s="34"/>
      <c r="D457" s="34" t="s">
        <v>2749</v>
      </c>
      <c r="E457" s="34" t="s">
        <v>559</v>
      </c>
      <c r="F457" s="54">
        <v>0</v>
      </c>
      <c r="G457" s="54"/>
      <c r="H457" s="54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2747</v>
      </c>
      <c r="M457" s="42">
        <v>0.1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7" t="str">
        <f>IF(Table1[[#This Row],[Auto Order]]=1,IF(Table1[[#This Row],[In stock]]&lt;Table1[[#This Row],[Min in stock]],1,""),"")</f>
        <v/>
      </c>
    </row>
    <row r="458" spans="1:29" hidden="1" x14ac:dyDescent="0.25">
      <c r="A458" s="61" t="s">
        <v>1896</v>
      </c>
      <c r="B458" s="34" t="s">
        <v>713</v>
      </c>
      <c r="C458" s="34"/>
      <c r="D458" s="34" t="s">
        <v>1897</v>
      </c>
      <c r="E458" s="34" t="s">
        <v>559</v>
      </c>
      <c r="F458" s="54">
        <v>0</v>
      </c>
      <c r="G458" s="54"/>
      <c r="H458" s="54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1895</v>
      </c>
      <c r="M458" s="42">
        <v>0.1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7" t="str">
        <f>IF(Table1[[#This Row],[Auto Order]]=1,IF(Table1[[#This Row],[In stock]]&lt;Table1[[#This Row],[Min in stock]],1,""),"")</f>
        <v/>
      </c>
    </row>
    <row r="459" spans="1:29" hidden="1" x14ac:dyDescent="0.25">
      <c r="A459" s="61" t="s">
        <v>2460</v>
      </c>
      <c r="B459" s="34" t="s">
        <v>713</v>
      </c>
      <c r="C459" s="34"/>
      <c r="D459" s="34" t="s">
        <v>2461</v>
      </c>
      <c r="E459" s="34" t="s">
        <v>559</v>
      </c>
      <c r="F459" s="54">
        <v>0</v>
      </c>
      <c r="G459" s="54"/>
      <c r="H459" s="54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2459</v>
      </c>
      <c r="M459" s="42">
        <v>0.1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7" t="str">
        <f>IF(Table1[[#This Row],[Auto Order]]=1,IF(Table1[[#This Row],[In stock]]&lt;Table1[[#This Row],[Min in stock]],1,""),"")</f>
        <v/>
      </c>
    </row>
    <row r="460" spans="1:29" hidden="1" x14ac:dyDescent="0.25">
      <c r="A460" s="61" t="s">
        <v>2187</v>
      </c>
      <c r="B460" s="34" t="s">
        <v>713</v>
      </c>
      <c r="C460" s="34"/>
      <c r="D460" s="34" t="s">
        <v>2188</v>
      </c>
      <c r="E460" s="34" t="s">
        <v>559</v>
      </c>
      <c r="F460" s="54">
        <v>0</v>
      </c>
      <c r="G460" s="54"/>
      <c r="H460" s="54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2186</v>
      </c>
      <c r="M460" s="42">
        <v>0.1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7" t="str">
        <f>IF(Table1[[#This Row],[Auto Order]]=1,IF(Table1[[#This Row],[In stock]]&lt;Table1[[#This Row],[Min in stock]],1,""),"")</f>
        <v/>
      </c>
    </row>
    <row r="461" spans="1:29" hidden="1" x14ac:dyDescent="0.25">
      <c r="A461" s="61" t="s">
        <v>1866</v>
      </c>
      <c r="B461" s="34" t="s">
        <v>713</v>
      </c>
      <c r="C461" s="34"/>
      <c r="D461" s="34" t="s">
        <v>1867</v>
      </c>
      <c r="E461" s="34" t="s">
        <v>559</v>
      </c>
      <c r="F461" s="54">
        <v>0</v>
      </c>
      <c r="G461" s="54"/>
      <c r="H461" s="54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1865</v>
      </c>
      <c r="M461" s="42">
        <v>0.1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7" t="str">
        <f>IF(Table1[[#This Row],[Auto Order]]=1,IF(Table1[[#This Row],[In stock]]&lt;Table1[[#This Row],[Min in stock]],1,""),"")</f>
        <v/>
      </c>
    </row>
    <row r="462" spans="1:29" hidden="1" x14ac:dyDescent="0.25">
      <c r="A462" s="61" t="s">
        <v>1947</v>
      </c>
      <c r="B462" s="34" t="s">
        <v>713</v>
      </c>
      <c r="C462" s="34"/>
      <c r="D462" s="34" t="s">
        <v>1948</v>
      </c>
      <c r="E462" s="34" t="s">
        <v>559</v>
      </c>
      <c r="F462" s="54">
        <v>0</v>
      </c>
      <c r="G462" s="54"/>
      <c r="H462" s="54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1946</v>
      </c>
      <c r="M462" s="42">
        <v>0.1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7" t="str">
        <f>IF(Table1[[#This Row],[Auto Order]]=1,IF(Table1[[#This Row],[In stock]]&lt;Table1[[#This Row],[Min in stock]],1,""),"")</f>
        <v/>
      </c>
    </row>
    <row r="463" spans="1:29" hidden="1" x14ac:dyDescent="0.25">
      <c r="A463" s="61" t="s">
        <v>2355</v>
      </c>
      <c r="B463" s="34" t="s">
        <v>713</v>
      </c>
      <c r="C463" s="34"/>
      <c r="D463" s="34" t="s">
        <v>2356</v>
      </c>
      <c r="E463" s="34" t="s">
        <v>559</v>
      </c>
      <c r="F463" s="54">
        <v>0</v>
      </c>
      <c r="G463" s="54"/>
      <c r="H463" s="54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2354</v>
      </c>
      <c r="M463" s="42">
        <v>0.1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7" t="str">
        <f>IF(Table1[[#This Row],[Auto Order]]=1,IF(Table1[[#This Row],[In stock]]&lt;Table1[[#This Row],[Min in stock]],1,""),"")</f>
        <v/>
      </c>
    </row>
    <row r="464" spans="1:29" hidden="1" x14ac:dyDescent="0.25">
      <c r="A464" s="61" t="s">
        <v>2463</v>
      </c>
      <c r="B464" s="34" t="s">
        <v>713</v>
      </c>
      <c r="C464" s="34"/>
      <c r="D464" s="34" t="s">
        <v>2464</v>
      </c>
      <c r="E464" s="34" t="s">
        <v>559</v>
      </c>
      <c r="F464" s="54">
        <v>0</v>
      </c>
      <c r="G464" s="54"/>
      <c r="H464" s="54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2462</v>
      </c>
      <c r="M464" s="42">
        <v>0.1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7" t="str">
        <f>IF(Table1[[#This Row],[Auto Order]]=1,IF(Table1[[#This Row],[In stock]]&lt;Table1[[#This Row],[Min in stock]],1,""),"")</f>
        <v/>
      </c>
    </row>
    <row r="465" spans="1:29" hidden="1" x14ac:dyDescent="0.25">
      <c r="A465" s="61" t="s">
        <v>2676</v>
      </c>
      <c r="B465" s="34" t="s">
        <v>713</v>
      </c>
      <c r="C465" s="34"/>
      <c r="D465" s="34" t="s">
        <v>2677</v>
      </c>
      <c r="E465" s="34" t="s">
        <v>559</v>
      </c>
      <c r="F465" s="54">
        <v>0</v>
      </c>
      <c r="G465" s="54"/>
      <c r="H465" s="54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2675</v>
      </c>
      <c r="M465" s="42">
        <v>0.1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7" t="str">
        <f>IF(Table1[[#This Row],[Auto Order]]=1,IF(Table1[[#This Row],[In stock]]&lt;Table1[[#This Row],[Min in stock]],1,""),"")</f>
        <v/>
      </c>
    </row>
    <row r="466" spans="1:29" hidden="1" x14ac:dyDescent="0.25">
      <c r="A466" s="61" t="s">
        <v>1884</v>
      </c>
      <c r="B466" s="34" t="s">
        <v>713</v>
      </c>
      <c r="C466" s="34"/>
      <c r="D466" s="34" t="s">
        <v>1885</v>
      </c>
      <c r="E466" s="34" t="s">
        <v>559</v>
      </c>
      <c r="F466" s="54">
        <v>0</v>
      </c>
      <c r="G466" s="54"/>
      <c r="H466" s="54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1883</v>
      </c>
      <c r="M466" s="42">
        <v>0.1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7" t="str">
        <f>IF(Table1[[#This Row],[Auto Order]]=1,IF(Table1[[#This Row],[In stock]]&lt;Table1[[#This Row],[Min in stock]],1,""),"")</f>
        <v/>
      </c>
    </row>
    <row r="467" spans="1:29" hidden="1" x14ac:dyDescent="0.25">
      <c r="A467" s="61" t="s">
        <v>1806</v>
      </c>
      <c r="B467" s="34" t="s">
        <v>713</v>
      </c>
      <c r="C467" s="34"/>
      <c r="D467" s="34" t="s">
        <v>1807</v>
      </c>
      <c r="E467" s="34" t="s">
        <v>559</v>
      </c>
      <c r="F467" s="54">
        <v>0</v>
      </c>
      <c r="G467" s="54"/>
      <c r="H467" s="54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1805</v>
      </c>
      <c r="M467" s="42">
        <v>0.1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7" t="str">
        <f>IF(Table1[[#This Row],[Auto Order]]=1,IF(Table1[[#This Row],[In stock]]&lt;Table1[[#This Row],[Min in stock]],1,""),"")</f>
        <v/>
      </c>
    </row>
    <row r="468" spans="1:29" hidden="1" x14ac:dyDescent="0.25">
      <c r="A468" s="61" t="s">
        <v>1854</v>
      </c>
      <c r="B468" s="34" t="s">
        <v>713</v>
      </c>
      <c r="C468" s="34"/>
      <c r="D468" s="34" t="s">
        <v>1855</v>
      </c>
      <c r="E468" s="34" t="s">
        <v>559</v>
      </c>
      <c r="F468" s="54">
        <v>0</v>
      </c>
      <c r="G468" s="54"/>
      <c r="H468" s="54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1853</v>
      </c>
      <c r="M468" s="42">
        <v>0.1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7" t="str">
        <f>IF(Table1[[#This Row],[Auto Order]]=1,IF(Table1[[#This Row],[In stock]]&lt;Table1[[#This Row],[Min in stock]],1,""),"")</f>
        <v/>
      </c>
    </row>
    <row r="469" spans="1:29" hidden="1" x14ac:dyDescent="0.25">
      <c r="A469" s="61" t="s">
        <v>2874</v>
      </c>
      <c r="B469" s="34" t="s">
        <v>713</v>
      </c>
      <c r="C469" s="34"/>
      <c r="D469" s="34" t="s">
        <v>2875</v>
      </c>
      <c r="E469" s="34" t="s">
        <v>559</v>
      </c>
      <c r="F469" s="54">
        <v>0</v>
      </c>
      <c r="G469" s="54"/>
      <c r="H469" s="54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2873</v>
      </c>
      <c r="M469" s="42">
        <v>0.1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7" t="str">
        <f>IF(Table1[[#This Row],[Auto Order]]=1,IF(Table1[[#This Row],[In stock]]&lt;Table1[[#This Row],[Min in stock]],1,""),"")</f>
        <v/>
      </c>
    </row>
    <row r="470" spans="1:29" hidden="1" x14ac:dyDescent="0.25">
      <c r="A470" s="61" t="s">
        <v>2466</v>
      </c>
      <c r="B470" s="34" t="s">
        <v>713</v>
      </c>
      <c r="C470" s="34"/>
      <c r="D470" s="34" t="s">
        <v>2467</v>
      </c>
      <c r="E470" s="34" t="s">
        <v>559</v>
      </c>
      <c r="F470" s="54">
        <v>0</v>
      </c>
      <c r="G470" s="54"/>
      <c r="H470" s="54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2465</v>
      </c>
      <c r="M470" s="42">
        <v>0.1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7" t="str">
        <f>IF(Table1[[#This Row],[Auto Order]]=1,IF(Table1[[#This Row],[In stock]]&lt;Table1[[#This Row],[Min in stock]],1,""),"")</f>
        <v/>
      </c>
    </row>
    <row r="471" spans="1:29" hidden="1" x14ac:dyDescent="0.25">
      <c r="A471" s="61" t="s">
        <v>2580</v>
      </c>
      <c r="B471" s="34" t="s">
        <v>713</v>
      </c>
      <c r="C471" s="34"/>
      <c r="D471" s="34" t="s">
        <v>2581</v>
      </c>
      <c r="E471" s="34" t="s">
        <v>559</v>
      </c>
      <c r="F471" s="54">
        <v>0</v>
      </c>
      <c r="G471" s="54"/>
      <c r="H471" s="54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2579</v>
      </c>
      <c r="M471" s="42">
        <v>0.1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7" t="str">
        <f>IF(Table1[[#This Row],[Auto Order]]=1,IF(Table1[[#This Row],[In stock]]&lt;Table1[[#This Row],[Min in stock]],1,""),"")</f>
        <v/>
      </c>
    </row>
    <row r="472" spans="1:29" hidden="1" x14ac:dyDescent="0.25">
      <c r="A472" s="61" t="s">
        <v>2250</v>
      </c>
      <c r="B472" s="34" t="s">
        <v>713</v>
      </c>
      <c r="C472" s="34"/>
      <c r="D472" s="34" t="s">
        <v>2251</v>
      </c>
      <c r="E472" s="34" t="s">
        <v>559</v>
      </c>
      <c r="F472" s="54">
        <v>0</v>
      </c>
      <c r="G472" s="54"/>
      <c r="H472" s="54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2249</v>
      </c>
      <c r="M472" s="42">
        <v>0.1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7" t="str">
        <f>IF(Table1[[#This Row],[Auto Order]]=1,IF(Table1[[#This Row],[In stock]]&lt;Table1[[#This Row],[Min in stock]],1,""),"")</f>
        <v/>
      </c>
    </row>
    <row r="473" spans="1:29" hidden="1" x14ac:dyDescent="0.25">
      <c r="A473" s="61" t="s">
        <v>2166</v>
      </c>
      <c r="B473" s="34" t="s">
        <v>713</v>
      </c>
      <c r="C473" s="34"/>
      <c r="D473" s="34" t="s">
        <v>2167</v>
      </c>
      <c r="E473" s="34" t="s">
        <v>559</v>
      </c>
      <c r="F473" s="54">
        <v>0</v>
      </c>
      <c r="G473" s="54"/>
      <c r="H473" s="54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2165</v>
      </c>
      <c r="M473" s="42">
        <v>0.1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7" t="str">
        <f>IF(Table1[[#This Row],[Auto Order]]=1,IF(Table1[[#This Row],[In stock]]&lt;Table1[[#This Row],[Min in stock]],1,""),"")</f>
        <v/>
      </c>
    </row>
    <row r="474" spans="1:29" hidden="1" x14ac:dyDescent="0.25">
      <c r="A474" s="61" t="s">
        <v>2082</v>
      </c>
      <c r="B474" s="34" t="s">
        <v>713</v>
      </c>
      <c r="C474" s="34"/>
      <c r="D474" s="34" t="s">
        <v>2083</v>
      </c>
      <c r="E474" s="34" t="s">
        <v>559</v>
      </c>
      <c r="F474" s="54">
        <v>0</v>
      </c>
      <c r="G474" s="54"/>
      <c r="H474" s="54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2081</v>
      </c>
      <c r="M474" s="42">
        <v>0.1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7" t="str">
        <f>IF(Table1[[#This Row],[Auto Order]]=1,IF(Table1[[#This Row],[In stock]]&lt;Table1[[#This Row],[Min in stock]],1,""),"")</f>
        <v/>
      </c>
    </row>
    <row r="475" spans="1:29" hidden="1" x14ac:dyDescent="0.25">
      <c r="A475" s="61" t="s">
        <v>2085</v>
      </c>
      <c r="B475" s="34" t="s">
        <v>713</v>
      </c>
      <c r="C475" s="34"/>
      <c r="D475" s="34" t="s">
        <v>2086</v>
      </c>
      <c r="E475" s="34" t="s">
        <v>559</v>
      </c>
      <c r="F475" s="54">
        <v>0</v>
      </c>
      <c r="G475" s="54"/>
      <c r="H475" s="54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2084</v>
      </c>
      <c r="M475" s="42">
        <v>0.1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7" t="str">
        <f>IF(Table1[[#This Row],[Auto Order]]=1,IF(Table1[[#This Row],[In stock]]&lt;Table1[[#This Row],[Min in stock]],1,""),"")</f>
        <v/>
      </c>
    </row>
    <row r="476" spans="1:29" hidden="1" x14ac:dyDescent="0.25">
      <c r="A476" s="61" t="s">
        <v>2838</v>
      </c>
      <c r="B476" s="34" t="s">
        <v>713</v>
      </c>
      <c r="C476" s="34"/>
      <c r="D476" s="34" t="s">
        <v>2839</v>
      </c>
      <c r="E476" s="34" t="s">
        <v>559</v>
      </c>
      <c r="F476" s="54">
        <v>0</v>
      </c>
      <c r="G476" s="54"/>
      <c r="H476" s="54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2837</v>
      </c>
      <c r="M476" s="42">
        <v>0.1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7" t="str">
        <f>IF(Table1[[#This Row],[Auto Order]]=1,IF(Table1[[#This Row],[In stock]]&lt;Table1[[#This Row],[Min in stock]],1,""),"")</f>
        <v/>
      </c>
    </row>
    <row r="477" spans="1:29" hidden="1" x14ac:dyDescent="0.25">
      <c r="A477" s="61" t="s">
        <v>1914</v>
      </c>
      <c r="B477" s="34" t="s">
        <v>713</v>
      </c>
      <c r="C477" s="34"/>
      <c r="D477" s="34" t="s">
        <v>1915</v>
      </c>
      <c r="E477" s="34" t="s">
        <v>559</v>
      </c>
      <c r="F477" s="54">
        <v>0</v>
      </c>
      <c r="G477" s="54"/>
      <c r="H477" s="54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1913</v>
      </c>
      <c r="M477" s="42">
        <v>0.1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7" t="str">
        <f>IF(Table1[[#This Row],[Auto Order]]=1,IF(Table1[[#This Row],[In stock]]&lt;Table1[[#This Row],[Min in stock]],1,""),"")</f>
        <v/>
      </c>
    </row>
    <row r="478" spans="1:29" hidden="1" x14ac:dyDescent="0.25">
      <c r="A478" s="61" t="s">
        <v>1869</v>
      </c>
      <c r="B478" s="34" t="s">
        <v>713</v>
      </c>
      <c r="C478" s="34"/>
      <c r="D478" s="34" t="s">
        <v>1870</v>
      </c>
      <c r="E478" s="34" t="s">
        <v>559</v>
      </c>
      <c r="F478" s="54">
        <v>0</v>
      </c>
      <c r="G478" s="54"/>
      <c r="H478" s="54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1868</v>
      </c>
      <c r="M478" s="42">
        <v>0.1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7" t="str">
        <f>IF(Table1[[#This Row],[Auto Order]]=1,IF(Table1[[#This Row],[In stock]]&lt;Table1[[#This Row],[Min in stock]],1,""),"")</f>
        <v/>
      </c>
    </row>
    <row r="479" spans="1:29" hidden="1" x14ac:dyDescent="0.25">
      <c r="A479" s="61" t="s">
        <v>587</v>
      </c>
      <c r="B479" s="34" t="s">
        <v>713</v>
      </c>
      <c r="C479" s="34"/>
      <c r="D479" s="34" t="s">
        <v>714</v>
      </c>
      <c r="E479" s="34" t="s">
        <v>559</v>
      </c>
      <c r="F479" s="54">
        <v>0</v>
      </c>
      <c r="G479" s="54"/>
      <c r="H479" s="54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715</v>
      </c>
      <c r="M479" s="42">
        <v>0.1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7" t="str">
        <f>IF(Table1[[#This Row],[Auto Order]]=1,IF(Table1[[#This Row],[In stock]]&lt;Table1[[#This Row],[Min in stock]],1,""),"")</f>
        <v/>
      </c>
    </row>
    <row r="480" spans="1:29" hidden="1" x14ac:dyDescent="0.25">
      <c r="A480" s="61" t="s">
        <v>2583</v>
      </c>
      <c r="B480" s="34" t="s">
        <v>713</v>
      </c>
      <c r="C480" s="34"/>
      <c r="D480" s="34" t="s">
        <v>2584</v>
      </c>
      <c r="E480" s="34" t="s">
        <v>559</v>
      </c>
      <c r="F480" s="54">
        <v>0</v>
      </c>
      <c r="G480" s="54"/>
      <c r="H480" s="54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2582</v>
      </c>
      <c r="M480" s="42">
        <v>0.1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7" t="str">
        <f>IF(Table1[[#This Row],[Auto Order]]=1,IF(Table1[[#This Row],[In stock]]&lt;Table1[[#This Row],[Min in stock]],1,""),"")</f>
        <v/>
      </c>
    </row>
    <row r="481" spans="1:29" hidden="1" x14ac:dyDescent="0.25">
      <c r="A481" s="61" t="s">
        <v>2358</v>
      </c>
      <c r="B481" s="34" t="s">
        <v>713</v>
      </c>
      <c r="C481" s="34"/>
      <c r="D481" s="34" t="s">
        <v>2359</v>
      </c>
      <c r="E481" s="34" t="s">
        <v>559</v>
      </c>
      <c r="F481" s="54">
        <v>0</v>
      </c>
      <c r="G481" s="54"/>
      <c r="H481" s="54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2357</v>
      </c>
      <c r="M481" s="42">
        <v>0.1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7" t="str">
        <f>IF(Table1[[#This Row],[Auto Order]]=1,IF(Table1[[#This Row],[In stock]]&lt;Table1[[#This Row],[Min in stock]],1,""),"")</f>
        <v/>
      </c>
    </row>
    <row r="482" spans="1:29" hidden="1" x14ac:dyDescent="0.25">
      <c r="A482" s="61" t="s">
        <v>1935</v>
      </c>
      <c r="B482" s="34" t="s">
        <v>713</v>
      </c>
      <c r="C482" s="34"/>
      <c r="D482" s="34" t="s">
        <v>1936</v>
      </c>
      <c r="E482" s="34" t="s">
        <v>559</v>
      </c>
      <c r="F482" s="54">
        <v>0</v>
      </c>
      <c r="G482" s="54"/>
      <c r="H482" s="54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1934</v>
      </c>
      <c r="M482" s="42">
        <v>0.1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7" t="str">
        <f>IF(Table1[[#This Row],[Auto Order]]=1,IF(Table1[[#This Row],[In stock]]&lt;Table1[[#This Row],[Min in stock]],1,""),"")</f>
        <v/>
      </c>
    </row>
    <row r="483" spans="1:29" hidden="1" x14ac:dyDescent="0.25">
      <c r="A483" s="61" t="s">
        <v>2598</v>
      </c>
      <c r="B483" s="34" t="s">
        <v>713</v>
      </c>
      <c r="C483" s="34"/>
      <c r="D483" s="34" t="s">
        <v>2599</v>
      </c>
      <c r="E483" s="34" t="s">
        <v>559</v>
      </c>
      <c r="F483" s="54">
        <v>0</v>
      </c>
      <c r="G483" s="54"/>
      <c r="H483" s="54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2597</v>
      </c>
      <c r="M483" s="42">
        <v>0.1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7" t="str">
        <f>IF(Table1[[#This Row],[Auto Order]]=1,IF(Table1[[#This Row],[In stock]]&lt;Table1[[#This Row],[Min in stock]],1,""),"")</f>
        <v/>
      </c>
    </row>
    <row r="484" spans="1:29" hidden="1" x14ac:dyDescent="0.25">
      <c r="A484" s="61" t="s">
        <v>2097</v>
      </c>
      <c r="B484" s="34" t="s">
        <v>713</v>
      </c>
      <c r="C484" s="34"/>
      <c r="D484" s="34" t="s">
        <v>2098</v>
      </c>
      <c r="E484" s="34" t="s">
        <v>559</v>
      </c>
      <c r="F484" s="54">
        <v>0</v>
      </c>
      <c r="G484" s="54"/>
      <c r="H484" s="54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2096</v>
      </c>
      <c r="M484" s="42">
        <v>0.1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7" t="str">
        <f>IF(Table1[[#This Row],[Auto Order]]=1,IF(Table1[[#This Row],[In stock]]&lt;Table1[[#This Row],[Min in stock]],1,""),"")</f>
        <v/>
      </c>
    </row>
    <row r="485" spans="1:29" hidden="1" x14ac:dyDescent="0.25">
      <c r="A485" s="61" t="s">
        <v>2778</v>
      </c>
      <c r="B485" s="34" t="s">
        <v>713</v>
      </c>
      <c r="C485" s="34"/>
      <c r="D485" s="34" t="s">
        <v>2779</v>
      </c>
      <c r="E485" s="34" t="s">
        <v>559</v>
      </c>
      <c r="F485" s="54">
        <v>0</v>
      </c>
      <c r="G485" s="54"/>
      <c r="H485" s="54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2777</v>
      </c>
      <c r="M485" s="42">
        <v>0.1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7" t="str">
        <f>IF(Table1[[#This Row],[Auto Order]]=1,IF(Table1[[#This Row],[In stock]]&lt;Table1[[#This Row],[Min in stock]],1,""),"")</f>
        <v/>
      </c>
    </row>
    <row r="486" spans="1:29" hidden="1" x14ac:dyDescent="0.25">
      <c r="A486" s="61" t="s">
        <v>2361</v>
      </c>
      <c r="B486" s="34" t="s">
        <v>713</v>
      </c>
      <c r="C486" s="34"/>
      <c r="D486" s="34" t="s">
        <v>2362</v>
      </c>
      <c r="E486" s="34" t="s">
        <v>559</v>
      </c>
      <c r="F486" s="54">
        <v>0</v>
      </c>
      <c r="G486" s="54"/>
      <c r="H486" s="54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2360</v>
      </c>
      <c r="M486" s="42">
        <v>0.1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7" t="str">
        <f>IF(Table1[[#This Row],[Auto Order]]=1,IF(Table1[[#This Row],[In stock]]&lt;Table1[[#This Row],[Min in stock]],1,""),"")</f>
        <v/>
      </c>
    </row>
    <row r="487" spans="1:29" hidden="1" x14ac:dyDescent="0.25">
      <c r="A487" s="61" t="s">
        <v>2364</v>
      </c>
      <c r="B487" s="34" t="s">
        <v>713</v>
      </c>
      <c r="C487" s="34"/>
      <c r="D487" s="34" t="s">
        <v>2365</v>
      </c>
      <c r="E487" s="34" t="s">
        <v>559</v>
      </c>
      <c r="F487" s="54">
        <v>0</v>
      </c>
      <c r="G487" s="54"/>
      <c r="H487" s="54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2363</v>
      </c>
      <c r="M487" s="42">
        <v>0.1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7" t="str">
        <f>IF(Table1[[#This Row],[Auto Order]]=1,IF(Table1[[#This Row],[In stock]]&lt;Table1[[#This Row],[Min in stock]],1,""),"")</f>
        <v/>
      </c>
    </row>
    <row r="488" spans="1:29" hidden="1" x14ac:dyDescent="0.25">
      <c r="A488" s="61" t="s">
        <v>2586</v>
      </c>
      <c r="B488" s="34" t="s">
        <v>713</v>
      </c>
      <c r="C488" s="34"/>
      <c r="D488" s="34" t="s">
        <v>2587</v>
      </c>
      <c r="E488" s="34" t="s">
        <v>559</v>
      </c>
      <c r="F488" s="54">
        <v>0</v>
      </c>
      <c r="G488" s="54"/>
      <c r="H488" s="54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2585</v>
      </c>
      <c r="M488" s="42">
        <v>0.1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7" t="str">
        <f>IF(Table1[[#This Row],[Auto Order]]=1,IF(Table1[[#This Row],[In stock]]&lt;Table1[[#This Row],[Min in stock]],1,""),"")</f>
        <v/>
      </c>
    </row>
    <row r="489" spans="1:29" hidden="1" x14ac:dyDescent="0.25">
      <c r="A489" s="61" t="s">
        <v>2823</v>
      </c>
      <c r="B489" s="34" t="s">
        <v>713</v>
      </c>
      <c r="C489" s="34"/>
      <c r="D489" s="34" t="s">
        <v>2824</v>
      </c>
      <c r="E489" s="34" t="s">
        <v>559</v>
      </c>
      <c r="F489" s="54">
        <v>0</v>
      </c>
      <c r="G489" s="54"/>
      <c r="H489" s="54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2822</v>
      </c>
      <c r="M489" s="42">
        <v>0.1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7" t="str">
        <f>IF(Table1[[#This Row],[Auto Order]]=1,IF(Table1[[#This Row],[In stock]]&lt;Table1[[#This Row],[Min in stock]],1,""),"")</f>
        <v/>
      </c>
    </row>
    <row r="490" spans="1:29" hidden="1" x14ac:dyDescent="0.25">
      <c r="A490" s="61" t="s">
        <v>2646</v>
      </c>
      <c r="B490" s="34" t="s">
        <v>713</v>
      </c>
      <c r="C490" s="34"/>
      <c r="D490" s="34" t="s">
        <v>2647</v>
      </c>
      <c r="E490" s="34" t="s">
        <v>559</v>
      </c>
      <c r="F490" s="54">
        <v>0</v>
      </c>
      <c r="G490" s="54"/>
      <c r="H490" s="54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2645</v>
      </c>
      <c r="M490" s="42">
        <v>0.1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7" t="str">
        <f>IF(Table1[[#This Row],[Auto Order]]=1,IF(Table1[[#This Row],[In stock]]&lt;Table1[[#This Row],[Min in stock]],1,""),"")</f>
        <v/>
      </c>
    </row>
    <row r="491" spans="1:29" hidden="1" x14ac:dyDescent="0.25">
      <c r="A491" s="61" t="s">
        <v>1917</v>
      </c>
      <c r="B491" s="34" t="s">
        <v>713</v>
      </c>
      <c r="C491" s="34"/>
      <c r="D491" s="34" t="s">
        <v>1918</v>
      </c>
      <c r="E491" s="34" t="s">
        <v>559</v>
      </c>
      <c r="F491" s="54">
        <v>0</v>
      </c>
      <c r="G491" s="54"/>
      <c r="H491" s="54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1916</v>
      </c>
      <c r="M491" s="42">
        <v>0.1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7" t="str">
        <f>IF(Table1[[#This Row],[Auto Order]]=1,IF(Table1[[#This Row],[In stock]]&lt;Table1[[#This Row],[Min in stock]],1,""),"")</f>
        <v/>
      </c>
    </row>
    <row r="492" spans="1:29" hidden="1" x14ac:dyDescent="0.25">
      <c r="A492" s="61" t="s">
        <v>2832</v>
      </c>
      <c r="B492" s="34" t="s">
        <v>713</v>
      </c>
      <c r="C492" s="34"/>
      <c r="D492" s="34" t="s">
        <v>2833</v>
      </c>
      <c r="E492" s="34" t="s">
        <v>559</v>
      </c>
      <c r="F492" s="54">
        <v>0</v>
      </c>
      <c r="G492" s="54"/>
      <c r="H492" s="54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2831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7" t="str">
        <f>IF(Table1[[#This Row],[Auto Order]]=1,IF(Table1[[#This Row],[In stock]]&lt;Table1[[#This Row],[Min in stock]],1,""),"")</f>
        <v/>
      </c>
    </row>
    <row r="493" spans="1:29" hidden="1" x14ac:dyDescent="0.25">
      <c r="A493" s="61" t="s">
        <v>1950</v>
      </c>
      <c r="B493" s="34" t="s">
        <v>713</v>
      </c>
      <c r="C493" s="34"/>
      <c r="D493" s="34" t="s">
        <v>1951</v>
      </c>
      <c r="E493" s="34" t="s">
        <v>559</v>
      </c>
      <c r="F493" s="54">
        <v>0</v>
      </c>
      <c r="G493" s="54"/>
      <c r="H493" s="54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1949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7" t="str">
        <f>IF(Table1[[#This Row],[Auto Order]]=1,IF(Table1[[#This Row],[In stock]]&lt;Table1[[#This Row],[Min in stock]],1,""),"")</f>
        <v/>
      </c>
    </row>
    <row r="494" spans="1:29" hidden="1" x14ac:dyDescent="0.25">
      <c r="A494" s="61" t="s">
        <v>2835</v>
      </c>
      <c r="B494" s="34" t="s">
        <v>713</v>
      </c>
      <c r="C494" s="34"/>
      <c r="D494" s="34" t="s">
        <v>2836</v>
      </c>
      <c r="E494" s="34" t="s">
        <v>559</v>
      </c>
      <c r="F494" s="54">
        <v>0</v>
      </c>
      <c r="G494" s="54"/>
      <c r="H494" s="54"/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2834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7" t="str">
        <f>IF(Table1[[#This Row],[Auto Order]]=1,IF(Table1[[#This Row],[In stock]]&lt;Table1[[#This Row],[Min in stock]],1,""),"")</f>
        <v/>
      </c>
    </row>
    <row r="495" spans="1:29" hidden="1" x14ac:dyDescent="0.25">
      <c r="A495" s="61" t="s">
        <v>2868</v>
      </c>
      <c r="B495" s="34" t="s">
        <v>713</v>
      </c>
      <c r="C495" s="34"/>
      <c r="D495" s="34" t="s">
        <v>2869</v>
      </c>
      <c r="E495" s="34" t="s">
        <v>559</v>
      </c>
      <c r="F495" s="54">
        <v>0</v>
      </c>
      <c r="G495" s="54"/>
      <c r="H495" s="54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2867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7" t="str">
        <f>IF(Table1[[#This Row],[Auto Order]]=1,IF(Table1[[#This Row],[In stock]]&lt;Table1[[#This Row],[Min in stock]],1,""),"")</f>
        <v/>
      </c>
    </row>
    <row r="496" spans="1:29" hidden="1" x14ac:dyDescent="0.25">
      <c r="A496" s="61" t="s">
        <v>2859</v>
      </c>
      <c r="B496" s="34" t="s">
        <v>713</v>
      </c>
      <c r="C496" s="34"/>
      <c r="D496" s="34" t="s">
        <v>2860</v>
      </c>
      <c r="E496" s="34" t="s">
        <v>559</v>
      </c>
      <c r="F496" s="54">
        <v>0</v>
      </c>
      <c r="G496" s="54"/>
      <c r="H496" s="54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2858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7" t="str">
        <f>IF(Table1[[#This Row],[Auto Order]]=1,IF(Table1[[#This Row],[In stock]]&lt;Table1[[#This Row],[Min in stock]],1,""),"")</f>
        <v/>
      </c>
    </row>
    <row r="497" spans="1:29" hidden="1" x14ac:dyDescent="0.25">
      <c r="A497" s="61" t="s">
        <v>2469</v>
      </c>
      <c r="B497" s="34" t="s">
        <v>713</v>
      </c>
      <c r="C497" s="34"/>
      <c r="D497" s="34" t="s">
        <v>2470</v>
      </c>
      <c r="E497" s="34" t="s">
        <v>559</v>
      </c>
      <c r="F497" s="54">
        <v>0</v>
      </c>
      <c r="G497" s="54"/>
      <c r="H497" s="54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2468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7" t="str">
        <f>IF(Table1[[#This Row],[Auto Order]]=1,IF(Table1[[#This Row],[In stock]]&lt;Table1[[#This Row],[Min in stock]],1,""),"")</f>
        <v/>
      </c>
    </row>
    <row r="498" spans="1:29" hidden="1" x14ac:dyDescent="0.25">
      <c r="A498" s="61" t="s">
        <v>2688</v>
      </c>
      <c r="B498" s="34" t="s">
        <v>713</v>
      </c>
      <c r="C498" s="34"/>
      <c r="D498" s="34" t="s">
        <v>2689</v>
      </c>
      <c r="E498" s="34" t="s">
        <v>559</v>
      </c>
      <c r="F498" s="54">
        <v>0</v>
      </c>
      <c r="G498" s="54"/>
      <c r="H498" s="54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2687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7" t="str">
        <f>IF(Table1[[#This Row],[Auto Order]]=1,IF(Table1[[#This Row],[In stock]]&lt;Table1[[#This Row],[Min in stock]],1,""),"")</f>
        <v/>
      </c>
    </row>
    <row r="499" spans="1:29" hidden="1" x14ac:dyDescent="0.25">
      <c r="A499" s="61" t="s">
        <v>2805</v>
      </c>
      <c r="B499" s="34" t="s">
        <v>713</v>
      </c>
      <c r="C499" s="34"/>
      <c r="D499" s="34" t="s">
        <v>2806</v>
      </c>
      <c r="E499" s="34" t="s">
        <v>559</v>
      </c>
      <c r="F499" s="54">
        <v>0</v>
      </c>
      <c r="G499" s="54"/>
      <c r="H499" s="54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2804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7" t="str">
        <f>IF(Table1[[#This Row],[Auto Order]]=1,IF(Table1[[#This Row],[In stock]]&lt;Table1[[#This Row],[Min in stock]],1,""),"")</f>
        <v/>
      </c>
    </row>
    <row r="500" spans="1:29" hidden="1" x14ac:dyDescent="0.25">
      <c r="A500" s="61" t="s">
        <v>2751</v>
      </c>
      <c r="B500" s="34" t="s">
        <v>713</v>
      </c>
      <c r="C500" s="34"/>
      <c r="D500" s="34" t="s">
        <v>2752</v>
      </c>
      <c r="E500" s="34" t="s">
        <v>559</v>
      </c>
      <c r="F500" s="54">
        <v>0</v>
      </c>
      <c r="G500" s="54"/>
      <c r="H500" s="54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2750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7" t="str">
        <f>IF(Table1[[#This Row],[Auto Order]]=1,IF(Table1[[#This Row],[In stock]]&lt;Table1[[#This Row],[Min in stock]],1,""),"")</f>
        <v/>
      </c>
    </row>
    <row r="501" spans="1:29" hidden="1" x14ac:dyDescent="0.25">
      <c r="A501" s="61" t="s">
        <v>2217</v>
      </c>
      <c r="B501" s="34" t="s">
        <v>713</v>
      </c>
      <c r="C501" s="34"/>
      <c r="D501" s="34" t="s">
        <v>2218</v>
      </c>
      <c r="E501" s="34" t="s">
        <v>559</v>
      </c>
      <c r="F501" s="54">
        <v>0</v>
      </c>
      <c r="G501" s="54"/>
      <c r="H501" s="54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2216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7" t="str">
        <f>IF(Table1[[#This Row],[Auto Order]]=1,IF(Table1[[#This Row],[In stock]]&lt;Table1[[#This Row],[Min in stock]],1,""),"")</f>
        <v/>
      </c>
    </row>
    <row r="502" spans="1:29" hidden="1" x14ac:dyDescent="0.25">
      <c r="A502" s="61" t="s">
        <v>1953</v>
      </c>
      <c r="B502" s="34" t="s">
        <v>713</v>
      </c>
      <c r="C502" s="34"/>
      <c r="D502" s="34" t="s">
        <v>1954</v>
      </c>
      <c r="E502" s="34" t="s">
        <v>559</v>
      </c>
      <c r="F502" s="54">
        <v>0</v>
      </c>
      <c r="G502" s="54"/>
      <c r="H502" s="54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1952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7" t="str">
        <f>IF(Table1[[#This Row],[Auto Order]]=1,IF(Table1[[#This Row],[In stock]]&lt;Table1[[#This Row],[Min in stock]],1,""),"")</f>
        <v/>
      </c>
    </row>
    <row r="503" spans="1:29" hidden="1" x14ac:dyDescent="0.25">
      <c r="A503" s="61" t="s">
        <v>2811</v>
      </c>
      <c r="B503" s="34" t="s">
        <v>713</v>
      </c>
      <c r="C503" s="34"/>
      <c r="D503" s="34" t="s">
        <v>2812</v>
      </c>
      <c r="E503" s="34" t="s">
        <v>559</v>
      </c>
      <c r="F503" s="54">
        <v>0</v>
      </c>
      <c r="G503" s="54"/>
      <c r="H503" s="54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2810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7" t="str">
        <f>IF(Table1[[#This Row],[Auto Order]]=1,IF(Table1[[#This Row],[In stock]]&lt;Table1[[#This Row],[Min in stock]],1,""),"")</f>
        <v/>
      </c>
    </row>
    <row r="504" spans="1:29" hidden="1" x14ac:dyDescent="0.25">
      <c r="A504" s="61" t="s">
        <v>2472</v>
      </c>
      <c r="B504" s="34" t="s">
        <v>713</v>
      </c>
      <c r="C504" s="34"/>
      <c r="D504" s="34" t="s">
        <v>2473</v>
      </c>
      <c r="E504" s="34" t="s">
        <v>559</v>
      </c>
      <c r="F504" s="54">
        <v>0</v>
      </c>
      <c r="G504" s="54"/>
      <c r="H504" s="54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2471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7" t="str">
        <f>IF(Table1[[#This Row],[Auto Order]]=1,IF(Table1[[#This Row],[In stock]]&lt;Table1[[#This Row],[Min in stock]],1,""),"")</f>
        <v/>
      </c>
    </row>
    <row r="505" spans="1:29" hidden="1" x14ac:dyDescent="0.25">
      <c r="A505" s="61" t="s">
        <v>2256</v>
      </c>
      <c r="B505" s="34" t="s">
        <v>713</v>
      </c>
      <c r="C505" s="34"/>
      <c r="D505" s="34" t="s">
        <v>2257</v>
      </c>
      <c r="E505" s="34" t="s">
        <v>559</v>
      </c>
      <c r="F505" s="54">
        <v>0</v>
      </c>
      <c r="G505" s="54"/>
      <c r="H505" s="54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2255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7" t="str">
        <f>IF(Table1[[#This Row],[Auto Order]]=1,IF(Table1[[#This Row],[In stock]]&lt;Table1[[#This Row],[Min in stock]],1,""),"")</f>
        <v/>
      </c>
    </row>
    <row r="506" spans="1:29" hidden="1" x14ac:dyDescent="0.25">
      <c r="A506" s="61" t="s">
        <v>2715</v>
      </c>
      <c r="B506" s="34" t="s">
        <v>713</v>
      </c>
      <c r="C506" s="34"/>
      <c r="D506" s="34" t="s">
        <v>2716</v>
      </c>
      <c r="E506" s="34" t="s">
        <v>559</v>
      </c>
      <c r="F506" s="54">
        <v>0</v>
      </c>
      <c r="G506" s="54"/>
      <c r="H506" s="54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2714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7" t="str">
        <f>IF(Table1[[#This Row],[Auto Order]]=1,IF(Table1[[#This Row],[In stock]]&lt;Table1[[#This Row],[Min in stock]],1,""),"")</f>
        <v/>
      </c>
    </row>
    <row r="507" spans="1:29" hidden="1" x14ac:dyDescent="0.25">
      <c r="A507" s="61" t="s">
        <v>2709</v>
      </c>
      <c r="B507" s="34" t="s">
        <v>713</v>
      </c>
      <c r="C507" s="34"/>
      <c r="D507" s="34" t="s">
        <v>2710</v>
      </c>
      <c r="E507" s="34" t="s">
        <v>559</v>
      </c>
      <c r="F507" s="54">
        <v>0</v>
      </c>
      <c r="G507" s="54"/>
      <c r="H507" s="54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2708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7" t="str">
        <f>IF(Table1[[#This Row],[Auto Order]]=1,IF(Table1[[#This Row],[In stock]]&lt;Table1[[#This Row],[Min in stock]],1,""),"")</f>
        <v/>
      </c>
    </row>
    <row r="508" spans="1:29" hidden="1" x14ac:dyDescent="0.25">
      <c r="A508" s="61" t="s">
        <v>2088</v>
      </c>
      <c r="B508" s="34" t="s">
        <v>713</v>
      </c>
      <c r="C508" s="34"/>
      <c r="D508" s="34" t="s">
        <v>2089</v>
      </c>
      <c r="E508" s="34" t="s">
        <v>559</v>
      </c>
      <c r="F508" s="54">
        <v>0</v>
      </c>
      <c r="G508" s="54"/>
      <c r="H508" s="54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2087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7" t="str">
        <f>IF(Table1[[#This Row],[Auto Order]]=1,IF(Table1[[#This Row],[In stock]]&lt;Table1[[#This Row],[Min in stock]],1,""),"")</f>
        <v/>
      </c>
    </row>
    <row r="509" spans="1:29" hidden="1" x14ac:dyDescent="0.25">
      <c r="A509" s="61" t="s">
        <v>2601</v>
      </c>
      <c r="B509" s="34" t="s">
        <v>713</v>
      </c>
      <c r="C509" s="34"/>
      <c r="D509" s="34" t="s">
        <v>2602</v>
      </c>
      <c r="E509" s="34" t="s">
        <v>559</v>
      </c>
      <c r="F509" s="54">
        <v>0</v>
      </c>
      <c r="G509" s="54"/>
      <c r="H509" s="54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2600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7" t="str">
        <f>IF(Table1[[#This Row],[Auto Order]]=1,IF(Table1[[#This Row],[In stock]]&lt;Table1[[#This Row],[Min in stock]],1,""),"")</f>
        <v/>
      </c>
    </row>
    <row r="510" spans="1:29" hidden="1" x14ac:dyDescent="0.25">
      <c r="A510" s="61" t="s">
        <v>1857</v>
      </c>
      <c r="B510" s="34" t="s">
        <v>713</v>
      </c>
      <c r="C510" s="34"/>
      <c r="D510" s="34" t="s">
        <v>1858</v>
      </c>
      <c r="E510" s="34" t="s">
        <v>559</v>
      </c>
      <c r="F510" s="54">
        <v>0</v>
      </c>
      <c r="G510" s="54"/>
      <c r="H510" s="54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1856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7" t="str">
        <f>IF(Table1[[#This Row],[Auto Order]]=1,IF(Table1[[#This Row],[In stock]]&lt;Table1[[#This Row],[Min in stock]],1,""),"")</f>
        <v/>
      </c>
    </row>
    <row r="511" spans="1:29" hidden="1" x14ac:dyDescent="0.25">
      <c r="A511" s="61" t="s">
        <v>2475</v>
      </c>
      <c r="B511" s="34" t="s">
        <v>713</v>
      </c>
      <c r="C511" s="34"/>
      <c r="D511" s="34" t="s">
        <v>2476</v>
      </c>
      <c r="E511" s="34" t="s">
        <v>559</v>
      </c>
      <c r="F511" s="54">
        <v>0</v>
      </c>
      <c r="G511" s="54"/>
      <c r="H511" s="54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2474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7" t="str">
        <f>IF(Table1[[#This Row],[Auto Order]]=1,IF(Table1[[#This Row],[In stock]]&lt;Table1[[#This Row],[Min in stock]],1,""),"")</f>
        <v/>
      </c>
    </row>
    <row r="512" spans="1:29" hidden="1" x14ac:dyDescent="0.25">
      <c r="A512" s="61" t="s">
        <v>2808</v>
      </c>
      <c r="B512" s="34" t="s">
        <v>713</v>
      </c>
      <c r="C512" s="34"/>
      <c r="D512" s="34" t="s">
        <v>2809</v>
      </c>
      <c r="E512" s="34" t="s">
        <v>559</v>
      </c>
      <c r="F512" s="54">
        <v>0</v>
      </c>
      <c r="G512" s="54"/>
      <c r="H512" s="54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2807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7" t="str">
        <f>IF(Table1[[#This Row],[Auto Order]]=1,IF(Table1[[#This Row],[In stock]]&lt;Table1[[#This Row],[Min in stock]],1,""),"")</f>
        <v/>
      </c>
    </row>
    <row r="513" spans="1:29" hidden="1" x14ac:dyDescent="0.25">
      <c r="A513" s="61" t="s">
        <v>1920</v>
      </c>
      <c r="B513" s="34" t="s">
        <v>713</v>
      </c>
      <c r="C513" s="34"/>
      <c r="D513" s="34" t="s">
        <v>1921</v>
      </c>
      <c r="E513" s="34" t="s">
        <v>559</v>
      </c>
      <c r="F513" s="54">
        <v>0</v>
      </c>
      <c r="G513" s="54"/>
      <c r="H513" s="54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1919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7" t="str">
        <f>IF(Table1[[#This Row],[Auto Order]]=1,IF(Table1[[#This Row],[In stock]]&lt;Table1[[#This Row],[Min in stock]],1,""),"")</f>
        <v/>
      </c>
    </row>
    <row r="514" spans="1:29" hidden="1" x14ac:dyDescent="0.25">
      <c r="A514" s="61" t="s">
        <v>2160</v>
      </c>
      <c r="B514" s="34" t="s">
        <v>713</v>
      </c>
      <c r="C514" s="34"/>
      <c r="D514" s="34" t="s">
        <v>2161</v>
      </c>
      <c r="E514" s="34" t="s">
        <v>559</v>
      </c>
      <c r="F514" s="54">
        <v>0</v>
      </c>
      <c r="G514" s="54"/>
      <c r="H514" s="54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2159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7" t="str">
        <f>IF(Table1[[#This Row],[Auto Order]]=1,IF(Table1[[#This Row],[In stock]]&lt;Table1[[#This Row],[Min in stock]],1,""),"")</f>
        <v/>
      </c>
    </row>
    <row r="515" spans="1:29" hidden="1" x14ac:dyDescent="0.25">
      <c r="A515" s="61" t="s">
        <v>1923</v>
      </c>
      <c r="B515" s="34" t="s">
        <v>713</v>
      </c>
      <c r="C515" s="34"/>
      <c r="D515" s="34" t="s">
        <v>1924</v>
      </c>
      <c r="E515" s="34" t="s">
        <v>559</v>
      </c>
      <c r="F515" s="54">
        <v>0</v>
      </c>
      <c r="G515" s="54"/>
      <c r="H515" s="54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1922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7" t="str">
        <f>IF(Table1[[#This Row],[Auto Order]]=1,IF(Table1[[#This Row],[In stock]]&lt;Table1[[#This Row],[Min in stock]],1,""),"")</f>
        <v/>
      </c>
    </row>
    <row r="516" spans="1:29" hidden="1" x14ac:dyDescent="0.25">
      <c r="A516" s="61" t="s">
        <v>2862</v>
      </c>
      <c r="B516" s="34" t="s">
        <v>713</v>
      </c>
      <c r="C516" s="34"/>
      <c r="D516" s="34" t="s">
        <v>2863</v>
      </c>
      <c r="E516" s="34" t="s">
        <v>559</v>
      </c>
      <c r="F516" s="54">
        <v>0</v>
      </c>
      <c r="G516" s="54"/>
      <c r="H516" s="54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2861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7" t="str">
        <f>IF(Table1[[#This Row],[Auto Order]]=1,IF(Table1[[#This Row],[In stock]]&lt;Table1[[#This Row],[Min in stock]],1,""),"")</f>
        <v/>
      </c>
    </row>
    <row r="517" spans="1:29" hidden="1" x14ac:dyDescent="0.25">
      <c r="A517" s="61" t="s">
        <v>2793</v>
      </c>
      <c r="B517" s="34" t="s">
        <v>713</v>
      </c>
      <c r="C517" s="34"/>
      <c r="D517" s="34" t="s">
        <v>2794</v>
      </c>
      <c r="E517" s="34" t="s">
        <v>559</v>
      </c>
      <c r="F517" s="54">
        <v>0</v>
      </c>
      <c r="G517" s="54"/>
      <c r="H517" s="54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2792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7" t="str">
        <f>IF(Table1[[#This Row],[Auto Order]]=1,IF(Table1[[#This Row],[In stock]]&lt;Table1[[#This Row],[Min in stock]],1,""),"")</f>
        <v/>
      </c>
    </row>
    <row r="518" spans="1:29" hidden="1" x14ac:dyDescent="0.25">
      <c r="A518" s="61" t="s">
        <v>2589</v>
      </c>
      <c r="B518" s="34" t="s">
        <v>713</v>
      </c>
      <c r="C518" s="34"/>
      <c r="D518" s="34" t="s">
        <v>2590</v>
      </c>
      <c r="E518" s="34" t="s">
        <v>559</v>
      </c>
      <c r="F518" s="54">
        <v>0</v>
      </c>
      <c r="G518" s="54"/>
      <c r="H518" s="54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2588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7" t="str">
        <f>IF(Table1[[#This Row],[Auto Order]]=1,IF(Table1[[#This Row],[In stock]]&lt;Table1[[#This Row],[Min in stock]],1,""),"")</f>
        <v/>
      </c>
    </row>
    <row r="519" spans="1:29" hidden="1" x14ac:dyDescent="0.25">
      <c r="A519" s="61" t="s">
        <v>1824</v>
      </c>
      <c r="B519" s="34" t="s">
        <v>713</v>
      </c>
      <c r="C519" s="34"/>
      <c r="D519" s="34" t="s">
        <v>1825</v>
      </c>
      <c r="E519" s="34" t="s">
        <v>559</v>
      </c>
      <c r="F519" s="54">
        <v>0</v>
      </c>
      <c r="G519" s="54"/>
      <c r="H519" s="54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1823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7" t="str">
        <f>IF(Table1[[#This Row],[Auto Order]]=1,IF(Table1[[#This Row],[In stock]]&lt;Table1[[#This Row],[Min in stock]],1,""),"")</f>
        <v/>
      </c>
    </row>
    <row r="520" spans="1:29" hidden="1" x14ac:dyDescent="0.25">
      <c r="A520" s="61" t="s">
        <v>1938</v>
      </c>
      <c r="B520" s="34" t="s">
        <v>713</v>
      </c>
      <c r="C520" s="34"/>
      <c r="D520" s="34" t="s">
        <v>1939</v>
      </c>
      <c r="E520" s="34" t="s">
        <v>559</v>
      </c>
      <c r="F520" s="54">
        <v>0</v>
      </c>
      <c r="G520" s="54"/>
      <c r="H520" s="54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1937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7" t="str">
        <f>IF(Table1[[#This Row],[Auto Order]]=1,IF(Table1[[#This Row],[In stock]]&lt;Table1[[#This Row],[Min in stock]],1,""),"")</f>
        <v/>
      </c>
    </row>
    <row r="521" spans="1:29" hidden="1" x14ac:dyDescent="0.25">
      <c r="A521" s="61" t="s">
        <v>2163</v>
      </c>
      <c r="B521" s="34" t="s">
        <v>713</v>
      </c>
      <c r="C521" s="34"/>
      <c r="D521" s="34" t="s">
        <v>2164</v>
      </c>
      <c r="E521" s="34" t="s">
        <v>559</v>
      </c>
      <c r="F521" s="54">
        <v>0</v>
      </c>
      <c r="G521" s="54"/>
      <c r="H521" s="54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2162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7" t="str">
        <f>IF(Table1[[#This Row],[Auto Order]]=1,IF(Table1[[#This Row],[In stock]]&lt;Table1[[#This Row],[Min in stock]],1,""),"")</f>
        <v/>
      </c>
    </row>
    <row r="522" spans="1:29" hidden="1" x14ac:dyDescent="0.25">
      <c r="A522" s="61" t="s">
        <v>2226</v>
      </c>
      <c r="B522" s="34" t="s">
        <v>713</v>
      </c>
      <c r="C522" s="34"/>
      <c r="D522" s="34" t="s">
        <v>2227</v>
      </c>
      <c r="E522" s="34" t="s">
        <v>559</v>
      </c>
      <c r="F522" s="54">
        <v>0</v>
      </c>
      <c r="G522" s="54"/>
      <c r="H522" s="54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2225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7" t="str">
        <f>IF(Table1[[#This Row],[Auto Order]]=1,IF(Table1[[#This Row],[In stock]]&lt;Table1[[#This Row],[Min in stock]],1,""),"")</f>
        <v/>
      </c>
    </row>
    <row r="523" spans="1:29" hidden="1" x14ac:dyDescent="0.25">
      <c r="A523" s="61" t="s">
        <v>2910</v>
      </c>
      <c r="B523" s="34" t="s">
        <v>713</v>
      </c>
      <c r="C523" s="34"/>
      <c r="D523" s="34" t="s">
        <v>2911</v>
      </c>
      <c r="E523" s="34" t="s">
        <v>559</v>
      </c>
      <c r="F523" s="54">
        <v>0</v>
      </c>
      <c r="G523" s="54"/>
      <c r="H523" s="54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2909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7" t="str">
        <f>IF(Table1[[#This Row],[Auto Order]]=1,IF(Table1[[#This Row],[In stock]]&lt;Table1[[#This Row],[Min in stock]],1,""),"")</f>
        <v/>
      </c>
    </row>
    <row r="524" spans="1:29" hidden="1" x14ac:dyDescent="0.25">
      <c r="A524" s="61" t="s">
        <v>2649</v>
      </c>
      <c r="B524" s="34" t="s">
        <v>713</v>
      </c>
      <c r="C524" s="34"/>
      <c r="D524" s="34" t="s">
        <v>2650</v>
      </c>
      <c r="E524" s="34" t="s">
        <v>559</v>
      </c>
      <c r="F524" s="54">
        <v>0</v>
      </c>
      <c r="G524" s="54"/>
      <c r="H524" s="54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2648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7" t="str">
        <f>IF(Table1[[#This Row],[Auto Order]]=1,IF(Table1[[#This Row],[In stock]]&lt;Table1[[#This Row],[Min in stock]],1,""),"")</f>
        <v/>
      </c>
    </row>
    <row r="525" spans="1:29" hidden="1" x14ac:dyDescent="0.25">
      <c r="A525" s="61" t="s">
        <v>2238</v>
      </c>
      <c r="B525" s="34" t="s">
        <v>713</v>
      </c>
      <c r="C525" s="34"/>
      <c r="D525" s="34" t="s">
        <v>2239</v>
      </c>
      <c r="E525" s="34" t="s">
        <v>559</v>
      </c>
      <c r="F525" s="54">
        <v>0</v>
      </c>
      <c r="G525" s="54"/>
      <c r="H525" s="54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2237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7" t="str">
        <f>IF(Table1[[#This Row],[Auto Order]]=1,IF(Table1[[#This Row],[In stock]]&lt;Table1[[#This Row],[Min in stock]],1,""),"")</f>
        <v/>
      </c>
    </row>
    <row r="526" spans="1:29" hidden="1" x14ac:dyDescent="0.25">
      <c r="A526" s="61" t="s">
        <v>2244</v>
      </c>
      <c r="B526" s="34" t="s">
        <v>713</v>
      </c>
      <c r="C526" s="34"/>
      <c r="D526" s="34" t="s">
        <v>2245</v>
      </c>
      <c r="E526" s="34" t="s">
        <v>559</v>
      </c>
      <c r="F526" s="54">
        <v>0</v>
      </c>
      <c r="G526" s="54"/>
      <c r="H526" s="54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2243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7" t="str">
        <f>IF(Table1[[#This Row],[Auto Order]]=1,IF(Table1[[#This Row],[In stock]]&lt;Table1[[#This Row],[Min in stock]],1,""),"")</f>
        <v/>
      </c>
    </row>
    <row r="527" spans="1:29" hidden="1" x14ac:dyDescent="0.25">
      <c r="A527" s="61" t="s">
        <v>2478</v>
      </c>
      <c r="B527" s="34" t="s">
        <v>713</v>
      </c>
      <c r="C527" s="34"/>
      <c r="D527" s="34" t="s">
        <v>2479</v>
      </c>
      <c r="E527" s="34" t="s">
        <v>559</v>
      </c>
      <c r="F527" s="54">
        <v>0</v>
      </c>
      <c r="G527" s="54"/>
      <c r="H527" s="54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2477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7" t="str">
        <f>IF(Table1[[#This Row],[Auto Order]]=1,IF(Table1[[#This Row],[In stock]]&lt;Table1[[#This Row],[Min in stock]],1,""),"")</f>
        <v/>
      </c>
    </row>
    <row r="528" spans="1:29" hidden="1" x14ac:dyDescent="0.25">
      <c r="A528" s="61" t="s">
        <v>2796</v>
      </c>
      <c r="B528" s="34" t="s">
        <v>713</v>
      </c>
      <c r="C528" s="34"/>
      <c r="D528" s="34" t="s">
        <v>2797</v>
      </c>
      <c r="E528" s="34" t="s">
        <v>559</v>
      </c>
      <c r="F528" s="54">
        <v>0</v>
      </c>
      <c r="G528" s="54"/>
      <c r="H528" s="54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2795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7" t="str">
        <f>IF(Table1[[#This Row],[Auto Order]]=1,IF(Table1[[#This Row],[In stock]]&lt;Table1[[#This Row],[Min in stock]],1,""),"")</f>
        <v/>
      </c>
    </row>
    <row r="529" spans="1:29" hidden="1" x14ac:dyDescent="0.25">
      <c r="A529" s="61" t="s">
        <v>2604</v>
      </c>
      <c r="B529" s="34" t="s">
        <v>713</v>
      </c>
      <c r="C529" s="34"/>
      <c r="D529" s="34" t="s">
        <v>2605</v>
      </c>
      <c r="E529" s="34" t="s">
        <v>559</v>
      </c>
      <c r="F529" s="54">
        <v>0</v>
      </c>
      <c r="G529" s="54"/>
      <c r="H529" s="54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2603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7" t="str">
        <f>IF(Table1[[#This Row],[Auto Order]]=1,IF(Table1[[#This Row],[In stock]]&lt;Table1[[#This Row],[Min in stock]],1,""),"")</f>
        <v/>
      </c>
    </row>
    <row r="530" spans="1:29" hidden="1" x14ac:dyDescent="0.25">
      <c r="A530" s="61" t="s">
        <v>2652</v>
      </c>
      <c r="B530" s="34" t="s">
        <v>713</v>
      </c>
      <c r="C530" s="34"/>
      <c r="D530" s="34" t="s">
        <v>2653</v>
      </c>
      <c r="E530" s="34" t="s">
        <v>559</v>
      </c>
      <c r="F530" s="54">
        <v>0</v>
      </c>
      <c r="G530" s="54"/>
      <c r="H530" s="54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2651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7" t="str">
        <f>IF(Table1[[#This Row],[Auto Order]]=1,IF(Table1[[#This Row],[In stock]]&lt;Table1[[#This Row],[Min in stock]],1,""),"")</f>
        <v/>
      </c>
    </row>
    <row r="531" spans="1:29" hidden="1" x14ac:dyDescent="0.25">
      <c r="A531" s="61" t="s">
        <v>1863</v>
      </c>
      <c r="B531" s="34" t="s">
        <v>713</v>
      </c>
      <c r="C531" s="34"/>
      <c r="D531" s="34" t="s">
        <v>1864</v>
      </c>
      <c r="E531" s="34" t="s">
        <v>559</v>
      </c>
      <c r="F531" s="54">
        <v>0</v>
      </c>
      <c r="G531" s="54"/>
      <c r="H531" s="54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1862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7" t="str">
        <f>IF(Table1[[#This Row],[Auto Order]]=1,IF(Table1[[#This Row],[In stock]]&lt;Table1[[#This Row],[Min in stock]],1,""),"")</f>
        <v/>
      </c>
    </row>
    <row r="532" spans="1:29" hidden="1" x14ac:dyDescent="0.25">
      <c r="A532" s="61" t="s">
        <v>2481</v>
      </c>
      <c r="B532" s="34" t="s">
        <v>713</v>
      </c>
      <c r="C532" s="34"/>
      <c r="D532" s="34" t="s">
        <v>2482</v>
      </c>
      <c r="E532" s="34" t="s">
        <v>559</v>
      </c>
      <c r="F532" s="54">
        <v>0</v>
      </c>
      <c r="G532" s="54"/>
      <c r="H532" s="54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2480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7" t="str">
        <f>IF(Table1[[#This Row],[Auto Order]]=1,IF(Table1[[#This Row],[In stock]]&lt;Table1[[#This Row],[Min in stock]],1,""),"")</f>
        <v/>
      </c>
    </row>
    <row r="533" spans="1:29" hidden="1" x14ac:dyDescent="0.25">
      <c r="A533" s="61" t="s">
        <v>2901</v>
      </c>
      <c r="B533" s="34" t="s">
        <v>713</v>
      </c>
      <c r="C533" s="34"/>
      <c r="D533" s="34" t="s">
        <v>2902</v>
      </c>
      <c r="E533" s="34" t="s">
        <v>559</v>
      </c>
      <c r="F533" s="54">
        <v>0</v>
      </c>
      <c r="G533" s="54"/>
      <c r="H533" s="54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2900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7" t="str">
        <f>IF(Table1[[#This Row],[Auto Order]]=1,IF(Table1[[#This Row],[In stock]]&lt;Table1[[#This Row],[Min in stock]],1,""),"")</f>
        <v/>
      </c>
    </row>
    <row r="534" spans="1:29" hidden="1" x14ac:dyDescent="0.25">
      <c r="A534" s="61" t="s">
        <v>2433</v>
      </c>
      <c r="B534" s="34" t="s">
        <v>713</v>
      </c>
      <c r="C534" s="34"/>
      <c r="D534" s="34" t="s">
        <v>2434</v>
      </c>
      <c r="E534" s="34" t="s">
        <v>559</v>
      </c>
      <c r="F534" s="54">
        <v>0</v>
      </c>
      <c r="G534" s="54"/>
      <c r="H534" s="54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2432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7" t="str">
        <f>IF(Table1[[#This Row],[Auto Order]]=1,IF(Table1[[#This Row],[In stock]]&lt;Table1[[#This Row],[Min in stock]],1,""),"")</f>
        <v/>
      </c>
    </row>
    <row r="535" spans="1:29" hidden="1" x14ac:dyDescent="0.25">
      <c r="A535" s="61" t="s">
        <v>2592</v>
      </c>
      <c r="B535" s="34" t="s">
        <v>713</v>
      </c>
      <c r="C535" s="34"/>
      <c r="D535" s="34" t="s">
        <v>2593</v>
      </c>
      <c r="E535" s="34" t="s">
        <v>559</v>
      </c>
      <c r="F535" s="54">
        <v>0</v>
      </c>
      <c r="G535" s="54"/>
      <c r="H535" s="54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2591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7" t="str">
        <f>IF(Table1[[#This Row],[Auto Order]]=1,IF(Table1[[#This Row],[In stock]]&lt;Table1[[#This Row],[Min in stock]],1,""),"")</f>
        <v/>
      </c>
    </row>
    <row r="536" spans="1:29" hidden="1" x14ac:dyDescent="0.25">
      <c r="A536" s="61" t="s">
        <v>2655</v>
      </c>
      <c r="B536" s="34" t="s">
        <v>713</v>
      </c>
      <c r="C536" s="34"/>
      <c r="D536" s="34" t="s">
        <v>2656</v>
      </c>
      <c r="E536" s="34" t="s">
        <v>559</v>
      </c>
      <c r="F536" s="54">
        <v>0</v>
      </c>
      <c r="G536" s="54"/>
      <c r="H536" s="54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2654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7" t="str">
        <f>IF(Table1[[#This Row],[Auto Order]]=1,IF(Table1[[#This Row],[In stock]]&lt;Table1[[#This Row],[Min in stock]],1,""),"")</f>
        <v/>
      </c>
    </row>
    <row r="537" spans="1:29" hidden="1" x14ac:dyDescent="0.25">
      <c r="A537" s="61" t="s">
        <v>2895</v>
      </c>
      <c r="B537" s="34" t="s">
        <v>713</v>
      </c>
      <c r="C537" s="34"/>
      <c r="D537" s="34" t="s">
        <v>2896</v>
      </c>
      <c r="E537" s="34" t="s">
        <v>559</v>
      </c>
      <c r="F537" s="54">
        <v>0</v>
      </c>
      <c r="G537" s="54"/>
      <c r="H537" s="54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2894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7" t="str">
        <f>IF(Table1[[#This Row],[Auto Order]]=1,IF(Table1[[#This Row],[In stock]]&lt;Table1[[#This Row],[Min in stock]],1,""),"")</f>
        <v/>
      </c>
    </row>
    <row r="538" spans="1:29" hidden="1" x14ac:dyDescent="0.25">
      <c r="A538" s="61" t="s">
        <v>2931</v>
      </c>
      <c r="B538" s="34" t="s">
        <v>713</v>
      </c>
      <c r="C538" s="34"/>
      <c r="D538" s="34" t="s">
        <v>2932</v>
      </c>
      <c r="E538" s="34" t="s">
        <v>559</v>
      </c>
      <c r="F538" s="54">
        <v>0</v>
      </c>
      <c r="G538" s="54"/>
      <c r="H538" s="54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2930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7" t="str">
        <f>IF(Table1[[#This Row],[Auto Order]]=1,IF(Table1[[#This Row],[In stock]]&lt;Table1[[#This Row],[Min in stock]],1,""),"")</f>
        <v/>
      </c>
    </row>
    <row r="539" spans="1:29" hidden="1" x14ac:dyDescent="0.25">
      <c r="A539" s="61" t="s">
        <v>2766</v>
      </c>
      <c r="B539" s="34" t="s">
        <v>713</v>
      </c>
      <c r="C539" s="34"/>
      <c r="D539" s="34" t="s">
        <v>2767</v>
      </c>
      <c r="E539" s="34" t="s">
        <v>559</v>
      </c>
      <c r="F539" s="54">
        <v>0</v>
      </c>
      <c r="G539" s="54"/>
      <c r="H539" s="54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2765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7" t="str">
        <f>IF(Table1[[#This Row],[Auto Order]]=1,IF(Table1[[#This Row],[In stock]]&lt;Table1[[#This Row],[Min in stock]],1,""),"")</f>
        <v/>
      </c>
    </row>
    <row r="540" spans="1:29" hidden="1" x14ac:dyDescent="0.25">
      <c r="A540" s="61" t="s">
        <v>2658</v>
      </c>
      <c r="B540" s="34" t="s">
        <v>713</v>
      </c>
      <c r="C540" s="34"/>
      <c r="D540" s="34" t="s">
        <v>2659</v>
      </c>
      <c r="E540" s="34" t="s">
        <v>559</v>
      </c>
      <c r="F540" s="54">
        <v>0</v>
      </c>
      <c r="G540" s="54"/>
      <c r="H540" s="54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2657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7" t="str">
        <f>IF(Table1[[#This Row],[Auto Order]]=1,IF(Table1[[#This Row],[In stock]]&lt;Table1[[#This Row],[Min in stock]],1,""),"")</f>
        <v/>
      </c>
    </row>
    <row r="541" spans="1:29" hidden="1" x14ac:dyDescent="0.25">
      <c r="A541" s="61" t="s">
        <v>2757</v>
      </c>
      <c r="B541" s="34" t="s">
        <v>713</v>
      </c>
      <c r="C541" s="34"/>
      <c r="D541" s="34" t="s">
        <v>2758</v>
      </c>
      <c r="E541" s="34" t="s">
        <v>559</v>
      </c>
      <c r="F541" s="54">
        <v>0</v>
      </c>
      <c r="G541" s="54"/>
      <c r="H541" s="54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2756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7" t="str">
        <f>IF(Table1[[#This Row],[Auto Order]]=1,IF(Table1[[#This Row],[In stock]]&lt;Table1[[#This Row],[Min in stock]],1,""),"")</f>
        <v/>
      </c>
    </row>
    <row r="542" spans="1:29" hidden="1" x14ac:dyDescent="0.25">
      <c r="A542" s="61" t="s">
        <v>2205</v>
      </c>
      <c r="B542" s="34" t="s">
        <v>713</v>
      </c>
      <c r="C542" s="34"/>
      <c r="D542" s="34" t="s">
        <v>2206</v>
      </c>
      <c r="E542" s="34" t="s">
        <v>559</v>
      </c>
      <c r="F542" s="54">
        <v>0</v>
      </c>
      <c r="G542" s="54"/>
      <c r="H542" s="54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2204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7" t="str">
        <f>IF(Table1[[#This Row],[Auto Order]]=1,IF(Table1[[#This Row],[In stock]]&lt;Table1[[#This Row],[Min in stock]],1,""),"")</f>
        <v/>
      </c>
    </row>
    <row r="543" spans="1:29" hidden="1" x14ac:dyDescent="0.25">
      <c r="A543" s="61" t="s">
        <v>2220</v>
      </c>
      <c r="B543" s="34" t="s">
        <v>713</v>
      </c>
      <c r="C543" s="34"/>
      <c r="D543" s="34" t="s">
        <v>2221</v>
      </c>
      <c r="E543" s="34" t="s">
        <v>559</v>
      </c>
      <c r="F543" s="54">
        <v>0</v>
      </c>
      <c r="G543" s="54"/>
      <c r="H543" s="54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2219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7" t="str">
        <f>IF(Table1[[#This Row],[Auto Order]]=1,IF(Table1[[#This Row],[In stock]]&lt;Table1[[#This Row],[Min in stock]],1,""),"")</f>
        <v/>
      </c>
    </row>
    <row r="544" spans="1:29" hidden="1" x14ac:dyDescent="0.25">
      <c r="A544" s="61" t="s">
        <v>2367</v>
      </c>
      <c r="B544" s="34" t="s">
        <v>713</v>
      </c>
      <c r="C544" s="34"/>
      <c r="D544" s="34" t="s">
        <v>2368</v>
      </c>
      <c r="E544" s="34" t="s">
        <v>559</v>
      </c>
      <c r="F544" s="54">
        <v>0</v>
      </c>
      <c r="G544" s="54"/>
      <c r="H544" s="54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2366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7" t="str">
        <f>IF(Table1[[#This Row],[Auto Order]]=1,IF(Table1[[#This Row],[In stock]]&lt;Table1[[#This Row],[Min in stock]],1,""),"")</f>
        <v/>
      </c>
    </row>
    <row r="545" spans="1:29" hidden="1" x14ac:dyDescent="0.25">
      <c r="A545" s="61" t="s">
        <v>1956</v>
      </c>
      <c r="B545" s="34" t="s">
        <v>713</v>
      </c>
      <c r="C545" s="34"/>
      <c r="D545" s="34" t="s">
        <v>1957</v>
      </c>
      <c r="E545" s="34" t="s">
        <v>559</v>
      </c>
      <c r="F545" s="54">
        <v>0</v>
      </c>
      <c r="G545" s="54"/>
      <c r="H545" s="54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1955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7" t="str">
        <f>IF(Table1[[#This Row],[Auto Order]]=1,IF(Table1[[#This Row],[In stock]]&lt;Table1[[#This Row],[Min in stock]],1,""),"")</f>
        <v/>
      </c>
    </row>
    <row r="546" spans="1:29" hidden="1" x14ac:dyDescent="0.25">
      <c r="A546" s="61" t="s">
        <v>2100</v>
      </c>
      <c r="B546" s="34" t="s">
        <v>713</v>
      </c>
      <c r="C546" s="34"/>
      <c r="D546" s="34" t="s">
        <v>2101</v>
      </c>
      <c r="E546" s="34" t="s">
        <v>559</v>
      </c>
      <c r="F546" s="54">
        <v>0</v>
      </c>
      <c r="G546" s="54"/>
      <c r="H546" s="54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2099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7" t="str">
        <f>IF(Table1[[#This Row],[Auto Order]]=1,IF(Table1[[#This Row],[In stock]]&lt;Table1[[#This Row],[Min in stock]],1,""),"")</f>
        <v/>
      </c>
    </row>
    <row r="547" spans="1:29" hidden="1" x14ac:dyDescent="0.25">
      <c r="A547" s="61" t="s">
        <v>2790</v>
      </c>
      <c r="B547" s="34" t="s">
        <v>713</v>
      </c>
      <c r="C547" s="34"/>
      <c r="D547" s="34" t="s">
        <v>2791</v>
      </c>
      <c r="E547" s="34" t="s">
        <v>559</v>
      </c>
      <c r="F547" s="54">
        <v>0</v>
      </c>
      <c r="G547" s="54"/>
      <c r="H547" s="54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2789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7" t="str">
        <f>IF(Table1[[#This Row],[Auto Order]]=1,IF(Table1[[#This Row],[In stock]]&lt;Table1[[#This Row],[Min in stock]],1,""),"")</f>
        <v/>
      </c>
    </row>
    <row r="548" spans="1:29" hidden="1" x14ac:dyDescent="0.25">
      <c r="A548" s="61" t="s">
        <v>2661</v>
      </c>
      <c r="B548" s="34" t="s">
        <v>713</v>
      </c>
      <c r="C548" s="34"/>
      <c r="D548" s="34" t="s">
        <v>2662</v>
      </c>
      <c r="E548" s="34" t="s">
        <v>559</v>
      </c>
      <c r="F548" s="54">
        <v>0</v>
      </c>
      <c r="G548" s="54"/>
      <c r="H548" s="54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2660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7" t="str">
        <f>IF(Table1[[#This Row],[Auto Order]]=1,IF(Table1[[#This Row],[In stock]]&lt;Table1[[#This Row],[Min in stock]],1,""),"")</f>
        <v/>
      </c>
    </row>
    <row r="549" spans="1:29" hidden="1" x14ac:dyDescent="0.25">
      <c r="A549" s="61" t="s">
        <v>2787</v>
      </c>
      <c r="B549" s="34" t="s">
        <v>713</v>
      </c>
      <c r="C549" s="34"/>
      <c r="D549" s="34" t="s">
        <v>2788</v>
      </c>
      <c r="E549" s="34" t="s">
        <v>559</v>
      </c>
      <c r="F549" s="54">
        <v>0</v>
      </c>
      <c r="G549" s="54"/>
      <c r="H549" s="54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2786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7" t="str">
        <f>IF(Table1[[#This Row],[Auto Order]]=1,IF(Table1[[#This Row],[In stock]]&lt;Table1[[#This Row],[Min in stock]],1,""),"")</f>
        <v/>
      </c>
    </row>
    <row r="550" spans="1:29" hidden="1" x14ac:dyDescent="0.25">
      <c r="A550" s="61" t="s">
        <v>1830</v>
      </c>
      <c r="B550" s="34" t="s">
        <v>713</v>
      </c>
      <c r="C550" s="34"/>
      <c r="D550" s="34" t="s">
        <v>1831</v>
      </c>
      <c r="E550" s="34" t="s">
        <v>559</v>
      </c>
      <c r="F550" s="54">
        <v>0</v>
      </c>
      <c r="G550" s="54"/>
      <c r="H550" s="54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1829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7" t="str">
        <f>IF(Table1[[#This Row],[Auto Order]]=1,IF(Table1[[#This Row],[In stock]]&lt;Table1[[#This Row],[Min in stock]],1,""),"")</f>
        <v/>
      </c>
    </row>
    <row r="551" spans="1:29" hidden="1" x14ac:dyDescent="0.25">
      <c r="A551" s="61" t="s">
        <v>2484</v>
      </c>
      <c r="B551" s="34" t="s">
        <v>713</v>
      </c>
      <c r="C551" s="34"/>
      <c r="D551" s="34" t="s">
        <v>2485</v>
      </c>
      <c r="E551" s="34" t="s">
        <v>559</v>
      </c>
      <c r="F551" s="54">
        <v>0</v>
      </c>
      <c r="G551" s="54"/>
      <c r="H551" s="54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2483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7" t="str">
        <f>IF(Table1[[#This Row],[Auto Order]]=1,IF(Table1[[#This Row],[In stock]]&lt;Table1[[#This Row],[Min in stock]],1,""),"")</f>
        <v/>
      </c>
    </row>
    <row r="552" spans="1:29" hidden="1" x14ac:dyDescent="0.25">
      <c r="A552" s="61" t="s">
        <v>2694</v>
      </c>
      <c r="B552" s="34" t="s">
        <v>713</v>
      </c>
      <c r="C552" s="34"/>
      <c r="D552" s="34" t="s">
        <v>2695</v>
      </c>
      <c r="E552" s="34" t="s">
        <v>559</v>
      </c>
      <c r="F552" s="54">
        <v>0</v>
      </c>
      <c r="G552" s="54"/>
      <c r="H552" s="54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2693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7" t="str">
        <f>IF(Table1[[#This Row],[Auto Order]]=1,IF(Table1[[#This Row],[In stock]]&lt;Table1[[#This Row],[Min in stock]],1,""),"")</f>
        <v/>
      </c>
    </row>
    <row r="553" spans="1:29" hidden="1" x14ac:dyDescent="0.25">
      <c r="A553" s="61" t="s">
        <v>2664</v>
      </c>
      <c r="B553" s="34" t="s">
        <v>713</v>
      </c>
      <c r="C553" s="34"/>
      <c r="D553" s="34" t="s">
        <v>2665</v>
      </c>
      <c r="E553" s="34" t="s">
        <v>559</v>
      </c>
      <c r="F553" s="54">
        <v>0</v>
      </c>
      <c r="G553" s="54"/>
      <c r="H553" s="54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2663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7" t="str">
        <f>IF(Table1[[#This Row],[Auto Order]]=1,IF(Table1[[#This Row],[In stock]]&lt;Table1[[#This Row],[Min in stock]],1,""),"")</f>
        <v/>
      </c>
    </row>
    <row r="554" spans="1:29" hidden="1" x14ac:dyDescent="0.25">
      <c r="A554" s="61" t="s">
        <v>2487</v>
      </c>
      <c r="B554" s="34" t="s">
        <v>713</v>
      </c>
      <c r="C554" s="34"/>
      <c r="D554" s="34" t="s">
        <v>2488</v>
      </c>
      <c r="E554" s="34" t="s">
        <v>559</v>
      </c>
      <c r="F554" s="54">
        <v>0</v>
      </c>
      <c r="G554" s="54"/>
      <c r="H554" s="54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2486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7" t="str">
        <f>IF(Table1[[#This Row],[Auto Order]]=1,IF(Table1[[#This Row],[In stock]]&lt;Table1[[#This Row],[Min in stock]],1,""),"")</f>
        <v/>
      </c>
    </row>
    <row r="555" spans="1:29" hidden="1" x14ac:dyDescent="0.25">
      <c r="A555" s="61" t="s">
        <v>2490</v>
      </c>
      <c r="B555" s="34" t="s">
        <v>713</v>
      </c>
      <c r="C555" s="34"/>
      <c r="D555" s="34" t="s">
        <v>2491</v>
      </c>
      <c r="E555" s="34" t="s">
        <v>559</v>
      </c>
      <c r="F555" s="54">
        <v>0</v>
      </c>
      <c r="G555" s="54"/>
      <c r="H555" s="54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2489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7" t="str">
        <f>IF(Table1[[#This Row],[Auto Order]]=1,IF(Table1[[#This Row],[In stock]]&lt;Table1[[#This Row],[Min in stock]],1,""),"")</f>
        <v/>
      </c>
    </row>
    <row r="556" spans="1:29" hidden="1" x14ac:dyDescent="0.25">
      <c r="A556" s="61" t="s">
        <v>2814</v>
      </c>
      <c r="B556" s="34" t="s">
        <v>713</v>
      </c>
      <c r="C556" s="34"/>
      <c r="D556" s="34" t="s">
        <v>2815</v>
      </c>
      <c r="E556" s="34" t="s">
        <v>559</v>
      </c>
      <c r="F556" s="54">
        <v>0</v>
      </c>
      <c r="G556" s="54"/>
      <c r="H556" s="54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2813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7" t="str">
        <f>IF(Table1[[#This Row],[Auto Order]]=1,IF(Table1[[#This Row],[In stock]]&lt;Table1[[#This Row],[Min in stock]],1,""),"")</f>
        <v/>
      </c>
    </row>
    <row r="557" spans="1:29" hidden="1" x14ac:dyDescent="0.25">
      <c r="A557" s="61" t="s">
        <v>2493</v>
      </c>
      <c r="B557" s="34" t="s">
        <v>713</v>
      </c>
      <c r="C557" s="34"/>
      <c r="D557" s="34" t="s">
        <v>2494</v>
      </c>
      <c r="E557" s="34" t="s">
        <v>559</v>
      </c>
      <c r="F557" s="54">
        <v>0</v>
      </c>
      <c r="G557" s="54"/>
      <c r="H557" s="54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2492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7" t="str">
        <f>IF(Table1[[#This Row],[Auto Order]]=1,IF(Table1[[#This Row],[In stock]]&lt;Table1[[#This Row],[Min in stock]],1,""),"")</f>
        <v/>
      </c>
    </row>
    <row r="558" spans="1:29" hidden="1" x14ac:dyDescent="0.25">
      <c r="A558" s="61" t="s">
        <v>2496</v>
      </c>
      <c r="B558" s="34" t="s">
        <v>713</v>
      </c>
      <c r="C558" s="34"/>
      <c r="D558" s="34" t="s">
        <v>2497</v>
      </c>
      <c r="E558" s="34" t="s">
        <v>559</v>
      </c>
      <c r="F558" s="54">
        <v>0</v>
      </c>
      <c r="G558" s="54"/>
      <c r="H558" s="54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2495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7" t="str">
        <f>IF(Table1[[#This Row],[Auto Order]]=1,IF(Table1[[#This Row],[In stock]]&lt;Table1[[#This Row],[Min in stock]],1,""),"")</f>
        <v/>
      </c>
    </row>
    <row r="559" spans="1:29" hidden="1" x14ac:dyDescent="0.25">
      <c r="A559" s="61" t="s">
        <v>2763</v>
      </c>
      <c r="B559" s="34" t="s">
        <v>713</v>
      </c>
      <c r="C559" s="34"/>
      <c r="D559" s="34" t="s">
        <v>2764</v>
      </c>
      <c r="E559" s="34" t="s">
        <v>559</v>
      </c>
      <c r="F559" s="54">
        <v>0</v>
      </c>
      <c r="G559" s="54"/>
      <c r="H559" s="54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2762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7" t="str">
        <f>IF(Table1[[#This Row],[Auto Order]]=1,IF(Table1[[#This Row],[In stock]]&lt;Table1[[#This Row],[Min in stock]],1,""),"")</f>
        <v/>
      </c>
    </row>
    <row r="560" spans="1:29" hidden="1" x14ac:dyDescent="0.25">
      <c r="A560" s="61" t="s">
        <v>1487</v>
      </c>
      <c r="B560" s="34" t="s">
        <v>713</v>
      </c>
      <c r="C560" s="34"/>
      <c r="D560" s="34" t="s">
        <v>252</v>
      </c>
      <c r="E560" s="34" t="s">
        <v>559</v>
      </c>
      <c r="F560" s="54">
        <v>0</v>
      </c>
      <c r="G560" s="54"/>
      <c r="H560" s="54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1486</v>
      </c>
      <c r="M560" s="42">
        <v>0.18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7" t="str">
        <f>IF(Table1[[#This Row],[Auto Order]]=1,IF(Table1[[#This Row],[In stock]]&lt;Table1[[#This Row],[Min in stock]],1,""),"")</f>
        <v/>
      </c>
    </row>
    <row r="561" spans="1:29" hidden="1" x14ac:dyDescent="0.25">
      <c r="A561" s="61" t="s">
        <v>1282</v>
      </c>
      <c r="B561" s="34" t="s">
        <v>713</v>
      </c>
      <c r="C561" s="34"/>
      <c r="D561" s="34" t="s">
        <v>648</v>
      </c>
      <c r="E561" s="34" t="s">
        <v>559</v>
      </c>
      <c r="F561" s="54">
        <v>0</v>
      </c>
      <c r="G561" s="54"/>
      <c r="H561" s="54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1281</v>
      </c>
      <c r="M561" s="42">
        <v>0.18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7" t="str">
        <f>IF(Table1[[#This Row],[Auto Order]]=1,IF(Table1[[#This Row],[In stock]]&lt;Table1[[#This Row],[Min in stock]],1,""),"")</f>
        <v/>
      </c>
    </row>
    <row r="562" spans="1:29" hidden="1" x14ac:dyDescent="0.25">
      <c r="A562" s="61" t="s">
        <v>718</v>
      </c>
      <c r="B562" s="34" t="s">
        <v>713</v>
      </c>
      <c r="C562" s="34"/>
      <c r="D562" s="34" t="s">
        <v>597</v>
      </c>
      <c r="E562" s="34" t="s">
        <v>559</v>
      </c>
      <c r="F562" s="54">
        <v>0</v>
      </c>
      <c r="G562" s="54"/>
      <c r="H562" s="54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717</v>
      </c>
      <c r="M562" s="42">
        <v>0.18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7" t="str">
        <f>IF(Table1[[#This Row],[Auto Order]]=1,IF(Table1[[#This Row],[In stock]]&lt;Table1[[#This Row],[Min in stock]],1,""),"")</f>
        <v/>
      </c>
    </row>
    <row r="563" spans="1:29" hidden="1" x14ac:dyDescent="0.25">
      <c r="A563" s="61" t="s">
        <v>722</v>
      </c>
      <c r="B563" s="34" t="s">
        <v>713</v>
      </c>
      <c r="C563" s="34"/>
      <c r="D563" s="34" t="s">
        <v>690</v>
      </c>
      <c r="E563" s="34" t="s">
        <v>559</v>
      </c>
      <c r="F563" s="54">
        <v>0</v>
      </c>
      <c r="G563" s="54"/>
      <c r="H563" s="54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721</v>
      </c>
      <c r="M563" s="42">
        <v>0.18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7" t="str">
        <f>IF(Table1[[#This Row],[Auto Order]]=1,IF(Table1[[#This Row],[In stock]]&lt;Table1[[#This Row],[Min in stock]],1,""),"")</f>
        <v/>
      </c>
    </row>
    <row r="564" spans="1:29" hidden="1" x14ac:dyDescent="0.25">
      <c r="A564" s="61" t="s">
        <v>727</v>
      </c>
      <c r="B564" s="34" t="s">
        <v>713</v>
      </c>
      <c r="C564" s="34"/>
      <c r="D564" s="34" t="s">
        <v>699</v>
      </c>
      <c r="E564" s="34" t="s">
        <v>559</v>
      </c>
      <c r="F564" s="54">
        <v>0</v>
      </c>
      <c r="G564" s="54"/>
      <c r="H564" s="54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726</v>
      </c>
      <c r="M564" s="42">
        <v>0.18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7" t="str">
        <f>IF(Table1[[#This Row],[Auto Order]]=1,IF(Table1[[#This Row],[In stock]]&lt;Table1[[#This Row],[Min in stock]],1,""),"")</f>
        <v/>
      </c>
    </row>
    <row r="565" spans="1:29" hidden="1" x14ac:dyDescent="0.25">
      <c r="A565" s="61" t="s">
        <v>1769</v>
      </c>
      <c r="B565" s="34" t="s">
        <v>713</v>
      </c>
      <c r="C565" s="34"/>
      <c r="D565" s="34" t="s">
        <v>1770</v>
      </c>
      <c r="E565" s="34" t="s">
        <v>559</v>
      </c>
      <c r="F565" s="54">
        <v>0</v>
      </c>
      <c r="G565" s="54"/>
      <c r="H565" s="54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1768</v>
      </c>
      <c r="M565" s="42">
        <v>0.18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7" t="str">
        <f>IF(Table1[[#This Row],[Auto Order]]=1,IF(Table1[[#This Row],[In stock]]&lt;Table1[[#This Row],[Min in stock]],1,""),"")</f>
        <v/>
      </c>
    </row>
    <row r="566" spans="1:29" hidden="1" x14ac:dyDescent="0.25">
      <c r="A566" s="61" t="s">
        <v>1287</v>
      </c>
      <c r="B566" s="34" t="s">
        <v>713</v>
      </c>
      <c r="C566" s="34"/>
      <c r="D566" s="34" t="s">
        <v>1288</v>
      </c>
      <c r="E566" s="34" t="s">
        <v>559</v>
      </c>
      <c r="F566" s="54">
        <v>0</v>
      </c>
      <c r="G566" s="54"/>
      <c r="H566" s="54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1286</v>
      </c>
      <c r="M566" s="42">
        <v>0.18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7" t="str">
        <f>IF(Table1[[#This Row],[Auto Order]]=1,IF(Table1[[#This Row],[In stock]]&lt;Table1[[#This Row],[Min in stock]],1,""),"")</f>
        <v/>
      </c>
    </row>
    <row r="567" spans="1:29" hidden="1" x14ac:dyDescent="0.25">
      <c r="A567" s="61" t="s">
        <v>1550</v>
      </c>
      <c r="B567" s="34" t="s">
        <v>713</v>
      </c>
      <c r="C567" s="34"/>
      <c r="D567" s="34" t="s">
        <v>1551</v>
      </c>
      <c r="E567" s="34" t="s">
        <v>559</v>
      </c>
      <c r="F567" s="54">
        <v>0</v>
      </c>
      <c r="G567" s="54"/>
      <c r="H567" s="54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1549</v>
      </c>
      <c r="M567" s="42">
        <v>0.18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7" t="str">
        <f>IF(Table1[[#This Row],[Auto Order]]=1,IF(Table1[[#This Row],[In stock]]&lt;Table1[[#This Row],[Min in stock]],1,""),"")</f>
        <v/>
      </c>
    </row>
    <row r="568" spans="1:29" hidden="1" x14ac:dyDescent="0.25">
      <c r="A568" s="61" t="s">
        <v>1199</v>
      </c>
      <c r="B568" s="34" t="s">
        <v>713</v>
      </c>
      <c r="C568" s="34"/>
      <c r="D568" s="34" t="s">
        <v>1200</v>
      </c>
      <c r="E568" s="34" t="s">
        <v>559</v>
      </c>
      <c r="F568" s="54">
        <v>0</v>
      </c>
      <c r="G568" s="54"/>
      <c r="H568" s="54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1198</v>
      </c>
      <c r="M568" s="42">
        <v>0.18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7" t="str">
        <f>IF(Table1[[#This Row],[Auto Order]]=1,IF(Table1[[#This Row],[In stock]]&lt;Table1[[#This Row],[Min in stock]],1,""),"")</f>
        <v/>
      </c>
    </row>
    <row r="569" spans="1:29" hidden="1" x14ac:dyDescent="0.25">
      <c r="A569" s="61" t="s">
        <v>934</v>
      </c>
      <c r="B569" s="34" t="s">
        <v>713</v>
      </c>
      <c r="C569" s="34"/>
      <c r="D569" s="34" t="s">
        <v>935</v>
      </c>
      <c r="E569" s="34" t="s">
        <v>559</v>
      </c>
      <c r="F569" s="54">
        <v>0</v>
      </c>
      <c r="G569" s="54"/>
      <c r="H569" s="54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933</v>
      </c>
      <c r="M569" s="42">
        <v>0.18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7" t="str">
        <f>IF(Table1[[#This Row],[Auto Order]]=1,IF(Table1[[#This Row],[In stock]]&lt;Table1[[#This Row],[Min in stock]],1,""),"")</f>
        <v/>
      </c>
    </row>
    <row r="570" spans="1:29" hidden="1" x14ac:dyDescent="0.25">
      <c r="A570" s="61" t="s">
        <v>758</v>
      </c>
      <c r="B570" s="34" t="s">
        <v>713</v>
      </c>
      <c r="C570" s="34"/>
      <c r="D570" s="34" t="s">
        <v>615</v>
      </c>
      <c r="E570" s="34" t="s">
        <v>559</v>
      </c>
      <c r="F570" s="54">
        <v>0</v>
      </c>
      <c r="G570" s="54"/>
      <c r="H570" s="54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757</v>
      </c>
      <c r="M570" s="42">
        <v>0.18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7" t="str">
        <f>IF(Table1[[#This Row],[Auto Order]]=1,IF(Table1[[#This Row],[In stock]]&lt;Table1[[#This Row],[Min in stock]],1,""),"")</f>
        <v/>
      </c>
    </row>
    <row r="571" spans="1:29" hidden="1" x14ac:dyDescent="0.25">
      <c r="A571" s="61" t="s">
        <v>1691</v>
      </c>
      <c r="B571" s="34" t="s">
        <v>713</v>
      </c>
      <c r="C571" s="34"/>
      <c r="D571" s="34" t="s">
        <v>1692</v>
      </c>
      <c r="E571" s="34" t="s">
        <v>559</v>
      </c>
      <c r="F571" s="54">
        <v>0</v>
      </c>
      <c r="G571" s="54"/>
      <c r="H571" s="54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1690</v>
      </c>
      <c r="M571" s="42">
        <v>0.18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7" t="str">
        <f>IF(Table1[[#This Row],[Auto Order]]=1,IF(Table1[[#This Row],[In stock]]&lt;Table1[[#This Row],[Min in stock]],1,""),"")</f>
        <v/>
      </c>
    </row>
    <row r="572" spans="1:29" hidden="1" x14ac:dyDescent="0.25">
      <c r="A572" s="61" t="s">
        <v>1311</v>
      </c>
      <c r="B572" s="34" t="s">
        <v>713</v>
      </c>
      <c r="C572" s="34"/>
      <c r="D572" s="34" t="s">
        <v>1312</v>
      </c>
      <c r="E572" s="34" t="s">
        <v>559</v>
      </c>
      <c r="F572" s="54">
        <v>0</v>
      </c>
      <c r="G572" s="54"/>
      <c r="H572" s="54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1310</v>
      </c>
      <c r="M572" s="42">
        <v>0.18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7" t="str">
        <f>IF(Table1[[#This Row],[Auto Order]]=1,IF(Table1[[#This Row],[In stock]]&lt;Table1[[#This Row],[Min in stock]],1,""),"")</f>
        <v/>
      </c>
    </row>
    <row r="573" spans="1:29" hidden="1" x14ac:dyDescent="0.25">
      <c r="A573" s="61" t="s">
        <v>841</v>
      </c>
      <c r="B573" s="34" t="s">
        <v>713</v>
      </c>
      <c r="C573" s="34"/>
      <c r="D573" s="34" t="s">
        <v>842</v>
      </c>
      <c r="E573" s="34" t="s">
        <v>559</v>
      </c>
      <c r="F573" s="54">
        <v>0</v>
      </c>
      <c r="G573" s="54"/>
      <c r="H573" s="54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840</v>
      </c>
      <c r="M573" s="42">
        <v>0.18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7" t="str">
        <f>IF(Table1[[#This Row],[Auto Order]]=1,IF(Table1[[#This Row],[In stock]]&lt;Table1[[#This Row],[Min in stock]],1,""),"")</f>
        <v/>
      </c>
    </row>
    <row r="574" spans="1:29" hidden="1" x14ac:dyDescent="0.25">
      <c r="A574" s="61" t="s">
        <v>1365</v>
      </c>
      <c r="B574" s="34" t="s">
        <v>713</v>
      </c>
      <c r="C574" s="34"/>
      <c r="D574" s="34" t="s">
        <v>1366</v>
      </c>
      <c r="E574" s="34" t="s">
        <v>559</v>
      </c>
      <c r="F574" s="54">
        <v>0</v>
      </c>
      <c r="G574" s="54"/>
      <c r="H574" s="54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1364</v>
      </c>
      <c r="M574" s="42">
        <v>0.18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7" t="str">
        <f>IF(Table1[[#This Row],[Auto Order]]=1,IF(Table1[[#This Row],[In stock]]&lt;Table1[[#This Row],[Min in stock]],1,""),"")</f>
        <v/>
      </c>
    </row>
    <row r="575" spans="1:29" hidden="1" x14ac:dyDescent="0.25">
      <c r="A575" s="61" t="s">
        <v>1308</v>
      </c>
      <c r="B575" s="34" t="s">
        <v>713</v>
      </c>
      <c r="C575" s="34"/>
      <c r="D575" s="34" t="s">
        <v>1309</v>
      </c>
      <c r="E575" s="34" t="s">
        <v>559</v>
      </c>
      <c r="F575" s="54">
        <v>0</v>
      </c>
      <c r="G575" s="54"/>
      <c r="H575" s="54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1307</v>
      </c>
      <c r="M575" s="42">
        <v>0.18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7" t="str">
        <f>IF(Table1[[#This Row],[Auto Order]]=1,IF(Table1[[#This Row],[In stock]]&lt;Table1[[#This Row],[Min in stock]],1,""),"")</f>
        <v/>
      </c>
    </row>
    <row r="576" spans="1:29" hidden="1" x14ac:dyDescent="0.25">
      <c r="A576" s="61" t="s">
        <v>1178</v>
      </c>
      <c r="B576" s="34" t="s">
        <v>713</v>
      </c>
      <c r="C576" s="34"/>
      <c r="D576" s="34" t="s">
        <v>1179</v>
      </c>
      <c r="E576" s="34" t="s">
        <v>559</v>
      </c>
      <c r="F576" s="54">
        <v>0</v>
      </c>
      <c r="G576" s="54"/>
      <c r="H576" s="54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1177</v>
      </c>
      <c r="M576" s="42">
        <v>0.18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7" t="str">
        <f>IF(Table1[[#This Row],[Auto Order]]=1,IF(Table1[[#This Row],[In stock]]&lt;Table1[[#This Row],[Min in stock]],1,""),"")</f>
        <v/>
      </c>
    </row>
    <row r="577" spans="1:29" hidden="1" x14ac:dyDescent="0.25">
      <c r="A577" s="61" t="s">
        <v>1157</v>
      </c>
      <c r="B577" s="34" t="s">
        <v>713</v>
      </c>
      <c r="C577" s="34"/>
      <c r="D577" s="34" t="s">
        <v>1158</v>
      </c>
      <c r="E577" s="34" t="s">
        <v>559</v>
      </c>
      <c r="F577" s="54">
        <v>0</v>
      </c>
      <c r="G577" s="54"/>
      <c r="H577" s="54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1156</v>
      </c>
      <c r="M577" s="42">
        <v>0.18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7" t="str">
        <f>IF(Table1[[#This Row],[Auto Order]]=1,IF(Table1[[#This Row],[In stock]]&lt;Table1[[#This Row],[Min in stock]],1,""),"")</f>
        <v/>
      </c>
    </row>
    <row r="578" spans="1:29" hidden="1" x14ac:dyDescent="0.25">
      <c r="A578" s="61" t="s">
        <v>1553</v>
      </c>
      <c r="B578" s="34" t="s">
        <v>713</v>
      </c>
      <c r="C578" s="34"/>
      <c r="D578" s="34" t="s">
        <v>1554</v>
      </c>
      <c r="E578" s="34" t="s">
        <v>559</v>
      </c>
      <c r="F578" s="54">
        <v>0</v>
      </c>
      <c r="G578" s="54"/>
      <c r="H578" s="54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1552</v>
      </c>
      <c r="M578" s="42">
        <v>0.18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7" t="str">
        <f>IF(Table1[[#This Row],[Auto Order]]=1,IF(Table1[[#This Row],[In stock]]&lt;Table1[[#This Row],[Min in stock]],1,""),"")</f>
        <v/>
      </c>
    </row>
    <row r="579" spans="1:29" hidden="1" x14ac:dyDescent="0.25">
      <c r="A579" s="61" t="s">
        <v>1556</v>
      </c>
      <c r="B579" s="34" t="s">
        <v>713</v>
      </c>
      <c r="C579" s="34"/>
      <c r="D579" s="34" t="s">
        <v>1557</v>
      </c>
      <c r="E579" s="34" t="s">
        <v>559</v>
      </c>
      <c r="F579" s="54">
        <v>0</v>
      </c>
      <c r="G579" s="54"/>
      <c r="H579" s="54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1555</v>
      </c>
      <c r="M579" s="42">
        <v>0.18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7" t="str">
        <f>IF(Table1[[#This Row],[Auto Order]]=1,IF(Table1[[#This Row],[In stock]]&lt;Table1[[#This Row],[Min in stock]],1,""),"")</f>
        <v/>
      </c>
    </row>
    <row r="580" spans="1:29" hidden="1" x14ac:dyDescent="0.25">
      <c r="A580" s="61" t="s">
        <v>1442</v>
      </c>
      <c r="B580" s="34" t="s">
        <v>713</v>
      </c>
      <c r="C580" s="34"/>
      <c r="D580" s="34" t="s">
        <v>1443</v>
      </c>
      <c r="E580" s="34" t="s">
        <v>559</v>
      </c>
      <c r="F580" s="54">
        <v>0</v>
      </c>
      <c r="G580" s="54"/>
      <c r="H580" s="54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1441</v>
      </c>
      <c r="M580" s="42">
        <v>0.18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7" t="str">
        <f>IF(Table1[[#This Row],[Auto Order]]=1,IF(Table1[[#This Row],[In stock]]&lt;Table1[[#This Row],[Min in stock]],1,""),"")</f>
        <v/>
      </c>
    </row>
    <row r="581" spans="1:29" hidden="1" x14ac:dyDescent="0.25">
      <c r="A581" s="61" t="s">
        <v>793</v>
      </c>
      <c r="B581" s="34" t="s">
        <v>713</v>
      </c>
      <c r="C581" s="34"/>
      <c r="D581" s="34" t="s">
        <v>794</v>
      </c>
      <c r="E581" s="34" t="s">
        <v>559</v>
      </c>
      <c r="F581" s="54">
        <v>0</v>
      </c>
      <c r="G581" s="54"/>
      <c r="H581" s="54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792</v>
      </c>
      <c r="M581" s="42">
        <v>0.18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7" t="str">
        <f>IF(Table1[[#This Row],[Auto Order]]=1,IF(Table1[[#This Row],[In stock]]&lt;Table1[[#This Row],[Min in stock]],1,""),"")</f>
        <v/>
      </c>
    </row>
    <row r="582" spans="1:29" hidden="1" x14ac:dyDescent="0.25">
      <c r="A582" s="61" t="s">
        <v>1745</v>
      </c>
      <c r="B582" s="34" t="s">
        <v>713</v>
      </c>
      <c r="C582" s="34"/>
      <c r="D582" s="34" t="s">
        <v>1746</v>
      </c>
      <c r="E582" s="34" t="s">
        <v>559</v>
      </c>
      <c r="F582" s="54">
        <v>0</v>
      </c>
      <c r="G582" s="54"/>
      <c r="H582" s="54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1744</v>
      </c>
      <c r="M582" s="42">
        <v>0.18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7" t="str">
        <f>IF(Table1[[#This Row],[Auto Order]]=1,IF(Table1[[#This Row],[In stock]]&lt;Table1[[#This Row],[Min in stock]],1,""),"")</f>
        <v/>
      </c>
    </row>
    <row r="583" spans="1:29" hidden="1" x14ac:dyDescent="0.25">
      <c r="A583" s="61" t="s">
        <v>778</v>
      </c>
      <c r="B583" s="34" t="s">
        <v>713</v>
      </c>
      <c r="C583" s="34"/>
      <c r="D583" s="34" t="s">
        <v>779</v>
      </c>
      <c r="E583" s="34" t="s">
        <v>559</v>
      </c>
      <c r="F583" s="54">
        <v>0</v>
      </c>
      <c r="G583" s="54"/>
      <c r="H583" s="54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777</v>
      </c>
      <c r="M583" s="42">
        <v>0.18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7" t="str">
        <f>IF(Table1[[#This Row],[Auto Order]]=1,IF(Table1[[#This Row],[In stock]]&lt;Table1[[#This Row],[Min in stock]],1,""),"")</f>
        <v/>
      </c>
    </row>
    <row r="584" spans="1:29" hidden="1" x14ac:dyDescent="0.25">
      <c r="A584" s="61" t="s">
        <v>1394</v>
      </c>
      <c r="B584" s="34" t="s">
        <v>713</v>
      </c>
      <c r="C584" s="34"/>
      <c r="D584" s="34" t="s">
        <v>1395</v>
      </c>
      <c r="E584" s="34" t="s">
        <v>559</v>
      </c>
      <c r="F584" s="54">
        <v>0</v>
      </c>
      <c r="G584" s="54"/>
      <c r="H584" s="54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1393</v>
      </c>
      <c r="M584" s="42">
        <v>0.18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7" t="str">
        <f>IF(Table1[[#This Row],[Auto Order]]=1,IF(Table1[[#This Row],[In stock]]&lt;Table1[[#This Row],[Min in stock]],1,""),"")</f>
        <v/>
      </c>
    </row>
    <row r="585" spans="1:29" hidden="1" x14ac:dyDescent="0.25">
      <c r="A585" s="61" t="s">
        <v>1127</v>
      </c>
      <c r="B585" s="34" t="s">
        <v>713</v>
      </c>
      <c r="C585" s="34"/>
      <c r="D585" s="34" t="s">
        <v>1128</v>
      </c>
      <c r="E585" s="34" t="s">
        <v>559</v>
      </c>
      <c r="F585" s="54">
        <v>0</v>
      </c>
      <c r="G585" s="54"/>
      <c r="H585" s="54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1126</v>
      </c>
      <c r="M585" s="42">
        <v>0.18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7" t="str">
        <f>IF(Table1[[#This Row],[Auto Order]]=1,IF(Table1[[#This Row],[In stock]]&lt;Table1[[#This Row],[Min in stock]],1,""),"")</f>
        <v/>
      </c>
    </row>
    <row r="586" spans="1:29" hidden="1" x14ac:dyDescent="0.25">
      <c r="A586" s="61" t="s">
        <v>937</v>
      </c>
      <c r="B586" s="34" t="s">
        <v>713</v>
      </c>
      <c r="C586" s="34"/>
      <c r="D586" s="34" t="s">
        <v>938</v>
      </c>
      <c r="E586" s="34" t="s">
        <v>559</v>
      </c>
      <c r="F586" s="54">
        <v>0</v>
      </c>
      <c r="G586" s="54"/>
      <c r="H586" s="54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936</v>
      </c>
      <c r="M586" s="42">
        <v>0.18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7" t="str">
        <f>IF(Table1[[#This Row],[Auto Order]]=1,IF(Table1[[#This Row],[In stock]]&lt;Table1[[#This Row],[Min in stock]],1,""),"")</f>
        <v/>
      </c>
    </row>
    <row r="587" spans="1:29" hidden="1" x14ac:dyDescent="0.25">
      <c r="A587" s="61" t="s">
        <v>1512</v>
      </c>
      <c r="B587" s="34" t="s">
        <v>713</v>
      </c>
      <c r="C587" s="34"/>
      <c r="D587" s="34" t="s">
        <v>1513</v>
      </c>
      <c r="E587" s="34" t="s">
        <v>559</v>
      </c>
      <c r="F587" s="54">
        <v>0</v>
      </c>
      <c r="G587" s="54"/>
      <c r="H587" s="54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1511</v>
      </c>
      <c r="M587" s="42">
        <v>0.18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7" t="str">
        <f>IF(Table1[[#This Row],[Auto Order]]=1,IF(Table1[[#This Row],[In stock]]&lt;Table1[[#This Row],[Min in stock]],1,""),"")</f>
        <v/>
      </c>
    </row>
    <row r="588" spans="1:29" hidden="1" x14ac:dyDescent="0.25">
      <c r="A588" s="61" t="s">
        <v>844</v>
      </c>
      <c r="B588" s="34" t="s">
        <v>713</v>
      </c>
      <c r="C588" s="34"/>
      <c r="D588" s="34" t="s">
        <v>845</v>
      </c>
      <c r="E588" s="34" t="s">
        <v>559</v>
      </c>
      <c r="F588" s="54">
        <v>0</v>
      </c>
      <c r="G588" s="54"/>
      <c r="H588" s="54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843</v>
      </c>
      <c r="M588" s="42">
        <v>0.18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7" t="str">
        <f>IF(Table1[[#This Row],[Auto Order]]=1,IF(Table1[[#This Row],[In stock]]&lt;Table1[[#This Row],[Min in stock]],1,""),"")</f>
        <v/>
      </c>
    </row>
    <row r="589" spans="1:29" hidden="1" x14ac:dyDescent="0.25">
      <c r="A589" s="61" t="s">
        <v>1088</v>
      </c>
      <c r="B589" s="34" t="s">
        <v>713</v>
      </c>
      <c r="C589" s="34"/>
      <c r="D589" s="34" t="s">
        <v>1089</v>
      </c>
      <c r="E589" s="34" t="s">
        <v>559</v>
      </c>
      <c r="F589" s="54">
        <v>0</v>
      </c>
      <c r="G589" s="54"/>
      <c r="H589" s="54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1087</v>
      </c>
      <c r="M589" s="42">
        <v>0.18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7" t="str">
        <f>IF(Table1[[#This Row],[Auto Order]]=1,IF(Table1[[#This Row],[In stock]]&lt;Table1[[#This Row],[Min in stock]],1,""),"")</f>
        <v/>
      </c>
    </row>
    <row r="590" spans="1:29" hidden="1" x14ac:dyDescent="0.25">
      <c r="A590" s="61" t="s">
        <v>847</v>
      </c>
      <c r="B590" s="34" t="s">
        <v>713</v>
      </c>
      <c r="C590" s="34"/>
      <c r="D590" s="34" t="s">
        <v>848</v>
      </c>
      <c r="E590" s="34" t="s">
        <v>559</v>
      </c>
      <c r="F590" s="54">
        <v>0</v>
      </c>
      <c r="G590" s="54"/>
      <c r="H590" s="54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846</v>
      </c>
      <c r="M590" s="42">
        <v>0.18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7" t="str">
        <f>IF(Table1[[#This Row],[Auto Order]]=1,IF(Table1[[#This Row],[In stock]]&lt;Table1[[#This Row],[Min in stock]],1,""),"")</f>
        <v/>
      </c>
    </row>
    <row r="591" spans="1:29" hidden="1" x14ac:dyDescent="0.25">
      <c r="A591" s="61" t="s">
        <v>1256</v>
      </c>
      <c r="B591" s="34" t="s">
        <v>713</v>
      </c>
      <c r="C591" s="34"/>
      <c r="D591" s="34" t="s">
        <v>1257</v>
      </c>
      <c r="E591" s="34" t="s">
        <v>559</v>
      </c>
      <c r="F591" s="54">
        <v>0</v>
      </c>
      <c r="G591" s="54"/>
      <c r="H591" s="54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1255</v>
      </c>
      <c r="M591" s="42">
        <v>0.18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7" t="str">
        <f>IF(Table1[[#This Row],[Auto Order]]=1,IF(Table1[[#This Row],[In stock]]&lt;Table1[[#This Row],[Min in stock]],1,""),"")</f>
        <v/>
      </c>
    </row>
    <row r="592" spans="1:29" hidden="1" x14ac:dyDescent="0.25">
      <c r="A592" s="61" t="s">
        <v>1217</v>
      </c>
      <c r="B592" s="34" t="s">
        <v>713</v>
      </c>
      <c r="C592" s="34"/>
      <c r="D592" s="34" t="s">
        <v>1218</v>
      </c>
      <c r="E592" s="34" t="s">
        <v>559</v>
      </c>
      <c r="F592" s="54">
        <v>0</v>
      </c>
      <c r="G592" s="54"/>
      <c r="H592" s="54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1216</v>
      </c>
      <c r="M592" s="42">
        <v>0.18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7" t="str">
        <f>IF(Table1[[#This Row],[Auto Order]]=1,IF(Table1[[#This Row],[In stock]]&lt;Table1[[#This Row],[Min in stock]],1,""),"")</f>
        <v/>
      </c>
    </row>
    <row r="593" spans="1:29" hidden="1" x14ac:dyDescent="0.25">
      <c r="A593" s="61" t="s">
        <v>1724</v>
      </c>
      <c r="B593" s="34" t="s">
        <v>713</v>
      </c>
      <c r="C593" s="34"/>
      <c r="D593" s="34" t="s">
        <v>1725</v>
      </c>
      <c r="E593" s="34" t="s">
        <v>559</v>
      </c>
      <c r="F593" s="54">
        <v>0</v>
      </c>
      <c r="G593" s="54"/>
      <c r="H593" s="54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1723</v>
      </c>
      <c r="M593" s="42">
        <v>0.18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7" t="str">
        <f>IF(Table1[[#This Row],[Auto Order]]=1,IF(Table1[[#This Row],[In stock]]&lt;Table1[[#This Row],[Min in stock]],1,""),"")</f>
        <v/>
      </c>
    </row>
    <row r="594" spans="1:29" hidden="1" x14ac:dyDescent="0.25">
      <c r="A594" s="61" t="s">
        <v>850</v>
      </c>
      <c r="B594" s="34" t="s">
        <v>713</v>
      </c>
      <c r="C594" s="34"/>
      <c r="D594" s="34" t="s">
        <v>851</v>
      </c>
      <c r="E594" s="34" t="s">
        <v>559</v>
      </c>
      <c r="F594" s="54">
        <v>0</v>
      </c>
      <c r="G594" s="54"/>
      <c r="H594" s="54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849</v>
      </c>
      <c r="M594" s="42">
        <v>0.18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7" t="str">
        <f>IF(Table1[[#This Row],[Auto Order]]=1,IF(Table1[[#This Row],[In stock]]&lt;Table1[[#This Row],[Min in stock]],1,""),"")</f>
        <v/>
      </c>
    </row>
    <row r="595" spans="1:29" hidden="1" x14ac:dyDescent="0.25">
      <c r="A595" s="61" t="s">
        <v>1470</v>
      </c>
      <c r="B595" s="34" t="s">
        <v>713</v>
      </c>
      <c r="C595" s="34"/>
      <c r="D595" s="34" t="s">
        <v>1471</v>
      </c>
      <c r="E595" s="34" t="s">
        <v>559</v>
      </c>
      <c r="F595" s="54">
        <v>0</v>
      </c>
      <c r="G595" s="54"/>
      <c r="H595" s="54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1469</v>
      </c>
      <c r="M595" s="42">
        <v>0.18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7" t="str">
        <f>IF(Table1[[#This Row],[Auto Order]]=1,IF(Table1[[#This Row],[In stock]]&lt;Table1[[#This Row],[Min in stock]],1,""),"")</f>
        <v/>
      </c>
    </row>
    <row r="596" spans="1:29" hidden="1" x14ac:dyDescent="0.25">
      <c r="A596" s="61" t="s">
        <v>796</v>
      </c>
      <c r="B596" s="34" t="s">
        <v>713</v>
      </c>
      <c r="C596" s="34"/>
      <c r="D596" s="34" t="s">
        <v>797</v>
      </c>
      <c r="E596" s="34" t="s">
        <v>559</v>
      </c>
      <c r="F596" s="54">
        <v>0</v>
      </c>
      <c r="G596" s="54"/>
      <c r="H596" s="54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795</v>
      </c>
      <c r="M596" s="42">
        <v>0.18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7" t="str">
        <f>IF(Table1[[#This Row],[Auto Order]]=1,IF(Table1[[#This Row],[In stock]]&lt;Table1[[#This Row],[Min in stock]],1,""),"")</f>
        <v/>
      </c>
    </row>
    <row r="597" spans="1:29" hidden="1" x14ac:dyDescent="0.25">
      <c r="A597" s="61" t="s">
        <v>1187</v>
      </c>
      <c r="B597" s="34" t="s">
        <v>713</v>
      </c>
      <c r="C597" s="34"/>
      <c r="D597" s="34" t="s">
        <v>1188</v>
      </c>
      <c r="E597" s="34" t="s">
        <v>559</v>
      </c>
      <c r="F597" s="54">
        <v>0</v>
      </c>
      <c r="G597" s="54"/>
      <c r="H597" s="54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1186</v>
      </c>
      <c r="M597" s="42">
        <v>0.18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7" t="str">
        <f>IF(Table1[[#This Row],[Auto Order]]=1,IF(Table1[[#This Row],[In stock]]&lt;Table1[[#This Row],[Min in stock]],1,""),"")</f>
        <v/>
      </c>
    </row>
    <row r="598" spans="1:29" hidden="1" x14ac:dyDescent="0.25">
      <c r="A598" s="61" t="s">
        <v>1559</v>
      </c>
      <c r="B598" s="34" t="s">
        <v>713</v>
      </c>
      <c r="C598" s="34"/>
      <c r="D598" s="34" t="s">
        <v>1560</v>
      </c>
      <c r="E598" s="34" t="s">
        <v>559</v>
      </c>
      <c r="F598" s="54">
        <v>0</v>
      </c>
      <c r="G598" s="54"/>
      <c r="H598" s="54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1558</v>
      </c>
      <c r="M598" s="42">
        <v>0.18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7" t="str">
        <f>IF(Table1[[#This Row],[Auto Order]]=1,IF(Table1[[#This Row],[In stock]]&lt;Table1[[#This Row],[Min in stock]],1,""),"")</f>
        <v/>
      </c>
    </row>
    <row r="599" spans="1:29" hidden="1" x14ac:dyDescent="0.25">
      <c r="A599" s="61" t="s">
        <v>1562</v>
      </c>
      <c r="B599" s="34" t="s">
        <v>713</v>
      </c>
      <c r="C599" s="34"/>
      <c r="D599" s="34" t="s">
        <v>1563</v>
      </c>
      <c r="E599" s="34" t="s">
        <v>559</v>
      </c>
      <c r="F599" s="54">
        <v>0</v>
      </c>
      <c r="G599" s="54"/>
      <c r="H599" s="54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1561</v>
      </c>
      <c r="M599" s="42">
        <v>0.18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7" t="str">
        <f>IF(Table1[[#This Row],[Auto Order]]=1,IF(Table1[[#This Row],[In stock]]&lt;Table1[[#This Row],[Min in stock]],1,""),"")</f>
        <v/>
      </c>
    </row>
    <row r="600" spans="1:29" hidden="1" x14ac:dyDescent="0.25">
      <c r="A600" s="61" t="s">
        <v>1091</v>
      </c>
      <c r="B600" s="34" t="s">
        <v>713</v>
      </c>
      <c r="C600" s="34"/>
      <c r="D600" s="34" t="s">
        <v>1092</v>
      </c>
      <c r="E600" s="34" t="s">
        <v>559</v>
      </c>
      <c r="F600" s="54">
        <v>0</v>
      </c>
      <c r="G600" s="54"/>
      <c r="H600" s="54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1090</v>
      </c>
      <c r="M600" s="42">
        <v>0.18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7" t="str">
        <f>IF(Table1[[#This Row],[Auto Order]]=1,IF(Table1[[#This Row],[In stock]]&lt;Table1[[#This Row],[Min in stock]],1,""),"")</f>
        <v/>
      </c>
    </row>
    <row r="601" spans="1:29" hidden="1" x14ac:dyDescent="0.25">
      <c r="A601" s="61" t="s">
        <v>940</v>
      </c>
      <c r="B601" s="34" t="s">
        <v>713</v>
      </c>
      <c r="C601" s="34"/>
      <c r="D601" s="34" t="s">
        <v>941</v>
      </c>
      <c r="E601" s="34" t="s">
        <v>559</v>
      </c>
      <c r="F601" s="54">
        <v>0</v>
      </c>
      <c r="G601" s="54"/>
      <c r="H601" s="54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939</v>
      </c>
      <c r="M601" s="42">
        <v>0.18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7" t="str">
        <f>IF(Table1[[#This Row],[Auto Order]]=1,IF(Table1[[#This Row],[In stock]]&lt;Table1[[#This Row],[Min in stock]],1,""),"")</f>
        <v/>
      </c>
    </row>
    <row r="602" spans="1:29" hidden="1" x14ac:dyDescent="0.25">
      <c r="A602" s="61" t="s">
        <v>1515</v>
      </c>
      <c r="B602" s="34" t="s">
        <v>713</v>
      </c>
      <c r="C602" s="34"/>
      <c r="D602" s="34" t="s">
        <v>1516</v>
      </c>
      <c r="E602" s="34" t="s">
        <v>559</v>
      </c>
      <c r="F602" s="54">
        <v>0</v>
      </c>
      <c r="G602" s="54"/>
      <c r="H602" s="54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1514</v>
      </c>
      <c r="M602" s="42">
        <v>0.18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7" t="str">
        <f>IF(Table1[[#This Row],[Auto Order]]=1,IF(Table1[[#This Row],[In stock]]&lt;Table1[[#This Row],[Min in stock]],1,""),"")</f>
        <v/>
      </c>
    </row>
    <row r="603" spans="1:29" hidden="1" x14ac:dyDescent="0.25">
      <c r="A603" s="61" t="s">
        <v>1565</v>
      </c>
      <c r="B603" s="34" t="s">
        <v>713</v>
      </c>
      <c r="C603" s="34"/>
      <c r="D603" s="34" t="s">
        <v>1566</v>
      </c>
      <c r="E603" s="34" t="s">
        <v>559</v>
      </c>
      <c r="F603" s="54">
        <v>0</v>
      </c>
      <c r="G603" s="54"/>
      <c r="H603" s="54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1564</v>
      </c>
      <c r="M603" s="42">
        <v>0.18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7" t="str">
        <f>IF(Table1[[#This Row],[Auto Order]]=1,IF(Table1[[#This Row],[In stock]]&lt;Table1[[#This Row],[Min in stock]],1,""),"")</f>
        <v/>
      </c>
    </row>
    <row r="604" spans="1:29" hidden="1" x14ac:dyDescent="0.25">
      <c r="A604" s="61" t="s">
        <v>1232</v>
      </c>
      <c r="B604" s="34" t="s">
        <v>713</v>
      </c>
      <c r="C604" s="34"/>
      <c r="D604" s="34" t="s">
        <v>1233</v>
      </c>
      <c r="E604" s="34" t="s">
        <v>559</v>
      </c>
      <c r="F604" s="54">
        <v>0</v>
      </c>
      <c r="G604" s="54"/>
      <c r="H604" s="54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1231</v>
      </c>
      <c r="M604" s="42">
        <v>0.18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7" t="str">
        <f>IF(Table1[[#This Row],[Auto Order]]=1,IF(Table1[[#This Row],[In stock]]&lt;Table1[[#This Row],[Min in stock]],1,""),"")</f>
        <v/>
      </c>
    </row>
    <row r="605" spans="1:29" hidden="1" x14ac:dyDescent="0.25">
      <c r="A605" s="61" t="s">
        <v>1568</v>
      </c>
      <c r="B605" s="34" t="s">
        <v>713</v>
      </c>
      <c r="C605" s="34"/>
      <c r="D605" s="34" t="s">
        <v>1569</v>
      </c>
      <c r="E605" s="34" t="s">
        <v>559</v>
      </c>
      <c r="F605" s="54">
        <v>0</v>
      </c>
      <c r="G605" s="54"/>
      <c r="H605" s="54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1567</v>
      </c>
      <c r="M605" s="42">
        <v>0.18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7" t="str">
        <f>IF(Table1[[#This Row],[Auto Order]]=1,IF(Table1[[#This Row],[In stock]]&lt;Table1[[#This Row],[Min in stock]],1,""),"")</f>
        <v/>
      </c>
    </row>
    <row r="606" spans="1:29" hidden="1" x14ac:dyDescent="0.25">
      <c r="A606" s="61" t="s">
        <v>1124</v>
      </c>
      <c r="B606" s="34" t="s">
        <v>713</v>
      </c>
      <c r="C606" s="34"/>
      <c r="D606" s="34" t="s">
        <v>1125</v>
      </c>
      <c r="E606" s="34" t="s">
        <v>559</v>
      </c>
      <c r="F606" s="54">
        <v>0</v>
      </c>
      <c r="G606" s="54"/>
      <c r="H606" s="54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1123</v>
      </c>
      <c r="M606" s="42">
        <v>0.18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7" t="str">
        <f>IF(Table1[[#This Row],[Auto Order]]=1,IF(Table1[[#This Row],[In stock]]&lt;Table1[[#This Row],[Min in stock]],1,""),"")</f>
        <v/>
      </c>
    </row>
    <row r="607" spans="1:29" hidden="1" x14ac:dyDescent="0.25">
      <c r="A607" s="61" t="s">
        <v>853</v>
      </c>
      <c r="B607" s="34" t="s">
        <v>713</v>
      </c>
      <c r="C607" s="34"/>
      <c r="D607" s="34" t="s">
        <v>854</v>
      </c>
      <c r="E607" s="34" t="s">
        <v>559</v>
      </c>
      <c r="F607" s="54">
        <v>0</v>
      </c>
      <c r="G607" s="54"/>
      <c r="H607" s="54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852</v>
      </c>
      <c r="M607" s="42">
        <v>0.18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7" t="str">
        <f>IF(Table1[[#This Row],[Auto Order]]=1,IF(Table1[[#This Row],[In stock]]&lt;Table1[[#This Row],[Min in stock]],1,""),"")</f>
        <v/>
      </c>
    </row>
    <row r="608" spans="1:29" hidden="1" x14ac:dyDescent="0.25">
      <c r="A608" s="61" t="s">
        <v>1428</v>
      </c>
      <c r="B608" s="34" t="s">
        <v>713</v>
      </c>
      <c r="C608" s="34"/>
      <c r="D608" s="34" t="s">
        <v>1429</v>
      </c>
      <c r="E608" s="34" t="s">
        <v>559</v>
      </c>
      <c r="F608" s="54">
        <v>0</v>
      </c>
      <c r="G608" s="54"/>
      <c r="H608" s="54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1427</v>
      </c>
      <c r="M608" s="42">
        <v>0.18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7" t="str">
        <f>IF(Table1[[#This Row],[Auto Order]]=1,IF(Table1[[#This Row],[In stock]]&lt;Table1[[#This Row],[Min in stock]],1,""),"")</f>
        <v/>
      </c>
    </row>
    <row r="609" spans="1:29" hidden="1" x14ac:dyDescent="0.25">
      <c r="A609" s="61" t="s">
        <v>1133</v>
      </c>
      <c r="B609" s="34" t="s">
        <v>713</v>
      </c>
      <c r="C609" s="34"/>
      <c r="D609" s="34" t="s">
        <v>1134</v>
      </c>
      <c r="E609" s="34" t="s">
        <v>559</v>
      </c>
      <c r="F609" s="54">
        <v>0</v>
      </c>
      <c r="G609" s="54"/>
      <c r="H609" s="54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1132</v>
      </c>
      <c r="M609" s="42">
        <v>0.18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7" t="str">
        <f>IF(Table1[[#This Row],[Auto Order]]=1,IF(Table1[[#This Row],[In stock]]&lt;Table1[[#This Row],[Min in stock]],1,""),"")</f>
        <v/>
      </c>
    </row>
    <row r="610" spans="1:29" hidden="1" x14ac:dyDescent="0.25">
      <c r="A610" s="61" t="s">
        <v>943</v>
      </c>
      <c r="B610" s="34" t="s">
        <v>713</v>
      </c>
      <c r="C610" s="34"/>
      <c r="D610" s="34" t="s">
        <v>944</v>
      </c>
      <c r="E610" s="34" t="s">
        <v>559</v>
      </c>
      <c r="F610" s="54">
        <v>0</v>
      </c>
      <c r="G610" s="54"/>
      <c r="H610" s="54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942</v>
      </c>
      <c r="M610" s="42">
        <v>0.18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7" t="str">
        <f>IF(Table1[[#This Row],[Auto Order]]=1,IF(Table1[[#This Row],[In stock]]&lt;Table1[[#This Row],[Min in stock]],1,""),"")</f>
        <v/>
      </c>
    </row>
    <row r="611" spans="1:29" hidden="1" x14ac:dyDescent="0.25">
      <c r="A611" s="61" t="s">
        <v>1190</v>
      </c>
      <c r="B611" s="34" t="s">
        <v>713</v>
      </c>
      <c r="C611" s="34"/>
      <c r="D611" s="34" t="s">
        <v>1191</v>
      </c>
      <c r="E611" s="34" t="s">
        <v>559</v>
      </c>
      <c r="F611" s="54">
        <v>0</v>
      </c>
      <c r="G611" s="54"/>
      <c r="H611" s="54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1189</v>
      </c>
      <c r="M611" s="42">
        <v>0.18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7" t="str">
        <f>IF(Table1[[#This Row],[Auto Order]]=1,IF(Table1[[#This Row],[In stock]]&lt;Table1[[#This Row],[Min in stock]],1,""),"")</f>
        <v/>
      </c>
    </row>
    <row r="612" spans="1:29" hidden="1" x14ac:dyDescent="0.25">
      <c r="A612" s="61" t="s">
        <v>1571</v>
      </c>
      <c r="B612" s="34" t="s">
        <v>713</v>
      </c>
      <c r="C612" s="34"/>
      <c r="D612" s="34" t="s">
        <v>1572</v>
      </c>
      <c r="E612" s="34" t="s">
        <v>559</v>
      </c>
      <c r="F612" s="54">
        <v>0</v>
      </c>
      <c r="G612" s="54"/>
      <c r="H612" s="54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1570</v>
      </c>
      <c r="M612" s="42">
        <v>0.18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7" t="str">
        <f>IF(Table1[[#This Row],[Auto Order]]=1,IF(Table1[[#This Row],[In stock]]&lt;Table1[[#This Row],[Min in stock]],1,""),"")</f>
        <v/>
      </c>
    </row>
    <row r="613" spans="1:29" hidden="1" x14ac:dyDescent="0.25">
      <c r="A613" s="61" t="s">
        <v>1459</v>
      </c>
      <c r="B613" s="34" t="s">
        <v>713</v>
      </c>
      <c r="C613" s="34"/>
      <c r="D613" s="34" t="s">
        <v>248</v>
      </c>
      <c r="E613" s="34" t="s">
        <v>559</v>
      </c>
      <c r="F613" s="54">
        <v>0</v>
      </c>
      <c r="G613" s="54"/>
      <c r="H613" s="54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1458</v>
      </c>
      <c r="M613" s="42">
        <v>0.18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7" t="str">
        <f>IF(Table1[[#This Row],[Auto Order]]=1,IF(Table1[[#This Row],[In stock]]&lt;Table1[[#This Row],[Min in stock]],1,""),"")</f>
        <v/>
      </c>
    </row>
    <row r="614" spans="1:29" hidden="1" x14ac:dyDescent="0.25">
      <c r="A614" s="61" t="s">
        <v>1448</v>
      </c>
      <c r="B614" s="34" t="s">
        <v>713</v>
      </c>
      <c r="C614" s="34"/>
      <c r="D614" s="34" t="s">
        <v>651</v>
      </c>
      <c r="E614" s="34" t="s">
        <v>559</v>
      </c>
      <c r="F614" s="54">
        <v>0</v>
      </c>
      <c r="G614" s="54"/>
      <c r="H614" s="54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1447</v>
      </c>
      <c r="M614" s="42">
        <v>0.18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7" t="str">
        <f>IF(Table1[[#This Row],[Auto Order]]=1,IF(Table1[[#This Row],[In stock]]&lt;Table1[[#This Row],[Min in stock]],1,""),"")</f>
        <v/>
      </c>
    </row>
    <row r="615" spans="1:29" hidden="1" x14ac:dyDescent="0.25">
      <c r="A615" s="61" t="s">
        <v>1461</v>
      </c>
      <c r="B615" s="34" t="s">
        <v>713</v>
      </c>
      <c r="C615" s="34"/>
      <c r="D615" s="34" t="s">
        <v>672</v>
      </c>
      <c r="E615" s="34" t="s">
        <v>559</v>
      </c>
      <c r="F615" s="54">
        <v>0</v>
      </c>
      <c r="G615" s="54"/>
      <c r="H615" s="54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1460</v>
      </c>
      <c r="M615" s="42">
        <v>0.18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7" t="str">
        <f>IF(Table1[[#This Row],[Auto Order]]=1,IF(Table1[[#This Row],[In stock]]&lt;Table1[[#This Row],[Min in stock]],1,""),"")</f>
        <v/>
      </c>
    </row>
    <row r="616" spans="1:29" hidden="1" x14ac:dyDescent="0.25">
      <c r="A616" s="61" t="s">
        <v>781</v>
      </c>
      <c r="B616" s="34" t="s">
        <v>713</v>
      </c>
      <c r="C616" s="34"/>
      <c r="D616" s="34" t="s">
        <v>782</v>
      </c>
      <c r="E616" s="34" t="s">
        <v>559</v>
      </c>
      <c r="F616" s="54">
        <v>0</v>
      </c>
      <c r="G616" s="54"/>
      <c r="H616" s="54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780</v>
      </c>
      <c r="M616" s="42">
        <v>0.18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7" t="str">
        <f>IF(Table1[[#This Row],[Auto Order]]=1,IF(Table1[[#This Row],[In stock]]&lt;Table1[[#This Row],[Min in stock]],1,""),"")</f>
        <v/>
      </c>
    </row>
    <row r="617" spans="1:29" hidden="1" x14ac:dyDescent="0.25">
      <c r="A617" s="61" t="s">
        <v>826</v>
      </c>
      <c r="B617" s="34" t="s">
        <v>713</v>
      </c>
      <c r="C617" s="34"/>
      <c r="D617" s="34" t="s">
        <v>827</v>
      </c>
      <c r="E617" s="34" t="s">
        <v>559</v>
      </c>
      <c r="F617" s="54">
        <v>0</v>
      </c>
      <c r="G617" s="54"/>
      <c r="H617" s="54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825</v>
      </c>
      <c r="M617" s="42">
        <v>0.18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7" t="str">
        <f>IF(Table1[[#This Row],[Auto Order]]=1,IF(Table1[[#This Row],[In stock]]&lt;Table1[[#This Row],[Min in stock]],1,""),"")</f>
        <v/>
      </c>
    </row>
    <row r="618" spans="1:29" hidden="1" x14ac:dyDescent="0.25">
      <c r="A618" s="61" t="s">
        <v>946</v>
      </c>
      <c r="B618" s="34" t="s">
        <v>713</v>
      </c>
      <c r="C618" s="34"/>
      <c r="D618" s="34" t="s">
        <v>947</v>
      </c>
      <c r="E618" s="34" t="s">
        <v>559</v>
      </c>
      <c r="F618" s="54">
        <v>0</v>
      </c>
      <c r="G618" s="54"/>
      <c r="H618" s="54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945</v>
      </c>
      <c r="M618" s="42">
        <v>0.18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7" t="str">
        <f>IF(Table1[[#This Row],[Auto Order]]=1,IF(Table1[[#This Row],[In stock]]&lt;Table1[[#This Row],[Min in stock]],1,""),"")</f>
        <v/>
      </c>
    </row>
    <row r="619" spans="1:29" hidden="1" x14ac:dyDescent="0.25">
      <c r="A619" s="61" t="s">
        <v>1574</v>
      </c>
      <c r="B619" s="34" t="s">
        <v>713</v>
      </c>
      <c r="C619" s="34"/>
      <c r="D619" s="34" t="s">
        <v>1575</v>
      </c>
      <c r="E619" s="34" t="s">
        <v>559</v>
      </c>
      <c r="F619" s="54">
        <v>0</v>
      </c>
      <c r="G619" s="54"/>
      <c r="H619" s="54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1573</v>
      </c>
      <c r="M619" s="42">
        <v>0.18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7" t="str">
        <f>IF(Table1[[#This Row],[Auto Order]]=1,IF(Table1[[#This Row],[In stock]]&lt;Table1[[#This Row],[Min in stock]],1,""),"")</f>
        <v/>
      </c>
    </row>
    <row r="620" spans="1:29" hidden="1" x14ac:dyDescent="0.25">
      <c r="A620" s="61" t="s">
        <v>1577</v>
      </c>
      <c r="B620" s="34" t="s">
        <v>713</v>
      </c>
      <c r="C620" s="34"/>
      <c r="D620" s="34" t="s">
        <v>1578</v>
      </c>
      <c r="E620" s="34" t="s">
        <v>559</v>
      </c>
      <c r="F620" s="54">
        <v>0</v>
      </c>
      <c r="G620" s="54"/>
      <c r="H620" s="54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1576</v>
      </c>
      <c r="M620" s="42">
        <v>0.18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7" t="str">
        <f>IF(Table1[[#This Row],[Auto Order]]=1,IF(Table1[[#This Row],[In stock]]&lt;Table1[[#This Row],[Min in stock]],1,""),"")</f>
        <v/>
      </c>
    </row>
    <row r="621" spans="1:29" hidden="1" x14ac:dyDescent="0.25">
      <c r="A621" s="61" t="s">
        <v>1100</v>
      </c>
      <c r="B621" s="34" t="s">
        <v>713</v>
      </c>
      <c r="C621" s="34"/>
      <c r="D621" s="34" t="s">
        <v>1101</v>
      </c>
      <c r="E621" s="34" t="s">
        <v>559</v>
      </c>
      <c r="F621" s="54">
        <v>0</v>
      </c>
      <c r="G621" s="54"/>
      <c r="H621" s="54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1099</v>
      </c>
      <c r="M621" s="42">
        <v>0.18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7" t="str">
        <f>IF(Table1[[#This Row],[Auto Order]]=1,IF(Table1[[#This Row],[In stock]]&lt;Table1[[#This Row],[Min in stock]],1,""),"")</f>
        <v/>
      </c>
    </row>
    <row r="622" spans="1:29" hidden="1" x14ac:dyDescent="0.25">
      <c r="A622" s="61" t="s">
        <v>949</v>
      </c>
      <c r="B622" s="34" t="s">
        <v>713</v>
      </c>
      <c r="C622" s="34"/>
      <c r="D622" s="34" t="s">
        <v>950</v>
      </c>
      <c r="E622" s="34" t="s">
        <v>559</v>
      </c>
      <c r="F622" s="54">
        <v>0</v>
      </c>
      <c r="G622" s="54"/>
      <c r="H622" s="54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948</v>
      </c>
      <c r="M622" s="42">
        <v>0.18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7" t="str">
        <f>IF(Table1[[#This Row],[Auto Order]]=1,IF(Table1[[#This Row],[In stock]]&lt;Table1[[#This Row],[Min in stock]],1,""),"")</f>
        <v/>
      </c>
    </row>
    <row r="623" spans="1:29" hidden="1" x14ac:dyDescent="0.25">
      <c r="A623" s="61" t="s">
        <v>1151</v>
      </c>
      <c r="B623" s="34" t="s">
        <v>713</v>
      </c>
      <c r="C623" s="34"/>
      <c r="D623" s="34" t="s">
        <v>1152</v>
      </c>
      <c r="E623" s="34" t="s">
        <v>559</v>
      </c>
      <c r="F623" s="54">
        <v>0</v>
      </c>
      <c r="G623" s="54"/>
      <c r="H623" s="54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1150</v>
      </c>
      <c r="M623" s="42">
        <v>0.18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7" t="str">
        <f>IF(Table1[[#This Row],[Auto Order]]=1,IF(Table1[[#This Row],[In stock]]&lt;Table1[[#This Row],[Min in stock]],1,""),"")</f>
        <v/>
      </c>
    </row>
    <row r="624" spans="1:29" hidden="1" x14ac:dyDescent="0.25">
      <c r="A624" s="61" t="s">
        <v>1109</v>
      </c>
      <c r="B624" s="34" t="s">
        <v>713</v>
      </c>
      <c r="C624" s="34"/>
      <c r="D624" s="34" t="s">
        <v>1110</v>
      </c>
      <c r="E624" s="34" t="s">
        <v>559</v>
      </c>
      <c r="F624" s="54">
        <v>0</v>
      </c>
      <c r="G624" s="54"/>
      <c r="H624" s="54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1108</v>
      </c>
      <c r="M624" s="42">
        <v>0.18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7" t="str">
        <f>IF(Table1[[#This Row],[Auto Order]]=1,IF(Table1[[#This Row],[In stock]]&lt;Table1[[#This Row],[Min in stock]],1,""),"")</f>
        <v/>
      </c>
    </row>
    <row r="625" spans="1:29" hidden="1" x14ac:dyDescent="0.25">
      <c r="A625" s="61" t="s">
        <v>1753</v>
      </c>
      <c r="B625" s="34" t="s">
        <v>713</v>
      </c>
      <c r="C625" s="34"/>
      <c r="D625" s="34" t="s">
        <v>1754</v>
      </c>
      <c r="E625" s="34" t="s">
        <v>559</v>
      </c>
      <c r="F625" s="54">
        <v>0</v>
      </c>
      <c r="G625" s="54"/>
      <c r="H625" s="54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1752</v>
      </c>
      <c r="M625" s="42">
        <v>0.18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7" t="str">
        <f>IF(Table1[[#This Row],[Auto Order]]=1,IF(Table1[[#This Row],[In stock]]&lt;Table1[[#This Row],[Min in stock]],1,""),"")</f>
        <v/>
      </c>
    </row>
    <row r="626" spans="1:29" hidden="1" x14ac:dyDescent="0.25">
      <c r="A626" s="61" t="s">
        <v>952</v>
      </c>
      <c r="B626" s="34" t="s">
        <v>713</v>
      </c>
      <c r="C626" s="34"/>
      <c r="D626" s="34" t="s">
        <v>953</v>
      </c>
      <c r="E626" s="34" t="s">
        <v>559</v>
      </c>
      <c r="F626" s="54">
        <v>0</v>
      </c>
      <c r="G626" s="54"/>
      <c r="H626" s="54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951</v>
      </c>
      <c r="M626" s="42">
        <v>0.18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7" t="str">
        <f>IF(Table1[[#This Row],[Auto Order]]=1,IF(Table1[[#This Row],[In stock]]&lt;Table1[[#This Row],[Min in stock]],1,""),"")</f>
        <v/>
      </c>
    </row>
    <row r="627" spans="1:29" hidden="1" x14ac:dyDescent="0.25">
      <c r="A627" s="61" t="s">
        <v>775</v>
      </c>
      <c r="B627" s="34" t="s">
        <v>713</v>
      </c>
      <c r="C627" s="34"/>
      <c r="D627" s="34" t="s">
        <v>776</v>
      </c>
      <c r="E627" s="34" t="s">
        <v>559</v>
      </c>
      <c r="F627" s="54">
        <v>0</v>
      </c>
      <c r="G627" s="54"/>
      <c r="H627" s="54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774</v>
      </c>
      <c r="M627" s="42">
        <v>0.18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7" t="str">
        <f>IF(Table1[[#This Row],[Auto Order]]=1,IF(Table1[[#This Row],[In stock]]&lt;Table1[[#This Row],[Min in stock]],1,""),"")</f>
        <v/>
      </c>
    </row>
    <row r="628" spans="1:29" hidden="1" x14ac:dyDescent="0.25">
      <c r="A628" s="61" t="s">
        <v>1742</v>
      </c>
      <c r="B628" s="34" t="s">
        <v>713</v>
      </c>
      <c r="C628" s="34"/>
      <c r="D628" s="34" t="s">
        <v>1743</v>
      </c>
      <c r="E628" s="34" t="s">
        <v>559</v>
      </c>
      <c r="F628" s="54">
        <v>0</v>
      </c>
      <c r="G628" s="54"/>
      <c r="H628" s="54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1741</v>
      </c>
      <c r="M628" s="42">
        <v>0.18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7" t="str">
        <f>IF(Table1[[#This Row],[Auto Order]]=1,IF(Table1[[#This Row],[In stock]]&lt;Table1[[#This Row],[Min in stock]],1,""),"")</f>
        <v/>
      </c>
    </row>
    <row r="629" spans="1:29" hidden="1" x14ac:dyDescent="0.25">
      <c r="A629" s="61" t="s">
        <v>1580</v>
      </c>
      <c r="B629" s="34" t="s">
        <v>713</v>
      </c>
      <c r="C629" s="34"/>
      <c r="D629" s="34" t="s">
        <v>1581</v>
      </c>
      <c r="E629" s="34" t="s">
        <v>559</v>
      </c>
      <c r="F629" s="54">
        <v>0</v>
      </c>
      <c r="G629" s="54"/>
      <c r="H629" s="54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1579</v>
      </c>
      <c r="M629" s="42">
        <v>0.18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7" t="str">
        <f>IF(Table1[[#This Row],[Auto Order]]=1,IF(Table1[[#This Row],[In stock]]&lt;Table1[[#This Row],[Min in stock]],1,""),"")</f>
        <v/>
      </c>
    </row>
    <row r="630" spans="1:29" hidden="1" x14ac:dyDescent="0.25">
      <c r="A630" s="61" t="s">
        <v>1415</v>
      </c>
      <c r="B630" s="34" t="s">
        <v>713</v>
      </c>
      <c r="C630" s="34"/>
      <c r="D630" s="34" t="s">
        <v>1416</v>
      </c>
      <c r="E630" s="34" t="s">
        <v>559</v>
      </c>
      <c r="F630" s="54">
        <v>0</v>
      </c>
      <c r="G630" s="54"/>
      <c r="H630" s="54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1414</v>
      </c>
      <c r="M630" s="42">
        <v>0.18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7" t="str">
        <f>IF(Table1[[#This Row],[Auto Order]]=1,IF(Table1[[#This Row],[In stock]]&lt;Table1[[#This Row],[Min in stock]],1,""),"")</f>
        <v/>
      </c>
    </row>
    <row r="631" spans="1:29" hidden="1" x14ac:dyDescent="0.25">
      <c r="A631" s="61" t="s">
        <v>1160</v>
      </c>
      <c r="B631" s="34" t="s">
        <v>713</v>
      </c>
      <c r="C631" s="34"/>
      <c r="D631" s="34" t="s">
        <v>1161</v>
      </c>
      <c r="E631" s="34" t="s">
        <v>559</v>
      </c>
      <c r="F631" s="54">
        <v>0</v>
      </c>
      <c r="G631" s="54"/>
      <c r="H631" s="54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1159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7" t="str">
        <f>IF(Table1[[#This Row],[Auto Order]]=1,IF(Table1[[#This Row],[In stock]]&lt;Table1[[#This Row],[Min in stock]],1,""),"")</f>
        <v/>
      </c>
    </row>
    <row r="632" spans="1:29" hidden="1" x14ac:dyDescent="0.25">
      <c r="A632" s="61" t="s">
        <v>1382</v>
      </c>
      <c r="B632" s="34" t="s">
        <v>713</v>
      </c>
      <c r="C632" s="34"/>
      <c r="D632" s="34" t="s">
        <v>1383</v>
      </c>
      <c r="E632" s="34" t="s">
        <v>559</v>
      </c>
      <c r="F632" s="54">
        <v>0</v>
      </c>
      <c r="G632" s="54"/>
      <c r="H632" s="54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1381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7" t="str">
        <f>IF(Table1[[#This Row],[Auto Order]]=1,IF(Table1[[#This Row],[In stock]]&lt;Table1[[#This Row],[Min in stock]],1,""),"")</f>
        <v/>
      </c>
    </row>
    <row r="633" spans="1:29" hidden="1" x14ac:dyDescent="0.25">
      <c r="A633" s="61" t="s">
        <v>1700</v>
      </c>
      <c r="B633" s="34" t="s">
        <v>713</v>
      </c>
      <c r="C633" s="34"/>
      <c r="D633" s="34" t="s">
        <v>1701</v>
      </c>
      <c r="E633" s="34" t="s">
        <v>559</v>
      </c>
      <c r="F633" s="54">
        <v>0</v>
      </c>
      <c r="G633" s="54"/>
      <c r="H633" s="54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1699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7" t="str">
        <f>IF(Table1[[#This Row],[Auto Order]]=1,IF(Table1[[#This Row],[In stock]]&lt;Table1[[#This Row],[Min in stock]],1,""),"")</f>
        <v/>
      </c>
    </row>
    <row r="634" spans="1:29" hidden="1" x14ac:dyDescent="0.25">
      <c r="A634" s="61" t="s">
        <v>1267</v>
      </c>
      <c r="B634" s="34" t="s">
        <v>713</v>
      </c>
      <c r="C634" s="34"/>
      <c r="D634" s="34" t="s">
        <v>1268</v>
      </c>
      <c r="E634" s="34" t="s">
        <v>559</v>
      </c>
      <c r="F634" s="54">
        <v>0</v>
      </c>
      <c r="G634" s="54"/>
      <c r="H634" s="54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1266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7" t="str">
        <f>IF(Table1[[#This Row],[Auto Order]]=1,IF(Table1[[#This Row],[In stock]]&lt;Table1[[#This Row],[Min in stock]],1,""),"")</f>
        <v/>
      </c>
    </row>
    <row r="635" spans="1:29" hidden="1" x14ac:dyDescent="0.25">
      <c r="A635" s="61" t="s">
        <v>955</v>
      </c>
      <c r="B635" s="34" t="s">
        <v>713</v>
      </c>
      <c r="C635" s="34"/>
      <c r="D635" s="34" t="s">
        <v>956</v>
      </c>
      <c r="E635" s="34" t="s">
        <v>559</v>
      </c>
      <c r="F635" s="54">
        <v>0</v>
      </c>
      <c r="G635" s="54"/>
      <c r="H635" s="54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954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7" t="str">
        <f>IF(Table1[[#This Row],[Auto Order]]=1,IF(Table1[[#This Row],[In stock]]&lt;Table1[[#This Row],[Min in stock]],1,""),"")</f>
        <v/>
      </c>
    </row>
    <row r="636" spans="1:29" hidden="1" x14ac:dyDescent="0.25">
      <c r="A636" s="61" t="s">
        <v>1775</v>
      </c>
      <c r="B636" s="34" t="s">
        <v>713</v>
      </c>
      <c r="C636" s="34"/>
      <c r="D636" s="34" t="s">
        <v>1776</v>
      </c>
      <c r="E636" s="34" t="s">
        <v>559</v>
      </c>
      <c r="F636" s="54">
        <v>0</v>
      </c>
      <c r="G636" s="54"/>
      <c r="H636" s="54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1774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7" t="str">
        <f>IF(Table1[[#This Row],[Auto Order]]=1,IF(Table1[[#This Row],[In stock]]&lt;Table1[[#This Row],[Min in stock]],1,""),"")</f>
        <v/>
      </c>
    </row>
    <row r="637" spans="1:29" hidden="1" x14ac:dyDescent="0.25">
      <c r="A637" s="61" t="s">
        <v>1070</v>
      </c>
      <c r="B637" s="34" t="s">
        <v>713</v>
      </c>
      <c r="C637" s="34"/>
      <c r="D637" s="34" t="s">
        <v>1071</v>
      </c>
      <c r="E637" s="34" t="s">
        <v>559</v>
      </c>
      <c r="F637" s="54">
        <v>0</v>
      </c>
      <c r="G637" s="54"/>
      <c r="H637" s="54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1069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7" t="str">
        <f>IF(Table1[[#This Row],[Auto Order]]=1,IF(Table1[[#This Row],[In stock]]&lt;Table1[[#This Row],[Min in stock]],1,""),"")</f>
        <v/>
      </c>
    </row>
    <row r="638" spans="1:29" hidden="1" x14ac:dyDescent="0.25">
      <c r="A638" s="61" t="s">
        <v>1293</v>
      </c>
      <c r="B638" s="34" t="s">
        <v>713</v>
      </c>
      <c r="C638" s="34"/>
      <c r="D638" s="34" t="s">
        <v>1294</v>
      </c>
      <c r="E638" s="34" t="s">
        <v>559</v>
      </c>
      <c r="F638" s="54">
        <v>0</v>
      </c>
      <c r="G638" s="54"/>
      <c r="H638" s="54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1292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7" t="str">
        <f>IF(Table1[[#This Row],[Auto Order]]=1,IF(Table1[[#This Row],[In stock]]&lt;Table1[[#This Row],[Min in stock]],1,""),"")</f>
        <v/>
      </c>
    </row>
    <row r="639" spans="1:29" hidden="1" x14ac:dyDescent="0.25">
      <c r="A639" s="61" t="s">
        <v>1076</v>
      </c>
      <c r="B639" s="34" t="s">
        <v>713</v>
      </c>
      <c r="C639" s="34"/>
      <c r="D639" s="34" t="s">
        <v>1077</v>
      </c>
      <c r="E639" s="34" t="s">
        <v>559</v>
      </c>
      <c r="F639" s="54">
        <v>0</v>
      </c>
      <c r="G639" s="54"/>
      <c r="H639" s="54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1075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7" t="str">
        <f>IF(Table1[[#This Row],[Auto Order]]=1,IF(Table1[[#This Row],[In stock]]&lt;Table1[[#This Row],[Min in stock]],1,""),"")</f>
        <v/>
      </c>
    </row>
    <row r="640" spans="1:29" hidden="1" x14ac:dyDescent="0.25">
      <c r="A640" s="61" t="s">
        <v>1299</v>
      </c>
      <c r="B640" s="34" t="s">
        <v>713</v>
      </c>
      <c r="C640" s="34"/>
      <c r="D640" s="34" t="s">
        <v>1300</v>
      </c>
      <c r="E640" s="34" t="s">
        <v>559</v>
      </c>
      <c r="F640" s="54">
        <v>0</v>
      </c>
      <c r="G640" s="54"/>
      <c r="H640" s="54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1298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7" t="str">
        <f>IF(Table1[[#This Row],[Auto Order]]=1,IF(Table1[[#This Row],[In stock]]&lt;Table1[[#This Row],[Min in stock]],1,""),"")</f>
        <v/>
      </c>
    </row>
    <row r="641" spans="1:29" hidden="1" x14ac:dyDescent="0.25">
      <c r="A641" s="61" t="s">
        <v>1145</v>
      </c>
      <c r="B641" s="34" t="s">
        <v>713</v>
      </c>
      <c r="C641" s="34"/>
      <c r="D641" s="34" t="s">
        <v>1146</v>
      </c>
      <c r="E641" s="34" t="s">
        <v>559</v>
      </c>
      <c r="F641" s="54">
        <v>0</v>
      </c>
      <c r="G641" s="54"/>
      <c r="H641" s="54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1144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7" t="str">
        <f>IF(Table1[[#This Row],[Auto Order]]=1,IF(Table1[[#This Row],[In stock]]&lt;Table1[[#This Row],[Min in stock]],1,""),"")</f>
        <v/>
      </c>
    </row>
    <row r="642" spans="1:29" hidden="1" x14ac:dyDescent="0.25">
      <c r="A642" s="61" t="s">
        <v>958</v>
      </c>
      <c r="B642" s="34" t="s">
        <v>713</v>
      </c>
      <c r="C642" s="34"/>
      <c r="D642" s="34" t="s">
        <v>959</v>
      </c>
      <c r="E642" s="34" t="s">
        <v>559</v>
      </c>
      <c r="F642" s="54">
        <v>0</v>
      </c>
      <c r="G642" s="54"/>
      <c r="H642" s="54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957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7" t="str">
        <f>IF(Table1[[#This Row],[Auto Order]]=1,IF(Table1[[#This Row],[In stock]]&lt;Table1[[#This Row],[Min in stock]],1,""),"")</f>
        <v/>
      </c>
    </row>
    <row r="643" spans="1:29" hidden="1" x14ac:dyDescent="0.25">
      <c r="A643" s="61" t="s">
        <v>856</v>
      </c>
      <c r="B643" s="34" t="s">
        <v>713</v>
      </c>
      <c r="C643" s="34"/>
      <c r="D643" s="34" t="s">
        <v>857</v>
      </c>
      <c r="E643" s="34" t="s">
        <v>559</v>
      </c>
      <c r="F643" s="54">
        <v>0</v>
      </c>
      <c r="G643" s="54"/>
      <c r="H643" s="54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855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7" t="str">
        <f>IF(Table1[[#This Row],[Auto Order]]=1,IF(Table1[[#This Row],[In stock]]&lt;Table1[[#This Row],[Min in stock]],1,""),"")</f>
        <v/>
      </c>
    </row>
    <row r="644" spans="1:29" hidden="1" x14ac:dyDescent="0.25">
      <c r="A644" s="61" t="s">
        <v>1344</v>
      </c>
      <c r="B644" s="34" t="s">
        <v>713</v>
      </c>
      <c r="C644" s="34"/>
      <c r="D644" s="34" t="s">
        <v>1345</v>
      </c>
      <c r="E644" s="34" t="s">
        <v>559</v>
      </c>
      <c r="F644" s="54">
        <v>0</v>
      </c>
      <c r="G644" s="54"/>
      <c r="H644" s="54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1343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7" t="str">
        <f>IF(Table1[[#This Row],[Auto Order]]=1,IF(Table1[[#This Row],[In stock]]&lt;Table1[[#This Row],[Min in stock]],1,""),"")</f>
        <v/>
      </c>
    </row>
    <row r="645" spans="1:29" hidden="1" x14ac:dyDescent="0.25">
      <c r="A645" s="61" t="s">
        <v>1759</v>
      </c>
      <c r="B645" s="34" t="s">
        <v>713</v>
      </c>
      <c r="C645" s="34"/>
      <c r="D645" s="34" t="s">
        <v>1760</v>
      </c>
      <c r="E645" s="34" t="s">
        <v>559</v>
      </c>
      <c r="F645" s="54">
        <v>0</v>
      </c>
      <c r="G645" s="54"/>
      <c r="H645" s="54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1758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7" t="str">
        <f>IF(Table1[[#This Row],[Auto Order]]=1,IF(Table1[[#This Row],[In stock]]&lt;Table1[[#This Row],[Min in stock]],1,""),"")</f>
        <v/>
      </c>
    </row>
    <row r="646" spans="1:29" hidden="1" x14ac:dyDescent="0.25">
      <c r="A646" s="61" t="s">
        <v>1400</v>
      </c>
      <c r="B646" s="34" t="s">
        <v>713</v>
      </c>
      <c r="C646" s="34"/>
      <c r="D646" s="34" t="s">
        <v>1401</v>
      </c>
      <c r="E646" s="34" t="s">
        <v>559</v>
      </c>
      <c r="F646" s="54">
        <v>0</v>
      </c>
      <c r="G646" s="54"/>
      <c r="H646" s="54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1399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7" t="str">
        <f>IF(Table1[[#This Row],[Auto Order]]=1,IF(Table1[[#This Row],[In stock]]&lt;Table1[[#This Row],[Min in stock]],1,""),"")</f>
        <v/>
      </c>
    </row>
    <row r="647" spans="1:29" hidden="1" x14ac:dyDescent="0.25">
      <c r="A647" s="61" t="s">
        <v>1302</v>
      </c>
      <c r="B647" s="34" t="s">
        <v>713</v>
      </c>
      <c r="C647" s="34"/>
      <c r="D647" s="34" t="s">
        <v>1303</v>
      </c>
      <c r="E647" s="34" t="s">
        <v>559</v>
      </c>
      <c r="F647" s="54">
        <v>0</v>
      </c>
      <c r="G647" s="54"/>
      <c r="H647" s="54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1301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7" t="str">
        <f>IF(Table1[[#This Row],[Auto Order]]=1,IF(Table1[[#This Row],[In stock]]&lt;Table1[[#This Row],[Min in stock]],1,""),"")</f>
        <v/>
      </c>
    </row>
    <row r="648" spans="1:29" hidden="1" x14ac:dyDescent="0.25">
      <c r="A648" s="61" t="s">
        <v>1205</v>
      </c>
      <c r="B648" s="34" t="s">
        <v>713</v>
      </c>
      <c r="C648" s="34"/>
      <c r="D648" s="34" t="s">
        <v>1206</v>
      </c>
      <c r="E648" s="34" t="s">
        <v>559</v>
      </c>
      <c r="F648" s="54">
        <v>0</v>
      </c>
      <c r="G648" s="54"/>
      <c r="H648" s="54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1204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7" t="str">
        <f>IF(Table1[[#This Row],[Auto Order]]=1,IF(Table1[[#This Row],[In stock]]&lt;Table1[[#This Row],[Min in stock]],1,""),"")</f>
        <v/>
      </c>
    </row>
    <row r="649" spans="1:29" hidden="1" x14ac:dyDescent="0.25">
      <c r="A649" s="61" t="s">
        <v>1335</v>
      </c>
      <c r="B649" s="34" t="s">
        <v>713</v>
      </c>
      <c r="C649" s="34"/>
      <c r="D649" s="34" t="s">
        <v>1336</v>
      </c>
      <c r="E649" s="34" t="s">
        <v>559</v>
      </c>
      <c r="F649" s="54">
        <v>0</v>
      </c>
      <c r="G649" s="54"/>
      <c r="H649" s="54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1334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7" t="str">
        <f>IF(Table1[[#This Row],[Auto Order]]=1,IF(Table1[[#This Row],[In stock]]&lt;Table1[[#This Row],[Min in stock]],1,""),"")</f>
        <v/>
      </c>
    </row>
    <row r="650" spans="1:29" hidden="1" x14ac:dyDescent="0.25">
      <c r="A650" s="61" t="s">
        <v>1583</v>
      </c>
      <c r="B650" s="34" t="s">
        <v>713</v>
      </c>
      <c r="C650" s="34"/>
      <c r="D650" s="34" t="s">
        <v>1584</v>
      </c>
      <c r="E650" s="34" t="s">
        <v>559</v>
      </c>
      <c r="F650" s="54">
        <v>0</v>
      </c>
      <c r="G650" s="54"/>
      <c r="H650" s="54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1582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7" t="str">
        <f>IF(Table1[[#This Row],[Auto Order]]=1,IF(Table1[[#This Row],[In stock]]&lt;Table1[[#This Row],[Min in stock]],1,""),"")</f>
        <v/>
      </c>
    </row>
    <row r="651" spans="1:29" hidden="1" x14ac:dyDescent="0.25">
      <c r="A651" s="61" t="s">
        <v>1409</v>
      </c>
      <c r="B651" s="34" t="s">
        <v>713</v>
      </c>
      <c r="C651" s="34"/>
      <c r="D651" s="34" t="s">
        <v>1410</v>
      </c>
      <c r="E651" s="34" t="s">
        <v>559</v>
      </c>
      <c r="F651" s="54">
        <v>0</v>
      </c>
      <c r="G651" s="54"/>
      <c r="H651" s="54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1408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7" t="str">
        <f>IF(Table1[[#This Row],[Auto Order]]=1,IF(Table1[[#This Row],[In stock]]&lt;Table1[[#This Row],[Min in stock]],1,""),"")</f>
        <v/>
      </c>
    </row>
    <row r="652" spans="1:29" hidden="1" x14ac:dyDescent="0.25">
      <c r="A652" s="61" t="s">
        <v>1244</v>
      </c>
      <c r="B652" s="34" t="s">
        <v>713</v>
      </c>
      <c r="C652" s="34"/>
      <c r="D652" s="34" t="s">
        <v>1245</v>
      </c>
      <c r="E652" s="34" t="s">
        <v>559</v>
      </c>
      <c r="F652" s="54">
        <v>0</v>
      </c>
      <c r="G652" s="54"/>
      <c r="H652" s="54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1243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7" t="str">
        <f>IF(Table1[[#This Row],[Auto Order]]=1,IF(Table1[[#This Row],[In stock]]&lt;Table1[[#This Row],[Min in stock]],1,""),"")</f>
        <v/>
      </c>
    </row>
    <row r="653" spans="1:29" hidden="1" x14ac:dyDescent="0.25">
      <c r="A653" s="61" t="s">
        <v>1718</v>
      </c>
      <c r="B653" s="34" t="s">
        <v>713</v>
      </c>
      <c r="C653" s="34"/>
      <c r="D653" s="34" t="s">
        <v>1719</v>
      </c>
      <c r="E653" s="34" t="s">
        <v>559</v>
      </c>
      <c r="F653" s="54">
        <v>0</v>
      </c>
      <c r="G653" s="54"/>
      <c r="H653" s="54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1717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7" t="str">
        <f>IF(Table1[[#This Row],[Auto Order]]=1,IF(Table1[[#This Row],[In stock]]&lt;Table1[[#This Row],[Min in stock]],1,""),"")</f>
        <v/>
      </c>
    </row>
    <row r="654" spans="1:29" hidden="1" x14ac:dyDescent="0.25">
      <c r="A654" s="61" t="s">
        <v>1466</v>
      </c>
      <c r="B654" s="34" t="s">
        <v>713</v>
      </c>
      <c r="C654" s="34"/>
      <c r="D654" s="34" t="s">
        <v>600</v>
      </c>
      <c r="E654" s="34" t="s">
        <v>559</v>
      </c>
      <c r="F654" s="54">
        <v>0</v>
      </c>
      <c r="G654" s="54"/>
      <c r="H654" s="54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1465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7" t="str">
        <f>IF(Table1[[#This Row],[Auto Order]]=1,IF(Table1[[#This Row],[In stock]]&lt;Table1[[#This Row],[Min in stock]],1,""),"")</f>
        <v/>
      </c>
    </row>
    <row r="655" spans="1:29" hidden="1" x14ac:dyDescent="0.25">
      <c r="A655" s="61" t="s">
        <v>1468</v>
      </c>
      <c r="B655" s="34" t="s">
        <v>713</v>
      </c>
      <c r="C655" s="34"/>
      <c r="D655" s="34" t="s">
        <v>633</v>
      </c>
      <c r="E655" s="34" t="s">
        <v>559</v>
      </c>
      <c r="F655" s="54">
        <v>0</v>
      </c>
      <c r="G655" s="54"/>
      <c r="H655" s="54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1467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7" t="str">
        <f>IF(Table1[[#This Row],[Auto Order]]=1,IF(Table1[[#This Row],[In stock]]&lt;Table1[[#This Row],[Min in stock]],1,""),"")</f>
        <v/>
      </c>
    </row>
    <row r="656" spans="1:29" hidden="1" x14ac:dyDescent="0.25">
      <c r="A656" s="61" t="s">
        <v>1371</v>
      </c>
      <c r="B656" s="34" t="s">
        <v>713</v>
      </c>
      <c r="C656" s="34"/>
      <c r="D656" s="34" t="s">
        <v>654</v>
      </c>
      <c r="E656" s="34" t="s">
        <v>559</v>
      </c>
      <c r="F656" s="54">
        <v>0</v>
      </c>
      <c r="G656" s="54"/>
      <c r="H656" s="54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1370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7" t="str">
        <f>IF(Table1[[#This Row],[Auto Order]]=1,IF(Table1[[#This Row],[In stock]]&lt;Table1[[#This Row],[Min in stock]],1,""),"")</f>
        <v/>
      </c>
    </row>
    <row r="657" spans="1:29" hidden="1" x14ac:dyDescent="0.25">
      <c r="A657" s="61" t="s">
        <v>1480</v>
      </c>
      <c r="B657" s="34" t="s">
        <v>713</v>
      </c>
      <c r="C657" s="34"/>
      <c r="D657" s="34" t="s">
        <v>675</v>
      </c>
      <c r="E657" s="34" t="s">
        <v>559</v>
      </c>
      <c r="F657" s="54">
        <v>0</v>
      </c>
      <c r="G657" s="54"/>
      <c r="H657" s="54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1479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7" t="str">
        <f>IF(Table1[[#This Row],[Auto Order]]=1,IF(Table1[[#This Row],[In stock]]&lt;Table1[[#This Row],[Min in stock]],1,""),"")</f>
        <v/>
      </c>
    </row>
    <row r="658" spans="1:29" hidden="1" x14ac:dyDescent="0.25">
      <c r="A658" s="61" t="s">
        <v>720</v>
      </c>
      <c r="B658" s="34" t="s">
        <v>713</v>
      </c>
      <c r="C658" s="34"/>
      <c r="D658" s="34" t="s">
        <v>693</v>
      </c>
      <c r="E658" s="34" t="s">
        <v>559</v>
      </c>
      <c r="F658" s="54">
        <v>0</v>
      </c>
      <c r="G658" s="54"/>
      <c r="H658" s="54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719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7" t="str">
        <f>IF(Table1[[#This Row],[Auto Order]]=1,IF(Table1[[#This Row],[In stock]]&lt;Table1[[#This Row],[Min in stock]],1,""),"")</f>
        <v/>
      </c>
    </row>
    <row r="659" spans="1:29" hidden="1" x14ac:dyDescent="0.25">
      <c r="A659" s="61" t="s">
        <v>737</v>
      </c>
      <c r="B659" s="34" t="s">
        <v>713</v>
      </c>
      <c r="C659" s="34"/>
      <c r="D659" s="34" t="s">
        <v>702</v>
      </c>
      <c r="E659" s="34" t="s">
        <v>559</v>
      </c>
      <c r="F659" s="54">
        <v>0</v>
      </c>
      <c r="G659" s="54"/>
      <c r="H659" s="54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736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7" t="str">
        <f>IF(Table1[[#This Row],[Auto Order]]=1,IF(Table1[[#This Row],[In stock]]&lt;Table1[[#This Row],[Min in stock]],1,""),"")</f>
        <v/>
      </c>
    </row>
    <row r="660" spans="1:29" hidden="1" x14ac:dyDescent="0.25">
      <c r="A660" s="61" t="s">
        <v>1103</v>
      </c>
      <c r="B660" s="34" t="s">
        <v>713</v>
      </c>
      <c r="C660" s="34"/>
      <c r="D660" s="34" t="s">
        <v>1104</v>
      </c>
      <c r="E660" s="34" t="s">
        <v>559</v>
      </c>
      <c r="F660" s="54">
        <v>0</v>
      </c>
      <c r="G660" s="54"/>
      <c r="H660" s="54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1102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7" t="str">
        <f>IF(Table1[[#This Row],[Auto Order]]=1,IF(Table1[[#This Row],[In stock]]&lt;Table1[[#This Row],[Min in stock]],1,""),"")</f>
        <v/>
      </c>
    </row>
    <row r="661" spans="1:29" hidden="1" x14ac:dyDescent="0.25">
      <c r="A661" s="61" t="s">
        <v>1586</v>
      </c>
      <c r="B661" s="34" t="s">
        <v>713</v>
      </c>
      <c r="C661" s="34"/>
      <c r="D661" s="34" t="s">
        <v>1587</v>
      </c>
      <c r="E661" s="34" t="s">
        <v>559</v>
      </c>
      <c r="F661" s="54">
        <v>0</v>
      </c>
      <c r="G661" s="54"/>
      <c r="H661" s="54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1585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7" t="str">
        <f>IF(Table1[[#This Row],[Auto Order]]=1,IF(Table1[[#This Row],[In stock]]&lt;Table1[[#This Row],[Min in stock]],1,""),"")</f>
        <v/>
      </c>
    </row>
    <row r="662" spans="1:29" hidden="1" x14ac:dyDescent="0.25">
      <c r="A662" s="61" t="s">
        <v>1181</v>
      </c>
      <c r="B662" s="34" t="s">
        <v>713</v>
      </c>
      <c r="C662" s="34"/>
      <c r="D662" s="34" t="s">
        <v>1182</v>
      </c>
      <c r="E662" s="34" t="s">
        <v>559</v>
      </c>
      <c r="F662" s="54">
        <v>0</v>
      </c>
      <c r="G662" s="54"/>
      <c r="H662" s="54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1180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7" t="str">
        <f>IF(Table1[[#This Row],[Auto Order]]=1,IF(Table1[[#This Row],[In stock]]&lt;Table1[[#This Row],[Min in stock]],1,""),"")</f>
        <v/>
      </c>
    </row>
    <row r="663" spans="1:29" hidden="1" x14ac:dyDescent="0.25">
      <c r="A663" s="61" t="s">
        <v>1518</v>
      </c>
      <c r="B663" s="34" t="s">
        <v>713</v>
      </c>
      <c r="C663" s="34"/>
      <c r="D663" s="34" t="s">
        <v>618</v>
      </c>
      <c r="E663" s="34" t="s">
        <v>559</v>
      </c>
      <c r="F663" s="54">
        <v>0</v>
      </c>
      <c r="G663" s="54"/>
      <c r="H663" s="54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1517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7" t="str">
        <f>IF(Table1[[#This Row],[Auto Order]]=1,IF(Table1[[#This Row],[In stock]]&lt;Table1[[#This Row],[Min in stock]],1,""),"")</f>
        <v/>
      </c>
    </row>
    <row r="664" spans="1:29" hidden="1" x14ac:dyDescent="0.25">
      <c r="A664" s="61" t="s">
        <v>1589</v>
      </c>
      <c r="B664" s="34" t="s">
        <v>713</v>
      </c>
      <c r="C664" s="34"/>
      <c r="D664" s="34" t="s">
        <v>1590</v>
      </c>
      <c r="E664" s="34" t="s">
        <v>559</v>
      </c>
      <c r="F664" s="54">
        <v>0</v>
      </c>
      <c r="G664" s="54"/>
      <c r="H664" s="54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1588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7" t="str">
        <f>IF(Table1[[#This Row],[Auto Order]]=1,IF(Table1[[#This Row],[In stock]]&lt;Table1[[#This Row],[Min in stock]],1,""),"")</f>
        <v/>
      </c>
    </row>
    <row r="665" spans="1:29" hidden="1" x14ac:dyDescent="0.25">
      <c r="A665" s="61" t="s">
        <v>1592</v>
      </c>
      <c r="B665" s="34" t="s">
        <v>713</v>
      </c>
      <c r="C665" s="34"/>
      <c r="D665" s="34" t="s">
        <v>1593</v>
      </c>
      <c r="E665" s="34" t="s">
        <v>559</v>
      </c>
      <c r="F665" s="54">
        <v>0</v>
      </c>
      <c r="G665" s="54"/>
      <c r="H665" s="54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1591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7" t="str">
        <f>IF(Table1[[#This Row],[Auto Order]]=1,IF(Table1[[#This Row],[In stock]]&lt;Table1[[#This Row],[Min in stock]],1,""),"")</f>
        <v/>
      </c>
    </row>
    <row r="666" spans="1:29" hidden="1" x14ac:dyDescent="0.25">
      <c r="A666" s="61" t="s">
        <v>1595</v>
      </c>
      <c r="B666" s="34" t="s">
        <v>713</v>
      </c>
      <c r="C666" s="34"/>
      <c r="D666" s="34" t="s">
        <v>1596</v>
      </c>
      <c r="E666" s="34" t="s">
        <v>559</v>
      </c>
      <c r="F666" s="54">
        <v>0</v>
      </c>
      <c r="G666" s="54"/>
      <c r="H666" s="54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1594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7" t="str">
        <f>IF(Table1[[#This Row],[Auto Order]]=1,IF(Table1[[#This Row],[In stock]]&lt;Table1[[#This Row],[Min in stock]],1,""),"")</f>
        <v/>
      </c>
    </row>
    <row r="667" spans="1:29" hidden="1" x14ac:dyDescent="0.25">
      <c r="A667" s="61" t="s">
        <v>1273</v>
      </c>
      <c r="B667" s="34" t="s">
        <v>713</v>
      </c>
      <c r="C667" s="34"/>
      <c r="D667" s="34" t="s">
        <v>1274</v>
      </c>
      <c r="E667" s="34" t="s">
        <v>559</v>
      </c>
      <c r="F667" s="54">
        <v>0</v>
      </c>
      <c r="G667" s="54"/>
      <c r="H667" s="54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1272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7" t="str">
        <f>IF(Table1[[#This Row],[Auto Order]]=1,IF(Table1[[#This Row],[In stock]]&lt;Table1[[#This Row],[Min in stock]],1,""),"")</f>
        <v/>
      </c>
    </row>
    <row r="668" spans="1:29" hidden="1" x14ac:dyDescent="0.25">
      <c r="A668" s="61" t="s">
        <v>961</v>
      </c>
      <c r="B668" s="34" t="s">
        <v>713</v>
      </c>
      <c r="C668" s="34"/>
      <c r="D668" s="34" t="s">
        <v>962</v>
      </c>
      <c r="E668" s="34" t="s">
        <v>559</v>
      </c>
      <c r="F668" s="54">
        <v>0</v>
      </c>
      <c r="G668" s="54"/>
      <c r="H668" s="54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960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7" t="str">
        <f>IF(Table1[[#This Row],[Auto Order]]=1,IF(Table1[[#This Row],[In stock]]&lt;Table1[[#This Row],[Min in stock]],1,""),"")</f>
        <v/>
      </c>
    </row>
    <row r="669" spans="1:29" hidden="1" x14ac:dyDescent="0.25">
      <c r="A669" s="61" t="s">
        <v>1598</v>
      </c>
      <c r="B669" s="34" t="s">
        <v>713</v>
      </c>
      <c r="C669" s="34"/>
      <c r="D669" s="34" t="s">
        <v>1599</v>
      </c>
      <c r="E669" s="34" t="s">
        <v>559</v>
      </c>
      <c r="F669" s="54">
        <v>0</v>
      </c>
      <c r="G669" s="54"/>
      <c r="H669" s="54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1597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7" t="str">
        <f>IF(Table1[[#This Row],[Auto Order]]=1,IF(Table1[[#This Row],[In stock]]&lt;Table1[[#This Row],[Min in stock]],1,""),"")</f>
        <v/>
      </c>
    </row>
    <row r="670" spans="1:29" hidden="1" x14ac:dyDescent="0.25">
      <c r="A670" s="61" t="s">
        <v>1765</v>
      </c>
      <c r="B670" s="34" t="s">
        <v>713</v>
      </c>
      <c r="C670" s="34"/>
      <c r="D670" s="34" t="s">
        <v>636</v>
      </c>
      <c r="E670" s="34" t="s">
        <v>559</v>
      </c>
      <c r="F670" s="54">
        <v>0</v>
      </c>
      <c r="G670" s="54"/>
      <c r="H670" s="54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1764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7" t="str">
        <f>IF(Table1[[#This Row],[Auto Order]]=1,IF(Table1[[#This Row],[In stock]]&lt;Table1[[#This Row],[Min in stock]],1,""),"")</f>
        <v/>
      </c>
    </row>
    <row r="671" spans="1:29" hidden="1" x14ac:dyDescent="0.25">
      <c r="A671" s="61" t="s">
        <v>1492</v>
      </c>
      <c r="B671" s="34" t="s">
        <v>713</v>
      </c>
      <c r="C671" s="34"/>
      <c r="D671" s="34" t="s">
        <v>657</v>
      </c>
      <c r="E671" s="34" t="s">
        <v>559</v>
      </c>
      <c r="F671" s="54">
        <v>0</v>
      </c>
      <c r="G671" s="54"/>
      <c r="H671" s="54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1491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7" t="str">
        <f>IF(Table1[[#This Row],[Auto Order]]=1,IF(Table1[[#This Row],[In stock]]&lt;Table1[[#This Row],[Min in stock]],1,""),"")</f>
        <v/>
      </c>
    </row>
    <row r="672" spans="1:29" hidden="1" x14ac:dyDescent="0.25">
      <c r="A672" s="61" t="s">
        <v>751</v>
      </c>
      <c r="B672" s="34" t="s">
        <v>713</v>
      </c>
      <c r="C672" s="34"/>
      <c r="D672" s="34" t="s">
        <v>678</v>
      </c>
      <c r="E672" s="34" t="s">
        <v>559</v>
      </c>
      <c r="F672" s="54">
        <v>0</v>
      </c>
      <c r="G672" s="54"/>
      <c r="H672" s="54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750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7" t="str">
        <f>IF(Table1[[#This Row],[Auto Order]]=1,IF(Table1[[#This Row],[In stock]]&lt;Table1[[#This Row],[Min in stock]],1,""),"")</f>
        <v/>
      </c>
    </row>
    <row r="673" spans="1:29" hidden="1" x14ac:dyDescent="0.25">
      <c r="A673" s="61" t="s">
        <v>724</v>
      </c>
      <c r="B673" s="34" t="s">
        <v>713</v>
      </c>
      <c r="C673" s="34"/>
      <c r="D673" s="34" t="s">
        <v>725</v>
      </c>
      <c r="E673" s="34" t="s">
        <v>559</v>
      </c>
      <c r="F673" s="54">
        <v>0</v>
      </c>
      <c r="G673" s="54"/>
      <c r="H673" s="54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723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7" t="str">
        <f>IF(Table1[[#This Row],[Auto Order]]=1,IF(Table1[[#This Row],[In stock]]&lt;Table1[[#This Row],[Min in stock]],1,""),"")</f>
        <v/>
      </c>
    </row>
    <row r="674" spans="1:29" hidden="1" x14ac:dyDescent="0.25">
      <c r="A674" s="61" t="s">
        <v>742</v>
      </c>
      <c r="B674" s="34" t="s">
        <v>713</v>
      </c>
      <c r="C674" s="34"/>
      <c r="D674" s="34" t="s">
        <v>743</v>
      </c>
      <c r="E674" s="34" t="s">
        <v>559</v>
      </c>
      <c r="F674" s="54">
        <v>0</v>
      </c>
      <c r="G674" s="54"/>
      <c r="H674" s="54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741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7" t="str">
        <f>IF(Table1[[#This Row],[Auto Order]]=1,IF(Table1[[#This Row],[In stock]]&lt;Table1[[#This Row],[Min in stock]],1,""),"")</f>
        <v/>
      </c>
    </row>
    <row r="675" spans="1:29" hidden="1" x14ac:dyDescent="0.25">
      <c r="A675" s="61" t="s">
        <v>1290</v>
      </c>
      <c r="B675" s="34" t="s">
        <v>713</v>
      </c>
      <c r="C675" s="34"/>
      <c r="D675" s="34" t="s">
        <v>1291</v>
      </c>
      <c r="E675" s="34" t="s">
        <v>559</v>
      </c>
      <c r="F675" s="54">
        <v>0</v>
      </c>
      <c r="G675" s="54"/>
      <c r="H675" s="54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1289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7" t="str">
        <f>IF(Table1[[#This Row],[Auto Order]]=1,IF(Table1[[#This Row],[In stock]]&lt;Table1[[#This Row],[Min in stock]],1,""),"")</f>
        <v/>
      </c>
    </row>
    <row r="676" spans="1:29" hidden="1" x14ac:dyDescent="0.25">
      <c r="A676" s="61" t="s">
        <v>1450</v>
      </c>
      <c r="B676" s="34" t="s">
        <v>713</v>
      </c>
      <c r="C676" s="34"/>
      <c r="D676" s="34" t="s">
        <v>1451</v>
      </c>
      <c r="E676" s="34" t="s">
        <v>559</v>
      </c>
      <c r="F676" s="54">
        <v>0</v>
      </c>
      <c r="G676" s="54"/>
      <c r="H676" s="54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1449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7" t="str">
        <f>IF(Table1[[#This Row],[Auto Order]]=1,IF(Table1[[#This Row],[In stock]]&lt;Table1[[#This Row],[Min in stock]],1,""),"")</f>
        <v/>
      </c>
    </row>
    <row r="677" spans="1:29" hidden="1" x14ac:dyDescent="0.25">
      <c r="A677" s="61" t="s">
        <v>1356</v>
      </c>
      <c r="B677" s="34" t="s">
        <v>713</v>
      </c>
      <c r="C677" s="34"/>
      <c r="D677" s="34" t="s">
        <v>1357</v>
      </c>
      <c r="E677" s="34" t="s">
        <v>559</v>
      </c>
      <c r="F677" s="54">
        <v>0</v>
      </c>
      <c r="G677" s="54"/>
      <c r="H677" s="54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1355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7" t="str">
        <f>IF(Table1[[#This Row],[Auto Order]]=1,IF(Table1[[#This Row],[In stock]]&lt;Table1[[#This Row],[Min in stock]],1,""),"")</f>
        <v/>
      </c>
    </row>
    <row r="678" spans="1:29" hidden="1" x14ac:dyDescent="0.25">
      <c r="A678" s="61" t="s">
        <v>1317</v>
      </c>
      <c r="B678" s="34" t="s">
        <v>713</v>
      </c>
      <c r="C678" s="34"/>
      <c r="D678" s="34" t="s">
        <v>1318</v>
      </c>
      <c r="E678" s="34" t="s">
        <v>559</v>
      </c>
      <c r="F678" s="54">
        <v>0</v>
      </c>
      <c r="G678" s="54"/>
      <c r="H678" s="54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1316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7" t="str">
        <f>IF(Table1[[#This Row],[Auto Order]]=1,IF(Table1[[#This Row],[In stock]]&lt;Table1[[#This Row],[Min in stock]],1,""),"")</f>
        <v/>
      </c>
    </row>
    <row r="679" spans="1:29" hidden="1" x14ac:dyDescent="0.25">
      <c r="A679" s="61" t="s">
        <v>1106</v>
      </c>
      <c r="B679" s="34" t="s">
        <v>713</v>
      </c>
      <c r="C679" s="34"/>
      <c r="D679" s="34" t="s">
        <v>1107</v>
      </c>
      <c r="E679" s="34" t="s">
        <v>559</v>
      </c>
      <c r="F679" s="54">
        <v>0</v>
      </c>
      <c r="G679" s="54"/>
      <c r="H679" s="54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1105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7" t="str">
        <f>IF(Table1[[#This Row],[Auto Order]]=1,IF(Table1[[#This Row],[In stock]]&lt;Table1[[#This Row],[Min in stock]],1,""),"")</f>
        <v/>
      </c>
    </row>
    <row r="680" spans="1:29" hidden="1" x14ac:dyDescent="0.25">
      <c r="A680" s="61" t="s">
        <v>1421</v>
      </c>
      <c r="B680" s="34" t="s">
        <v>713</v>
      </c>
      <c r="C680" s="34"/>
      <c r="D680" s="34" t="s">
        <v>621</v>
      </c>
      <c r="E680" s="34" t="s">
        <v>559</v>
      </c>
      <c r="F680" s="54">
        <v>0</v>
      </c>
      <c r="G680" s="54"/>
      <c r="H680" s="54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1420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7" t="str">
        <f>IF(Table1[[#This Row],[Auto Order]]=1,IF(Table1[[#This Row],[In stock]]&lt;Table1[[#This Row],[Min in stock]],1,""),"")</f>
        <v/>
      </c>
    </row>
    <row r="681" spans="1:29" hidden="1" x14ac:dyDescent="0.25">
      <c r="A681" s="61" t="s">
        <v>964</v>
      </c>
      <c r="B681" s="34" t="s">
        <v>713</v>
      </c>
      <c r="C681" s="34"/>
      <c r="D681" s="34" t="s">
        <v>965</v>
      </c>
      <c r="E681" s="34" t="s">
        <v>559</v>
      </c>
      <c r="F681" s="54">
        <v>0</v>
      </c>
      <c r="G681" s="54"/>
      <c r="H681" s="54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963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7" t="str">
        <f>IF(Table1[[#This Row],[Auto Order]]=1,IF(Table1[[#This Row],[In stock]]&lt;Table1[[#This Row],[Min in stock]],1,""),"")</f>
        <v/>
      </c>
    </row>
    <row r="682" spans="1:29" hidden="1" x14ac:dyDescent="0.25">
      <c r="A682" s="61" t="s">
        <v>1412</v>
      </c>
      <c r="B682" s="34" t="s">
        <v>713</v>
      </c>
      <c r="C682" s="34"/>
      <c r="D682" s="34" t="s">
        <v>1413</v>
      </c>
      <c r="E682" s="34" t="s">
        <v>559</v>
      </c>
      <c r="F682" s="54">
        <v>0</v>
      </c>
      <c r="G682" s="54"/>
      <c r="H682" s="54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1411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7" t="str">
        <f>IF(Table1[[#This Row],[Auto Order]]=1,IF(Table1[[#This Row],[In stock]]&lt;Table1[[#This Row],[Min in stock]],1,""),"")</f>
        <v/>
      </c>
    </row>
    <row r="683" spans="1:29" hidden="1" x14ac:dyDescent="0.25">
      <c r="A683" s="61" t="s">
        <v>859</v>
      </c>
      <c r="B683" s="34" t="s">
        <v>713</v>
      </c>
      <c r="C683" s="34"/>
      <c r="D683" s="34" t="s">
        <v>860</v>
      </c>
      <c r="E683" s="34" t="s">
        <v>559</v>
      </c>
      <c r="F683" s="54">
        <v>0</v>
      </c>
      <c r="G683" s="54"/>
      <c r="H683" s="54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858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7" t="str">
        <f>IF(Table1[[#This Row],[Auto Order]]=1,IF(Table1[[#This Row],[In stock]]&lt;Table1[[#This Row],[Min in stock]],1,""),"")</f>
        <v/>
      </c>
    </row>
    <row r="684" spans="1:29" hidden="1" x14ac:dyDescent="0.25">
      <c r="A684" s="61" t="s">
        <v>967</v>
      </c>
      <c r="B684" s="34" t="s">
        <v>713</v>
      </c>
      <c r="C684" s="34"/>
      <c r="D684" s="34" t="s">
        <v>968</v>
      </c>
      <c r="E684" s="34" t="s">
        <v>559</v>
      </c>
      <c r="F684" s="54">
        <v>0</v>
      </c>
      <c r="G684" s="54"/>
      <c r="H684" s="54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966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7" t="str">
        <f>IF(Table1[[#This Row],[Auto Order]]=1,IF(Table1[[#This Row],[In stock]]&lt;Table1[[#This Row],[Min in stock]],1,""),"")</f>
        <v/>
      </c>
    </row>
    <row r="685" spans="1:29" hidden="1" x14ac:dyDescent="0.25">
      <c r="A685" s="61" t="s">
        <v>1520</v>
      </c>
      <c r="B685" s="34" t="s">
        <v>713</v>
      </c>
      <c r="C685" s="34"/>
      <c r="D685" s="34" t="s">
        <v>1521</v>
      </c>
      <c r="E685" s="34" t="s">
        <v>559</v>
      </c>
      <c r="F685" s="54">
        <v>0</v>
      </c>
      <c r="G685" s="54"/>
      <c r="H685" s="54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1519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7" t="str">
        <f>IF(Table1[[#This Row],[Auto Order]]=1,IF(Table1[[#This Row],[In stock]]&lt;Table1[[#This Row],[Min in stock]],1,""),"")</f>
        <v/>
      </c>
    </row>
    <row r="686" spans="1:29" hidden="1" x14ac:dyDescent="0.25">
      <c r="A686" s="61" t="s">
        <v>862</v>
      </c>
      <c r="B686" s="34" t="s">
        <v>713</v>
      </c>
      <c r="C686" s="34"/>
      <c r="D686" s="34" t="s">
        <v>863</v>
      </c>
      <c r="E686" s="34" t="s">
        <v>559</v>
      </c>
      <c r="F686" s="54">
        <v>0</v>
      </c>
      <c r="G686" s="54"/>
      <c r="H686" s="54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861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7" t="str">
        <f>IF(Table1[[#This Row],[Auto Order]]=1,IF(Table1[[#This Row],[In stock]]&lt;Table1[[#This Row],[Min in stock]],1,""),"")</f>
        <v/>
      </c>
    </row>
    <row r="687" spans="1:29" hidden="1" x14ac:dyDescent="0.25">
      <c r="A687" s="61" t="s">
        <v>1523</v>
      </c>
      <c r="B687" s="34" t="s">
        <v>713</v>
      </c>
      <c r="C687" s="34"/>
      <c r="D687" s="34" t="s">
        <v>1524</v>
      </c>
      <c r="E687" s="34" t="s">
        <v>559</v>
      </c>
      <c r="F687" s="54">
        <v>0</v>
      </c>
      <c r="G687" s="54"/>
      <c r="H687" s="54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1522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7" t="str">
        <f>IF(Table1[[#This Row],[Auto Order]]=1,IF(Table1[[#This Row],[In stock]]&lt;Table1[[#This Row],[Min in stock]],1,""),"")</f>
        <v/>
      </c>
    </row>
    <row r="688" spans="1:29" hidden="1" x14ac:dyDescent="0.25">
      <c r="A688" s="61" t="s">
        <v>1601</v>
      </c>
      <c r="B688" s="34" t="s">
        <v>713</v>
      </c>
      <c r="C688" s="34"/>
      <c r="D688" s="34" t="s">
        <v>1602</v>
      </c>
      <c r="E688" s="34" t="s">
        <v>559</v>
      </c>
      <c r="F688" s="54">
        <v>0</v>
      </c>
      <c r="G688" s="54"/>
      <c r="H688" s="54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1600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7" t="str">
        <f>IF(Table1[[#This Row],[Auto Order]]=1,IF(Table1[[#This Row],[In stock]]&lt;Table1[[#This Row],[Min in stock]],1,""),"")</f>
        <v/>
      </c>
    </row>
    <row r="689" spans="1:29" hidden="1" x14ac:dyDescent="0.25">
      <c r="A689" s="61" t="s">
        <v>919</v>
      </c>
      <c r="B689" s="34" t="s">
        <v>713</v>
      </c>
      <c r="C689" s="34"/>
      <c r="D689" s="34" t="s">
        <v>920</v>
      </c>
      <c r="E689" s="34" t="s">
        <v>559</v>
      </c>
      <c r="F689" s="54">
        <v>0</v>
      </c>
      <c r="G689" s="54"/>
      <c r="H689" s="54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918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7" t="str">
        <f>IF(Table1[[#This Row],[Auto Order]]=1,IF(Table1[[#This Row],[In stock]]&lt;Table1[[#This Row],[Min in stock]],1,""),"")</f>
        <v/>
      </c>
    </row>
    <row r="690" spans="1:29" hidden="1" x14ac:dyDescent="0.25">
      <c r="A690" s="61" t="s">
        <v>970</v>
      </c>
      <c r="B690" s="34" t="s">
        <v>713</v>
      </c>
      <c r="C690" s="34"/>
      <c r="D690" s="34" t="s">
        <v>971</v>
      </c>
      <c r="E690" s="34" t="s">
        <v>559</v>
      </c>
      <c r="F690" s="54">
        <v>0</v>
      </c>
      <c r="G690" s="54"/>
      <c r="H690" s="54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969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7" t="str">
        <f>IF(Table1[[#This Row],[Auto Order]]=1,IF(Table1[[#This Row],[In stock]]&lt;Table1[[#This Row],[Min in stock]],1,""),"")</f>
        <v/>
      </c>
    </row>
    <row r="691" spans="1:29" hidden="1" x14ac:dyDescent="0.25">
      <c r="A691" s="61" t="s">
        <v>1706</v>
      </c>
      <c r="B691" s="34" t="s">
        <v>713</v>
      </c>
      <c r="C691" s="34"/>
      <c r="D691" s="34" t="s">
        <v>1707</v>
      </c>
      <c r="E691" s="34" t="s">
        <v>559</v>
      </c>
      <c r="F691" s="54">
        <v>0</v>
      </c>
      <c r="G691" s="54"/>
      <c r="H691" s="54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1705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7" t="str">
        <f>IF(Table1[[#This Row],[Auto Order]]=1,IF(Table1[[#This Row],[In stock]]&lt;Table1[[#This Row],[Min in stock]],1,""),"")</f>
        <v/>
      </c>
    </row>
    <row r="692" spans="1:29" hidden="1" x14ac:dyDescent="0.25">
      <c r="A692" s="61" t="s">
        <v>1730</v>
      </c>
      <c r="B692" s="34" t="s">
        <v>713</v>
      </c>
      <c r="C692" s="34"/>
      <c r="D692" s="34" t="s">
        <v>1731</v>
      </c>
      <c r="E692" s="34" t="s">
        <v>559</v>
      </c>
      <c r="F692" s="54">
        <v>0</v>
      </c>
      <c r="G692" s="54"/>
      <c r="H692" s="54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1729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7" t="str">
        <f>IF(Table1[[#This Row],[Auto Order]]=1,IF(Table1[[#This Row],[In stock]]&lt;Table1[[#This Row],[Min in stock]],1,""),"")</f>
        <v/>
      </c>
    </row>
    <row r="693" spans="1:29" hidden="1" x14ac:dyDescent="0.25">
      <c r="A693" s="61" t="s">
        <v>1397</v>
      </c>
      <c r="B693" s="34" t="s">
        <v>713</v>
      </c>
      <c r="C693" s="34"/>
      <c r="D693" s="34" t="s">
        <v>1398</v>
      </c>
      <c r="E693" s="34" t="s">
        <v>559</v>
      </c>
      <c r="F693" s="54">
        <v>0</v>
      </c>
      <c r="G693" s="54"/>
      <c r="H693" s="54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1396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7" t="str">
        <f>IF(Table1[[#This Row],[Auto Order]]=1,IF(Table1[[#This Row],[In stock]]&lt;Table1[[#This Row],[Min in stock]],1,""),"")</f>
        <v/>
      </c>
    </row>
    <row r="694" spans="1:29" hidden="1" x14ac:dyDescent="0.25">
      <c r="A694" s="61" t="s">
        <v>865</v>
      </c>
      <c r="B694" s="34" t="s">
        <v>713</v>
      </c>
      <c r="C694" s="34"/>
      <c r="D694" s="34" t="s">
        <v>696</v>
      </c>
      <c r="E694" s="34" t="s">
        <v>559</v>
      </c>
      <c r="F694" s="54">
        <v>0</v>
      </c>
      <c r="G694" s="54"/>
      <c r="H694" s="54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864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7" t="str">
        <f>IF(Table1[[#This Row],[Auto Order]]=1,IF(Table1[[#This Row],[In stock]]&lt;Table1[[#This Row],[Min in stock]],1,""),"")</f>
        <v/>
      </c>
    </row>
    <row r="695" spans="1:29" hidden="1" x14ac:dyDescent="0.25">
      <c r="A695" s="61" t="s">
        <v>1604</v>
      </c>
      <c r="B695" s="34" t="s">
        <v>713</v>
      </c>
      <c r="C695" s="34"/>
      <c r="D695" s="34" t="s">
        <v>1605</v>
      </c>
      <c r="E695" s="34" t="s">
        <v>559</v>
      </c>
      <c r="F695" s="54">
        <v>0</v>
      </c>
      <c r="G695" s="54"/>
      <c r="H695" s="54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1603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7" t="str">
        <f>IF(Table1[[#This Row],[Auto Order]]=1,IF(Table1[[#This Row],[In stock]]&lt;Table1[[#This Row],[Min in stock]],1,""),"")</f>
        <v/>
      </c>
    </row>
    <row r="696" spans="1:29" hidden="1" x14ac:dyDescent="0.25">
      <c r="A696" s="61" t="s">
        <v>1526</v>
      </c>
      <c r="B696" s="34" t="s">
        <v>713</v>
      </c>
      <c r="C696" s="34"/>
      <c r="D696" s="34" t="s">
        <v>1527</v>
      </c>
      <c r="E696" s="34" t="s">
        <v>559</v>
      </c>
      <c r="F696" s="54">
        <v>0</v>
      </c>
      <c r="G696" s="54"/>
      <c r="H696" s="54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1525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7" t="str">
        <f>IF(Table1[[#This Row],[Auto Order]]=1,IF(Table1[[#This Row],[In stock]]&lt;Table1[[#This Row],[Min in stock]],1,""),"")</f>
        <v/>
      </c>
    </row>
    <row r="697" spans="1:29" hidden="1" x14ac:dyDescent="0.25">
      <c r="A697" s="61" t="s">
        <v>1229</v>
      </c>
      <c r="B697" s="34" t="s">
        <v>713</v>
      </c>
      <c r="C697" s="34"/>
      <c r="D697" s="34" t="s">
        <v>1230</v>
      </c>
      <c r="E697" s="34" t="s">
        <v>559</v>
      </c>
      <c r="F697" s="54">
        <v>0</v>
      </c>
      <c r="G697" s="54"/>
      <c r="H697" s="54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1228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7" t="str">
        <f>IF(Table1[[#This Row],[Auto Order]]=1,IF(Table1[[#This Row],[In stock]]&lt;Table1[[#This Row],[Min in stock]],1,""),"")</f>
        <v/>
      </c>
    </row>
    <row r="698" spans="1:29" hidden="1" x14ac:dyDescent="0.25">
      <c r="A698" s="61" t="s">
        <v>1118</v>
      </c>
      <c r="B698" s="34" t="s">
        <v>713</v>
      </c>
      <c r="C698" s="34"/>
      <c r="D698" s="34" t="s">
        <v>1119</v>
      </c>
      <c r="E698" s="34" t="s">
        <v>559</v>
      </c>
      <c r="F698" s="54">
        <v>0</v>
      </c>
      <c r="G698" s="54"/>
      <c r="H698" s="54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1117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7" t="str">
        <f>IF(Table1[[#This Row],[Auto Order]]=1,IF(Table1[[#This Row],[In stock]]&lt;Table1[[#This Row],[Min in stock]],1,""),"")</f>
        <v/>
      </c>
    </row>
    <row r="699" spans="1:29" hidden="1" x14ac:dyDescent="0.25">
      <c r="A699" s="61" t="s">
        <v>829</v>
      </c>
      <c r="B699" s="34" t="s">
        <v>713</v>
      </c>
      <c r="C699" s="34"/>
      <c r="D699" s="34" t="s">
        <v>830</v>
      </c>
      <c r="E699" s="34" t="s">
        <v>559</v>
      </c>
      <c r="F699" s="54">
        <v>0</v>
      </c>
      <c r="G699" s="54"/>
      <c r="H699" s="54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828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7" t="str">
        <f>IF(Table1[[#This Row],[Auto Order]]=1,IF(Table1[[#This Row],[In stock]]&lt;Table1[[#This Row],[Min in stock]],1,""),"")</f>
        <v/>
      </c>
    </row>
    <row r="700" spans="1:29" hidden="1" x14ac:dyDescent="0.25">
      <c r="A700" s="61" t="s">
        <v>1061</v>
      </c>
      <c r="B700" s="34" t="s">
        <v>713</v>
      </c>
      <c r="C700" s="34"/>
      <c r="D700" s="34" t="s">
        <v>1062</v>
      </c>
      <c r="E700" s="34" t="s">
        <v>559</v>
      </c>
      <c r="F700" s="54">
        <v>0</v>
      </c>
      <c r="G700" s="54"/>
      <c r="H700" s="54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1060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7" t="str">
        <f>IF(Table1[[#This Row],[Auto Order]]=1,IF(Table1[[#This Row],[In stock]]&lt;Table1[[#This Row],[Min in stock]],1,""),"")</f>
        <v/>
      </c>
    </row>
    <row r="701" spans="1:29" hidden="1" x14ac:dyDescent="0.25">
      <c r="A701" s="61" t="s">
        <v>1241</v>
      </c>
      <c r="B701" s="34" t="s">
        <v>713</v>
      </c>
      <c r="C701" s="34"/>
      <c r="D701" s="34" t="s">
        <v>1242</v>
      </c>
      <c r="E701" s="34" t="s">
        <v>559</v>
      </c>
      <c r="F701" s="54">
        <v>0</v>
      </c>
      <c r="G701" s="54"/>
      <c r="H701" s="54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1240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7" t="str">
        <f>IF(Table1[[#This Row],[Auto Order]]=1,IF(Table1[[#This Row],[In stock]]&lt;Table1[[#This Row],[Min in stock]],1,""),"")</f>
        <v/>
      </c>
    </row>
    <row r="702" spans="1:29" hidden="1" x14ac:dyDescent="0.25">
      <c r="A702" s="61" t="s">
        <v>1607</v>
      </c>
      <c r="B702" s="34" t="s">
        <v>713</v>
      </c>
      <c r="C702" s="34"/>
      <c r="D702" s="34" t="s">
        <v>1608</v>
      </c>
      <c r="E702" s="34" t="s">
        <v>559</v>
      </c>
      <c r="F702" s="54">
        <v>0</v>
      </c>
      <c r="G702" s="54"/>
      <c r="H702" s="54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1606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7" t="str">
        <f>IF(Table1[[#This Row],[Auto Order]]=1,IF(Table1[[#This Row],[In stock]]&lt;Table1[[#This Row],[Min in stock]],1,""),"")</f>
        <v/>
      </c>
    </row>
    <row r="703" spans="1:29" hidden="1" x14ac:dyDescent="0.25">
      <c r="A703" s="61" t="s">
        <v>973</v>
      </c>
      <c r="B703" s="34" t="s">
        <v>713</v>
      </c>
      <c r="C703" s="34"/>
      <c r="D703" s="34" t="s">
        <v>974</v>
      </c>
      <c r="E703" s="34" t="s">
        <v>559</v>
      </c>
      <c r="F703" s="54">
        <v>0</v>
      </c>
      <c r="G703" s="54"/>
      <c r="H703" s="54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972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7" t="str">
        <f>IF(Table1[[#This Row],[Auto Order]]=1,IF(Table1[[#This Row],[In stock]]&lt;Table1[[#This Row],[Min in stock]],1,""),"")</f>
        <v/>
      </c>
    </row>
    <row r="704" spans="1:29" hidden="1" x14ac:dyDescent="0.25">
      <c r="A704" s="61" t="s">
        <v>867</v>
      </c>
      <c r="B704" s="34" t="s">
        <v>713</v>
      </c>
      <c r="C704" s="34"/>
      <c r="D704" s="34" t="s">
        <v>868</v>
      </c>
      <c r="E704" s="34" t="s">
        <v>559</v>
      </c>
      <c r="F704" s="54">
        <v>0</v>
      </c>
      <c r="G704" s="54"/>
      <c r="H704" s="54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866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7" t="str">
        <f>IF(Table1[[#This Row],[Auto Order]]=1,IF(Table1[[#This Row],[In stock]]&lt;Table1[[#This Row],[Min in stock]],1,""),"")</f>
        <v/>
      </c>
    </row>
    <row r="705" spans="1:29" hidden="1" x14ac:dyDescent="0.25">
      <c r="A705" s="61" t="s">
        <v>870</v>
      </c>
      <c r="B705" s="34" t="s">
        <v>713</v>
      </c>
      <c r="C705" s="34"/>
      <c r="D705" s="34" t="s">
        <v>871</v>
      </c>
      <c r="E705" s="34" t="s">
        <v>559</v>
      </c>
      <c r="F705" s="54">
        <v>0</v>
      </c>
      <c r="G705" s="54"/>
      <c r="H705" s="54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869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7" t="str">
        <f>IF(Table1[[#This Row],[Auto Order]]=1,IF(Table1[[#This Row],[In stock]]&lt;Table1[[#This Row],[Min in stock]],1,""),"")</f>
        <v/>
      </c>
    </row>
    <row r="706" spans="1:29" hidden="1" x14ac:dyDescent="0.25">
      <c r="A706" s="61" t="s">
        <v>729</v>
      </c>
      <c r="B706" s="34" t="s">
        <v>713</v>
      </c>
      <c r="C706" s="34"/>
      <c r="D706" s="34" t="s">
        <v>730</v>
      </c>
      <c r="E706" s="34" t="s">
        <v>559</v>
      </c>
      <c r="F706" s="54">
        <v>0</v>
      </c>
      <c r="G706" s="54"/>
      <c r="H706" s="54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728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7" t="str">
        <f>IF(Table1[[#This Row],[Auto Order]]=1,IF(Table1[[#This Row],[In stock]]&lt;Table1[[#This Row],[Min in stock]],1,""),"")</f>
        <v/>
      </c>
    </row>
    <row r="707" spans="1:29" hidden="1" x14ac:dyDescent="0.25">
      <c r="A707" s="61" t="s">
        <v>1247</v>
      </c>
      <c r="B707" s="34" t="s">
        <v>713</v>
      </c>
      <c r="C707" s="34"/>
      <c r="D707" s="34" t="s">
        <v>1248</v>
      </c>
      <c r="E707" s="34" t="s">
        <v>559</v>
      </c>
      <c r="F707" s="54">
        <v>0</v>
      </c>
      <c r="G707" s="54"/>
      <c r="H707" s="54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1246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7" t="str">
        <f>IF(Table1[[#This Row],[Auto Order]]=1,IF(Table1[[#This Row],[In stock]]&lt;Table1[[#This Row],[Min in stock]],1,""),"")</f>
        <v/>
      </c>
    </row>
    <row r="708" spans="1:29" hidden="1" x14ac:dyDescent="0.25">
      <c r="A708" s="61" t="s">
        <v>1208</v>
      </c>
      <c r="B708" s="34" t="s">
        <v>713</v>
      </c>
      <c r="C708" s="34"/>
      <c r="D708" s="34" t="s">
        <v>1209</v>
      </c>
      <c r="E708" s="34" t="s">
        <v>559</v>
      </c>
      <c r="F708" s="54">
        <v>0</v>
      </c>
      <c r="G708" s="54"/>
      <c r="H708" s="54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1207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7" t="str">
        <f>IF(Table1[[#This Row],[Auto Order]]=1,IF(Table1[[#This Row],[In stock]]&lt;Table1[[#This Row],[Min in stock]],1,""),"")</f>
        <v/>
      </c>
    </row>
    <row r="709" spans="1:29" hidden="1" x14ac:dyDescent="0.25">
      <c r="A709" s="61" t="s">
        <v>1688</v>
      </c>
      <c r="B709" s="34" t="s">
        <v>713</v>
      </c>
      <c r="C709" s="34"/>
      <c r="D709" s="34" t="s">
        <v>1689</v>
      </c>
      <c r="E709" s="34" t="s">
        <v>559</v>
      </c>
      <c r="F709" s="54">
        <v>0</v>
      </c>
      <c r="G709" s="54"/>
      <c r="H709" s="54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1687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7" t="str">
        <f>IF(Table1[[#This Row],[Auto Order]]=1,IF(Table1[[#This Row],[In stock]]&lt;Table1[[#This Row],[Min in stock]],1,""),"")</f>
        <v/>
      </c>
    </row>
    <row r="710" spans="1:29" hidden="1" x14ac:dyDescent="0.25">
      <c r="A710" s="61" t="s">
        <v>976</v>
      </c>
      <c r="B710" s="34" t="s">
        <v>713</v>
      </c>
      <c r="C710" s="34"/>
      <c r="D710" s="34" t="s">
        <v>977</v>
      </c>
      <c r="E710" s="34" t="s">
        <v>559</v>
      </c>
      <c r="F710" s="54">
        <v>0</v>
      </c>
      <c r="G710" s="54"/>
      <c r="H710" s="54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975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7" t="str">
        <f>IF(Table1[[#This Row],[Auto Order]]=1,IF(Table1[[#This Row],[In stock]]&lt;Table1[[#This Row],[Min in stock]],1,""),"")</f>
        <v/>
      </c>
    </row>
    <row r="711" spans="1:29" hidden="1" x14ac:dyDescent="0.25">
      <c r="A711" s="61" t="s">
        <v>979</v>
      </c>
      <c r="B711" s="34" t="s">
        <v>713</v>
      </c>
      <c r="C711" s="34"/>
      <c r="D711" s="34" t="s">
        <v>980</v>
      </c>
      <c r="E711" s="34" t="s">
        <v>559</v>
      </c>
      <c r="F711" s="54">
        <v>0</v>
      </c>
      <c r="G711" s="54"/>
      <c r="H711" s="54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978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7" t="str">
        <f>IF(Table1[[#This Row],[Auto Order]]=1,IF(Table1[[#This Row],[In stock]]&lt;Table1[[#This Row],[Min in stock]],1,""),"")</f>
        <v/>
      </c>
    </row>
    <row r="712" spans="1:29" hidden="1" x14ac:dyDescent="0.25">
      <c r="A712" s="61" t="s">
        <v>1733</v>
      </c>
      <c r="B712" s="34" t="s">
        <v>713</v>
      </c>
      <c r="C712" s="34"/>
      <c r="D712" s="34" t="s">
        <v>1734</v>
      </c>
      <c r="E712" s="34" t="s">
        <v>559</v>
      </c>
      <c r="F712" s="54">
        <v>0</v>
      </c>
      <c r="G712" s="54"/>
      <c r="H712" s="54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1732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7" t="str">
        <f>IF(Table1[[#This Row],[Auto Order]]=1,IF(Table1[[#This Row],[In stock]]&lt;Table1[[#This Row],[Min in stock]],1,""),"")</f>
        <v/>
      </c>
    </row>
    <row r="713" spans="1:29" hidden="1" x14ac:dyDescent="0.25">
      <c r="A713" s="61" t="s">
        <v>1067</v>
      </c>
      <c r="B713" s="34" t="s">
        <v>713</v>
      </c>
      <c r="C713" s="34"/>
      <c r="D713" s="34" t="s">
        <v>1068</v>
      </c>
      <c r="E713" s="34" t="s">
        <v>559</v>
      </c>
      <c r="F713" s="54">
        <v>0</v>
      </c>
      <c r="G713" s="54"/>
      <c r="H713" s="54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1066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7" t="str">
        <f>IF(Table1[[#This Row],[Auto Order]]=1,IF(Table1[[#This Row],[In stock]]&lt;Table1[[#This Row],[Min in stock]],1,""),"")</f>
        <v/>
      </c>
    </row>
    <row r="714" spans="1:29" hidden="1" x14ac:dyDescent="0.25">
      <c r="A714" s="61" t="s">
        <v>1284</v>
      </c>
      <c r="B714" s="34" t="s">
        <v>713</v>
      </c>
      <c r="C714" s="34"/>
      <c r="D714" s="34" t="s">
        <v>1285</v>
      </c>
      <c r="E714" s="34" t="s">
        <v>559</v>
      </c>
      <c r="F714" s="54">
        <v>0</v>
      </c>
      <c r="G714" s="54"/>
      <c r="H714" s="54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1283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7" t="str">
        <f>IF(Table1[[#This Row],[Auto Order]]=1,IF(Table1[[#This Row],[In stock]]&lt;Table1[[#This Row],[Min in stock]],1,""),"")</f>
        <v/>
      </c>
    </row>
    <row r="715" spans="1:29" hidden="1" x14ac:dyDescent="0.25">
      <c r="A715" s="61" t="s">
        <v>1139</v>
      </c>
      <c r="B715" s="34" t="s">
        <v>713</v>
      </c>
      <c r="C715" s="34"/>
      <c r="D715" s="34" t="s">
        <v>1140</v>
      </c>
      <c r="E715" s="34" t="s">
        <v>559</v>
      </c>
      <c r="F715" s="54">
        <v>0</v>
      </c>
      <c r="G715" s="54"/>
      <c r="H715" s="54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1138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7" t="str">
        <f>IF(Table1[[#This Row],[Auto Order]]=1,IF(Table1[[#This Row],[In stock]]&lt;Table1[[#This Row],[Min in stock]],1,""),"")</f>
        <v/>
      </c>
    </row>
    <row r="716" spans="1:29" hidden="1" x14ac:dyDescent="0.25">
      <c r="A716" s="61" t="s">
        <v>1262</v>
      </c>
      <c r="B716" s="34" t="s">
        <v>713</v>
      </c>
      <c r="C716" s="34"/>
      <c r="D716" s="34" t="s">
        <v>1263</v>
      </c>
      <c r="E716" s="34" t="s">
        <v>559</v>
      </c>
      <c r="F716" s="54">
        <v>0</v>
      </c>
      <c r="G716" s="54"/>
      <c r="H716" s="54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1261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7" t="str">
        <f>IF(Table1[[#This Row],[Auto Order]]=1,IF(Table1[[#This Row],[In stock]]&lt;Table1[[#This Row],[Min in stock]],1,""),"")</f>
        <v/>
      </c>
    </row>
    <row r="717" spans="1:29" hidden="1" x14ac:dyDescent="0.25">
      <c r="A717" s="61" t="s">
        <v>1610</v>
      </c>
      <c r="B717" s="34" t="s">
        <v>713</v>
      </c>
      <c r="C717" s="34"/>
      <c r="D717" s="34" t="s">
        <v>1611</v>
      </c>
      <c r="E717" s="34" t="s">
        <v>559</v>
      </c>
      <c r="F717" s="54">
        <v>0</v>
      </c>
      <c r="G717" s="54"/>
      <c r="H717" s="54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1609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7" t="str">
        <f>IF(Table1[[#This Row],[Auto Order]]=1,IF(Table1[[#This Row],[In stock]]&lt;Table1[[#This Row],[Min in stock]],1,""),"")</f>
        <v/>
      </c>
    </row>
    <row r="718" spans="1:29" hidden="1" x14ac:dyDescent="0.25">
      <c r="A718" s="61" t="s">
        <v>1613</v>
      </c>
      <c r="B718" s="34" t="s">
        <v>713</v>
      </c>
      <c r="C718" s="34"/>
      <c r="D718" s="34" t="s">
        <v>1614</v>
      </c>
      <c r="E718" s="34" t="s">
        <v>559</v>
      </c>
      <c r="F718" s="54">
        <v>0</v>
      </c>
      <c r="G718" s="54"/>
      <c r="H718" s="54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1612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7" t="str">
        <f>IF(Table1[[#This Row],[Auto Order]]=1,IF(Table1[[#This Row],[In stock]]&lt;Table1[[#This Row],[Min in stock]],1,""),"")</f>
        <v/>
      </c>
    </row>
    <row r="719" spans="1:29" hidden="1" x14ac:dyDescent="0.25">
      <c r="A719" s="61" t="s">
        <v>1712</v>
      </c>
      <c r="B719" s="34" t="s">
        <v>713</v>
      </c>
      <c r="C719" s="34"/>
      <c r="D719" s="34" t="s">
        <v>1713</v>
      </c>
      <c r="E719" s="34" t="s">
        <v>559</v>
      </c>
      <c r="F719" s="54">
        <v>0</v>
      </c>
      <c r="G719" s="54"/>
      <c r="H719" s="54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1711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7" t="str">
        <f>IF(Table1[[#This Row],[Auto Order]]=1,IF(Table1[[#This Row],[In stock]]&lt;Table1[[#This Row],[Min in stock]],1,""),"")</f>
        <v/>
      </c>
    </row>
    <row r="720" spans="1:29" hidden="1" x14ac:dyDescent="0.25">
      <c r="A720" s="61" t="s">
        <v>1436</v>
      </c>
      <c r="B720" s="34" t="s">
        <v>713</v>
      </c>
      <c r="C720" s="34"/>
      <c r="D720" s="34" t="s">
        <v>1437</v>
      </c>
      <c r="E720" s="34" t="s">
        <v>559</v>
      </c>
      <c r="F720" s="54">
        <v>0</v>
      </c>
      <c r="G720" s="54"/>
      <c r="H720" s="54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1435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7" t="str">
        <f>IF(Table1[[#This Row],[Auto Order]]=1,IF(Table1[[#This Row],[In stock]]&lt;Table1[[#This Row],[Min in stock]],1,""),"")</f>
        <v/>
      </c>
    </row>
    <row r="721" spans="1:29" hidden="1" x14ac:dyDescent="0.25">
      <c r="A721" s="61" t="s">
        <v>1406</v>
      </c>
      <c r="B721" s="34" t="s">
        <v>713</v>
      </c>
      <c r="C721" s="34"/>
      <c r="D721" s="34" t="s">
        <v>1407</v>
      </c>
      <c r="E721" s="34" t="s">
        <v>559</v>
      </c>
      <c r="F721" s="54">
        <v>0</v>
      </c>
      <c r="G721" s="54"/>
      <c r="H721" s="54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1405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7" t="str">
        <f>IF(Table1[[#This Row],[Auto Order]]=1,IF(Table1[[#This Row],[In stock]]&lt;Table1[[#This Row],[Min in stock]],1,""),"")</f>
        <v/>
      </c>
    </row>
    <row r="722" spans="1:29" hidden="1" x14ac:dyDescent="0.25">
      <c r="A722" s="61" t="s">
        <v>1715</v>
      </c>
      <c r="B722" s="34" t="s">
        <v>713</v>
      </c>
      <c r="C722" s="34"/>
      <c r="D722" s="34" t="s">
        <v>1716</v>
      </c>
      <c r="E722" s="34" t="s">
        <v>559</v>
      </c>
      <c r="F722" s="54">
        <v>0</v>
      </c>
      <c r="G722" s="54"/>
      <c r="H722" s="54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1714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7" t="str">
        <f>IF(Table1[[#This Row],[Auto Order]]=1,IF(Table1[[#This Row],[In stock]]&lt;Table1[[#This Row],[Min in stock]],1,""),"")</f>
        <v/>
      </c>
    </row>
    <row r="723" spans="1:29" hidden="1" x14ac:dyDescent="0.25">
      <c r="A723" s="61" t="s">
        <v>745</v>
      </c>
      <c r="B723" s="34" t="s">
        <v>713</v>
      </c>
      <c r="C723" s="34"/>
      <c r="D723" s="34" t="s">
        <v>746</v>
      </c>
      <c r="E723" s="34" t="s">
        <v>559</v>
      </c>
      <c r="F723" s="54">
        <v>0</v>
      </c>
      <c r="G723" s="54"/>
      <c r="H723" s="54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744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7" t="str">
        <f>IF(Table1[[#This Row],[Auto Order]]=1,IF(Table1[[#This Row],[In stock]]&lt;Table1[[#This Row],[Min in stock]],1,""),"")</f>
        <v/>
      </c>
    </row>
    <row r="724" spans="1:29" hidden="1" x14ac:dyDescent="0.25">
      <c r="A724" s="61" t="s">
        <v>1727</v>
      </c>
      <c r="B724" s="34" t="s">
        <v>713</v>
      </c>
      <c r="C724" s="34"/>
      <c r="D724" s="34" t="s">
        <v>1728</v>
      </c>
      <c r="E724" s="34" t="s">
        <v>559</v>
      </c>
      <c r="F724" s="54">
        <v>0</v>
      </c>
      <c r="G724" s="54"/>
      <c r="H724" s="54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1726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7" t="str">
        <f>IF(Table1[[#This Row],[Auto Order]]=1,IF(Table1[[#This Row],[In stock]]&lt;Table1[[#This Row],[Min in stock]],1,""),"")</f>
        <v/>
      </c>
    </row>
    <row r="725" spans="1:29" hidden="1" x14ac:dyDescent="0.25">
      <c r="A725" s="61" t="s">
        <v>873</v>
      </c>
      <c r="B725" s="34" t="s">
        <v>713</v>
      </c>
      <c r="C725" s="34"/>
      <c r="D725" s="34" t="s">
        <v>874</v>
      </c>
      <c r="E725" s="34" t="s">
        <v>559</v>
      </c>
      <c r="F725" s="54">
        <v>0</v>
      </c>
      <c r="G725" s="54"/>
      <c r="H725" s="54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872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7" t="str">
        <f>IF(Table1[[#This Row],[Auto Order]]=1,IF(Table1[[#This Row],[In stock]]&lt;Table1[[#This Row],[Min in stock]],1,""),"")</f>
        <v/>
      </c>
    </row>
    <row r="726" spans="1:29" hidden="1" x14ac:dyDescent="0.25">
      <c r="A726" s="61" t="s">
        <v>1463</v>
      </c>
      <c r="B726" s="34" t="s">
        <v>713</v>
      </c>
      <c r="C726" s="34"/>
      <c r="D726" s="34" t="s">
        <v>1464</v>
      </c>
      <c r="E726" s="34" t="s">
        <v>559</v>
      </c>
      <c r="F726" s="54">
        <v>0</v>
      </c>
      <c r="G726" s="54"/>
      <c r="H726" s="54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1462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7" t="str">
        <f>IF(Table1[[#This Row],[Auto Order]]=1,IF(Table1[[#This Row],[In stock]]&lt;Table1[[#This Row],[Min in stock]],1,""),"")</f>
        <v/>
      </c>
    </row>
    <row r="727" spans="1:29" hidden="1" x14ac:dyDescent="0.25">
      <c r="A727" s="61" t="s">
        <v>982</v>
      </c>
      <c r="B727" s="34" t="s">
        <v>713</v>
      </c>
      <c r="C727" s="34"/>
      <c r="D727" s="34" t="s">
        <v>983</v>
      </c>
      <c r="E727" s="34" t="s">
        <v>559</v>
      </c>
      <c r="F727" s="54">
        <v>0</v>
      </c>
      <c r="G727" s="54"/>
      <c r="H727" s="54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981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7" t="str">
        <f>IF(Table1[[#This Row],[Auto Order]]=1,IF(Table1[[#This Row],[In stock]]&lt;Table1[[#This Row],[Min in stock]],1,""),"")</f>
        <v/>
      </c>
    </row>
    <row r="728" spans="1:29" hidden="1" x14ac:dyDescent="0.25">
      <c r="A728" s="61" t="s">
        <v>1703</v>
      </c>
      <c r="B728" s="34" t="s">
        <v>713</v>
      </c>
      <c r="C728" s="34"/>
      <c r="D728" s="34" t="s">
        <v>1704</v>
      </c>
      <c r="E728" s="34" t="s">
        <v>559</v>
      </c>
      <c r="F728" s="54">
        <v>0</v>
      </c>
      <c r="G728" s="54"/>
      <c r="H728" s="54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1702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7" t="str">
        <f>IF(Table1[[#This Row],[Auto Order]]=1,IF(Table1[[#This Row],[In stock]]&lt;Table1[[#This Row],[Min in stock]],1,""),"")</f>
        <v/>
      </c>
    </row>
    <row r="729" spans="1:29" hidden="1" x14ac:dyDescent="0.25">
      <c r="A729" s="61" t="s">
        <v>1094</v>
      </c>
      <c r="B729" s="34" t="s">
        <v>713</v>
      </c>
      <c r="C729" s="34"/>
      <c r="D729" s="34" t="s">
        <v>1095</v>
      </c>
      <c r="E729" s="34" t="s">
        <v>559</v>
      </c>
      <c r="F729" s="54">
        <v>0</v>
      </c>
      <c r="G729" s="54"/>
      <c r="H729" s="54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1093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7" t="str">
        <f>IF(Table1[[#This Row],[Auto Order]]=1,IF(Table1[[#This Row],[In stock]]&lt;Table1[[#This Row],[Min in stock]],1,""),"")</f>
        <v/>
      </c>
    </row>
    <row r="730" spans="1:29" hidden="1" x14ac:dyDescent="0.25">
      <c r="A730" s="61" t="s">
        <v>1739</v>
      </c>
      <c r="B730" s="34" t="s">
        <v>713</v>
      </c>
      <c r="C730" s="34"/>
      <c r="D730" s="34" t="s">
        <v>1740</v>
      </c>
      <c r="E730" s="34" t="s">
        <v>559</v>
      </c>
      <c r="F730" s="54">
        <v>0</v>
      </c>
      <c r="G730" s="54"/>
      <c r="H730" s="54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1738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7" t="str">
        <f>IF(Table1[[#This Row],[Auto Order]]=1,IF(Table1[[#This Row],[In stock]]&lt;Table1[[#This Row],[Min in stock]],1,""),"")</f>
        <v/>
      </c>
    </row>
    <row r="731" spans="1:29" hidden="1" x14ac:dyDescent="0.25">
      <c r="A731" s="61" t="s">
        <v>1529</v>
      </c>
      <c r="B731" s="34" t="s">
        <v>713</v>
      </c>
      <c r="C731" s="34"/>
      <c r="D731" s="34" t="s">
        <v>1530</v>
      </c>
      <c r="E731" s="34" t="s">
        <v>559</v>
      </c>
      <c r="F731" s="54">
        <v>0</v>
      </c>
      <c r="G731" s="54"/>
      <c r="H731" s="54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1528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7" t="str">
        <f>IF(Table1[[#This Row],[Auto Order]]=1,IF(Table1[[#This Row],[In stock]]&lt;Table1[[#This Row],[Min in stock]],1,""),"")</f>
        <v/>
      </c>
    </row>
    <row r="732" spans="1:29" hidden="1" x14ac:dyDescent="0.25">
      <c r="A732" s="61" t="s">
        <v>1616</v>
      </c>
      <c r="B732" s="34" t="s">
        <v>713</v>
      </c>
      <c r="C732" s="34"/>
      <c r="D732" s="34" t="s">
        <v>1617</v>
      </c>
      <c r="E732" s="34" t="s">
        <v>559</v>
      </c>
      <c r="F732" s="54">
        <v>0</v>
      </c>
      <c r="G732" s="54"/>
      <c r="H732" s="54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1615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7" t="str">
        <f>IF(Table1[[#This Row],[Auto Order]]=1,IF(Table1[[#This Row],[In stock]]&lt;Table1[[#This Row],[Min in stock]],1,""),"")</f>
        <v/>
      </c>
    </row>
    <row r="733" spans="1:29" hidden="1" x14ac:dyDescent="0.25">
      <c r="A733" s="61" t="s">
        <v>1154</v>
      </c>
      <c r="B733" s="34" t="s">
        <v>713</v>
      </c>
      <c r="C733" s="34"/>
      <c r="D733" s="34" t="s">
        <v>1155</v>
      </c>
      <c r="E733" s="34" t="s">
        <v>559</v>
      </c>
      <c r="F733" s="54">
        <v>0</v>
      </c>
      <c r="G733" s="54"/>
      <c r="H733" s="54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1153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7" t="str">
        <f>IF(Table1[[#This Row],[Auto Order]]=1,IF(Table1[[#This Row],[In stock]]&lt;Table1[[#This Row],[Min in stock]],1,""),"")</f>
        <v/>
      </c>
    </row>
    <row r="734" spans="1:29" hidden="1" x14ac:dyDescent="0.25">
      <c r="A734" s="61" t="s">
        <v>985</v>
      </c>
      <c r="B734" s="34" t="s">
        <v>713</v>
      </c>
      <c r="C734" s="34"/>
      <c r="D734" s="34" t="s">
        <v>986</v>
      </c>
      <c r="E734" s="34" t="s">
        <v>559</v>
      </c>
      <c r="F734" s="54">
        <v>0</v>
      </c>
      <c r="G734" s="54"/>
      <c r="H734" s="54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984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7" t="str">
        <f>IF(Table1[[#This Row],[Auto Order]]=1,IF(Table1[[#This Row],[In stock]]&lt;Table1[[#This Row],[Min in stock]],1,""),"")</f>
        <v/>
      </c>
    </row>
    <row r="735" spans="1:29" hidden="1" x14ac:dyDescent="0.25">
      <c r="A735" s="61" t="s">
        <v>1767</v>
      </c>
      <c r="B735" s="34" t="s">
        <v>713</v>
      </c>
      <c r="C735" s="34"/>
      <c r="D735" s="34" t="s">
        <v>639</v>
      </c>
      <c r="E735" s="34" t="s">
        <v>559</v>
      </c>
      <c r="F735" s="54">
        <v>0</v>
      </c>
      <c r="G735" s="54"/>
      <c r="H735" s="54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1766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7" t="str">
        <f>IF(Table1[[#This Row],[Auto Order]]=1,IF(Table1[[#This Row],[In stock]]&lt;Table1[[#This Row],[Min in stock]],1,""),"")</f>
        <v/>
      </c>
    </row>
    <row r="736" spans="1:29" hidden="1" x14ac:dyDescent="0.25">
      <c r="A736" s="61" t="s">
        <v>1751</v>
      </c>
      <c r="B736" s="34" t="s">
        <v>713</v>
      </c>
      <c r="C736" s="34"/>
      <c r="D736" s="34" t="s">
        <v>660</v>
      </c>
      <c r="E736" s="34" t="s">
        <v>559</v>
      </c>
      <c r="F736" s="54">
        <v>0</v>
      </c>
      <c r="G736" s="54"/>
      <c r="H736" s="54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1750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7" t="str">
        <f>IF(Table1[[#This Row],[Auto Order]]=1,IF(Table1[[#This Row],[In stock]]&lt;Table1[[#This Row],[Min in stock]],1,""),"")</f>
        <v/>
      </c>
    </row>
    <row r="737" spans="1:29" hidden="1" x14ac:dyDescent="0.25">
      <c r="A737" s="61" t="s">
        <v>799</v>
      </c>
      <c r="B737" s="34" t="s">
        <v>713</v>
      </c>
      <c r="C737" s="34"/>
      <c r="D737" s="34" t="s">
        <v>800</v>
      </c>
      <c r="E737" s="34" t="s">
        <v>559</v>
      </c>
      <c r="F737" s="54">
        <v>0</v>
      </c>
      <c r="G737" s="54"/>
      <c r="H737" s="54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798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7" t="str">
        <f>IF(Table1[[#This Row],[Auto Order]]=1,IF(Table1[[#This Row],[In stock]]&lt;Table1[[#This Row],[Min in stock]],1,""),"")</f>
        <v/>
      </c>
    </row>
    <row r="738" spans="1:29" hidden="1" x14ac:dyDescent="0.25">
      <c r="A738" s="61" t="s">
        <v>753</v>
      </c>
      <c r="B738" s="34" t="s">
        <v>713</v>
      </c>
      <c r="C738" s="34"/>
      <c r="D738" s="34" t="s">
        <v>754</v>
      </c>
      <c r="E738" s="34" t="s">
        <v>559</v>
      </c>
      <c r="F738" s="54">
        <v>0</v>
      </c>
      <c r="G738" s="54"/>
      <c r="H738" s="54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752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7" t="str">
        <f>IF(Table1[[#This Row],[Auto Order]]=1,IF(Table1[[#This Row],[In stock]]&lt;Table1[[#This Row],[Min in stock]],1,""),"")</f>
        <v/>
      </c>
    </row>
    <row r="739" spans="1:29" hidden="1" x14ac:dyDescent="0.25">
      <c r="A739" s="61" t="s">
        <v>876</v>
      </c>
      <c r="B739" s="34" t="s">
        <v>713</v>
      </c>
      <c r="C739" s="34"/>
      <c r="D739" s="34" t="s">
        <v>877</v>
      </c>
      <c r="E739" s="34" t="s">
        <v>559</v>
      </c>
      <c r="F739" s="54">
        <v>0</v>
      </c>
      <c r="G739" s="54"/>
      <c r="H739" s="54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875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7" t="str">
        <f>IF(Table1[[#This Row],[Auto Order]]=1,IF(Table1[[#This Row],[In stock]]&lt;Table1[[#This Row],[Min in stock]],1,""),"")</f>
        <v/>
      </c>
    </row>
    <row r="740" spans="1:29" hidden="1" x14ac:dyDescent="0.25">
      <c r="A740" s="61" t="s">
        <v>1376</v>
      </c>
      <c r="B740" s="34" t="s">
        <v>713</v>
      </c>
      <c r="C740" s="34"/>
      <c r="D740" s="34" t="s">
        <v>1377</v>
      </c>
      <c r="E740" s="34" t="s">
        <v>559</v>
      </c>
      <c r="F740" s="54">
        <v>0</v>
      </c>
      <c r="G740" s="54"/>
      <c r="H740" s="54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1375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7" t="str">
        <f>IF(Table1[[#This Row],[Auto Order]]=1,IF(Table1[[#This Row],[In stock]]&lt;Table1[[#This Row],[Min in stock]],1,""),"")</f>
        <v/>
      </c>
    </row>
    <row r="741" spans="1:29" hidden="1" x14ac:dyDescent="0.25">
      <c r="A741" s="61" t="s">
        <v>832</v>
      </c>
      <c r="B741" s="34" t="s">
        <v>713</v>
      </c>
      <c r="C741" s="34"/>
      <c r="D741" s="34" t="s">
        <v>833</v>
      </c>
      <c r="E741" s="34" t="s">
        <v>559</v>
      </c>
      <c r="F741" s="54">
        <v>0</v>
      </c>
      <c r="G741" s="54"/>
      <c r="H741" s="54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831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7" t="str">
        <f>IF(Table1[[#This Row],[Auto Order]]=1,IF(Table1[[#This Row],[In stock]]&lt;Table1[[#This Row],[Min in stock]],1,""),"")</f>
        <v/>
      </c>
    </row>
    <row r="742" spans="1:29" hidden="1" x14ac:dyDescent="0.25">
      <c r="A742" s="61" t="s">
        <v>879</v>
      </c>
      <c r="B742" s="34" t="s">
        <v>713</v>
      </c>
      <c r="C742" s="34"/>
      <c r="D742" s="34" t="s">
        <v>627</v>
      </c>
      <c r="E742" s="34" t="s">
        <v>559</v>
      </c>
      <c r="F742" s="54">
        <v>0</v>
      </c>
      <c r="G742" s="54"/>
      <c r="H742" s="54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878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7" t="str">
        <f>IF(Table1[[#This Row],[Auto Order]]=1,IF(Table1[[#This Row],[In stock]]&lt;Table1[[#This Row],[Min in stock]],1,""),"")</f>
        <v/>
      </c>
    </row>
    <row r="743" spans="1:29" hidden="1" x14ac:dyDescent="0.25">
      <c r="A743" s="61" t="s">
        <v>988</v>
      </c>
      <c r="B743" s="34" t="s">
        <v>713</v>
      </c>
      <c r="C743" s="34"/>
      <c r="D743" s="34" t="s">
        <v>989</v>
      </c>
      <c r="E743" s="34" t="s">
        <v>559</v>
      </c>
      <c r="F743" s="54">
        <v>0</v>
      </c>
      <c r="G743" s="54"/>
      <c r="H743" s="54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987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7" t="str">
        <f>IF(Table1[[#This Row],[Auto Order]]=1,IF(Table1[[#This Row],[In stock]]&lt;Table1[[#This Row],[Min in stock]],1,""),"")</f>
        <v/>
      </c>
    </row>
    <row r="744" spans="1:29" hidden="1" x14ac:dyDescent="0.25">
      <c r="A744" s="61" t="s">
        <v>1235</v>
      </c>
      <c r="B744" s="34" t="s">
        <v>713</v>
      </c>
      <c r="C744" s="34"/>
      <c r="D744" s="34" t="s">
        <v>1236</v>
      </c>
      <c r="E744" s="34" t="s">
        <v>559</v>
      </c>
      <c r="F744" s="54">
        <v>0</v>
      </c>
      <c r="G744" s="54"/>
      <c r="H744" s="54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1234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7" t="str">
        <f>IF(Table1[[#This Row],[Auto Order]]=1,IF(Table1[[#This Row],[In stock]]&lt;Table1[[#This Row],[Min in stock]],1,""),"")</f>
        <v/>
      </c>
    </row>
    <row r="745" spans="1:29" hidden="1" x14ac:dyDescent="0.25">
      <c r="A745" s="61" t="s">
        <v>1296</v>
      </c>
      <c r="B745" s="34" t="s">
        <v>713</v>
      </c>
      <c r="C745" s="34"/>
      <c r="D745" s="34" t="s">
        <v>1297</v>
      </c>
      <c r="E745" s="34" t="s">
        <v>559</v>
      </c>
      <c r="F745" s="54">
        <v>0</v>
      </c>
      <c r="G745" s="54"/>
      <c r="H745" s="54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1295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7" t="str">
        <f>IF(Table1[[#This Row],[Auto Order]]=1,IF(Table1[[#This Row],[In stock]]&lt;Table1[[#This Row],[Min in stock]],1,""),"")</f>
        <v/>
      </c>
    </row>
    <row r="746" spans="1:29" hidden="1" x14ac:dyDescent="0.25">
      <c r="A746" s="61" t="s">
        <v>1619</v>
      </c>
      <c r="B746" s="34" t="s">
        <v>713</v>
      </c>
      <c r="C746" s="34"/>
      <c r="D746" s="34" t="s">
        <v>1620</v>
      </c>
      <c r="E746" s="34" t="s">
        <v>559</v>
      </c>
      <c r="F746" s="54">
        <v>0</v>
      </c>
      <c r="G746" s="54"/>
      <c r="H746" s="54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1618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7" t="str">
        <f>IF(Table1[[#This Row],[Auto Order]]=1,IF(Table1[[#This Row],[In stock]]&lt;Table1[[#This Row],[Min in stock]],1,""),"")</f>
        <v/>
      </c>
    </row>
    <row r="747" spans="1:29" hidden="1" x14ac:dyDescent="0.25">
      <c r="A747" s="61" t="s">
        <v>1175</v>
      </c>
      <c r="B747" s="34" t="s">
        <v>713</v>
      </c>
      <c r="C747" s="34"/>
      <c r="D747" s="34" t="s">
        <v>1176</v>
      </c>
      <c r="E747" s="34" t="s">
        <v>559</v>
      </c>
      <c r="F747" s="54">
        <v>0</v>
      </c>
      <c r="G747" s="54"/>
      <c r="H747" s="54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1174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7" t="str">
        <f>IF(Table1[[#This Row],[Auto Order]]=1,IF(Table1[[#This Row],[In stock]]&lt;Table1[[#This Row],[Min in stock]],1,""),"")</f>
        <v/>
      </c>
    </row>
    <row r="748" spans="1:29" hidden="1" x14ac:dyDescent="0.25">
      <c r="A748" s="61" t="s">
        <v>1058</v>
      </c>
      <c r="B748" s="34" t="s">
        <v>713</v>
      </c>
      <c r="C748" s="34"/>
      <c r="D748" s="34" t="s">
        <v>1059</v>
      </c>
      <c r="E748" s="34" t="s">
        <v>559</v>
      </c>
      <c r="F748" s="54">
        <v>0</v>
      </c>
      <c r="G748" s="54"/>
      <c r="H748" s="54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1057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7" t="str">
        <f>IF(Table1[[#This Row],[Auto Order]]=1,IF(Table1[[#This Row],[In stock]]&lt;Table1[[#This Row],[Min in stock]],1,""),"")</f>
        <v/>
      </c>
    </row>
    <row r="749" spans="1:29" hidden="1" x14ac:dyDescent="0.25">
      <c r="A749" s="61" t="s">
        <v>1622</v>
      </c>
      <c r="B749" s="34" t="s">
        <v>713</v>
      </c>
      <c r="C749" s="34"/>
      <c r="D749" s="34" t="s">
        <v>1623</v>
      </c>
      <c r="E749" s="34" t="s">
        <v>559</v>
      </c>
      <c r="F749" s="54">
        <v>0</v>
      </c>
      <c r="G749" s="54"/>
      <c r="H749" s="54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1621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7" t="str">
        <f>IF(Table1[[#This Row],[Auto Order]]=1,IF(Table1[[#This Row],[In stock]]&lt;Table1[[#This Row],[Min in stock]],1,""),"")</f>
        <v/>
      </c>
    </row>
    <row r="750" spans="1:29" hidden="1" x14ac:dyDescent="0.25">
      <c r="A750" s="61" t="s">
        <v>1064</v>
      </c>
      <c r="B750" s="34" t="s">
        <v>713</v>
      </c>
      <c r="C750" s="34"/>
      <c r="D750" s="34" t="s">
        <v>1065</v>
      </c>
      <c r="E750" s="34" t="s">
        <v>559</v>
      </c>
      <c r="F750" s="54">
        <v>0</v>
      </c>
      <c r="G750" s="54"/>
      <c r="H750" s="54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1063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7" t="str">
        <f>IF(Table1[[#This Row],[Auto Order]]=1,IF(Table1[[#This Row],[In stock]]&lt;Table1[[#This Row],[Min in stock]],1,""),"")</f>
        <v/>
      </c>
    </row>
    <row r="751" spans="1:29" hidden="1" x14ac:dyDescent="0.25">
      <c r="A751" s="61" t="s">
        <v>1253</v>
      </c>
      <c r="B751" s="34" t="s">
        <v>713</v>
      </c>
      <c r="C751" s="34"/>
      <c r="D751" s="34" t="s">
        <v>1254</v>
      </c>
      <c r="E751" s="34" t="s">
        <v>559</v>
      </c>
      <c r="F751" s="54">
        <v>0</v>
      </c>
      <c r="G751" s="54"/>
      <c r="H751" s="54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1252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7" t="str">
        <f>IF(Table1[[#This Row],[Auto Order]]=1,IF(Table1[[#This Row],[In stock]]&lt;Table1[[#This Row],[Min in stock]],1,""),"")</f>
        <v/>
      </c>
    </row>
    <row r="752" spans="1:29" hidden="1" x14ac:dyDescent="0.25">
      <c r="A752" s="61" t="s">
        <v>925</v>
      </c>
      <c r="B752" s="34" t="s">
        <v>713</v>
      </c>
      <c r="C752" s="34"/>
      <c r="D752" s="34" t="s">
        <v>926</v>
      </c>
      <c r="E752" s="34" t="s">
        <v>559</v>
      </c>
      <c r="F752" s="54">
        <v>0</v>
      </c>
      <c r="G752" s="54"/>
      <c r="H752" s="54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924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7" t="str">
        <f>IF(Table1[[#This Row],[Auto Order]]=1,IF(Table1[[#This Row],[In stock]]&lt;Table1[[#This Row],[Min in stock]],1,""),"")</f>
        <v/>
      </c>
    </row>
    <row r="753" spans="1:29" hidden="1" x14ac:dyDescent="0.25">
      <c r="A753" s="61" t="s">
        <v>1279</v>
      </c>
      <c r="B753" s="34" t="s">
        <v>713</v>
      </c>
      <c r="C753" s="34"/>
      <c r="D753" s="34" t="s">
        <v>1280</v>
      </c>
      <c r="E753" s="34" t="s">
        <v>559</v>
      </c>
      <c r="F753" s="54">
        <v>0</v>
      </c>
      <c r="G753" s="54"/>
      <c r="H753" s="54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1278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7" t="str">
        <f>IF(Table1[[#This Row],[Auto Order]]=1,IF(Table1[[#This Row],[In stock]]&lt;Table1[[#This Row],[Min in stock]],1,""),"")</f>
        <v/>
      </c>
    </row>
    <row r="754" spans="1:29" hidden="1" x14ac:dyDescent="0.25">
      <c r="A754" s="61" t="s">
        <v>1736</v>
      </c>
      <c r="B754" s="34" t="s">
        <v>713</v>
      </c>
      <c r="C754" s="34"/>
      <c r="D754" s="34" t="s">
        <v>1737</v>
      </c>
      <c r="E754" s="34" t="s">
        <v>559</v>
      </c>
      <c r="F754" s="54">
        <v>0</v>
      </c>
      <c r="G754" s="54"/>
      <c r="H754" s="54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1735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7" t="str">
        <f>IF(Table1[[#This Row],[Auto Order]]=1,IF(Table1[[#This Row],[In stock]]&lt;Table1[[#This Row],[Min in stock]],1,""),"")</f>
        <v/>
      </c>
    </row>
    <row r="755" spans="1:29" hidden="1" x14ac:dyDescent="0.25">
      <c r="A755" s="61" t="s">
        <v>1270</v>
      </c>
      <c r="B755" s="34" t="s">
        <v>713</v>
      </c>
      <c r="C755" s="34"/>
      <c r="D755" s="34" t="s">
        <v>1271</v>
      </c>
      <c r="E755" s="34" t="s">
        <v>559</v>
      </c>
      <c r="F755" s="54">
        <v>0</v>
      </c>
      <c r="G755" s="54"/>
      <c r="H755" s="54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1269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7" t="str">
        <f>IF(Table1[[#This Row],[Auto Order]]=1,IF(Table1[[#This Row],[In stock]]&lt;Table1[[#This Row],[Min in stock]],1,""),"")</f>
        <v/>
      </c>
    </row>
    <row r="756" spans="1:29" hidden="1" x14ac:dyDescent="0.25">
      <c r="A756" s="61" t="s">
        <v>1709</v>
      </c>
      <c r="B756" s="34" t="s">
        <v>713</v>
      </c>
      <c r="C756" s="34"/>
      <c r="D756" s="34" t="s">
        <v>1710</v>
      </c>
      <c r="E756" s="34" t="s">
        <v>559</v>
      </c>
      <c r="F756" s="54">
        <v>0</v>
      </c>
      <c r="G756" s="54"/>
      <c r="H756" s="54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1708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7" t="str">
        <f>IF(Table1[[#This Row],[Auto Order]]=1,IF(Table1[[#This Row],[In stock]]&lt;Table1[[#This Row],[Min in stock]],1,""),"")</f>
        <v/>
      </c>
    </row>
    <row r="757" spans="1:29" hidden="1" x14ac:dyDescent="0.25">
      <c r="A757" s="61" t="s">
        <v>1625</v>
      </c>
      <c r="B757" s="34" t="s">
        <v>713</v>
      </c>
      <c r="C757" s="34"/>
      <c r="D757" s="34" t="s">
        <v>1626</v>
      </c>
      <c r="E757" s="34" t="s">
        <v>559</v>
      </c>
      <c r="F757" s="54">
        <v>0</v>
      </c>
      <c r="G757" s="54"/>
      <c r="H757" s="54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1624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7" t="str">
        <f>IF(Table1[[#This Row],[Auto Order]]=1,IF(Table1[[#This Row],[In stock]]&lt;Table1[[#This Row],[Min in stock]],1,""),"")</f>
        <v/>
      </c>
    </row>
    <row r="758" spans="1:29" hidden="1" x14ac:dyDescent="0.25">
      <c r="A758" s="61" t="s">
        <v>1368</v>
      </c>
      <c r="B758" s="34" t="s">
        <v>713</v>
      </c>
      <c r="C758" s="34"/>
      <c r="D758" s="34" t="s">
        <v>1369</v>
      </c>
      <c r="E758" s="34" t="s">
        <v>559</v>
      </c>
      <c r="F758" s="54">
        <v>0</v>
      </c>
      <c r="G758" s="54"/>
      <c r="H758" s="54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1367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7" t="str">
        <f>IF(Table1[[#This Row],[Auto Order]]=1,IF(Table1[[#This Row],[In stock]]&lt;Table1[[#This Row],[Min in stock]],1,""),"")</f>
        <v/>
      </c>
    </row>
    <row r="759" spans="1:29" hidden="1" x14ac:dyDescent="0.25">
      <c r="A759" s="61" t="s">
        <v>881</v>
      </c>
      <c r="B759" s="34" t="s">
        <v>713</v>
      </c>
      <c r="C759" s="34"/>
      <c r="D759" s="34" t="s">
        <v>882</v>
      </c>
      <c r="E759" s="34" t="s">
        <v>559</v>
      </c>
      <c r="F759" s="54">
        <v>0</v>
      </c>
      <c r="G759" s="54"/>
      <c r="H759" s="54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880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7" t="str">
        <f>IF(Table1[[#This Row],[Auto Order]]=1,IF(Table1[[#This Row],[In stock]]&lt;Table1[[#This Row],[Min in stock]],1,""),"")</f>
        <v/>
      </c>
    </row>
    <row r="760" spans="1:29" hidden="1" x14ac:dyDescent="0.25">
      <c r="A760" s="61" t="s">
        <v>1477</v>
      </c>
      <c r="B760" s="34" t="s">
        <v>713</v>
      </c>
      <c r="C760" s="34"/>
      <c r="D760" s="34" t="s">
        <v>1478</v>
      </c>
      <c r="E760" s="34" t="s">
        <v>559</v>
      </c>
      <c r="F760" s="54">
        <v>0</v>
      </c>
      <c r="G760" s="54"/>
      <c r="H760" s="54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1476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7" t="str">
        <f>IF(Table1[[#This Row],[Auto Order]]=1,IF(Table1[[#This Row],[In stock]]&lt;Table1[[#This Row],[Min in stock]],1,""),"")</f>
        <v/>
      </c>
    </row>
    <row r="761" spans="1:29" hidden="1" x14ac:dyDescent="0.25">
      <c r="A761" s="61" t="s">
        <v>739</v>
      </c>
      <c r="B761" s="34" t="s">
        <v>713</v>
      </c>
      <c r="C761" s="34"/>
      <c r="D761" s="34" t="s">
        <v>740</v>
      </c>
      <c r="E761" s="34" t="s">
        <v>559</v>
      </c>
      <c r="F761" s="54">
        <v>0</v>
      </c>
      <c r="G761" s="54"/>
      <c r="H761" s="54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738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7" t="str">
        <f>IF(Table1[[#This Row],[Auto Order]]=1,IF(Table1[[#This Row],[In stock]]&lt;Table1[[#This Row],[Min in stock]],1,""),"")</f>
        <v/>
      </c>
    </row>
    <row r="762" spans="1:29" hidden="1" x14ac:dyDescent="0.25">
      <c r="A762" s="61" t="s">
        <v>884</v>
      </c>
      <c r="B762" s="34" t="s">
        <v>713</v>
      </c>
      <c r="C762" s="34"/>
      <c r="D762" s="34" t="s">
        <v>885</v>
      </c>
      <c r="E762" s="34" t="s">
        <v>559</v>
      </c>
      <c r="F762" s="54">
        <v>0</v>
      </c>
      <c r="G762" s="54"/>
      <c r="H762" s="54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883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7" t="str">
        <f>IF(Table1[[#This Row],[Auto Order]]=1,IF(Table1[[#This Row],[In stock]]&lt;Table1[[#This Row],[Min in stock]],1,""),"")</f>
        <v/>
      </c>
    </row>
    <row r="763" spans="1:29" hidden="1" x14ac:dyDescent="0.25">
      <c r="A763" s="61" t="s">
        <v>1353</v>
      </c>
      <c r="B763" s="34" t="s">
        <v>713</v>
      </c>
      <c r="C763" s="34"/>
      <c r="D763" s="34" t="s">
        <v>1354</v>
      </c>
      <c r="E763" s="34" t="s">
        <v>559</v>
      </c>
      <c r="F763" s="54">
        <v>0</v>
      </c>
      <c r="G763" s="54"/>
      <c r="H763" s="54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1352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7" t="str">
        <f>IF(Table1[[#This Row],[Auto Order]]=1,IF(Table1[[#This Row],[In stock]]&lt;Table1[[#This Row],[Min in stock]],1,""),"")</f>
        <v/>
      </c>
    </row>
    <row r="764" spans="1:29" hidden="1" x14ac:dyDescent="0.25">
      <c r="A764" s="61" t="s">
        <v>1142</v>
      </c>
      <c r="B764" s="34" t="s">
        <v>713</v>
      </c>
      <c r="C764" s="34"/>
      <c r="D764" s="34" t="s">
        <v>1143</v>
      </c>
      <c r="E764" s="34" t="s">
        <v>559</v>
      </c>
      <c r="F764" s="54">
        <v>0</v>
      </c>
      <c r="G764" s="54"/>
      <c r="H764" s="54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1141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7" t="str">
        <f>IF(Table1[[#This Row],[Auto Order]]=1,IF(Table1[[#This Row],[In stock]]&lt;Table1[[#This Row],[Min in stock]],1,""),"")</f>
        <v/>
      </c>
    </row>
    <row r="765" spans="1:29" hidden="1" x14ac:dyDescent="0.25">
      <c r="A765" s="61" t="s">
        <v>1193</v>
      </c>
      <c r="B765" s="34" t="s">
        <v>713</v>
      </c>
      <c r="C765" s="34"/>
      <c r="D765" s="34" t="s">
        <v>1194</v>
      </c>
      <c r="E765" s="34" t="s">
        <v>559</v>
      </c>
      <c r="F765" s="54">
        <v>0</v>
      </c>
      <c r="G765" s="54"/>
      <c r="H765" s="54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1192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7" t="str">
        <f>IF(Table1[[#This Row],[Auto Order]]=1,IF(Table1[[#This Row],[In stock]]&lt;Table1[[#This Row],[Min in stock]],1,""),"")</f>
        <v/>
      </c>
    </row>
    <row r="766" spans="1:29" hidden="1" x14ac:dyDescent="0.25">
      <c r="A766" s="61" t="s">
        <v>1359</v>
      </c>
      <c r="B766" s="34" t="s">
        <v>713</v>
      </c>
      <c r="C766" s="34"/>
      <c r="D766" s="34" t="s">
        <v>1360</v>
      </c>
      <c r="E766" s="34" t="s">
        <v>559</v>
      </c>
      <c r="F766" s="54">
        <v>0</v>
      </c>
      <c r="G766" s="54"/>
      <c r="H766" s="54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1358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7" t="str">
        <f>IF(Table1[[#This Row],[Auto Order]]=1,IF(Table1[[#This Row],[In stock]]&lt;Table1[[#This Row],[Min in stock]],1,""),"")</f>
        <v/>
      </c>
    </row>
    <row r="767" spans="1:29" hidden="1" x14ac:dyDescent="0.25">
      <c r="A767" s="61" t="s">
        <v>802</v>
      </c>
      <c r="B767" s="34" t="s">
        <v>713</v>
      </c>
      <c r="C767" s="34"/>
      <c r="D767" s="34" t="s">
        <v>803</v>
      </c>
      <c r="E767" s="34" t="s">
        <v>559</v>
      </c>
      <c r="F767" s="54">
        <v>0</v>
      </c>
      <c r="G767" s="54"/>
      <c r="H767" s="54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801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7" t="str">
        <f>IF(Table1[[#This Row],[Auto Order]]=1,IF(Table1[[#This Row],[In stock]]&lt;Table1[[#This Row],[Min in stock]],1,""),"")</f>
        <v/>
      </c>
    </row>
    <row r="768" spans="1:29" hidden="1" x14ac:dyDescent="0.25">
      <c r="A768" s="61" t="s">
        <v>887</v>
      </c>
      <c r="B768" s="34" t="s">
        <v>713</v>
      </c>
      <c r="C768" s="34"/>
      <c r="D768" s="34" t="s">
        <v>888</v>
      </c>
      <c r="E768" s="34" t="s">
        <v>559</v>
      </c>
      <c r="F768" s="54">
        <v>0</v>
      </c>
      <c r="G768" s="54"/>
      <c r="H768" s="54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886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7" t="str">
        <f>IF(Table1[[#This Row],[Auto Order]]=1,IF(Table1[[#This Row],[In stock]]&lt;Table1[[#This Row],[Min in stock]],1,""),"")</f>
        <v/>
      </c>
    </row>
    <row r="769" spans="1:29" hidden="1" x14ac:dyDescent="0.25">
      <c r="A769" s="61" t="s">
        <v>1433</v>
      </c>
      <c r="B769" s="34" t="s">
        <v>713</v>
      </c>
      <c r="C769" s="34"/>
      <c r="D769" s="34" t="s">
        <v>1434</v>
      </c>
      <c r="E769" s="34" t="s">
        <v>559</v>
      </c>
      <c r="F769" s="54">
        <v>0</v>
      </c>
      <c r="G769" s="54"/>
      <c r="H769" s="54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1432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7" t="str">
        <f>IF(Table1[[#This Row],[Auto Order]]=1,IF(Table1[[#This Row],[In stock]]&lt;Table1[[#This Row],[Min in stock]],1,""),"")</f>
        <v/>
      </c>
    </row>
    <row r="770" spans="1:29" hidden="1" x14ac:dyDescent="0.25">
      <c r="A770" s="61" t="s">
        <v>805</v>
      </c>
      <c r="B770" s="34" t="s">
        <v>713</v>
      </c>
      <c r="C770" s="34"/>
      <c r="D770" s="34" t="s">
        <v>806</v>
      </c>
      <c r="E770" s="34" t="s">
        <v>559</v>
      </c>
      <c r="F770" s="54">
        <v>0</v>
      </c>
      <c r="G770" s="54"/>
      <c r="H770" s="54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804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7" t="str">
        <f>IF(Table1[[#This Row],[Auto Order]]=1,IF(Table1[[#This Row],[In stock]]&lt;Table1[[#This Row],[Min in stock]],1,""),"")</f>
        <v/>
      </c>
    </row>
    <row r="771" spans="1:29" hidden="1" x14ac:dyDescent="0.25">
      <c r="A771" s="61" t="s">
        <v>1509</v>
      </c>
      <c r="B771" s="34" t="s">
        <v>713</v>
      </c>
      <c r="C771" s="34"/>
      <c r="D771" s="34" t="s">
        <v>1510</v>
      </c>
      <c r="E771" s="34" t="s">
        <v>559</v>
      </c>
      <c r="F771" s="54">
        <v>0</v>
      </c>
      <c r="G771" s="54"/>
      <c r="H771" s="54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1508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7" t="str">
        <f>IF(Table1[[#This Row],[Auto Order]]=1,IF(Table1[[#This Row],[In stock]]&lt;Table1[[#This Row],[Min in stock]],1,""),"")</f>
        <v/>
      </c>
    </row>
    <row r="772" spans="1:29" hidden="1" x14ac:dyDescent="0.25">
      <c r="A772" s="61" t="s">
        <v>991</v>
      </c>
      <c r="B772" s="34" t="s">
        <v>713</v>
      </c>
      <c r="C772" s="34"/>
      <c r="D772" s="34" t="s">
        <v>992</v>
      </c>
      <c r="E772" s="34" t="s">
        <v>559</v>
      </c>
      <c r="F772" s="54">
        <v>0</v>
      </c>
      <c r="G772" s="54"/>
      <c r="H772" s="54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990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7" t="str">
        <f>IF(Table1[[#This Row],[Auto Order]]=1,IF(Table1[[#This Row],[In stock]]&lt;Table1[[#This Row],[Min in stock]],1,""),"")</f>
        <v/>
      </c>
    </row>
    <row r="773" spans="1:29" hidden="1" x14ac:dyDescent="0.25">
      <c r="A773" s="61" t="s">
        <v>1628</v>
      </c>
      <c r="B773" s="34" t="s">
        <v>713</v>
      </c>
      <c r="C773" s="34"/>
      <c r="D773" s="34" t="s">
        <v>1629</v>
      </c>
      <c r="E773" s="34" t="s">
        <v>559</v>
      </c>
      <c r="F773" s="54">
        <v>0</v>
      </c>
      <c r="G773" s="54"/>
      <c r="H773" s="54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1627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7" t="str">
        <f>IF(Table1[[#This Row],[Auto Order]]=1,IF(Table1[[#This Row],[In stock]]&lt;Table1[[#This Row],[Min in stock]],1,""),"")</f>
        <v/>
      </c>
    </row>
    <row r="774" spans="1:29" hidden="1" x14ac:dyDescent="0.25">
      <c r="A774" s="61" t="s">
        <v>1697</v>
      </c>
      <c r="B774" s="34" t="s">
        <v>713</v>
      </c>
      <c r="C774" s="34"/>
      <c r="D774" s="34" t="s">
        <v>1698</v>
      </c>
      <c r="E774" s="34" t="s">
        <v>559</v>
      </c>
      <c r="F774" s="54">
        <v>0</v>
      </c>
      <c r="G774" s="54"/>
      <c r="H774" s="54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1696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7" t="str">
        <f>IF(Table1[[#This Row],[Auto Order]]=1,IF(Table1[[#This Row],[In stock]]&lt;Table1[[#This Row],[Min in stock]],1,""),"")</f>
        <v/>
      </c>
    </row>
    <row r="775" spans="1:29" hidden="1" x14ac:dyDescent="0.25">
      <c r="A775" s="61" t="s">
        <v>1445</v>
      </c>
      <c r="B775" s="34" t="s">
        <v>713</v>
      </c>
      <c r="C775" s="34"/>
      <c r="D775" s="34" t="s">
        <v>1446</v>
      </c>
      <c r="E775" s="34" t="s">
        <v>559</v>
      </c>
      <c r="F775" s="54">
        <v>0</v>
      </c>
      <c r="G775" s="54"/>
      <c r="H775" s="54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1444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7" t="str">
        <f>IF(Table1[[#This Row],[Auto Order]]=1,IF(Table1[[#This Row],[In stock]]&lt;Table1[[#This Row],[Min in stock]],1,""),"")</f>
        <v/>
      </c>
    </row>
    <row r="776" spans="1:29" hidden="1" x14ac:dyDescent="0.25">
      <c r="A776" s="61" t="s">
        <v>1056</v>
      </c>
      <c r="B776" s="34" t="s">
        <v>713</v>
      </c>
      <c r="C776" s="34"/>
      <c r="D776" s="34" t="s">
        <v>681</v>
      </c>
      <c r="E776" s="34" t="s">
        <v>559</v>
      </c>
      <c r="F776" s="54">
        <v>0</v>
      </c>
      <c r="G776" s="54"/>
      <c r="H776" s="54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1055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7" t="str">
        <f>IF(Table1[[#This Row],[Auto Order]]=1,IF(Table1[[#This Row],[In stock]]&lt;Table1[[#This Row],[Min in stock]],1,""),"")</f>
        <v/>
      </c>
    </row>
    <row r="777" spans="1:29" hidden="1" x14ac:dyDescent="0.25">
      <c r="A777" s="61" t="s">
        <v>1762</v>
      </c>
      <c r="B777" s="34" t="s">
        <v>713</v>
      </c>
      <c r="C777" s="34"/>
      <c r="D777" s="34" t="s">
        <v>1763</v>
      </c>
      <c r="E777" s="34" t="s">
        <v>559</v>
      </c>
      <c r="F777" s="54">
        <v>0</v>
      </c>
      <c r="G777" s="54"/>
      <c r="H777" s="54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1761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7" t="str">
        <f>IF(Table1[[#This Row],[Auto Order]]=1,IF(Table1[[#This Row],[In stock]]&lt;Table1[[#This Row],[Min in stock]],1,""),"")</f>
        <v/>
      </c>
    </row>
    <row r="778" spans="1:29" hidden="1" x14ac:dyDescent="0.25">
      <c r="A778" s="61" t="s">
        <v>890</v>
      </c>
      <c r="B778" s="34" t="s">
        <v>713</v>
      </c>
      <c r="C778" s="34"/>
      <c r="D778" s="34" t="s">
        <v>891</v>
      </c>
      <c r="E778" s="34" t="s">
        <v>559</v>
      </c>
      <c r="F778" s="54">
        <v>0</v>
      </c>
      <c r="G778" s="54"/>
      <c r="H778" s="54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889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7" t="str">
        <f>IF(Table1[[#This Row],[Auto Order]]=1,IF(Table1[[#This Row],[In stock]]&lt;Table1[[#This Row],[Min in stock]],1,""),"")</f>
        <v/>
      </c>
    </row>
    <row r="779" spans="1:29" hidden="1" x14ac:dyDescent="0.25">
      <c r="A779" s="61" t="s">
        <v>928</v>
      </c>
      <c r="B779" s="34" t="s">
        <v>713</v>
      </c>
      <c r="C779" s="34"/>
      <c r="D779" s="34" t="s">
        <v>929</v>
      </c>
      <c r="E779" s="34" t="s">
        <v>559</v>
      </c>
      <c r="F779" s="54">
        <v>0</v>
      </c>
      <c r="G779" s="54"/>
      <c r="H779" s="54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927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7" t="str">
        <f>IF(Table1[[#This Row],[Auto Order]]=1,IF(Table1[[#This Row],[In stock]]&lt;Table1[[#This Row],[Min in stock]],1,""),"")</f>
        <v/>
      </c>
    </row>
    <row r="780" spans="1:29" hidden="1" x14ac:dyDescent="0.25">
      <c r="A780" s="61" t="s">
        <v>1079</v>
      </c>
      <c r="B780" s="34" t="s">
        <v>713</v>
      </c>
      <c r="C780" s="34"/>
      <c r="D780" s="34" t="s">
        <v>1080</v>
      </c>
      <c r="E780" s="34" t="s">
        <v>559</v>
      </c>
      <c r="F780" s="54">
        <v>0</v>
      </c>
      <c r="G780" s="54"/>
      <c r="H780" s="54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1078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7" t="str">
        <f>IF(Table1[[#This Row],[Auto Order]]=1,IF(Table1[[#This Row],[In stock]]&lt;Table1[[#This Row],[Min in stock]],1,""),"")</f>
        <v/>
      </c>
    </row>
    <row r="781" spans="1:29" hidden="1" x14ac:dyDescent="0.25">
      <c r="A781" s="61" t="s">
        <v>1238</v>
      </c>
      <c r="B781" s="34" t="s">
        <v>713</v>
      </c>
      <c r="C781" s="34"/>
      <c r="D781" s="34" t="s">
        <v>1239</v>
      </c>
      <c r="E781" s="34" t="s">
        <v>559</v>
      </c>
      <c r="F781" s="54">
        <v>0</v>
      </c>
      <c r="G781" s="54"/>
      <c r="H781" s="54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1237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7" t="str">
        <f>IF(Table1[[#This Row],[Auto Order]]=1,IF(Table1[[#This Row],[In stock]]&lt;Table1[[#This Row],[Min in stock]],1,""),"")</f>
        <v/>
      </c>
    </row>
    <row r="782" spans="1:29" hidden="1" x14ac:dyDescent="0.25">
      <c r="A782" s="61" t="s">
        <v>1631</v>
      </c>
      <c r="B782" s="34" t="s">
        <v>713</v>
      </c>
      <c r="C782" s="34"/>
      <c r="D782" s="34" t="s">
        <v>1632</v>
      </c>
      <c r="E782" s="34" t="s">
        <v>559</v>
      </c>
      <c r="F782" s="54">
        <v>0</v>
      </c>
      <c r="G782" s="54"/>
      <c r="H782" s="54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1630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7" t="str">
        <f>IF(Table1[[#This Row],[Auto Order]]=1,IF(Table1[[#This Row],[In stock]]&lt;Table1[[#This Row],[Min in stock]],1,""),"")</f>
        <v/>
      </c>
    </row>
    <row r="783" spans="1:29" hidden="1" x14ac:dyDescent="0.25">
      <c r="A783" s="61" t="s">
        <v>1532</v>
      </c>
      <c r="B783" s="34" t="s">
        <v>713</v>
      </c>
      <c r="C783" s="34"/>
      <c r="D783" s="34" t="s">
        <v>1533</v>
      </c>
      <c r="E783" s="34" t="s">
        <v>559</v>
      </c>
      <c r="F783" s="54">
        <v>0</v>
      </c>
      <c r="G783" s="54"/>
      <c r="H783" s="54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1531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7" t="str">
        <f>IF(Table1[[#This Row],[Auto Order]]=1,IF(Table1[[#This Row],[In stock]]&lt;Table1[[#This Row],[Min in stock]],1,""),"")</f>
        <v/>
      </c>
    </row>
    <row r="784" spans="1:29" hidden="1" x14ac:dyDescent="0.25">
      <c r="A784" s="61" t="s">
        <v>784</v>
      </c>
      <c r="B784" s="34" t="s">
        <v>713</v>
      </c>
      <c r="C784" s="34"/>
      <c r="D784" s="34" t="s">
        <v>785</v>
      </c>
      <c r="E784" s="34" t="s">
        <v>559</v>
      </c>
      <c r="F784" s="54">
        <v>0</v>
      </c>
      <c r="G784" s="54"/>
      <c r="H784" s="54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783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7" t="str">
        <f>IF(Table1[[#This Row],[Auto Order]]=1,IF(Table1[[#This Row],[In stock]]&lt;Table1[[#This Row],[Min in stock]],1,""),"")</f>
        <v/>
      </c>
    </row>
    <row r="785" spans="1:29" hidden="1" x14ac:dyDescent="0.25">
      <c r="A785" s="61" t="s">
        <v>1073</v>
      </c>
      <c r="B785" s="34" t="s">
        <v>713</v>
      </c>
      <c r="C785" s="34"/>
      <c r="D785" s="34" t="s">
        <v>1074</v>
      </c>
      <c r="E785" s="34" t="s">
        <v>559</v>
      </c>
      <c r="F785" s="54">
        <v>0</v>
      </c>
      <c r="G785" s="54"/>
      <c r="H785" s="54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1072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7" t="str">
        <f>IF(Table1[[#This Row],[Auto Order]]=1,IF(Table1[[#This Row],[In stock]]&lt;Table1[[#This Row],[Min in stock]],1,""),"")</f>
        <v/>
      </c>
    </row>
    <row r="786" spans="1:29" hidden="1" x14ac:dyDescent="0.25">
      <c r="A786" s="61" t="s">
        <v>994</v>
      </c>
      <c r="B786" s="34" t="s">
        <v>713</v>
      </c>
      <c r="C786" s="34"/>
      <c r="D786" s="34" t="s">
        <v>995</v>
      </c>
      <c r="E786" s="34" t="s">
        <v>559</v>
      </c>
      <c r="F786" s="54">
        <v>0</v>
      </c>
      <c r="G786" s="54"/>
      <c r="H786" s="54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993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7" t="str">
        <f>IF(Table1[[#This Row],[Auto Order]]=1,IF(Table1[[#This Row],[In stock]]&lt;Table1[[#This Row],[Min in stock]],1,""),"")</f>
        <v/>
      </c>
    </row>
    <row r="787" spans="1:29" hidden="1" x14ac:dyDescent="0.25">
      <c r="A787" s="61" t="s">
        <v>1314</v>
      </c>
      <c r="B787" s="34" t="s">
        <v>713</v>
      </c>
      <c r="C787" s="34"/>
      <c r="D787" s="34" t="s">
        <v>1315</v>
      </c>
      <c r="E787" s="34" t="s">
        <v>559</v>
      </c>
      <c r="F787" s="54">
        <v>0</v>
      </c>
      <c r="G787" s="54"/>
      <c r="H787" s="54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1313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7" t="str">
        <f>IF(Table1[[#This Row],[Auto Order]]=1,IF(Table1[[#This Row],[In stock]]&lt;Table1[[#This Row],[Min in stock]],1,""),"")</f>
        <v/>
      </c>
    </row>
    <row r="788" spans="1:29" hidden="1" x14ac:dyDescent="0.25">
      <c r="A788" s="61" t="s">
        <v>1634</v>
      </c>
      <c r="B788" s="34" t="s">
        <v>713</v>
      </c>
      <c r="C788" s="34"/>
      <c r="D788" s="34" t="s">
        <v>1635</v>
      </c>
      <c r="E788" s="34" t="s">
        <v>559</v>
      </c>
      <c r="F788" s="54">
        <v>0</v>
      </c>
      <c r="G788" s="54"/>
      <c r="H788" s="54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1633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7" t="str">
        <f>IF(Table1[[#This Row],[Auto Order]]=1,IF(Table1[[#This Row],[In stock]]&lt;Table1[[#This Row],[Min in stock]],1,""),"")</f>
        <v/>
      </c>
    </row>
    <row r="789" spans="1:29" hidden="1" x14ac:dyDescent="0.25">
      <c r="A789" s="61" t="s">
        <v>1373</v>
      </c>
      <c r="B789" s="34" t="s">
        <v>713</v>
      </c>
      <c r="C789" s="34"/>
      <c r="D789" s="34" t="s">
        <v>1374</v>
      </c>
      <c r="E789" s="34" t="s">
        <v>559</v>
      </c>
      <c r="F789" s="54">
        <v>0</v>
      </c>
      <c r="G789" s="54"/>
      <c r="H789" s="54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1372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7" t="str">
        <f>IF(Table1[[#This Row],[Auto Order]]=1,IF(Table1[[#This Row],[In stock]]&lt;Table1[[#This Row],[Min in stock]],1,""),"")</f>
        <v/>
      </c>
    </row>
    <row r="790" spans="1:29" hidden="1" x14ac:dyDescent="0.25">
      <c r="A790" s="61" t="s">
        <v>997</v>
      </c>
      <c r="B790" s="34" t="s">
        <v>713</v>
      </c>
      <c r="C790" s="34"/>
      <c r="D790" s="34" t="s">
        <v>998</v>
      </c>
      <c r="E790" s="34" t="s">
        <v>559</v>
      </c>
      <c r="F790" s="54">
        <v>0</v>
      </c>
      <c r="G790" s="54"/>
      <c r="H790" s="54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996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7" t="str">
        <f>IF(Table1[[#This Row],[Auto Order]]=1,IF(Table1[[#This Row],[In stock]]&lt;Table1[[#This Row],[Min in stock]],1,""),"")</f>
        <v/>
      </c>
    </row>
    <row r="791" spans="1:29" hidden="1" x14ac:dyDescent="0.25">
      <c r="A791" s="61" t="s">
        <v>916</v>
      </c>
      <c r="B791" s="34" t="s">
        <v>713</v>
      </c>
      <c r="C791" s="34"/>
      <c r="D791" s="34" t="s">
        <v>917</v>
      </c>
      <c r="E791" s="34" t="s">
        <v>559</v>
      </c>
      <c r="F791" s="54">
        <v>0</v>
      </c>
      <c r="G791" s="54"/>
      <c r="H791" s="54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915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7" t="str">
        <f>IF(Table1[[#This Row],[Auto Order]]=1,IF(Table1[[#This Row],[In stock]]&lt;Table1[[#This Row],[Min in stock]],1,""),"")</f>
        <v/>
      </c>
    </row>
    <row r="792" spans="1:29" hidden="1" x14ac:dyDescent="0.25">
      <c r="A792" s="61" t="s">
        <v>1482</v>
      </c>
      <c r="B792" s="34" t="s">
        <v>713</v>
      </c>
      <c r="C792" s="34"/>
      <c r="D792" s="34" t="s">
        <v>642</v>
      </c>
      <c r="E792" s="34" t="s">
        <v>559</v>
      </c>
      <c r="F792" s="54">
        <v>0</v>
      </c>
      <c r="G792" s="54"/>
      <c r="H792" s="54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1481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7" t="str">
        <f>IF(Table1[[#This Row],[Auto Order]]=1,IF(Table1[[#This Row],[In stock]]&lt;Table1[[#This Row],[Min in stock]],1,""),"")</f>
        <v/>
      </c>
    </row>
    <row r="793" spans="1:29" hidden="1" x14ac:dyDescent="0.25">
      <c r="A793" s="61" t="s">
        <v>1473</v>
      </c>
      <c r="B793" s="34" t="s">
        <v>713</v>
      </c>
      <c r="C793" s="34"/>
      <c r="D793" s="34" t="s">
        <v>189</v>
      </c>
      <c r="E793" s="34" t="s">
        <v>559</v>
      </c>
      <c r="F793" s="54">
        <v>0</v>
      </c>
      <c r="G793" s="54"/>
      <c r="H793" s="54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1472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7" t="str">
        <f>IF(Table1[[#This Row],[Auto Order]]=1,IF(Table1[[#This Row],[In stock]]&lt;Table1[[#This Row],[Min in stock]],1,""),"")</f>
        <v/>
      </c>
    </row>
    <row r="794" spans="1:29" hidden="1" x14ac:dyDescent="0.25">
      <c r="A794" s="61" t="s">
        <v>756</v>
      </c>
      <c r="B794" s="34" t="s">
        <v>713</v>
      </c>
      <c r="C794" s="34"/>
      <c r="D794" s="34" t="s">
        <v>684</v>
      </c>
      <c r="E794" s="34" t="s">
        <v>559</v>
      </c>
      <c r="F794" s="54">
        <v>0</v>
      </c>
      <c r="G794" s="54"/>
      <c r="H794" s="54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755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7" t="str">
        <f>IF(Table1[[#This Row],[Auto Order]]=1,IF(Table1[[#This Row],[In stock]]&lt;Table1[[#This Row],[Min in stock]],1,""),"")</f>
        <v/>
      </c>
    </row>
    <row r="795" spans="1:29" hidden="1" x14ac:dyDescent="0.25">
      <c r="A795" s="61" t="s">
        <v>1388</v>
      </c>
      <c r="B795" s="34" t="s">
        <v>713</v>
      </c>
      <c r="C795" s="34"/>
      <c r="D795" s="34" t="s">
        <v>1389</v>
      </c>
      <c r="E795" s="34" t="s">
        <v>559</v>
      </c>
      <c r="F795" s="54">
        <v>0</v>
      </c>
      <c r="G795" s="54"/>
      <c r="H795" s="54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1387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7" t="str">
        <f>IF(Table1[[#This Row],[Auto Order]]=1,IF(Table1[[#This Row],[In stock]]&lt;Table1[[#This Row],[Min in stock]],1,""),"")</f>
        <v/>
      </c>
    </row>
    <row r="796" spans="1:29" hidden="1" x14ac:dyDescent="0.25">
      <c r="A796" s="61" t="s">
        <v>748</v>
      </c>
      <c r="B796" s="34" t="s">
        <v>713</v>
      </c>
      <c r="C796" s="34"/>
      <c r="D796" s="34" t="s">
        <v>749</v>
      </c>
      <c r="E796" s="34" t="s">
        <v>559</v>
      </c>
      <c r="F796" s="54">
        <v>0</v>
      </c>
      <c r="G796" s="54"/>
      <c r="H796" s="54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747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7" t="str">
        <f>IF(Table1[[#This Row],[Auto Order]]=1,IF(Table1[[#This Row],[In stock]]&lt;Table1[[#This Row],[Min in stock]],1,""),"")</f>
        <v/>
      </c>
    </row>
    <row r="797" spans="1:29" hidden="1" x14ac:dyDescent="0.25">
      <c r="A797" s="61" t="s">
        <v>893</v>
      </c>
      <c r="B797" s="34" t="s">
        <v>713</v>
      </c>
      <c r="C797" s="34"/>
      <c r="D797" s="34" t="s">
        <v>894</v>
      </c>
      <c r="E797" s="34" t="s">
        <v>559</v>
      </c>
      <c r="F797" s="54">
        <v>0</v>
      </c>
      <c r="G797" s="54"/>
      <c r="H797" s="54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892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7" t="str">
        <f>IF(Table1[[#This Row],[Auto Order]]=1,IF(Table1[[#This Row],[In stock]]&lt;Table1[[#This Row],[Min in stock]],1,""),"")</f>
        <v/>
      </c>
    </row>
    <row r="798" spans="1:29" hidden="1" x14ac:dyDescent="0.25">
      <c r="A798" s="61" t="s">
        <v>1362</v>
      </c>
      <c r="B798" s="34" t="s">
        <v>713</v>
      </c>
      <c r="C798" s="34"/>
      <c r="D798" s="34" t="s">
        <v>1363</v>
      </c>
      <c r="E798" s="34" t="s">
        <v>559</v>
      </c>
      <c r="F798" s="54">
        <v>0</v>
      </c>
      <c r="G798" s="54"/>
      <c r="H798" s="54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1361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7" t="str">
        <f>IF(Table1[[#This Row],[Auto Order]]=1,IF(Table1[[#This Row],[In stock]]&lt;Table1[[#This Row],[Min in stock]],1,""),"")</f>
        <v/>
      </c>
    </row>
    <row r="799" spans="1:29" hidden="1" x14ac:dyDescent="0.25">
      <c r="A799" s="61" t="s">
        <v>1000</v>
      </c>
      <c r="B799" s="34" t="s">
        <v>713</v>
      </c>
      <c r="C799" s="34"/>
      <c r="D799" s="34" t="s">
        <v>1001</v>
      </c>
      <c r="E799" s="34" t="s">
        <v>559</v>
      </c>
      <c r="F799" s="54">
        <v>0</v>
      </c>
      <c r="G799" s="54"/>
      <c r="H799" s="54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999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7" t="str">
        <f>IF(Table1[[#This Row],[Auto Order]]=1,IF(Table1[[#This Row],[In stock]]&lt;Table1[[#This Row],[Min in stock]],1,""),"")</f>
        <v/>
      </c>
    </row>
    <row r="800" spans="1:29" hidden="1" x14ac:dyDescent="0.25">
      <c r="A800" s="61" t="s">
        <v>808</v>
      </c>
      <c r="B800" s="34" t="s">
        <v>713</v>
      </c>
      <c r="C800" s="34"/>
      <c r="D800" s="34" t="s">
        <v>809</v>
      </c>
      <c r="E800" s="34" t="s">
        <v>559</v>
      </c>
      <c r="F800" s="54">
        <v>0</v>
      </c>
      <c r="G800" s="54"/>
      <c r="H800" s="54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807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7" t="str">
        <f>IF(Table1[[#This Row],[Auto Order]]=1,IF(Table1[[#This Row],[In stock]]&lt;Table1[[#This Row],[Min in stock]],1,""),"")</f>
        <v/>
      </c>
    </row>
    <row r="801" spans="1:29" hidden="1" x14ac:dyDescent="0.25">
      <c r="A801" s="61" t="s">
        <v>760</v>
      </c>
      <c r="B801" s="34" t="s">
        <v>713</v>
      </c>
      <c r="C801" s="34"/>
      <c r="D801" s="34" t="s">
        <v>761</v>
      </c>
      <c r="E801" s="34" t="s">
        <v>559</v>
      </c>
      <c r="F801" s="54">
        <v>0</v>
      </c>
      <c r="G801" s="54"/>
      <c r="H801" s="54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759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7" t="str">
        <f>IF(Table1[[#This Row],[Auto Order]]=1,IF(Table1[[#This Row],[In stock]]&lt;Table1[[#This Row],[Min in stock]],1,""),"")</f>
        <v/>
      </c>
    </row>
    <row r="802" spans="1:29" hidden="1" x14ac:dyDescent="0.25">
      <c r="A802" s="61" t="s">
        <v>1475</v>
      </c>
      <c r="B802" s="34" t="s">
        <v>713</v>
      </c>
      <c r="C802" s="34"/>
      <c r="D802" s="34" t="s">
        <v>663</v>
      </c>
      <c r="E802" s="34" t="s">
        <v>559</v>
      </c>
      <c r="F802" s="54">
        <v>0</v>
      </c>
      <c r="G802" s="54"/>
      <c r="H802" s="54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1474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7" t="str">
        <f>IF(Table1[[#This Row],[Auto Order]]=1,IF(Table1[[#This Row],[In stock]]&lt;Table1[[#This Row],[Min in stock]],1,""),"")</f>
        <v/>
      </c>
    </row>
    <row r="803" spans="1:29" hidden="1" x14ac:dyDescent="0.25">
      <c r="A803" s="61" t="s">
        <v>1426</v>
      </c>
      <c r="B803" s="34" t="s">
        <v>713</v>
      </c>
      <c r="C803" s="34"/>
      <c r="D803" s="34" t="s">
        <v>687</v>
      </c>
      <c r="E803" s="34" t="s">
        <v>559</v>
      </c>
      <c r="F803" s="54">
        <v>0</v>
      </c>
      <c r="G803" s="54"/>
      <c r="H803" s="54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1425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7" t="str">
        <f>IF(Table1[[#This Row],[Auto Order]]=1,IF(Table1[[#This Row],[In stock]]&lt;Table1[[#This Row],[Min in stock]],1,""),"")</f>
        <v/>
      </c>
    </row>
    <row r="804" spans="1:29" hidden="1" x14ac:dyDescent="0.25">
      <c r="A804" s="61" t="s">
        <v>1453</v>
      </c>
      <c r="B804" s="34" t="s">
        <v>713</v>
      </c>
      <c r="C804" s="34"/>
      <c r="D804" s="34" t="s">
        <v>1454</v>
      </c>
      <c r="E804" s="34" t="s">
        <v>559</v>
      </c>
      <c r="F804" s="54">
        <v>0</v>
      </c>
      <c r="G804" s="54"/>
      <c r="H804" s="54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1452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7" t="str">
        <f>IF(Table1[[#This Row],[Auto Order]]=1,IF(Table1[[#This Row],[In stock]]&lt;Table1[[#This Row],[Min in stock]],1,""),"")</f>
        <v/>
      </c>
    </row>
    <row r="805" spans="1:29" hidden="1" x14ac:dyDescent="0.25">
      <c r="A805" s="61" t="s">
        <v>1431</v>
      </c>
      <c r="B805" s="34" t="s">
        <v>713</v>
      </c>
      <c r="C805" s="34"/>
      <c r="D805" s="34" t="s">
        <v>630</v>
      </c>
      <c r="E805" s="34" t="s">
        <v>559</v>
      </c>
      <c r="F805" s="54">
        <v>0</v>
      </c>
      <c r="G805" s="54"/>
      <c r="H805" s="54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1430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7" t="str">
        <f>IF(Table1[[#This Row],[Auto Order]]=1,IF(Table1[[#This Row],[In stock]]&lt;Table1[[#This Row],[Min in stock]],1,""),"")</f>
        <v/>
      </c>
    </row>
    <row r="806" spans="1:29" hidden="1" x14ac:dyDescent="0.25">
      <c r="A806" s="61" t="s">
        <v>732</v>
      </c>
      <c r="B806" s="34" t="s">
        <v>713</v>
      </c>
      <c r="C806" s="34"/>
      <c r="D806" s="34" t="s">
        <v>609</v>
      </c>
      <c r="E806" s="34" t="s">
        <v>559</v>
      </c>
      <c r="F806" s="54">
        <v>0</v>
      </c>
      <c r="G806" s="54"/>
      <c r="H806" s="54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731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7" t="str">
        <f>IF(Table1[[#This Row],[Auto Order]]=1,IF(Table1[[#This Row],[In stock]]&lt;Table1[[#This Row],[Min in stock]],1,""),"")</f>
        <v/>
      </c>
    </row>
    <row r="807" spans="1:29" hidden="1" x14ac:dyDescent="0.25">
      <c r="A807" s="61" t="s">
        <v>1385</v>
      </c>
      <c r="B807" s="34" t="s">
        <v>713</v>
      </c>
      <c r="C807" s="34"/>
      <c r="D807" s="34" t="s">
        <v>1386</v>
      </c>
      <c r="E807" s="34" t="s">
        <v>559</v>
      </c>
      <c r="F807" s="54">
        <v>0</v>
      </c>
      <c r="G807" s="54"/>
      <c r="H807" s="54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1384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7" t="str">
        <f>IF(Table1[[#This Row],[Auto Order]]=1,IF(Table1[[#This Row],[In stock]]&lt;Table1[[#This Row],[Min in stock]],1,""),"")</f>
        <v/>
      </c>
    </row>
    <row r="808" spans="1:29" hidden="1" x14ac:dyDescent="0.25">
      <c r="A808" s="61" t="s">
        <v>1748</v>
      </c>
      <c r="B808" s="34" t="s">
        <v>713</v>
      </c>
      <c r="C808" s="34"/>
      <c r="D808" s="34" t="s">
        <v>1749</v>
      </c>
      <c r="E808" s="34" t="s">
        <v>559</v>
      </c>
      <c r="F808" s="54">
        <v>0</v>
      </c>
      <c r="G808" s="54"/>
      <c r="H808" s="54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1747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7" t="str">
        <f>IF(Table1[[#This Row],[Auto Order]]=1,IF(Table1[[#This Row],[In stock]]&lt;Table1[[#This Row],[Min in stock]],1,""),"")</f>
        <v/>
      </c>
    </row>
    <row r="809" spans="1:29" hidden="1" x14ac:dyDescent="0.25">
      <c r="A809" s="61" t="s">
        <v>811</v>
      </c>
      <c r="B809" s="34" t="s">
        <v>713</v>
      </c>
      <c r="C809" s="34"/>
      <c r="D809" s="34" t="s">
        <v>812</v>
      </c>
      <c r="E809" s="34" t="s">
        <v>559</v>
      </c>
      <c r="F809" s="54">
        <v>0</v>
      </c>
      <c r="G809" s="54"/>
      <c r="H809" s="54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810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7" t="str">
        <f>IF(Table1[[#This Row],[Auto Order]]=1,IF(Table1[[#This Row],[In stock]]&lt;Table1[[#This Row],[Min in stock]],1,""),"")</f>
        <v/>
      </c>
    </row>
    <row r="810" spans="1:29" hidden="1" x14ac:dyDescent="0.25">
      <c r="A810" s="61" t="s">
        <v>772</v>
      </c>
      <c r="B810" s="34" t="s">
        <v>713</v>
      </c>
      <c r="C810" s="34"/>
      <c r="D810" s="34" t="s">
        <v>773</v>
      </c>
      <c r="E810" s="34" t="s">
        <v>559</v>
      </c>
      <c r="F810" s="54">
        <v>0</v>
      </c>
      <c r="G810" s="54"/>
      <c r="H810" s="54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771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7" t="str">
        <f>IF(Table1[[#This Row],[Auto Order]]=1,IF(Table1[[#This Row],[In stock]]&lt;Table1[[#This Row],[Min in stock]],1,""),"")</f>
        <v/>
      </c>
    </row>
    <row r="811" spans="1:29" hidden="1" x14ac:dyDescent="0.25">
      <c r="A811" s="61" t="s">
        <v>734</v>
      </c>
      <c r="B811" s="34" t="s">
        <v>713</v>
      </c>
      <c r="C811" s="34"/>
      <c r="D811" s="34" t="s">
        <v>735</v>
      </c>
      <c r="E811" s="34" t="s">
        <v>559</v>
      </c>
      <c r="F811" s="54">
        <v>0</v>
      </c>
      <c r="G811" s="54"/>
      <c r="H811" s="54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733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7" t="str">
        <f>IF(Table1[[#This Row],[Auto Order]]=1,IF(Table1[[#This Row],[In stock]]&lt;Table1[[#This Row],[Min in stock]],1,""),"")</f>
        <v/>
      </c>
    </row>
    <row r="812" spans="1:29" hidden="1" x14ac:dyDescent="0.25">
      <c r="A812" s="61" t="s">
        <v>1003</v>
      </c>
      <c r="B812" s="34" t="s">
        <v>713</v>
      </c>
      <c r="C812" s="34"/>
      <c r="D812" s="34" t="s">
        <v>666</v>
      </c>
      <c r="E812" s="34" t="s">
        <v>559</v>
      </c>
      <c r="F812" s="54">
        <v>0</v>
      </c>
      <c r="G812" s="54"/>
      <c r="H812" s="54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1002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7" t="str">
        <f>IF(Table1[[#This Row],[Auto Order]]=1,IF(Table1[[#This Row],[In stock]]&lt;Table1[[#This Row],[Min in stock]],1,""),"")</f>
        <v/>
      </c>
    </row>
    <row r="813" spans="1:29" hidden="1" x14ac:dyDescent="0.25">
      <c r="A813" s="61" t="s">
        <v>1005</v>
      </c>
      <c r="B813" s="34" t="s">
        <v>713</v>
      </c>
      <c r="C813" s="34"/>
      <c r="D813" s="34" t="s">
        <v>1006</v>
      </c>
      <c r="E813" s="34" t="s">
        <v>559</v>
      </c>
      <c r="F813" s="54">
        <v>0</v>
      </c>
      <c r="G813" s="54"/>
      <c r="H813" s="54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1004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7" t="str">
        <f>IF(Table1[[#This Row],[Auto Order]]=1,IF(Table1[[#This Row],[In stock]]&lt;Table1[[#This Row],[Min in stock]],1,""),"")</f>
        <v/>
      </c>
    </row>
    <row r="814" spans="1:29" hidden="1" x14ac:dyDescent="0.25">
      <c r="A814" s="61" t="s">
        <v>1423</v>
      </c>
      <c r="B814" s="34" t="s">
        <v>713</v>
      </c>
      <c r="C814" s="34"/>
      <c r="D814" s="34" t="s">
        <v>1424</v>
      </c>
      <c r="E814" s="34" t="s">
        <v>559</v>
      </c>
      <c r="F814" s="54">
        <v>0</v>
      </c>
      <c r="G814" s="54"/>
      <c r="H814" s="54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1422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7" t="str">
        <f>IF(Table1[[#This Row],[Auto Order]]=1,IF(Table1[[#This Row],[In stock]]&lt;Table1[[#This Row],[Min in stock]],1,""),"")</f>
        <v/>
      </c>
    </row>
    <row r="815" spans="1:29" hidden="1" x14ac:dyDescent="0.25">
      <c r="A815" s="61" t="s">
        <v>1130</v>
      </c>
      <c r="B815" s="34" t="s">
        <v>713</v>
      </c>
      <c r="C815" s="34"/>
      <c r="D815" s="34" t="s">
        <v>1131</v>
      </c>
      <c r="E815" s="34" t="s">
        <v>559</v>
      </c>
      <c r="F815" s="54">
        <v>0</v>
      </c>
      <c r="G815" s="54"/>
      <c r="H815" s="54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1129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7" t="str">
        <f>IF(Table1[[#This Row],[Auto Order]]=1,IF(Table1[[#This Row],[In stock]]&lt;Table1[[#This Row],[Min in stock]],1,""),"")</f>
        <v/>
      </c>
    </row>
    <row r="816" spans="1:29" hidden="1" x14ac:dyDescent="0.25">
      <c r="A816" s="61" t="s">
        <v>1403</v>
      </c>
      <c r="B816" s="34" t="s">
        <v>713</v>
      </c>
      <c r="C816" s="34"/>
      <c r="D816" s="34" t="s">
        <v>1404</v>
      </c>
      <c r="E816" s="34" t="s">
        <v>559</v>
      </c>
      <c r="F816" s="54">
        <v>0</v>
      </c>
      <c r="G816" s="54"/>
      <c r="H816" s="54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1402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7" t="str">
        <f>IF(Table1[[#This Row],[Auto Order]]=1,IF(Table1[[#This Row],[In stock]]&lt;Table1[[#This Row],[Min in stock]],1,""),"")</f>
        <v/>
      </c>
    </row>
    <row r="817" spans="1:29" hidden="1" x14ac:dyDescent="0.25">
      <c r="A817" s="61" t="s">
        <v>1259</v>
      </c>
      <c r="B817" s="34" t="s">
        <v>713</v>
      </c>
      <c r="C817" s="34"/>
      <c r="D817" s="34" t="s">
        <v>1260</v>
      </c>
      <c r="E817" s="34" t="s">
        <v>559</v>
      </c>
      <c r="F817" s="54">
        <v>0</v>
      </c>
      <c r="G817" s="54"/>
      <c r="H817" s="54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1258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7" t="str">
        <f>IF(Table1[[#This Row],[Auto Order]]=1,IF(Table1[[#This Row],[In stock]]&lt;Table1[[#This Row],[Min in stock]],1,""),"")</f>
        <v/>
      </c>
    </row>
    <row r="818" spans="1:29" hidden="1" x14ac:dyDescent="0.25">
      <c r="A818" s="61" t="s">
        <v>1008</v>
      </c>
      <c r="B818" s="34" t="s">
        <v>713</v>
      </c>
      <c r="C818" s="34"/>
      <c r="D818" s="34" t="s">
        <v>1009</v>
      </c>
      <c r="E818" s="34" t="s">
        <v>559</v>
      </c>
      <c r="F818" s="54">
        <v>0</v>
      </c>
      <c r="G818" s="54"/>
      <c r="H818" s="54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1007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7" t="str">
        <f>IF(Table1[[#This Row],[Auto Order]]=1,IF(Table1[[#This Row],[In stock]]&lt;Table1[[#This Row],[Min in stock]],1,""),"")</f>
        <v/>
      </c>
    </row>
    <row r="819" spans="1:29" hidden="1" x14ac:dyDescent="0.25">
      <c r="A819" s="61" t="s">
        <v>1214</v>
      </c>
      <c r="B819" s="34" t="s">
        <v>713</v>
      </c>
      <c r="C819" s="34"/>
      <c r="D819" s="34" t="s">
        <v>1215</v>
      </c>
      <c r="E819" s="34" t="s">
        <v>559</v>
      </c>
      <c r="F819" s="54">
        <v>0</v>
      </c>
      <c r="G819" s="54"/>
      <c r="H819" s="54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1213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7" t="str">
        <f>IF(Table1[[#This Row],[Auto Order]]=1,IF(Table1[[#This Row],[In stock]]&lt;Table1[[#This Row],[Min in stock]],1,""),"")</f>
        <v/>
      </c>
    </row>
    <row r="820" spans="1:29" hidden="1" x14ac:dyDescent="0.25">
      <c r="A820" s="61" t="s">
        <v>1494</v>
      </c>
      <c r="B820" s="34" t="s">
        <v>713</v>
      </c>
      <c r="C820" s="34"/>
      <c r="D820" s="34" t="s">
        <v>1495</v>
      </c>
      <c r="E820" s="34" t="s">
        <v>559</v>
      </c>
      <c r="F820" s="54">
        <v>0</v>
      </c>
      <c r="G820" s="54"/>
      <c r="H820" s="54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1493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7" t="str">
        <f>IF(Table1[[#This Row],[Auto Order]]=1,IF(Table1[[#This Row],[In stock]]&lt;Table1[[#This Row],[Min in stock]],1,""),"")</f>
        <v/>
      </c>
    </row>
    <row r="821" spans="1:29" hidden="1" x14ac:dyDescent="0.25">
      <c r="A821" s="61" t="s">
        <v>1011</v>
      </c>
      <c r="B821" s="34" t="s">
        <v>713</v>
      </c>
      <c r="C821" s="34"/>
      <c r="D821" s="34" t="s">
        <v>1012</v>
      </c>
      <c r="E821" s="34" t="s">
        <v>559</v>
      </c>
      <c r="F821" s="54">
        <v>0</v>
      </c>
      <c r="G821" s="54"/>
      <c r="H821" s="54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1010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7" t="str">
        <f>IF(Table1[[#This Row],[Auto Order]]=1,IF(Table1[[#This Row],[In stock]]&lt;Table1[[#This Row],[Min in stock]],1,""),"")</f>
        <v/>
      </c>
    </row>
    <row r="822" spans="1:29" hidden="1" x14ac:dyDescent="0.25">
      <c r="A822" s="61" t="s">
        <v>769</v>
      </c>
      <c r="B822" s="34" t="s">
        <v>713</v>
      </c>
      <c r="C822" s="34"/>
      <c r="D822" s="34" t="s">
        <v>770</v>
      </c>
      <c r="E822" s="34" t="s">
        <v>559</v>
      </c>
      <c r="F822" s="54">
        <v>0</v>
      </c>
      <c r="G822" s="54"/>
      <c r="H822" s="54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768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7" t="str">
        <f>IF(Table1[[#This Row],[Auto Order]]=1,IF(Table1[[#This Row],[In stock]]&lt;Table1[[#This Row],[Min in stock]],1,""),"")</f>
        <v/>
      </c>
    </row>
    <row r="823" spans="1:29" hidden="1" x14ac:dyDescent="0.25">
      <c r="A823" s="61" t="s">
        <v>1772</v>
      </c>
      <c r="B823" s="34" t="s">
        <v>713</v>
      </c>
      <c r="C823" s="34"/>
      <c r="D823" s="34" t="s">
        <v>1773</v>
      </c>
      <c r="E823" s="34" t="s">
        <v>559</v>
      </c>
      <c r="F823" s="54">
        <v>0</v>
      </c>
      <c r="G823" s="54"/>
      <c r="H823" s="54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1771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7" t="str">
        <f>IF(Table1[[#This Row],[Auto Order]]=1,IF(Table1[[#This Row],[In stock]]&lt;Table1[[#This Row],[Min in stock]],1,""),"")</f>
        <v/>
      </c>
    </row>
    <row r="824" spans="1:29" hidden="1" x14ac:dyDescent="0.25">
      <c r="A824" s="61" t="s">
        <v>896</v>
      </c>
      <c r="B824" s="34" t="s">
        <v>713</v>
      </c>
      <c r="C824" s="34"/>
      <c r="D824" s="34" t="s">
        <v>897</v>
      </c>
      <c r="E824" s="34" t="s">
        <v>559</v>
      </c>
      <c r="F824" s="54">
        <v>0</v>
      </c>
      <c r="G824" s="54"/>
      <c r="H824" s="54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895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7" t="str">
        <f>IF(Table1[[#This Row],[Auto Order]]=1,IF(Table1[[#This Row],[In stock]]&lt;Table1[[#This Row],[Min in stock]],1,""),"")</f>
        <v/>
      </c>
    </row>
    <row r="825" spans="1:29" hidden="1" x14ac:dyDescent="0.25">
      <c r="A825" s="61" t="s">
        <v>787</v>
      </c>
      <c r="B825" s="34" t="s">
        <v>713</v>
      </c>
      <c r="C825" s="34"/>
      <c r="D825" s="34" t="s">
        <v>788</v>
      </c>
      <c r="E825" s="34" t="s">
        <v>559</v>
      </c>
      <c r="F825" s="54">
        <v>0</v>
      </c>
      <c r="G825" s="54"/>
      <c r="H825" s="54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786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7" t="str">
        <f>IF(Table1[[#This Row],[Auto Order]]=1,IF(Table1[[#This Row],[In stock]]&lt;Table1[[#This Row],[Min in stock]],1,""),"")</f>
        <v/>
      </c>
    </row>
    <row r="826" spans="1:29" hidden="1" x14ac:dyDescent="0.25">
      <c r="A826" s="61" t="s">
        <v>814</v>
      </c>
      <c r="B826" s="34" t="s">
        <v>713</v>
      </c>
      <c r="C826" s="34"/>
      <c r="D826" s="34" t="s">
        <v>815</v>
      </c>
      <c r="E826" s="34" t="s">
        <v>559</v>
      </c>
      <c r="F826" s="54">
        <v>0</v>
      </c>
      <c r="G826" s="54"/>
      <c r="H826" s="54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813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7" t="str">
        <f>IF(Table1[[#This Row],[Auto Order]]=1,IF(Table1[[#This Row],[In stock]]&lt;Table1[[#This Row],[Min in stock]],1,""),"")</f>
        <v/>
      </c>
    </row>
    <row r="827" spans="1:29" hidden="1" x14ac:dyDescent="0.25">
      <c r="A827" s="61" t="s">
        <v>1637</v>
      </c>
      <c r="B827" s="34" t="s">
        <v>713</v>
      </c>
      <c r="C827" s="34"/>
      <c r="D827" s="34" t="s">
        <v>1638</v>
      </c>
      <c r="E827" s="34" t="s">
        <v>559</v>
      </c>
      <c r="F827" s="54">
        <v>0</v>
      </c>
      <c r="G827" s="54"/>
      <c r="H827" s="54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1636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7" t="str">
        <f>IF(Table1[[#This Row],[Auto Order]]=1,IF(Table1[[#This Row],[In stock]]&lt;Table1[[#This Row],[Min in stock]],1,""),"")</f>
        <v/>
      </c>
    </row>
    <row r="828" spans="1:29" hidden="1" x14ac:dyDescent="0.25">
      <c r="A828" s="61" t="s">
        <v>899</v>
      </c>
      <c r="B828" s="34" t="s">
        <v>713</v>
      </c>
      <c r="C828" s="34"/>
      <c r="D828" s="34" t="s">
        <v>900</v>
      </c>
      <c r="E828" s="34" t="s">
        <v>559</v>
      </c>
      <c r="F828" s="54">
        <v>0</v>
      </c>
      <c r="G828" s="54"/>
      <c r="H828" s="54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898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7" t="str">
        <f>IF(Table1[[#This Row],[Auto Order]]=1,IF(Table1[[#This Row],[In stock]]&lt;Table1[[#This Row],[Min in stock]],1,""),"")</f>
        <v/>
      </c>
    </row>
    <row r="829" spans="1:29" hidden="1" x14ac:dyDescent="0.25">
      <c r="A829" s="61" t="s">
        <v>1014</v>
      </c>
      <c r="B829" s="34" t="s">
        <v>713</v>
      </c>
      <c r="C829" s="34"/>
      <c r="D829" s="34" t="s">
        <v>1015</v>
      </c>
      <c r="E829" s="34" t="s">
        <v>559</v>
      </c>
      <c r="F829" s="54">
        <v>0</v>
      </c>
      <c r="G829" s="54"/>
      <c r="H829" s="54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1013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7" t="str">
        <f>IF(Table1[[#This Row],[Auto Order]]=1,IF(Table1[[#This Row],[In stock]]&lt;Table1[[#This Row],[Min in stock]],1,""),"")</f>
        <v/>
      </c>
    </row>
    <row r="830" spans="1:29" hidden="1" x14ac:dyDescent="0.25">
      <c r="A830" s="61" t="s">
        <v>1184</v>
      </c>
      <c r="B830" s="34" t="s">
        <v>713</v>
      </c>
      <c r="C830" s="34"/>
      <c r="D830" s="34" t="s">
        <v>1185</v>
      </c>
      <c r="E830" s="34" t="s">
        <v>559</v>
      </c>
      <c r="F830" s="54">
        <v>0</v>
      </c>
      <c r="G830" s="54"/>
      <c r="H830" s="54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1183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7" t="str">
        <f>IF(Table1[[#This Row],[Auto Order]]=1,IF(Table1[[#This Row],[In stock]]&lt;Table1[[#This Row],[Min in stock]],1,""),"")</f>
        <v/>
      </c>
    </row>
    <row r="831" spans="1:29" hidden="1" x14ac:dyDescent="0.25">
      <c r="A831" s="61" t="s">
        <v>1535</v>
      </c>
      <c r="B831" s="34" t="s">
        <v>713</v>
      </c>
      <c r="C831" s="34"/>
      <c r="D831" s="34" t="s">
        <v>1536</v>
      </c>
      <c r="E831" s="34" t="s">
        <v>559</v>
      </c>
      <c r="F831" s="54">
        <v>0</v>
      </c>
      <c r="G831" s="54"/>
      <c r="H831" s="54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1534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7" t="str">
        <f>IF(Table1[[#This Row],[Auto Order]]=1,IF(Table1[[#This Row],[In stock]]&lt;Table1[[#This Row],[Min in stock]],1,""),"")</f>
        <v/>
      </c>
    </row>
    <row r="832" spans="1:29" hidden="1" x14ac:dyDescent="0.25">
      <c r="A832" s="61" t="s">
        <v>1017</v>
      </c>
      <c r="B832" s="34" t="s">
        <v>713</v>
      </c>
      <c r="C832" s="34"/>
      <c r="D832" s="34" t="s">
        <v>1018</v>
      </c>
      <c r="E832" s="34" t="s">
        <v>559</v>
      </c>
      <c r="F832" s="54">
        <v>0</v>
      </c>
      <c r="G832" s="54"/>
      <c r="H832" s="54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1016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7" t="str">
        <f>IF(Table1[[#This Row],[Auto Order]]=1,IF(Table1[[#This Row],[In stock]]&lt;Table1[[#This Row],[Min in stock]],1,""),"")</f>
        <v/>
      </c>
    </row>
    <row r="833" spans="1:29" hidden="1" x14ac:dyDescent="0.25">
      <c r="A833" s="61" t="s">
        <v>1020</v>
      </c>
      <c r="B833" s="34" t="s">
        <v>713</v>
      </c>
      <c r="C833" s="34"/>
      <c r="D833" s="34" t="s">
        <v>1021</v>
      </c>
      <c r="E833" s="34" t="s">
        <v>559</v>
      </c>
      <c r="F833" s="54">
        <v>0</v>
      </c>
      <c r="G833" s="54"/>
      <c r="H833" s="54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1019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7" t="str">
        <f>IF(Table1[[#This Row],[Auto Order]]=1,IF(Table1[[#This Row],[In stock]]&lt;Table1[[#This Row],[Min in stock]],1,""),"")</f>
        <v/>
      </c>
    </row>
    <row r="834" spans="1:29" hidden="1" x14ac:dyDescent="0.25">
      <c r="A834" s="61" t="s">
        <v>1489</v>
      </c>
      <c r="B834" s="34" t="s">
        <v>713</v>
      </c>
      <c r="C834" s="34"/>
      <c r="D834" s="34" t="s">
        <v>1490</v>
      </c>
      <c r="E834" s="34" t="s">
        <v>559</v>
      </c>
      <c r="F834" s="54">
        <v>0</v>
      </c>
      <c r="G834" s="54"/>
      <c r="H834" s="54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1488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7" t="str">
        <f>IF(Table1[[#This Row],[Auto Order]]=1,IF(Table1[[#This Row],[In stock]]&lt;Table1[[#This Row],[Min in stock]],1,""),"")</f>
        <v/>
      </c>
    </row>
    <row r="835" spans="1:29" hidden="1" x14ac:dyDescent="0.25">
      <c r="A835" s="61" t="s">
        <v>1418</v>
      </c>
      <c r="B835" s="34" t="s">
        <v>713</v>
      </c>
      <c r="C835" s="34"/>
      <c r="D835" s="34" t="s">
        <v>1419</v>
      </c>
      <c r="E835" s="34" t="s">
        <v>559</v>
      </c>
      <c r="F835" s="54">
        <v>0</v>
      </c>
      <c r="G835" s="54"/>
      <c r="H835" s="54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1417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7" t="str">
        <f>IF(Table1[[#This Row],[Auto Order]]=1,IF(Table1[[#This Row],[In stock]]&lt;Table1[[#This Row],[Min in stock]],1,""),"")</f>
        <v/>
      </c>
    </row>
    <row r="836" spans="1:29" hidden="1" x14ac:dyDescent="0.25">
      <c r="A836" s="61" t="s">
        <v>1640</v>
      </c>
      <c r="B836" s="34" t="s">
        <v>713</v>
      </c>
      <c r="C836" s="34"/>
      <c r="D836" s="34" t="s">
        <v>1641</v>
      </c>
      <c r="E836" s="34" t="s">
        <v>559</v>
      </c>
      <c r="F836" s="54">
        <v>0</v>
      </c>
      <c r="G836" s="54"/>
      <c r="H836" s="54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1639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7" t="str">
        <f>IF(Table1[[#This Row],[Auto Order]]=1,IF(Table1[[#This Row],[In stock]]&lt;Table1[[#This Row],[Min in stock]],1,""),"")</f>
        <v/>
      </c>
    </row>
    <row r="837" spans="1:29" hidden="1" x14ac:dyDescent="0.25">
      <c r="A837" s="61" t="s">
        <v>1097</v>
      </c>
      <c r="B837" s="34" t="s">
        <v>713</v>
      </c>
      <c r="C837" s="34"/>
      <c r="D837" s="34" t="s">
        <v>1098</v>
      </c>
      <c r="E837" s="34" t="s">
        <v>559</v>
      </c>
      <c r="F837" s="54">
        <v>0</v>
      </c>
      <c r="G837" s="54"/>
      <c r="H837" s="54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1096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7" t="str">
        <f>IF(Table1[[#This Row],[Auto Order]]=1,IF(Table1[[#This Row],[In stock]]&lt;Table1[[#This Row],[Min in stock]],1,""),"")</f>
        <v/>
      </c>
    </row>
    <row r="838" spans="1:29" hidden="1" x14ac:dyDescent="0.25">
      <c r="A838" s="61" t="s">
        <v>1196</v>
      </c>
      <c r="B838" s="34" t="s">
        <v>713</v>
      </c>
      <c r="C838" s="34"/>
      <c r="D838" s="34" t="s">
        <v>1197</v>
      </c>
      <c r="E838" s="34" t="s">
        <v>559</v>
      </c>
      <c r="F838" s="54">
        <v>0</v>
      </c>
      <c r="G838" s="54"/>
      <c r="H838" s="54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1195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7" t="str">
        <f>IF(Table1[[#This Row],[Auto Order]]=1,IF(Table1[[#This Row],[In stock]]&lt;Table1[[#This Row],[Min in stock]],1,""),"")</f>
        <v/>
      </c>
    </row>
    <row r="839" spans="1:29" hidden="1" x14ac:dyDescent="0.25">
      <c r="A839" s="61" t="s">
        <v>1538</v>
      </c>
      <c r="B839" s="34" t="s">
        <v>713</v>
      </c>
      <c r="C839" s="34"/>
      <c r="D839" s="34" t="s">
        <v>1539</v>
      </c>
      <c r="E839" s="34" t="s">
        <v>559</v>
      </c>
      <c r="F839" s="54">
        <v>0</v>
      </c>
      <c r="G839" s="54"/>
      <c r="H839" s="54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1537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7" t="str">
        <f>IF(Table1[[#This Row],[Auto Order]]=1,IF(Table1[[#This Row],[In stock]]&lt;Table1[[#This Row],[Min in stock]],1,""),"")</f>
        <v/>
      </c>
    </row>
    <row r="840" spans="1:29" hidden="1" x14ac:dyDescent="0.25">
      <c r="A840" s="61" t="s">
        <v>922</v>
      </c>
      <c r="B840" s="34" t="s">
        <v>713</v>
      </c>
      <c r="C840" s="34"/>
      <c r="D840" s="34" t="s">
        <v>923</v>
      </c>
      <c r="E840" s="34" t="s">
        <v>559</v>
      </c>
      <c r="F840" s="54">
        <v>0</v>
      </c>
      <c r="G840" s="54"/>
      <c r="H840" s="54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921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7" t="str">
        <f>IF(Table1[[#This Row],[Auto Order]]=1,IF(Table1[[#This Row],[In stock]]&lt;Table1[[#This Row],[Min in stock]],1,""),"")</f>
        <v/>
      </c>
    </row>
    <row r="841" spans="1:29" hidden="1" x14ac:dyDescent="0.25">
      <c r="A841" s="61" t="s">
        <v>1721</v>
      </c>
      <c r="B841" s="34" t="s">
        <v>713</v>
      </c>
      <c r="C841" s="34"/>
      <c r="D841" s="34" t="s">
        <v>1722</v>
      </c>
      <c r="E841" s="34" t="s">
        <v>559</v>
      </c>
      <c r="F841" s="54">
        <v>0</v>
      </c>
      <c r="G841" s="54"/>
      <c r="H841" s="54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1720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7" t="str">
        <f>IF(Table1[[#This Row],[Auto Order]]=1,IF(Table1[[#This Row],[In stock]]&lt;Table1[[#This Row],[Min in stock]],1,""),"")</f>
        <v/>
      </c>
    </row>
    <row r="842" spans="1:29" hidden="1" x14ac:dyDescent="0.25">
      <c r="A842" s="61" t="s">
        <v>902</v>
      </c>
      <c r="B842" s="34" t="s">
        <v>713</v>
      </c>
      <c r="C842" s="34"/>
      <c r="D842" s="34" t="s">
        <v>903</v>
      </c>
      <c r="E842" s="34" t="s">
        <v>559</v>
      </c>
      <c r="F842" s="54">
        <v>0</v>
      </c>
      <c r="G842" s="54"/>
      <c r="H842" s="54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901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7" t="str">
        <f>IF(Table1[[#This Row],[Auto Order]]=1,IF(Table1[[#This Row],[In stock]]&lt;Table1[[#This Row],[Min in stock]],1,""),"")</f>
        <v/>
      </c>
    </row>
    <row r="843" spans="1:29" hidden="1" x14ac:dyDescent="0.25">
      <c r="A843" s="61" t="s">
        <v>1347</v>
      </c>
      <c r="B843" s="34" t="s">
        <v>713</v>
      </c>
      <c r="C843" s="34"/>
      <c r="D843" s="34" t="s">
        <v>1348</v>
      </c>
      <c r="E843" s="34" t="s">
        <v>559</v>
      </c>
      <c r="F843" s="54">
        <v>0</v>
      </c>
      <c r="G843" s="54"/>
      <c r="H843" s="54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1346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7" t="str">
        <f>IF(Table1[[#This Row],[Auto Order]]=1,IF(Table1[[#This Row],[In stock]]&lt;Table1[[#This Row],[Min in stock]],1,""),"")</f>
        <v/>
      </c>
    </row>
    <row r="844" spans="1:29" hidden="1" x14ac:dyDescent="0.25">
      <c r="A844" s="61" t="s">
        <v>835</v>
      </c>
      <c r="B844" s="34" t="s">
        <v>713</v>
      </c>
      <c r="C844" s="34"/>
      <c r="D844" s="34" t="s">
        <v>836</v>
      </c>
      <c r="E844" s="34" t="s">
        <v>559</v>
      </c>
      <c r="F844" s="54">
        <v>0</v>
      </c>
      <c r="G844" s="54"/>
      <c r="H844" s="54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834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7" t="str">
        <f>IF(Table1[[#This Row],[Auto Order]]=1,IF(Table1[[#This Row],[In stock]]&lt;Table1[[#This Row],[Min in stock]],1,""),"")</f>
        <v/>
      </c>
    </row>
    <row r="845" spans="1:29" hidden="1" x14ac:dyDescent="0.25">
      <c r="A845" s="61" t="s">
        <v>817</v>
      </c>
      <c r="B845" s="34" t="s">
        <v>713</v>
      </c>
      <c r="C845" s="34"/>
      <c r="D845" s="34" t="s">
        <v>818</v>
      </c>
      <c r="E845" s="34" t="s">
        <v>559</v>
      </c>
      <c r="F845" s="54">
        <v>0</v>
      </c>
      <c r="G845" s="54"/>
      <c r="H845" s="54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816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7" t="str">
        <f>IF(Table1[[#This Row],[Auto Order]]=1,IF(Table1[[#This Row],[In stock]]&lt;Table1[[#This Row],[Min in stock]],1,""),"")</f>
        <v/>
      </c>
    </row>
    <row r="846" spans="1:29" hidden="1" x14ac:dyDescent="0.25">
      <c r="A846" s="61" t="s">
        <v>1326</v>
      </c>
      <c r="B846" s="34" t="s">
        <v>713</v>
      </c>
      <c r="C846" s="34"/>
      <c r="D846" s="34" t="s">
        <v>1327</v>
      </c>
      <c r="E846" s="34" t="s">
        <v>559</v>
      </c>
      <c r="F846" s="54">
        <v>0</v>
      </c>
      <c r="G846" s="54"/>
      <c r="H846" s="54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1325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7" t="str">
        <f>IF(Table1[[#This Row],[Auto Order]]=1,IF(Table1[[#This Row],[In stock]]&lt;Table1[[#This Row],[Min in stock]],1,""),"")</f>
        <v/>
      </c>
    </row>
    <row r="847" spans="1:29" hidden="1" x14ac:dyDescent="0.25">
      <c r="A847" s="61" t="s">
        <v>1202</v>
      </c>
      <c r="B847" s="34" t="s">
        <v>713</v>
      </c>
      <c r="C847" s="34"/>
      <c r="D847" s="34" t="s">
        <v>1203</v>
      </c>
      <c r="E847" s="34" t="s">
        <v>559</v>
      </c>
      <c r="F847" s="54">
        <v>0</v>
      </c>
      <c r="G847" s="54"/>
      <c r="H847" s="54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1201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7" t="str">
        <f>IF(Table1[[#This Row],[Auto Order]]=1,IF(Table1[[#This Row],[In stock]]&lt;Table1[[#This Row],[Min in stock]],1,""),"")</f>
        <v/>
      </c>
    </row>
    <row r="848" spans="1:29" hidden="1" x14ac:dyDescent="0.25">
      <c r="A848" s="61" t="s">
        <v>1643</v>
      </c>
      <c r="B848" s="34" t="s">
        <v>713</v>
      </c>
      <c r="C848" s="34"/>
      <c r="D848" s="34" t="s">
        <v>1644</v>
      </c>
      <c r="E848" s="34" t="s">
        <v>559</v>
      </c>
      <c r="F848" s="54">
        <v>0</v>
      </c>
      <c r="G848" s="54"/>
      <c r="H848" s="54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1642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7" t="str">
        <f>IF(Table1[[#This Row],[Auto Order]]=1,IF(Table1[[#This Row],[In stock]]&lt;Table1[[#This Row],[Min in stock]],1,""),"")</f>
        <v/>
      </c>
    </row>
    <row r="849" spans="1:29" hidden="1" x14ac:dyDescent="0.25">
      <c r="A849" s="61" t="s">
        <v>1163</v>
      </c>
      <c r="B849" s="34" t="s">
        <v>713</v>
      </c>
      <c r="C849" s="34"/>
      <c r="D849" s="34" t="s">
        <v>1164</v>
      </c>
      <c r="E849" s="34" t="s">
        <v>559</v>
      </c>
      <c r="F849" s="54">
        <v>0</v>
      </c>
      <c r="G849" s="54"/>
      <c r="H849" s="54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1162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7" t="str">
        <f>IF(Table1[[#This Row],[Auto Order]]=1,IF(Table1[[#This Row],[In stock]]&lt;Table1[[#This Row],[Min in stock]],1,""),"")</f>
        <v/>
      </c>
    </row>
    <row r="850" spans="1:29" hidden="1" x14ac:dyDescent="0.25">
      <c r="A850" s="61" t="s">
        <v>1226</v>
      </c>
      <c r="B850" s="34" t="s">
        <v>713</v>
      </c>
      <c r="C850" s="34"/>
      <c r="D850" s="34" t="s">
        <v>1227</v>
      </c>
      <c r="E850" s="34" t="s">
        <v>559</v>
      </c>
      <c r="F850" s="54">
        <v>0</v>
      </c>
      <c r="G850" s="54"/>
      <c r="H850" s="54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1225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7" t="str">
        <f>IF(Table1[[#This Row],[Auto Order]]=1,IF(Table1[[#This Row],[In stock]]&lt;Table1[[#This Row],[Min in stock]],1,""),"")</f>
        <v/>
      </c>
    </row>
    <row r="851" spans="1:29" hidden="1" x14ac:dyDescent="0.25">
      <c r="A851" s="61" t="s">
        <v>1223</v>
      </c>
      <c r="B851" s="34" t="s">
        <v>713</v>
      </c>
      <c r="C851" s="34"/>
      <c r="D851" s="34" t="s">
        <v>1224</v>
      </c>
      <c r="E851" s="34" t="s">
        <v>559</v>
      </c>
      <c r="F851" s="54">
        <v>0</v>
      </c>
      <c r="G851" s="54"/>
      <c r="H851" s="54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1222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7" t="str">
        <f>IF(Table1[[#This Row],[Auto Order]]=1,IF(Table1[[#This Row],[In stock]]&lt;Table1[[#This Row],[Min in stock]],1,""),"")</f>
        <v/>
      </c>
    </row>
    <row r="852" spans="1:29" hidden="1" x14ac:dyDescent="0.25">
      <c r="A852" s="61" t="s">
        <v>820</v>
      </c>
      <c r="B852" s="34" t="s">
        <v>713</v>
      </c>
      <c r="C852" s="34"/>
      <c r="D852" s="34" t="s">
        <v>821</v>
      </c>
      <c r="E852" s="34" t="s">
        <v>559</v>
      </c>
      <c r="F852" s="54">
        <v>0</v>
      </c>
      <c r="G852" s="54"/>
      <c r="H852" s="54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819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7" t="str">
        <f>IF(Table1[[#This Row],[Auto Order]]=1,IF(Table1[[#This Row],[In stock]]&lt;Table1[[#This Row],[Min in stock]],1,""),"")</f>
        <v/>
      </c>
    </row>
    <row r="853" spans="1:29" hidden="1" x14ac:dyDescent="0.25">
      <c r="A853" s="61" t="s">
        <v>1379</v>
      </c>
      <c r="B853" s="34" t="s">
        <v>713</v>
      </c>
      <c r="C853" s="34"/>
      <c r="D853" s="34" t="s">
        <v>1380</v>
      </c>
      <c r="E853" s="34" t="s">
        <v>559</v>
      </c>
      <c r="F853" s="54">
        <v>0</v>
      </c>
      <c r="G853" s="54"/>
      <c r="H853" s="54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1378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7" t="str">
        <f>IF(Table1[[#This Row],[Auto Order]]=1,IF(Table1[[#This Row],[In stock]]&lt;Table1[[#This Row],[Min in stock]],1,""),"")</f>
        <v/>
      </c>
    </row>
    <row r="854" spans="1:29" hidden="1" x14ac:dyDescent="0.25">
      <c r="A854" s="61" t="s">
        <v>763</v>
      </c>
      <c r="B854" s="34" t="s">
        <v>713</v>
      </c>
      <c r="C854" s="34"/>
      <c r="D854" s="34" t="s">
        <v>764</v>
      </c>
      <c r="E854" s="34" t="s">
        <v>559</v>
      </c>
      <c r="F854" s="54">
        <v>0</v>
      </c>
      <c r="G854" s="54"/>
      <c r="H854" s="54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762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7" t="str">
        <f>IF(Table1[[#This Row],[Auto Order]]=1,IF(Table1[[#This Row],[In stock]]&lt;Table1[[#This Row],[Min in stock]],1,""),"")</f>
        <v/>
      </c>
    </row>
    <row r="855" spans="1:29" hidden="1" x14ac:dyDescent="0.25">
      <c r="A855" s="61" t="s">
        <v>1456</v>
      </c>
      <c r="B855" s="34" t="s">
        <v>713</v>
      </c>
      <c r="C855" s="34"/>
      <c r="D855" s="34" t="s">
        <v>1457</v>
      </c>
      <c r="E855" s="34" t="s">
        <v>559</v>
      </c>
      <c r="F855" s="54">
        <v>0</v>
      </c>
      <c r="G855" s="54"/>
      <c r="H855" s="54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1455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7" t="str">
        <f>IF(Table1[[#This Row],[Auto Order]]=1,IF(Table1[[#This Row],[In stock]]&lt;Table1[[#This Row],[Min in stock]],1,""),"")</f>
        <v/>
      </c>
    </row>
    <row r="856" spans="1:29" hidden="1" x14ac:dyDescent="0.25">
      <c r="A856" s="61" t="s">
        <v>931</v>
      </c>
      <c r="B856" s="34" t="s">
        <v>713</v>
      </c>
      <c r="C856" s="34"/>
      <c r="D856" s="34" t="s">
        <v>932</v>
      </c>
      <c r="E856" s="34" t="s">
        <v>559</v>
      </c>
      <c r="F856" s="54">
        <v>0</v>
      </c>
      <c r="G856" s="54"/>
      <c r="H856" s="54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930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7" t="str">
        <f>IF(Table1[[#This Row],[Auto Order]]=1,IF(Table1[[#This Row],[In stock]]&lt;Table1[[#This Row],[Min in stock]],1,""),"")</f>
        <v/>
      </c>
    </row>
    <row r="857" spans="1:29" hidden="1" x14ac:dyDescent="0.25">
      <c r="A857" s="61" t="s">
        <v>1320</v>
      </c>
      <c r="B857" s="34" t="s">
        <v>713</v>
      </c>
      <c r="C857" s="34"/>
      <c r="D857" s="34" t="s">
        <v>1321</v>
      </c>
      <c r="E857" s="34" t="s">
        <v>559</v>
      </c>
      <c r="F857" s="54">
        <v>0</v>
      </c>
      <c r="G857" s="54"/>
      <c r="H857" s="54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1319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7" t="str">
        <f>IF(Table1[[#This Row],[Auto Order]]=1,IF(Table1[[#This Row],[In stock]]&lt;Table1[[#This Row],[Min in stock]],1,""),"")</f>
        <v/>
      </c>
    </row>
    <row r="858" spans="1:29" hidden="1" x14ac:dyDescent="0.25">
      <c r="A858" s="61" t="s">
        <v>1023</v>
      </c>
      <c r="B858" s="34" t="s">
        <v>713</v>
      </c>
      <c r="C858" s="34"/>
      <c r="D858" s="34" t="s">
        <v>1024</v>
      </c>
      <c r="E858" s="34" t="s">
        <v>559</v>
      </c>
      <c r="F858" s="54">
        <v>0</v>
      </c>
      <c r="G858" s="54"/>
      <c r="H858" s="54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1022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7" t="str">
        <f>IF(Table1[[#This Row],[Auto Order]]=1,IF(Table1[[#This Row],[In stock]]&lt;Table1[[#This Row],[Min in stock]],1,""),"")</f>
        <v/>
      </c>
    </row>
    <row r="859" spans="1:29" hidden="1" x14ac:dyDescent="0.25">
      <c r="A859" s="61" t="s">
        <v>905</v>
      </c>
      <c r="B859" s="34" t="s">
        <v>713</v>
      </c>
      <c r="C859" s="34"/>
      <c r="D859" s="34" t="s">
        <v>906</v>
      </c>
      <c r="E859" s="34" t="s">
        <v>559</v>
      </c>
      <c r="F859" s="54">
        <v>0</v>
      </c>
      <c r="G859" s="54"/>
      <c r="H859" s="54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904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7" t="str">
        <f>IF(Table1[[#This Row],[Auto Order]]=1,IF(Table1[[#This Row],[In stock]]&lt;Table1[[#This Row],[Min in stock]],1,""),"")</f>
        <v/>
      </c>
    </row>
    <row r="860" spans="1:29" hidden="1" x14ac:dyDescent="0.25">
      <c r="A860" s="61" t="s">
        <v>1694</v>
      </c>
      <c r="B860" s="34" t="s">
        <v>713</v>
      </c>
      <c r="C860" s="34"/>
      <c r="D860" s="34" t="s">
        <v>1695</v>
      </c>
      <c r="E860" s="34" t="s">
        <v>559</v>
      </c>
      <c r="F860" s="54">
        <v>0</v>
      </c>
      <c r="G860" s="54"/>
      <c r="H860" s="54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1693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7" t="str">
        <f>IF(Table1[[#This Row],[Auto Order]]=1,IF(Table1[[#This Row],[In stock]]&lt;Table1[[#This Row],[Min in stock]],1,""),"")</f>
        <v/>
      </c>
    </row>
    <row r="861" spans="1:29" hidden="1" x14ac:dyDescent="0.25">
      <c r="A861" s="61" t="s">
        <v>1646</v>
      </c>
      <c r="B861" s="34" t="s">
        <v>713</v>
      </c>
      <c r="C861" s="34"/>
      <c r="D861" s="34" t="s">
        <v>1647</v>
      </c>
      <c r="E861" s="34" t="s">
        <v>559</v>
      </c>
      <c r="F861" s="54">
        <v>0</v>
      </c>
      <c r="G861" s="54"/>
      <c r="H861" s="54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1645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7" t="str">
        <f>IF(Table1[[#This Row],[Auto Order]]=1,IF(Table1[[#This Row],[In stock]]&lt;Table1[[#This Row],[Min in stock]],1,""),"")</f>
        <v/>
      </c>
    </row>
    <row r="862" spans="1:29" hidden="1" x14ac:dyDescent="0.25">
      <c r="A862" s="61" t="s">
        <v>1341</v>
      </c>
      <c r="B862" s="34" t="s">
        <v>713</v>
      </c>
      <c r="C862" s="34"/>
      <c r="D862" s="34" t="s">
        <v>1342</v>
      </c>
      <c r="E862" s="34" t="s">
        <v>559</v>
      </c>
      <c r="F862" s="54">
        <v>0</v>
      </c>
      <c r="G862" s="54"/>
      <c r="H862" s="54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1340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7" t="str">
        <f>IF(Table1[[#This Row],[Auto Order]]=1,IF(Table1[[#This Row],[In stock]]&lt;Table1[[#This Row],[Min in stock]],1,""),"")</f>
        <v/>
      </c>
    </row>
    <row r="863" spans="1:29" hidden="1" x14ac:dyDescent="0.25">
      <c r="A863" s="61" t="s">
        <v>1026</v>
      </c>
      <c r="B863" s="34" t="s">
        <v>713</v>
      </c>
      <c r="C863" s="34"/>
      <c r="D863" s="34" t="s">
        <v>1027</v>
      </c>
      <c r="E863" s="34" t="s">
        <v>559</v>
      </c>
      <c r="F863" s="54">
        <v>0</v>
      </c>
      <c r="G863" s="54"/>
      <c r="H863" s="54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1025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7" t="str">
        <f>IF(Table1[[#This Row],[Auto Order]]=1,IF(Table1[[#This Row],[In stock]]&lt;Table1[[#This Row],[Min in stock]],1,""),"")</f>
        <v/>
      </c>
    </row>
    <row r="864" spans="1:29" hidden="1" x14ac:dyDescent="0.25">
      <c r="A864" s="61" t="s">
        <v>1121</v>
      </c>
      <c r="B864" s="34" t="s">
        <v>713</v>
      </c>
      <c r="C864" s="34"/>
      <c r="D864" s="34" t="s">
        <v>1122</v>
      </c>
      <c r="E864" s="34" t="s">
        <v>559</v>
      </c>
      <c r="F864" s="54">
        <v>0</v>
      </c>
      <c r="G864" s="54"/>
      <c r="H864" s="54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1120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7" t="str">
        <f>IF(Table1[[#This Row],[Auto Order]]=1,IF(Table1[[#This Row],[In stock]]&lt;Table1[[#This Row],[Min in stock]],1,""),"")</f>
        <v/>
      </c>
    </row>
    <row r="865" spans="1:29" hidden="1" x14ac:dyDescent="0.25">
      <c r="A865" s="61" t="s">
        <v>1329</v>
      </c>
      <c r="B865" s="34" t="s">
        <v>713</v>
      </c>
      <c r="C865" s="34"/>
      <c r="D865" s="34" t="s">
        <v>1330</v>
      </c>
      <c r="E865" s="34" t="s">
        <v>559</v>
      </c>
      <c r="F865" s="54">
        <v>0</v>
      </c>
      <c r="G865" s="54"/>
      <c r="H865" s="54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1328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7" t="str">
        <f>IF(Table1[[#This Row],[Auto Order]]=1,IF(Table1[[#This Row],[In stock]]&lt;Table1[[#This Row],[Min in stock]],1,""),"")</f>
        <v/>
      </c>
    </row>
    <row r="866" spans="1:29" hidden="1" x14ac:dyDescent="0.25">
      <c r="A866" s="61" t="s">
        <v>1029</v>
      </c>
      <c r="B866" s="34" t="s">
        <v>713</v>
      </c>
      <c r="C866" s="34"/>
      <c r="D866" s="34" t="s">
        <v>1030</v>
      </c>
      <c r="E866" s="34" t="s">
        <v>559</v>
      </c>
      <c r="F866" s="54">
        <v>0</v>
      </c>
      <c r="G866" s="54"/>
      <c r="H866" s="54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1028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7" t="str">
        <f>IF(Table1[[#This Row],[Auto Order]]=1,IF(Table1[[#This Row],[In stock]]&lt;Table1[[#This Row],[Min in stock]],1,""),"")</f>
        <v/>
      </c>
    </row>
    <row r="867" spans="1:29" hidden="1" x14ac:dyDescent="0.25">
      <c r="A867" s="61" t="s">
        <v>1649</v>
      </c>
      <c r="B867" s="34" t="s">
        <v>713</v>
      </c>
      <c r="C867" s="34"/>
      <c r="D867" s="34" t="s">
        <v>1650</v>
      </c>
      <c r="E867" s="34" t="s">
        <v>559</v>
      </c>
      <c r="F867" s="54">
        <v>0</v>
      </c>
      <c r="G867" s="54"/>
      <c r="H867" s="54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1648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7" t="str">
        <f>IF(Table1[[#This Row],[Auto Order]]=1,IF(Table1[[#This Row],[In stock]]&lt;Table1[[#This Row],[Min in stock]],1,""),"")</f>
        <v/>
      </c>
    </row>
    <row r="868" spans="1:29" hidden="1" x14ac:dyDescent="0.25">
      <c r="A868" s="61" t="s">
        <v>908</v>
      </c>
      <c r="B868" s="34" t="s">
        <v>713</v>
      </c>
      <c r="C868" s="34"/>
      <c r="D868" s="34" t="s">
        <v>909</v>
      </c>
      <c r="E868" s="34" t="s">
        <v>559</v>
      </c>
      <c r="F868" s="54">
        <v>0</v>
      </c>
      <c r="G868" s="54"/>
      <c r="H868" s="54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907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7" t="str">
        <f>IF(Table1[[#This Row],[Auto Order]]=1,IF(Table1[[#This Row],[In stock]]&lt;Table1[[#This Row],[Min in stock]],1,""),"")</f>
        <v/>
      </c>
    </row>
    <row r="869" spans="1:29" hidden="1" x14ac:dyDescent="0.25">
      <c r="A869" s="61" t="s">
        <v>911</v>
      </c>
      <c r="B869" s="34" t="s">
        <v>713</v>
      </c>
      <c r="C869" s="34"/>
      <c r="D869" s="34" t="s">
        <v>912</v>
      </c>
      <c r="E869" s="34" t="s">
        <v>559</v>
      </c>
      <c r="F869" s="54">
        <v>0</v>
      </c>
      <c r="G869" s="54"/>
      <c r="H869" s="54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910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7" t="str">
        <f>IF(Table1[[#This Row],[Auto Order]]=1,IF(Table1[[#This Row],[In stock]]&lt;Table1[[#This Row],[Min in stock]],1,""),"")</f>
        <v/>
      </c>
    </row>
    <row r="870" spans="1:29" hidden="1" x14ac:dyDescent="0.25">
      <c r="A870" s="61" t="s">
        <v>1756</v>
      </c>
      <c r="B870" s="34" t="s">
        <v>713</v>
      </c>
      <c r="C870" s="34"/>
      <c r="D870" s="34" t="s">
        <v>1757</v>
      </c>
      <c r="E870" s="34" t="s">
        <v>559</v>
      </c>
      <c r="F870" s="54">
        <v>0</v>
      </c>
      <c r="G870" s="54"/>
      <c r="H870" s="54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1755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7" t="str">
        <f>IF(Table1[[#This Row],[Auto Order]]=1,IF(Table1[[#This Row],[In stock]]&lt;Table1[[#This Row],[Min in stock]],1,""),"")</f>
        <v/>
      </c>
    </row>
    <row r="871" spans="1:29" hidden="1" x14ac:dyDescent="0.25">
      <c r="A871" s="61" t="s">
        <v>1032</v>
      </c>
      <c r="B871" s="34" t="s">
        <v>713</v>
      </c>
      <c r="C871" s="34"/>
      <c r="D871" s="34" t="s">
        <v>1033</v>
      </c>
      <c r="E871" s="34" t="s">
        <v>559</v>
      </c>
      <c r="F871" s="54">
        <v>0</v>
      </c>
      <c r="G871" s="54"/>
      <c r="H871" s="54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1031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7" t="str">
        <f>IF(Table1[[#This Row],[Auto Order]]=1,IF(Table1[[#This Row],[In stock]]&lt;Table1[[#This Row],[Min in stock]],1,""),"")</f>
        <v/>
      </c>
    </row>
    <row r="872" spans="1:29" hidden="1" x14ac:dyDescent="0.25">
      <c r="A872" s="61" t="s">
        <v>1035</v>
      </c>
      <c r="B872" s="34" t="s">
        <v>713</v>
      </c>
      <c r="C872" s="34"/>
      <c r="D872" s="34" t="s">
        <v>1036</v>
      </c>
      <c r="E872" s="34" t="s">
        <v>559</v>
      </c>
      <c r="F872" s="54">
        <v>0</v>
      </c>
      <c r="G872" s="54"/>
      <c r="H872" s="54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1034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7" t="str">
        <f>IF(Table1[[#This Row],[Auto Order]]=1,IF(Table1[[#This Row],[In stock]]&lt;Table1[[#This Row],[Min in stock]],1,""),"")</f>
        <v/>
      </c>
    </row>
    <row r="873" spans="1:29" hidden="1" x14ac:dyDescent="0.25">
      <c r="A873" s="61" t="s">
        <v>1652</v>
      </c>
      <c r="B873" s="34" t="s">
        <v>713</v>
      </c>
      <c r="C873" s="34"/>
      <c r="D873" s="34" t="s">
        <v>1653</v>
      </c>
      <c r="E873" s="34" t="s">
        <v>559</v>
      </c>
      <c r="F873" s="54">
        <v>0</v>
      </c>
      <c r="G873" s="54"/>
      <c r="H873" s="54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1651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7" t="str">
        <f>IF(Table1[[#This Row],[Auto Order]]=1,IF(Table1[[#This Row],[In stock]]&lt;Table1[[#This Row],[Min in stock]],1,""),"")</f>
        <v/>
      </c>
    </row>
    <row r="874" spans="1:29" hidden="1" x14ac:dyDescent="0.25">
      <c r="A874" s="61" t="s">
        <v>1305</v>
      </c>
      <c r="B874" s="34" t="s">
        <v>713</v>
      </c>
      <c r="C874" s="34"/>
      <c r="D874" s="34" t="s">
        <v>1306</v>
      </c>
      <c r="E874" s="34" t="s">
        <v>559</v>
      </c>
      <c r="F874" s="54">
        <v>0</v>
      </c>
      <c r="G874" s="54"/>
      <c r="H874" s="54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1304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7" t="str">
        <f>IF(Table1[[#This Row],[Auto Order]]=1,IF(Table1[[#This Row],[In stock]]&lt;Table1[[#This Row],[Min in stock]],1,""),"")</f>
        <v/>
      </c>
    </row>
    <row r="875" spans="1:29" hidden="1" x14ac:dyDescent="0.25">
      <c r="A875" s="61" t="s">
        <v>1115</v>
      </c>
      <c r="B875" s="34" t="s">
        <v>713</v>
      </c>
      <c r="C875" s="34"/>
      <c r="D875" s="34" t="s">
        <v>1116</v>
      </c>
      <c r="E875" s="34" t="s">
        <v>559</v>
      </c>
      <c r="F875" s="54">
        <v>0</v>
      </c>
      <c r="G875" s="54"/>
      <c r="H875" s="54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1114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7" t="str">
        <f>IF(Table1[[#This Row],[Auto Order]]=1,IF(Table1[[#This Row],[In stock]]&lt;Table1[[#This Row],[Min in stock]],1,""),"")</f>
        <v/>
      </c>
    </row>
    <row r="876" spans="1:29" hidden="1" x14ac:dyDescent="0.25">
      <c r="A876" s="61" t="s">
        <v>1655</v>
      </c>
      <c r="B876" s="34" t="s">
        <v>713</v>
      </c>
      <c r="C876" s="34"/>
      <c r="D876" s="34" t="s">
        <v>1656</v>
      </c>
      <c r="E876" s="34" t="s">
        <v>559</v>
      </c>
      <c r="F876" s="54">
        <v>0</v>
      </c>
      <c r="G876" s="54"/>
      <c r="H876" s="54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1654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7" t="str">
        <f>IF(Table1[[#This Row],[Auto Order]]=1,IF(Table1[[#This Row],[In stock]]&lt;Table1[[#This Row],[Min in stock]],1,""),"")</f>
        <v/>
      </c>
    </row>
    <row r="877" spans="1:29" hidden="1" x14ac:dyDescent="0.25">
      <c r="A877" s="61" t="s">
        <v>1038</v>
      </c>
      <c r="B877" s="34" t="s">
        <v>713</v>
      </c>
      <c r="C877" s="34"/>
      <c r="D877" s="34" t="s">
        <v>1039</v>
      </c>
      <c r="E877" s="34" t="s">
        <v>559</v>
      </c>
      <c r="F877" s="54">
        <v>0</v>
      </c>
      <c r="G877" s="54"/>
      <c r="H877" s="54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1037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7" t="str">
        <f>IF(Table1[[#This Row],[Auto Order]]=1,IF(Table1[[#This Row],[In stock]]&lt;Table1[[#This Row],[Min in stock]],1,""),"")</f>
        <v/>
      </c>
    </row>
    <row r="878" spans="1:29" hidden="1" x14ac:dyDescent="0.25">
      <c r="A878" s="61" t="s">
        <v>1041</v>
      </c>
      <c r="B878" s="34" t="s">
        <v>713</v>
      </c>
      <c r="C878" s="34"/>
      <c r="D878" s="34" t="s">
        <v>1042</v>
      </c>
      <c r="E878" s="34" t="s">
        <v>559</v>
      </c>
      <c r="F878" s="54">
        <v>0</v>
      </c>
      <c r="G878" s="54"/>
      <c r="H878" s="54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1040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7" t="str">
        <f>IF(Table1[[#This Row],[Auto Order]]=1,IF(Table1[[#This Row],[In stock]]&lt;Table1[[#This Row],[Min in stock]],1,""),"")</f>
        <v/>
      </c>
    </row>
    <row r="879" spans="1:29" hidden="1" x14ac:dyDescent="0.25">
      <c r="A879" s="61" t="s">
        <v>1148</v>
      </c>
      <c r="B879" s="34" t="s">
        <v>713</v>
      </c>
      <c r="C879" s="34"/>
      <c r="D879" s="34" t="s">
        <v>1149</v>
      </c>
      <c r="E879" s="34" t="s">
        <v>559</v>
      </c>
      <c r="F879" s="54">
        <v>0</v>
      </c>
      <c r="G879" s="54"/>
      <c r="H879" s="54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1147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7" t="str">
        <f>IF(Table1[[#This Row],[Auto Order]]=1,IF(Table1[[#This Row],[In stock]]&lt;Table1[[#This Row],[Min in stock]],1,""),"")</f>
        <v/>
      </c>
    </row>
    <row r="880" spans="1:29" hidden="1" x14ac:dyDescent="0.25">
      <c r="A880" s="61" t="s">
        <v>914</v>
      </c>
      <c r="B880" s="34" t="s">
        <v>713</v>
      </c>
      <c r="C880" s="34"/>
      <c r="D880" s="34" t="s">
        <v>645</v>
      </c>
      <c r="E880" s="34" t="s">
        <v>559</v>
      </c>
      <c r="F880" s="54">
        <v>0</v>
      </c>
      <c r="G880" s="54"/>
      <c r="H880" s="54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913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7" t="str">
        <f>IF(Table1[[#This Row],[Auto Order]]=1,IF(Table1[[#This Row],[In stock]]&lt;Table1[[#This Row],[Min in stock]],1,""),"")</f>
        <v/>
      </c>
    </row>
    <row r="881" spans="1:29" hidden="1" x14ac:dyDescent="0.25">
      <c r="A881" s="61" t="s">
        <v>1658</v>
      </c>
      <c r="B881" s="34" t="s">
        <v>713</v>
      </c>
      <c r="C881" s="34"/>
      <c r="D881" s="34" t="s">
        <v>1659</v>
      </c>
      <c r="E881" s="34" t="s">
        <v>559</v>
      </c>
      <c r="F881" s="54">
        <v>0</v>
      </c>
      <c r="G881" s="54"/>
      <c r="H881" s="54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1657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7" t="str">
        <f>IF(Table1[[#This Row],[Auto Order]]=1,IF(Table1[[#This Row],[In stock]]&lt;Table1[[#This Row],[Min in stock]],1,""),"")</f>
        <v/>
      </c>
    </row>
    <row r="882" spans="1:29" hidden="1" x14ac:dyDescent="0.25">
      <c r="A882" s="61" t="s">
        <v>790</v>
      </c>
      <c r="B882" s="34" t="s">
        <v>713</v>
      </c>
      <c r="C882" s="34"/>
      <c r="D882" s="34" t="s">
        <v>791</v>
      </c>
      <c r="E882" s="34" t="s">
        <v>559</v>
      </c>
      <c r="F882" s="54">
        <v>0</v>
      </c>
      <c r="G882" s="54"/>
      <c r="H882" s="54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789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7" t="str">
        <f>IF(Table1[[#This Row],[Auto Order]]=1,IF(Table1[[#This Row],[In stock]]&lt;Table1[[#This Row],[Min in stock]],1,""),"")</f>
        <v/>
      </c>
    </row>
    <row r="883" spans="1:29" hidden="1" x14ac:dyDescent="0.25">
      <c r="A883" s="61" t="s">
        <v>1265</v>
      </c>
      <c r="B883" s="34" t="s">
        <v>713</v>
      </c>
      <c r="C883" s="34"/>
      <c r="D883" s="34" t="s">
        <v>669</v>
      </c>
      <c r="E883" s="34" t="s">
        <v>559</v>
      </c>
      <c r="F883" s="54">
        <v>0</v>
      </c>
      <c r="G883" s="54"/>
      <c r="H883" s="54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1264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7" t="str">
        <f>IF(Table1[[#This Row],[Auto Order]]=1,IF(Table1[[#This Row],[In stock]]&lt;Table1[[#This Row],[Min in stock]],1,""),"")</f>
        <v/>
      </c>
    </row>
    <row r="884" spans="1:29" hidden="1" x14ac:dyDescent="0.25">
      <c r="A884" s="61" t="s">
        <v>1136</v>
      </c>
      <c r="B884" s="34" t="s">
        <v>713</v>
      </c>
      <c r="C884" s="34"/>
      <c r="D884" s="34" t="s">
        <v>1137</v>
      </c>
      <c r="E884" s="34" t="s">
        <v>559</v>
      </c>
      <c r="F884" s="54">
        <v>0</v>
      </c>
      <c r="G884" s="54"/>
      <c r="H884" s="54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1135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7" t="str">
        <f>IF(Table1[[#This Row],[Auto Order]]=1,IF(Table1[[#This Row],[In stock]]&lt;Table1[[#This Row],[Min in stock]],1,""),"")</f>
        <v/>
      </c>
    </row>
    <row r="885" spans="1:29" hidden="1" x14ac:dyDescent="0.25">
      <c r="A885" s="61" t="s">
        <v>1085</v>
      </c>
      <c r="B885" s="34" t="s">
        <v>713</v>
      </c>
      <c r="C885" s="34"/>
      <c r="D885" s="34" t="s">
        <v>1086</v>
      </c>
      <c r="E885" s="34" t="s">
        <v>559</v>
      </c>
      <c r="F885" s="54">
        <v>0</v>
      </c>
      <c r="G885" s="54"/>
      <c r="H885" s="54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1084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7" t="str">
        <f>IF(Table1[[#This Row],[Auto Order]]=1,IF(Table1[[#This Row],[In stock]]&lt;Table1[[#This Row],[Min in stock]],1,""),"")</f>
        <v/>
      </c>
    </row>
    <row r="886" spans="1:29" hidden="1" x14ac:dyDescent="0.25">
      <c r="A886" s="61" t="s">
        <v>823</v>
      </c>
      <c r="B886" s="34" t="s">
        <v>713</v>
      </c>
      <c r="C886" s="34"/>
      <c r="D886" s="34" t="s">
        <v>824</v>
      </c>
      <c r="E886" s="34" t="s">
        <v>559</v>
      </c>
      <c r="F886" s="54">
        <v>0</v>
      </c>
      <c r="G886" s="54"/>
      <c r="H886" s="54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822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7" t="str">
        <f>IF(Table1[[#This Row],[Auto Order]]=1,IF(Table1[[#This Row],[In stock]]&lt;Table1[[#This Row],[Min in stock]],1,""),"")</f>
        <v/>
      </c>
    </row>
    <row r="887" spans="1:29" hidden="1" x14ac:dyDescent="0.25">
      <c r="A887" s="61" t="s">
        <v>1661</v>
      </c>
      <c r="B887" s="34" t="s">
        <v>713</v>
      </c>
      <c r="C887" s="34"/>
      <c r="D887" s="34" t="s">
        <v>1662</v>
      </c>
      <c r="E887" s="34" t="s">
        <v>559</v>
      </c>
      <c r="F887" s="54">
        <v>0</v>
      </c>
      <c r="G887" s="54"/>
      <c r="H887" s="54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1660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7" t="str">
        <f>IF(Table1[[#This Row],[Auto Order]]=1,IF(Table1[[#This Row],[In stock]]&lt;Table1[[#This Row],[Min in stock]],1,""),"")</f>
        <v/>
      </c>
    </row>
    <row r="888" spans="1:29" hidden="1" x14ac:dyDescent="0.25">
      <c r="A888" s="61" t="s">
        <v>1664</v>
      </c>
      <c r="B888" s="34" t="s">
        <v>713</v>
      </c>
      <c r="C888" s="34"/>
      <c r="D888" s="34" t="s">
        <v>1665</v>
      </c>
      <c r="E888" s="34" t="s">
        <v>559</v>
      </c>
      <c r="F888" s="54">
        <v>0</v>
      </c>
      <c r="G888" s="54"/>
      <c r="H888" s="54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1663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7" t="str">
        <f>IF(Table1[[#This Row],[Auto Order]]=1,IF(Table1[[#This Row],[In stock]]&lt;Table1[[#This Row],[Min in stock]],1,""),"")</f>
        <v/>
      </c>
    </row>
    <row r="889" spans="1:29" hidden="1" x14ac:dyDescent="0.25">
      <c r="A889" s="61" t="s">
        <v>1044</v>
      </c>
      <c r="B889" s="34" t="s">
        <v>713</v>
      </c>
      <c r="C889" s="34"/>
      <c r="D889" s="34" t="s">
        <v>1045</v>
      </c>
      <c r="E889" s="34" t="s">
        <v>559</v>
      </c>
      <c r="F889" s="54">
        <v>0</v>
      </c>
      <c r="G889" s="54"/>
      <c r="H889" s="54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1043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7" t="str">
        <f>IF(Table1[[#This Row],[Auto Order]]=1,IF(Table1[[#This Row],[In stock]]&lt;Table1[[#This Row],[Min in stock]],1,""),"")</f>
        <v/>
      </c>
    </row>
    <row r="890" spans="1:29" hidden="1" x14ac:dyDescent="0.25">
      <c r="A890" s="61" t="s">
        <v>1082</v>
      </c>
      <c r="B890" s="34" t="s">
        <v>713</v>
      </c>
      <c r="C890" s="34"/>
      <c r="D890" s="34" t="s">
        <v>1083</v>
      </c>
      <c r="E890" s="34" t="s">
        <v>559</v>
      </c>
      <c r="F890" s="54">
        <v>0</v>
      </c>
      <c r="G890" s="54"/>
      <c r="H890" s="54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1081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7" t="str">
        <f>IF(Table1[[#This Row],[Auto Order]]=1,IF(Table1[[#This Row],[In stock]]&lt;Table1[[#This Row],[Min in stock]],1,""),"")</f>
        <v/>
      </c>
    </row>
    <row r="891" spans="1:29" hidden="1" x14ac:dyDescent="0.25">
      <c r="A891" s="61" t="s">
        <v>1250</v>
      </c>
      <c r="B891" s="34" t="s">
        <v>713</v>
      </c>
      <c r="C891" s="34"/>
      <c r="D891" s="34" t="s">
        <v>1251</v>
      </c>
      <c r="E891" s="34" t="s">
        <v>559</v>
      </c>
      <c r="F891" s="54">
        <v>0</v>
      </c>
      <c r="G891" s="54"/>
      <c r="H891" s="54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1249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7" t="str">
        <f>IF(Table1[[#This Row],[Auto Order]]=1,IF(Table1[[#This Row],[In stock]]&lt;Table1[[#This Row],[Min in stock]],1,""),"")</f>
        <v/>
      </c>
    </row>
    <row r="892" spans="1:29" hidden="1" x14ac:dyDescent="0.25">
      <c r="A892" s="61" t="s">
        <v>1667</v>
      </c>
      <c r="B892" s="34" t="s">
        <v>713</v>
      </c>
      <c r="C892" s="34"/>
      <c r="D892" s="34" t="s">
        <v>1668</v>
      </c>
      <c r="E892" s="34" t="s">
        <v>559</v>
      </c>
      <c r="F892" s="54">
        <v>0</v>
      </c>
      <c r="G892" s="54"/>
      <c r="H892" s="54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1666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7" t="str">
        <f>IF(Table1[[#This Row],[Auto Order]]=1,IF(Table1[[#This Row],[In stock]]&lt;Table1[[#This Row],[Min in stock]],1,""),"")</f>
        <v/>
      </c>
    </row>
    <row r="893" spans="1:29" hidden="1" x14ac:dyDescent="0.25">
      <c r="A893" s="61" t="s">
        <v>1541</v>
      </c>
      <c r="B893" s="34" t="s">
        <v>713</v>
      </c>
      <c r="C893" s="34"/>
      <c r="D893" s="34" t="s">
        <v>1542</v>
      </c>
      <c r="E893" s="34" t="s">
        <v>559</v>
      </c>
      <c r="F893" s="54">
        <v>0</v>
      </c>
      <c r="G893" s="54"/>
      <c r="H893" s="54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1540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7" t="str">
        <f>IF(Table1[[#This Row],[Auto Order]]=1,IF(Table1[[#This Row],[In stock]]&lt;Table1[[#This Row],[Min in stock]],1,""),"")</f>
        <v/>
      </c>
    </row>
    <row r="894" spans="1:29" hidden="1" x14ac:dyDescent="0.25">
      <c r="A894" s="61" t="s">
        <v>1169</v>
      </c>
      <c r="B894" s="34" t="s">
        <v>713</v>
      </c>
      <c r="C894" s="34"/>
      <c r="D894" s="34" t="s">
        <v>1170</v>
      </c>
      <c r="E894" s="34" t="s">
        <v>559</v>
      </c>
      <c r="F894" s="54">
        <v>0</v>
      </c>
      <c r="G894" s="54"/>
      <c r="H894" s="54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1168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7" t="str">
        <f>IF(Table1[[#This Row],[Auto Order]]=1,IF(Table1[[#This Row],[In stock]]&lt;Table1[[#This Row],[Min in stock]],1,""),"")</f>
        <v/>
      </c>
    </row>
    <row r="895" spans="1:29" hidden="1" x14ac:dyDescent="0.25">
      <c r="A895" s="61" t="s">
        <v>1112</v>
      </c>
      <c r="B895" s="34" t="s">
        <v>713</v>
      </c>
      <c r="C895" s="34"/>
      <c r="D895" s="34" t="s">
        <v>1113</v>
      </c>
      <c r="E895" s="34" t="s">
        <v>559</v>
      </c>
      <c r="F895" s="54">
        <v>0</v>
      </c>
      <c r="G895" s="54"/>
      <c r="H895" s="54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1111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7" t="str">
        <f>IF(Table1[[#This Row],[Auto Order]]=1,IF(Table1[[#This Row],[In stock]]&lt;Table1[[#This Row],[Min in stock]],1,""),"")</f>
        <v/>
      </c>
    </row>
    <row r="896" spans="1:29" hidden="1" x14ac:dyDescent="0.25">
      <c r="A896" s="61" t="s">
        <v>1338</v>
      </c>
      <c r="B896" s="34" t="s">
        <v>713</v>
      </c>
      <c r="C896" s="34"/>
      <c r="D896" s="34" t="s">
        <v>1339</v>
      </c>
      <c r="E896" s="34" t="s">
        <v>559</v>
      </c>
      <c r="F896" s="54">
        <v>0</v>
      </c>
      <c r="G896" s="54"/>
      <c r="H896" s="54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1337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7" t="str">
        <f>IF(Table1[[#This Row],[Auto Order]]=1,IF(Table1[[#This Row],[In stock]]&lt;Table1[[#This Row],[Min in stock]],1,""),"")</f>
        <v/>
      </c>
    </row>
    <row r="897" spans="1:29" hidden="1" x14ac:dyDescent="0.25">
      <c r="A897" s="61" t="s">
        <v>1670</v>
      </c>
      <c r="B897" s="34" t="s">
        <v>713</v>
      </c>
      <c r="C897" s="34"/>
      <c r="D897" s="34" t="s">
        <v>1671</v>
      </c>
      <c r="E897" s="34" t="s">
        <v>559</v>
      </c>
      <c r="F897" s="54">
        <v>0</v>
      </c>
      <c r="G897" s="54"/>
      <c r="H897" s="54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1669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7" t="str">
        <f>IF(Table1[[#This Row],[Auto Order]]=1,IF(Table1[[#This Row],[In stock]]&lt;Table1[[#This Row],[Min in stock]],1,""),"")</f>
        <v/>
      </c>
    </row>
    <row r="898" spans="1:29" hidden="1" x14ac:dyDescent="0.25">
      <c r="A898" s="61" t="s">
        <v>1544</v>
      </c>
      <c r="B898" s="34" t="s">
        <v>713</v>
      </c>
      <c r="C898" s="34"/>
      <c r="D898" s="34" t="s">
        <v>1545</v>
      </c>
      <c r="E898" s="34" t="s">
        <v>559</v>
      </c>
      <c r="F898" s="54">
        <v>0</v>
      </c>
      <c r="G898" s="54"/>
      <c r="H898" s="54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1543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7" t="str">
        <f>IF(Table1[[#This Row],[Auto Order]]=1,IF(Table1[[#This Row],[In stock]]&lt;Table1[[#This Row],[Min in stock]],1,""),"")</f>
        <v/>
      </c>
    </row>
    <row r="899" spans="1:29" hidden="1" x14ac:dyDescent="0.25">
      <c r="A899" s="61" t="s">
        <v>1391</v>
      </c>
      <c r="B899" s="34" t="s">
        <v>713</v>
      </c>
      <c r="C899" s="34"/>
      <c r="D899" s="34" t="s">
        <v>1392</v>
      </c>
      <c r="E899" s="34" t="s">
        <v>559</v>
      </c>
      <c r="F899" s="54">
        <v>0</v>
      </c>
      <c r="G899" s="54"/>
      <c r="H899" s="54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1390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7" t="str">
        <f>IF(Table1[[#This Row],[Auto Order]]=1,IF(Table1[[#This Row],[In stock]]&lt;Table1[[#This Row],[Min in stock]],1,""),"")</f>
        <v/>
      </c>
    </row>
    <row r="900" spans="1:29" hidden="1" x14ac:dyDescent="0.25">
      <c r="A900" s="61" t="s">
        <v>1276</v>
      </c>
      <c r="B900" s="34" t="s">
        <v>713</v>
      </c>
      <c r="C900" s="34"/>
      <c r="D900" s="34" t="s">
        <v>1277</v>
      </c>
      <c r="E900" s="34" t="s">
        <v>559</v>
      </c>
      <c r="F900" s="54">
        <v>0</v>
      </c>
      <c r="G900" s="54"/>
      <c r="H900" s="54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1275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7" t="str">
        <f>IF(Table1[[#This Row],[Auto Order]]=1,IF(Table1[[#This Row],[In stock]]&lt;Table1[[#This Row],[Min in stock]],1,""),"")</f>
        <v/>
      </c>
    </row>
    <row r="901" spans="1:29" hidden="1" x14ac:dyDescent="0.25">
      <c r="A901" s="61" t="s">
        <v>1220</v>
      </c>
      <c r="B901" s="34" t="s">
        <v>713</v>
      </c>
      <c r="C901" s="34"/>
      <c r="D901" s="34" t="s">
        <v>1221</v>
      </c>
      <c r="E901" s="34" t="s">
        <v>559</v>
      </c>
      <c r="F901" s="54">
        <v>0</v>
      </c>
      <c r="G901" s="54"/>
      <c r="H901" s="54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1219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7" t="str">
        <f>IF(Table1[[#This Row],[Auto Order]]=1,IF(Table1[[#This Row],[In stock]]&lt;Table1[[#This Row],[Min in stock]],1,""),"")</f>
        <v/>
      </c>
    </row>
    <row r="902" spans="1:29" hidden="1" x14ac:dyDescent="0.25">
      <c r="A902" s="61" t="s">
        <v>1484</v>
      </c>
      <c r="B902" s="34" t="s">
        <v>713</v>
      </c>
      <c r="C902" s="34"/>
      <c r="D902" s="34" t="s">
        <v>1485</v>
      </c>
      <c r="E902" s="34" t="s">
        <v>559</v>
      </c>
      <c r="F902" s="54">
        <v>0</v>
      </c>
      <c r="G902" s="54"/>
      <c r="H902" s="54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1483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7" t="str">
        <f>IF(Table1[[#This Row],[Auto Order]]=1,IF(Table1[[#This Row],[In stock]]&lt;Table1[[#This Row],[Min in stock]],1,""),"")</f>
        <v/>
      </c>
    </row>
    <row r="903" spans="1:29" hidden="1" x14ac:dyDescent="0.25">
      <c r="A903" s="61" t="s">
        <v>838</v>
      </c>
      <c r="B903" s="34" t="s">
        <v>713</v>
      </c>
      <c r="C903" s="34"/>
      <c r="D903" s="34" t="s">
        <v>839</v>
      </c>
      <c r="E903" s="34" t="s">
        <v>559</v>
      </c>
      <c r="F903" s="54">
        <v>0</v>
      </c>
      <c r="G903" s="54"/>
      <c r="H903" s="54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837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7" t="str">
        <f>IF(Table1[[#This Row],[Auto Order]]=1,IF(Table1[[#This Row],[In stock]]&lt;Table1[[#This Row],[Min in stock]],1,""),"")</f>
        <v/>
      </c>
    </row>
    <row r="904" spans="1:29" hidden="1" x14ac:dyDescent="0.25">
      <c r="A904" s="61" t="s">
        <v>1332</v>
      </c>
      <c r="B904" s="34" t="s">
        <v>713</v>
      </c>
      <c r="C904" s="34"/>
      <c r="D904" s="34" t="s">
        <v>1333</v>
      </c>
      <c r="E904" s="34" t="s">
        <v>559</v>
      </c>
      <c r="F904" s="54">
        <v>0</v>
      </c>
      <c r="G904" s="54"/>
      <c r="H904" s="54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1331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7" t="str">
        <f>IF(Table1[[#This Row],[Auto Order]]=1,IF(Table1[[#This Row],[In stock]]&lt;Table1[[#This Row],[Min in stock]],1,""),"")</f>
        <v/>
      </c>
    </row>
    <row r="905" spans="1:29" hidden="1" x14ac:dyDescent="0.25">
      <c r="A905" s="61" t="s">
        <v>1439</v>
      </c>
      <c r="B905" s="34" t="s">
        <v>713</v>
      </c>
      <c r="C905" s="34"/>
      <c r="D905" s="34" t="s">
        <v>1440</v>
      </c>
      <c r="E905" s="34" t="s">
        <v>559</v>
      </c>
      <c r="F905" s="54">
        <v>0</v>
      </c>
      <c r="G905" s="54"/>
      <c r="H905" s="54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1438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7" t="str">
        <f>IF(Table1[[#This Row],[Auto Order]]=1,IF(Table1[[#This Row],[In stock]]&lt;Table1[[#This Row],[Min in stock]],1,""),"")</f>
        <v/>
      </c>
    </row>
    <row r="906" spans="1:29" hidden="1" x14ac:dyDescent="0.25">
      <c r="A906" s="61" t="s">
        <v>1350</v>
      </c>
      <c r="B906" s="34" t="s">
        <v>713</v>
      </c>
      <c r="C906" s="34"/>
      <c r="D906" s="34" t="s">
        <v>1351</v>
      </c>
      <c r="E906" s="34" t="s">
        <v>559</v>
      </c>
      <c r="F906" s="54">
        <v>0</v>
      </c>
      <c r="G906" s="54"/>
      <c r="H906" s="54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1349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7" t="str">
        <f>IF(Table1[[#This Row],[Auto Order]]=1,IF(Table1[[#This Row],[In stock]]&lt;Table1[[#This Row],[Min in stock]],1,""),"")</f>
        <v/>
      </c>
    </row>
    <row r="907" spans="1:29" hidden="1" x14ac:dyDescent="0.25">
      <c r="A907" s="61" t="s">
        <v>1166</v>
      </c>
      <c r="B907" s="34" t="s">
        <v>713</v>
      </c>
      <c r="C907" s="34"/>
      <c r="D907" s="34" t="s">
        <v>1167</v>
      </c>
      <c r="E907" s="34" t="s">
        <v>559</v>
      </c>
      <c r="F907" s="54">
        <v>0</v>
      </c>
      <c r="G907" s="54"/>
      <c r="H907" s="54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1165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7" t="str">
        <f>IF(Table1[[#This Row],[Auto Order]]=1,IF(Table1[[#This Row],[In stock]]&lt;Table1[[#This Row],[Min in stock]],1,""),"")</f>
        <v/>
      </c>
    </row>
    <row r="908" spans="1:29" hidden="1" x14ac:dyDescent="0.25">
      <c r="A908" s="61" t="s">
        <v>1673</v>
      </c>
      <c r="B908" s="34" t="s">
        <v>713</v>
      </c>
      <c r="C908" s="34"/>
      <c r="D908" s="34" t="s">
        <v>1674</v>
      </c>
      <c r="E908" s="34" t="s">
        <v>559</v>
      </c>
      <c r="F908" s="54">
        <v>0</v>
      </c>
      <c r="G908" s="54"/>
      <c r="H908" s="54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1672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7" t="str">
        <f>IF(Table1[[#This Row],[Auto Order]]=1,IF(Table1[[#This Row],[In stock]]&lt;Table1[[#This Row],[Min in stock]],1,""),"")</f>
        <v/>
      </c>
    </row>
    <row r="909" spans="1:29" hidden="1" x14ac:dyDescent="0.25">
      <c r="A909" s="61" t="s">
        <v>1323</v>
      </c>
      <c r="B909" s="34" t="s">
        <v>713</v>
      </c>
      <c r="C909" s="34"/>
      <c r="D909" s="34" t="s">
        <v>1324</v>
      </c>
      <c r="E909" s="34" t="s">
        <v>559</v>
      </c>
      <c r="F909" s="54">
        <v>0</v>
      </c>
      <c r="G909" s="54"/>
      <c r="H909" s="54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1322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7" t="str">
        <f>IF(Table1[[#This Row],[Auto Order]]=1,IF(Table1[[#This Row],[In stock]]&lt;Table1[[#This Row],[Min in stock]],1,""),"")</f>
        <v/>
      </c>
    </row>
    <row r="910" spans="1:29" hidden="1" x14ac:dyDescent="0.25">
      <c r="A910" s="61" t="s">
        <v>1211</v>
      </c>
      <c r="B910" s="34" t="s">
        <v>713</v>
      </c>
      <c r="C910" s="34"/>
      <c r="D910" s="34" t="s">
        <v>1212</v>
      </c>
      <c r="E910" s="34" t="s">
        <v>559</v>
      </c>
      <c r="F910" s="54">
        <v>0</v>
      </c>
      <c r="G910" s="54"/>
      <c r="H910" s="54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1210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7" t="str">
        <f>IF(Table1[[#This Row],[Auto Order]]=1,IF(Table1[[#This Row],[In stock]]&lt;Table1[[#This Row],[Min in stock]],1,""),"")</f>
        <v/>
      </c>
    </row>
    <row r="911" spans="1:29" hidden="1" x14ac:dyDescent="0.25">
      <c r="A911" s="61" t="s">
        <v>1172</v>
      </c>
      <c r="B911" s="34" t="s">
        <v>713</v>
      </c>
      <c r="C911" s="34"/>
      <c r="D911" s="34" t="s">
        <v>1173</v>
      </c>
      <c r="E911" s="34" t="s">
        <v>559</v>
      </c>
      <c r="F911" s="54">
        <v>0</v>
      </c>
      <c r="G911" s="54"/>
      <c r="H911" s="54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1171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7" t="str">
        <f>IF(Table1[[#This Row],[Auto Order]]=1,IF(Table1[[#This Row],[In stock]]&lt;Table1[[#This Row],[Min in stock]],1,""),"")</f>
        <v/>
      </c>
    </row>
    <row r="912" spans="1:29" hidden="1" x14ac:dyDescent="0.25">
      <c r="A912" s="61" t="s">
        <v>1047</v>
      </c>
      <c r="B912" s="34" t="s">
        <v>713</v>
      </c>
      <c r="C912" s="34"/>
      <c r="D912" s="34" t="s">
        <v>1048</v>
      </c>
      <c r="E912" s="34" t="s">
        <v>559</v>
      </c>
      <c r="F912" s="54">
        <v>0</v>
      </c>
      <c r="G912" s="54"/>
      <c r="H912" s="54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1046</v>
      </c>
      <c r="M912" s="42">
        <v>0.15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7" t="str">
        <f>IF(Table1[[#This Row],[Auto Order]]=1,IF(Table1[[#This Row],[In stock]]&lt;Table1[[#This Row],[Min in stock]],1,""),"")</f>
        <v/>
      </c>
    </row>
    <row r="913" spans="1:29" hidden="1" x14ac:dyDescent="0.25">
      <c r="A913" s="61" t="s">
        <v>1497</v>
      </c>
      <c r="B913" s="34" t="s">
        <v>713</v>
      </c>
      <c r="C913" s="34"/>
      <c r="D913" s="34" t="s">
        <v>1498</v>
      </c>
      <c r="E913" s="34" t="s">
        <v>559</v>
      </c>
      <c r="F913" s="54">
        <v>0</v>
      </c>
      <c r="G913" s="54"/>
      <c r="H913" s="54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1496</v>
      </c>
      <c r="M913" s="42">
        <v>0.15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7" t="str">
        <f>IF(Table1[[#This Row],[Auto Order]]=1,IF(Table1[[#This Row],[In stock]]&lt;Table1[[#This Row],[Min in stock]],1,""),"")</f>
        <v/>
      </c>
    </row>
    <row r="914" spans="1:29" hidden="1" x14ac:dyDescent="0.25">
      <c r="A914" s="61" t="s">
        <v>1679</v>
      </c>
      <c r="B914" s="34" t="s">
        <v>713</v>
      </c>
      <c r="C914" s="34"/>
      <c r="D914" s="34" t="s">
        <v>1680</v>
      </c>
      <c r="E914" s="34" t="s">
        <v>559</v>
      </c>
      <c r="F914" s="54">
        <v>0</v>
      </c>
      <c r="G914" s="54"/>
      <c r="H914" s="54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1678</v>
      </c>
      <c r="M914" s="42">
        <v>0.15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7" t="str">
        <f>IF(Table1[[#This Row],[Auto Order]]=1,IF(Table1[[#This Row],[In stock]]&lt;Table1[[#This Row],[Min in stock]],1,""),"")</f>
        <v/>
      </c>
    </row>
    <row r="915" spans="1:29" hidden="1" x14ac:dyDescent="0.25">
      <c r="A915" s="61" t="s">
        <v>1500</v>
      </c>
      <c r="B915" s="34" t="s">
        <v>713</v>
      </c>
      <c r="C915" s="34"/>
      <c r="D915" s="34" t="s">
        <v>1501</v>
      </c>
      <c r="E915" s="34" t="s">
        <v>559</v>
      </c>
      <c r="F915" s="54">
        <v>0</v>
      </c>
      <c r="G915" s="54"/>
      <c r="H915" s="54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1499</v>
      </c>
      <c r="M915" s="42">
        <v>0.15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7" t="str">
        <f>IF(Table1[[#This Row],[Auto Order]]=1,IF(Table1[[#This Row],[In stock]]&lt;Table1[[#This Row],[Min in stock]],1,""),"")</f>
        <v/>
      </c>
    </row>
    <row r="916" spans="1:29" hidden="1" x14ac:dyDescent="0.25">
      <c r="A916" s="61" t="s">
        <v>1676</v>
      </c>
      <c r="B916" s="34" t="s">
        <v>713</v>
      </c>
      <c r="C916" s="34"/>
      <c r="D916" s="34" t="s">
        <v>1677</v>
      </c>
      <c r="E916" s="34" t="s">
        <v>559</v>
      </c>
      <c r="F916" s="54">
        <v>0</v>
      </c>
      <c r="G916" s="54"/>
      <c r="H916" s="54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1675</v>
      </c>
      <c r="M916" s="42">
        <v>0.15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7" t="str">
        <f>IF(Table1[[#This Row],[Auto Order]]=1,IF(Table1[[#This Row],[In stock]]&lt;Table1[[#This Row],[Min in stock]],1,""),"")</f>
        <v/>
      </c>
    </row>
    <row r="917" spans="1:29" hidden="1" x14ac:dyDescent="0.25">
      <c r="A917" s="61" t="s">
        <v>1547</v>
      </c>
      <c r="B917" s="34" t="s">
        <v>713</v>
      </c>
      <c r="C917" s="34"/>
      <c r="D917" s="34" t="s">
        <v>1548</v>
      </c>
      <c r="E917" s="34" t="s">
        <v>559</v>
      </c>
      <c r="F917" s="54">
        <v>0</v>
      </c>
      <c r="G917" s="54"/>
      <c r="H917" s="54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1546</v>
      </c>
      <c r="M917" s="42">
        <v>0.15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7" t="str">
        <f>IF(Table1[[#This Row],[Auto Order]]=1,IF(Table1[[#This Row],[In stock]]&lt;Table1[[#This Row],[Min in stock]],1,""),"")</f>
        <v/>
      </c>
    </row>
    <row r="918" spans="1:29" hidden="1" x14ac:dyDescent="0.25">
      <c r="A918" s="61" t="s">
        <v>1050</v>
      </c>
      <c r="B918" s="34" t="s">
        <v>713</v>
      </c>
      <c r="C918" s="34"/>
      <c r="D918" s="34" t="s">
        <v>1051</v>
      </c>
      <c r="E918" s="34" t="s">
        <v>559</v>
      </c>
      <c r="F918" s="54">
        <v>0</v>
      </c>
      <c r="G918" s="54"/>
      <c r="H918" s="54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1049</v>
      </c>
      <c r="M918" s="42">
        <v>0.15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7" t="str">
        <f>IF(Table1[[#This Row],[Auto Order]]=1,IF(Table1[[#This Row],[In stock]]&lt;Table1[[#This Row],[Min in stock]],1,""),"")</f>
        <v/>
      </c>
    </row>
    <row r="919" spans="1:29" hidden="1" x14ac:dyDescent="0.25">
      <c r="A919" s="61" t="s">
        <v>1506</v>
      </c>
      <c r="B919" s="34" t="s">
        <v>713</v>
      </c>
      <c r="C919" s="34"/>
      <c r="D919" s="34" t="s">
        <v>1507</v>
      </c>
      <c r="E919" s="34" t="s">
        <v>559</v>
      </c>
      <c r="F919" s="54">
        <v>0</v>
      </c>
      <c r="G919" s="54"/>
      <c r="H919" s="54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1505</v>
      </c>
      <c r="M919" s="42">
        <v>0.15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7" t="str">
        <f>IF(Table1[[#This Row],[Auto Order]]=1,IF(Table1[[#This Row],[In stock]]&lt;Table1[[#This Row],[Min in stock]],1,""),"")</f>
        <v/>
      </c>
    </row>
    <row r="920" spans="1:29" hidden="1" x14ac:dyDescent="0.25">
      <c r="A920" s="61" t="s">
        <v>1685</v>
      </c>
      <c r="B920" s="34" t="s">
        <v>713</v>
      </c>
      <c r="C920" s="34"/>
      <c r="D920" s="34" t="s">
        <v>1686</v>
      </c>
      <c r="E920" s="34" t="s">
        <v>559</v>
      </c>
      <c r="F920" s="54">
        <v>0</v>
      </c>
      <c r="G920" s="54"/>
      <c r="H920" s="54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1684</v>
      </c>
      <c r="M920" s="42">
        <v>0.15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7" t="str">
        <f>IF(Table1[[#This Row],[Auto Order]]=1,IF(Table1[[#This Row],[In stock]]&lt;Table1[[#This Row],[Min in stock]],1,""),"")</f>
        <v/>
      </c>
    </row>
    <row r="921" spans="1:29" hidden="1" x14ac:dyDescent="0.25">
      <c r="A921" s="61" t="s">
        <v>1503</v>
      </c>
      <c r="B921" s="34" t="s">
        <v>713</v>
      </c>
      <c r="C921" s="34"/>
      <c r="D921" s="34" t="s">
        <v>1504</v>
      </c>
      <c r="E921" s="34" t="s">
        <v>559</v>
      </c>
      <c r="F921" s="54">
        <v>0</v>
      </c>
      <c r="G921" s="54"/>
      <c r="H921" s="54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1502</v>
      </c>
      <c r="M921" s="42">
        <v>0.15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7" t="str">
        <f>IF(Table1[[#This Row],[Auto Order]]=1,IF(Table1[[#This Row],[In stock]]&lt;Table1[[#This Row],[Min in stock]],1,""),"")</f>
        <v/>
      </c>
    </row>
    <row r="922" spans="1:29" hidden="1" x14ac:dyDescent="0.25">
      <c r="A922" s="61" t="s">
        <v>1053</v>
      </c>
      <c r="B922" s="34" t="s">
        <v>713</v>
      </c>
      <c r="C922" s="34"/>
      <c r="D922" s="34" t="s">
        <v>1054</v>
      </c>
      <c r="E922" s="34" t="s">
        <v>559</v>
      </c>
      <c r="F922" s="54">
        <v>0</v>
      </c>
      <c r="G922" s="54"/>
      <c r="H922" s="54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1052</v>
      </c>
      <c r="M922" s="42">
        <v>0.15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7" t="str">
        <f>IF(Table1[[#This Row],[Auto Order]]=1,IF(Table1[[#This Row],[In stock]]&lt;Table1[[#This Row],[Min in stock]],1,""),"")</f>
        <v/>
      </c>
    </row>
    <row r="923" spans="1:29" hidden="1" x14ac:dyDescent="0.25">
      <c r="A923" s="61" t="s">
        <v>1682</v>
      </c>
      <c r="B923" s="34" t="s">
        <v>713</v>
      </c>
      <c r="C923" s="34"/>
      <c r="D923" s="34" t="s">
        <v>1683</v>
      </c>
      <c r="E923" s="34" t="s">
        <v>559</v>
      </c>
      <c r="F923" s="54">
        <v>0</v>
      </c>
      <c r="G923" s="54"/>
      <c r="H923" s="54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1681</v>
      </c>
      <c r="M923" s="42">
        <v>0.15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7" t="str">
        <f>IF(Table1[[#This Row],[Auto Order]]=1,IF(Table1[[#This Row],[In stock]]&lt;Table1[[#This Row],[Min in stock]],1,""),"")</f>
        <v/>
      </c>
    </row>
    <row r="924" spans="1:29" hidden="1" x14ac:dyDescent="0.25">
      <c r="A924" s="61" t="s">
        <v>766</v>
      </c>
      <c r="B924" s="34" t="s">
        <v>713</v>
      </c>
      <c r="C924" s="34"/>
      <c r="D924" s="34" t="s">
        <v>767</v>
      </c>
      <c r="E924" s="34" t="s">
        <v>559</v>
      </c>
      <c r="F924" s="54">
        <v>0</v>
      </c>
      <c r="G924" s="54"/>
      <c r="H924" s="54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765</v>
      </c>
      <c r="M924" s="42">
        <v>0.15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7" t="str">
        <f>IF(Table1[[#This Row],[Auto Order]]=1,IF(Table1[[#This Row],[In stock]]&lt;Table1[[#This Row],[Min in stock]],1,""),"")</f>
        <v/>
      </c>
    </row>
    <row r="925" spans="1:29" hidden="1" x14ac:dyDescent="0.25">
      <c r="A925" s="52" t="s">
        <v>61</v>
      </c>
      <c r="B925" s="34" t="s">
        <v>33</v>
      </c>
      <c r="C925" s="34" t="s">
        <v>431</v>
      </c>
      <c r="D925" s="34" t="s">
        <v>60</v>
      </c>
      <c r="E925" s="34" t="s">
        <v>559</v>
      </c>
      <c r="F925" s="54">
        <v>9</v>
      </c>
      <c r="G925" s="54"/>
      <c r="H925" s="54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5" s="34"/>
      <c r="M925" s="42"/>
      <c r="N925" s="34" t="s">
        <v>430</v>
      </c>
      <c r="O925" s="42">
        <v>4.4499999999999998E-2</v>
      </c>
      <c r="P925" s="34"/>
      <c r="Q925" s="42"/>
      <c r="R925" s="34"/>
      <c r="S925" s="42"/>
      <c r="T925" s="34"/>
      <c r="U925" s="42"/>
      <c r="V925" s="34"/>
      <c r="W925" s="42"/>
      <c r="X925" s="34"/>
      <c r="Y925" s="42">
        <v>4.4499999999999998E-2</v>
      </c>
      <c r="Z925" s="42"/>
      <c r="AA925" s="36"/>
      <c r="AB925" s="50"/>
      <c r="AC925" s="35" t="str">
        <f>IF(Table1[[#This Row],[Auto Order]]=1,IF(Table1[[#This Row],[In stock]]&lt;Table1[[#This Row],[Min in stock]],1,""),"")</f>
        <v/>
      </c>
    </row>
    <row r="926" spans="1:29" hidden="1" x14ac:dyDescent="0.25">
      <c r="A926" s="52" t="s">
        <v>56</v>
      </c>
      <c r="B926" s="34" t="s">
        <v>33</v>
      </c>
      <c r="C926" s="34" t="s">
        <v>437</v>
      </c>
      <c r="D926" s="34" t="s">
        <v>55</v>
      </c>
      <c r="E926" s="34" t="s">
        <v>559</v>
      </c>
      <c r="F926" s="54">
        <v>9</v>
      </c>
      <c r="G926" s="54"/>
      <c r="H926" s="54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6" s="34"/>
      <c r="M926" s="42"/>
      <c r="N926" s="34" t="s">
        <v>436</v>
      </c>
      <c r="O926" s="42">
        <v>1.55E-2</v>
      </c>
      <c r="P926" s="34"/>
      <c r="Q926" s="42"/>
      <c r="R926" s="34"/>
      <c r="S926" s="42"/>
      <c r="T926" s="34"/>
      <c r="U926" s="42"/>
      <c r="V926" s="34"/>
      <c r="W926" s="42"/>
      <c r="X926" s="34"/>
      <c r="Y926" s="42">
        <v>1.55E-2</v>
      </c>
      <c r="Z926" s="42"/>
      <c r="AA926" s="36"/>
      <c r="AB926" s="50"/>
      <c r="AC926" s="35" t="str">
        <f>IF(Table1[[#This Row],[Auto Order]]=1,IF(Table1[[#This Row],[In stock]]&lt;Table1[[#This Row],[Min in stock]],1,""),"")</f>
        <v/>
      </c>
    </row>
    <row r="927" spans="1:29" hidden="1" x14ac:dyDescent="0.25">
      <c r="A927" s="52" t="s">
        <v>54</v>
      </c>
      <c r="B927" s="34" t="s">
        <v>33</v>
      </c>
      <c r="C927" s="34" t="s">
        <v>440</v>
      </c>
      <c r="D927" s="34" t="s">
        <v>53</v>
      </c>
      <c r="E927" s="34" t="s">
        <v>559</v>
      </c>
      <c r="F927" s="54">
        <v>0</v>
      </c>
      <c r="G927" s="54"/>
      <c r="H927" s="54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7" s="34"/>
      <c r="M927" s="42"/>
      <c r="N927" s="34" t="s">
        <v>439</v>
      </c>
      <c r="O927" s="42">
        <v>2.3E-2</v>
      </c>
      <c r="P927" s="34"/>
      <c r="Q927" s="42"/>
      <c r="R927" s="34"/>
      <c r="S927" s="42"/>
      <c r="T927" s="34"/>
      <c r="U927" s="42"/>
      <c r="V927" s="34"/>
      <c r="W927" s="42"/>
      <c r="X927" s="34"/>
      <c r="Y927" s="42">
        <v>2.3E-2</v>
      </c>
      <c r="Z927" s="42"/>
      <c r="AA927" s="36"/>
      <c r="AB927" s="50"/>
      <c r="AC927" s="35" t="str">
        <f>IF(Table1[[#This Row],[Auto Order]]=1,IF(Table1[[#This Row],[In stock]]&lt;Table1[[#This Row],[Min in stock]],1,""),"")</f>
        <v/>
      </c>
    </row>
    <row r="928" spans="1:29" hidden="1" x14ac:dyDescent="0.25">
      <c r="A928" s="52" t="s">
        <v>63</v>
      </c>
      <c r="B928" s="34" t="s">
        <v>33</v>
      </c>
      <c r="C928" s="34" t="s">
        <v>429</v>
      </c>
      <c r="D928" s="34" t="s">
        <v>62</v>
      </c>
      <c r="E928" s="34" t="s">
        <v>559</v>
      </c>
      <c r="F928" s="54">
        <v>7</v>
      </c>
      <c r="G928" s="54"/>
      <c r="H928" s="54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8" s="34"/>
      <c r="M928" s="42"/>
      <c r="N928" s="34" t="s">
        <v>428</v>
      </c>
      <c r="O928" s="42">
        <v>2.3900000000000001E-2</v>
      </c>
      <c r="P928" s="34"/>
      <c r="Q928" s="42"/>
      <c r="R928" s="34"/>
      <c r="S928" s="42"/>
      <c r="T928" s="34"/>
      <c r="U928" s="42"/>
      <c r="V928" s="34"/>
      <c r="W928" s="42"/>
      <c r="X928" s="34"/>
      <c r="Y928" s="42">
        <v>2.3900000000000001E-2</v>
      </c>
      <c r="Z928" s="42"/>
      <c r="AA928" s="36"/>
      <c r="AB928" s="50"/>
      <c r="AC928" s="35" t="str">
        <f>IF(Table1[[#This Row],[Auto Order]]=1,IF(Table1[[#This Row],[In stock]]&lt;Table1[[#This Row],[Min in stock]],1,""),"")</f>
        <v/>
      </c>
    </row>
    <row r="929" spans="1:29" hidden="1" x14ac:dyDescent="0.25">
      <c r="A929" s="52" t="s">
        <v>52</v>
      </c>
      <c r="B929" s="34" t="s">
        <v>51</v>
      </c>
      <c r="C929" s="34" t="s">
        <v>435</v>
      </c>
      <c r="D929" s="34" t="s">
        <v>50</v>
      </c>
      <c r="E929" s="34" t="s">
        <v>559</v>
      </c>
      <c r="F929" s="54">
        <v>9</v>
      </c>
      <c r="G929" s="54"/>
      <c r="H929" s="54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9" s="34"/>
      <c r="M929" s="42"/>
      <c r="N929" s="34" t="s">
        <v>434</v>
      </c>
      <c r="O929" s="42">
        <v>1.0999999999999999E-2</v>
      </c>
      <c r="P929" s="34"/>
      <c r="Q929" s="42"/>
      <c r="R929" s="34"/>
      <c r="S929" s="42"/>
      <c r="T929" s="34"/>
      <c r="U929" s="42"/>
      <c r="V929" s="34"/>
      <c r="W929" s="42"/>
      <c r="X929" s="34"/>
      <c r="Y929" s="42">
        <v>1.0999999999999999E-2</v>
      </c>
      <c r="Z929" s="42"/>
      <c r="AA929" s="36"/>
      <c r="AB929" s="50"/>
      <c r="AC929" s="35" t="str">
        <f>IF(Table1[[#This Row],[Auto Order]]=1,IF(Table1[[#This Row],[In stock]]&lt;Table1[[#This Row],[Min in stock]],1,""),"")</f>
        <v/>
      </c>
    </row>
    <row r="930" spans="1:29" hidden="1" x14ac:dyDescent="0.25">
      <c r="A930" s="61" t="s">
        <v>1881</v>
      </c>
      <c r="B930" s="34" t="s">
        <v>713</v>
      </c>
      <c r="C930" s="34"/>
      <c r="D930" s="34" t="s">
        <v>1882</v>
      </c>
      <c r="E930" s="34" t="s">
        <v>559</v>
      </c>
      <c r="F930" s="54">
        <v>0</v>
      </c>
      <c r="G930" s="54">
        <v>100</v>
      </c>
      <c r="H930" s="54">
        <f>1</f>
        <v>1</v>
      </c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1880</v>
      </c>
      <c r="M930" s="42">
        <v>0.1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7">
        <f>IF(Table1[[#This Row],[Auto Order]]=1,IF(Table1[[#This Row],[In stock]]&lt;Table1[[#This Row],[Min in stock]],1,""),"")</f>
        <v>1</v>
      </c>
    </row>
    <row r="931" spans="1:29" hidden="1" x14ac:dyDescent="0.25">
      <c r="A931" s="52" t="s">
        <v>123</v>
      </c>
      <c r="B931" s="34" t="s">
        <v>91</v>
      </c>
      <c r="C931" s="34"/>
      <c r="D931" s="34" t="s">
        <v>122</v>
      </c>
      <c r="E931" s="34" t="s">
        <v>553</v>
      </c>
      <c r="F931" s="54">
        <v>19</v>
      </c>
      <c r="G931" s="54">
        <v>2</v>
      </c>
      <c r="H931" s="54">
        <f>1</f>
        <v>1</v>
      </c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467</v>
      </c>
      <c r="M931" s="42">
        <v>0.28000000000000003</v>
      </c>
      <c r="N931" s="34" t="s">
        <v>124</v>
      </c>
      <c r="O931" s="42">
        <v>0.191</v>
      </c>
      <c r="P931" s="34"/>
      <c r="Q931" s="42"/>
      <c r="R931" s="34"/>
      <c r="S931" s="42"/>
      <c r="T931" s="34"/>
      <c r="U931" s="42"/>
      <c r="V931" s="34"/>
      <c r="W931" s="42"/>
      <c r="X931" s="34"/>
      <c r="Y931" s="42">
        <v>0.191</v>
      </c>
      <c r="Z931" s="42"/>
      <c r="AA931" s="36"/>
      <c r="AB931" s="50"/>
      <c r="AC931" s="35" t="str">
        <f>IF(Table1[[#This Row],[Auto Order]]=1,IF(Table1[[#This Row],[In stock]]&lt;Table1[[#This Row],[Min in stock]],1,""),"")</f>
        <v/>
      </c>
    </row>
    <row r="932" spans="1:29" hidden="1" x14ac:dyDescent="0.25">
      <c r="A932" s="52" t="s">
        <v>133</v>
      </c>
      <c r="B932" s="34" t="s">
        <v>7</v>
      </c>
      <c r="C932" s="34"/>
      <c r="D932" s="34" t="s">
        <v>132</v>
      </c>
      <c r="E932" s="34" t="s">
        <v>553</v>
      </c>
      <c r="F932" s="54">
        <v>10</v>
      </c>
      <c r="G932" s="54">
        <v>2</v>
      </c>
      <c r="H932" s="54">
        <f>1</f>
        <v>1</v>
      </c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471</v>
      </c>
      <c r="M932" s="42">
        <v>0.61</v>
      </c>
      <c r="N932" s="34" t="s">
        <v>134</v>
      </c>
      <c r="O932" s="42">
        <v>0.34899999999999998</v>
      </c>
      <c r="P932" s="34"/>
      <c r="Q932" s="42"/>
      <c r="R932" s="34"/>
      <c r="S932" s="42"/>
      <c r="T932" s="34"/>
      <c r="U932" s="42"/>
      <c r="V932" s="34"/>
      <c r="W932" s="42"/>
      <c r="X932" s="34"/>
      <c r="Y932" s="42">
        <v>0.34899999999999998</v>
      </c>
      <c r="Z932" s="42"/>
      <c r="AA932" s="36"/>
      <c r="AB932" s="50"/>
      <c r="AC932" s="35" t="str">
        <f>IF(Table1[[#This Row],[Auto Order]]=1,IF(Table1[[#This Row],[In stock]]&lt;Table1[[#This Row],[Min in stock]],1,""),"")</f>
        <v/>
      </c>
    </row>
    <row r="933" spans="1:29" hidden="1" x14ac:dyDescent="0.25">
      <c r="A933" s="52" t="s">
        <v>120</v>
      </c>
      <c r="B933" s="34" t="s">
        <v>33</v>
      </c>
      <c r="C933" s="34"/>
      <c r="D933" s="34" t="s">
        <v>119</v>
      </c>
      <c r="E933" s="34" t="s">
        <v>553</v>
      </c>
      <c r="F933" s="54">
        <v>15</v>
      </c>
      <c r="G933" s="54">
        <v>2</v>
      </c>
      <c r="H933" s="54">
        <f>1</f>
        <v>1</v>
      </c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33" s="34"/>
      <c r="M933" s="42"/>
      <c r="N933" s="34" t="s">
        <v>121</v>
      </c>
      <c r="O933" s="42">
        <v>0.26500000000000001</v>
      </c>
      <c r="P933" s="34"/>
      <c r="Q933" s="42"/>
      <c r="R933" s="34"/>
      <c r="S933" s="42"/>
      <c r="T933" s="34"/>
      <c r="U933" s="42"/>
      <c r="V933" s="34"/>
      <c r="W933" s="42"/>
      <c r="X933" s="34"/>
      <c r="Y933" s="42">
        <v>0.26500000000000001</v>
      </c>
      <c r="Z933" s="42"/>
      <c r="AA933" s="36"/>
      <c r="AB933" s="50"/>
      <c r="AC933" s="35" t="str">
        <f>IF(Table1[[#This Row],[Auto Order]]=1,IF(Table1[[#This Row],[In stock]]&lt;Table1[[#This Row],[Min in stock]],1,""),"")</f>
        <v/>
      </c>
    </row>
    <row r="934" spans="1:29" hidden="1" x14ac:dyDescent="0.25">
      <c r="A934" s="52" t="s">
        <v>238</v>
      </c>
      <c r="B934" s="34" t="s">
        <v>239</v>
      </c>
      <c r="C934" s="34"/>
      <c r="D934" s="34" t="s">
        <v>240</v>
      </c>
      <c r="E934" s="34" t="s">
        <v>548</v>
      </c>
      <c r="F934" s="54">
        <v>4</v>
      </c>
      <c r="G934" s="54">
        <v>2</v>
      </c>
      <c r="H934" s="54">
        <f>1</f>
        <v>1</v>
      </c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237</v>
      </c>
      <c r="M934" s="42">
        <v>0.85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35" t="str">
        <f>IF(Table1[[#This Row],[Auto Order]]=1,IF(Table1[[#This Row],[In stock]]&lt;Table1[[#This Row],[Min in stock]],1,""),"")</f>
        <v/>
      </c>
    </row>
    <row r="935" spans="1:29" hidden="1" x14ac:dyDescent="0.25">
      <c r="A935" s="52" t="s">
        <v>234</v>
      </c>
      <c r="B935" s="34" t="s">
        <v>235</v>
      </c>
      <c r="C935" s="34"/>
      <c r="D935" s="34" t="s">
        <v>236</v>
      </c>
      <c r="E935" s="34" t="s">
        <v>548</v>
      </c>
      <c r="F935" s="54">
        <v>4</v>
      </c>
      <c r="G935" s="54">
        <v>2</v>
      </c>
      <c r="H935" s="54">
        <f>1</f>
        <v>1</v>
      </c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233</v>
      </c>
      <c r="M935" s="42">
        <v>1.39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35" t="str">
        <f>IF(Table1[[#This Row],[Auto Order]]=1,IF(Table1[[#This Row],[In stock]]&lt;Table1[[#This Row],[Min in stock]],1,""),"")</f>
        <v/>
      </c>
    </row>
    <row r="936" spans="1:29" hidden="1" x14ac:dyDescent="0.25">
      <c r="A936" s="52" t="s">
        <v>347</v>
      </c>
      <c r="B936" s="34" t="s">
        <v>348</v>
      </c>
      <c r="C936" s="34"/>
      <c r="D936" s="34" t="s">
        <v>349</v>
      </c>
      <c r="E936" s="34" t="s">
        <v>556</v>
      </c>
      <c r="F936" s="54">
        <v>1</v>
      </c>
      <c r="G936" s="54"/>
      <c r="H936" s="54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936" s="34"/>
      <c r="M936" s="42"/>
      <c r="N936" s="34"/>
      <c r="O936" s="42"/>
      <c r="P936" s="34"/>
      <c r="Q936" s="42"/>
      <c r="R936" s="34" t="s">
        <v>346</v>
      </c>
      <c r="S936" s="42">
        <v>399.95</v>
      </c>
      <c r="T936" s="34"/>
      <c r="U936" s="42"/>
      <c r="V936" s="34"/>
      <c r="W936" s="42"/>
      <c r="X936" s="34"/>
      <c r="Y936" s="42"/>
      <c r="Z936" s="42"/>
      <c r="AA936" s="36"/>
      <c r="AB936" s="50"/>
      <c r="AC936" s="35" t="str">
        <f>IF(Table1[[#This Row],[Auto Order]]=1,IF(Table1[[#This Row],[In stock]]&lt;Table1[[#This Row],[Min in stock]],1,""),"")</f>
        <v/>
      </c>
    </row>
    <row r="937" spans="1:29" hidden="1" x14ac:dyDescent="0.25">
      <c r="A937" s="52" t="s">
        <v>329</v>
      </c>
      <c r="B937" s="34" t="s">
        <v>330</v>
      </c>
      <c r="C937" s="34"/>
      <c r="D937" s="34" t="s">
        <v>331</v>
      </c>
      <c r="E937" s="34" t="s">
        <v>556</v>
      </c>
      <c r="F937" s="54">
        <v>0</v>
      </c>
      <c r="G937" s="54">
        <v>1</v>
      </c>
      <c r="H937" s="54">
        <f>1</f>
        <v>1</v>
      </c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937" s="34"/>
      <c r="M937" s="42"/>
      <c r="N937" s="34"/>
      <c r="O937" s="42"/>
      <c r="P937" s="34" t="s">
        <v>328</v>
      </c>
      <c r="Q937" s="42">
        <v>14.6</v>
      </c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35">
        <f>IF(Table1[[#This Row],[Auto Order]]=1,IF(Table1[[#This Row],[In stock]]&lt;Table1[[#This Row],[Min in stock]],1,""),"")</f>
        <v>1</v>
      </c>
    </row>
    <row r="938" spans="1:29" hidden="1" x14ac:dyDescent="0.25">
      <c r="A938" s="52" t="s">
        <v>46</v>
      </c>
      <c r="B938" s="34" t="s">
        <v>45</v>
      </c>
      <c r="C938" s="34" t="s">
        <v>389</v>
      </c>
      <c r="D938" s="34" t="s">
        <v>44</v>
      </c>
      <c r="E938" s="34" t="s">
        <v>561</v>
      </c>
      <c r="F938" s="54">
        <v>16</v>
      </c>
      <c r="G938" s="54">
        <f>10</f>
        <v>10</v>
      </c>
      <c r="H938" s="54">
        <f>1</f>
        <v>1</v>
      </c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474</v>
      </c>
      <c r="M938" s="42">
        <v>0.55000000000000004</v>
      </c>
      <c r="N938" s="34">
        <v>9845356</v>
      </c>
      <c r="O938" s="42">
        <v>0.42199999999999999</v>
      </c>
      <c r="P938" s="34"/>
      <c r="Q938" s="42"/>
      <c r="R938" s="34"/>
      <c r="S938" s="42"/>
      <c r="T938" s="34"/>
      <c r="U938" s="42"/>
      <c r="V938" s="34"/>
      <c r="W938" s="42"/>
      <c r="X938" s="34"/>
      <c r="Y938" s="42">
        <v>0.42199999999999999</v>
      </c>
      <c r="Z938" s="42"/>
      <c r="AA938" s="36"/>
      <c r="AB938" s="50"/>
      <c r="AC938" s="35" t="str">
        <f>IF(Table1[[#This Row],[Auto Order]]=1,IF(Table1[[#This Row],[In stock]]&lt;Table1[[#This Row],[Min in stock]],1,""),"")</f>
        <v/>
      </c>
    </row>
    <row r="939" spans="1:29" hidden="1" x14ac:dyDescent="0.25">
      <c r="A939" s="52" t="s">
        <v>43</v>
      </c>
      <c r="B939" s="34" t="s">
        <v>7</v>
      </c>
      <c r="C939" s="34" t="s">
        <v>387</v>
      </c>
      <c r="D939" s="34" t="s">
        <v>41</v>
      </c>
      <c r="E939" s="34" t="s">
        <v>561</v>
      </c>
      <c r="F939" s="54">
        <v>24</v>
      </c>
      <c r="G939" s="54">
        <v>10</v>
      </c>
      <c r="H939" s="54">
        <f>1</f>
        <v>1</v>
      </c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477</v>
      </c>
      <c r="M939" s="42">
        <v>0.56999999999999995</v>
      </c>
      <c r="N939" s="34">
        <v>1779259</v>
      </c>
      <c r="O939" s="42">
        <v>0.27100000000000002</v>
      </c>
      <c r="P939" s="34"/>
      <c r="Q939" s="42"/>
      <c r="R939" s="34"/>
      <c r="S939" s="42"/>
      <c r="T939" s="34"/>
      <c r="U939" s="42"/>
      <c r="V939" s="34"/>
      <c r="W939" s="42"/>
      <c r="X939" s="34"/>
      <c r="Y939" s="42">
        <v>0.27100000000000002</v>
      </c>
      <c r="Z939" s="42"/>
      <c r="AA939" s="36"/>
      <c r="AB939" s="50"/>
      <c r="AC939" s="35" t="str">
        <f>IF(Table1[[#This Row],[Auto Order]]=1,IF(Table1[[#This Row],[In stock]]&lt;Table1[[#This Row],[Min in stock]],1,""),"")</f>
        <v/>
      </c>
    </row>
    <row r="940" spans="1:29" hidden="1" x14ac:dyDescent="0.25">
      <c r="A940" s="52" t="s">
        <v>38</v>
      </c>
      <c r="B940" s="34" t="s">
        <v>92</v>
      </c>
      <c r="C940" s="34"/>
      <c r="D940" s="34" t="s">
        <v>37</v>
      </c>
      <c r="E940" s="34" t="s">
        <v>555</v>
      </c>
      <c r="F940" s="54">
        <v>2</v>
      </c>
      <c r="G940" s="54"/>
      <c r="H940" s="54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168</v>
      </c>
      <c r="M940" s="42">
        <v>2.08</v>
      </c>
      <c r="N940" s="34">
        <v>9352260</v>
      </c>
      <c r="O940" s="42">
        <v>2.76</v>
      </c>
      <c r="P940" s="34"/>
      <c r="Q940" s="42"/>
      <c r="R940" s="34"/>
      <c r="S940" s="42"/>
      <c r="T940" s="34"/>
      <c r="U940" s="42"/>
      <c r="V940" s="34"/>
      <c r="W940" s="42"/>
      <c r="X940" s="34"/>
      <c r="Y940" s="42">
        <v>2.76</v>
      </c>
      <c r="Z940" s="42"/>
      <c r="AA940" s="36"/>
      <c r="AB940" s="50"/>
      <c r="AC940" s="35" t="str">
        <f>IF(Table1[[#This Row],[Auto Order]]=1,IF(Table1[[#This Row],[In stock]]&lt;Table1[[#This Row],[Min in stock]],1,""),"")</f>
        <v/>
      </c>
    </row>
    <row r="941" spans="1:29" hidden="1" x14ac:dyDescent="0.25">
      <c r="A941" s="52" t="s">
        <v>49</v>
      </c>
      <c r="B941" s="34" t="s">
        <v>48</v>
      </c>
      <c r="C941" s="34"/>
      <c r="D941" s="34" t="s">
        <v>47</v>
      </c>
      <c r="E941" s="34" t="s">
        <v>555</v>
      </c>
      <c r="F941" s="54">
        <v>1</v>
      </c>
      <c r="G941" s="54"/>
      <c r="H941" s="54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478</v>
      </c>
      <c r="M941" s="42">
        <v>1.81</v>
      </c>
      <c r="N941" s="34">
        <v>1141380</v>
      </c>
      <c r="O941" s="42">
        <v>1.62</v>
      </c>
      <c r="P941" s="34"/>
      <c r="Q941" s="42"/>
      <c r="R941" s="34"/>
      <c r="S941" s="42"/>
      <c r="T941" s="34"/>
      <c r="U941" s="42"/>
      <c r="V941" s="34"/>
      <c r="W941" s="42"/>
      <c r="X941" s="34"/>
      <c r="Y941" s="42">
        <v>1.62</v>
      </c>
      <c r="Z941" s="42"/>
      <c r="AA941" s="36"/>
      <c r="AB941" s="50"/>
      <c r="AC941" s="35" t="str">
        <f>IF(Table1[[#This Row],[Auto Order]]=1,IF(Table1[[#This Row],[In stock]]&lt;Table1[[#This Row],[Min in stock]],1,""),"")</f>
        <v/>
      </c>
    </row>
    <row r="942" spans="1:29" hidden="1" x14ac:dyDescent="0.25">
      <c r="A942" s="52" t="s">
        <v>487</v>
      </c>
      <c r="B942" s="34" t="s">
        <v>258</v>
      </c>
      <c r="C942" s="34"/>
      <c r="D942" s="34" t="s">
        <v>270</v>
      </c>
      <c r="E942" s="34" t="s">
        <v>552</v>
      </c>
      <c r="F942" s="54">
        <v>3</v>
      </c>
      <c r="G942" s="54"/>
      <c r="H942" s="54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269</v>
      </c>
      <c r="M942" s="42">
        <v>0.48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35" t="str">
        <f>IF(Table1[[#This Row],[Auto Order]]=1,IF(Table1[[#This Row],[In stock]]&lt;Table1[[#This Row],[Min in stock]],1,""),"")</f>
        <v/>
      </c>
    </row>
    <row r="943" spans="1:29" hidden="1" x14ac:dyDescent="0.25">
      <c r="A943" s="61" t="s">
        <v>3100</v>
      </c>
      <c r="B943" s="34" t="s">
        <v>3103</v>
      </c>
      <c r="C943" s="34"/>
      <c r="D943" s="34" t="s">
        <v>3101</v>
      </c>
      <c r="E943" s="34" t="s">
        <v>568</v>
      </c>
      <c r="F943" s="54">
        <v>0</v>
      </c>
      <c r="G943" s="54"/>
      <c r="H943" s="54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3102</v>
      </c>
      <c r="M943" s="42">
        <v>15.8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7" t="str">
        <f>IF(Table1[[#This Row],[Auto Order]]=1,IF(Table1[[#This Row],[In stock]]&lt;Table1[[#This Row],[Min in stock]],1,""),"")</f>
        <v/>
      </c>
    </row>
    <row r="944" spans="1:29" hidden="1" x14ac:dyDescent="0.25">
      <c r="A944" s="61" t="s">
        <v>3104</v>
      </c>
      <c r="B944" s="34" t="s">
        <v>3105</v>
      </c>
      <c r="C944" s="34"/>
      <c r="D944" s="34" t="s">
        <v>3106</v>
      </c>
      <c r="E944" s="34" t="s">
        <v>568</v>
      </c>
      <c r="F944" s="54">
        <v>0</v>
      </c>
      <c r="G944" s="54"/>
      <c r="H944" s="54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3107</v>
      </c>
      <c r="M944" s="42">
        <v>9.6999999999999993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7" t="str">
        <f>IF(Table1[[#This Row],[Auto Order]]=1,IF(Table1[[#This Row],[In stock]]&lt;Table1[[#This Row],[Min in stock]],1,""),"")</f>
        <v/>
      </c>
    </row>
    <row r="945" spans="1:29" x14ac:dyDescent="0.25">
      <c r="A945" s="61" t="s">
        <v>3255</v>
      </c>
      <c r="B945" s="34" t="s">
        <v>251</v>
      </c>
      <c r="C945" s="34" t="s">
        <v>352</v>
      </c>
      <c r="D945" s="34" t="s">
        <v>3256</v>
      </c>
      <c r="E945" s="34" t="s">
        <v>559</v>
      </c>
      <c r="F945" s="54">
        <v>0</v>
      </c>
      <c r="G945" s="54"/>
      <c r="H945" s="54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3254</v>
      </c>
      <c r="M945" s="42">
        <v>0.44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7" t="str">
        <f>IF(Table1[[#This Row],[Auto Order]]=1,IF(Table1[[#This Row],[In stock]]&lt;Table1[[#This Row],[Min in stock]],1,""),"")</f>
        <v/>
      </c>
    </row>
    <row r="946" spans="1:29" hidden="1" x14ac:dyDescent="0.25">
      <c r="A946" s="61" t="s">
        <v>3282</v>
      </c>
      <c r="B946" s="34" t="s">
        <v>251</v>
      </c>
      <c r="C946" s="34" t="s">
        <v>352</v>
      </c>
      <c r="D946" s="34" t="s">
        <v>3283</v>
      </c>
      <c r="E946" s="34" t="s">
        <v>559</v>
      </c>
      <c r="F946" s="54">
        <v>0</v>
      </c>
      <c r="G946" s="54"/>
      <c r="H946" s="54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3281</v>
      </c>
      <c r="M946" s="42">
        <v>0.47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7" t="str">
        <f>IF(Table1[[#This Row],[Auto Order]]=1,IF(Table1[[#This Row],[In stock]]&lt;Table1[[#This Row],[Min in stock]],1,""),"")</f>
        <v/>
      </c>
    </row>
    <row r="947" spans="1:29" hidden="1" x14ac:dyDescent="0.25">
      <c r="A947" s="63" t="s">
        <v>655</v>
      </c>
      <c r="B947" s="34" t="s">
        <v>251</v>
      </c>
      <c r="C947" s="34"/>
      <c r="D947" s="34" t="s">
        <v>657</v>
      </c>
      <c r="E947" s="34" t="s">
        <v>559</v>
      </c>
      <c r="F947" s="54">
        <v>0</v>
      </c>
      <c r="G947" s="54"/>
      <c r="H947" s="54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656</v>
      </c>
      <c r="M947" s="42">
        <v>0.1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7" t="str">
        <f>IF(Table1[[#This Row],[Auto Order]]=1,IF(Table1[[#This Row],[In stock]]&lt;Table1[[#This Row],[Min in stock]],1,""),"")</f>
        <v/>
      </c>
    </row>
    <row r="948" spans="1:29" hidden="1" x14ac:dyDescent="0.25">
      <c r="A948" s="61" t="s">
        <v>3493</v>
      </c>
      <c r="B948" s="34" t="s">
        <v>251</v>
      </c>
      <c r="C948" s="34" t="s">
        <v>352</v>
      </c>
      <c r="D948" s="34" t="s">
        <v>3494</v>
      </c>
      <c r="E948" s="34" t="s">
        <v>559</v>
      </c>
      <c r="F948" s="54">
        <v>0</v>
      </c>
      <c r="G948" s="54"/>
      <c r="H948" s="54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3492</v>
      </c>
      <c r="M948" s="42">
        <v>0.47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7" t="str">
        <f>IF(Table1[[#This Row],[Auto Order]]=1,IF(Table1[[#This Row],[In stock]]&lt;Table1[[#This Row],[Min in stock]],1,""),"")</f>
        <v/>
      </c>
    </row>
    <row r="949" spans="1:29" x14ac:dyDescent="0.25">
      <c r="A949" s="61" t="s">
        <v>3327</v>
      </c>
      <c r="B949" s="34" t="s">
        <v>251</v>
      </c>
      <c r="C949" s="34" t="s">
        <v>352</v>
      </c>
      <c r="D949" s="34" t="s">
        <v>3328</v>
      </c>
      <c r="E949" s="34" t="s">
        <v>559</v>
      </c>
      <c r="F949" s="54">
        <v>0</v>
      </c>
      <c r="G949" s="54"/>
      <c r="H949" s="54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3326</v>
      </c>
      <c r="M949" s="42">
        <v>0.44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7" t="str">
        <f>IF(Table1[[#This Row],[Auto Order]]=1,IF(Table1[[#This Row],[In stock]]&lt;Table1[[#This Row],[Min in stock]],1,""),"")</f>
        <v/>
      </c>
    </row>
    <row r="950" spans="1:29" hidden="1" x14ac:dyDescent="0.25">
      <c r="A950" s="63" t="s">
        <v>616</v>
      </c>
      <c r="B950" s="34" t="s">
        <v>251</v>
      </c>
      <c r="C950" s="34"/>
      <c r="D950" s="34" t="s">
        <v>618</v>
      </c>
      <c r="E950" s="34" t="s">
        <v>559</v>
      </c>
      <c r="F950" s="54">
        <v>0</v>
      </c>
      <c r="G950" s="54"/>
      <c r="H950" s="54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617</v>
      </c>
      <c r="M950" s="42">
        <v>0.1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7" t="str">
        <f>IF(Table1[[#This Row],[Auto Order]]=1,IF(Table1[[#This Row],[In stock]]&lt;Table1[[#This Row],[Min in stock]],1,""),"")</f>
        <v/>
      </c>
    </row>
    <row r="951" spans="1:29" hidden="1" x14ac:dyDescent="0.25">
      <c r="A951" s="61" t="s">
        <v>3193</v>
      </c>
      <c r="B951" s="34" t="s">
        <v>251</v>
      </c>
      <c r="C951" s="34" t="s">
        <v>352</v>
      </c>
      <c r="D951" s="34" t="s">
        <v>3194</v>
      </c>
      <c r="E951" s="34" t="s">
        <v>559</v>
      </c>
      <c r="F951" s="54">
        <v>0</v>
      </c>
      <c r="G951" s="54"/>
      <c r="H951" s="54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3192</v>
      </c>
      <c r="M951" s="42">
        <v>0.48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7" t="str">
        <f>IF(Table1[[#This Row],[Auto Order]]=1,IF(Table1[[#This Row],[In stock]]&lt;Table1[[#This Row],[Min in stock]],1,""),"")</f>
        <v/>
      </c>
    </row>
    <row r="952" spans="1:29" hidden="1" x14ac:dyDescent="0.25">
      <c r="A952" s="63" t="s">
        <v>631</v>
      </c>
      <c r="B952" s="34" t="s">
        <v>251</v>
      </c>
      <c r="C952" s="34"/>
      <c r="D952" s="34" t="s">
        <v>633</v>
      </c>
      <c r="E952" s="34" t="s">
        <v>559</v>
      </c>
      <c r="F952" s="54">
        <v>0</v>
      </c>
      <c r="G952" s="54"/>
      <c r="H952" s="54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632</v>
      </c>
      <c r="M952" s="42">
        <v>0.1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7" t="str">
        <f>IF(Table1[[#This Row],[Auto Order]]=1,IF(Table1[[#This Row],[In stock]]&lt;Table1[[#This Row],[Min in stock]],1,""),"")</f>
        <v/>
      </c>
    </row>
    <row r="953" spans="1:29" hidden="1" x14ac:dyDescent="0.25">
      <c r="A953" s="61" t="s">
        <v>3472</v>
      </c>
      <c r="B953" s="34" t="s">
        <v>251</v>
      </c>
      <c r="C953" s="34" t="s">
        <v>352</v>
      </c>
      <c r="D953" s="34" t="s">
        <v>3473</v>
      </c>
      <c r="E953" s="34" t="s">
        <v>559</v>
      </c>
      <c r="F953" s="54">
        <v>0</v>
      </c>
      <c r="G953" s="54"/>
      <c r="H953" s="54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3471</v>
      </c>
      <c r="M953" s="42">
        <v>0.48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7" t="str">
        <f>IF(Table1[[#This Row],[Auto Order]]=1,IF(Table1[[#This Row],[In stock]]&lt;Table1[[#This Row],[Min in stock]],1,""),"")</f>
        <v/>
      </c>
    </row>
    <row r="954" spans="1:29" x14ac:dyDescent="0.25">
      <c r="A954" s="61" t="s">
        <v>3185</v>
      </c>
      <c r="B954" s="34" t="s">
        <v>251</v>
      </c>
      <c r="C954" s="34" t="s">
        <v>352</v>
      </c>
      <c r="D954" s="34" t="s">
        <v>3186</v>
      </c>
      <c r="E954" s="34" t="s">
        <v>559</v>
      </c>
      <c r="F954" s="54">
        <v>0</v>
      </c>
      <c r="G954" s="54"/>
      <c r="H954" s="54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3184</v>
      </c>
      <c r="M954" s="42">
        <v>0.42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7" t="str">
        <f>IF(Table1[[#This Row],[Auto Order]]=1,IF(Table1[[#This Row],[In stock]]&lt;Table1[[#This Row],[Min in stock]],1,""),"")</f>
        <v/>
      </c>
    </row>
    <row r="955" spans="1:29" hidden="1" x14ac:dyDescent="0.25">
      <c r="A955" s="63" t="s">
        <v>691</v>
      </c>
      <c r="B955" s="34" t="s">
        <v>251</v>
      </c>
      <c r="C955" s="34"/>
      <c r="D955" s="34" t="s">
        <v>693</v>
      </c>
      <c r="E955" s="34" t="s">
        <v>559</v>
      </c>
      <c r="F955" s="54">
        <v>0</v>
      </c>
      <c r="G955" s="54"/>
      <c r="H955" s="54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692</v>
      </c>
      <c r="M955" s="42">
        <v>0.1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7" t="str">
        <f>IF(Table1[[#This Row],[Auto Order]]=1,IF(Table1[[#This Row],[In stock]]&lt;Table1[[#This Row],[Min in stock]],1,""),"")</f>
        <v/>
      </c>
    </row>
    <row r="956" spans="1:29" hidden="1" x14ac:dyDescent="0.25">
      <c r="A956" s="63" t="s">
        <v>673</v>
      </c>
      <c r="B956" s="34" t="s">
        <v>251</v>
      </c>
      <c r="C956" s="34"/>
      <c r="D956" s="34" t="s">
        <v>675</v>
      </c>
      <c r="E956" s="34" t="s">
        <v>559</v>
      </c>
      <c r="F956" s="54">
        <v>0</v>
      </c>
      <c r="G956" s="54"/>
      <c r="H956" s="54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674</v>
      </c>
      <c r="M956" s="42">
        <v>0.1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7" t="str">
        <f>IF(Table1[[#This Row],[Auto Order]]=1,IF(Table1[[#This Row],[In stock]]&lt;Table1[[#This Row],[Min in stock]],1,""),"")</f>
        <v/>
      </c>
    </row>
    <row r="957" spans="1:29" hidden="1" x14ac:dyDescent="0.25">
      <c r="A957" s="63" t="s">
        <v>619</v>
      </c>
      <c r="B957" s="34" t="s">
        <v>251</v>
      </c>
      <c r="C957" s="34"/>
      <c r="D957" s="34" t="s">
        <v>3099</v>
      </c>
      <c r="E957" s="34" t="s">
        <v>559</v>
      </c>
      <c r="F957" s="54">
        <v>0</v>
      </c>
      <c r="G957" s="54"/>
      <c r="H957" s="54">
        <v>0</v>
      </c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620</v>
      </c>
      <c r="M957" s="42">
        <v>0.1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7" t="str">
        <f>IF(Table1[[#This Row],[Auto Order]]=1,IF(Table1[[#This Row],[In stock]]&lt;Table1[[#This Row],[Min in stock]],1,""),"")</f>
        <v/>
      </c>
    </row>
    <row r="958" spans="1:29" hidden="1" x14ac:dyDescent="0.25">
      <c r="A958" s="61" t="s">
        <v>3316</v>
      </c>
      <c r="B958" s="34" t="s">
        <v>251</v>
      </c>
      <c r="C958" s="34" t="s">
        <v>352</v>
      </c>
      <c r="D958" s="34" t="s">
        <v>3317</v>
      </c>
      <c r="E958" s="34" t="s">
        <v>559</v>
      </c>
      <c r="F958" s="54">
        <v>0</v>
      </c>
      <c r="G958" s="54"/>
      <c r="H958" s="54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3315</v>
      </c>
      <c r="M958" s="42">
        <v>0.48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7" t="str">
        <f>IF(Table1[[#This Row],[Auto Order]]=1,IF(Table1[[#This Row],[In stock]]&lt;Table1[[#This Row],[Min in stock]],1,""),"")</f>
        <v/>
      </c>
    </row>
    <row r="959" spans="1:29" x14ac:dyDescent="0.25">
      <c r="A959" s="61" t="s">
        <v>3289</v>
      </c>
      <c r="B959" s="34" t="s">
        <v>251</v>
      </c>
      <c r="C959" s="34" t="s">
        <v>352</v>
      </c>
      <c r="D959" s="34" t="s">
        <v>3290</v>
      </c>
      <c r="E959" s="34" t="s">
        <v>559</v>
      </c>
      <c r="F959" s="54">
        <v>0</v>
      </c>
      <c r="G959" s="54"/>
      <c r="H959" s="54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3288</v>
      </c>
      <c r="M959" s="42">
        <v>0.42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7" t="str">
        <f>IF(Table1[[#This Row],[Auto Order]]=1,IF(Table1[[#This Row],[In stock]]&lt;Table1[[#This Row],[Min in stock]],1,""),"")</f>
        <v/>
      </c>
    </row>
    <row r="960" spans="1:29" hidden="1" x14ac:dyDescent="0.25">
      <c r="A960" s="63" t="s">
        <v>634</v>
      </c>
      <c r="B960" s="34" t="s">
        <v>251</v>
      </c>
      <c r="C960" s="34"/>
      <c r="D960" s="34" t="s">
        <v>636</v>
      </c>
      <c r="E960" s="34" t="s">
        <v>559</v>
      </c>
      <c r="F960" s="54">
        <v>0</v>
      </c>
      <c r="G960" s="54"/>
      <c r="H960" s="54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635</v>
      </c>
      <c r="M960" s="42">
        <v>0.1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7" t="str">
        <f>IF(Table1[[#This Row],[Auto Order]]=1,IF(Table1[[#This Row],[In stock]]&lt;Table1[[#This Row],[Min in stock]],1,""),"")</f>
        <v/>
      </c>
    </row>
    <row r="961" spans="1:29" hidden="1" x14ac:dyDescent="0.25">
      <c r="A961" s="61" t="s">
        <v>3208</v>
      </c>
      <c r="B961" s="34" t="s">
        <v>251</v>
      </c>
      <c r="C961" s="34" t="s">
        <v>352</v>
      </c>
      <c r="D961" s="34" t="s">
        <v>3209</v>
      </c>
      <c r="E961" s="34" t="s">
        <v>559</v>
      </c>
      <c r="F961" s="54">
        <v>0</v>
      </c>
      <c r="G961" s="54"/>
      <c r="H961" s="54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3207</v>
      </c>
      <c r="M961" s="42">
        <v>0.48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7" t="str">
        <f>IF(Table1[[#This Row],[Auto Order]]=1,IF(Table1[[#This Row],[In stock]]&lt;Table1[[#This Row],[Min in stock]],1,""),"")</f>
        <v/>
      </c>
    </row>
    <row r="962" spans="1:29" x14ac:dyDescent="0.25">
      <c r="A962" s="61" t="s">
        <v>3286</v>
      </c>
      <c r="B962" s="34" t="s">
        <v>251</v>
      </c>
      <c r="C962" s="34" t="s">
        <v>352</v>
      </c>
      <c r="D962" s="34" t="s">
        <v>3287</v>
      </c>
      <c r="E962" s="34" t="s">
        <v>559</v>
      </c>
      <c r="F962" s="54">
        <v>0</v>
      </c>
      <c r="G962" s="54"/>
      <c r="H962" s="54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3285</v>
      </c>
      <c r="M962" s="42">
        <v>0.42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7" t="str">
        <f>IF(Table1[[#This Row],[Auto Order]]=1,IF(Table1[[#This Row],[In stock]]&lt;Table1[[#This Row],[Min in stock]],1,""),"")</f>
        <v/>
      </c>
    </row>
    <row r="963" spans="1:29" hidden="1" x14ac:dyDescent="0.25">
      <c r="A963" s="63" t="s">
        <v>676</v>
      </c>
      <c r="B963" s="34" t="s">
        <v>251</v>
      </c>
      <c r="C963" s="34"/>
      <c r="D963" s="34" t="s">
        <v>678</v>
      </c>
      <c r="E963" s="34" t="s">
        <v>559</v>
      </c>
      <c r="F963" s="54">
        <v>0</v>
      </c>
      <c r="G963" s="54"/>
      <c r="H963" s="54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677</v>
      </c>
      <c r="M963" s="42">
        <v>0.1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7" t="str">
        <f>IF(Table1[[#This Row],[Auto Order]]=1,IF(Table1[[#This Row],[In stock]]&lt;Table1[[#This Row],[Min in stock]],1,""),"")</f>
        <v/>
      </c>
    </row>
    <row r="964" spans="1:29" x14ac:dyDescent="0.25">
      <c r="A964" s="61" t="s">
        <v>3347</v>
      </c>
      <c r="B964" s="34" t="s">
        <v>251</v>
      </c>
      <c r="C964" s="34" t="s">
        <v>352</v>
      </c>
      <c r="D964" s="34" t="s">
        <v>3348</v>
      </c>
      <c r="E964" s="34" t="s">
        <v>559</v>
      </c>
      <c r="F964" s="54">
        <v>0</v>
      </c>
      <c r="G964" s="54"/>
      <c r="H964" s="54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3346</v>
      </c>
      <c r="M964" s="42">
        <v>0.42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7" t="str">
        <f>IF(Table1[[#This Row],[Auto Order]]=1,IF(Table1[[#This Row],[In stock]]&lt;Table1[[#This Row],[Min in stock]],1,""),"")</f>
        <v/>
      </c>
    </row>
    <row r="965" spans="1:29" hidden="1" x14ac:dyDescent="0.25">
      <c r="A965" s="63" t="s">
        <v>694</v>
      </c>
      <c r="B965" s="34" t="s">
        <v>251</v>
      </c>
      <c r="C965" s="34"/>
      <c r="D965" s="34" t="s">
        <v>696</v>
      </c>
      <c r="E965" s="34" t="s">
        <v>559</v>
      </c>
      <c r="F965" s="54">
        <v>0</v>
      </c>
      <c r="G965" s="54"/>
      <c r="H965" s="54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695</v>
      </c>
      <c r="M965" s="42">
        <v>0.1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7" t="str">
        <f>IF(Table1[[#This Row],[Auto Order]]=1,IF(Table1[[#This Row],[In stock]]&lt;Table1[[#This Row],[Min in stock]],1,""),"")</f>
        <v/>
      </c>
    </row>
    <row r="966" spans="1:29" hidden="1" x14ac:dyDescent="0.25">
      <c r="A966" s="61" t="s">
        <v>3216</v>
      </c>
      <c r="B966" s="34" t="s">
        <v>251</v>
      </c>
      <c r="C966" s="34" t="s">
        <v>352</v>
      </c>
      <c r="D966" s="34" t="s">
        <v>3217</v>
      </c>
      <c r="E966" s="34" t="s">
        <v>559</v>
      </c>
      <c r="F966" s="54">
        <v>0</v>
      </c>
      <c r="G966" s="54"/>
      <c r="H966" s="54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3215</v>
      </c>
      <c r="M966" s="42">
        <v>0.48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7" t="str">
        <f>IF(Table1[[#This Row],[Auto Order]]=1,IF(Table1[[#This Row],[In stock]]&lt;Table1[[#This Row],[Min in stock]],1,""),"")</f>
        <v/>
      </c>
    </row>
    <row r="967" spans="1:29" hidden="1" x14ac:dyDescent="0.25">
      <c r="A967" s="61" t="s">
        <v>3501</v>
      </c>
      <c r="B967" s="34" t="s">
        <v>251</v>
      </c>
      <c r="C967" s="34" t="s">
        <v>352</v>
      </c>
      <c r="D967" s="34" t="s">
        <v>3502</v>
      </c>
      <c r="E967" s="34" t="s">
        <v>559</v>
      </c>
      <c r="F967" s="54">
        <v>0</v>
      </c>
      <c r="G967" s="54"/>
      <c r="H967" s="54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3500</v>
      </c>
      <c r="M967" s="42">
        <v>0.48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7" t="str">
        <f>IF(Table1[[#This Row],[Auto Order]]=1,IF(Table1[[#This Row],[In stock]]&lt;Table1[[#This Row],[Min in stock]],1,""),"")</f>
        <v/>
      </c>
    </row>
    <row r="968" spans="1:29" hidden="1" x14ac:dyDescent="0.25">
      <c r="A968" s="63" t="s">
        <v>652</v>
      </c>
      <c r="B968" s="34" t="s">
        <v>251</v>
      </c>
      <c r="C968" s="34"/>
      <c r="D968" s="34" t="s">
        <v>654</v>
      </c>
      <c r="E968" s="34" t="s">
        <v>559</v>
      </c>
      <c r="F968" s="54">
        <v>0</v>
      </c>
      <c r="G968" s="54"/>
      <c r="H968" s="54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653</v>
      </c>
      <c r="M968" s="42">
        <v>0.1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7" t="str">
        <f>IF(Table1[[#This Row],[Auto Order]]=1,IF(Table1[[#This Row],[In stock]]&lt;Table1[[#This Row],[Min in stock]],1,""),"")</f>
        <v/>
      </c>
    </row>
    <row r="969" spans="1:29" hidden="1" x14ac:dyDescent="0.25">
      <c r="A969" s="63" t="s">
        <v>700</v>
      </c>
      <c r="B969" s="34" t="s">
        <v>251</v>
      </c>
      <c r="C969" s="34"/>
      <c r="D969" s="34" t="s">
        <v>702</v>
      </c>
      <c r="E969" s="34" t="s">
        <v>559</v>
      </c>
      <c r="F969" s="54">
        <v>0</v>
      </c>
      <c r="G969" s="54"/>
      <c r="H969" s="54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701</v>
      </c>
      <c r="M969" s="42">
        <v>0.1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7" t="str">
        <f>IF(Table1[[#This Row],[Auto Order]]=1,IF(Table1[[#This Row],[In stock]]&lt;Table1[[#This Row],[Min in stock]],1,""),"")</f>
        <v/>
      </c>
    </row>
    <row r="970" spans="1:29" hidden="1" x14ac:dyDescent="0.25">
      <c r="A970" s="61" t="s">
        <v>3266</v>
      </c>
      <c r="B970" s="34" t="s">
        <v>251</v>
      </c>
      <c r="C970" s="34" t="s">
        <v>352</v>
      </c>
      <c r="D970" s="34" t="s">
        <v>3267</v>
      </c>
      <c r="E970" s="34" t="s">
        <v>559</v>
      </c>
      <c r="F970" s="54">
        <v>0</v>
      </c>
      <c r="G970" s="54"/>
      <c r="H970" s="54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3265</v>
      </c>
      <c r="M970" s="42">
        <v>0.47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7" t="str">
        <f>IF(Table1[[#This Row],[Auto Order]]=1,IF(Table1[[#This Row],[In stock]]&lt;Table1[[#This Row],[Min in stock]],1,""),"")</f>
        <v/>
      </c>
    </row>
    <row r="971" spans="1:29" hidden="1" x14ac:dyDescent="0.25">
      <c r="A971" s="61" t="s">
        <v>3339</v>
      </c>
      <c r="B971" s="34" t="s">
        <v>251</v>
      </c>
      <c r="C971" s="34" t="s">
        <v>352</v>
      </c>
      <c r="D971" s="34" t="s">
        <v>3340</v>
      </c>
      <c r="E971" s="34" t="s">
        <v>559</v>
      </c>
      <c r="F971" s="54">
        <v>0</v>
      </c>
      <c r="G971" s="54"/>
      <c r="H971" s="54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3338</v>
      </c>
      <c r="M971" s="42">
        <v>0.47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7" t="str">
        <f>IF(Table1[[#This Row],[Auto Order]]=1,IF(Table1[[#This Row],[In stock]]&lt;Table1[[#This Row],[Min in stock]],1,""),"")</f>
        <v/>
      </c>
    </row>
    <row r="972" spans="1:29" hidden="1" x14ac:dyDescent="0.25">
      <c r="A972" s="63" t="s">
        <v>604</v>
      </c>
      <c r="B972" s="34" t="s">
        <v>251</v>
      </c>
      <c r="C972" s="34"/>
      <c r="D972" s="34" t="s">
        <v>606</v>
      </c>
      <c r="E972" s="34" t="s">
        <v>559</v>
      </c>
      <c r="F972" s="54">
        <v>0</v>
      </c>
      <c r="G972" s="54"/>
      <c r="H972" s="54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605</v>
      </c>
      <c r="M972" s="42">
        <v>0.2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7" t="str">
        <f>IF(Table1[[#This Row],[Auto Order]]=1,IF(Table1[[#This Row],[In stock]]&lt;Table1[[#This Row],[Min in stock]],1,""),"")</f>
        <v/>
      </c>
    </row>
    <row r="973" spans="1:29" hidden="1" x14ac:dyDescent="0.25">
      <c r="A973" s="61" t="s">
        <v>3270</v>
      </c>
      <c r="B973" s="34" t="s">
        <v>251</v>
      </c>
      <c r="C973" s="34" t="s">
        <v>352</v>
      </c>
      <c r="D973" s="34" t="s">
        <v>3271</v>
      </c>
      <c r="E973" s="34" t="s">
        <v>559</v>
      </c>
      <c r="F973" s="54">
        <v>0</v>
      </c>
      <c r="G973" s="54"/>
      <c r="H973" s="54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3269</v>
      </c>
      <c r="M973" s="42">
        <v>0.47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7" t="str">
        <f>IF(Table1[[#This Row],[Auto Order]]=1,IF(Table1[[#This Row],[In stock]]&lt;Table1[[#This Row],[Min in stock]],1,""),"")</f>
        <v/>
      </c>
    </row>
    <row r="974" spans="1:29" hidden="1" x14ac:dyDescent="0.25">
      <c r="A974" s="63" t="s">
        <v>658</v>
      </c>
      <c r="B974" s="34" t="s">
        <v>251</v>
      </c>
      <c r="C974" s="34"/>
      <c r="D974" s="34" t="s">
        <v>660</v>
      </c>
      <c r="E974" s="34" t="s">
        <v>559</v>
      </c>
      <c r="F974" s="54">
        <v>0</v>
      </c>
      <c r="G974" s="54"/>
      <c r="H974" s="54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659</v>
      </c>
      <c r="M974" s="42">
        <v>0.1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7" t="str">
        <f>IF(Table1[[#This Row],[Auto Order]]=1,IF(Table1[[#This Row],[In stock]]&lt;Table1[[#This Row],[Min in stock]],1,""),"")</f>
        <v/>
      </c>
    </row>
    <row r="975" spans="1:29" hidden="1" x14ac:dyDescent="0.25">
      <c r="A975" s="61" t="s">
        <v>3278</v>
      </c>
      <c r="B975" s="34" t="s">
        <v>251</v>
      </c>
      <c r="C975" s="34" t="s">
        <v>352</v>
      </c>
      <c r="D975" s="34" t="s">
        <v>3279</v>
      </c>
      <c r="E975" s="34" t="s">
        <v>559</v>
      </c>
      <c r="F975" s="54">
        <v>0</v>
      </c>
      <c r="G975" s="54"/>
      <c r="H975" s="54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3277</v>
      </c>
      <c r="M975" s="42">
        <v>0.47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7" t="str">
        <f>IF(Table1[[#This Row],[Auto Order]]=1,IF(Table1[[#This Row],[In stock]]&lt;Table1[[#This Row],[Min in stock]],1,""),"")</f>
        <v/>
      </c>
    </row>
    <row r="976" spans="1:29" x14ac:dyDescent="0.25">
      <c r="A976" s="61" t="s">
        <v>3374</v>
      </c>
      <c r="B976" s="34" t="s">
        <v>251</v>
      </c>
      <c r="C976" s="34" t="s">
        <v>352</v>
      </c>
      <c r="D976" s="34" t="s">
        <v>3375</v>
      </c>
      <c r="E976" s="34" t="s">
        <v>559</v>
      </c>
      <c r="F976" s="54">
        <v>0</v>
      </c>
      <c r="G976" s="54">
        <v>5</v>
      </c>
      <c r="H976" s="54">
        <v>1</v>
      </c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3373</v>
      </c>
      <c r="M976" s="42">
        <v>0.44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7">
        <f>IF(Table1[[#This Row],[Auto Order]]=1,IF(Table1[[#This Row],[In stock]]&lt;Table1[[#This Row],[Min in stock]],1,""),"")</f>
        <v>1</v>
      </c>
    </row>
    <row r="977" spans="1:29" hidden="1" x14ac:dyDescent="0.25">
      <c r="A977" s="63" t="s">
        <v>622</v>
      </c>
      <c r="B977" s="34" t="s">
        <v>251</v>
      </c>
      <c r="C977" s="34"/>
      <c r="D977" s="34" t="s">
        <v>624</v>
      </c>
      <c r="E977" s="34" t="s">
        <v>559</v>
      </c>
      <c r="F977" s="54">
        <v>0</v>
      </c>
      <c r="G977" s="54"/>
      <c r="H977" s="54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623</v>
      </c>
      <c r="M977" s="42">
        <v>0.1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7" t="str">
        <f>IF(Table1[[#This Row],[Auto Order]]=1,IF(Table1[[#This Row],[In stock]]&lt;Table1[[#This Row],[Min in stock]],1,""),"")</f>
        <v/>
      </c>
    </row>
    <row r="978" spans="1:29" x14ac:dyDescent="0.25">
      <c r="A978" s="61" t="s">
        <v>3370</v>
      </c>
      <c r="B978" s="34" t="s">
        <v>251</v>
      </c>
      <c r="C978" s="34" t="s">
        <v>352</v>
      </c>
      <c r="D978" s="34" t="s">
        <v>3371</v>
      </c>
      <c r="E978" s="34" t="s">
        <v>559</v>
      </c>
      <c r="F978" s="54">
        <v>0</v>
      </c>
      <c r="G978" s="54"/>
      <c r="H978" s="54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3369</v>
      </c>
      <c r="M978" s="42">
        <v>0.42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7" t="str">
        <f>IF(Table1[[#This Row],[Auto Order]]=1,IF(Table1[[#This Row],[In stock]]&lt;Table1[[#This Row],[Min in stock]],1,""),"")</f>
        <v/>
      </c>
    </row>
    <row r="979" spans="1:29" hidden="1" x14ac:dyDescent="0.25">
      <c r="A979" s="63" t="s">
        <v>625</v>
      </c>
      <c r="B979" s="34" t="s">
        <v>251</v>
      </c>
      <c r="C979" s="34"/>
      <c r="D979" s="34" t="s">
        <v>627</v>
      </c>
      <c r="E979" s="34" t="s">
        <v>559</v>
      </c>
      <c r="F979" s="54">
        <v>0</v>
      </c>
      <c r="G979" s="54"/>
      <c r="H979" s="54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626</v>
      </c>
      <c r="M979" s="42">
        <v>0.1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7" t="str">
        <f>IF(Table1[[#This Row],[Auto Order]]=1,IF(Table1[[#This Row],[In stock]]&lt;Table1[[#This Row],[Min in stock]],1,""),"")</f>
        <v/>
      </c>
    </row>
    <row r="980" spans="1:29" hidden="1" x14ac:dyDescent="0.25">
      <c r="A980" s="61" t="s">
        <v>3417</v>
      </c>
      <c r="B980" s="34" t="s">
        <v>251</v>
      </c>
      <c r="C980" s="34" t="s">
        <v>352</v>
      </c>
      <c r="D980" s="34" t="s">
        <v>3418</v>
      </c>
      <c r="E980" s="34" t="s">
        <v>559</v>
      </c>
      <c r="F980" s="54">
        <v>0</v>
      </c>
      <c r="G980" s="54"/>
      <c r="H980" s="54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3416</v>
      </c>
      <c r="M980" s="42">
        <v>0.48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7" t="str">
        <f>IF(Table1[[#This Row],[Auto Order]]=1,IF(Table1[[#This Row],[In stock]]&lt;Table1[[#This Row],[Min in stock]],1,""),"")</f>
        <v/>
      </c>
    </row>
    <row r="981" spans="1:29" hidden="1" x14ac:dyDescent="0.25">
      <c r="A981" s="63" t="s">
        <v>637</v>
      </c>
      <c r="B981" s="34" t="s">
        <v>251</v>
      </c>
      <c r="C981" s="34"/>
      <c r="D981" s="34" t="s">
        <v>639</v>
      </c>
      <c r="E981" s="34" t="s">
        <v>559</v>
      </c>
      <c r="F981" s="54">
        <v>0</v>
      </c>
      <c r="G981" s="54"/>
      <c r="H981" s="54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638</v>
      </c>
      <c r="M981" s="42">
        <v>0.1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7" t="str">
        <f>IF(Table1[[#This Row],[Auto Order]]=1,IF(Table1[[#This Row],[In stock]]&lt;Table1[[#This Row],[Min in stock]],1,""),"")</f>
        <v/>
      </c>
    </row>
    <row r="982" spans="1:29" hidden="1" x14ac:dyDescent="0.25">
      <c r="A982" s="61" t="s">
        <v>3220</v>
      </c>
      <c r="B982" s="34" t="s">
        <v>251</v>
      </c>
      <c r="C982" s="34" t="s">
        <v>352</v>
      </c>
      <c r="D982" s="34" t="s">
        <v>3221</v>
      </c>
      <c r="E982" s="34" t="s">
        <v>559</v>
      </c>
      <c r="F982" s="54">
        <v>0</v>
      </c>
      <c r="G982" s="54"/>
      <c r="H982" s="54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3219</v>
      </c>
      <c r="M982" s="42">
        <v>0.48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7" t="str">
        <f>IF(Table1[[#This Row],[Auto Order]]=1,IF(Table1[[#This Row],[In stock]]&lt;Table1[[#This Row],[Min in stock]],1,""),"")</f>
        <v/>
      </c>
    </row>
    <row r="983" spans="1:29" x14ac:dyDescent="0.25">
      <c r="A983" s="61" t="s">
        <v>3359</v>
      </c>
      <c r="B983" s="34" t="s">
        <v>251</v>
      </c>
      <c r="C983" s="34" t="s">
        <v>352</v>
      </c>
      <c r="D983" s="34" t="s">
        <v>3360</v>
      </c>
      <c r="E983" s="34" t="s">
        <v>559</v>
      </c>
      <c r="F983" s="54">
        <v>0</v>
      </c>
      <c r="G983" s="54"/>
      <c r="H983" s="54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3358</v>
      </c>
      <c r="M983" s="42">
        <v>0.42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7" t="str">
        <f>IF(Table1[[#This Row],[Auto Order]]=1,IF(Table1[[#This Row],[In stock]]&lt;Table1[[#This Row],[Min in stock]],1,""),"")</f>
        <v/>
      </c>
    </row>
    <row r="984" spans="1:29" hidden="1" x14ac:dyDescent="0.25">
      <c r="A984" s="61" t="s">
        <v>3319</v>
      </c>
      <c r="B984" s="34" t="s">
        <v>251</v>
      </c>
      <c r="C984" s="34" t="s">
        <v>352</v>
      </c>
      <c r="D984" s="34" t="s">
        <v>3320</v>
      </c>
      <c r="E984" s="34" t="s">
        <v>559</v>
      </c>
      <c r="F984" s="54">
        <v>0</v>
      </c>
      <c r="G984" s="54"/>
      <c r="H984" s="54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3318</v>
      </c>
      <c r="M984" s="42">
        <v>0.48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7" t="str">
        <f>IF(Table1[[#This Row],[Auto Order]]=1,IF(Table1[[#This Row],[In stock]]&lt;Table1[[#This Row],[Min in stock]],1,""),"")</f>
        <v/>
      </c>
    </row>
    <row r="985" spans="1:29" hidden="1" x14ac:dyDescent="0.25">
      <c r="A985" s="61" t="s">
        <v>3479</v>
      </c>
      <c r="B985" s="34" t="s">
        <v>251</v>
      </c>
      <c r="C985" s="34" t="s">
        <v>352</v>
      </c>
      <c r="D985" s="34" t="s">
        <v>3480</v>
      </c>
      <c r="E985" s="34" t="s">
        <v>559</v>
      </c>
      <c r="F985" s="54">
        <v>0</v>
      </c>
      <c r="G985" s="54"/>
      <c r="H985" s="54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3478</v>
      </c>
      <c r="M985" s="42">
        <v>0.48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7" t="str">
        <f>IF(Table1[[#This Row],[Auto Order]]=1,IF(Table1[[#This Row],[In stock]]&lt;Table1[[#This Row],[Min in stock]],1,""),"")</f>
        <v/>
      </c>
    </row>
    <row r="986" spans="1:29" hidden="1" x14ac:dyDescent="0.25">
      <c r="A986" s="61" t="s">
        <v>3390</v>
      </c>
      <c r="B986" s="34" t="s">
        <v>251</v>
      </c>
      <c r="C986" s="34" t="s">
        <v>352</v>
      </c>
      <c r="D986" s="34" t="s">
        <v>3391</v>
      </c>
      <c r="E986" s="34" t="s">
        <v>559</v>
      </c>
      <c r="F986" s="54">
        <v>0</v>
      </c>
      <c r="G986" s="54"/>
      <c r="H986" s="54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3389</v>
      </c>
      <c r="M986" s="42">
        <v>0.48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7" t="str">
        <f>IF(Table1[[#This Row],[Auto Order]]=1,IF(Table1[[#This Row],[In stock]]&lt;Table1[[#This Row],[Min in stock]],1,""),"")</f>
        <v/>
      </c>
    </row>
    <row r="987" spans="1:29" x14ac:dyDescent="0.25">
      <c r="A987" s="61" t="s">
        <v>3301</v>
      </c>
      <c r="B987" s="34" t="s">
        <v>251</v>
      </c>
      <c r="C987" s="34" t="s">
        <v>352</v>
      </c>
      <c r="D987" s="34" t="s">
        <v>3302</v>
      </c>
      <c r="E987" s="34" t="s">
        <v>559</v>
      </c>
      <c r="F987" s="54">
        <v>0</v>
      </c>
      <c r="G987" s="54"/>
      <c r="H987" s="54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3300</v>
      </c>
      <c r="M987" s="42">
        <v>0.42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7" t="str">
        <f>IF(Table1[[#This Row],[Auto Order]]=1,IF(Table1[[#This Row],[In stock]]&lt;Table1[[#This Row],[Min in stock]],1,""),"")</f>
        <v/>
      </c>
    </row>
    <row r="988" spans="1:29" x14ac:dyDescent="0.25">
      <c r="A988" s="61" t="s">
        <v>3497</v>
      </c>
      <c r="B988" s="34" t="s">
        <v>251</v>
      </c>
      <c r="C988" s="34" t="s">
        <v>352</v>
      </c>
      <c r="D988" s="34" t="s">
        <v>3498</v>
      </c>
      <c r="E988" s="34" t="s">
        <v>559</v>
      </c>
      <c r="F988" s="54">
        <v>0</v>
      </c>
      <c r="G988" s="54"/>
      <c r="H988" s="54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3496</v>
      </c>
      <c r="M988" s="42">
        <v>0.42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7" t="str">
        <f>IF(Table1[[#This Row],[Auto Order]]=1,IF(Table1[[#This Row],[In stock]]&lt;Table1[[#This Row],[Min in stock]],1,""),"")</f>
        <v/>
      </c>
    </row>
    <row r="989" spans="1:29" hidden="1" x14ac:dyDescent="0.25">
      <c r="A989" s="63" t="s">
        <v>607</v>
      </c>
      <c r="B989" s="34" t="s">
        <v>251</v>
      </c>
      <c r="C989" s="34"/>
      <c r="D989" s="34" t="s">
        <v>609</v>
      </c>
      <c r="E989" s="34" t="s">
        <v>559</v>
      </c>
      <c r="F989" s="54">
        <v>0</v>
      </c>
      <c r="G989" s="54"/>
      <c r="H989" s="54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608</v>
      </c>
      <c r="M989" s="42">
        <v>0.2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7" t="str">
        <f>IF(Table1[[#This Row],[Auto Order]]=1,IF(Table1[[#This Row],[In stock]]&lt;Table1[[#This Row],[Min in stock]],1,""),"")</f>
        <v/>
      </c>
    </row>
    <row r="990" spans="1:29" hidden="1" x14ac:dyDescent="0.25">
      <c r="A990" s="61" t="s">
        <v>3259</v>
      </c>
      <c r="B990" s="34" t="s">
        <v>251</v>
      </c>
      <c r="C990" s="34" t="s">
        <v>352</v>
      </c>
      <c r="D990" s="34" t="s">
        <v>3260</v>
      </c>
      <c r="E990" s="34" t="s">
        <v>559</v>
      </c>
      <c r="F990" s="54">
        <v>0</v>
      </c>
      <c r="G990" s="54"/>
      <c r="H990" s="54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3258</v>
      </c>
      <c r="M990" s="42">
        <v>0.47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7" t="str">
        <f>IF(Table1[[#This Row],[Auto Order]]=1,IF(Table1[[#This Row],[In stock]]&lt;Table1[[#This Row],[Min in stock]],1,""),"")</f>
        <v/>
      </c>
    </row>
    <row r="991" spans="1:29" x14ac:dyDescent="0.25">
      <c r="A991" s="61" t="s">
        <v>3251</v>
      </c>
      <c r="B991" s="34" t="s">
        <v>251</v>
      </c>
      <c r="C991" s="34" t="s">
        <v>352</v>
      </c>
      <c r="D991" s="34" t="s">
        <v>3252</v>
      </c>
      <c r="E991" s="34" t="s">
        <v>559</v>
      </c>
      <c r="F991" s="54">
        <v>0</v>
      </c>
      <c r="G991" s="54">
        <v>5</v>
      </c>
      <c r="H991" s="54">
        <v>1</v>
      </c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3250</v>
      </c>
      <c r="M991" s="42">
        <v>0.44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7">
        <f>IF(Table1[[#This Row],[Auto Order]]=1,IF(Table1[[#This Row],[In stock]]&lt;Table1[[#This Row],[Min in stock]],1,""),"")</f>
        <v>1</v>
      </c>
    </row>
    <row r="992" spans="1:29" hidden="1" x14ac:dyDescent="0.25">
      <c r="A992" s="52" t="s">
        <v>188</v>
      </c>
      <c r="B992" s="34" t="s">
        <v>177</v>
      </c>
      <c r="C992" s="34"/>
      <c r="D992" s="34" t="s">
        <v>189</v>
      </c>
      <c r="E992" s="34" t="s">
        <v>559</v>
      </c>
      <c r="F992" s="54">
        <v>99</v>
      </c>
      <c r="G992" s="54"/>
      <c r="H992" s="54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187</v>
      </c>
      <c r="M992" s="42">
        <v>1.95E-2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35" t="str">
        <f>IF(Table1[[#This Row],[Auto Order]]=1,IF(Table1[[#This Row],[In stock]]&lt;Table1[[#This Row],[Min in stock]],1,""),"")</f>
        <v/>
      </c>
    </row>
    <row r="993" spans="1:29" hidden="1" x14ac:dyDescent="0.25">
      <c r="A993" s="63" t="s">
        <v>610</v>
      </c>
      <c r="B993" s="34" t="s">
        <v>251</v>
      </c>
      <c r="C993" s="34"/>
      <c r="D993" s="34" t="s">
        <v>612</v>
      </c>
      <c r="E993" s="34" t="s">
        <v>559</v>
      </c>
      <c r="F993" s="54">
        <v>0</v>
      </c>
      <c r="G993" s="54"/>
      <c r="H993" s="54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611</v>
      </c>
      <c r="M993" s="42">
        <v>0.2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7" t="str">
        <f>IF(Table1[[#This Row],[Auto Order]]=1,IF(Table1[[#This Row],[In stock]]&lt;Table1[[#This Row],[Min in stock]],1,""),"")</f>
        <v/>
      </c>
    </row>
    <row r="994" spans="1:29" hidden="1" x14ac:dyDescent="0.25">
      <c r="A994" s="61" t="s">
        <v>3274</v>
      </c>
      <c r="B994" s="34" t="s">
        <v>251</v>
      </c>
      <c r="C994" s="34" t="s">
        <v>352</v>
      </c>
      <c r="D994" s="34" t="s">
        <v>3275</v>
      </c>
      <c r="E994" s="34" t="s">
        <v>559</v>
      </c>
      <c r="F994" s="54">
        <v>0</v>
      </c>
      <c r="G994" s="54"/>
      <c r="H994" s="54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3273</v>
      </c>
      <c r="M994" s="42">
        <v>0.47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7" t="str">
        <f>IF(Table1[[#This Row],[Auto Order]]=1,IF(Table1[[#This Row],[In stock]]&lt;Table1[[#This Row],[Min in stock]],1,""),"")</f>
        <v/>
      </c>
    </row>
    <row r="995" spans="1:29" hidden="1" x14ac:dyDescent="0.25">
      <c r="A995" s="63" t="s">
        <v>661</v>
      </c>
      <c r="B995" s="34" t="s">
        <v>251</v>
      </c>
      <c r="C995" s="34"/>
      <c r="D995" s="34" t="s">
        <v>663</v>
      </c>
      <c r="E995" s="34" t="s">
        <v>559</v>
      </c>
      <c r="F995" s="54">
        <v>0</v>
      </c>
      <c r="G995" s="54"/>
      <c r="H995" s="54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662</v>
      </c>
      <c r="M995" s="42">
        <v>0.1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7" t="str">
        <f>IF(Table1[[#This Row],[Auto Order]]=1,IF(Table1[[#This Row],[In stock]]&lt;Table1[[#This Row],[Min in stock]],1,""),"")</f>
        <v/>
      </c>
    </row>
    <row r="996" spans="1:29" hidden="1" x14ac:dyDescent="0.25">
      <c r="A996" s="63" t="s">
        <v>679</v>
      </c>
      <c r="B996" s="34" t="s">
        <v>251</v>
      </c>
      <c r="C996" s="34"/>
      <c r="D996" s="34" t="s">
        <v>681</v>
      </c>
      <c r="E996" s="34" t="s">
        <v>559</v>
      </c>
      <c r="F996" s="54">
        <v>0</v>
      </c>
      <c r="G996" s="54"/>
      <c r="H996" s="54"/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680</v>
      </c>
      <c r="M996" s="42">
        <v>0.1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7" t="str">
        <f>IF(Table1[[#This Row],[Auto Order]]=1,IF(Table1[[#This Row],[In stock]]&lt;Table1[[#This Row],[Min in stock]],1,""),"")</f>
        <v/>
      </c>
    </row>
    <row r="997" spans="1:29" hidden="1" x14ac:dyDescent="0.25">
      <c r="A997" s="61" t="s">
        <v>3421</v>
      </c>
      <c r="B997" s="34" t="s">
        <v>251</v>
      </c>
      <c r="C997" s="34" t="s">
        <v>352</v>
      </c>
      <c r="D997" s="34" t="s">
        <v>3422</v>
      </c>
      <c r="E997" s="34" t="s">
        <v>559</v>
      </c>
      <c r="F997" s="54">
        <v>0</v>
      </c>
      <c r="G997" s="54"/>
      <c r="H997" s="54"/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3420</v>
      </c>
      <c r="M997" s="42">
        <v>0.48</v>
      </c>
      <c r="N997" s="34"/>
      <c r="O997" s="42"/>
      <c r="P997" s="34"/>
      <c r="Q997" s="42"/>
      <c r="R997" s="34"/>
      <c r="S997" s="42"/>
      <c r="T997" s="34"/>
      <c r="U997" s="42"/>
      <c r="V997" s="34"/>
      <c r="W997" s="42"/>
      <c r="X997" s="34"/>
      <c r="Y997" s="42"/>
      <c r="Z997" s="42"/>
      <c r="AA997" s="36"/>
      <c r="AB997" s="50"/>
      <c r="AC997" s="57" t="str">
        <f>IF(Table1[[#This Row],[Auto Order]]=1,IF(Table1[[#This Row],[In stock]]&lt;Table1[[#This Row],[Min in stock]],1,""),"")</f>
        <v/>
      </c>
    </row>
    <row r="998" spans="1:29" hidden="1" x14ac:dyDescent="0.25">
      <c r="A998" s="61" t="s">
        <v>3382</v>
      </c>
      <c r="B998" s="34" t="s">
        <v>251</v>
      </c>
      <c r="C998" s="34" t="s">
        <v>352</v>
      </c>
      <c r="D998" s="34" t="s">
        <v>3383</v>
      </c>
      <c r="E998" s="34" t="s">
        <v>559</v>
      </c>
      <c r="F998" s="54">
        <v>0</v>
      </c>
      <c r="G998" s="54"/>
      <c r="H998" s="54"/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3381</v>
      </c>
      <c r="M998" s="42">
        <v>0.48</v>
      </c>
      <c r="N998" s="34"/>
      <c r="O998" s="42"/>
      <c r="P998" s="34"/>
      <c r="Q998" s="42"/>
      <c r="R998" s="34"/>
      <c r="S998" s="42"/>
      <c r="T998" s="34"/>
      <c r="U998" s="42"/>
      <c r="V998" s="34"/>
      <c r="W998" s="42"/>
      <c r="X998" s="34"/>
      <c r="Y998" s="42"/>
      <c r="Z998" s="42"/>
      <c r="AA998" s="36"/>
      <c r="AB998" s="50"/>
      <c r="AC998" s="57" t="str">
        <f>IF(Table1[[#This Row],[Auto Order]]=1,IF(Table1[[#This Row],[In stock]]&lt;Table1[[#This Row],[Min in stock]],1,""),"")</f>
        <v/>
      </c>
    </row>
    <row r="999" spans="1:29" hidden="1" x14ac:dyDescent="0.25">
      <c r="A999" s="61" t="s">
        <v>3483</v>
      </c>
      <c r="B999" s="34" t="s">
        <v>251</v>
      </c>
      <c r="C999" s="34" t="s">
        <v>352</v>
      </c>
      <c r="D999" s="34" t="s">
        <v>3484</v>
      </c>
      <c r="E999" s="34" t="s">
        <v>559</v>
      </c>
      <c r="F999" s="54">
        <v>0</v>
      </c>
      <c r="G999" s="54"/>
      <c r="H999" s="54"/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9" s="34" t="s">
        <v>3482</v>
      </c>
      <c r="M999" s="42">
        <v>0.48</v>
      </c>
      <c r="N999" s="34"/>
      <c r="O999" s="42"/>
      <c r="P999" s="34"/>
      <c r="Q999" s="42"/>
      <c r="R999" s="34"/>
      <c r="S999" s="42"/>
      <c r="T999" s="34"/>
      <c r="U999" s="42"/>
      <c r="V999" s="34"/>
      <c r="W999" s="42"/>
      <c r="X999" s="34"/>
      <c r="Y999" s="42"/>
      <c r="Z999" s="42"/>
      <c r="AA999" s="36"/>
      <c r="AB999" s="50"/>
      <c r="AC999" s="57" t="str">
        <f>IF(Table1[[#This Row],[Auto Order]]=1,IF(Table1[[#This Row],[In stock]]&lt;Table1[[#This Row],[Min in stock]],1,""),"")</f>
        <v/>
      </c>
    </row>
    <row r="1000" spans="1:29" x14ac:dyDescent="0.25">
      <c r="A1000" s="61" t="s">
        <v>3169</v>
      </c>
      <c r="B1000" s="34" t="s">
        <v>251</v>
      </c>
      <c r="C1000" s="34" t="s">
        <v>352</v>
      </c>
      <c r="D1000" s="34" t="s">
        <v>3170</v>
      </c>
      <c r="E1000" s="34" t="s">
        <v>559</v>
      </c>
      <c r="F1000" s="54">
        <v>0</v>
      </c>
      <c r="G1000" s="54"/>
      <c r="H1000" s="54"/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3168</v>
      </c>
      <c r="M1000" s="42">
        <v>0.42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57" t="str">
        <f>IF(Table1[[#This Row],[Auto Order]]=1,IF(Table1[[#This Row],[In stock]]&lt;Table1[[#This Row],[Min in stock]],1,""),"")</f>
        <v/>
      </c>
    </row>
    <row r="1001" spans="1:29" hidden="1" x14ac:dyDescent="0.25">
      <c r="A1001" s="61" t="s">
        <v>3323</v>
      </c>
      <c r="B1001" s="34" t="s">
        <v>251</v>
      </c>
      <c r="C1001" s="34" t="s">
        <v>352</v>
      </c>
      <c r="D1001" s="34" t="s">
        <v>3324</v>
      </c>
      <c r="E1001" s="34" t="s">
        <v>559</v>
      </c>
      <c r="F1001" s="54">
        <v>0</v>
      </c>
      <c r="G1001" s="54"/>
      <c r="H1001" s="54"/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3322</v>
      </c>
      <c r="M1001" s="42">
        <v>0.48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57" t="str">
        <f>IF(Table1[[#This Row],[Auto Order]]=1,IF(Table1[[#This Row],[In stock]]&lt;Table1[[#This Row],[Min in stock]],1,""),"")</f>
        <v/>
      </c>
    </row>
    <row r="1002" spans="1:29" hidden="1" x14ac:dyDescent="0.25">
      <c r="A1002" s="63" t="s">
        <v>640</v>
      </c>
      <c r="B1002" s="34" t="s">
        <v>251</v>
      </c>
      <c r="C1002" s="34"/>
      <c r="D1002" s="34" t="s">
        <v>642</v>
      </c>
      <c r="E1002" s="34" t="s">
        <v>559</v>
      </c>
      <c r="F1002" s="54">
        <v>0</v>
      </c>
      <c r="G1002" s="54"/>
      <c r="H1002" s="54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2" s="34" t="s">
        <v>641</v>
      </c>
      <c r="M1002" s="42">
        <v>0.1</v>
      </c>
      <c r="N1002" s="34"/>
      <c r="O1002" s="42"/>
      <c r="P1002" s="34"/>
      <c r="Q1002" s="42"/>
      <c r="R1002" s="34"/>
      <c r="S1002" s="42"/>
      <c r="T1002" s="34"/>
      <c r="U1002" s="42"/>
      <c r="V1002" s="34"/>
      <c r="W1002" s="42"/>
      <c r="X1002" s="34"/>
      <c r="Y1002" s="42"/>
      <c r="Z1002" s="42"/>
      <c r="AA1002" s="36"/>
      <c r="AB1002" s="50"/>
      <c r="AC1002" s="57" t="str">
        <f>IF(Table1[[#This Row],[Auto Order]]=1,IF(Table1[[#This Row],[In stock]]&lt;Table1[[#This Row],[Min in stock]],1,""),"")</f>
        <v/>
      </c>
    </row>
    <row r="1003" spans="1:29" hidden="1" x14ac:dyDescent="0.25">
      <c r="A1003" s="61" t="s">
        <v>3197</v>
      </c>
      <c r="B1003" s="34" t="s">
        <v>251</v>
      </c>
      <c r="C1003" s="34" t="s">
        <v>352</v>
      </c>
      <c r="D1003" s="34" t="s">
        <v>3198</v>
      </c>
      <c r="E1003" s="34" t="s">
        <v>559</v>
      </c>
      <c r="F1003" s="54">
        <v>0</v>
      </c>
      <c r="G1003" s="54"/>
      <c r="H1003" s="54"/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3" s="34" t="s">
        <v>3196</v>
      </c>
      <c r="M1003" s="42">
        <v>0.48</v>
      </c>
      <c r="N1003" s="34"/>
      <c r="O1003" s="42"/>
      <c r="P1003" s="34"/>
      <c r="Q1003" s="42"/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57" t="str">
        <f>IF(Table1[[#This Row],[Auto Order]]=1,IF(Table1[[#This Row],[In stock]]&lt;Table1[[#This Row],[Min in stock]],1,""),"")</f>
        <v/>
      </c>
    </row>
    <row r="1004" spans="1:29" x14ac:dyDescent="0.25">
      <c r="A1004" s="61" t="s">
        <v>3177</v>
      </c>
      <c r="B1004" s="34" t="s">
        <v>251</v>
      </c>
      <c r="C1004" s="34" t="s">
        <v>352</v>
      </c>
      <c r="D1004" s="34" t="s">
        <v>3178</v>
      </c>
      <c r="E1004" s="34" t="s">
        <v>559</v>
      </c>
      <c r="F1004" s="54">
        <v>0</v>
      </c>
      <c r="G1004" s="54"/>
      <c r="H1004" s="54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3176</v>
      </c>
      <c r="M1004" s="42">
        <v>0.42</v>
      </c>
      <c r="N1004" s="34"/>
      <c r="O1004" s="42"/>
      <c r="P1004" s="34"/>
      <c r="Q1004" s="42"/>
      <c r="R1004" s="34"/>
      <c r="S1004" s="42"/>
      <c r="T1004" s="34"/>
      <c r="U1004" s="42"/>
      <c r="V1004" s="34"/>
      <c r="W1004" s="42"/>
      <c r="X1004" s="34"/>
      <c r="Y1004" s="42"/>
      <c r="Z1004" s="42"/>
      <c r="AA1004" s="36"/>
      <c r="AB1004" s="50"/>
      <c r="AC1004" s="57" t="str">
        <f>IF(Table1[[#This Row],[Auto Order]]=1,IF(Table1[[#This Row],[In stock]]&lt;Table1[[#This Row],[Min in stock]],1,""),"")</f>
        <v/>
      </c>
    </row>
    <row r="1005" spans="1:29" hidden="1" x14ac:dyDescent="0.25">
      <c r="A1005" s="63" t="s">
        <v>682</v>
      </c>
      <c r="B1005" s="34" t="s">
        <v>251</v>
      </c>
      <c r="C1005" s="34"/>
      <c r="D1005" s="34" t="s">
        <v>684</v>
      </c>
      <c r="E1005" s="34" t="s">
        <v>559</v>
      </c>
      <c r="F1005" s="54">
        <v>0</v>
      </c>
      <c r="G1005" s="54"/>
      <c r="H1005" s="54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683</v>
      </c>
      <c r="M1005" s="42">
        <v>0.1</v>
      </c>
      <c r="N1005" s="34"/>
      <c r="O1005" s="42"/>
      <c r="P1005" s="34"/>
      <c r="Q1005" s="42"/>
      <c r="R1005" s="34"/>
      <c r="S1005" s="42"/>
      <c r="T1005" s="34"/>
      <c r="U1005" s="42"/>
      <c r="V1005" s="34"/>
      <c r="W1005" s="42"/>
      <c r="X1005" s="34"/>
      <c r="Y1005" s="42"/>
      <c r="Z1005" s="42"/>
      <c r="AA1005" s="36"/>
      <c r="AB1005" s="50"/>
      <c r="AC1005" s="57" t="str">
        <f>IF(Table1[[#This Row],[Auto Order]]=1,IF(Table1[[#This Row],[In stock]]&lt;Table1[[#This Row],[Min in stock]],1,""),"")</f>
        <v/>
      </c>
    </row>
    <row r="1006" spans="1:29" hidden="1" x14ac:dyDescent="0.25">
      <c r="A1006" s="61" t="s">
        <v>3401</v>
      </c>
      <c r="B1006" s="34" t="s">
        <v>251</v>
      </c>
      <c r="C1006" s="34" t="s">
        <v>352</v>
      </c>
      <c r="D1006" s="34" t="s">
        <v>3402</v>
      </c>
      <c r="E1006" s="34" t="s">
        <v>559</v>
      </c>
      <c r="F1006" s="54">
        <v>0</v>
      </c>
      <c r="G1006" s="54"/>
      <c r="H1006" s="54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3400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57" t="str">
        <f>IF(Table1[[#This Row],[Auto Order]]=1,IF(Table1[[#This Row],[In stock]]&lt;Table1[[#This Row],[Min in stock]],1,""),"")</f>
        <v/>
      </c>
    </row>
    <row r="1007" spans="1:29" hidden="1" x14ac:dyDescent="0.25">
      <c r="A1007" s="63" t="s">
        <v>628</v>
      </c>
      <c r="B1007" s="34" t="s">
        <v>251</v>
      </c>
      <c r="C1007" s="34"/>
      <c r="D1007" s="34" t="s">
        <v>630</v>
      </c>
      <c r="E1007" s="34" t="s">
        <v>559</v>
      </c>
      <c r="F1007" s="54">
        <v>0</v>
      </c>
      <c r="G1007" s="54"/>
      <c r="H1007" s="54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629</v>
      </c>
      <c r="M1007" s="42">
        <v>0.1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7" t="str">
        <f>IF(Table1[[#This Row],[Auto Order]]=1,IF(Table1[[#This Row],[In stock]]&lt;Table1[[#This Row],[Min in stock]],1,""),"")</f>
        <v/>
      </c>
    </row>
    <row r="1008" spans="1:29" hidden="1" x14ac:dyDescent="0.25">
      <c r="A1008" s="63" t="s">
        <v>685</v>
      </c>
      <c r="B1008" s="34" t="s">
        <v>251</v>
      </c>
      <c r="C1008" s="34"/>
      <c r="D1008" s="34" t="s">
        <v>687</v>
      </c>
      <c r="E1008" s="34" t="s">
        <v>559</v>
      </c>
      <c r="F1008" s="54">
        <v>0</v>
      </c>
      <c r="G1008" s="54"/>
      <c r="H1008" s="54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686</v>
      </c>
      <c r="M1008" s="42">
        <v>0.1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7" t="str">
        <f>IF(Table1[[#This Row],[Auto Order]]=1,IF(Table1[[#This Row],[In stock]]&lt;Table1[[#This Row],[Min in stock]],1,""),"")</f>
        <v/>
      </c>
    </row>
    <row r="1009" spans="1:29" hidden="1" x14ac:dyDescent="0.25">
      <c r="A1009" s="61" t="s">
        <v>3468</v>
      </c>
      <c r="B1009" s="34" t="s">
        <v>251</v>
      </c>
      <c r="C1009" s="34" t="s">
        <v>352</v>
      </c>
      <c r="D1009" s="34" t="s">
        <v>3469</v>
      </c>
      <c r="E1009" s="34" t="s">
        <v>559</v>
      </c>
      <c r="F1009" s="54">
        <v>0</v>
      </c>
      <c r="G1009" s="54"/>
      <c r="H1009" s="54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3467</v>
      </c>
      <c r="M1009" s="42">
        <v>0.48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7" t="str">
        <f>IF(Table1[[#This Row],[Auto Order]]=1,IF(Table1[[#This Row],[In stock]]&lt;Table1[[#This Row],[Min in stock]],1,""),"")</f>
        <v/>
      </c>
    </row>
    <row r="1010" spans="1:29" hidden="1" x14ac:dyDescent="0.25">
      <c r="A1010" s="61" t="s">
        <v>3243</v>
      </c>
      <c r="B1010" s="34" t="s">
        <v>251</v>
      </c>
      <c r="C1010" s="34" t="s">
        <v>352</v>
      </c>
      <c r="D1010" s="34" t="s">
        <v>3244</v>
      </c>
      <c r="E1010" s="34" t="s">
        <v>559</v>
      </c>
      <c r="F1010" s="54">
        <v>0</v>
      </c>
      <c r="G1010" s="54"/>
      <c r="H1010" s="54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3242</v>
      </c>
      <c r="M1010" s="42">
        <v>0.48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7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3305</v>
      </c>
      <c r="B1011" s="34" t="s">
        <v>251</v>
      </c>
      <c r="C1011" s="34" t="s">
        <v>352</v>
      </c>
      <c r="D1011" s="34" t="s">
        <v>3306</v>
      </c>
      <c r="E1011" s="34" t="s">
        <v>559</v>
      </c>
      <c r="F1011" s="54">
        <v>0</v>
      </c>
      <c r="G1011" s="54">
        <v>5</v>
      </c>
      <c r="H1011" s="54">
        <v>1</v>
      </c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3304</v>
      </c>
      <c r="M1011" s="42">
        <v>0.42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7">
        <f>IF(Table1[[#This Row],[Auto Order]]=1,IF(Table1[[#This Row],[In stock]]&lt;Table1[[#This Row],[Min in stock]],1,""),"")</f>
        <v>1</v>
      </c>
    </row>
    <row r="1012" spans="1:29" hidden="1" x14ac:dyDescent="0.25">
      <c r="A1012" s="61" t="s">
        <v>3232</v>
      </c>
      <c r="B1012" s="34" t="s">
        <v>251</v>
      </c>
      <c r="C1012" s="34" t="s">
        <v>352</v>
      </c>
      <c r="D1012" s="34" t="s">
        <v>3233</v>
      </c>
      <c r="E1012" s="34" t="s">
        <v>559</v>
      </c>
      <c r="F1012" s="54">
        <v>0</v>
      </c>
      <c r="G1012" s="54"/>
      <c r="H1012" s="54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3231</v>
      </c>
      <c r="M1012" s="42">
        <v>0.48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7" t="str">
        <f>IF(Table1[[#This Row],[Auto Order]]=1,IF(Table1[[#This Row],[In stock]]&lt;Table1[[#This Row],[Min in stock]],1,""),"")</f>
        <v/>
      </c>
    </row>
    <row r="1013" spans="1:29" hidden="1" x14ac:dyDescent="0.25">
      <c r="A1013" s="63" t="s">
        <v>664</v>
      </c>
      <c r="B1013" s="34" t="s">
        <v>251</v>
      </c>
      <c r="C1013" s="34"/>
      <c r="D1013" s="34" t="s">
        <v>666</v>
      </c>
      <c r="E1013" s="34" t="s">
        <v>559</v>
      </c>
      <c r="F1013" s="54">
        <v>0</v>
      </c>
      <c r="G1013" s="54"/>
      <c r="H1013" s="54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665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7" t="str">
        <f>IF(Table1[[#This Row],[Auto Order]]=1,IF(Table1[[#This Row],[In stock]]&lt;Table1[[#This Row],[Min in stock]],1,""),"")</f>
        <v/>
      </c>
    </row>
    <row r="1014" spans="1:29" hidden="1" x14ac:dyDescent="0.25">
      <c r="A1014" s="61" t="s">
        <v>3464</v>
      </c>
      <c r="B1014" s="34" t="s">
        <v>251</v>
      </c>
      <c r="C1014" s="34" t="s">
        <v>352</v>
      </c>
      <c r="D1014" s="34" t="s">
        <v>3465</v>
      </c>
      <c r="E1014" s="34" t="s">
        <v>559</v>
      </c>
      <c r="F1014" s="54">
        <v>0</v>
      </c>
      <c r="G1014" s="54"/>
      <c r="H1014" s="54"/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3463</v>
      </c>
      <c r="M1014" s="42">
        <v>0.48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7" t="str">
        <f>IF(Table1[[#This Row],[Auto Order]]=1,IF(Table1[[#This Row],[In stock]]&lt;Table1[[#This Row],[Min in stock]],1,""),"")</f>
        <v/>
      </c>
    </row>
    <row r="1015" spans="1:29" hidden="1" x14ac:dyDescent="0.25">
      <c r="A1015" s="61" t="s">
        <v>3425</v>
      </c>
      <c r="B1015" s="34" t="s">
        <v>251</v>
      </c>
      <c r="C1015" s="34" t="s">
        <v>352</v>
      </c>
      <c r="D1015" s="34" t="s">
        <v>3426</v>
      </c>
      <c r="E1015" s="34" t="s">
        <v>559</v>
      </c>
      <c r="F1015" s="54">
        <v>0</v>
      </c>
      <c r="G1015" s="54"/>
      <c r="H1015" s="54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3424</v>
      </c>
      <c r="M1015" s="42">
        <v>0.48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7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3362</v>
      </c>
      <c r="B1016" s="34" t="s">
        <v>251</v>
      </c>
      <c r="C1016" s="34" t="s">
        <v>352</v>
      </c>
      <c r="D1016" s="34" t="s">
        <v>3363</v>
      </c>
      <c r="E1016" s="34" t="s">
        <v>559</v>
      </c>
      <c r="F1016" s="54">
        <v>0</v>
      </c>
      <c r="G1016" s="54"/>
      <c r="H1016" s="54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3361</v>
      </c>
      <c r="M1016" s="42">
        <v>0.42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7" t="str">
        <f>IF(Table1[[#This Row],[Auto Order]]=1,IF(Table1[[#This Row],[In stock]]&lt;Table1[[#This Row],[Min in stock]],1,""),"")</f>
        <v/>
      </c>
    </row>
    <row r="1017" spans="1:29" hidden="1" x14ac:dyDescent="0.25">
      <c r="A1017" s="61" t="s">
        <v>3432</v>
      </c>
      <c r="B1017" s="34" t="s">
        <v>251</v>
      </c>
      <c r="C1017" s="34" t="s">
        <v>352</v>
      </c>
      <c r="D1017" s="34" t="s">
        <v>3433</v>
      </c>
      <c r="E1017" s="34" t="s">
        <v>559</v>
      </c>
      <c r="F1017" s="54">
        <v>0</v>
      </c>
      <c r="G1017" s="54"/>
      <c r="H1017" s="54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3431</v>
      </c>
      <c r="M1017" s="42">
        <v>0.48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7" t="str">
        <f>IF(Table1[[#This Row],[Auto Order]]=1,IF(Table1[[#This Row],[In stock]]&lt;Table1[[#This Row],[Min in stock]],1,""),"")</f>
        <v/>
      </c>
    </row>
    <row r="1018" spans="1:29" hidden="1" x14ac:dyDescent="0.25">
      <c r="A1018" s="61" t="s">
        <v>3475</v>
      </c>
      <c r="B1018" s="34" t="s">
        <v>251</v>
      </c>
      <c r="C1018" s="34" t="s">
        <v>352</v>
      </c>
      <c r="D1018" s="34" t="s">
        <v>3476</v>
      </c>
      <c r="E1018" s="34" t="s">
        <v>559</v>
      </c>
      <c r="F1018" s="54">
        <v>0</v>
      </c>
      <c r="G1018" s="54"/>
      <c r="H1018" s="54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3474</v>
      </c>
      <c r="M1018" s="42">
        <v>0.48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7" t="str">
        <f>IF(Table1[[#This Row],[Auto Order]]=1,IF(Table1[[#This Row],[In stock]]&lt;Table1[[#This Row],[Min in stock]],1,""),"")</f>
        <v/>
      </c>
    </row>
    <row r="1019" spans="1:29" hidden="1" x14ac:dyDescent="0.25">
      <c r="A1019" s="61" t="s">
        <v>3436</v>
      </c>
      <c r="B1019" s="34" t="s">
        <v>251</v>
      </c>
      <c r="C1019" s="34" t="s">
        <v>352</v>
      </c>
      <c r="D1019" s="34" t="s">
        <v>3437</v>
      </c>
      <c r="E1019" s="34" t="s">
        <v>559</v>
      </c>
      <c r="F1019" s="54">
        <v>0</v>
      </c>
      <c r="G1019" s="54"/>
      <c r="H1019" s="54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3435</v>
      </c>
      <c r="M1019" s="42">
        <v>0.48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7" t="str">
        <f>IF(Table1[[#This Row],[Auto Order]]=1,IF(Table1[[#This Row],[In stock]]&lt;Table1[[#This Row],[Min in stock]],1,""),"")</f>
        <v/>
      </c>
    </row>
    <row r="1020" spans="1:29" hidden="1" x14ac:dyDescent="0.25">
      <c r="A1020" s="61" t="s">
        <v>3460</v>
      </c>
      <c r="B1020" s="34" t="s">
        <v>251</v>
      </c>
      <c r="C1020" s="34" t="s">
        <v>352</v>
      </c>
      <c r="D1020" s="34" t="s">
        <v>3461</v>
      </c>
      <c r="E1020" s="34" t="s">
        <v>559</v>
      </c>
      <c r="F1020" s="54">
        <v>0</v>
      </c>
      <c r="G1020" s="54"/>
      <c r="H1020" s="54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3459</v>
      </c>
      <c r="M1020" s="42">
        <v>0.48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7" t="str">
        <f>IF(Table1[[#This Row],[Auto Order]]=1,IF(Table1[[#This Row],[In stock]]&lt;Table1[[#This Row],[Min in stock]],1,""),"")</f>
        <v/>
      </c>
    </row>
    <row r="1021" spans="1:29" hidden="1" x14ac:dyDescent="0.25">
      <c r="A1021" s="61" t="s">
        <v>3444</v>
      </c>
      <c r="B1021" s="34" t="s">
        <v>251</v>
      </c>
      <c r="C1021" s="34" t="s">
        <v>352</v>
      </c>
      <c r="D1021" s="34" t="s">
        <v>3445</v>
      </c>
      <c r="E1021" s="34" t="s">
        <v>559</v>
      </c>
      <c r="F1021" s="54">
        <v>0</v>
      </c>
      <c r="G1021" s="54"/>
      <c r="H1021" s="54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3443</v>
      </c>
      <c r="M1021" s="42">
        <v>0.48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7" t="str">
        <f>IF(Table1[[#This Row],[Auto Order]]=1,IF(Table1[[#This Row],[In stock]]&lt;Table1[[#This Row],[Min in stock]],1,""),"")</f>
        <v/>
      </c>
    </row>
    <row r="1022" spans="1:29" hidden="1" x14ac:dyDescent="0.25">
      <c r="A1022" s="61" t="s">
        <v>3397</v>
      </c>
      <c r="B1022" s="34" t="s">
        <v>251</v>
      </c>
      <c r="C1022" s="34" t="s">
        <v>352</v>
      </c>
      <c r="D1022" s="34" t="s">
        <v>3398</v>
      </c>
      <c r="E1022" s="34" t="s">
        <v>559</v>
      </c>
      <c r="F1022" s="54">
        <v>0</v>
      </c>
      <c r="G1022" s="54"/>
      <c r="H1022" s="54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3396</v>
      </c>
      <c r="M1022" s="42">
        <v>0.48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7" t="str">
        <f>IF(Table1[[#This Row],[Auto Order]]=1,IF(Table1[[#This Row],[In stock]]&lt;Table1[[#This Row],[Min in stock]],1,""),"")</f>
        <v/>
      </c>
    </row>
    <row r="1023" spans="1:29" hidden="1" x14ac:dyDescent="0.25">
      <c r="A1023" s="61" t="s">
        <v>3308</v>
      </c>
      <c r="B1023" s="34" t="s">
        <v>251</v>
      </c>
      <c r="C1023" s="34" t="s">
        <v>352</v>
      </c>
      <c r="D1023" s="34" t="s">
        <v>3309</v>
      </c>
      <c r="E1023" s="34" t="s">
        <v>559</v>
      </c>
      <c r="F1023" s="54">
        <v>0</v>
      </c>
      <c r="G1023" s="54"/>
      <c r="H1023" s="54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3307</v>
      </c>
      <c r="M1023" s="42">
        <v>0.48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7" t="str">
        <f>IF(Table1[[#This Row],[Auto Order]]=1,IF(Table1[[#This Row],[In stock]]&lt;Table1[[#This Row],[Min in stock]],1,""),"")</f>
        <v/>
      </c>
    </row>
    <row r="1024" spans="1:29" hidden="1" x14ac:dyDescent="0.25">
      <c r="A1024" s="61" t="s">
        <v>3224</v>
      </c>
      <c r="B1024" s="34" t="s">
        <v>251</v>
      </c>
      <c r="C1024" s="34" t="s">
        <v>352</v>
      </c>
      <c r="D1024" s="34" t="s">
        <v>3225</v>
      </c>
      <c r="E1024" s="34" t="s">
        <v>559</v>
      </c>
      <c r="F1024" s="54">
        <v>0</v>
      </c>
      <c r="G1024" s="54"/>
      <c r="H1024" s="54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3223</v>
      </c>
      <c r="M1024" s="42">
        <v>0.48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7" t="str">
        <f>IF(Table1[[#This Row],[Auto Order]]=1,IF(Table1[[#This Row],[In stock]]&lt;Table1[[#This Row],[Min in stock]],1,""),"")</f>
        <v/>
      </c>
    </row>
    <row r="1025" spans="1:29" x14ac:dyDescent="0.25">
      <c r="A1025" s="61" t="s">
        <v>3355</v>
      </c>
      <c r="B1025" s="34" t="s">
        <v>251</v>
      </c>
      <c r="C1025" s="34" t="s">
        <v>352</v>
      </c>
      <c r="D1025" s="34" t="s">
        <v>3356</v>
      </c>
      <c r="E1025" s="34" t="s">
        <v>559</v>
      </c>
      <c r="F1025" s="54">
        <v>0</v>
      </c>
      <c r="G1025" s="54"/>
      <c r="H1025" s="54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3354</v>
      </c>
      <c r="M1025" s="42">
        <v>0.42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7" t="str">
        <f>IF(Table1[[#This Row],[Auto Order]]=1,IF(Table1[[#This Row],[In stock]]&lt;Table1[[#This Row],[Min in stock]],1,""),"")</f>
        <v/>
      </c>
    </row>
    <row r="1026" spans="1:29" hidden="1" x14ac:dyDescent="0.25">
      <c r="A1026" s="61" t="s">
        <v>3413</v>
      </c>
      <c r="B1026" s="34" t="s">
        <v>251</v>
      </c>
      <c r="C1026" s="34" t="s">
        <v>352</v>
      </c>
      <c r="D1026" s="34" t="s">
        <v>3414</v>
      </c>
      <c r="E1026" s="34" t="s">
        <v>559</v>
      </c>
      <c r="F1026" s="54">
        <v>0</v>
      </c>
      <c r="G1026" s="54"/>
      <c r="H1026" s="54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3412</v>
      </c>
      <c r="M1026" s="42">
        <v>0.48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57" t="str">
        <f>IF(Table1[[#This Row],[Auto Order]]=1,IF(Table1[[#This Row],[In stock]]&lt;Table1[[#This Row],[Min in stock]],1,""),"")</f>
        <v/>
      </c>
    </row>
    <row r="1027" spans="1:29" hidden="1" x14ac:dyDescent="0.25">
      <c r="A1027" s="61" t="s">
        <v>3212</v>
      </c>
      <c r="B1027" s="34" t="s">
        <v>251</v>
      </c>
      <c r="C1027" s="34" t="s">
        <v>352</v>
      </c>
      <c r="D1027" s="34" t="s">
        <v>3213</v>
      </c>
      <c r="E1027" s="34" t="s">
        <v>559</v>
      </c>
      <c r="F1027" s="54">
        <v>0</v>
      </c>
      <c r="G1027" s="54"/>
      <c r="H1027" s="54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3211</v>
      </c>
      <c r="M1027" s="42">
        <v>0.48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7" t="str">
        <f>IF(Table1[[#This Row],[Auto Order]]=1,IF(Table1[[#This Row],[In stock]]&lt;Table1[[#This Row],[Min in stock]],1,""),"")</f>
        <v/>
      </c>
    </row>
    <row r="1028" spans="1:29" hidden="1" x14ac:dyDescent="0.25">
      <c r="A1028" s="61" t="s">
        <v>3452</v>
      </c>
      <c r="B1028" s="34" t="s">
        <v>251</v>
      </c>
      <c r="C1028" s="34" t="s">
        <v>352</v>
      </c>
      <c r="D1028" s="34" t="s">
        <v>3453</v>
      </c>
      <c r="E1028" s="34" t="s">
        <v>559</v>
      </c>
      <c r="F1028" s="54">
        <v>0</v>
      </c>
      <c r="G1028" s="54"/>
      <c r="H1028" s="54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3451</v>
      </c>
      <c r="M1028" s="42">
        <v>0.48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7" t="str">
        <f>IF(Table1[[#This Row],[Auto Order]]=1,IF(Table1[[#This Row],[In stock]]&lt;Table1[[#This Row],[Min in stock]],1,""),"")</f>
        <v/>
      </c>
    </row>
    <row r="1029" spans="1:29" hidden="1" x14ac:dyDescent="0.25">
      <c r="A1029" s="61" t="s">
        <v>3189</v>
      </c>
      <c r="B1029" s="34" t="s">
        <v>251</v>
      </c>
      <c r="C1029" s="34" t="s">
        <v>352</v>
      </c>
      <c r="D1029" s="34" t="s">
        <v>3190</v>
      </c>
      <c r="E1029" s="34" t="s">
        <v>559</v>
      </c>
      <c r="F1029" s="54">
        <v>0</v>
      </c>
      <c r="G1029" s="54"/>
      <c r="H1029" s="54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3188</v>
      </c>
      <c r="M1029" s="42">
        <v>0.48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7" t="str">
        <f>IF(Table1[[#This Row],[Auto Order]]=1,IF(Table1[[#This Row],[In stock]]&lt;Table1[[#This Row],[Min in stock]],1,""),"")</f>
        <v/>
      </c>
    </row>
    <row r="1030" spans="1:29" hidden="1" x14ac:dyDescent="0.25">
      <c r="A1030" s="61" t="s">
        <v>3200</v>
      </c>
      <c r="B1030" s="34" t="s">
        <v>251</v>
      </c>
      <c r="C1030" s="34" t="s">
        <v>352</v>
      </c>
      <c r="D1030" s="34" t="s">
        <v>3201</v>
      </c>
      <c r="E1030" s="34" t="s">
        <v>559</v>
      </c>
      <c r="F1030" s="54">
        <v>0</v>
      </c>
      <c r="G1030" s="54"/>
      <c r="H1030" s="54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3199</v>
      </c>
      <c r="M1030" s="42">
        <v>0.48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7" t="str">
        <f>IF(Table1[[#This Row],[Auto Order]]=1,IF(Table1[[#This Row],[In stock]]&lt;Table1[[#This Row],[Min in stock]],1,""),"")</f>
        <v/>
      </c>
    </row>
    <row r="1031" spans="1:29" hidden="1" x14ac:dyDescent="0.25">
      <c r="A1031" s="61" t="s">
        <v>3312</v>
      </c>
      <c r="B1031" s="34" t="s">
        <v>251</v>
      </c>
      <c r="C1031" s="34" t="s">
        <v>352</v>
      </c>
      <c r="D1031" s="34" t="s">
        <v>3313</v>
      </c>
      <c r="E1031" s="34" t="s">
        <v>559</v>
      </c>
      <c r="F1031" s="54">
        <v>0</v>
      </c>
      <c r="G1031" s="54"/>
      <c r="H1031" s="54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3311</v>
      </c>
      <c r="M1031" s="42">
        <v>0.48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7" t="str">
        <f>IF(Table1[[#This Row],[Auto Order]]=1,IF(Table1[[#This Row],[In stock]]&lt;Table1[[#This Row],[Min in stock]],1,""),"")</f>
        <v/>
      </c>
    </row>
    <row r="1032" spans="1:29" hidden="1" x14ac:dyDescent="0.25">
      <c r="A1032" s="63" t="s">
        <v>667</v>
      </c>
      <c r="B1032" s="34" t="s">
        <v>251</v>
      </c>
      <c r="C1032" s="34"/>
      <c r="D1032" s="34" t="s">
        <v>669</v>
      </c>
      <c r="E1032" s="34" t="s">
        <v>559</v>
      </c>
      <c r="F1032" s="54">
        <v>0</v>
      </c>
      <c r="G1032" s="54"/>
      <c r="H1032" s="54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668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7" t="str">
        <f>IF(Table1[[#This Row],[Auto Order]]=1,IF(Table1[[#This Row],[In stock]]&lt;Table1[[#This Row],[Min in stock]],1,""),"")</f>
        <v/>
      </c>
    </row>
    <row r="1033" spans="1:29" hidden="1" x14ac:dyDescent="0.25">
      <c r="A1033" s="63" t="s">
        <v>643</v>
      </c>
      <c r="B1033" s="34" t="s">
        <v>251</v>
      </c>
      <c r="C1033" s="34"/>
      <c r="D1033" s="34" t="s">
        <v>645</v>
      </c>
      <c r="E1033" s="34" t="s">
        <v>559</v>
      </c>
      <c r="F1033" s="54">
        <v>0</v>
      </c>
      <c r="G1033" s="54"/>
      <c r="H1033" s="54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644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7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3366</v>
      </c>
      <c r="B1034" s="34" t="s">
        <v>251</v>
      </c>
      <c r="C1034" s="34" t="s">
        <v>352</v>
      </c>
      <c r="D1034" s="34" t="s">
        <v>3367</v>
      </c>
      <c r="E1034" s="34" t="s">
        <v>559</v>
      </c>
      <c r="F1034" s="54">
        <v>0</v>
      </c>
      <c r="G1034" s="54"/>
      <c r="H1034" s="54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3365</v>
      </c>
      <c r="M1034" s="42">
        <v>0.42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7" t="str">
        <f>IF(Table1[[#This Row],[Auto Order]]=1,IF(Table1[[#This Row],[In stock]]&lt;Table1[[#This Row],[Min in stock]],1,""),"")</f>
        <v/>
      </c>
    </row>
    <row r="1035" spans="1:29" hidden="1" x14ac:dyDescent="0.25">
      <c r="A1035" s="61" t="s">
        <v>3247</v>
      </c>
      <c r="B1035" s="34" t="s">
        <v>251</v>
      </c>
      <c r="C1035" s="34" t="s">
        <v>352</v>
      </c>
      <c r="D1035" s="34" t="s">
        <v>3248</v>
      </c>
      <c r="E1035" s="34" t="s">
        <v>559</v>
      </c>
      <c r="F1035" s="54">
        <v>0</v>
      </c>
      <c r="G1035" s="54"/>
      <c r="H1035" s="54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3246</v>
      </c>
      <c r="M1035" s="42">
        <v>0.48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7" t="str">
        <f>IF(Table1[[#This Row],[Auto Order]]=1,IF(Table1[[#This Row],[In stock]]&lt;Table1[[#This Row],[Min in stock]],1,""),"")</f>
        <v/>
      </c>
    </row>
    <row r="1036" spans="1:29" hidden="1" x14ac:dyDescent="0.25">
      <c r="A1036" s="61" t="s">
        <v>3386</v>
      </c>
      <c r="B1036" s="34" t="s">
        <v>251</v>
      </c>
      <c r="C1036" s="34" t="s">
        <v>352</v>
      </c>
      <c r="D1036" s="34" t="s">
        <v>3387</v>
      </c>
      <c r="E1036" s="34" t="s">
        <v>559</v>
      </c>
      <c r="F1036" s="54">
        <v>0</v>
      </c>
      <c r="G1036" s="54"/>
      <c r="H1036" s="54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3385</v>
      </c>
      <c r="M1036" s="42">
        <v>0.48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6" priority="60" operator="equal">
      <formula>1</formula>
    </cfRule>
  </conditionalFormatting>
  <conditionalFormatting sqref="A1:A1048576">
    <cfRule type="duplicateValues" dxfId="15" priority="1"/>
  </conditionalFormatting>
  <conditionalFormatting sqref="F1:F1048576">
    <cfRule type="containsBlanks" priority="3" stopIfTrue="1">
      <formula>LEN(TRIM(F1))=0</formula>
    </cfRule>
    <cfRule type="cellIs" dxfId="14" priority="20" operator="lessThan">
      <formula>$G1</formula>
    </cfRule>
  </conditionalFormatting>
  <conditionalFormatting sqref="F1">
    <cfRule type="cellIs" dxfId="13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10" activePane="bottomLeft" state="frozen"/>
      <selection activeCell="B186" sqref="B186"/>
      <selection pane="bottomLeft" activeCell="G44" sqref="G44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493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1</xdr:row>
                    <xdr:rowOff>0</xdr:rowOff>
                  </from>
                  <to>
                    <xdr:col>13</xdr:col>
                    <xdr:colOff>933450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4</xdr:row>
                    <xdr:rowOff>0</xdr:rowOff>
                  </from>
                  <to>
                    <xdr:col>13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7</xdr:row>
                    <xdr:rowOff>0</xdr:rowOff>
                  </from>
                  <to>
                    <xdr:col>13</xdr:col>
                    <xdr:colOff>933450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10</xdr:row>
                    <xdr:rowOff>0</xdr:rowOff>
                  </from>
                  <to>
                    <xdr:col>13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workbookViewId="0">
      <pane ySplit="1" topLeftCell="A2" activePane="bottomLeft" state="frozen"/>
      <selection activeCell="B6" sqref="B6"/>
      <selection pane="bottomLeft" activeCell="B44" sqref="B4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19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0.63888888888888884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1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2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1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5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1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1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x14ac:dyDescent="0.25">
      <c r="A13" s="60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1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1</v>
      </c>
      <c r="H14" s="4" t="str">
        <f>IF(Table1411[[#This Row],[In stock]] &gt;= Table1411[[#This Row],[Total quantity]],"YES","NO")</f>
        <v>YES</v>
      </c>
    </row>
    <row r="15" spans="1:11" x14ac:dyDescent="0.25">
      <c r="A15" s="60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1</v>
      </c>
      <c r="H15" s="4" t="str">
        <f>IF(Table1411[[#This Row],[In stock]] &gt;= Table1411[[#This Row],[Total quantity]],"YES","NO")</f>
        <v>NO</v>
      </c>
    </row>
    <row r="16" spans="1:11" x14ac:dyDescent="0.25">
      <c r="A16" s="61" t="s">
        <v>3305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2</v>
      </c>
      <c r="H16" s="4" t="str">
        <f>IF(Table1411[[#This Row],[In stock]] &gt;= Table1411[[#This Row],[Total quantity]],"YES","NO")</f>
        <v>NO</v>
      </c>
    </row>
    <row r="17" spans="1:8" x14ac:dyDescent="0.25">
      <c r="A17" s="60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2</v>
      </c>
      <c r="H18" s="4" t="str">
        <f>IF(Table1411[[#This Row],[In stock]] &gt;= Table1411[[#This Row],[Total quantity]],"YES","NO")</f>
        <v>YES</v>
      </c>
    </row>
    <row r="19" spans="1:8" x14ac:dyDescent="0.25">
      <c r="A19" s="60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2</v>
      </c>
      <c r="H19" s="41" t="str">
        <f>IF(Table1411[[#This Row],[In stock]] &gt;= Table1411[[#This Row],[Total quantity]],"YES","NO")</f>
        <v>NO</v>
      </c>
    </row>
    <row r="20" spans="1:8" x14ac:dyDescent="0.25">
      <c r="A20" s="3" t="s">
        <v>321</v>
      </c>
      <c r="B20" s="4" t="str">
        <f>VLOOKUP(Table1411[[#This Row],[Man. Number]],Articles!A:F,COLUMN(Articles!$D$1)-COLUMN(Articles!$A$1)+1,FALSE)</f>
        <v>Résistance SMD 1k OHM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5</v>
      </c>
      <c r="F20" s="4" t="str">
        <f>IF(Table1411[[#This Row],[In stock]] &gt;= Table1411[[#This Row],[Quantity]],"YES","NO")</f>
        <v>YES</v>
      </c>
      <c r="G20" s="4">
        <f>Table1411[[#This Row],[Quantity]]*$K$1</f>
        <v>3</v>
      </c>
      <c r="H20" s="4" t="str">
        <f>IF(Table1411[[#This Row],[In stock]] &gt;= Table1411[[#This Row],[Total quantity]],"YES","NO")</f>
        <v>YES</v>
      </c>
    </row>
    <row r="21" spans="1:8" x14ac:dyDescent="0.25">
      <c r="A21" s="60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1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1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2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5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1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1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1</v>
      </c>
      <c r="H29" s="4" t="str">
        <f>IF(Table1411[[#This Row],[In stock]] &gt;= Table1411[[#This Row],[Total quantity]],"YES","NO")</f>
        <v>NO</v>
      </c>
    </row>
    <row r="30" spans="1:8" x14ac:dyDescent="0.25">
      <c r="A30" s="60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1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1</v>
      </c>
      <c r="H32" s="4" t="str">
        <f>IF(Table1411[[#This Row],[In stock]] &gt;= Table1411[[#This Row],[Total quantity]],"YES","NO")</f>
        <v>YES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60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4</v>
      </c>
      <c r="H34" s="41" t="str">
        <f>IF(Table1411[[#This Row],[In stock]] &gt;= Table1411[[#This Row],[Total quantity]],"YES","NO")</f>
        <v>NO</v>
      </c>
    </row>
    <row r="35" spans="1:8" x14ac:dyDescent="0.25">
      <c r="A35" s="60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4</v>
      </c>
      <c r="H35" s="41" t="str">
        <f>IF(Table1411[[#This Row],[In stock]] &gt;= Table1411[[#This Row],[Total quantity]],"YES","NO")</f>
        <v>NO</v>
      </c>
    </row>
    <row r="36" spans="1:8" x14ac:dyDescent="0.25">
      <c r="A36" s="60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19</v>
      </c>
      <c r="H36" s="41" t="str">
        <f>IF(Table1411[[#This Row],[In stock]] &gt;= Table1411[[#This Row],[Total quantity]],"YES","NO")</f>
        <v>NO</v>
      </c>
    </row>
    <row r="37" spans="1:8" x14ac:dyDescent="0.25">
      <c r="A37" s="60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1</v>
      </c>
      <c r="H37" s="41" t="str">
        <f>IF(Table1411[[#This Row],[In stock]] &gt;= Table1411[[#This Row],[Total quantity]],"YES","NO")</f>
        <v>NO</v>
      </c>
    </row>
    <row r="38" spans="1:8" x14ac:dyDescent="0.25">
      <c r="A38" s="60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1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1</v>
      </c>
      <c r="H39" s="4" t="str">
        <f>IF(Table1411[[#This Row],[In stock]] &gt;= Table1411[[#This Row],[Total quantity]],"YES","NO")</f>
        <v>YES</v>
      </c>
    </row>
    <row r="40" spans="1:8" x14ac:dyDescent="0.25">
      <c r="A40" s="60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0.27777777777777779</v>
      </c>
      <c r="H40" s="41" t="str">
        <f>IF(Table1411[[#This Row],[In stock]] &gt;= Table1411[[#This Row],[Total quantity]],"YES","NO")</f>
        <v>YES</v>
      </c>
    </row>
    <row r="41" spans="1:8" x14ac:dyDescent="0.25">
      <c r="A41" s="60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1</v>
      </c>
      <c r="H41" s="41" t="str">
        <f>IF(Table1411[[#This Row],[In stock]] &gt;= Table1411[[#This Row],[Total quantity]],"YES","NO")</f>
        <v>NO</v>
      </c>
    </row>
    <row r="42" spans="1:8" x14ac:dyDescent="0.25">
      <c r="A42" s="60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1</v>
      </c>
      <c r="H42" s="41" t="str">
        <f>IF(Table1411[[#This Row],[In stock]] &gt;= Table1411[[#This Row],[Total quantity]],"YES","NO")</f>
        <v>NO</v>
      </c>
    </row>
  </sheetData>
  <conditionalFormatting sqref="A1:A15 A17:A1048576">
    <cfRule type="duplicateValues" dxfId="12" priority="3"/>
  </conditionalFormatting>
  <conditionalFormatting sqref="F1:F1048576 H1:H1048576">
    <cfRule type="containsText" dxfId="11" priority="4" operator="containsText" text="NO">
      <formula>NOT(ISERROR(SEARCH("NO",F1)))</formula>
    </cfRule>
  </conditionalFormatting>
  <conditionalFormatting sqref="A16">
    <cfRule type="duplicateValues" dxfId="10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9" priority="1"/>
  </conditionalFormatting>
  <conditionalFormatting sqref="F1:F1048576 H1:H1048576">
    <cfRule type="containsText" dxfId="8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7" priority="3" operator="containsText" text="NO">
      <formula>NOT(ISERROR(SEARCH("NO",F1)))</formula>
    </cfRule>
  </conditionalFormatting>
  <conditionalFormatting sqref="A1:A1048576">
    <cfRule type="duplicateValues" dxfId="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K7" sqref="K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2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2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6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4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2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2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2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2</v>
      </c>
      <c r="H10" s="41" t="str">
        <f>IF(Table146810[[#This Row],[In stock]] &gt;= Table146810[[#This Row],[Total quantity]],"YES","NO")</f>
        <v>YES</v>
      </c>
    </row>
    <row r="11" spans="1:11" x14ac:dyDescent="0.25">
      <c r="A11" s="60" t="s">
        <v>231</v>
      </c>
      <c r="B11" s="41" t="str">
        <f>VLOOKUP(Table146810[[#This Row],[Man. Number]],Articles!A:F,COLUMN(Articles!$D$1)-COLUMN(Articles!$A$1)+1,FALSE)</f>
        <v>LED RED 0603 SMD</v>
      </c>
      <c r="C11" s="4" t="s">
        <v>298</v>
      </c>
      <c r="D11" s="4">
        <v>1</v>
      </c>
      <c r="E11" s="41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2</v>
      </c>
      <c r="H11" s="41" t="str">
        <f>IF(Table146810[[#This Row],[In stock]] &gt;= Table146810[[#This Row],[Total quantity]],"YES","NO")</f>
        <v>YES</v>
      </c>
    </row>
    <row r="12" spans="1:11" x14ac:dyDescent="0.25">
      <c r="A12" s="60" t="s">
        <v>141</v>
      </c>
      <c r="B12" s="41" t="str">
        <f>VLOOKUP(Table146810[[#This Row],[Man. Number]],Articles!A:F,COLUMN(Articles!$D$1)-COLUMN(Articles!$A$1)+1,FALSE)</f>
        <v>LED RGB CLEAR 3528 SMD</v>
      </c>
      <c r="C12" s="4" t="s">
        <v>712</v>
      </c>
      <c r="D12" s="4">
        <v>1</v>
      </c>
      <c r="E12" s="41">
        <f>VLOOKUP(Table146810[[#This Row],[Man. Number]],Articles!A:F,COLUMN(Articles!$F$1)-COLUMN(Articles!$A$1)+1,FALSE)</f>
        <v>5</v>
      </c>
      <c r="F12" s="41" t="str">
        <f>IF(Table146810[[#This Row],[In stock]] &gt;= Table146810[[#This Row],[Quantity]],"YES","NO")</f>
        <v>YES</v>
      </c>
      <c r="G12" s="41">
        <f>Table146810[[#This Row],[Quantity]]*$K$1</f>
        <v>2</v>
      </c>
      <c r="H12" s="41" t="str">
        <f>IF(Table146810[[#This Row],[In stock]] &gt;= Table146810[[#This Row],[Total quantity]],"YES","NO")</f>
        <v>YES</v>
      </c>
    </row>
    <row r="13" spans="1:11" x14ac:dyDescent="0.25">
      <c r="A13" s="60" t="s">
        <v>2259</v>
      </c>
      <c r="B13" s="41" t="str">
        <f>VLOOKUP(Table146810[[#This Row],[Man. Number]],Articles!A:F,COLUMN(Articles!$D$1)-COLUMN(Articles!$A$1)+1,FALSE)</f>
        <v>RES SMD 1M OHM 5% 1/4W 0603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2</v>
      </c>
      <c r="H13" s="41" t="str">
        <f>IF(Table146810[[#This Row],[In stock]] &gt;= Table146810[[#This Row],[Total quantity]],"YES","NO")</f>
        <v>NO</v>
      </c>
    </row>
    <row r="14" spans="1:11" x14ac:dyDescent="0.25">
      <c r="A14" s="60" t="s">
        <v>2076</v>
      </c>
      <c r="B14" s="41" t="str">
        <f>VLOOKUP(Table146810[[#This Row],[Man. Number]],Articles!A:F,COLUMN(Articles!$D$1)-COLUMN(Articles!$A$1)+1,FALSE)</f>
        <v>RES SMD 27K OHM 5% 1/4W 0603</v>
      </c>
      <c r="C14" s="4" t="s">
        <v>309</v>
      </c>
      <c r="D14" s="4">
        <v>1</v>
      </c>
      <c r="E14" s="4">
        <f>VLOOKUP(Table146810[[#This Row],[Man. Number]],Articles!A:F,COLUMN(Articles!$F$1)-COLUMN(Articles!$A$1)+1,FALSE)</f>
        <v>0</v>
      </c>
      <c r="F14" s="41" t="str">
        <f>IF(Table146810[[#This Row],[In stock]] &gt;= Table146810[[#This Row],[Quantity]],"YES","NO")</f>
        <v>NO</v>
      </c>
      <c r="G14" s="41">
        <f>Table146810[[#This Row],[Quantity]]*$K$1</f>
        <v>2</v>
      </c>
      <c r="H14" s="41" t="str">
        <f>IF(Table146810[[#This Row],[In stock]] &gt;= Table146810[[#This Row],[Total quantity]],"YES","NO")</f>
        <v>NO</v>
      </c>
    </row>
    <row r="15" spans="1:11" x14ac:dyDescent="0.25">
      <c r="A15" s="60" t="s">
        <v>2214</v>
      </c>
      <c r="B15" s="41" t="str">
        <f>VLOOKUP(Table146810[[#This Row],[Man. Number]],Articles!A:F,COLUMN(Articles!$D$1)-COLUMN(Articles!$A$1)+1,FALSE)</f>
        <v>RES SMD 180 OHM 5% 1/4W 0603</v>
      </c>
      <c r="C15" s="4" t="s">
        <v>716</v>
      </c>
      <c r="D15" s="4">
        <v>3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6</v>
      </c>
      <c r="H15" s="41" t="str">
        <f>IF(Table146810[[#This Row],[In stock]] &gt;= Table146810[[#This Row],[Total quantity]],"YES","NO")</f>
        <v>NO</v>
      </c>
    </row>
    <row r="16" spans="1:11" x14ac:dyDescent="0.25">
      <c r="A16" s="60" t="s">
        <v>1782</v>
      </c>
      <c r="B16" s="41" t="str">
        <f>VLOOKUP(Table146810[[#This Row],[Man. Number]],Articles!A:F,COLUMN(Articles!$D$1)-COLUMN(Articles!$A$1)+1,FALSE)</f>
        <v>RES SMD 1K OHM 5% 1/4W 0603</v>
      </c>
      <c r="C16" s="4" t="s">
        <v>579</v>
      </c>
      <c r="D16" s="4">
        <v>5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10</v>
      </c>
      <c r="H16" s="41" t="str">
        <f>IF(Table146810[[#This Row],[In stock]] &gt;= Table146810[[#This Row],[Total quantity]],"YES","NO")</f>
        <v>NO</v>
      </c>
    </row>
    <row r="17" spans="1:8" x14ac:dyDescent="0.25">
      <c r="A17" s="60" t="s">
        <v>2208</v>
      </c>
      <c r="B17" s="41" t="str">
        <f>VLOOKUP(Table146810[[#This Row],[Man. Number]],Articles!A:F,COLUMN(Articles!$D$1)-COLUMN(Articles!$A$1)+1,FALSE)</f>
        <v>RES SMD 270 OHM 5% 1/4W 0603</v>
      </c>
      <c r="C17" s="4" t="s">
        <v>1780</v>
      </c>
      <c r="D17" s="4">
        <v>1</v>
      </c>
      <c r="E17" s="41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2</v>
      </c>
      <c r="H17" s="41" t="str">
        <f>IF(Table146810[[#This Row],[In stock]] &gt;= Table146810[[#This Row],[Total quantity]],"YES","NO")</f>
        <v>NO</v>
      </c>
    </row>
    <row r="18" spans="1:8" x14ac:dyDescent="0.25">
      <c r="A18" s="60" t="s">
        <v>234</v>
      </c>
      <c r="B18" s="41" t="str">
        <f>VLOOKUP(Table146810[[#This Row],[Man. Number]],Articles!A:F,COLUMN(Articles!$D$1)-COLUMN(Articles!$A$1)+1,FALSE)</f>
        <v>SWITCH SLIDE SPDT 300MA 125V</v>
      </c>
      <c r="C18" s="4" t="s">
        <v>711</v>
      </c>
      <c r="D18" s="4">
        <v>1</v>
      </c>
      <c r="E18" s="41">
        <f>VLOOKUP(Table146810[[#This Row],[Man. Number]],Articles!A:F,COLUMN(Articles!$F$1)-COLUMN(Articles!$A$1)+1,FALSE)</f>
        <v>4</v>
      </c>
      <c r="F18" s="41" t="str">
        <f>IF(Table146810[[#This Row],[In stock]] &gt;= Table146810[[#This Row],[Quantity]],"YES","NO")</f>
        <v>YES</v>
      </c>
      <c r="G18" s="41">
        <f>Table146810[[#This Row],[Quantity]]*$K$1</f>
        <v>2</v>
      </c>
      <c r="H18" s="41" t="str">
        <f>IF(Table146810[[#This Row],[In stock]] &gt;= Table146810[[#This Row],[Total quantity]],"YES","NO")</f>
        <v>YES</v>
      </c>
    </row>
    <row r="19" spans="1:8" x14ac:dyDescent="0.25">
      <c r="A19" s="3" t="s">
        <v>511</v>
      </c>
      <c r="B19" s="41" t="str">
        <f>VLOOKUP(Table146810[[#This Row],[Man. Number]],Articles!A:F,COLUMN(Articles!$D$1)-COLUMN(Articles!$A$1)+1,FALSE)</f>
        <v>General ISM &lt; 1GHz  Transceiver Module 868MHz Integrated, Trace Surface Mount</v>
      </c>
      <c r="C19" s="4" t="s">
        <v>297</v>
      </c>
      <c r="D19" s="4">
        <v>1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2</v>
      </c>
      <c r="H19" s="41" t="str">
        <f>IF(Table146810[[#This Row],[In stock]] &gt;= Table146810[[#This Row],[Total quantity]],"YES","NO")</f>
        <v>NO</v>
      </c>
    </row>
    <row r="20" spans="1:8" x14ac:dyDescent="0.25">
      <c r="A20" s="3" t="s">
        <v>27</v>
      </c>
      <c r="B20" s="41" t="str">
        <f>VLOOKUP(Table146810[[#This Row],[Man. Number]],Articles!A:F,COLUMN(Articles!$D$1)-COLUMN(Articles!$A$1)+1,FALSE)</f>
        <v>Régulateur LDO, Fixe, Entrée 1.7 V à 5,5 V, Sortie 3.3 V/300 mA, Chute de 150 mV</v>
      </c>
      <c r="C20" s="4" t="s">
        <v>299</v>
      </c>
      <c r="D20" s="4">
        <v>1</v>
      </c>
      <c r="E20" s="4">
        <f>VLOOKUP(Table146810[[#This Row],[Man. Number]],Articles!A:F,COLUMN(Articles!$F$1)-COLUMN(Articles!$A$1)+1,FALSE)</f>
        <v>9</v>
      </c>
      <c r="F20" s="41" t="str">
        <f>IF(Table146810[[#This Row],[In stock]] &gt;= Table146810[[#This Row],[Quantity]],"YES","NO")</f>
        <v>YES</v>
      </c>
      <c r="G20" s="41">
        <f>Table146810[[#This Row],[Quantity]]*$K$1</f>
        <v>2</v>
      </c>
      <c r="H20" s="41" t="str">
        <f>IF(Table146810[[#This Row],[In stock]] &gt;= Table146810[[#This Row],[Total quantity]],"YES","NO")</f>
        <v>YES</v>
      </c>
    </row>
    <row r="21" spans="1:8" x14ac:dyDescent="0.25">
      <c r="A21" s="3" t="s">
        <v>505</v>
      </c>
      <c r="B21" s="4" t="str">
        <f>VLOOKUP(Table146810[[#This Row],[Man. Number]],Articles!A:F,COLUMN(Articles!$D$1)-COLUMN(Articles!$A$1)+1,FALSE)</f>
        <v>IC CONVERTER USB-SPI 20-SSOP</v>
      </c>
      <c r="C21" s="4" t="s">
        <v>300</v>
      </c>
      <c r="D21" s="4">
        <v>1</v>
      </c>
      <c r="E21" s="4">
        <f>VLOOKUP(Table146810[[#This Row],[Man. Number]],Articles!A:F,COLUMN(Articles!$F$1)-COLUMN(Articles!$A$1)+1,FALSE)</f>
        <v>0</v>
      </c>
      <c r="F21" s="4" t="str">
        <f>IF(Table146810[[#This Row],[In stock]] &gt;= Table146810[[#This Row],[Quantity]],"YES","NO")</f>
        <v>NO</v>
      </c>
      <c r="G21" s="4">
        <f>Table146810[[#This Row],[Quantity]]*$K$1</f>
        <v>2</v>
      </c>
      <c r="H21" s="4" t="str">
        <f>IF(Table146810[[#This Row],[In stock]] &gt;= Table146810[[#This Row],[Total quantity]],"YES","NO")</f>
        <v>NO</v>
      </c>
    </row>
    <row r="22" spans="1:8" x14ac:dyDescent="0.25">
      <c r="A22" s="3" t="s">
        <v>513</v>
      </c>
      <c r="B22" s="41" t="str">
        <f>VLOOKUP(Table146810[[#This Row],[Man. Number]],Articles!A:F,COLUMN(Articles!$D$1)-COLUMN(Articles!$A$1)+1,FALSE)</f>
        <v>IC MCU 8BIT 64KB FLASH 44TQFP</v>
      </c>
      <c r="C22" s="4" t="s">
        <v>316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2</v>
      </c>
      <c r="H22" s="41" t="str">
        <f>IF(Table146810[[#This Row],[In stock]] &gt;= Table146810[[#This Row],[Total quantity]],"YES","NO")</f>
        <v>NO</v>
      </c>
    </row>
    <row r="23" spans="1:8" x14ac:dyDescent="0.25">
      <c r="A23" s="60" t="s">
        <v>129</v>
      </c>
      <c r="B23" s="41" t="str">
        <f>VLOOKUP(Table146810[[#This Row],[Man. Number]],Articles!A:F,COLUMN(Articles!$D$1)-COLUMN(Articles!$A$1)+1,FALSE)</f>
        <v>Réseau de transistors bipolaires, NPN, 50 V, 500 mA</v>
      </c>
      <c r="C23" s="4" t="s">
        <v>313</v>
      </c>
      <c r="D23" s="4">
        <v>1</v>
      </c>
      <c r="E23" s="41">
        <f>VLOOKUP(Table146810[[#This Row],[Man. Number]],Articles!A:F,COLUMN(Articles!$F$1)-COLUMN(Articles!$A$1)+1,FALSE)</f>
        <v>10</v>
      </c>
      <c r="F23" s="41" t="str">
        <f>IF(Table146810[[#This Row],[In stock]] &gt;= Table146810[[#This Row],[Quantity]],"YES","NO")</f>
        <v>YES</v>
      </c>
      <c r="G23" s="41">
        <f>Table146810[[#This Row],[Quantity]]*$K$1</f>
        <v>2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508</v>
      </c>
      <c r="B24" s="41" t="str">
        <f>VLOOKUP(Table146810[[#This Row],[Man. Number]],Articles!A:F,COLUMN(Articles!$D$1)-COLUMN(Articles!$A$1)+1,FALSE)</f>
        <v>MEMS OSC XO 12.0000MHZ CMOS SMD</v>
      </c>
      <c r="C24" s="4" t="s">
        <v>578</v>
      </c>
      <c r="D24" s="4">
        <v>1</v>
      </c>
      <c r="E24" s="4">
        <f>VLOOKUP(Table146810[[#This Row],[Man. Number]],Articles!A:F,COLUMN(Articles!$F$1)-COLUMN(Articles!$A$1)+1,FALSE)</f>
        <v>0</v>
      </c>
      <c r="F24" s="41" t="str">
        <f>IF(Table146810[[#This Row],[In stock]] &gt;= Table146810[[#This Row],[Quantity]],"YES","NO")</f>
        <v>NO</v>
      </c>
      <c r="G24" s="41">
        <f>Table146810[[#This Row],[Quantity]]*$K$1</f>
        <v>2</v>
      </c>
      <c r="H24" s="41" t="str">
        <f>IF(Table146810[[#This Row],[In stock]] &gt;= Table146810[[#This Row],[Total quantity]],"YES","NO")</f>
        <v>NO</v>
      </c>
    </row>
    <row r="25" spans="1:8" x14ac:dyDescent="0.25">
      <c r="A25" s="60" t="s">
        <v>591</v>
      </c>
      <c r="B25" s="41" t="str">
        <f>VLOOKUP(Table146810[[#This Row],[Man. Number]],Articles!A:F,COLUMN(Articles!$D$1)-COLUMN(Articles!$A$1)+1,FALSE)</f>
        <v>Connecteur carte-à-carte, male, Angle Droit, 2.54 mm, 40 Contact(s)</v>
      </c>
      <c r="C25" s="4" t="s">
        <v>2953</v>
      </c>
      <c r="D25" s="4">
        <f>8/40</f>
        <v>0.2</v>
      </c>
      <c r="E25" s="41">
        <f>VLOOKUP(Table146810[[#This Row],[Man. Number]],Articles!A:F,COLUMN(Articles!$F$1)-COLUMN(Articles!$A$1)+1,FALSE)</f>
        <v>9.85</v>
      </c>
      <c r="F25" s="41" t="str">
        <f>IF(Table146810[[#This Row],[In stock]] &gt;= Table146810[[#This Row],[Quantity]],"YES","NO")</f>
        <v>YES</v>
      </c>
      <c r="G25" s="41">
        <f>Table146810[[#This Row],[Quantity]]*$K$1</f>
        <v>0.4</v>
      </c>
      <c r="H25" s="41" t="str">
        <f>IF(Table146810[[#This Row],[In stock]] &gt;= Table146810[[#This Row],[Total quantity]],"YES","NO")</f>
        <v>YES</v>
      </c>
    </row>
    <row r="26" spans="1:8" x14ac:dyDescent="0.25">
      <c r="A26" s="60" t="s">
        <v>2995</v>
      </c>
      <c r="B26" s="41" t="str">
        <f>VLOOKUP(Table146810[[#This Row],[Man. Number]],Articles!A:F,COLUMN(Articles!$D$1)-COLUMN(Articles!$A$1)+1,FALSE)</f>
        <v>CONN HEADER SMD 8POS 1.25MM</v>
      </c>
      <c r="C26" s="4" t="s">
        <v>3075</v>
      </c>
      <c r="D26" s="4">
        <v>2</v>
      </c>
      <c r="E26" s="41">
        <f>VLOOKUP(Table146810[[#This Row],[Man. Number]],Articles!A:F,COLUMN(Articles!$F$1)-COLUMN(Articles!$A$1)+1,FALSE)</f>
        <v>0</v>
      </c>
      <c r="F26" s="41" t="str">
        <f>IF(Table146810[[#This Row],[In stock]] &gt;= Table146810[[#This Row],[Quantity]],"YES","NO")</f>
        <v>NO</v>
      </c>
      <c r="G26" s="41">
        <f>Table146810[[#This Row],[Quantity]]*$K$1</f>
        <v>4</v>
      </c>
      <c r="H26" s="41" t="str">
        <f>IF(Table146810[[#This Row],[In stock]] &gt;= Table146810[[#This Row],[Total quantity]],"YES","NO")</f>
        <v>NO</v>
      </c>
    </row>
    <row r="27" spans="1:8" x14ac:dyDescent="0.25">
      <c r="A27" s="60" t="s">
        <v>2986</v>
      </c>
      <c r="B27" s="41" t="str">
        <f>VLOOKUP(Table146810[[#This Row],[Man. Number]],Articles!A:F,COLUMN(Articles!$D$1)-COLUMN(Articles!$A$1)+1,FALSE)</f>
        <v>CONN HEADER SMD 6POS 1.25MM</v>
      </c>
      <c r="C27" s="4" t="s">
        <v>312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2</v>
      </c>
      <c r="H27" s="41" t="str">
        <f>IF(Table146810[[#This Row],[In stock]] &gt;= Table146810[[#This Row],[Total quantity]],"YES","NO")</f>
        <v>NO</v>
      </c>
    </row>
    <row r="28" spans="1:8" x14ac:dyDescent="0.25">
      <c r="A28" s="60" t="s">
        <v>2980</v>
      </c>
      <c r="B28" s="41" t="str">
        <f>VLOOKUP(Table146810[[#This Row],[Man. Number]],Articles!A:F,COLUMN(Articles!$D$1)-COLUMN(Articles!$A$1)+1,FALSE)</f>
        <v>CONN HEADER SMD 5POS 1.25MM</v>
      </c>
      <c r="C28" s="4" t="s">
        <v>3076</v>
      </c>
      <c r="D28" s="4">
        <v>3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6</v>
      </c>
      <c r="H28" s="41" t="str">
        <f>IF(Table146810[[#This Row],[In stock]] &gt;= Table146810[[#This Row],[Total quantity]],"YES","NO")</f>
        <v>NO</v>
      </c>
    </row>
    <row r="29" spans="1:8" x14ac:dyDescent="0.25">
      <c r="A29" s="60" t="s">
        <v>2962</v>
      </c>
      <c r="B29" s="41" t="str">
        <f>VLOOKUP(Table146810[[#This Row],[Man. Number]],Articles!A:F,COLUMN(Articles!$D$1)-COLUMN(Articles!$A$1)+1,FALSE)</f>
        <v>CONN HEADER SMD 2POS 1.25MM</v>
      </c>
      <c r="C29" s="4" t="s">
        <v>3077</v>
      </c>
      <c r="D29" s="4">
        <v>1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60" t="s">
        <v>2992</v>
      </c>
      <c r="B30" s="41" t="str">
        <f>VLOOKUP(Table146810[[#This Row],[Man. Number]],Articles!A:F,COLUMN(Articles!$D$1)-COLUMN(Articles!$A$1)+1,FALSE)</f>
        <v>CONN HEADER SMD 7POS 1.25MM</v>
      </c>
      <c r="C30" s="4" t="s">
        <v>3078</v>
      </c>
      <c r="D30" s="4">
        <v>1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60" t="s">
        <v>3049</v>
      </c>
      <c r="B31" s="41" t="str">
        <f>VLOOKUP(Table146810[[#This Row],[Man. Number]],Articles!A:F,COLUMN(Articles!$D$1)-COLUMN(Articles!$A$1)+1,FALSE)</f>
        <v>CONN GH HOUSING 8POS 1.25MM</v>
      </c>
      <c r="C31" s="4" t="s">
        <v>3075</v>
      </c>
      <c r="D31" s="4">
        <v>2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4</v>
      </c>
      <c r="H31" s="41" t="str">
        <f>IF(Table146810[[#This Row],[In stock]] &gt;= Table146810[[#This Row],[Total quantity]],"YES","NO")</f>
        <v>NO</v>
      </c>
    </row>
    <row r="32" spans="1:8" x14ac:dyDescent="0.25">
      <c r="A32" s="60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2</v>
      </c>
      <c r="H32" s="41" t="str">
        <f>IF(Table146810[[#This Row],[In stock]] &gt;= Table146810[[#This Row],[Total quantity]],"YES","NO")</f>
        <v>NO</v>
      </c>
    </row>
    <row r="33" spans="1:8" x14ac:dyDescent="0.25">
      <c r="A33" s="60" t="s">
        <v>3037</v>
      </c>
      <c r="B33" s="41" t="str">
        <f>VLOOKUP(Table146810[[#This Row],[Man. Number]],Articles!A:F,COLUMN(Articles!$D$1)-COLUMN(Articles!$A$1)+1,FALSE)</f>
        <v>CONN GH HOUSING 5POS 1.25MM</v>
      </c>
      <c r="C33" s="4" t="s">
        <v>3076</v>
      </c>
      <c r="D33" s="4">
        <v>3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6</v>
      </c>
      <c r="H33" s="41" t="str">
        <f>IF(Table146810[[#This Row],[In stock]] &gt;= Table146810[[#This Row],[Total quantity]],"YES","NO")</f>
        <v>NO</v>
      </c>
    </row>
    <row r="34" spans="1:8" x14ac:dyDescent="0.25">
      <c r="A34" s="60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2</v>
      </c>
      <c r="H34" s="41" t="str">
        <f>IF(Table146810[[#This Row],[In stock]] &gt;= Table146810[[#This Row],[Total quantity]],"YES","NO")</f>
        <v>NO</v>
      </c>
    </row>
    <row r="35" spans="1:8" x14ac:dyDescent="0.25">
      <c r="A35" s="60" t="s">
        <v>3058</v>
      </c>
      <c r="B35" s="41" t="str">
        <f>VLOOKUP(Table146810[[#This Row],[Man. Number]],Articles!A:F,COLUMN(Articles!$D$1)-COLUMN(Articles!$A$1)+1,FALSE)</f>
        <v>CONN GH HOUSING 7POS 1.25MM</v>
      </c>
      <c r="C35" s="4" t="s">
        <v>3078</v>
      </c>
      <c r="D35" s="4">
        <v>1</v>
      </c>
      <c r="E35" s="41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2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5" priority="4" operator="containsText" text="NO">
      <formula>NOT(ISERROR(SEARCH("NO",F1)))</formula>
    </cfRule>
  </conditionalFormatting>
  <conditionalFormatting sqref="A1:A16 A18:A1048576">
    <cfRule type="duplicateValues" dxfId="4" priority="2"/>
  </conditionalFormatting>
  <conditionalFormatting sqref="A17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2" priority="3" operator="containsText" text="NO">
      <formula>NOT(ISERROR(SEARCH("NO",F1)))</formula>
    </cfRule>
  </conditionalFormatting>
  <conditionalFormatting sqref="A1:A1048576">
    <cfRule type="duplicateValues" dxfId="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3" sqref="K13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9" t="s">
        <v>138</v>
      </c>
      <c r="Q11" s="59" t="s">
        <v>260</v>
      </c>
      <c r="R11" s="59" t="s">
        <v>0</v>
      </c>
      <c r="S11" s="59" t="s">
        <v>6</v>
      </c>
      <c r="T11" s="59" t="s">
        <v>4</v>
      </c>
      <c r="U11" s="59" t="s">
        <v>2</v>
      </c>
      <c r="V11" s="59" t="s">
        <v>8</v>
      </c>
      <c r="W11" s="59" t="s">
        <v>259</v>
      </c>
    </row>
    <row r="12" spans="1:23" x14ac:dyDescent="0.25">
      <c r="P12" s="59" t="s">
        <v>1778</v>
      </c>
      <c r="Q12" s="59">
        <v>4</v>
      </c>
      <c r="R12" s="59">
        <v>3</v>
      </c>
      <c r="S12" s="59">
        <v>5</v>
      </c>
      <c r="T12" s="59" t="s">
        <v>82</v>
      </c>
      <c r="U12" s="59">
        <v>6</v>
      </c>
      <c r="V12" s="59">
        <v>9</v>
      </c>
      <c r="W12" s="59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93"/>
  <sheetViews>
    <sheetView workbookViewId="0">
      <selection activeCell="E6" sqref="E6"/>
    </sheetView>
  </sheetViews>
  <sheetFormatPr defaultColWidth="20.7109375" defaultRowHeight="15" x14ac:dyDescent="0.25"/>
  <cols>
    <col min="2" max="12" width="20.7109375" style="17"/>
    <col min="14" max="16384" width="20.7109375" style="17"/>
  </cols>
  <sheetData>
    <row r="1" spans="1:27" x14ac:dyDescent="0.25">
      <c r="A1" t="s">
        <v>3109</v>
      </c>
      <c r="B1" s="17" t="s">
        <v>3110</v>
      </c>
      <c r="C1" s="17" t="s">
        <v>3111</v>
      </c>
      <c r="D1" s="17" t="s">
        <v>3112</v>
      </c>
      <c r="E1" s="17" t="s">
        <v>6</v>
      </c>
      <c r="F1" s="17" t="s">
        <v>2</v>
      </c>
      <c r="G1" s="17" t="s">
        <v>3113</v>
      </c>
      <c r="H1" s="17" t="s">
        <v>3114</v>
      </c>
      <c r="I1" s="17" t="s">
        <v>3115</v>
      </c>
      <c r="J1" s="17" t="s">
        <v>3116</v>
      </c>
      <c r="K1" s="17" t="s">
        <v>3117</v>
      </c>
      <c r="L1" s="17" t="s">
        <v>3118</v>
      </c>
      <c r="M1" t="s">
        <v>3119</v>
      </c>
      <c r="N1" s="17" t="s">
        <v>3120</v>
      </c>
      <c r="O1" s="17" t="s">
        <v>3121</v>
      </c>
      <c r="P1" s="17" t="s">
        <v>3122</v>
      </c>
      <c r="Q1" s="17" t="s">
        <v>3123</v>
      </c>
      <c r="R1" s="17" t="s">
        <v>3124</v>
      </c>
      <c r="S1" s="17" t="s">
        <v>3125</v>
      </c>
      <c r="T1" s="17" t="s">
        <v>3126</v>
      </c>
      <c r="U1" s="17" t="s">
        <v>3127</v>
      </c>
      <c r="V1" s="17" t="s">
        <v>3128</v>
      </c>
      <c r="W1" s="17" t="s">
        <v>3129</v>
      </c>
      <c r="X1" s="17" t="s">
        <v>3130</v>
      </c>
      <c r="Y1" s="17" t="s">
        <v>3131</v>
      </c>
      <c r="Z1" s="17" t="s">
        <v>3132</v>
      </c>
      <c r="AA1" s="17" t="s">
        <v>3133</v>
      </c>
    </row>
    <row r="2" spans="1:27" x14ac:dyDescent="0.25">
      <c r="A2" t="s">
        <v>3134</v>
      </c>
      <c r="B2" s="17" t="s">
        <v>3135</v>
      </c>
      <c r="C2" s="17" t="s">
        <v>3136</v>
      </c>
      <c r="D2" s="17" t="s">
        <v>3137</v>
      </c>
      <c r="E2" s="17" t="s">
        <v>251</v>
      </c>
      <c r="F2" s="17" t="s">
        <v>3138</v>
      </c>
      <c r="G2" s="17">
        <v>542870</v>
      </c>
      <c r="H2" s="17">
        <v>0</v>
      </c>
      <c r="I2" s="17">
        <v>0.42</v>
      </c>
      <c r="J2" s="17">
        <v>0</v>
      </c>
      <c r="K2" s="17">
        <v>1</v>
      </c>
      <c r="L2" s="17" t="s">
        <v>3139</v>
      </c>
      <c r="M2" t="s">
        <v>3140</v>
      </c>
      <c r="N2" s="17" t="s">
        <v>3141</v>
      </c>
      <c r="O2" s="17" t="s">
        <v>3142</v>
      </c>
      <c r="P2" s="17" t="s">
        <v>554</v>
      </c>
      <c r="Q2" s="17" t="s">
        <v>3143</v>
      </c>
      <c r="R2" s="17" t="s">
        <v>3144</v>
      </c>
      <c r="S2" s="17" t="s">
        <v>3145</v>
      </c>
      <c r="T2" s="17" t="s">
        <v>65</v>
      </c>
      <c r="U2" s="17" t="s">
        <v>3146</v>
      </c>
      <c r="V2" s="17" t="s">
        <v>3147</v>
      </c>
      <c r="W2" s="17">
        <v>1206</v>
      </c>
      <c r="X2" s="17" t="s">
        <v>3148</v>
      </c>
      <c r="Y2" s="17" t="s">
        <v>3149</v>
      </c>
      <c r="Z2" s="17">
        <v>2</v>
      </c>
      <c r="AA2" s="17" t="s">
        <v>65</v>
      </c>
    </row>
    <row r="3" spans="1:27" x14ac:dyDescent="0.25">
      <c r="A3" t="s">
        <v>3134</v>
      </c>
      <c r="B3" s="17" t="s">
        <v>3135</v>
      </c>
      <c r="C3" s="17" t="s">
        <v>3150</v>
      </c>
      <c r="D3" s="17" t="s">
        <v>3151</v>
      </c>
      <c r="E3" s="17" t="s">
        <v>251</v>
      </c>
      <c r="F3" s="17" t="s">
        <v>3152</v>
      </c>
      <c r="G3" s="17">
        <v>117935</v>
      </c>
      <c r="H3" s="17">
        <v>0</v>
      </c>
      <c r="I3" s="17">
        <v>0.42</v>
      </c>
      <c r="J3" s="17">
        <v>0</v>
      </c>
      <c r="K3" s="17">
        <v>1</v>
      </c>
      <c r="L3" s="17" t="s">
        <v>3139</v>
      </c>
      <c r="M3" t="s">
        <v>3140</v>
      </c>
      <c r="N3" s="17" t="s">
        <v>3141</v>
      </c>
      <c r="O3" s="17" t="s">
        <v>3153</v>
      </c>
      <c r="P3" s="17" t="s">
        <v>3154</v>
      </c>
      <c r="Q3" s="17" t="s">
        <v>3143</v>
      </c>
      <c r="R3" s="17" t="s">
        <v>3144</v>
      </c>
      <c r="S3" s="17" t="s">
        <v>3145</v>
      </c>
      <c r="T3" s="17" t="s">
        <v>3155</v>
      </c>
      <c r="U3" s="17" t="s">
        <v>3146</v>
      </c>
      <c r="V3" s="17" t="s">
        <v>3147</v>
      </c>
      <c r="W3" s="17">
        <v>1206</v>
      </c>
      <c r="X3" s="17" t="s">
        <v>3148</v>
      </c>
      <c r="Y3" s="17" t="s">
        <v>3149</v>
      </c>
      <c r="Z3" s="17">
        <v>2</v>
      </c>
      <c r="AA3" s="17" t="s">
        <v>65</v>
      </c>
    </row>
    <row r="4" spans="1:27" x14ac:dyDescent="0.25">
      <c r="A4" t="s">
        <v>3134</v>
      </c>
      <c r="B4" s="17" t="s">
        <v>3135</v>
      </c>
      <c r="C4" s="17" t="s">
        <v>3156</v>
      </c>
      <c r="D4" s="17" t="s">
        <v>3157</v>
      </c>
      <c r="E4" s="17" t="s">
        <v>251</v>
      </c>
      <c r="F4" s="17" t="s">
        <v>3158</v>
      </c>
      <c r="G4" s="17">
        <v>20249</v>
      </c>
      <c r="H4" s="17">
        <v>0</v>
      </c>
      <c r="I4" s="17">
        <v>0.42</v>
      </c>
      <c r="J4" s="17">
        <v>0</v>
      </c>
      <c r="K4" s="17">
        <v>1</v>
      </c>
      <c r="L4" s="17" t="s">
        <v>3139</v>
      </c>
      <c r="M4" t="s">
        <v>3140</v>
      </c>
      <c r="N4" s="17" t="s">
        <v>3141</v>
      </c>
      <c r="O4" s="17" t="s">
        <v>3159</v>
      </c>
      <c r="P4" s="17" t="s">
        <v>3154</v>
      </c>
      <c r="Q4" s="17" t="s">
        <v>3143</v>
      </c>
      <c r="R4" s="17" t="s">
        <v>3144</v>
      </c>
      <c r="S4" s="17" t="s">
        <v>3145</v>
      </c>
      <c r="T4" s="17" t="s">
        <v>3155</v>
      </c>
      <c r="U4" s="17" t="s">
        <v>3146</v>
      </c>
      <c r="V4" s="17" t="s">
        <v>3147</v>
      </c>
      <c r="W4" s="17">
        <v>1206</v>
      </c>
      <c r="X4" s="17" t="s">
        <v>3148</v>
      </c>
      <c r="Y4" s="17" t="s">
        <v>3149</v>
      </c>
      <c r="Z4" s="17">
        <v>2</v>
      </c>
      <c r="AA4" s="17" t="s">
        <v>65</v>
      </c>
    </row>
    <row r="5" spans="1:27" x14ac:dyDescent="0.25">
      <c r="A5" t="s">
        <v>3134</v>
      </c>
      <c r="B5" s="17" t="s">
        <v>3135</v>
      </c>
      <c r="C5" s="17" t="s">
        <v>3160</v>
      </c>
      <c r="D5" s="17" t="s">
        <v>3161</v>
      </c>
      <c r="E5" s="17" t="s">
        <v>251</v>
      </c>
      <c r="F5" s="17" t="s">
        <v>3162</v>
      </c>
      <c r="G5" s="17">
        <v>25534</v>
      </c>
      <c r="H5" s="17">
        <v>0</v>
      </c>
      <c r="I5" s="17">
        <v>0.48</v>
      </c>
      <c r="J5" s="17">
        <v>0</v>
      </c>
      <c r="K5" s="17">
        <v>1</v>
      </c>
      <c r="L5" s="17" t="s">
        <v>3139</v>
      </c>
      <c r="M5" t="s">
        <v>3140</v>
      </c>
      <c r="N5" s="17" t="s">
        <v>3141</v>
      </c>
      <c r="O5" s="17" t="s">
        <v>3159</v>
      </c>
      <c r="P5" s="17" t="s">
        <v>3163</v>
      </c>
      <c r="Q5" s="17" t="s">
        <v>3143</v>
      </c>
      <c r="R5" s="17" t="s">
        <v>3144</v>
      </c>
      <c r="S5" s="17" t="s">
        <v>3145</v>
      </c>
      <c r="T5" s="17" t="s">
        <v>3164</v>
      </c>
      <c r="U5" s="17" t="s">
        <v>3146</v>
      </c>
      <c r="V5" s="17" t="s">
        <v>3147</v>
      </c>
      <c r="W5" s="17">
        <v>1206</v>
      </c>
      <c r="X5" s="17" t="s">
        <v>3148</v>
      </c>
      <c r="Y5" s="17" t="s">
        <v>3149</v>
      </c>
      <c r="Z5" s="17">
        <v>2</v>
      </c>
      <c r="AA5" s="17" t="s">
        <v>65</v>
      </c>
    </row>
    <row r="6" spans="1:27" x14ac:dyDescent="0.25">
      <c r="A6" t="s">
        <v>3134</v>
      </c>
      <c r="B6" s="17" t="s">
        <v>3135</v>
      </c>
      <c r="C6" s="17" t="s">
        <v>3165</v>
      </c>
      <c r="D6" s="17" t="s">
        <v>3166</v>
      </c>
      <c r="E6" s="17" t="s">
        <v>251</v>
      </c>
      <c r="F6" s="17" t="s">
        <v>3167</v>
      </c>
      <c r="G6" s="17">
        <v>25322</v>
      </c>
      <c r="H6" s="17">
        <v>0</v>
      </c>
      <c r="I6" s="17">
        <v>0.48</v>
      </c>
      <c r="J6" s="17">
        <v>0</v>
      </c>
      <c r="K6" s="17">
        <v>1</v>
      </c>
      <c r="L6" s="17" t="s">
        <v>3139</v>
      </c>
      <c r="M6" t="s">
        <v>3140</v>
      </c>
      <c r="N6" s="17" t="s">
        <v>3141</v>
      </c>
      <c r="O6" s="17" t="s">
        <v>3153</v>
      </c>
      <c r="P6" s="17" t="s">
        <v>3163</v>
      </c>
      <c r="Q6" s="17" t="s">
        <v>3143</v>
      </c>
      <c r="R6" s="17" t="s">
        <v>3144</v>
      </c>
      <c r="S6" s="17" t="s">
        <v>3145</v>
      </c>
      <c r="T6" s="17" t="s">
        <v>3164</v>
      </c>
      <c r="U6" s="17" t="s">
        <v>3146</v>
      </c>
      <c r="V6" s="17" t="s">
        <v>3147</v>
      </c>
      <c r="W6" s="17">
        <v>1206</v>
      </c>
      <c r="X6" s="17" t="s">
        <v>3148</v>
      </c>
      <c r="Y6" s="17" t="s">
        <v>3149</v>
      </c>
      <c r="Z6" s="17">
        <v>2</v>
      </c>
      <c r="AA6" s="17" t="s">
        <v>65</v>
      </c>
    </row>
    <row r="7" spans="1:27" x14ac:dyDescent="0.25">
      <c r="A7" t="s">
        <v>3134</v>
      </c>
      <c r="B7" s="17" t="s">
        <v>3135</v>
      </c>
      <c r="C7" s="17" t="s">
        <v>3168</v>
      </c>
      <c r="D7" s="17" t="s">
        <v>3169</v>
      </c>
      <c r="E7" s="17" t="s">
        <v>251</v>
      </c>
      <c r="F7" s="17" t="s">
        <v>3170</v>
      </c>
      <c r="G7" s="17">
        <v>73989</v>
      </c>
      <c r="H7" s="17">
        <v>0</v>
      </c>
      <c r="I7" s="17">
        <v>0.42</v>
      </c>
      <c r="J7" s="17">
        <v>0</v>
      </c>
      <c r="K7" s="17">
        <v>1</v>
      </c>
      <c r="L7" s="17" t="s">
        <v>3139</v>
      </c>
      <c r="M7" t="s">
        <v>3140</v>
      </c>
      <c r="N7" s="17" t="s">
        <v>3141</v>
      </c>
      <c r="O7" s="17" t="s">
        <v>3171</v>
      </c>
      <c r="P7" s="17" t="s">
        <v>3154</v>
      </c>
      <c r="Q7" s="17" t="s">
        <v>3143</v>
      </c>
      <c r="R7" s="17" t="s">
        <v>3144</v>
      </c>
      <c r="S7" s="17" t="s">
        <v>3145</v>
      </c>
      <c r="T7" s="17" t="s">
        <v>3155</v>
      </c>
      <c r="U7" s="17" t="s">
        <v>3146</v>
      </c>
      <c r="V7" s="17" t="s">
        <v>3147</v>
      </c>
      <c r="W7" s="17">
        <v>1206</v>
      </c>
      <c r="X7" s="17" t="s">
        <v>3148</v>
      </c>
      <c r="Y7" s="17" t="s">
        <v>3149</v>
      </c>
      <c r="Z7" s="17">
        <v>2</v>
      </c>
      <c r="AA7" s="17" t="s">
        <v>65</v>
      </c>
    </row>
    <row r="8" spans="1:27" x14ac:dyDescent="0.25">
      <c r="A8" t="s">
        <v>3134</v>
      </c>
      <c r="B8" s="17" t="s">
        <v>3135</v>
      </c>
      <c r="C8" s="17" t="s">
        <v>3172</v>
      </c>
      <c r="D8" s="17" t="s">
        <v>3173</v>
      </c>
      <c r="E8" s="17" t="s">
        <v>251</v>
      </c>
      <c r="F8" s="17" t="s">
        <v>3174</v>
      </c>
      <c r="G8" s="17">
        <v>40045</v>
      </c>
      <c r="H8" s="17">
        <v>0</v>
      </c>
      <c r="I8" s="17">
        <v>0.42</v>
      </c>
      <c r="J8" s="17">
        <v>0</v>
      </c>
      <c r="K8" s="17">
        <v>1</v>
      </c>
      <c r="L8" s="17" t="s">
        <v>3139</v>
      </c>
      <c r="M8" t="s">
        <v>3140</v>
      </c>
      <c r="N8" s="17" t="s">
        <v>3141</v>
      </c>
      <c r="O8" s="17" t="s">
        <v>3175</v>
      </c>
      <c r="P8" s="17" t="s">
        <v>3154</v>
      </c>
      <c r="Q8" s="17" t="s">
        <v>3143</v>
      </c>
      <c r="R8" s="17" t="s">
        <v>3144</v>
      </c>
      <c r="S8" s="17" t="s">
        <v>3145</v>
      </c>
      <c r="T8" s="17" t="s">
        <v>3155</v>
      </c>
      <c r="U8" s="17" t="s">
        <v>3146</v>
      </c>
      <c r="V8" s="17" t="s">
        <v>3147</v>
      </c>
      <c r="W8" s="17">
        <v>1206</v>
      </c>
      <c r="X8" s="17" t="s">
        <v>3148</v>
      </c>
      <c r="Y8" s="17" t="s">
        <v>3149</v>
      </c>
      <c r="Z8" s="17">
        <v>2</v>
      </c>
      <c r="AA8" s="17" t="s">
        <v>65</v>
      </c>
    </row>
    <row r="9" spans="1:27" x14ac:dyDescent="0.25">
      <c r="A9" t="s">
        <v>3134</v>
      </c>
      <c r="B9" s="17" t="s">
        <v>3135</v>
      </c>
      <c r="C9" s="17" t="s">
        <v>3176</v>
      </c>
      <c r="D9" s="17" t="s">
        <v>3177</v>
      </c>
      <c r="E9" s="17" t="s">
        <v>251</v>
      </c>
      <c r="F9" s="17" t="s">
        <v>3178</v>
      </c>
      <c r="G9" s="17">
        <v>17648</v>
      </c>
      <c r="H9" s="17">
        <v>0</v>
      </c>
      <c r="I9" s="17">
        <v>0.42</v>
      </c>
      <c r="J9" s="17">
        <v>0</v>
      </c>
      <c r="K9" s="17">
        <v>1</v>
      </c>
      <c r="L9" s="17" t="s">
        <v>3139</v>
      </c>
      <c r="M9" t="s">
        <v>3140</v>
      </c>
      <c r="N9" s="17" t="s">
        <v>3141</v>
      </c>
      <c r="O9" s="17" t="s">
        <v>3179</v>
      </c>
      <c r="P9" s="17" t="s">
        <v>3154</v>
      </c>
      <c r="Q9" s="17" t="s">
        <v>3143</v>
      </c>
      <c r="R9" s="17" t="s">
        <v>3144</v>
      </c>
      <c r="S9" s="17" t="s">
        <v>3145</v>
      </c>
      <c r="T9" s="17" t="s">
        <v>3155</v>
      </c>
      <c r="U9" s="17" t="s">
        <v>3146</v>
      </c>
      <c r="V9" s="17" t="s">
        <v>3147</v>
      </c>
      <c r="W9" s="17">
        <v>1206</v>
      </c>
      <c r="X9" s="17" t="s">
        <v>3148</v>
      </c>
      <c r="Y9" s="17" t="s">
        <v>3149</v>
      </c>
      <c r="Z9" s="17">
        <v>2</v>
      </c>
      <c r="AA9" s="17" t="s">
        <v>65</v>
      </c>
    </row>
    <row r="10" spans="1:27" x14ac:dyDescent="0.25">
      <c r="A10" t="s">
        <v>3134</v>
      </c>
      <c r="B10" s="17" t="s">
        <v>3135</v>
      </c>
      <c r="C10" s="17" t="s">
        <v>3180</v>
      </c>
      <c r="D10" s="17" t="s">
        <v>3181</v>
      </c>
      <c r="E10" s="17" t="s">
        <v>251</v>
      </c>
      <c r="F10" s="17" t="s">
        <v>3182</v>
      </c>
      <c r="G10" s="17">
        <v>6766</v>
      </c>
      <c r="H10" s="17">
        <v>0</v>
      </c>
      <c r="I10" s="17">
        <v>0.42</v>
      </c>
      <c r="J10" s="17">
        <v>0</v>
      </c>
      <c r="K10" s="17">
        <v>1</v>
      </c>
      <c r="L10" s="17" t="s">
        <v>3139</v>
      </c>
      <c r="M10" t="s">
        <v>3140</v>
      </c>
      <c r="N10" s="17" t="s">
        <v>3141</v>
      </c>
      <c r="O10" s="17" t="s">
        <v>3183</v>
      </c>
      <c r="P10" s="17" t="s">
        <v>3154</v>
      </c>
      <c r="Q10" s="17" t="s">
        <v>3143</v>
      </c>
      <c r="R10" s="17" t="s">
        <v>3144</v>
      </c>
      <c r="S10" s="17" t="s">
        <v>3145</v>
      </c>
      <c r="T10" s="17" t="s">
        <v>3155</v>
      </c>
      <c r="U10" s="17" t="s">
        <v>3146</v>
      </c>
      <c r="V10" s="17" t="s">
        <v>3147</v>
      </c>
      <c r="W10" s="17">
        <v>1206</v>
      </c>
      <c r="X10" s="17" t="s">
        <v>3148</v>
      </c>
      <c r="Y10" s="17" t="s">
        <v>3149</v>
      </c>
      <c r="Z10" s="17">
        <v>2</v>
      </c>
      <c r="AA10" s="17" t="s">
        <v>65</v>
      </c>
    </row>
    <row r="11" spans="1:27" x14ac:dyDescent="0.25">
      <c r="A11" t="s">
        <v>3134</v>
      </c>
      <c r="B11" s="17" t="s">
        <v>3135</v>
      </c>
      <c r="C11" s="17" t="s">
        <v>3184</v>
      </c>
      <c r="D11" s="17" t="s">
        <v>3185</v>
      </c>
      <c r="E11" s="17" t="s">
        <v>251</v>
      </c>
      <c r="F11" s="17" t="s">
        <v>3186</v>
      </c>
      <c r="G11" s="17">
        <v>12887</v>
      </c>
      <c r="H11" s="17">
        <v>0</v>
      </c>
      <c r="I11" s="17">
        <v>0.42</v>
      </c>
      <c r="J11" s="17">
        <v>0</v>
      </c>
      <c r="K11" s="17">
        <v>1</v>
      </c>
      <c r="L11" s="17" t="s">
        <v>3139</v>
      </c>
      <c r="M11" t="s">
        <v>3140</v>
      </c>
      <c r="N11" s="17" t="s">
        <v>3141</v>
      </c>
      <c r="O11" s="17" t="s">
        <v>3187</v>
      </c>
      <c r="P11" s="17" t="s">
        <v>3154</v>
      </c>
      <c r="Q11" s="17" t="s">
        <v>3143</v>
      </c>
      <c r="R11" s="17" t="s">
        <v>3144</v>
      </c>
      <c r="S11" s="17" t="s">
        <v>3145</v>
      </c>
      <c r="T11" s="17" t="s">
        <v>3155</v>
      </c>
      <c r="U11" s="17" t="s">
        <v>3146</v>
      </c>
      <c r="V11" s="17" t="s">
        <v>3147</v>
      </c>
      <c r="W11" s="17">
        <v>1206</v>
      </c>
      <c r="X11" s="17" t="s">
        <v>3148</v>
      </c>
      <c r="Y11" s="17" t="s">
        <v>3149</v>
      </c>
      <c r="Z11" s="17">
        <v>2</v>
      </c>
      <c r="AA11" s="17" t="s">
        <v>65</v>
      </c>
    </row>
    <row r="12" spans="1:27" x14ac:dyDescent="0.25">
      <c r="A12" t="s">
        <v>3134</v>
      </c>
      <c r="B12" s="17" t="s">
        <v>3135</v>
      </c>
      <c r="C12" s="17" t="s">
        <v>3188</v>
      </c>
      <c r="D12" s="17" t="s">
        <v>3189</v>
      </c>
      <c r="E12" s="17" t="s">
        <v>251</v>
      </c>
      <c r="F12" s="17" t="s">
        <v>3190</v>
      </c>
      <c r="G12" s="17">
        <v>76544</v>
      </c>
      <c r="H12" s="17">
        <v>0</v>
      </c>
      <c r="I12" s="17">
        <v>0.48</v>
      </c>
      <c r="J12" s="17">
        <v>0</v>
      </c>
      <c r="K12" s="17">
        <v>1</v>
      </c>
      <c r="L12" s="17" t="s">
        <v>3139</v>
      </c>
      <c r="M12" t="s">
        <v>3140</v>
      </c>
      <c r="N12" s="17" t="s">
        <v>3141</v>
      </c>
      <c r="O12" s="17" t="s">
        <v>3191</v>
      </c>
      <c r="P12" s="17" t="s">
        <v>3163</v>
      </c>
      <c r="Q12" s="17" t="s">
        <v>3143</v>
      </c>
      <c r="R12" s="17" t="s">
        <v>3144</v>
      </c>
      <c r="S12" s="17" t="s">
        <v>3145</v>
      </c>
      <c r="T12" s="17" t="s">
        <v>3164</v>
      </c>
      <c r="U12" s="17" t="s">
        <v>3146</v>
      </c>
      <c r="V12" s="17" t="s">
        <v>3147</v>
      </c>
      <c r="W12" s="17">
        <v>1206</v>
      </c>
      <c r="X12" s="17" t="s">
        <v>3148</v>
      </c>
      <c r="Y12" s="17" t="s">
        <v>3149</v>
      </c>
      <c r="Z12" s="17">
        <v>2</v>
      </c>
      <c r="AA12" s="17" t="s">
        <v>65</v>
      </c>
    </row>
    <row r="13" spans="1:27" x14ac:dyDescent="0.25">
      <c r="A13" t="s">
        <v>3134</v>
      </c>
      <c r="B13" s="17" t="s">
        <v>3135</v>
      </c>
      <c r="C13" s="17" t="s">
        <v>3192</v>
      </c>
      <c r="D13" s="17" t="s">
        <v>3193</v>
      </c>
      <c r="E13" s="17" t="s">
        <v>251</v>
      </c>
      <c r="F13" s="17" t="s">
        <v>3194</v>
      </c>
      <c r="G13" s="17">
        <v>50071</v>
      </c>
      <c r="H13" s="17">
        <v>0</v>
      </c>
      <c r="I13" s="17">
        <v>0.48</v>
      </c>
      <c r="J13" s="17">
        <v>0</v>
      </c>
      <c r="K13" s="17">
        <v>1</v>
      </c>
      <c r="L13" s="17" t="s">
        <v>3139</v>
      </c>
      <c r="M13" t="s">
        <v>3140</v>
      </c>
      <c r="N13" s="17" t="s">
        <v>3141</v>
      </c>
      <c r="O13" s="17" t="s">
        <v>3195</v>
      </c>
      <c r="P13" s="17" t="s">
        <v>3163</v>
      </c>
      <c r="Q13" s="17" t="s">
        <v>3143</v>
      </c>
      <c r="R13" s="17" t="s">
        <v>3144</v>
      </c>
      <c r="S13" s="17" t="s">
        <v>3145</v>
      </c>
      <c r="T13" s="17" t="s">
        <v>3164</v>
      </c>
      <c r="U13" s="17" t="s">
        <v>3146</v>
      </c>
      <c r="V13" s="17" t="s">
        <v>3147</v>
      </c>
      <c r="W13" s="17">
        <v>1206</v>
      </c>
      <c r="X13" s="17" t="s">
        <v>3148</v>
      </c>
      <c r="Y13" s="17" t="s">
        <v>3149</v>
      </c>
      <c r="Z13" s="17">
        <v>2</v>
      </c>
      <c r="AA13" s="17" t="s">
        <v>65</v>
      </c>
    </row>
    <row r="14" spans="1:27" x14ac:dyDescent="0.25">
      <c r="A14" t="s">
        <v>3134</v>
      </c>
      <c r="B14" s="17" t="s">
        <v>3135</v>
      </c>
      <c r="C14" s="17" t="s">
        <v>3196</v>
      </c>
      <c r="D14" s="17" t="s">
        <v>3197</v>
      </c>
      <c r="E14" s="17" t="s">
        <v>251</v>
      </c>
      <c r="F14" s="17" t="s">
        <v>3198</v>
      </c>
      <c r="G14" s="17">
        <v>36107</v>
      </c>
      <c r="H14" s="17">
        <v>0</v>
      </c>
      <c r="I14" s="17">
        <v>0.48</v>
      </c>
      <c r="J14" s="17">
        <v>0</v>
      </c>
      <c r="K14" s="17">
        <v>1</v>
      </c>
      <c r="L14" s="17" t="s">
        <v>3139</v>
      </c>
      <c r="M14" t="s">
        <v>3140</v>
      </c>
      <c r="N14" s="17" t="s">
        <v>3141</v>
      </c>
      <c r="O14" s="17" t="s">
        <v>3179</v>
      </c>
      <c r="P14" s="17" t="s">
        <v>3163</v>
      </c>
      <c r="Q14" s="17" t="s">
        <v>3143</v>
      </c>
      <c r="R14" s="17" t="s">
        <v>3144</v>
      </c>
      <c r="S14" s="17" t="s">
        <v>3145</v>
      </c>
      <c r="T14" s="17" t="s">
        <v>3164</v>
      </c>
      <c r="U14" s="17" t="s">
        <v>3146</v>
      </c>
      <c r="V14" s="17" t="s">
        <v>3147</v>
      </c>
      <c r="W14" s="17">
        <v>1206</v>
      </c>
      <c r="X14" s="17" t="s">
        <v>3148</v>
      </c>
      <c r="Y14" s="17" t="s">
        <v>3149</v>
      </c>
      <c r="Z14" s="17">
        <v>2</v>
      </c>
      <c r="AA14" s="17" t="s">
        <v>65</v>
      </c>
    </row>
    <row r="15" spans="1:27" x14ac:dyDescent="0.25">
      <c r="A15" t="s">
        <v>3134</v>
      </c>
      <c r="B15" s="17" t="s">
        <v>3135</v>
      </c>
      <c r="C15" s="17" t="s">
        <v>3199</v>
      </c>
      <c r="D15" s="17" t="s">
        <v>3200</v>
      </c>
      <c r="E15" s="17" t="s">
        <v>251</v>
      </c>
      <c r="F15" s="17" t="s">
        <v>3201</v>
      </c>
      <c r="G15" s="17">
        <v>39495</v>
      </c>
      <c r="H15" s="17">
        <v>0</v>
      </c>
      <c r="I15" s="17">
        <v>0.48</v>
      </c>
      <c r="J15" s="17">
        <v>0</v>
      </c>
      <c r="K15" s="17">
        <v>1</v>
      </c>
      <c r="L15" s="17" t="s">
        <v>3139</v>
      </c>
      <c r="M15" t="s">
        <v>3140</v>
      </c>
      <c r="N15" s="17" t="s">
        <v>3141</v>
      </c>
      <c r="O15" s="17" t="s">
        <v>3202</v>
      </c>
      <c r="P15" s="17" t="s">
        <v>3163</v>
      </c>
      <c r="Q15" s="17" t="s">
        <v>3143</v>
      </c>
      <c r="R15" s="17" t="s">
        <v>3144</v>
      </c>
      <c r="S15" s="17" t="s">
        <v>3145</v>
      </c>
      <c r="T15" s="17" t="s">
        <v>3164</v>
      </c>
      <c r="U15" s="17" t="s">
        <v>3146</v>
      </c>
      <c r="V15" s="17" t="s">
        <v>3147</v>
      </c>
      <c r="W15" s="17">
        <v>1206</v>
      </c>
      <c r="X15" s="17" t="s">
        <v>3148</v>
      </c>
      <c r="Y15" s="17" t="s">
        <v>3149</v>
      </c>
      <c r="Z15" s="17">
        <v>2</v>
      </c>
      <c r="AA15" s="17" t="s">
        <v>65</v>
      </c>
    </row>
    <row r="16" spans="1:27" x14ac:dyDescent="0.25">
      <c r="A16" t="s">
        <v>3134</v>
      </c>
      <c r="B16" s="17" t="s">
        <v>3135</v>
      </c>
      <c r="C16" s="17" t="s">
        <v>3203</v>
      </c>
      <c r="D16" s="17" t="s">
        <v>3204</v>
      </c>
      <c r="E16" s="17" t="s">
        <v>251</v>
      </c>
      <c r="F16" s="17" t="s">
        <v>3205</v>
      </c>
      <c r="G16" s="17">
        <v>36455</v>
      </c>
      <c r="H16" s="17">
        <v>0</v>
      </c>
      <c r="I16" s="17">
        <v>0.48</v>
      </c>
      <c r="J16" s="17">
        <v>0</v>
      </c>
      <c r="K16" s="17">
        <v>1</v>
      </c>
      <c r="L16" s="17" t="s">
        <v>3139</v>
      </c>
      <c r="M16" t="s">
        <v>3140</v>
      </c>
      <c r="N16" s="17" t="s">
        <v>3141</v>
      </c>
      <c r="O16" s="17" t="s">
        <v>3206</v>
      </c>
      <c r="P16" s="17" t="s">
        <v>3163</v>
      </c>
      <c r="Q16" s="17" t="s">
        <v>3143</v>
      </c>
      <c r="R16" s="17" t="s">
        <v>3144</v>
      </c>
      <c r="S16" s="17" t="s">
        <v>3145</v>
      </c>
      <c r="T16" s="17" t="s">
        <v>3164</v>
      </c>
      <c r="U16" s="17" t="s">
        <v>3146</v>
      </c>
      <c r="V16" s="17" t="s">
        <v>3147</v>
      </c>
      <c r="W16" s="17">
        <v>1206</v>
      </c>
      <c r="X16" s="17" t="s">
        <v>3148</v>
      </c>
      <c r="Y16" s="17" t="s">
        <v>3149</v>
      </c>
      <c r="Z16" s="17">
        <v>2</v>
      </c>
      <c r="AA16" s="17" t="s">
        <v>65</v>
      </c>
    </row>
    <row r="17" spans="1:27" x14ac:dyDescent="0.25">
      <c r="A17" t="s">
        <v>3134</v>
      </c>
      <c r="B17" s="17" t="s">
        <v>3135</v>
      </c>
      <c r="C17" s="17" t="s">
        <v>3207</v>
      </c>
      <c r="D17" s="17" t="s">
        <v>3208</v>
      </c>
      <c r="E17" s="17" t="s">
        <v>251</v>
      </c>
      <c r="F17" s="17" t="s">
        <v>3209</v>
      </c>
      <c r="G17" s="17">
        <v>34694</v>
      </c>
      <c r="H17" s="17">
        <v>0</v>
      </c>
      <c r="I17" s="17">
        <v>0.48</v>
      </c>
      <c r="J17" s="17">
        <v>0</v>
      </c>
      <c r="K17" s="17">
        <v>1</v>
      </c>
      <c r="L17" s="17" t="s">
        <v>3139</v>
      </c>
      <c r="M17" t="s">
        <v>3140</v>
      </c>
      <c r="N17" s="17" t="s">
        <v>3141</v>
      </c>
      <c r="O17" s="17" t="s">
        <v>3210</v>
      </c>
      <c r="P17" s="17" t="s">
        <v>3163</v>
      </c>
      <c r="Q17" s="17" t="s">
        <v>3143</v>
      </c>
      <c r="R17" s="17" t="s">
        <v>3144</v>
      </c>
      <c r="S17" s="17" t="s">
        <v>3145</v>
      </c>
      <c r="T17" s="17" t="s">
        <v>3164</v>
      </c>
      <c r="U17" s="17" t="s">
        <v>3146</v>
      </c>
      <c r="V17" s="17" t="s">
        <v>3147</v>
      </c>
      <c r="W17" s="17">
        <v>1206</v>
      </c>
      <c r="X17" s="17" t="s">
        <v>3148</v>
      </c>
      <c r="Y17" s="17" t="s">
        <v>3149</v>
      </c>
      <c r="Z17" s="17">
        <v>2</v>
      </c>
      <c r="AA17" s="17" t="s">
        <v>65</v>
      </c>
    </row>
    <row r="18" spans="1:27" x14ac:dyDescent="0.25">
      <c r="A18" t="s">
        <v>3134</v>
      </c>
      <c r="B18" s="17" t="s">
        <v>3135</v>
      </c>
      <c r="C18" s="17" t="s">
        <v>3211</v>
      </c>
      <c r="D18" s="17" t="s">
        <v>3212</v>
      </c>
      <c r="E18" s="17" t="s">
        <v>251</v>
      </c>
      <c r="F18" s="17" t="s">
        <v>3213</v>
      </c>
      <c r="G18" s="17">
        <v>29434</v>
      </c>
      <c r="H18" s="17">
        <v>0</v>
      </c>
      <c r="I18" s="17">
        <v>0.48</v>
      </c>
      <c r="J18" s="17">
        <v>0</v>
      </c>
      <c r="K18" s="17">
        <v>1</v>
      </c>
      <c r="L18" s="17" t="s">
        <v>3139</v>
      </c>
      <c r="M18" t="s">
        <v>3140</v>
      </c>
      <c r="N18" s="17" t="s">
        <v>3141</v>
      </c>
      <c r="O18" s="17" t="s">
        <v>3214</v>
      </c>
      <c r="P18" s="17" t="s">
        <v>3163</v>
      </c>
      <c r="Q18" s="17" t="s">
        <v>3143</v>
      </c>
      <c r="R18" s="17" t="s">
        <v>3144</v>
      </c>
      <c r="S18" s="17" t="s">
        <v>3145</v>
      </c>
      <c r="T18" s="17" t="s">
        <v>3164</v>
      </c>
      <c r="U18" s="17" t="s">
        <v>3146</v>
      </c>
      <c r="V18" s="17" t="s">
        <v>3147</v>
      </c>
      <c r="W18" s="17">
        <v>1206</v>
      </c>
      <c r="X18" s="17" t="s">
        <v>3148</v>
      </c>
      <c r="Y18" s="17" t="s">
        <v>3149</v>
      </c>
      <c r="Z18" s="17">
        <v>2</v>
      </c>
      <c r="AA18" s="17" t="s">
        <v>65</v>
      </c>
    </row>
    <row r="19" spans="1:27" x14ac:dyDescent="0.25">
      <c r="A19" t="s">
        <v>3134</v>
      </c>
      <c r="B19" s="17" t="s">
        <v>3135</v>
      </c>
      <c r="C19" s="17" t="s">
        <v>3215</v>
      </c>
      <c r="D19" s="17" t="s">
        <v>3216</v>
      </c>
      <c r="E19" s="17" t="s">
        <v>251</v>
      </c>
      <c r="F19" s="17" t="s">
        <v>3217</v>
      </c>
      <c r="G19" s="17">
        <v>25157</v>
      </c>
      <c r="H19" s="17">
        <v>0</v>
      </c>
      <c r="I19" s="17">
        <v>0.48</v>
      </c>
      <c r="J19" s="17">
        <v>0</v>
      </c>
      <c r="K19" s="17">
        <v>1</v>
      </c>
      <c r="L19" s="17" t="s">
        <v>3139</v>
      </c>
      <c r="M19" t="s">
        <v>3140</v>
      </c>
      <c r="N19" s="17" t="s">
        <v>3141</v>
      </c>
      <c r="O19" s="17" t="s">
        <v>3218</v>
      </c>
      <c r="P19" s="17" t="s">
        <v>3163</v>
      </c>
      <c r="Q19" s="17" t="s">
        <v>3143</v>
      </c>
      <c r="R19" s="17" t="s">
        <v>3144</v>
      </c>
      <c r="S19" s="17" t="s">
        <v>3145</v>
      </c>
      <c r="T19" s="17" t="s">
        <v>3164</v>
      </c>
      <c r="U19" s="17" t="s">
        <v>3146</v>
      </c>
      <c r="V19" s="17" t="s">
        <v>3147</v>
      </c>
      <c r="W19" s="17">
        <v>1206</v>
      </c>
      <c r="X19" s="17" t="s">
        <v>3148</v>
      </c>
      <c r="Y19" s="17" t="s">
        <v>3149</v>
      </c>
      <c r="Z19" s="17">
        <v>2</v>
      </c>
      <c r="AA19" s="17" t="s">
        <v>65</v>
      </c>
    </row>
    <row r="20" spans="1:27" x14ac:dyDescent="0.25">
      <c r="A20" t="s">
        <v>3134</v>
      </c>
      <c r="B20" s="17" t="s">
        <v>3135</v>
      </c>
      <c r="C20" s="17" t="s">
        <v>3219</v>
      </c>
      <c r="D20" s="17" t="s">
        <v>3220</v>
      </c>
      <c r="E20" s="17" t="s">
        <v>251</v>
      </c>
      <c r="F20" s="17" t="s">
        <v>3221</v>
      </c>
      <c r="G20" s="17">
        <v>17205</v>
      </c>
      <c r="H20" s="17">
        <v>0</v>
      </c>
      <c r="I20" s="17">
        <v>0.48</v>
      </c>
      <c r="J20" s="17">
        <v>0</v>
      </c>
      <c r="K20" s="17">
        <v>1</v>
      </c>
      <c r="L20" s="17" t="s">
        <v>3139</v>
      </c>
      <c r="M20" t="s">
        <v>3140</v>
      </c>
      <c r="N20" s="17" t="s">
        <v>3141</v>
      </c>
      <c r="O20" s="17" t="s">
        <v>3222</v>
      </c>
      <c r="P20" s="17" t="s">
        <v>3163</v>
      </c>
      <c r="Q20" s="17" t="s">
        <v>3143</v>
      </c>
      <c r="R20" s="17" t="s">
        <v>3144</v>
      </c>
      <c r="S20" s="17" t="s">
        <v>3145</v>
      </c>
      <c r="T20" s="17" t="s">
        <v>3164</v>
      </c>
      <c r="U20" s="17" t="s">
        <v>3146</v>
      </c>
      <c r="V20" s="17" t="s">
        <v>3147</v>
      </c>
      <c r="W20" s="17">
        <v>1206</v>
      </c>
      <c r="X20" s="17" t="s">
        <v>3148</v>
      </c>
      <c r="Y20" s="17" t="s">
        <v>3149</v>
      </c>
      <c r="Z20" s="17">
        <v>2</v>
      </c>
      <c r="AA20" s="17" t="s">
        <v>65</v>
      </c>
    </row>
    <row r="21" spans="1:27" x14ac:dyDescent="0.25">
      <c r="A21" t="s">
        <v>3134</v>
      </c>
      <c r="B21" s="17" t="s">
        <v>3135</v>
      </c>
      <c r="C21" s="17" t="s">
        <v>3223</v>
      </c>
      <c r="D21" s="17" t="s">
        <v>3224</v>
      </c>
      <c r="E21" s="17" t="s">
        <v>251</v>
      </c>
      <c r="F21" s="17" t="s">
        <v>3225</v>
      </c>
      <c r="G21" s="17">
        <v>11041</v>
      </c>
      <c r="H21" s="17">
        <v>0</v>
      </c>
      <c r="I21" s="17">
        <v>0.48</v>
      </c>
      <c r="J21" s="17">
        <v>0</v>
      </c>
      <c r="K21" s="17">
        <v>1</v>
      </c>
      <c r="L21" s="17" t="s">
        <v>3139</v>
      </c>
      <c r="M21" t="s">
        <v>3140</v>
      </c>
      <c r="N21" s="17" t="s">
        <v>3141</v>
      </c>
      <c r="O21" s="17" t="s">
        <v>3226</v>
      </c>
      <c r="P21" s="17" t="s">
        <v>3163</v>
      </c>
      <c r="Q21" s="17" t="s">
        <v>3143</v>
      </c>
      <c r="R21" s="17" t="s">
        <v>3144</v>
      </c>
      <c r="S21" s="17" t="s">
        <v>3145</v>
      </c>
      <c r="T21" s="17" t="s">
        <v>3164</v>
      </c>
      <c r="U21" s="17" t="s">
        <v>3146</v>
      </c>
      <c r="V21" s="17" t="s">
        <v>3147</v>
      </c>
      <c r="W21" s="17">
        <v>1206</v>
      </c>
      <c r="X21" s="17" t="s">
        <v>3148</v>
      </c>
      <c r="Y21" s="17" t="s">
        <v>3149</v>
      </c>
      <c r="Z21" s="17">
        <v>2</v>
      </c>
      <c r="AA21" s="17" t="s">
        <v>65</v>
      </c>
    </row>
    <row r="22" spans="1:27" x14ac:dyDescent="0.25">
      <c r="A22" t="s">
        <v>3134</v>
      </c>
      <c r="B22" s="17" t="s">
        <v>3135</v>
      </c>
      <c r="C22" s="17" t="s">
        <v>3227</v>
      </c>
      <c r="D22" s="17" t="s">
        <v>3228</v>
      </c>
      <c r="E22" s="17" t="s">
        <v>251</v>
      </c>
      <c r="F22" s="17" t="s">
        <v>3229</v>
      </c>
      <c r="G22" s="17">
        <v>9925</v>
      </c>
      <c r="H22" s="17">
        <v>0</v>
      </c>
      <c r="I22" s="17">
        <v>0.48</v>
      </c>
      <c r="J22" s="17">
        <v>0</v>
      </c>
      <c r="K22" s="17">
        <v>1</v>
      </c>
      <c r="L22" s="17" t="s">
        <v>3139</v>
      </c>
      <c r="M22" t="s">
        <v>3140</v>
      </c>
      <c r="N22" s="17" t="s">
        <v>3141</v>
      </c>
      <c r="O22" s="17" t="s">
        <v>3230</v>
      </c>
      <c r="P22" s="17" t="s">
        <v>3163</v>
      </c>
      <c r="Q22" s="17" t="s">
        <v>3143</v>
      </c>
      <c r="R22" s="17" t="s">
        <v>3144</v>
      </c>
      <c r="S22" s="17" t="s">
        <v>3145</v>
      </c>
      <c r="T22" s="17" t="s">
        <v>3164</v>
      </c>
      <c r="U22" s="17" t="s">
        <v>3146</v>
      </c>
      <c r="V22" s="17" t="s">
        <v>3147</v>
      </c>
      <c r="W22" s="17">
        <v>1206</v>
      </c>
      <c r="X22" s="17" t="s">
        <v>3148</v>
      </c>
      <c r="Y22" s="17" t="s">
        <v>3149</v>
      </c>
      <c r="Z22" s="17">
        <v>2</v>
      </c>
      <c r="AA22" s="17" t="s">
        <v>65</v>
      </c>
    </row>
    <row r="23" spans="1:27" x14ac:dyDescent="0.25">
      <c r="A23" t="s">
        <v>3134</v>
      </c>
      <c r="B23" s="17" t="s">
        <v>3135</v>
      </c>
      <c r="C23" s="17" t="s">
        <v>3231</v>
      </c>
      <c r="D23" s="17" t="s">
        <v>3232</v>
      </c>
      <c r="E23" s="17" t="s">
        <v>251</v>
      </c>
      <c r="F23" s="17" t="s">
        <v>3233</v>
      </c>
      <c r="G23" s="17">
        <v>5410</v>
      </c>
      <c r="H23" s="17">
        <v>0</v>
      </c>
      <c r="I23" s="17">
        <v>0.48</v>
      </c>
      <c r="J23" s="17">
        <v>0</v>
      </c>
      <c r="K23" s="17">
        <v>1</v>
      </c>
      <c r="L23" s="17" t="s">
        <v>3139</v>
      </c>
      <c r="M23" t="s">
        <v>3140</v>
      </c>
      <c r="N23" s="17" t="s">
        <v>3141</v>
      </c>
      <c r="O23" s="17" t="s">
        <v>3234</v>
      </c>
      <c r="P23" s="17" t="s">
        <v>3163</v>
      </c>
      <c r="Q23" s="17" t="s">
        <v>3143</v>
      </c>
      <c r="R23" s="17" t="s">
        <v>3144</v>
      </c>
      <c r="S23" s="17" t="s">
        <v>3145</v>
      </c>
      <c r="T23" s="17" t="s">
        <v>3164</v>
      </c>
      <c r="U23" s="17" t="s">
        <v>3146</v>
      </c>
      <c r="V23" s="17" t="s">
        <v>3147</v>
      </c>
      <c r="W23" s="17">
        <v>1206</v>
      </c>
      <c r="X23" s="17" t="s">
        <v>3148</v>
      </c>
      <c r="Y23" s="17" t="s">
        <v>3149</v>
      </c>
      <c r="Z23" s="17">
        <v>2</v>
      </c>
      <c r="AA23" s="17" t="s">
        <v>65</v>
      </c>
    </row>
    <row r="24" spans="1:27" x14ac:dyDescent="0.25">
      <c r="A24" t="s">
        <v>3134</v>
      </c>
      <c r="B24" s="17" t="s">
        <v>3135</v>
      </c>
      <c r="C24" s="17" t="s">
        <v>3235</v>
      </c>
      <c r="D24" s="17" t="s">
        <v>3236</v>
      </c>
      <c r="E24" s="17" t="s">
        <v>251</v>
      </c>
      <c r="F24" s="17" t="s">
        <v>3237</v>
      </c>
      <c r="G24" s="17">
        <v>7816</v>
      </c>
      <c r="H24" s="17">
        <v>0</v>
      </c>
      <c r="I24" s="17">
        <v>0.48</v>
      </c>
      <c r="J24" s="17">
        <v>0</v>
      </c>
      <c r="K24" s="17">
        <v>1</v>
      </c>
      <c r="L24" s="17" t="s">
        <v>3139</v>
      </c>
      <c r="M24" t="s">
        <v>3140</v>
      </c>
      <c r="N24" s="17" t="s">
        <v>3141</v>
      </c>
      <c r="O24" s="17" t="s">
        <v>3175</v>
      </c>
      <c r="P24" s="17" t="s">
        <v>3163</v>
      </c>
      <c r="Q24" s="17" t="s">
        <v>3143</v>
      </c>
      <c r="R24" s="17" t="s">
        <v>3144</v>
      </c>
      <c r="S24" s="17" t="s">
        <v>3145</v>
      </c>
      <c r="T24" s="17" t="s">
        <v>3164</v>
      </c>
      <c r="U24" s="17" t="s">
        <v>3146</v>
      </c>
      <c r="V24" s="17" t="s">
        <v>3147</v>
      </c>
      <c r="W24" s="17">
        <v>1206</v>
      </c>
      <c r="X24" s="17" t="s">
        <v>3148</v>
      </c>
      <c r="Y24" s="17" t="s">
        <v>3149</v>
      </c>
      <c r="Z24" s="17">
        <v>2</v>
      </c>
      <c r="AA24" s="17" t="s">
        <v>65</v>
      </c>
    </row>
    <row r="25" spans="1:27" x14ac:dyDescent="0.25">
      <c r="A25" t="s">
        <v>3134</v>
      </c>
      <c r="B25" s="17" t="s">
        <v>3135</v>
      </c>
      <c r="C25" s="17" t="s">
        <v>3238</v>
      </c>
      <c r="D25" s="17" t="s">
        <v>3239</v>
      </c>
      <c r="E25" s="17" t="s">
        <v>251</v>
      </c>
      <c r="F25" s="17" t="s">
        <v>3240</v>
      </c>
      <c r="G25" s="17">
        <v>8504</v>
      </c>
      <c r="H25" s="17">
        <v>0</v>
      </c>
      <c r="I25" s="17">
        <v>0.48</v>
      </c>
      <c r="J25" s="17">
        <v>0</v>
      </c>
      <c r="K25" s="17">
        <v>1</v>
      </c>
      <c r="L25" s="17" t="s">
        <v>3139</v>
      </c>
      <c r="M25" t="s">
        <v>3140</v>
      </c>
      <c r="N25" s="17" t="s">
        <v>3141</v>
      </c>
      <c r="O25" s="17" t="s">
        <v>3241</v>
      </c>
      <c r="P25" s="17" t="s">
        <v>3163</v>
      </c>
      <c r="Q25" s="17" t="s">
        <v>3143</v>
      </c>
      <c r="R25" s="17" t="s">
        <v>3144</v>
      </c>
      <c r="S25" s="17" t="s">
        <v>3145</v>
      </c>
      <c r="T25" s="17" t="s">
        <v>3164</v>
      </c>
      <c r="U25" s="17" t="s">
        <v>3146</v>
      </c>
      <c r="V25" s="17" t="s">
        <v>3147</v>
      </c>
      <c r="W25" s="17">
        <v>1206</v>
      </c>
      <c r="X25" s="17" t="s">
        <v>3148</v>
      </c>
      <c r="Y25" s="17" t="s">
        <v>3149</v>
      </c>
      <c r="Z25" s="17">
        <v>2</v>
      </c>
      <c r="AA25" s="17" t="s">
        <v>65</v>
      </c>
    </row>
    <row r="26" spans="1:27" x14ac:dyDescent="0.25">
      <c r="A26" t="s">
        <v>3134</v>
      </c>
      <c r="B26" s="17" t="s">
        <v>3135</v>
      </c>
      <c r="C26" s="17" t="s">
        <v>3242</v>
      </c>
      <c r="D26" s="17" t="s">
        <v>3243</v>
      </c>
      <c r="E26" s="17" t="s">
        <v>251</v>
      </c>
      <c r="F26" s="17" t="s">
        <v>3244</v>
      </c>
      <c r="G26" s="17">
        <v>9010</v>
      </c>
      <c r="H26" s="17">
        <v>0</v>
      </c>
      <c r="I26" s="17">
        <v>0.48</v>
      </c>
      <c r="J26" s="17">
        <v>0</v>
      </c>
      <c r="K26" s="17">
        <v>1</v>
      </c>
      <c r="L26" s="17" t="s">
        <v>3139</v>
      </c>
      <c r="M26" t="s">
        <v>3140</v>
      </c>
      <c r="N26" s="17" t="s">
        <v>3141</v>
      </c>
      <c r="O26" s="17" t="s">
        <v>3245</v>
      </c>
      <c r="P26" s="17" t="s">
        <v>3163</v>
      </c>
      <c r="Q26" s="17" t="s">
        <v>3143</v>
      </c>
      <c r="R26" s="17" t="s">
        <v>3144</v>
      </c>
      <c r="S26" s="17" t="s">
        <v>3145</v>
      </c>
      <c r="T26" s="17" t="s">
        <v>3164</v>
      </c>
      <c r="U26" s="17" t="s">
        <v>3146</v>
      </c>
      <c r="V26" s="17" t="s">
        <v>3147</v>
      </c>
      <c r="W26" s="17">
        <v>1206</v>
      </c>
      <c r="X26" s="17" t="s">
        <v>3148</v>
      </c>
      <c r="Y26" s="17" t="s">
        <v>3149</v>
      </c>
      <c r="Z26" s="17">
        <v>2</v>
      </c>
      <c r="AA26" s="17" t="s">
        <v>65</v>
      </c>
    </row>
    <row r="27" spans="1:27" x14ac:dyDescent="0.25">
      <c r="A27" t="s">
        <v>3134</v>
      </c>
      <c r="B27" s="17" t="s">
        <v>3135</v>
      </c>
      <c r="C27" s="17" t="s">
        <v>3246</v>
      </c>
      <c r="D27" s="17" t="s">
        <v>3247</v>
      </c>
      <c r="E27" s="17" t="s">
        <v>251</v>
      </c>
      <c r="F27" s="17" t="s">
        <v>3248</v>
      </c>
      <c r="G27" s="17">
        <v>9325</v>
      </c>
      <c r="H27" s="17">
        <v>0</v>
      </c>
      <c r="I27" s="17">
        <v>0.48</v>
      </c>
      <c r="J27" s="17">
        <v>0</v>
      </c>
      <c r="K27" s="17">
        <v>1</v>
      </c>
      <c r="L27" s="17" t="s">
        <v>3139</v>
      </c>
      <c r="M27" t="s">
        <v>3140</v>
      </c>
      <c r="N27" s="17" t="s">
        <v>3141</v>
      </c>
      <c r="O27" s="17" t="s">
        <v>3249</v>
      </c>
      <c r="P27" s="17" t="s">
        <v>3163</v>
      </c>
      <c r="Q27" s="17" t="s">
        <v>3143</v>
      </c>
      <c r="R27" s="17" t="s">
        <v>3144</v>
      </c>
      <c r="S27" s="17" t="s">
        <v>3145</v>
      </c>
      <c r="T27" s="17" t="s">
        <v>3164</v>
      </c>
      <c r="U27" s="17" t="s">
        <v>3146</v>
      </c>
      <c r="V27" s="17" t="s">
        <v>3147</v>
      </c>
      <c r="W27" s="17">
        <v>1206</v>
      </c>
      <c r="X27" s="17" t="s">
        <v>3148</v>
      </c>
      <c r="Y27" s="17" t="s">
        <v>3149</v>
      </c>
      <c r="Z27" s="17">
        <v>2</v>
      </c>
      <c r="AA27" s="17" t="s">
        <v>65</v>
      </c>
    </row>
    <row r="28" spans="1:27" x14ac:dyDescent="0.25">
      <c r="A28" t="s">
        <v>3134</v>
      </c>
      <c r="B28" s="17" t="s">
        <v>3135</v>
      </c>
      <c r="C28" s="17" t="s">
        <v>3250</v>
      </c>
      <c r="D28" s="17" t="s">
        <v>3251</v>
      </c>
      <c r="E28" s="17" t="s">
        <v>251</v>
      </c>
      <c r="F28" s="17" t="s">
        <v>3252</v>
      </c>
      <c r="G28" s="17">
        <v>25956</v>
      </c>
      <c r="H28" s="17">
        <v>0</v>
      </c>
      <c r="I28" s="17">
        <v>0.44</v>
      </c>
      <c r="J28" s="17">
        <v>0</v>
      </c>
      <c r="K28" s="17">
        <v>1</v>
      </c>
      <c r="L28" s="17" t="s">
        <v>3139</v>
      </c>
      <c r="M28" t="s">
        <v>3140</v>
      </c>
      <c r="N28" s="17" t="s">
        <v>3141</v>
      </c>
      <c r="O28" s="17" t="s">
        <v>3253</v>
      </c>
      <c r="P28" s="17" t="s">
        <v>3154</v>
      </c>
      <c r="Q28" s="17" t="s">
        <v>3143</v>
      </c>
      <c r="R28" s="17" t="s">
        <v>3144</v>
      </c>
      <c r="S28" s="17" t="s">
        <v>3145</v>
      </c>
      <c r="T28" s="17" t="s">
        <v>3155</v>
      </c>
      <c r="U28" s="17" t="s">
        <v>3146</v>
      </c>
      <c r="V28" s="17" t="s">
        <v>3147</v>
      </c>
      <c r="W28" s="17">
        <v>1206</v>
      </c>
      <c r="X28" s="17" t="s">
        <v>3148</v>
      </c>
      <c r="Y28" s="17" t="s">
        <v>3149</v>
      </c>
      <c r="Z28" s="17">
        <v>2</v>
      </c>
      <c r="AA28" s="17" t="s">
        <v>65</v>
      </c>
    </row>
    <row r="29" spans="1:27" x14ac:dyDescent="0.25">
      <c r="A29" t="s">
        <v>3134</v>
      </c>
      <c r="B29" s="17" t="s">
        <v>3135</v>
      </c>
      <c r="C29" s="17" t="s">
        <v>3254</v>
      </c>
      <c r="D29" s="17" t="s">
        <v>3255</v>
      </c>
      <c r="E29" s="17" t="s">
        <v>251</v>
      </c>
      <c r="F29" s="17" t="s">
        <v>3256</v>
      </c>
      <c r="G29" s="17">
        <v>7343</v>
      </c>
      <c r="H29" s="17">
        <v>0</v>
      </c>
      <c r="I29" s="17">
        <v>0.44</v>
      </c>
      <c r="J29" s="17">
        <v>0</v>
      </c>
      <c r="K29" s="17">
        <v>1</v>
      </c>
      <c r="L29" s="17" t="s">
        <v>3139</v>
      </c>
      <c r="M29" t="s">
        <v>3140</v>
      </c>
      <c r="N29" s="17" t="s">
        <v>3141</v>
      </c>
      <c r="O29" s="17" t="s">
        <v>3257</v>
      </c>
      <c r="P29" s="17" t="s">
        <v>3154</v>
      </c>
      <c r="Q29" s="17" t="s">
        <v>3143</v>
      </c>
      <c r="R29" s="17" t="s">
        <v>3144</v>
      </c>
      <c r="S29" s="17" t="s">
        <v>3145</v>
      </c>
      <c r="T29" s="17" t="s">
        <v>3155</v>
      </c>
      <c r="U29" s="17" t="s">
        <v>3146</v>
      </c>
      <c r="V29" s="17" t="s">
        <v>3147</v>
      </c>
      <c r="W29" s="17">
        <v>1206</v>
      </c>
      <c r="X29" s="17" t="s">
        <v>3148</v>
      </c>
      <c r="Y29" s="17" t="s">
        <v>3149</v>
      </c>
      <c r="Z29" s="17">
        <v>2</v>
      </c>
      <c r="AA29" s="17" t="s">
        <v>65</v>
      </c>
    </row>
    <row r="30" spans="1:27" x14ac:dyDescent="0.25">
      <c r="A30" t="s">
        <v>3134</v>
      </c>
      <c r="B30" s="17" t="s">
        <v>3135</v>
      </c>
      <c r="C30" s="17" t="s">
        <v>3258</v>
      </c>
      <c r="D30" s="17" t="s">
        <v>3259</v>
      </c>
      <c r="E30" s="17" t="s">
        <v>251</v>
      </c>
      <c r="F30" s="17" t="s">
        <v>3260</v>
      </c>
      <c r="G30" s="17">
        <v>69227</v>
      </c>
      <c r="H30" s="17">
        <v>0</v>
      </c>
      <c r="I30" s="17">
        <v>0.47</v>
      </c>
      <c r="J30" s="17">
        <v>0</v>
      </c>
      <c r="K30" s="17">
        <v>1</v>
      </c>
      <c r="L30" s="17" t="s">
        <v>3139</v>
      </c>
      <c r="M30" t="s">
        <v>3140</v>
      </c>
      <c r="N30" s="17" t="s">
        <v>3141</v>
      </c>
      <c r="O30" s="17" t="s">
        <v>3253</v>
      </c>
      <c r="P30" s="17" t="s">
        <v>3163</v>
      </c>
      <c r="Q30" s="17" t="s">
        <v>3143</v>
      </c>
      <c r="R30" s="17" t="s">
        <v>3144</v>
      </c>
      <c r="S30" s="17" t="s">
        <v>3145</v>
      </c>
      <c r="T30" s="17" t="s">
        <v>3164</v>
      </c>
      <c r="U30" s="17" t="s">
        <v>3146</v>
      </c>
      <c r="V30" s="17" t="s">
        <v>3147</v>
      </c>
      <c r="W30" s="17">
        <v>1206</v>
      </c>
      <c r="X30" s="17" t="s">
        <v>3148</v>
      </c>
      <c r="Y30" s="17" t="s">
        <v>3149</v>
      </c>
      <c r="Z30" s="17">
        <v>2</v>
      </c>
      <c r="AA30" s="17" t="s">
        <v>65</v>
      </c>
    </row>
    <row r="31" spans="1:27" x14ac:dyDescent="0.25">
      <c r="A31" t="s">
        <v>3134</v>
      </c>
      <c r="B31" s="17" t="s">
        <v>3135</v>
      </c>
      <c r="C31" s="17" t="s">
        <v>3261</v>
      </c>
      <c r="D31" s="17" t="s">
        <v>3262</v>
      </c>
      <c r="E31" s="17" t="s">
        <v>251</v>
      </c>
      <c r="F31" s="17" t="s">
        <v>3263</v>
      </c>
      <c r="G31" s="17">
        <v>22247</v>
      </c>
      <c r="H31" s="17">
        <v>0</v>
      </c>
      <c r="I31" s="17">
        <v>0.47</v>
      </c>
      <c r="J31" s="17">
        <v>0</v>
      </c>
      <c r="K31" s="17">
        <v>1</v>
      </c>
      <c r="L31" s="17" t="s">
        <v>3139</v>
      </c>
      <c r="M31" t="s">
        <v>3140</v>
      </c>
      <c r="N31" s="17" t="s">
        <v>3141</v>
      </c>
      <c r="O31" s="17" t="s">
        <v>3264</v>
      </c>
      <c r="P31" s="17" t="s">
        <v>3163</v>
      </c>
      <c r="Q31" s="17" t="s">
        <v>3143</v>
      </c>
      <c r="R31" s="17" t="s">
        <v>3144</v>
      </c>
      <c r="S31" s="17" t="s">
        <v>3145</v>
      </c>
      <c r="T31" s="17" t="s">
        <v>3164</v>
      </c>
      <c r="U31" s="17" t="s">
        <v>3146</v>
      </c>
      <c r="V31" s="17" t="s">
        <v>3147</v>
      </c>
      <c r="W31" s="17">
        <v>1206</v>
      </c>
      <c r="X31" s="17" t="s">
        <v>3148</v>
      </c>
      <c r="Y31" s="17" t="s">
        <v>3149</v>
      </c>
      <c r="Z31" s="17">
        <v>2</v>
      </c>
      <c r="AA31" s="17" t="s">
        <v>65</v>
      </c>
    </row>
    <row r="32" spans="1:27" x14ac:dyDescent="0.25">
      <c r="A32" t="s">
        <v>3134</v>
      </c>
      <c r="B32" s="17" t="s">
        <v>3135</v>
      </c>
      <c r="C32" s="17" t="s">
        <v>3265</v>
      </c>
      <c r="D32" s="17" t="s">
        <v>3266</v>
      </c>
      <c r="E32" s="17" t="s">
        <v>251</v>
      </c>
      <c r="F32" s="17" t="s">
        <v>3267</v>
      </c>
      <c r="G32" s="17">
        <v>17502</v>
      </c>
      <c r="H32" s="17">
        <v>0</v>
      </c>
      <c r="I32" s="17">
        <v>0.47</v>
      </c>
      <c r="J32" s="17">
        <v>0</v>
      </c>
      <c r="K32" s="17">
        <v>1</v>
      </c>
      <c r="L32" s="17" t="s">
        <v>3139</v>
      </c>
      <c r="M32" t="s">
        <v>3140</v>
      </c>
      <c r="N32" s="17" t="s">
        <v>3141</v>
      </c>
      <c r="O32" s="17" t="s">
        <v>3268</v>
      </c>
      <c r="P32" s="17" t="s">
        <v>3163</v>
      </c>
      <c r="Q32" s="17" t="s">
        <v>3143</v>
      </c>
      <c r="R32" s="17" t="s">
        <v>3144</v>
      </c>
      <c r="S32" s="17" t="s">
        <v>3145</v>
      </c>
      <c r="T32" s="17" t="s">
        <v>3164</v>
      </c>
      <c r="U32" s="17" t="s">
        <v>3146</v>
      </c>
      <c r="V32" s="17" t="s">
        <v>3147</v>
      </c>
      <c r="W32" s="17">
        <v>1206</v>
      </c>
      <c r="X32" s="17" t="s">
        <v>3148</v>
      </c>
      <c r="Y32" s="17" t="s">
        <v>3149</v>
      </c>
      <c r="Z32" s="17">
        <v>2</v>
      </c>
      <c r="AA32" s="17" t="s">
        <v>65</v>
      </c>
    </row>
    <row r="33" spans="1:27" x14ac:dyDescent="0.25">
      <c r="A33" t="s">
        <v>3134</v>
      </c>
      <c r="B33" s="17" t="s">
        <v>3135</v>
      </c>
      <c r="C33" s="17" t="s">
        <v>3269</v>
      </c>
      <c r="D33" s="17" t="s">
        <v>3270</v>
      </c>
      <c r="E33" s="17" t="s">
        <v>251</v>
      </c>
      <c r="F33" s="17" t="s">
        <v>3271</v>
      </c>
      <c r="G33" s="17">
        <v>16274</v>
      </c>
      <c r="H33" s="17">
        <v>0</v>
      </c>
      <c r="I33" s="17">
        <v>0.47</v>
      </c>
      <c r="J33" s="17">
        <v>0</v>
      </c>
      <c r="K33" s="17">
        <v>1</v>
      </c>
      <c r="L33" s="17" t="s">
        <v>3139</v>
      </c>
      <c r="M33" t="s">
        <v>3140</v>
      </c>
      <c r="N33" s="17" t="s">
        <v>3141</v>
      </c>
      <c r="O33" s="17" t="s">
        <v>3272</v>
      </c>
      <c r="P33" s="17" t="s">
        <v>3163</v>
      </c>
      <c r="Q33" s="17" t="s">
        <v>3143</v>
      </c>
      <c r="R33" s="17" t="s">
        <v>3144</v>
      </c>
      <c r="S33" s="17" t="s">
        <v>3145</v>
      </c>
      <c r="T33" s="17" t="s">
        <v>3164</v>
      </c>
      <c r="U33" s="17" t="s">
        <v>3146</v>
      </c>
      <c r="V33" s="17" t="s">
        <v>3147</v>
      </c>
      <c r="W33" s="17">
        <v>1206</v>
      </c>
      <c r="X33" s="17" t="s">
        <v>3148</v>
      </c>
      <c r="Y33" s="17" t="s">
        <v>3149</v>
      </c>
      <c r="Z33" s="17">
        <v>2</v>
      </c>
      <c r="AA33" s="17" t="s">
        <v>65</v>
      </c>
    </row>
    <row r="34" spans="1:27" x14ac:dyDescent="0.25">
      <c r="A34" t="s">
        <v>3134</v>
      </c>
      <c r="B34" s="17" t="s">
        <v>3135</v>
      </c>
      <c r="C34" s="17" t="s">
        <v>3273</v>
      </c>
      <c r="D34" s="17" t="s">
        <v>3274</v>
      </c>
      <c r="E34" s="17" t="s">
        <v>251</v>
      </c>
      <c r="F34" s="17" t="s">
        <v>3275</v>
      </c>
      <c r="G34" s="17">
        <v>18713</v>
      </c>
      <c r="H34" s="17">
        <v>0</v>
      </c>
      <c r="I34" s="17">
        <v>0.47</v>
      </c>
      <c r="J34" s="17">
        <v>0</v>
      </c>
      <c r="K34" s="17">
        <v>1</v>
      </c>
      <c r="L34" s="17" t="s">
        <v>3139</v>
      </c>
      <c r="M34" t="s">
        <v>3140</v>
      </c>
      <c r="N34" s="17" t="s">
        <v>3141</v>
      </c>
      <c r="O34" s="17" t="s">
        <v>3276</v>
      </c>
      <c r="P34" s="17" t="s">
        <v>3163</v>
      </c>
      <c r="Q34" s="17" t="s">
        <v>3143</v>
      </c>
      <c r="R34" s="17" t="s">
        <v>3144</v>
      </c>
      <c r="S34" s="17" t="s">
        <v>3145</v>
      </c>
      <c r="T34" s="17" t="s">
        <v>3164</v>
      </c>
      <c r="U34" s="17" t="s">
        <v>3146</v>
      </c>
      <c r="V34" s="17" t="s">
        <v>3147</v>
      </c>
      <c r="W34" s="17">
        <v>1206</v>
      </c>
      <c r="X34" s="17" t="s">
        <v>3148</v>
      </c>
      <c r="Y34" s="17" t="s">
        <v>3149</v>
      </c>
      <c r="Z34" s="17">
        <v>2</v>
      </c>
      <c r="AA34" s="17" t="s">
        <v>65</v>
      </c>
    </row>
    <row r="35" spans="1:27" x14ac:dyDescent="0.25">
      <c r="A35" t="s">
        <v>3134</v>
      </c>
      <c r="B35" s="17" t="s">
        <v>3135</v>
      </c>
      <c r="C35" s="17" t="s">
        <v>3277</v>
      </c>
      <c r="D35" s="17" t="s">
        <v>3278</v>
      </c>
      <c r="E35" s="17" t="s">
        <v>251</v>
      </c>
      <c r="F35" s="17" t="s">
        <v>3279</v>
      </c>
      <c r="G35" s="17">
        <v>11990</v>
      </c>
      <c r="H35" s="17">
        <v>0</v>
      </c>
      <c r="I35" s="17">
        <v>0.47</v>
      </c>
      <c r="J35" s="17">
        <v>0</v>
      </c>
      <c r="K35" s="17">
        <v>1</v>
      </c>
      <c r="L35" s="17" t="s">
        <v>3139</v>
      </c>
      <c r="M35" t="s">
        <v>3140</v>
      </c>
      <c r="N35" s="17" t="s">
        <v>3141</v>
      </c>
      <c r="O35" s="17" t="s">
        <v>3280</v>
      </c>
      <c r="P35" s="17" t="s">
        <v>3163</v>
      </c>
      <c r="Q35" s="17" t="s">
        <v>3143</v>
      </c>
      <c r="R35" s="17" t="s">
        <v>3144</v>
      </c>
      <c r="S35" s="17" t="s">
        <v>3145</v>
      </c>
      <c r="T35" s="17" t="s">
        <v>3164</v>
      </c>
      <c r="U35" s="17" t="s">
        <v>3146</v>
      </c>
      <c r="V35" s="17" t="s">
        <v>3147</v>
      </c>
      <c r="W35" s="17">
        <v>1206</v>
      </c>
      <c r="X35" s="17" t="s">
        <v>3148</v>
      </c>
      <c r="Y35" s="17" t="s">
        <v>3149</v>
      </c>
      <c r="Z35" s="17">
        <v>2</v>
      </c>
      <c r="AA35" s="17" t="s">
        <v>65</v>
      </c>
    </row>
    <row r="36" spans="1:27" x14ac:dyDescent="0.25">
      <c r="A36" t="s">
        <v>3134</v>
      </c>
      <c r="B36" s="17" t="s">
        <v>3135</v>
      </c>
      <c r="C36" s="17" t="s">
        <v>3281</v>
      </c>
      <c r="D36" s="17" t="s">
        <v>3282</v>
      </c>
      <c r="E36" s="17" t="s">
        <v>251</v>
      </c>
      <c r="F36" s="17" t="s">
        <v>3283</v>
      </c>
      <c r="G36" s="17">
        <v>7109</v>
      </c>
      <c r="H36" s="17">
        <v>0</v>
      </c>
      <c r="I36" s="17">
        <v>0.47</v>
      </c>
      <c r="J36" s="17">
        <v>0</v>
      </c>
      <c r="K36" s="17">
        <v>1</v>
      </c>
      <c r="L36" s="17" t="s">
        <v>3139</v>
      </c>
      <c r="M36" t="s">
        <v>3140</v>
      </c>
      <c r="N36" s="17" t="s">
        <v>3141</v>
      </c>
      <c r="O36" s="17" t="s">
        <v>3284</v>
      </c>
      <c r="P36" s="17" t="s">
        <v>3163</v>
      </c>
      <c r="Q36" s="17" t="s">
        <v>3143</v>
      </c>
      <c r="R36" s="17" t="s">
        <v>3144</v>
      </c>
      <c r="S36" s="17" t="s">
        <v>3145</v>
      </c>
      <c r="T36" s="17" t="s">
        <v>3164</v>
      </c>
      <c r="U36" s="17" t="s">
        <v>3146</v>
      </c>
      <c r="V36" s="17" t="s">
        <v>3147</v>
      </c>
      <c r="W36" s="17">
        <v>1206</v>
      </c>
      <c r="X36" s="17" t="s">
        <v>3148</v>
      </c>
      <c r="Y36" s="17" t="s">
        <v>3149</v>
      </c>
      <c r="Z36" s="17">
        <v>2</v>
      </c>
      <c r="AA36" s="17" t="s">
        <v>65</v>
      </c>
    </row>
    <row r="37" spans="1:27" x14ac:dyDescent="0.25">
      <c r="A37" t="s">
        <v>3134</v>
      </c>
      <c r="B37" s="17" t="s">
        <v>3135</v>
      </c>
      <c r="C37" s="17" t="s">
        <v>3285</v>
      </c>
      <c r="D37" s="17" t="s">
        <v>3286</v>
      </c>
      <c r="E37" s="17" t="s">
        <v>251</v>
      </c>
      <c r="F37" s="17" t="s">
        <v>3287</v>
      </c>
      <c r="G37" s="17">
        <v>35990</v>
      </c>
      <c r="H37" s="17">
        <v>0</v>
      </c>
      <c r="I37" s="17">
        <v>0.42</v>
      </c>
      <c r="J37" s="17">
        <v>0</v>
      </c>
      <c r="K37" s="17">
        <v>1</v>
      </c>
      <c r="L37" s="17" t="s">
        <v>3139</v>
      </c>
      <c r="M37" t="s">
        <v>3140</v>
      </c>
      <c r="N37" s="17" t="s">
        <v>3141</v>
      </c>
      <c r="O37" s="17" t="s">
        <v>3210</v>
      </c>
      <c r="P37" s="17" t="s">
        <v>3154</v>
      </c>
      <c r="Q37" s="17" t="s">
        <v>3143</v>
      </c>
      <c r="R37" s="17" t="s">
        <v>3144</v>
      </c>
      <c r="S37" s="17" t="s">
        <v>3145</v>
      </c>
      <c r="T37" s="17" t="s">
        <v>3155</v>
      </c>
      <c r="U37" s="17" t="s">
        <v>3146</v>
      </c>
      <c r="V37" s="17" t="s">
        <v>3147</v>
      </c>
      <c r="W37" s="17">
        <v>1206</v>
      </c>
      <c r="X37" s="17" t="s">
        <v>3148</v>
      </c>
      <c r="Y37" s="17" t="s">
        <v>3149</v>
      </c>
      <c r="Z37" s="17">
        <v>2</v>
      </c>
      <c r="AA37" s="17" t="s">
        <v>65</v>
      </c>
    </row>
    <row r="38" spans="1:27" x14ac:dyDescent="0.25">
      <c r="A38" t="s">
        <v>3134</v>
      </c>
      <c r="B38" s="17" t="s">
        <v>3135</v>
      </c>
      <c r="C38" s="17" t="s">
        <v>3288</v>
      </c>
      <c r="D38" s="17" t="s">
        <v>3289</v>
      </c>
      <c r="E38" s="17" t="s">
        <v>251</v>
      </c>
      <c r="F38" s="17" t="s">
        <v>3290</v>
      </c>
      <c r="G38" s="17">
        <v>29968</v>
      </c>
      <c r="H38" s="17">
        <v>0</v>
      </c>
      <c r="I38" s="17">
        <v>0.42</v>
      </c>
      <c r="J38" s="17">
        <v>0</v>
      </c>
      <c r="K38" s="17">
        <v>1</v>
      </c>
      <c r="L38" s="17" t="s">
        <v>3139</v>
      </c>
      <c r="M38" t="s">
        <v>3140</v>
      </c>
      <c r="N38" s="17" t="s">
        <v>3141</v>
      </c>
      <c r="O38" s="17" t="s">
        <v>3291</v>
      </c>
      <c r="P38" s="17" t="s">
        <v>3154</v>
      </c>
      <c r="Q38" s="17" t="s">
        <v>3143</v>
      </c>
      <c r="R38" s="17" t="s">
        <v>3144</v>
      </c>
      <c r="S38" s="17" t="s">
        <v>3145</v>
      </c>
      <c r="T38" s="17" t="s">
        <v>3155</v>
      </c>
      <c r="U38" s="17" t="s">
        <v>3146</v>
      </c>
      <c r="V38" s="17" t="s">
        <v>3147</v>
      </c>
      <c r="W38" s="17">
        <v>1206</v>
      </c>
      <c r="X38" s="17" t="s">
        <v>3148</v>
      </c>
      <c r="Y38" s="17" t="s">
        <v>3149</v>
      </c>
      <c r="Z38" s="17">
        <v>2</v>
      </c>
      <c r="AA38" s="17" t="s">
        <v>65</v>
      </c>
    </row>
    <row r="39" spans="1:27" x14ac:dyDescent="0.25">
      <c r="A39" t="s">
        <v>3134</v>
      </c>
      <c r="B39" s="17" t="s">
        <v>3135</v>
      </c>
      <c r="C39" s="17" t="s">
        <v>3292</v>
      </c>
      <c r="D39" s="17" t="s">
        <v>3293</v>
      </c>
      <c r="E39" s="17" t="s">
        <v>251</v>
      </c>
      <c r="F39" s="17" t="s">
        <v>3294</v>
      </c>
      <c r="G39" s="17">
        <v>14040</v>
      </c>
      <c r="H39" s="17">
        <v>0</v>
      </c>
      <c r="I39" s="17">
        <v>0.42</v>
      </c>
      <c r="J39" s="17">
        <v>0</v>
      </c>
      <c r="K39" s="17">
        <v>1</v>
      </c>
      <c r="L39" s="17" t="s">
        <v>3139</v>
      </c>
      <c r="M39" t="s">
        <v>3140</v>
      </c>
      <c r="N39" s="17" t="s">
        <v>3141</v>
      </c>
      <c r="O39" s="17" t="s">
        <v>3295</v>
      </c>
      <c r="P39" s="17" t="s">
        <v>3154</v>
      </c>
      <c r="Q39" s="17" t="s">
        <v>3143</v>
      </c>
      <c r="R39" s="17" t="s">
        <v>3144</v>
      </c>
      <c r="S39" s="17" t="s">
        <v>3145</v>
      </c>
      <c r="T39" s="17" t="s">
        <v>3155</v>
      </c>
      <c r="U39" s="17" t="s">
        <v>3146</v>
      </c>
      <c r="V39" s="17" t="s">
        <v>3147</v>
      </c>
      <c r="W39" s="17">
        <v>1206</v>
      </c>
      <c r="X39" s="17" t="s">
        <v>3148</v>
      </c>
      <c r="Y39" s="17" t="s">
        <v>3149</v>
      </c>
      <c r="Z39" s="17">
        <v>2</v>
      </c>
      <c r="AA39" s="17" t="s">
        <v>65</v>
      </c>
    </row>
    <row r="40" spans="1:27" x14ac:dyDescent="0.25">
      <c r="A40" t="s">
        <v>3134</v>
      </c>
      <c r="B40" s="17" t="s">
        <v>3135</v>
      </c>
      <c r="C40" s="17" t="s">
        <v>3296</v>
      </c>
      <c r="D40" s="17" t="s">
        <v>3297</v>
      </c>
      <c r="E40" s="17" t="s">
        <v>251</v>
      </c>
      <c r="F40" s="17" t="s">
        <v>3298</v>
      </c>
      <c r="G40" s="17">
        <v>7070</v>
      </c>
      <c r="H40" s="17">
        <v>0</v>
      </c>
      <c r="I40" s="17">
        <v>0.42</v>
      </c>
      <c r="J40" s="17">
        <v>0</v>
      </c>
      <c r="K40" s="17">
        <v>1</v>
      </c>
      <c r="L40" s="17" t="s">
        <v>3139</v>
      </c>
      <c r="M40" t="s">
        <v>3140</v>
      </c>
      <c r="N40" s="17" t="s">
        <v>3141</v>
      </c>
      <c r="O40" s="17" t="s">
        <v>3299</v>
      </c>
      <c r="P40" s="17" t="s">
        <v>3154</v>
      </c>
      <c r="Q40" s="17" t="s">
        <v>3143</v>
      </c>
      <c r="R40" s="17" t="s">
        <v>3144</v>
      </c>
      <c r="S40" s="17" t="s">
        <v>3145</v>
      </c>
      <c r="T40" s="17" t="s">
        <v>3155</v>
      </c>
      <c r="U40" s="17" t="s">
        <v>3146</v>
      </c>
      <c r="V40" s="17" t="s">
        <v>3147</v>
      </c>
      <c r="W40" s="17">
        <v>1206</v>
      </c>
      <c r="X40" s="17" t="s">
        <v>3148</v>
      </c>
      <c r="Y40" s="17" t="s">
        <v>3149</v>
      </c>
      <c r="Z40" s="17">
        <v>2</v>
      </c>
      <c r="AA40" s="17" t="s">
        <v>65</v>
      </c>
    </row>
    <row r="41" spans="1:27" x14ac:dyDescent="0.25">
      <c r="A41" t="s">
        <v>3134</v>
      </c>
      <c r="B41" s="17" t="s">
        <v>3135</v>
      </c>
      <c r="C41" s="17" t="s">
        <v>3300</v>
      </c>
      <c r="D41" s="17" t="s">
        <v>3301</v>
      </c>
      <c r="E41" s="17" t="s">
        <v>251</v>
      </c>
      <c r="F41" s="17" t="s">
        <v>3302</v>
      </c>
      <c r="G41" s="17">
        <v>12975</v>
      </c>
      <c r="H41" s="17">
        <v>0</v>
      </c>
      <c r="I41" s="17">
        <v>0.42</v>
      </c>
      <c r="J41" s="17">
        <v>0</v>
      </c>
      <c r="K41" s="17">
        <v>1</v>
      </c>
      <c r="L41" s="17" t="s">
        <v>3139</v>
      </c>
      <c r="M41" t="s">
        <v>3140</v>
      </c>
      <c r="N41" s="17" t="s">
        <v>3141</v>
      </c>
      <c r="O41" s="17" t="s">
        <v>3303</v>
      </c>
      <c r="P41" s="17" t="s">
        <v>3154</v>
      </c>
      <c r="Q41" s="17" t="s">
        <v>3143</v>
      </c>
      <c r="R41" s="17" t="s">
        <v>3144</v>
      </c>
      <c r="S41" s="17" t="s">
        <v>3145</v>
      </c>
      <c r="T41" s="17" t="s">
        <v>3155</v>
      </c>
      <c r="U41" s="17" t="s">
        <v>3146</v>
      </c>
      <c r="V41" s="17" t="s">
        <v>3147</v>
      </c>
      <c r="W41" s="17">
        <v>1206</v>
      </c>
      <c r="X41" s="17" t="s">
        <v>3148</v>
      </c>
      <c r="Y41" s="17" t="s">
        <v>3149</v>
      </c>
      <c r="Z41" s="17">
        <v>2</v>
      </c>
      <c r="AA41" s="17" t="s">
        <v>65</v>
      </c>
    </row>
    <row r="42" spans="1:27" x14ac:dyDescent="0.25">
      <c r="A42" t="s">
        <v>3134</v>
      </c>
      <c r="B42" s="17" t="s">
        <v>3135</v>
      </c>
      <c r="C42" s="17" t="s">
        <v>3304</v>
      </c>
      <c r="D42" s="17" t="s">
        <v>3305</v>
      </c>
      <c r="E42" s="17" t="s">
        <v>251</v>
      </c>
      <c r="F42" s="17" t="s">
        <v>3306</v>
      </c>
      <c r="G42" s="17">
        <v>8707</v>
      </c>
      <c r="H42" s="17">
        <v>0</v>
      </c>
      <c r="I42" s="17">
        <v>0.42</v>
      </c>
      <c r="J42" s="17">
        <v>0</v>
      </c>
      <c r="K42" s="17">
        <v>1</v>
      </c>
      <c r="L42" s="17" t="s">
        <v>3139</v>
      </c>
      <c r="M42" t="s">
        <v>3140</v>
      </c>
      <c r="N42" s="17" t="s">
        <v>3141</v>
      </c>
      <c r="O42" s="17" t="s">
        <v>3245</v>
      </c>
      <c r="P42" s="17" t="s">
        <v>3154</v>
      </c>
      <c r="Q42" s="17" t="s">
        <v>3143</v>
      </c>
      <c r="R42" s="17" t="s">
        <v>3144</v>
      </c>
      <c r="S42" s="17" t="s">
        <v>3145</v>
      </c>
      <c r="T42" s="17" t="s">
        <v>3155</v>
      </c>
      <c r="U42" s="17" t="s">
        <v>3146</v>
      </c>
      <c r="V42" s="17" t="s">
        <v>3147</v>
      </c>
      <c r="W42" s="17">
        <v>1206</v>
      </c>
      <c r="X42" s="17" t="s">
        <v>3148</v>
      </c>
      <c r="Y42" s="17" t="s">
        <v>3149</v>
      </c>
      <c r="Z42" s="17">
        <v>2</v>
      </c>
      <c r="AA42" s="17" t="s">
        <v>65</v>
      </c>
    </row>
    <row r="43" spans="1:27" x14ac:dyDescent="0.25">
      <c r="A43" t="s">
        <v>3134</v>
      </c>
      <c r="B43" s="17" t="s">
        <v>3135</v>
      </c>
      <c r="C43" s="17" t="s">
        <v>3307</v>
      </c>
      <c r="D43" s="17" t="s">
        <v>3308</v>
      </c>
      <c r="E43" s="17" t="s">
        <v>251</v>
      </c>
      <c r="F43" s="17" t="s">
        <v>3309</v>
      </c>
      <c r="G43" s="17">
        <v>64865</v>
      </c>
      <c r="H43" s="17">
        <v>0</v>
      </c>
      <c r="I43" s="17">
        <v>0.48</v>
      </c>
      <c r="J43" s="17">
        <v>0</v>
      </c>
      <c r="K43" s="17">
        <v>1</v>
      </c>
      <c r="L43" s="17" t="s">
        <v>3139</v>
      </c>
      <c r="M43" t="s">
        <v>3140</v>
      </c>
      <c r="N43" s="17" t="s">
        <v>3141</v>
      </c>
      <c r="O43" s="17" t="s">
        <v>3310</v>
      </c>
      <c r="P43" s="17" t="s">
        <v>3163</v>
      </c>
      <c r="Q43" s="17" t="s">
        <v>3143</v>
      </c>
      <c r="R43" s="17" t="s">
        <v>3144</v>
      </c>
      <c r="S43" s="17" t="s">
        <v>3145</v>
      </c>
      <c r="T43" s="17" t="s">
        <v>3164</v>
      </c>
      <c r="U43" s="17" t="s">
        <v>3146</v>
      </c>
      <c r="V43" s="17" t="s">
        <v>3147</v>
      </c>
      <c r="W43" s="17">
        <v>1206</v>
      </c>
      <c r="X43" s="17" t="s">
        <v>3148</v>
      </c>
      <c r="Y43" s="17" t="s">
        <v>3149</v>
      </c>
      <c r="Z43" s="17">
        <v>2</v>
      </c>
      <c r="AA43" s="17" t="s">
        <v>65</v>
      </c>
    </row>
    <row r="44" spans="1:27" x14ac:dyDescent="0.25">
      <c r="A44" t="s">
        <v>3134</v>
      </c>
      <c r="B44" s="17" t="s">
        <v>3135</v>
      </c>
      <c r="C44" s="17" t="s">
        <v>3311</v>
      </c>
      <c r="D44" s="17" t="s">
        <v>3312</v>
      </c>
      <c r="E44" s="17" t="s">
        <v>251</v>
      </c>
      <c r="F44" s="17" t="s">
        <v>3313</v>
      </c>
      <c r="G44" s="17">
        <v>29990</v>
      </c>
      <c r="H44" s="17">
        <v>0</v>
      </c>
      <c r="I44" s="17">
        <v>0.48</v>
      </c>
      <c r="J44" s="17">
        <v>0</v>
      </c>
      <c r="K44" s="17">
        <v>1</v>
      </c>
      <c r="L44" s="17" t="s">
        <v>3139</v>
      </c>
      <c r="M44" t="s">
        <v>3140</v>
      </c>
      <c r="N44" s="17" t="s">
        <v>3141</v>
      </c>
      <c r="O44" s="17" t="s">
        <v>3314</v>
      </c>
      <c r="P44" s="17" t="s">
        <v>3163</v>
      </c>
      <c r="Q44" s="17" t="s">
        <v>3143</v>
      </c>
      <c r="R44" s="17" t="s">
        <v>3144</v>
      </c>
      <c r="S44" s="17" t="s">
        <v>3145</v>
      </c>
      <c r="T44" s="17" t="s">
        <v>3164</v>
      </c>
      <c r="U44" s="17" t="s">
        <v>3146</v>
      </c>
      <c r="V44" s="17" t="s">
        <v>3147</v>
      </c>
      <c r="W44" s="17">
        <v>1206</v>
      </c>
      <c r="X44" s="17" t="s">
        <v>3148</v>
      </c>
      <c r="Y44" s="17" t="s">
        <v>3149</v>
      </c>
      <c r="Z44" s="17">
        <v>2</v>
      </c>
      <c r="AA44" s="17" t="s">
        <v>65</v>
      </c>
    </row>
    <row r="45" spans="1:27" x14ac:dyDescent="0.25">
      <c r="A45" t="s">
        <v>3134</v>
      </c>
      <c r="B45" s="17" t="s">
        <v>3135</v>
      </c>
      <c r="C45" s="17" t="s">
        <v>3315</v>
      </c>
      <c r="D45" s="17" t="s">
        <v>3316</v>
      </c>
      <c r="E45" s="17" t="s">
        <v>251</v>
      </c>
      <c r="F45" s="17" t="s">
        <v>3317</v>
      </c>
      <c r="G45" s="17">
        <v>23854</v>
      </c>
      <c r="H45" s="17">
        <v>0</v>
      </c>
      <c r="I45" s="17">
        <v>0.48</v>
      </c>
      <c r="J45" s="17">
        <v>0</v>
      </c>
      <c r="K45" s="17">
        <v>1</v>
      </c>
      <c r="L45" s="17" t="s">
        <v>3139</v>
      </c>
      <c r="M45" t="s">
        <v>3140</v>
      </c>
      <c r="N45" s="17" t="s">
        <v>3141</v>
      </c>
      <c r="O45" s="17" t="s">
        <v>3291</v>
      </c>
      <c r="P45" s="17" t="s">
        <v>3163</v>
      </c>
      <c r="Q45" s="17" t="s">
        <v>3143</v>
      </c>
      <c r="R45" s="17" t="s">
        <v>3144</v>
      </c>
      <c r="S45" s="17" t="s">
        <v>3145</v>
      </c>
      <c r="T45" s="17" t="s">
        <v>3164</v>
      </c>
      <c r="U45" s="17" t="s">
        <v>3146</v>
      </c>
      <c r="V45" s="17" t="s">
        <v>3147</v>
      </c>
      <c r="W45" s="17">
        <v>1206</v>
      </c>
      <c r="X45" s="17" t="s">
        <v>3148</v>
      </c>
      <c r="Y45" s="17" t="s">
        <v>3149</v>
      </c>
      <c r="Z45" s="17">
        <v>2</v>
      </c>
      <c r="AA45" s="17" t="s">
        <v>65</v>
      </c>
    </row>
    <row r="46" spans="1:27" x14ac:dyDescent="0.25">
      <c r="A46" t="s">
        <v>3134</v>
      </c>
      <c r="B46" s="17" t="s">
        <v>3135</v>
      </c>
      <c r="C46" s="17" t="s">
        <v>3318</v>
      </c>
      <c r="D46" s="17" t="s">
        <v>3319</v>
      </c>
      <c r="E46" s="17" t="s">
        <v>251</v>
      </c>
      <c r="F46" s="17" t="s">
        <v>3320</v>
      </c>
      <c r="G46" s="17">
        <v>24812</v>
      </c>
      <c r="H46" s="17">
        <v>0</v>
      </c>
      <c r="I46" s="17">
        <v>0.48</v>
      </c>
      <c r="J46" s="17">
        <v>0</v>
      </c>
      <c r="K46" s="17">
        <v>1</v>
      </c>
      <c r="L46" s="17" t="s">
        <v>3139</v>
      </c>
      <c r="M46" t="s">
        <v>3140</v>
      </c>
      <c r="N46" s="17" t="s">
        <v>3141</v>
      </c>
      <c r="O46" s="17" t="s">
        <v>3321</v>
      </c>
      <c r="P46" s="17" t="s">
        <v>3163</v>
      </c>
      <c r="Q46" s="17" t="s">
        <v>3143</v>
      </c>
      <c r="R46" s="17" t="s">
        <v>3144</v>
      </c>
      <c r="S46" s="17" t="s">
        <v>3145</v>
      </c>
      <c r="T46" s="17" t="s">
        <v>3164</v>
      </c>
      <c r="U46" s="17" t="s">
        <v>3146</v>
      </c>
      <c r="V46" s="17" t="s">
        <v>3147</v>
      </c>
      <c r="W46" s="17">
        <v>1206</v>
      </c>
      <c r="X46" s="17" t="s">
        <v>3148</v>
      </c>
      <c r="Y46" s="17" t="s">
        <v>3149</v>
      </c>
      <c r="Z46" s="17">
        <v>2</v>
      </c>
      <c r="AA46" s="17" t="s">
        <v>65</v>
      </c>
    </row>
    <row r="47" spans="1:27" x14ac:dyDescent="0.25">
      <c r="A47" t="s">
        <v>3134</v>
      </c>
      <c r="B47" s="17" t="s">
        <v>3135</v>
      </c>
      <c r="C47" s="17" t="s">
        <v>3322</v>
      </c>
      <c r="D47" s="17" t="s">
        <v>3323</v>
      </c>
      <c r="E47" s="17" t="s">
        <v>251</v>
      </c>
      <c r="F47" s="17" t="s">
        <v>3324</v>
      </c>
      <c r="G47" s="17">
        <v>5827</v>
      </c>
      <c r="H47" s="17">
        <v>0</v>
      </c>
      <c r="I47" s="17">
        <v>0.48</v>
      </c>
      <c r="J47" s="17">
        <v>0</v>
      </c>
      <c r="K47" s="17">
        <v>1</v>
      </c>
      <c r="L47" s="17" t="s">
        <v>3139</v>
      </c>
      <c r="M47" t="s">
        <v>3140</v>
      </c>
      <c r="N47" s="17" t="s">
        <v>3141</v>
      </c>
      <c r="O47" s="17" t="s">
        <v>3325</v>
      </c>
      <c r="P47" s="17" t="s">
        <v>3163</v>
      </c>
      <c r="Q47" s="17" t="s">
        <v>3143</v>
      </c>
      <c r="R47" s="17" t="s">
        <v>3144</v>
      </c>
      <c r="S47" s="17" t="s">
        <v>3145</v>
      </c>
      <c r="T47" s="17" t="s">
        <v>3164</v>
      </c>
      <c r="U47" s="17" t="s">
        <v>3146</v>
      </c>
      <c r="V47" s="17" t="s">
        <v>3147</v>
      </c>
      <c r="W47" s="17">
        <v>1206</v>
      </c>
      <c r="X47" s="17" t="s">
        <v>3148</v>
      </c>
      <c r="Y47" s="17" t="s">
        <v>3149</v>
      </c>
      <c r="Z47" s="17">
        <v>2</v>
      </c>
      <c r="AA47" s="17" t="s">
        <v>65</v>
      </c>
    </row>
    <row r="48" spans="1:27" x14ac:dyDescent="0.25">
      <c r="A48" t="s">
        <v>3134</v>
      </c>
      <c r="B48" s="17" t="s">
        <v>3135</v>
      </c>
      <c r="C48" s="17" t="s">
        <v>3326</v>
      </c>
      <c r="D48" s="17" t="s">
        <v>3327</v>
      </c>
      <c r="E48" s="17" t="s">
        <v>251</v>
      </c>
      <c r="F48" s="17" t="s">
        <v>3328</v>
      </c>
      <c r="G48" s="17">
        <v>34998</v>
      </c>
      <c r="H48" s="17">
        <v>0</v>
      </c>
      <c r="I48" s="17">
        <v>0.44</v>
      </c>
      <c r="J48" s="17">
        <v>0</v>
      </c>
      <c r="K48" s="17">
        <v>1</v>
      </c>
      <c r="L48" s="17" t="s">
        <v>3139</v>
      </c>
      <c r="M48" t="s">
        <v>3140</v>
      </c>
      <c r="N48" s="17" t="s">
        <v>3141</v>
      </c>
      <c r="O48" s="17" t="s">
        <v>3329</v>
      </c>
      <c r="P48" s="17" t="s">
        <v>3154</v>
      </c>
      <c r="Q48" s="17" t="s">
        <v>3143</v>
      </c>
      <c r="R48" s="17" t="s">
        <v>3144</v>
      </c>
      <c r="S48" s="17" t="s">
        <v>3145</v>
      </c>
      <c r="T48" s="17" t="s">
        <v>3155</v>
      </c>
      <c r="U48" s="17" t="s">
        <v>3146</v>
      </c>
      <c r="V48" s="17" t="s">
        <v>3147</v>
      </c>
      <c r="W48" s="17">
        <v>1206</v>
      </c>
      <c r="X48" s="17" t="s">
        <v>3148</v>
      </c>
      <c r="Y48" s="17" t="s">
        <v>3149</v>
      </c>
      <c r="Z48" s="17">
        <v>2</v>
      </c>
      <c r="AA48" s="17" t="s">
        <v>65</v>
      </c>
    </row>
    <row r="49" spans="1:27" x14ac:dyDescent="0.25">
      <c r="A49" t="s">
        <v>3134</v>
      </c>
      <c r="B49" s="17" t="s">
        <v>3135</v>
      </c>
      <c r="C49" s="17" t="s">
        <v>3330</v>
      </c>
      <c r="D49" s="17" t="s">
        <v>3331</v>
      </c>
      <c r="E49" s="17" t="s">
        <v>251</v>
      </c>
      <c r="F49" s="17" t="s">
        <v>3332</v>
      </c>
      <c r="G49" s="17">
        <v>9980</v>
      </c>
      <c r="H49" s="17">
        <v>0</v>
      </c>
      <c r="I49" s="17">
        <v>0.44</v>
      </c>
      <c r="J49" s="17">
        <v>0</v>
      </c>
      <c r="K49" s="17">
        <v>1</v>
      </c>
      <c r="L49" s="17" t="s">
        <v>3139</v>
      </c>
      <c r="M49" t="s">
        <v>3140</v>
      </c>
      <c r="N49" s="17" t="s">
        <v>3141</v>
      </c>
      <c r="O49" s="17" t="s">
        <v>3333</v>
      </c>
      <c r="P49" s="17" t="s">
        <v>3154</v>
      </c>
      <c r="Q49" s="17" t="s">
        <v>3143</v>
      </c>
      <c r="R49" s="17" t="s">
        <v>3144</v>
      </c>
      <c r="S49" s="17" t="s">
        <v>3145</v>
      </c>
      <c r="T49" s="17" t="s">
        <v>3155</v>
      </c>
      <c r="U49" s="17" t="s">
        <v>3146</v>
      </c>
      <c r="V49" s="17" t="s">
        <v>3147</v>
      </c>
      <c r="W49" s="17">
        <v>1206</v>
      </c>
      <c r="X49" s="17" t="s">
        <v>3148</v>
      </c>
      <c r="Y49" s="17" t="s">
        <v>3149</v>
      </c>
      <c r="Z49" s="17">
        <v>2</v>
      </c>
      <c r="AA49" s="17" t="s">
        <v>65</v>
      </c>
    </row>
    <row r="50" spans="1:27" x14ac:dyDescent="0.25">
      <c r="A50" t="s">
        <v>3134</v>
      </c>
      <c r="B50" s="17" t="s">
        <v>3135</v>
      </c>
      <c r="C50" s="17" t="s">
        <v>3334</v>
      </c>
      <c r="D50" s="17" t="s">
        <v>3335</v>
      </c>
      <c r="E50" s="17" t="s">
        <v>251</v>
      </c>
      <c r="F50" s="17" t="s">
        <v>3336</v>
      </c>
      <c r="G50" s="17">
        <v>13741</v>
      </c>
      <c r="H50" s="17">
        <v>0</v>
      </c>
      <c r="I50" s="17">
        <v>0.47</v>
      </c>
      <c r="J50" s="17">
        <v>0</v>
      </c>
      <c r="K50" s="17">
        <v>1</v>
      </c>
      <c r="L50" s="17" t="s">
        <v>3139</v>
      </c>
      <c r="M50" t="s">
        <v>3140</v>
      </c>
      <c r="N50" s="17" t="s">
        <v>3141</v>
      </c>
      <c r="O50" s="17" t="s">
        <v>3337</v>
      </c>
      <c r="P50" s="17" t="s">
        <v>3163</v>
      </c>
      <c r="Q50" s="17" t="s">
        <v>3143</v>
      </c>
      <c r="R50" s="17" t="s">
        <v>3144</v>
      </c>
      <c r="S50" s="17" t="s">
        <v>3145</v>
      </c>
      <c r="T50" s="17" t="s">
        <v>3164</v>
      </c>
      <c r="U50" s="17" t="s">
        <v>3146</v>
      </c>
      <c r="V50" s="17" t="s">
        <v>3147</v>
      </c>
      <c r="W50" s="17">
        <v>1206</v>
      </c>
      <c r="X50" s="17" t="s">
        <v>3148</v>
      </c>
      <c r="Y50" s="17" t="s">
        <v>3149</v>
      </c>
      <c r="Z50" s="17">
        <v>2</v>
      </c>
      <c r="AA50" s="17" t="s">
        <v>65</v>
      </c>
    </row>
    <row r="51" spans="1:27" x14ac:dyDescent="0.25">
      <c r="A51" t="s">
        <v>3134</v>
      </c>
      <c r="B51" s="17" t="s">
        <v>3135</v>
      </c>
      <c r="C51" s="17" t="s">
        <v>3338</v>
      </c>
      <c r="D51" s="17" t="s">
        <v>3339</v>
      </c>
      <c r="E51" s="17" t="s">
        <v>251</v>
      </c>
      <c r="F51" s="17" t="s">
        <v>3340</v>
      </c>
      <c r="G51" s="17">
        <v>13999</v>
      </c>
      <c r="H51" s="17">
        <v>0</v>
      </c>
      <c r="I51" s="17">
        <v>0.47</v>
      </c>
      <c r="J51" s="17">
        <v>0</v>
      </c>
      <c r="K51" s="17">
        <v>1</v>
      </c>
      <c r="L51" s="17" t="s">
        <v>3139</v>
      </c>
      <c r="M51" t="s">
        <v>3140</v>
      </c>
      <c r="N51" s="17" t="s">
        <v>3141</v>
      </c>
      <c r="O51" s="17" t="s">
        <v>3341</v>
      </c>
      <c r="P51" s="17" t="s">
        <v>3163</v>
      </c>
      <c r="Q51" s="17" t="s">
        <v>3143</v>
      </c>
      <c r="R51" s="17" t="s">
        <v>3144</v>
      </c>
      <c r="S51" s="17" t="s">
        <v>3145</v>
      </c>
      <c r="T51" s="17" t="s">
        <v>3164</v>
      </c>
      <c r="U51" s="17" t="s">
        <v>3146</v>
      </c>
      <c r="V51" s="17" t="s">
        <v>3147</v>
      </c>
      <c r="W51" s="17">
        <v>1206</v>
      </c>
      <c r="X51" s="17" t="s">
        <v>3148</v>
      </c>
      <c r="Y51" s="17" t="s">
        <v>3149</v>
      </c>
      <c r="Z51" s="17">
        <v>2</v>
      </c>
      <c r="AA51" s="17" t="s">
        <v>65</v>
      </c>
    </row>
    <row r="52" spans="1:27" x14ac:dyDescent="0.25">
      <c r="A52" t="s">
        <v>3134</v>
      </c>
      <c r="B52" s="17" t="s">
        <v>3135</v>
      </c>
      <c r="C52" s="17" t="s">
        <v>3342</v>
      </c>
      <c r="D52" s="17" t="s">
        <v>3343</v>
      </c>
      <c r="E52" s="17" t="s">
        <v>251</v>
      </c>
      <c r="F52" s="17" t="s">
        <v>3344</v>
      </c>
      <c r="G52" s="17">
        <v>5245</v>
      </c>
      <c r="H52" s="17">
        <v>0</v>
      </c>
      <c r="I52" s="17">
        <v>0.47</v>
      </c>
      <c r="J52" s="17">
        <v>0</v>
      </c>
      <c r="K52" s="17">
        <v>1</v>
      </c>
      <c r="L52" s="17" t="s">
        <v>3139</v>
      </c>
      <c r="M52" t="s">
        <v>3140</v>
      </c>
      <c r="N52" s="17" t="s">
        <v>3141</v>
      </c>
      <c r="O52" s="17" t="s">
        <v>3345</v>
      </c>
      <c r="P52" s="17" t="s">
        <v>3163</v>
      </c>
      <c r="Q52" s="17" t="s">
        <v>3143</v>
      </c>
      <c r="R52" s="17" t="s">
        <v>3144</v>
      </c>
      <c r="S52" s="17" t="s">
        <v>3145</v>
      </c>
      <c r="T52" s="17" t="s">
        <v>3164</v>
      </c>
      <c r="U52" s="17" t="s">
        <v>3146</v>
      </c>
      <c r="V52" s="17" t="s">
        <v>3147</v>
      </c>
      <c r="W52" s="17">
        <v>1206</v>
      </c>
      <c r="X52" s="17" t="s">
        <v>3148</v>
      </c>
      <c r="Y52" s="17" t="s">
        <v>3149</v>
      </c>
      <c r="Z52" s="17">
        <v>2</v>
      </c>
      <c r="AA52" s="17" t="s">
        <v>65</v>
      </c>
    </row>
    <row r="53" spans="1:27" x14ac:dyDescent="0.25">
      <c r="A53" t="s">
        <v>3134</v>
      </c>
      <c r="B53" s="17" t="s">
        <v>3135</v>
      </c>
      <c r="C53" s="17" t="s">
        <v>3346</v>
      </c>
      <c r="D53" s="17" t="s">
        <v>3347</v>
      </c>
      <c r="E53" s="17" t="s">
        <v>251</v>
      </c>
      <c r="F53" s="17" t="s">
        <v>3348</v>
      </c>
      <c r="G53" s="17">
        <v>4360</v>
      </c>
      <c r="H53" s="17">
        <v>0</v>
      </c>
      <c r="I53" s="17">
        <v>0.42</v>
      </c>
      <c r="J53" s="17">
        <v>0</v>
      </c>
      <c r="K53" s="17">
        <v>1</v>
      </c>
      <c r="L53" s="17" t="s">
        <v>3139</v>
      </c>
      <c r="M53" t="s">
        <v>3140</v>
      </c>
      <c r="N53" s="17" t="s">
        <v>3141</v>
      </c>
      <c r="O53" s="17" t="s">
        <v>3349</v>
      </c>
      <c r="P53" s="17" t="s">
        <v>3154</v>
      </c>
      <c r="Q53" s="17" t="s">
        <v>3143</v>
      </c>
      <c r="R53" s="17" t="s">
        <v>3144</v>
      </c>
      <c r="S53" s="17" t="s">
        <v>3145</v>
      </c>
      <c r="T53" s="17" t="s">
        <v>3155</v>
      </c>
      <c r="U53" s="17" t="s">
        <v>3146</v>
      </c>
      <c r="V53" s="17" t="s">
        <v>3147</v>
      </c>
      <c r="W53" s="17">
        <v>1206</v>
      </c>
      <c r="X53" s="17" t="s">
        <v>3148</v>
      </c>
      <c r="Y53" s="17" t="s">
        <v>3149</v>
      </c>
      <c r="Z53" s="17">
        <v>2</v>
      </c>
      <c r="AA53" s="17" t="s">
        <v>65</v>
      </c>
    </row>
    <row r="54" spans="1:27" x14ac:dyDescent="0.25">
      <c r="A54" t="s">
        <v>3134</v>
      </c>
      <c r="B54" s="17" t="s">
        <v>3135</v>
      </c>
      <c r="C54" s="17" t="s">
        <v>3350</v>
      </c>
      <c r="D54" s="17" t="s">
        <v>3351</v>
      </c>
      <c r="E54" s="17" t="s">
        <v>251</v>
      </c>
      <c r="F54" s="17" t="s">
        <v>3352</v>
      </c>
      <c r="G54" s="17">
        <v>4231</v>
      </c>
      <c r="H54" s="17">
        <v>0</v>
      </c>
      <c r="I54" s="17">
        <v>0.42</v>
      </c>
      <c r="J54" s="17">
        <v>0</v>
      </c>
      <c r="K54" s="17">
        <v>1</v>
      </c>
      <c r="L54" s="17" t="s">
        <v>3139</v>
      </c>
      <c r="M54" t="s">
        <v>3140</v>
      </c>
      <c r="N54" s="17" t="s">
        <v>3141</v>
      </c>
      <c r="O54" s="17" t="s">
        <v>3353</v>
      </c>
      <c r="P54" s="17" t="s">
        <v>3154</v>
      </c>
      <c r="Q54" s="17" t="s">
        <v>3143</v>
      </c>
      <c r="R54" s="17" t="s">
        <v>3144</v>
      </c>
      <c r="S54" s="17" t="s">
        <v>3145</v>
      </c>
      <c r="T54" s="17" t="s">
        <v>3155</v>
      </c>
      <c r="U54" s="17" t="s">
        <v>3146</v>
      </c>
      <c r="V54" s="17" t="s">
        <v>3147</v>
      </c>
      <c r="W54" s="17">
        <v>1206</v>
      </c>
      <c r="X54" s="17" t="s">
        <v>3148</v>
      </c>
      <c r="Y54" s="17" t="s">
        <v>3149</v>
      </c>
      <c r="Z54" s="17">
        <v>2</v>
      </c>
      <c r="AA54" s="17" t="s">
        <v>65</v>
      </c>
    </row>
    <row r="55" spans="1:27" x14ac:dyDescent="0.25">
      <c r="A55" t="s">
        <v>3134</v>
      </c>
      <c r="B55" s="17" t="s">
        <v>3135</v>
      </c>
      <c r="C55" s="17" t="s">
        <v>3354</v>
      </c>
      <c r="D55" s="17" t="s">
        <v>3355</v>
      </c>
      <c r="E55" s="17" t="s">
        <v>251</v>
      </c>
      <c r="F55" s="17" t="s">
        <v>3356</v>
      </c>
      <c r="G55" s="17">
        <v>4188</v>
      </c>
      <c r="H55" s="17">
        <v>0</v>
      </c>
      <c r="I55" s="17">
        <v>0.42</v>
      </c>
      <c r="J55" s="17">
        <v>0</v>
      </c>
      <c r="K55" s="17">
        <v>1</v>
      </c>
      <c r="L55" s="17" t="s">
        <v>3139</v>
      </c>
      <c r="M55" t="s">
        <v>3140</v>
      </c>
      <c r="N55" s="17" t="s">
        <v>3141</v>
      </c>
      <c r="O55" s="17" t="s">
        <v>3357</v>
      </c>
      <c r="P55" s="17" t="s">
        <v>3154</v>
      </c>
      <c r="Q55" s="17" t="s">
        <v>3143</v>
      </c>
      <c r="R55" s="17" t="s">
        <v>3144</v>
      </c>
      <c r="S55" s="17" t="s">
        <v>3145</v>
      </c>
      <c r="T55" s="17" t="s">
        <v>3155</v>
      </c>
      <c r="U55" s="17" t="s">
        <v>3146</v>
      </c>
      <c r="V55" s="17" t="s">
        <v>3147</v>
      </c>
      <c r="W55" s="17">
        <v>1206</v>
      </c>
      <c r="X55" s="17" t="s">
        <v>3148</v>
      </c>
      <c r="Y55" s="17" t="s">
        <v>3149</v>
      </c>
      <c r="Z55" s="17">
        <v>2</v>
      </c>
      <c r="AA55" s="17" t="s">
        <v>65</v>
      </c>
    </row>
    <row r="56" spans="1:27" x14ac:dyDescent="0.25">
      <c r="A56" t="s">
        <v>3134</v>
      </c>
      <c r="B56" s="17" t="s">
        <v>3135</v>
      </c>
      <c r="C56" s="17" t="s">
        <v>3358</v>
      </c>
      <c r="D56" s="17" t="s">
        <v>3359</v>
      </c>
      <c r="E56" s="17" t="s">
        <v>251</v>
      </c>
      <c r="F56" s="17" t="s">
        <v>3360</v>
      </c>
      <c r="G56" s="17">
        <v>3642</v>
      </c>
      <c r="H56" s="17">
        <v>0</v>
      </c>
      <c r="I56" s="17">
        <v>0.42</v>
      </c>
      <c r="J56" s="17">
        <v>0</v>
      </c>
      <c r="K56" s="17">
        <v>1</v>
      </c>
      <c r="L56" s="17" t="s">
        <v>3139</v>
      </c>
      <c r="M56" t="s">
        <v>3140</v>
      </c>
      <c r="N56" s="17" t="s">
        <v>3141</v>
      </c>
      <c r="O56" s="17" t="s">
        <v>3222</v>
      </c>
      <c r="P56" s="17" t="s">
        <v>3154</v>
      </c>
      <c r="Q56" s="17" t="s">
        <v>3143</v>
      </c>
      <c r="R56" s="17" t="s">
        <v>3144</v>
      </c>
      <c r="S56" s="17" t="s">
        <v>3145</v>
      </c>
      <c r="T56" s="17" t="s">
        <v>3155</v>
      </c>
      <c r="U56" s="17" t="s">
        <v>3146</v>
      </c>
      <c r="V56" s="17" t="s">
        <v>3147</v>
      </c>
      <c r="W56" s="17">
        <v>1206</v>
      </c>
      <c r="X56" s="17" t="s">
        <v>3148</v>
      </c>
      <c r="Y56" s="17" t="s">
        <v>3149</v>
      </c>
      <c r="Z56" s="17">
        <v>2</v>
      </c>
      <c r="AA56" s="17" t="s">
        <v>65</v>
      </c>
    </row>
    <row r="57" spans="1:27" x14ac:dyDescent="0.25">
      <c r="A57" t="s">
        <v>3134</v>
      </c>
      <c r="B57" s="17" t="s">
        <v>3135</v>
      </c>
      <c r="C57" s="17" t="s">
        <v>3361</v>
      </c>
      <c r="D57" s="17" t="s">
        <v>3362</v>
      </c>
      <c r="E57" s="17" t="s">
        <v>251</v>
      </c>
      <c r="F57" s="17" t="s">
        <v>3363</v>
      </c>
      <c r="G57" s="17">
        <v>2883</v>
      </c>
      <c r="H57" s="17">
        <v>0</v>
      </c>
      <c r="I57" s="17">
        <v>0.42</v>
      </c>
      <c r="J57" s="17">
        <v>0</v>
      </c>
      <c r="K57" s="17">
        <v>1</v>
      </c>
      <c r="L57" s="17" t="s">
        <v>3139</v>
      </c>
      <c r="M57" t="s">
        <v>3140</v>
      </c>
      <c r="N57" s="17" t="s">
        <v>3141</v>
      </c>
      <c r="O57" s="17" t="s">
        <v>3364</v>
      </c>
      <c r="P57" s="17" t="s">
        <v>3154</v>
      </c>
      <c r="Q57" s="17" t="s">
        <v>3143</v>
      </c>
      <c r="R57" s="17" t="s">
        <v>3144</v>
      </c>
      <c r="S57" s="17" t="s">
        <v>3145</v>
      </c>
      <c r="T57" s="17" t="s">
        <v>3155</v>
      </c>
      <c r="U57" s="17" t="s">
        <v>3146</v>
      </c>
      <c r="V57" s="17" t="s">
        <v>3147</v>
      </c>
      <c r="W57" s="17">
        <v>1206</v>
      </c>
      <c r="X57" s="17" t="s">
        <v>3148</v>
      </c>
      <c r="Y57" s="17" t="s">
        <v>3149</v>
      </c>
      <c r="Z57" s="17">
        <v>2</v>
      </c>
      <c r="AA57" s="17" t="s">
        <v>65</v>
      </c>
    </row>
    <row r="58" spans="1:27" x14ac:dyDescent="0.25">
      <c r="A58" t="s">
        <v>3134</v>
      </c>
      <c r="B58" s="17" t="s">
        <v>3135</v>
      </c>
      <c r="C58" s="17" t="s">
        <v>3365</v>
      </c>
      <c r="D58" s="17" t="s">
        <v>3366</v>
      </c>
      <c r="E58" s="17" t="s">
        <v>251</v>
      </c>
      <c r="F58" s="17" t="s">
        <v>3367</v>
      </c>
      <c r="G58" s="17">
        <v>2850</v>
      </c>
      <c r="H58" s="17">
        <v>0</v>
      </c>
      <c r="I58" s="17">
        <v>0.42</v>
      </c>
      <c r="J58" s="17">
        <v>0</v>
      </c>
      <c r="K58" s="17">
        <v>1</v>
      </c>
      <c r="L58" s="17" t="s">
        <v>3139</v>
      </c>
      <c r="M58" t="s">
        <v>3140</v>
      </c>
      <c r="N58" s="17" t="s">
        <v>3141</v>
      </c>
      <c r="O58" s="17" t="s">
        <v>3368</v>
      </c>
      <c r="P58" s="17" t="s">
        <v>3154</v>
      </c>
      <c r="Q58" s="17" t="s">
        <v>3143</v>
      </c>
      <c r="R58" s="17" t="s">
        <v>3144</v>
      </c>
      <c r="S58" s="17" t="s">
        <v>3145</v>
      </c>
      <c r="T58" s="17" t="s">
        <v>3155</v>
      </c>
      <c r="U58" s="17" t="s">
        <v>3146</v>
      </c>
      <c r="V58" s="17" t="s">
        <v>3147</v>
      </c>
      <c r="W58" s="17">
        <v>1206</v>
      </c>
      <c r="X58" s="17" t="s">
        <v>3148</v>
      </c>
      <c r="Y58" s="17" t="s">
        <v>3149</v>
      </c>
      <c r="Z58" s="17">
        <v>2</v>
      </c>
      <c r="AA58" s="17" t="s">
        <v>65</v>
      </c>
    </row>
    <row r="59" spans="1:27" x14ac:dyDescent="0.25">
      <c r="A59" t="s">
        <v>3134</v>
      </c>
      <c r="B59" s="17" t="s">
        <v>3135</v>
      </c>
      <c r="C59" s="17" t="s">
        <v>3369</v>
      </c>
      <c r="D59" s="17" t="s">
        <v>3370</v>
      </c>
      <c r="E59" s="17" t="s">
        <v>251</v>
      </c>
      <c r="F59" s="17" t="s">
        <v>3371</v>
      </c>
      <c r="G59" s="17">
        <v>1325</v>
      </c>
      <c r="H59" s="17">
        <v>0</v>
      </c>
      <c r="I59" s="17">
        <v>0.42</v>
      </c>
      <c r="J59" s="17">
        <v>0</v>
      </c>
      <c r="K59" s="17">
        <v>1</v>
      </c>
      <c r="L59" s="17" t="s">
        <v>3139</v>
      </c>
      <c r="M59" t="s">
        <v>3140</v>
      </c>
      <c r="N59" s="17" t="s">
        <v>3141</v>
      </c>
      <c r="O59" s="17" t="s">
        <v>3372</v>
      </c>
      <c r="P59" s="17" t="s">
        <v>3154</v>
      </c>
      <c r="Q59" s="17" t="s">
        <v>3143</v>
      </c>
      <c r="R59" s="17" t="s">
        <v>3144</v>
      </c>
      <c r="S59" s="17" t="s">
        <v>3145</v>
      </c>
      <c r="T59" s="17" t="s">
        <v>3155</v>
      </c>
      <c r="U59" s="17" t="s">
        <v>3146</v>
      </c>
      <c r="V59" s="17" t="s">
        <v>3147</v>
      </c>
      <c r="W59" s="17">
        <v>1206</v>
      </c>
      <c r="X59" s="17" t="s">
        <v>3148</v>
      </c>
      <c r="Y59" s="17" t="s">
        <v>3149</v>
      </c>
      <c r="Z59" s="17">
        <v>2</v>
      </c>
      <c r="AA59" s="17" t="s">
        <v>65</v>
      </c>
    </row>
    <row r="60" spans="1:27" x14ac:dyDescent="0.25">
      <c r="A60" t="s">
        <v>3134</v>
      </c>
      <c r="B60" s="17" t="s">
        <v>3135</v>
      </c>
      <c r="C60" s="17" t="s">
        <v>3373</v>
      </c>
      <c r="D60" s="17" t="s">
        <v>3374</v>
      </c>
      <c r="E60" s="17" t="s">
        <v>251</v>
      </c>
      <c r="F60" s="17" t="s">
        <v>3375</v>
      </c>
      <c r="G60" s="17">
        <v>2986</v>
      </c>
      <c r="H60" s="17">
        <v>0</v>
      </c>
      <c r="I60" s="17">
        <v>0.44</v>
      </c>
      <c r="J60" s="17">
        <v>0</v>
      </c>
      <c r="K60" s="17">
        <v>1</v>
      </c>
      <c r="L60" s="17" t="s">
        <v>3139</v>
      </c>
      <c r="M60" t="s">
        <v>3140</v>
      </c>
      <c r="N60" s="17" t="s">
        <v>3141</v>
      </c>
      <c r="O60" s="17" t="s">
        <v>3376</v>
      </c>
      <c r="P60" s="17" t="s">
        <v>3154</v>
      </c>
      <c r="Q60" s="17" t="s">
        <v>3143</v>
      </c>
      <c r="R60" s="17" t="s">
        <v>3144</v>
      </c>
      <c r="S60" s="17" t="s">
        <v>3145</v>
      </c>
      <c r="T60" s="17" t="s">
        <v>3155</v>
      </c>
      <c r="U60" s="17" t="s">
        <v>3146</v>
      </c>
      <c r="V60" s="17" t="s">
        <v>3147</v>
      </c>
      <c r="W60" s="17">
        <v>1206</v>
      </c>
      <c r="X60" s="17" t="s">
        <v>3148</v>
      </c>
      <c r="Y60" s="17" t="s">
        <v>3149</v>
      </c>
      <c r="Z60" s="17">
        <v>2</v>
      </c>
      <c r="AA60" s="17" t="s">
        <v>65</v>
      </c>
    </row>
    <row r="61" spans="1:27" x14ac:dyDescent="0.25">
      <c r="A61" t="s">
        <v>3134</v>
      </c>
      <c r="B61" s="17" t="s">
        <v>3135</v>
      </c>
      <c r="C61" s="17" t="s">
        <v>3377</v>
      </c>
      <c r="D61" s="17" t="s">
        <v>3378</v>
      </c>
      <c r="E61" s="17" t="s">
        <v>251</v>
      </c>
      <c r="F61" s="17" t="s">
        <v>3379</v>
      </c>
      <c r="G61" s="17">
        <v>3890</v>
      </c>
      <c r="H61" s="17">
        <v>0</v>
      </c>
      <c r="I61" s="17">
        <v>0.47</v>
      </c>
      <c r="J61" s="17">
        <v>0</v>
      </c>
      <c r="K61" s="17">
        <v>1</v>
      </c>
      <c r="L61" s="17" t="s">
        <v>3139</v>
      </c>
      <c r="M61" t="s">
        <v>3140</v>
      </c>
      <c r="N61" s="17" t="s">
        <v>3141</v>
      </c>
      <c r="O61" s="17" t="s">
        <v>3380</v>
      </c>
      <c r="P61" s="17" t="s">
        <v>3163</v>
      </c>
      <c r="Q61" s="17" t="s">
        <v>3143</v>
      </c>
      <c r="R61" s="17" t="s">
        <v>3144</v>
      </c>
      <c r="S61" s="17" t="s">
        <v>3145</v>
      </c>
      <c r="T61" s="17" t="s">
        <v>3164</v>
      </c>
      <c r="U61" s="17" t="s">
        <v>3146</v>
      </c>
      <c r="V61" s="17" t="s">
        <v>3147</v>
      </c>
      <c r="W61" s="17">
        <v>1206</v>
      </c>
      <c r="X61" s="17" t="s">
        <v>3148</v>
      </c>
      <c r="Y61" s="17" t="s">
        <v>3149</v>
      </c>
      <c r="Z61" s="17">
        <v>2</v>
      </c>
      <c r="AA61" s="17" t="s">
        <v>65</v>
      </c>
    </row>
    <row r="62" spans="1:27" x14ac:dyDescent="0.25">
      <c r="A62" t="s">
        <v>3134</v>
      </c>
      <c r="B62" s="17" t="s">
        <v>3135</v>
      </c>
      <c r="C62" s="17" t="s">
        <v>3381</v>
      </c>
      <c r="D62" s="17" t="s">
        <v>3382</v>
      </c>
      <c r="E62" s="17" t="s">
        <v>251</v>
      </c>
      <c r="F62" s="17" t="s">
        <v>3383</v>
      </c>
      <c r="G62" s="17">
        <v>5745</v>
      </c>
      <c r="H62" s="17">
        <v>0</v>
      </c>
      <c r="I62" s="17">
        <v>0.48</v>
      </c>
      <c r="J62" s="17">
        <v>0</v>
      </c>
      <c r="K62" s="17">
        <v>1</v>
      </c>
      <c r="L62" s="17" t="s">
        <v>3139</v>
      </c>
      <c r="M62" t="s">
        <v>3140</v>
      </c>
      <c r="N62" s="17" t="s">
        <v>3141</v>
      </c>
      <c r="O62" s="17" t="s">
        <v>3384</v>
      </c>
      <c r="P62" s="17" t="s">
        <v>3163</v>
      </c>
      <c r="Q62" s="17" t="s">
        <v>3143</v>
      </c>
      <c r="R62" s="17" t="s">
        <v>3144</v>
      </c>
      <c r="S62" s="17" t="s">
        <v>3145</v>
      </c>
      <c r="T62" s="17" t="s">
        <v>3164</v>
      </c>
      <c r="U62" s="17" t="s">
        <v>3146</v>
      </c>
      <c r="V62" s="17" t="s">
        <v>3147</v>
      </c>
      <c r="W62" s="17">
        <v>1206</v>
      </c>
      <c r="X62" s="17" t="s">
        <v>3148</v>
      </c>
      <c r="Y62" s="17" t="s">
        <v>3149</v>
      </c>
      <c r="Z62" s="17">
        <v>2</v>
      </c>
      <c r="AA62" s="17" t="s">
        <v>65</v>
      </c>
    </row>
    <row r="63" spans="1:27" x14ac:dyDescent="0.25">
      <c r="A63" t="s">
        <v>3134</v>
      </c>
      <c r="B63" s="17" t="s">
        <v>3135</v>
      </c>
      <c r="C63" s="17" t="s">
        <v>3385</v>
      </c>
      <c r="D63" s="17" t="s">
        <v>3386</v>
      </c>
      <c r="E63" s="17" t="s">
        <v>251</v>
      </c>
      <c r="F63" s="17" t="s">
        <v>3387</v>
      </c>
      <c r="G63" s="17">
        <v>4990</v>
      </c>
      <c r="H63" s="17">
        <v>0</v>
      </c>
      <c r="I63" s="17">
        <v>0.48</v>
      </c>
      <c r="J63" s="17">
        <v>0</v>
      </c>
      <c r="K63" s="17">
        <v>1</v>
      </c>
      <c r="L63" s="17" t="s">
        <v>3139</v>
      </c>
      <c r="M63" t="s">
        <v>3140</v>
      </c>
      <c r="N63" s="17" t="s">
        <v>3141</v>
      </c>
      <c r="O63" s="17" t="s">
        <v>3388</v>
      </c>
      <c r="P63" s="17" t="s">
        <v>3163</v>
      </c>
      <c r="Q63" s="17" t="s">
        <v>3143</v>
      </c>
      <c r="R63" s="17" t="s">
        <v>3144</v>
      </c>
      <c r="S63" s="17" t="s">
        <v>3145</v>
      </c>
      <c r="T63" s="17" t="s">
        <v>3164</v>
      </c>
      <c r="U63" s="17" t="s">
        <v>3146</v>
      </c>
      <c r="V63" s="17" t="s">
        <v>3147</v>
      </c>
      <c r="W63" s="17">
        <v>1206</v>
      </c>
      <c r="X63" s="17" t="s">
        <v>3148</v>
      </c>
      <c r="Y63" s="17" t="s">
        <v>3149</v>
      </c>
      <c r="Z63" s="17">
        <v>2</v>
      </c>
      <c r="AA63" s="17" t="s">
        <v>65</v>
      </c>
    </row>
    <row r="64" spans="1:27" x14ac:dyDescent="0.25">
      <c r="A64" t="s">
        <v>3134</v>
      </c>
      <c r="B64" s="17" t="s">
        <v>3135</v>
      </c>
      <c r="C64" s="17" t="s">
        <v>3389</v>
      </c>
      <c r="D64" s="17" t="s">
        <v>3390</v>
      </c>
      <c r="E64" s="17" t="s">
        <v>251</v>
      </c>
      <c r="F64" s="17" t="s">
        <v>3391</v>
      </c>
      <c r="G64" s="17">
        <v>4890</v>
      </c>
      <c r="H64" s="17">
        <v>0</v>
      </c>
      <c r="I64" s="17">
        <v>0.48</v>
      </c>
      <c r="J64" s="17">
        <v>0</v>
      </c>
      <c r="K64" s="17">
        <v>1</v>
      </c>
      <c r="L64" s="17" t="s">
        <v>3139</v>
      </c>
      <c r="M64" t="s">
        <v>3140</v>
      </c>
      <c r="N64" s="17" t="s">
        <v>3141</v>
      </c>
      <c r="O64" s="17" t="s">
        <v>3392</v>
      </c>
      <c r="P64" s="17" t="s">
        <v>3163</v>
      </c>
      <c r="Q64" s="17" t="s">
        <v>3143</v>
      </c>
      <c r="R64" s="17" t="s">
        <v>3144</v>
      </c>
      <c r="S64" s="17" t="s">
        <v>3145</v>
      </c>
      <c r="T64" s="17" t="s">
        <v>3164</v>
      </c>
      <c r="U64" s="17" t="s">
        <v>3146</v>
      </c>
      <c r="V64" s="17" t="s">
        <v>3147</v>
      </c>
      <c r="W64" s="17">
        <v>1206</v>
      </c>
      <c r="X64" s="17" t="s">
        <v>3148</v>
      </c>
      <c r="Y64" s="17" t="s">
        <v>3149</v>
      </c>
      <c r="Z64" s="17">
        <v>2</v>
      </c>
      <c r="AA64" s="17" t="s">
        <v>65</v>
      </c>
    </row>
    <row r="65" spans="1:27" x14ac:dyDescent="0.25">
      <c r="A65" t="s">
        <v>3134</v>
      </c>
      <c r="B65" s="17" t="s">
        <v>3135</v>
      </c>
      <c r="C65" s="17" t="s">
        <v>3393</v>
      </c>
      <c r="D65" s="17" t="s">
        <v>3394</v>
      </c>
      <c r="E65" s="17" t="s">
        <v>251</v>
      </c>
      <c r="F65" s="17" t="s">
        <v>3395</v>
      </c>
      <c r="G65" s="17">
        <v>4880</v>
      </c>
      <c r="H65" s="17">
        <v>0</v>
      </c>
      <c r="I65" s="17">
        <v>0.48</v>
      </c>
      <c r="J65" s="17">
        <v>0</v>
      </c>
      <c r="K65" s="17">
        <v>1</v>
      </c>
      <c r="L65" s="17" t="s">
        <v>3139</v>
      </c>
      <c r="M65" t="s">
        <v>3140</v>
      </c>
      <c r="N65" s="17" t="s">
        <v>3141</v>
      </c>
      <c r="O65" s="17" t="s">
        <v>3295</v>
      </c>
      <c r="P65" s="17" t="s">
        <v>3163</v>
      </c>
      <c r="Q65" s="17" t="s">
        <v>3143</v>
      </c>
      <c r="R65" s="17" t="s">
        <v>3144</v>
      </c>
      <c r="S65" s="17" t="s">
        <v>3145</v>
      </c>
      <c r="T65" s="17" t="s">
        <v>3164</v>
      </c>
      <c r="U65" s="17" t="s">
        <v>3146</v>
      </c>
      <c r="V65" s="17" t="s">
        <v>3147</v>
      </c>
      <c r="W65" s="17">
        <v>1206</v>
      </c>
      <c r="X65" s="17" t="s">
        <v>3148</v>
      </c>
      <c r="Y65" s="17" t="s">
        <v>3149</v>
      </c>
      <c r="Z65" s="17">
        <v>2</v>
      </c>
      <c r="AA65" s="17" t="s">
        <v>65</v>
      </c>
    </row>
    <row r="66" spans="1:27" x14ac:dyDescent="0.25">
      <c r="A66" t="s">
        <v>3134</v>
      </c>
      <c r="B66" s="17" t="s">
        <v>3135</v>
      </c>
      <c r="C66" s="17" t="s">
        <v>3396</v>
      </c>
      <c r="D66" s="17" t="s">
        <v>3397</v>
      </c>
      <c r="E66" s="17" t="s">
        <v>251</v>
      </c>
      <c r="F66" s="17" t="s">
        <v>3398</v>
      </c>
      <c r="G66" s="17">
        <v>4671</v>
      </c>
      <c r="H66" s="17">
        <v>0</v>
      </c>
      <c r="I66" s="17">
        <v>0.48</v>
      </c>
      <c r="J66" s="17">
        <v>0</v>
      </c>
      <c r="K66" s="17">
        <v>1</v>
      </c>
      <c r="L66" s="17" t="s">
        <v>3139</v>
      </c>
      <c r="M66" t="s">
        <v>3140</v>
      </c>
      <c r="N66" s="17" t="s">
        <v>3141</v>
      </c>
      <c r="O66" s="17" t="s">
        <v>3399</v>
      </c>
      <c r="P66" s="17" t="s">
        <v>3163</v>
      </c>
      <c r="Q66" s="17" t="s">
        <v>3143</v>
      </c>
      <c r="R66" s="17" t="s">
        <v>3144</v>
      </c>
      <c r="S66" s="17" t="s">
        <v>3145</v>
      </c>
      <c r="T66" s="17" t="s">
        <v>3164</v>
      </c>
      <c r="U66" s="17" t="s">
        <v>3146</v>
      </c>
      <c r="V66" s="17" t="s">
        <v>3147</v>
      </c>
      <c r="W66" s="17">
        <v>1206</v>
      </c>
      <c r="X66" s="17" t="s">
        <v>3148</v>
      </c>
      <c r="Y66" s="17" t="s">
        <v>3149</v>
      </c>
      <c r="Z66" s="17">
        <v>2</v>
      </c>
      <c r="AA66" s="17" t="s">
        <v>65</v>
      </c>
    </row>
    <row r="67" spans="1:27" x14ac:dyDescent="0.25">
      <c r="A67" t="s">
        <v>3134</v>
      </c>
      <c r="B67" s="17" t="s">
        <v>3135</v>
      </c>
      <c r="C67" s="17" t="s">
        <v>3400</v>
      </c>
      <c r="D67" s="17" t="s">
        <v>3401</v>
      </c>
      <c r="E67" s="17" t="s">
        <v>251</v>
      </c>
      <c r="F67" s="17" t="s">
        <v>3402</v>
      </c>
      <c r="G67" s="17">
        <v>4653</v>
      </c>
      <c r="H67" s="17">
        <v>0</v>
      </c>
      <c r="I67" s="17">
        <v>0.48</v>
      </c>
      <c r="J67" s="17">
        <v>0</v>
      </c>
      <c r="K67" s="17">
        <v>1</v>
      </c>
      <c r="L67" s="17" t="s">
        <v>3139</v>
      </c>
      <c r="M67" t="s">
        <v>3140</v>
      </c>
      <c r="N67" s="17" t="s">
        <v>3141</v>
      </c>
      <c r="O67" s="17" t="s">
        <v>3403</v>
      </c>
      <c r="P67" s="17" t="s">
        <v>3163</v>
      </c>
      <c r="Q67" s="17" t="s">
        <v>3143</v>
      </c>
      <c r="R67" s="17" t="s">
        <v>3144</v>
      </c>
      <c r="S67" s="17" t="s">
        <v>3145</v>
      </c>
      <c r="T67" s="17" t="s">
        <v>3164</v>
      </c>
      <c r="U67" s="17" t="s">
        <v>3146</v>
      </c>
      <c r="V67" s="17" t="s">
        <v>3147</v>
      </c>
      <c r="W67" s="17">
        <v>1206</v>
      </c>
      <c r="X67" s="17" t="s">
        <v>3148</v>
      </c>
      <c r="Y67" s="17" t="s">
        <v>3149</v>
      </c>
      <c r="Z67" s="17">
        <v>2</v>
      </c>
      <c r="AA67" s="17" t="s">
        <v>65</v>
      </c>
    </row>
    <row r="68" spans="1:27" x14ac:dyDescent="0.25">
      <c r="A68" t="s">
        <v>3134</v>
      </c>
      <c r="B68" s="17" t="s">
        <v>3135</v>
      </c>
      <c r="C68" s="17" t="s">
        <v>3404</v>
      </c>
      <c r="D68" s="17" t="s">
        <v>3405</v>
      </c>
      <c r="E68" s="17" t="s">
        <v>251</v>
      </c>
      <c r="F68" s="17" t="s">
        <v>3406</v>
      </c>
      <c r="G68" s="17">
        <v>4516</v>
      </c>
      <c r="H68" s="17">
        <v>0</v>
      </c>
      <c r="I68" s="17">
        <v>0.48</v>
      </c>
      <c r="J68" s="17">
        <v>0</v>
      </c>
      <c r="K68" s="17">
        <v>1</v>
      </c>
      <c r="L68" s="17" t="s">
        <v>3139</v>
      </c>
      <c r="M68" t="s">
        <v>3140</v>
      </c>
      <c r="N68" s="17" t="s">
        <v>3141</v>
      </c>
      <c r="O68" s="17" t="s">
        <v>3407</v>
      </c>
      <c r="P68" s="17" t="s">
        <v>3163</v>
      </c>
      <c r="Q68" s="17" t="s">
        <v>3143</v>
      </c>
      <c r="R68" s="17" t="s">
        <v>3144</v>
      </c>
      <c r="S68" s="17" t="s">
        <v>3145</v>
      </c>
      <c r="T68" s="17" t="s">
        <v>3164</v>
      </c>
      <c r="U68" s="17" t="s">
        <v>3146</v>
      </c>
      <c r="V68" s="17" t="s">
        <v>3147</v>
      </c>
      <c r="W68" s="17">
        <v>1206</v>
      </c>
      <c r="X68" s="17" t="s">
        <v>3148</v>
      </c>
      <c r="Y68" s="17" t="s">
        <v>3149</v>
      </c>
      <c r="Z68" s="17">
        <v>2</v>
      </c>
      <c r="AA68" s="17" t="s">
        <v>65</v>
      </c>
    </row>
    <row r="69" spans="1:27" x14ac:dyDescent="0.25">
      <c r="A69" t="s">
        <v>3134</v>
      </c>
      <c r="B69" s="17" t="s">
        <v>3135</v>
      </c>
      <c r="C69" s="17" t="s">
        <v>3408</v>
      </c>
      <c r="D69" s="17" t="s">
        <v>3409</v>
      </c>
      <c r="E69" s="17" t="s">
        <v>251</v>
      </c>
      <c r="F69" s="17" t="s">
        <v>3410</v>
      </c>
      <c r="G69" s="17">
        <v>4480</v>
      </c>
      <c r="H69" s="17">
        <v>0</v>
      </c>
      <c r="I69" s="17">
        <v>0.48</v>
      </c>
      <c r="J69" s="17">
        <v>0</v>
      </c>
      <c r="K69" s="17">
        <v>1</v>
      </c>
      <c r="L69" s="17" t="s">
        <v>3139</v>
      </c>
      <c r="M69" t="s">
        <v>3140</v>
      </c>
      <c r="N69" s="17" t="s">
        <v>3141</v>
      </c>
      <c r="O69" s="17" t="s">
        <v>3411</v>
      </c>
      <c r="P69" s="17" t="s">
        <v>3163</v>
      </c>
      <c r="Q69" s="17" t="s">
        <v>3143</v>
      </c>
      <c r="R69" s="17" t="s">
        <v>3144</v>
      </c>
      <c r="S69" s="17" t="s">
        <v>3145</v>
      </c>
      <c r="T69" s="17" t="s">
        <v>3164</v>
      </c>
      <c r="U69" s="17" t="s">
        <v>3146</v>
      </c>
      <c r="V69" s="17" t="s">
        <v>3147</v>
      </c>
      <c r="W69" s="17">
        <v>1206</v>
      </c>
      <c r="X69" s="17" t="s">
        <v>3148</v>
      </c>
      <c r="Y69" s="17" t="s">
        <v>3149</v>
      </c>
      <c r="Z69" s="17">
        <v>2</v>
      </c>
      <c r="AA69" s="17" t="s">
        <v>65</v>
      </c>
    </row>
    <row r="70" spans="1:27" x14ac:dyDescent="0.25">
      <c r="A70" t="s">
        <v>3134</v>
      </c>
      <c r="B70" s="17" t="s">
        <v>3135</v>
      </c>
      <c r="C70" s="17" t="s">
        <v>3412</v>
      </c>
      <c r="D70" s="17" t="s">
        <v>3413</v>
      </c>
      <c r="E70" s="17" t="s">
        <v>251</v>
      </c>
      <c r="F70" s="17" t="s">
        <v>3414</v>
      </c>
      <c r="G70" s="17">
        <v>3975</v>
      </c>
      <c r="H70" s="17">
        <v>0</v>
      </c>
      <c r="I70" s="17">
        <v>0.48</v>
      </c>
      <c r="J70" s="17">
        <v>0</v>
      </c>
      <c r="K70" s="17">
        <v>1</v>
      </c>
      <c r="L70" s="17" t="s">
        <v>3139</v>
      </c>
      <c r="M70" t="s">
        <v>3140</v>
      </c>
      <c r="N70" s="17" t="s">
        <v>3141</v>
      </c>
      <c r="O70" s="17" t="s">
        <v>3415</v>
      </c>
      <c r="P70" s="17" t="s">
        <v>3163</v>
      </c>
      <c r="Q70" s="17" t="s">
        <v>3143</v>
      </c>
      <c r="R70" s="17" t="s">
        <v>3144</v>
      </c>
      <c r="S70" s="17" t="s">
        <v>3145</v>
      </c>
      <c r="T70" s="17" t="s">
        <v>3164</v>
      </c>
      <c r="U70" s="17" t="s">
        <v>3146</v>
      </c>
      <c r="V70" s="17" t="s">
        <v>3147</v>
      </c>
      <c r="W70" s="17">
        <v>1206</v>
      </c>
      <c r="X70" s="17" t="s">
        <v>3148</v>
      </c>
      <c r="Y70" s="17" t="s">
        <v>3149</v>
      </c>
      <c r="Z70" s="17">
        <v>2</v>
      </c>
      <c r="AA70" s="17" t="s">
        <v>65</v>
      </c>
    </row>
    <row r="71" spans="1:27" x14ac:dyDescent="0.25">
      <c r="A71" t="s">
        <v>3134</v>
      </c>
      <c r="B71" s="17" t="s">
        <v>3135</v>
      </c>
      <c r="C71" s="17" t="s">
        <v>3416</v>
      </c>
      <c r="D71" s="17" t="s">
        <v>3417</v>
      </c>
      <c r="E71" s="17" t="s">
        <v>251</v>
      </c>
      <c r="F71" s="17" t="s">
        <v>3418</v>
      </c>
      <c r="G71" s="17">
        <v>3447</v>
      </c>
      <c r="H71" s="17">
        <v>0</v>
      </c>
      <c r="I71" s="17">
        <v>0.48</v>
      </c>
      <c r="J71" s="17">
        <v>0</v>
      </c>
      <c r="K71" s="17">
        <v>1</v>
      </c>
      <c r="L71" s="17" t="s">
        <v>3139</v>
      </c>
      <c r="M71" t="s">
        <v>3140</v>
      </c>
      <c r="N71" s="17" t="s">
        <v>3141</v>
      </c>
      <c r="O71" s="17" t="s">
        <v>3419</v>
      </c>
      <c r="P71" s="17" t="s">
        <v>3163</v>
      </c>
      <c r="Q71" s="17" t="s">
        <v>3143</v>
      </c>
      <c r="R71" s="17" t="s">
        <v>3144</v>
      </c>
      <c r="S71" s="17" t="s">
        <v>3145</v>
      </c>
      <c r="T71" s="17" t="s">
        <v>3164</v>
      </c>
      <c r="U71" s="17" t="s">
        <v>3146</v>
      </c>
      <c r="V71" s="17" t="s">
        <v>3147</v>
      </c>
      <c r="W71" s="17">
        <v>1206</v>
      </c>
      <c r="X71" s="17" t="s">
        <v>3148</v>
      </c>
      <c r="Y71" s="17" t="s">
        <v>3149</v>
      </c>
      <c r="Z71" s="17">
        <v>2</v>
      </c>
      <c r="AA71" s="17" t="s">
        <v>65</v>
      </c>
    </row>
    <row r="72" spans="1:27" x14ac:dyDescent="0.25">
      <c r="A72" t="s">
        <v>3134</v>
      </c>
      <c r="B72" s="17" t="s">
        <v>3135</v>
      </c>
      <c r="C72" s="17" t="s">
        <v>3420</v>
      </c>
      <c r="D72" s="17" t="s">
        <v>3421</v>
      </c>
      <c r="E72" s="17" t="s">
        <v>251</v>
      </c>
      <c r="F72" s="17" t="s">
        <v>3422</v>
      </c>
      <c r="G72" s="17">
        <v>3239</v>
      </c>
      <c r="H72" s="17">
        <v>0</v>
      </c>
      <c r="I72" s="17">
        <v>0.48</v>
      </c>
      <c r="J72" s="17">
        <v>0</v>
      </c>
      <c r="K72" s="17">
        <v>1</v>
      </c>
      <c r="L72" s="17" t="s">
        <v>3139</v>
      </c>
      <c r="M72" t="s">
        <v>3140</v>
      </c>
      <c r="N72" s="17" t="s">
        <v>3141</v>
      </c>
      <c r="O72" s="17" t="s">
        <v>3423</v>
      </c>
      <c r="P72" s="17" t="s">
        <v>3163</v>
      </c>
      <c r="Q72" s="17" t="s">
        <v>3143</v>
      </c>
      <c r="R72" s="17" t="s">
        <v>3144</v>
      </c>
      <c r="S72" s="17" t="s">
        <v>3145</v>
      </c>
      <c r="T72" s="17" t="s">
        <v>3164</v>
      </c>
      <c r="U72" s="17" t="s">
        <v>3146</v>
      </c>
      <c r="V72" s="17" t="s">
        <v>3147</v>
      </c>
      <c r="W72" s="17">
        <v>1206</v>
      </c>
      <c r="X72" s="17" t="s">
        <v>3148</v>
      </c>
      <c r="Y72" s="17" t="s">
        <v>3149</v>
      </c>
      <c r="Z72" s="17">
        <v>2</v>
      </c>
      <c r="AA72" s="17" t="s">
        <v>65</v>
      </c>
    </row>
    <row r="73" spans="1:27" x14ac:dyDescent="0.25">
      <c r="A73" t="s">
        <v>3134</v>
      </c>
      <c r="B73" s="17" t="s">
        <v>3135</v>
      </c>
      <c r="C73" s="17" t="s">
        <v>3424</v>
      </c>
      <c r="D73" s="17" t="s">
        <v>3425</v>
      </c>
      <c r="E73" s="17" t="s">
        <v>251</v>
      </c>
      <c r="F73" s="17" t="s">
        <v>3426</v>
      </c>
      <c r="G73" s="17">
        <v>3173</v>
      </c>
      <c r="H73" s="17">
        <v>0</v>
      </c>
      <c r="I73" s="17">
        <v>0.48</v>
      </c>
      <c r="J73" s="17">
        <v>0</v>
      </c>
      <c r="K73" s="17">
        <v>1</v>
      </c>
      <c r="L73" s="17" t="s">
        <v>3139</v>
      </c>
      <c r="M73" t="s">
        <v>3140</v>
      </c>
      <c r="N73" s="17" t="s">
        <v>3141</v>
      </c>
      <c r="O73" s="17" t="s">
        <v>3364</v>
      </c>
      <c r="P73" s="17" t="s">
        <v>3163</v>
      </c>
      <c r="Q73" s="17" t="s">
        <v>3143</v>
      </c>
      <c r="R73" s="17" t="s">
        <v>3144</v>
      </c>
      <c r="S73" s="17" t="s">
        <v>3145</v>
      </c>
      <c r="T73" s="17" t="s">
        <v>3164</v>
      </c>
      <c r="U73" s="17" t="s">
        <v>3146</v>
      </c>
      <c r="V73" s="17" t="s">
        <v>3147</v>
      </c>
      <c r="W73" s="17">
        <v>1206</v>
      </c>
      <c r="X73" s="17" t="s">
        <v>3148</v>
      </c>
      <c r="Y73" s="17" t="s">
        <v>3149</v>
      </c>
      <c r="Z73" s="17">
        <v>2</v>
      </c>
      <c r="AA73" s="17" t="s">
        <v>65</v>
      </c>
    </row>
    <row r="74" spans="1:27" x14ac:dyDescent="0.25">
      <c r="A74" t="s">
        <v>3134</v>
      </c>
      <c r="B74" s="17" t="s">
        <v>3135</v>
      </c>
      <c r="C74" s="17" t="s">
        <v>3427</v>
      </c>
      <c r="D74" s="17" t="s">
        <v>3428</v>
      </c>
      <c r="E74" s="17" t="s">
        <v>251</v>
      </c>
      <c r="F74" s="17" t="s">
        <v>3429</v>
      </c>
      <c r="G74" s="17">
        <v>3165</v>
      </c>
      <c r="H74" s="17">
        <v>0</v>
      </c>
      <c r="I74" s="17">
        <v>0.48</v>
      </c>
      <c r="J74" s="17">
        <v>0</v>
      </c>
      <c r="K74" s="17">
        <v>1</v>
      </c>
      <c r="L74" s="17" t="s">
        <v>3139</v>
      </c>
      <c r="M74" t="s">
        <v>3140</v>
      </c>
      <c r="N74" s="17" t="s">
        <v>3141</v>
      </c>
      <c r="O74" s="17" t="s">
        <v>3430</v>
      </c>
      <c r="P74" s="17" t="s">
        <v>3163</v>
      </c>
      <c r="Q74" s="17" t="s">
        <v>3143</v>
      </c>
      <c r="R74" s="17" t="s">
        <v>3144</v>
      </c>
      <c r="S74" s="17" t="s">
        <v>3145</v>
      </c>
      <c r="T74" s="17" t="s">
        <v>3164</v>
      </c>
      <c r="U74" s="17" t="s">
        <v>3146</v>
      </c>
      <c r="V74" s="17" t="s">
        <v>3147</v>
      </c>
      <c r="W74" s="17">
        <v>1206</v>
      </c>
      <c r="X74" s="17" t="s">
        <v>3148</v>
      </c>
      <c r="Y74" s="17" t="s">
        <v>3149</v>
      </c>
      <c r="Z74" s="17">
        <v>2</v>
      </c>
      <c r="AA74" s="17" t="s">
        <v>65</v>
      </c>
    </row>
    <row r="75" spans="1:27" x14ac:dyDescent="0.25">
      <c r="A75" t="s">
        <v>3134</v>
      </c>
      <c r="B75" s="17" t="s">
        <v>3135</v>
      </c>
      <c r="C75" s="17" t="s">
        <v>3431</v>
      </c>
      <c r="D75" s="17" t="s">
        <v>3432</v>
      </c>
      <c r="E75" s="17" t="s">
        <v>251</v>
      </c>
      <c r="F75" s="17" t="s">
        <v>3433</v>
      </c>
      <c r="G75" s="17">
        <v>2986</v>
      </c>
      <c r="H75" s="17">
        <v>0</v>
      </c>
      <c r="I75" s="17">
        <v>0.48</v>
      </c>
      <c r="J75" s="17">
        <v>0</v>
      </c>
      <c r="K75" s="17">
        <v>1</v>
      </c>
      <c r="L75" s="17" t="s">
        <v>3139</v>
      </c>
      <c r="M75" t="s">
        <v>3140</v>
      </c>
      <c r="N75" s="17" t="s">
        <v>3141</v>
      </c>
      <c r="O75" s="17" t="s">
        <v>3434</v>
      </c>
      <c r="P75" s="17" t="s">
        <v>3163</v>
      </c>
      <c r="Q75" s="17" t="s">
        <v>3143</v>
      </c>
      <c r="R75" s="17" t="s">
        <v>3144</v>
      </c>
      <c r="S75" s="17" t="s">
        <v>3145</v>
      </c>
      <c r="T75" s="17" t="s">
        <v>3164</v>
      </c>
      <c r="U75" s="17" t="s">
        <v>3146</v>
      </c>
      <c r="V75" s="17" t="s">
        <v>3147</v>
      </c>
      <c r="W75" s="17">
        <v>1206</v>
      </c>
      <c r="X75" s="17" t="s">
        <v>3148</v>
      </c>
      <c r="Y75" s="17" t="s">
        <v>3149</v>
      </c>
      <c r="Z75" s="17">
        <v>2</v>
      </c>
      <c r="AA75" s="17" t="s">
        <v>65</v>
      </c>
    </row>
    <row r="76" spans="1:27" x14ac:dyDescent="0.25">
      <c r="A76" t="s">
        <v>3134</v>
      </c>
      <c r="B76" s="17" t="s">
        <v>3135</v>
      </c>
      <c r="C76" s="17" t="s">
        <v>3435</v>
      </c>
      <c r="D76" s="17" t="s">
        <v>3436</v>
      </c>
      <c r="E76" s="17" t="s">
        <v>251</v>
      </c>
      <c r="F76" s="17" t="s">
        <v>3437</v>
      </c>
      <c r="G76" s="17">
        <v>2602</v>
      </c>
      <c r="H76" s="17">
        <v>0</v>
      </c>
      <c r="I76" s="17">
        <v>0.48</v>
      </c>
      <c r="J76" s="17">
        <v>0</v>
      </c>
      <c r="K76" s="17">
        <v>1</v>
      </c>
      <c r="L76" s="17" t="s">
        <v>3139</v>
      </c>
      <c r="M76" t="s">
        <v>3140</v>
      </c>
      <c r="N76" s="17" t="s">
        <v>3141</v>
      </c>
      <c r="O76" s="17" t="s">
        <v>3438</v>
      </c>
      <c r="P76" s="17" t="s">
        <v>3163</v>
      </c>
      <c r="Q76" s="17" t="s">
        <v>3143</v>
      </c>
      <c r="R76" s="17" t="s">
        <v>3144</v>
      </c>
      <c r="S76" s="17" t="s">
        <v>3145</v>
      </c>
      <c r="T76" s="17" t="s">
        <v>3164</v>
      </c>
      <c r="U76" s="17" t="s">
        <v>3146</v>
      </c>
      <c r="V76" s="17" t="s">
        <v>3147</v>
      </c>
      <c r="W76" s="17">
        <v>1206</v>
      </c>
      <c r="X76" s="17" t="s">
        <v>3148</v>
      </c>
      <c r="Y76" s="17" t="s">
        <v>3149</v>
      </c>
      <c r="Z76" s="17">
        <v>2</v>
      </c>
      <c r="AA76" s="17" t="s">
        <v>65</v>
      </c>
    </row>
    <row r="77" spans="1:27" x14ac:dyDescent="0.25">
      <c r="A77" t="s">
        <v>3134</v>
      </c>
      <c r="B77" s="17" t="s">
        <v>3135</v>
      </c>
      <c r="C77" s="17" t="s">
        <v>3439</v>
      </c>
      <c r="D77" s="17" t="s">
        <v>3440</v>
      </c>
      <c r="E77" s="17" t="s">
        <v>251</v>
      </c>
      <c r="F77" s="17" t="s">
        <v>3441</v>
      </c>
      <c r="G77" s="17">
        <v>2555</v>
      </c>
      <c r="H77" s="17">
        <v>0</v>
      </c>
      <c r="I77" s="17">
        <v>0.48</v>
      </c>
      <c r="J77" s="17">
        <v>0</v>
      </c>
      <c r="K77" s="17">
        <v>1</v>
      </c>
      <c r="L77" s="17" t="s">
        <v>3139</v>
      </c>
      <c r="M77" t="s">
        <v>3140</v>
      </c>
      <c r="N77" s="17" t="s">
        <v>3141</v>
      </c>
      <c r="O77" s="17" t="s">
        <v>3442</v>
      </c>
      <c r="P77" s="17" t="s">
        <v>3163</v>
      </c>
      <c r="Q77" s="17" t="s">
        <v>3143</v>
      </c>
      <c r="R77" s="17" t="s">
        <v>3144</v>
      </c>
      <c r="S77" s="17" t="s">
        <v>3145</v>
      </c>
      <c r="T77" s="17" t="s">
        <v>3164</v>
      </c>
      <c r="U77" s="17" t="s">
        <v>3146</v>
      </c>
      <c r="V77" s="17" t="s">
        <v>3147</v>
      </c>
      <c r="W77" s="17">
        <v>1206</v>
      </c>
      <c r="X77" s="17" t="s">
        <v>3148</v>
      </c>
      <c r="Y77" s="17" t="s">
        <v>3149</v>
      </c>
      <c r="Z77" s="17">
        <v>2</v>
      </c>
      <c r="AA77" s="17" t="s">
        <v>65</v>
      </c>
    </row>
    <row r="78" spans="1:27" x14ac:dyDescent="0.25">
      <c r="A78" t="s">
        <v>3134</v>
      </c>
      <c r="B78" s="17" t="s">
        <v>3135</v>
      </c>
      <c r="C78" s="17" t="s">
        <v>3443</v>
      </c>
      <c r="D78" s="17" t="s">
        <v>3444</v>
      </c>
      <c r="E78" s="17" t="s">
        <v>251</v>
      </c>
      <c r="F78" s="17" t="s">
        <v>3445</v>
      </c>
      <c r="G78" s="17">
        <v>2540</v>
      </c>
      <c r="H78" s="17">
        <v>0</v>
      </c>
      <c r="I78" s="17">
        <v>0.48</v>
      </c>
      <c r="J78" s="17">
        <v>0</v>
      </c>
      <c r="K78" s="17">
        <v>1</v>
      </c>
      <c r="L78" s="17" t="s">
        <v>3139</v>
      </c>
      <c r="M78" t="s">
        <v>3140</v>
      </c>
      <c r="N78" s="17" t="s">
        <v>3141</v>
      </c>
      <c r="O78" s="17" t="s">
        <v>3446</v>
      </c>
      <c r="P78" s="17" t="s">
        <v>3163</v>
      </c>
      <c r="Q78" s="17" t="s">
        <v>3143</v>
      </c>
      <c r="R78" s="17" t="s">
        <v>3144</v>
      </c>
      <c r="S78" s="17" t="s">
        <v>3145</v>
      </c>
      <c r="T78" s="17" t="s">
        <v>3164</v>
      </c>
      <c r="U78" s="17" t="s">
        <v>3146</v>
      </c>
      <c r="V78" s="17" t="s">
        <v>3147</v>
      </c>
      <c r="W78" s="17">
        <v>1206</v>
      </c>
      <c r="X78" s="17" t="s">
        <v>3148</v>
      </c>
      <c r="Y78" s="17" t="s">
        <v>3149</v>
      </c>
      <c r="Z78" s="17">
        <v>2</v>
      </c>
      <c r="AA78" s="17" t="s">
        <v>65</v>
      </c>
    </row>
    <row r="79" spans="1:27" x14ac:dyDescent="0.25">
      <c r="A79" t="s">
        <v>3134</v>
      </c>
      <c r="B79" s="17" t="s">
        <v>3135</v>
      </c>
      <c r="C79" s="17" t="s">
        <v>3447</v>
      </c>
      <c r="D79" s="17" t="s">
        <v>3448</v>
      </c>
      <c r="E79" s="17" t="s">
        <v>251</v>
      </c>
      <c r="F79" s="17" t="s">
        <v>3449</v>
      </c>
      <c r="G79" s="17">
        <v>2512</v>
      </c>
      <c r="H79" s="17">
        <v>0</v>
      </c>
      <c r="I79" s="17">
        <v>0.48</v>
      </c>
      <c r="J79" s="17">
        <v>0</v>
      </c>
      <c r="K79" s="17">
        <v>1</v>
      </c>
      <c r="L79" s="17" t="s">
        <v>3139</v>
      </c>
      <c r="M79" t="s">
        <v>3140</v>
      </c>
      <c r="N79" s="17" t="s">
        <v>3141</v>
      </c>
      <c r="O79" s="17" t="s">
        <v>3450</v>
      </c>
      <c r="P79" s="17" t="s">
        <v>3163</v>
      </c>
      <c r="Q79" s="17" t="s">
        <v>3143</v>
      </c>
      <c r="R79" s="17" t="s">
        <v>3144</v>
      </c>
      <c r="S79" s="17" t="s">
        <v>3145</v>
      </c>
      <c r="T79" s="17" t="s">
        <v>3164</v>
      </c>
      <c r="U79" s="17" t="s">
        <v>3146</v>
      </c>
      <c r="V79" s="17" t="s">
        <v>3147</v>
      </c>
      <c r="W79" s="17">
        <v>1206</v>
      </c>
      <c r="X79" s="17" t="s">
        <v>3148</v>
      </c>
      <c r="Y79" s="17" t="s">
        <v>3149</v>
      </c>
      <c r="Z79" s="17">
        <v>2</v>
      </c>
      <c r="AA79" s="17" t="s">
        <v>65</v>
      </c>
    </row>
    <row r="80" spans="1:27" x14ac:dyDescent="0.25">
      <c r="A80" t="s">
        <v>3134</v>
      </c>
      <c r="B80" s="17" t="s">
        <v>3135</v>
      </c>
      <c r="C80" s="17" t="s">
        <v>3451</v>
      </c>
      <c r="D80" s="17" t="s">
        <v>3452</v>
      </c>
      <c r="E80" s="17" t="s">
        <v>251</v>
      </c>
      <c r="F80" s="17" t="s">
        <v>3453</v>
      </c>
      <c r="G80" s="17">
        <v>2126</v>
      </c>
      <c r="H80" s="17">
        <v>0</v>
      </c>
      <c r="I80" s="17">
        <v>0.48</v>
      </c>
      <c r="J80" s="17">
        <v>0</v>
      </c>
      <c r="K80" s="17">
        <v>1</v>
      </c>
      <c r="L80" s="17" t="s">
        <v>3139</v>
      </c>
      <c r="M80" t="s">
        <v>3140</v>
      </c>
      <c r="N80" s="17" t="s">
        <v>3141</v>
      </c>
      <c r="O80" s="17" t="s">
        <v>3454</v>
      </c>
      <c r="P80" s="17" t="s">
        <v>3163</v>
      </c>
      <c r="Q80" s="17" t="s">
        <v>3143</v>
      </c>
      <c r="R80" s="17" t="s">
        <v>3144</v>
      </c>
      <c r="S80" s="17" t="s">
        <v>3145</v>
      </c>
      <c r="T80" s="17" t="s">
        <v>3164</v>
      </c>
      <c r="U80" s="17" t="s">
        <v>3146</v>
      </c>
      <c r="V80" s="17" t="s">
        <v>3147</v>
      </c>
      <c r="W80" s="17">
        <v>1206</v>
      </c>
      <c r="X80" s="17" t="s">
        <v>3148</v>
      </c>
      <c r="Y80" s="17" t="s">
        <v>3149</v>
      </c>
      <c r="Z80" s="17">
        <v>2</v>
      </c>
      <c r="AA80" s="17" t="s">
        <v>65</v>
      </c>
    </row>
    <row r="81" spans="1:27" x14ac:dyDescent="0.25">
      <c r="A81" t="s">
        <v>3134</v>
      </c>
      <c r="B81" s="17" t="s">
        <v>3135</v>
      </c>
      <c r="C81" s="17" t="s">
        <v>3455</v>
      </c>
      <c r="D81" s="17" t="s">
        <v>3456</v>
      </c>
      <c r="E81" s="17" t="s">
        <v>251</v>
      </c>
      <c r="F81" s="17" t="s">
        <v>3457</v>
      </c>
      <c r="G81" s="17">
        <v>448</v>
      </c>
      <c r="H81" s="17">
        <v>0</v>
      </c>
      <c r="I81" s="17">
        <v>0.44</v>
      </c>
      <c r="J81" s="17">
        <v>0</v>
      </c>
      <c r="K81" s="17">
        <v>1</v>
      </c>
      <c r="L81" s="17" t="s">
        <v>3139</v>
      </c>
      <c r="M81" t="s">
        <v>3140</v>
      </c>
      <c r="N81" s="17" t="s">
        <v>3141</v>
      </c>
      <c r="O81" s="17" t="s">
        <v>3458</v>
      </c>
      <c r="P81" s="17" t="s">
        <v>3154</v>
      </c>
      <c r="Q81" s="17" t="s">
        <v>3143</v>
      </c>
      <c r="R81" s="17" t="s">
        <v>3144</v>
      </c>
      <c r="S81" s="17" t="s">
        <v>3145</v>
      </c>
      <c r="T81" s="17" t="s">
        <v>3155</v>
      </c>
      <c r="U81" s="17" t="s">
        <v>3146</v>
      </c>
      <c r="V81" s="17" t="s">
        <v>3147</v>
      </c>
      <c r="W81" s="17">
        <v>1206</v>
      </c>
      <c r="X81" s="17" t="s">
        <v>3148</v>
      </c>
      <c r="Y81" s="17" t="s">
        <v>3149</v>
      </c>
      <c r="Z81" s="17">
        <v>2</v>
      </c>
      <c r="AA81" s="17" t="s">
        <v>65</v>
      </c>
    </row>
    <row r="82" spans="1:27" x14ac:dyDescent="0.25">
      <c r="A82" t="s">
        <v>3134</v>
      </c>
      <c r="B82" s="17" t="s">
        <v>3135</v>
      </c>
      <c r="C82" s="17" t="s">
        <v>3459</v>
      </c>
      <c r="D82" s="17" t="s">
        <v>3460</v>
      </c>
      <c r="E82" s="17" t="s">
        <v>251</v>
      </c>
      <c r="F82" s="17" t="s">
        <v>3461</v>
      </c>
      <c r="G82" s="17">
        <v>988</v>
      </c>
      <c r="H82" s="17">
        <v>0</v>
      </c>
      <c r="I82" s="17">
        <v>0.48</v>
      </c>
      <c r="J82" s="17">
        <v>0</v>
      </c>
      <c r="K82" s="17">
        <v>1</v>
      </c>
      <c r="L82" s="17" t="s">
        <v>3139</v>
      </c>
      <c r="M82" t="s">
        <v>3140</v>
      </c>
      <c r="N82" s="17" t="s">
        <v>3141</v>
      </c>
      <c r="O82" s="17" t="s">
        <v>3462</v>
      </c>
      <c r="P82" s="17" t="s">
        <v>3163</v>
      </c>
      <c r="Q82" s="17" t="s">
        <v>3143</v>
      </c>
      <c r="R82" s="17" t="s">
        <v>3144</v>
      </c>
      <c r="S82" s="17" t="s">
        <v>3145</v>
      </c>
      <c r="T82" s="17" t="s">
        <v>3164</v>
      </c>
      <c r="U82" s="17" t="s">
        <v>3146</v>
      </c>
      <c r="V82" s="17" t="s">
        <v>3147</v>
      </c>
      <c r="W82" s="17">
        <v>1206</v>
      </c>
      <c r="X82" s="17" t="s">
        <v>3148</v>
      </c>
      <c r="Y82" s="17" t="s">
        <v>3149</v>
      </c>
      <c r="Z82" s="17">
        <v>2</v>
      </c>
      <c r="AA82" s="17" t="s">
        <v>65</v>
      </c>
    </row>
    <row r="83" spans="1:27" x14ac:dyDescent="0.25">
      <c r="A83" t="s">
        <v>3134</v>
      </c>
      <c r="B83" s="17" t="s">
        <v>3135</v>
      </c>
      <c r="C83" s="17" t="s">
        <v>3463</v>
      </c>
      <c r="D83" s="17" t="s">
        <v>3464</v>
      </c>
      <c r="E83" s="17" t="s">
        <v>251</v>
      </c>
      <c r="F83" s="17" t="s">
        <v>3465</v>
      </c>
      <c r="G83" s="17">
        <v>451</v>
      </c>
      <c r="H83" s="17">
        <v>0</v>
      </c>
      <c r="I83" s="17">
        <v>0.48</v>
      </c>
      <c r="J83" s="17">
        <v>0</v>
      </c>
      <c r="K83" s="17">
        <v>1</v>
      </c>
      <c r="L83" s="17" t="s">
        <v>3139</v>
      </c>
      <c r="M83" t="s">
        <v>3140</v>
      </c>
      <c r="N83" s="17" t="s">
        <v>3141</v>
      </c>
      <c r="O83" s="17" t="s">
        <v>3466</v>
      </c>
      <c r="P83" s="17" t="s">
        <v>3163</v>
      </c>
      <c r="Q83" s="17" t="s">
        <v>3143</v>
      </c>
      <c r="R83" s="17" t="s">
        <v>3144</v>
      </c>
      <c r="S83" s="17" t="s">
        <v>3145</v>
      </c>
      <c r="T83" s="17" t="s">
        <v>3164</v>
      </c>
      <c r="U83" s="17" t="s">
        <v>3146</v>
      </c>
      <c r="V83" s="17" t="s">
        <v>3147</v>
      </c>
      <c r="W83" s="17">
        <v>1206</v>
      </c>
      <c r="X83" s="17" t="s">
        <v>3148</v>
      </c>
      <c r="Y83" s="17" t="s">
        <v>3149</v>
      </c>
      <c r="Z83" s="17">
        <v>2</v>
      </c>
      <c r="AA83" s="17" t="s">
        <v>65</v>
      </c>
    </row>
    <row r="84" spans="1:27" x14ac:dyDescent="0.25">
      <c r="A84" t="s">
        <v>3134</v>
      </c>
      <c r="B84" s="17" t="s">
        <v>3135</v>
      </c>
      <c r="C84" s="17" t="s">
        <v>3467</v>
      </c>
      <c r="D84" s="17" t="s">
        <v>3468</v>
      </c>
      <c r="E84" s="17" t="s">
        <v>251</v>
      </c>
      <c r="F84" s="17" t="s">
        <v>3469</v>
      </c>
      <c r="G84" s="17">
        <v>402</v>
      </c>
      <c r="H84" s="17">
        <v>0</v>
      </c>
      <c r="I84" s="17">
        <v>0.48</v>
      </c>
      <c r="J84" s="17">
        <v>0</v>
      </c>
      <c r="K84" s="17">
        <v>1</v>
      </c>
      <c r="L84" s="17" t="s">
        <v>3139</v>
      </c>
      <c r="M84" t="s">
        <v>3140</v>
      </c>
      <c r="N84" s="17" t="s">
        <v>3141</v>
      </c>
      <c r="O84" s="17" t="s">
        <v>3470</v>
      </c>
      <c r="P84" s="17" t="s">
        <v>3163</v>
      </c>
      <c r="Q84" s="17" t="s">
        <v>3143</v>
      </c>
      <c r="R84" s="17" t="s">
        <v>3144</v>
      </c>
      <c r="S84" s="17" t="s">
        <v>3145</v>
      </c>
      <c r="T84" s="17" t="s">
        <v>3164</v>
      </c>
      <c r="U84" s="17" t="s">
        <v>3146</v>
      </c>
      <c r="V84" s="17" t="s">
        <v>3147</v>
      </c>
      <c r="W84" s="17">
        <v>1206</v>
      </c>
      <c r="X84" s="17" t="s">
        <v>3148</v>
      </c>
      <c r="Y84" s="17" t="s">
        <v>3149</v>
      </c>
      <c r="Z84" s="17">
        <v>2</v>
      </c>
      <c r="AA84" s="17" t="s">
        <v>65</v>
      </c>
    </row>
    <row r="85" spans="1:27" x14ac:dyDescent="0.25">
      <c r="A85" t="s">
        <v>3134</v>
      </c>
      <c r="B85" s="17" t="s">
        <v>3135</v>
      </c>
      <c r="C85" s="17" t="s">
        <v>3471</v>
      </c>
      <c r="D85" s="17" t="s">
        <v>3472</v>
      </c>
      <c r="E85" s="17" t="s">
        <v>251</v>
      </c>
      <c r="F85" s="17" t="s">
        <v>3473</v>
      </c>
      <c r="G85" s="17">
        <v>369</v>
      </c>
      <c r="H85" s="17">
        <v>0</v>
      </c>
      <c r="I85" s="17">
        <v>0.48</v>
      </c>
      <c r="J85" s="17">
        <v>0</v>
      </c>
      <c r="K85" s="17">
        <v>1</v>
      </c>
      <c r="L85" s="17" t="s">
        <v>3139</v>
      </c>
      <c r="M85" t="s">
        <v>3140</v>
      </c>
      <c r="N85" s="17" t="s">
        <v>3141</v>
      </c>
      <c r="O85" s="17" t="s">
        <v>3187</v>
      </c>
      <c r="P85" s="17" t="s">
        <v>3163</v>
      </c>
      <c r="Q85" s="17" t="s">
        <v>3143</v>
      </c>
      <c r="R85" s="17" t="s">
        <v>3144</v>
      </c>
      <c r="S85" s="17" t="s">
        <v>3145</v>
      </c>
      <c r="T85" s="17" t="s">
        <v>3164</v>
      </c>
      <c r="U85" s="17" t="s">
        <v>3146</v>
      </c>
      <c r="V85" s="17" t="s">
        <v>3147</v>
      </c>
      <c r="W85" s="17">
        <v>1206</v>
      </c>
      <c r="X85" s="17" t="s">
        <v>3148</v>
      </c>
      <c r="Y85" s="17" t="s">
        <v>3149</v>
      </c>
      <c r="Z85" s="17">
        <v>2</v>
      </c>
      <c r="AA85" s="17" t="s">
        <v>65</v>
      </c>
    </row>
    <row r="86" spans="1:27" x14ac:dyDescent="0.25">
      <c r="A86" t="s">
        <v>3134</v>
      </c>
      <c r="B86" s="17" t="s">
        <v>3135</v>
      </c>
      <c r="C86" s="17" t="s">
        <v>3474</v>
      </c>
      <c r="D86" s="17" t="s">
        <v>3475</v>
      </c>
      <c r="E86" s="17" t="s">
        <v>251</v>
      </c>
      <c r="F86" s="17" t="s">
        <v>3476</v>
      </c>
      <c r="G86" s="17">
        <v>316</v>
      </c>
      <c r="H86" s="17">
        <v>0</v>
      </c>
      <c r="I86" s="17">
        <v>0.48</v>
      </c>
      <c r="J86" s="17">
        <v>0</v>
      </c>
      <c r="K86" s="17">
        <v>1</v>
      </c>
      <c r="L86" s="17" t="s">
        <v>3139</v>
      </c>
      <c r="M86" t="s">
        <v>3140</v>
      </c>
      <c r="N86" s="17" t="s">
        <v>3141</v>
      </c>
      <c r="O86" s="17" t="s">
        <v>3477</v>
      </c>
      <c r="P86" s="17" t="s">
        <v>3163</v>
      </c>
      <c r="Q86" s="17" t="s">
        <v>3143</v>
      </c>
      <c r="R86" s="17" t="s">
        <v>3144</v>
      </c>
      <c r="S86" s="17" t="s">
        <v>3145</v>
      </c>
      <c r="T86" s="17" t="s">
        <v>3164</v>
      </c>
      <c r="U86" s="17" t="s">
        <v>3146</v>
      </c>
      <c r="V86" s="17" t="s">
        <v>3147</v>
      </c>
      <c r="W86" s="17">
        <v>1206</v>
      </c>
      <c r="X86" s="17" t="s">
        <v>3148</v>
      </c>
      <c r="Y86" s="17" t="s">
        <v>3149</v>
      </c>
      <c r="Z86" s="17">
        <v>2</v>
      </c>
      <c r="AA86" s="17" t="s">
        <v>65</v>
      </c>
    </row>
    <row r="87" spans="1:27" x14ac:dyDescent="0.25">
      <c r="A87" t="s">
        <v>3134</v>
      </c>
      <c r="B87" s="17" t="s">
        <v>3135</v>
      </c>
      <c r="C87" s="17" t="s">
        <v>3478</v>
      </c>
      <c r="D87" s="17" t="s">
        <v>3479</v>
      </c>
      <c r="E87" s="17" t="s">
        <v>251</v>
      </c>
      <c r="F87" s="17" t="s">
        <v>3480</v>
      </c>
      <c r="G87" s="17">
        <v>207</v>
      </c>
      <c r="H87" s="17">
        <v>0</v>
      </c>
      <c r="I87" s="17">
        <v>0.48</v>
      </c>
      <c r="J87" s="17">
        <v>0</v>
      </c>
      <c r="K87" s="17">
        <v>1</v>
      </c>
      <c r="L87" s="17" t="s">
        <v>3139</v>
      </c>
      <c r="M87" t="s">
        <v>3140</v>
      </c>
      <c r="N87" s="17" t="s">
        <v>3141</v>
      </c>
      <c r="O87" s="17" t="s">
        <v>3481</v>
      </c>
      <c r="P87" s="17" t="s">
        <v>3163</v>
      </c>
      <c r="Q87" s="17" t="s">
        <v>3143</v>
      </c>
      <c r="R87" s="17" t="s">
        <v>3144</v>
      </c>
      <c r="S87" s="17" t="s">
        <v>3145</v>
      </c>
      <c r="T87" s="17" t="s">
        <v>3164</v>
      </c>
      <c r="U87" s="17" t="s">
        <v>3146</v>
      </c>
      <c r="V87" s="17" t="s">
        <v>3147</v>
      </c>
      <c r="W87" s="17">
        <v>1206</v>
      </c>
      <c r="X87" s="17" t="s">
        <v>3148</v>
      </c>
      <c r="Y87" s="17" t="s">
        <v>3149</v>
      </c>
      <c r="Z87" s="17">
        <v>2</v>
      </c>
      <c r="AA87" s="17" t="s">
        <v>65</v>
      </c>
    </row>
    <row r="88" spans="1:27" x14ac:dyDescent="0.25">
      <c r="A88" t="s">
        <v>3134</v>
      </c>
      <c r="B88" s="17" t="s">
        <v>3135</v>
      </c>
      <c r="C88" s="17" t="s">
        <v>3482</v>
      </c>
      <c r="D88" s="17" t="s">
        <v>3483</v>
      </c>
      <c r="E88" s="17" t="s">
        <v>251</v>
      </c>
      <c r="F88" s="17" t="s">
        <v>3484</v>
      </c>
      <c r="G88" s="17">
        <v>192</v>
      </c>
      <c r="H88" s="17">
        <v>0</v>
      </c>
      <c r="I88" s="17">
        <v>0.48</v>
      </c>
      <c r="J88" s="17">
        <v>0</v>
      </c>
      <c r="K88" s="17">
        <v>1</v>
      </c>
      <c r="L88" s="17" t="s">
        <v>3139</v>
      </c>
      <c r="M88" t="s">
        <v>3140</v>
      </c>
      <c r="N88" s="17" t="s">
        <v>3141</v>
      </c>
      <c r="O88" s="17" t="s">
        <v>3171</v>
      </c>
      <c r="P88" s="17" t="s">
        <v>3163</v>
      </c>
      <c r="Q88" s="17" t="s">
        <v>3143</v>
      </c>
      <c r="R88" s="17" t="s">
        <v>3144</v>
      </c>
      <c r="S88" s="17" t="s">
        <v>3145</v>
      </c>
      <c r="T88" s="17" t="s">
        <v>3164</v>
      </c>
      <c r="U88" s="17" t="s">
        <v>3146</v>
      </c>
      <c r="V88" s="17" t="s">
        <v>3147</v>
      </c>
      <c r="W88" s="17">
        <v>1206</v>
      </c>
      <c r="X88" s="17" t="s">
        <v>3148</v>
      </c>
      <c r="Y88" s="17" t="s">
        <v>3149</v>
      </c>
      <c r="Z88" s="17">
        <v>2</v>
      </c>
      <c r="AA88" s="17" t="s">
        <v>65</v>
      </c>
    </row>
    <row r="89" spans="1:27" x14ac:dyDescent="0.25">
      <c r="A89" t="s">
        <v>3134</v>
      </c>
      <c r="B89" s="17" t="s">
        <v>3135</v>
      </c>
      <c r="C89" s="17" t="s">
        <v>3485</v>
      </c>
      <c r="D89" s="17" t="s">
        <v>3486</v>
      </c>
      <c r="E89" s="17" t="s">
        <v>251</v>
      </c>
      <c r="F89" s="17" t="s">
        <v>3487</v>
      </c>
      <c r="G89" s="17">
        <v>5</v>
      </c>
      <c r="H89" s="17">
        <v>0</v>
      </c>
      <c r="I89" s="17">
        <v>0.48</v>
      </c>
      <c r="J89" s="17">
        <v>0</v>
      </c>
      <c r="K89" s="17">
        <v>1</v>
      </c>
      <c r="L89" s="17" t="s">
        <v>3139</v>
      </c>
      <c r="M89" t="s">
        <v>3140</v>
      </c>
      <c r="N89" s="17" t="s">
        <v>3141</v>
      </c>
      <c r="O89" s="17" t="s">
        <v>3183</v>
      </c>
      <c r="P89" s="17" t="s">
        <v>3163</v>
      </c>
      <c r="Q89" s="17" t="s">
        <v>3143</v>
      </c>
      <c r="R89" s="17" t="s">
        <v>3144</v>
      </c>
      <c r="S89" s="17" t="s">
        <v>3145</v>
      </c>
      <c r="T89" s="17" t="s">
        <v>3164</v>
      </c>
      <c r="U89" s="17" t="s">
        <v>3146</v>
      </c>
      <c r="V89" s="17" t="s">
        <v>3147</v>
      </c>
      <c r="W89" s="17">
        <v>1206</v>
      </c>
      <c r="X89" s="17" t="s">
        <v>3148</v>
      </c>
      <c r="Y89" s="17" t="s">
        <v>3149</v>
      </c>
      <c r="Z89" s="17">
        <v>2</v>
      </c>
      <c r="AA89" s="17" t="s">
        <v>65</v>
      </c>
    </row>
    <row r="90" spans="1:27" x14ac:dyDescent="0.25">
      <c r="A90" t="s">
        <v>3134</v>
      </c>
      <c r="B90" s="17" t="s">
        <v>3135</v>
      </c>
      <c r="C90" s="17" t="s">
        <v>3488</v>
      </c>
      <c r="D90" s="17" t="s">
        <v>3489</v>
      </c>
      <c r="E90" s="17" t="s">
        <v>251</v>
      </c>
      <c r="F90" s="17" t="s">
        <v>3490</v>
      </c>
      <c r="G90" s="17">
        <v>10</v>
      </c>
      <c r="H90" s="17">
        <v>0</v>
      </c>
      <c r="I90" s="17">
        <v>0.47</v>
      </c>
      <c r="J90" s="17">
        <v>0</v>
      </c>
      <c r="K90" s="17">
        <v>1</v>
      </c>
      <c r="L90" s="17" t="s">
        <v>3139</v>
      </c>
      <c r="M90" t="s">
        <v>3140</v>
      </c>
      <c r="N90" s="17" t="s">
        <v>3141</v>
      </c>
      <c r="O90" s="17" t="s">
        <v>3491</v>
      </c>
      <c r="P90" s="17" t="s">
        <v>3163</v>
      </c>
      <c r="Q90" s="17" t="s">
        <v>3143</v>
      </c>
      <c r="R90" s="17" t="s">
        <v>3144</v>
      </c>
      <c r="S90" s="17" t="s">
        <v>3145</v>
      </c>
      <c r="T90" s="17" t="s">
        <v>3164</v>
      </c>
      <c r="U90" s="17" t="s">
        <v>3146</v>
      </c>
      <c r="V90" s="17" t="s">
        <v>3147</v>
      </c>
      <c r="W90" s="17">
        <v>1206</v>
      </c>
      <c r="X90" s="17" t="s">
        <v>3148</v>
      </c>
      <c r="Y90" s="17" t="s">
        <v>3149</v>
      </c>
      <c r="Z90" s="17">
        <v>2</v>
      </c>
      <c r="AA90" s="17" t="s">
        <v>65</v>
      </c>
    </row>
    <row r="91" spans="1:27" x14ac:dyDescent="0.25">
      <c r="A91" t="s">
        <v>3134</v>
      </c>
      <c r="B91" s="17" t="s">
        <v>3135</v>
      </c>
      <c r="C91" s="17" t="s">
        <v>3492</v>
      </c>
      <c r="D91" s="17" t="s">
        <v>3493</v>
      </c>
      <c r="E91" s="17" t="s">
        <v>251</v>
      </c>
      <c r="F91" s="17" t="s">
        <v>3494</v>
      </c>
      <c r="G91" s="17">
        <v>2</v>
      </c>
      <c r="H91" s="17">
        <v>0</v>
      </c>
      <c r="I91" s="17">
        <v>0.47</v>
      </c>
      <c r="J91" s="17">
        <v>0</v>
      </c>
      <c r="K91" s="17">
        <v>1</v>
      </c>
      <c r="L91" s="17" t="s">
        <v>3139</v>
      </c>
      <c r="M91" t="s">
        <v>3140</v>
      </c>
      <c r="N91" s="17" t="s">
        <v>3141</v>
      </c>
      <c r="O91" s="17" t="s">
        <v>3495</v>
      </c>
      <c r="P91" s="17" t="s">
        <v>3163</v>
      </c>
      <c r="Q91" s="17" t="s">
        <v>3143</v>
      </c>
      <c r="R91" s="17" t="s">
        <v>3144</v>
      </c>
      <c r="S91" s="17" t="s">
        <v>3145</v>
      </c>
      <c r="T91" s="17" t="s">
        <v>3164</v>
      </c>
      <c r="U91" s="17" t="s">
        <v>3146</v>
      </c>
      <c r="V91" s="17" t="s">
        <v>3147</v>
      </c>
      <c r="W91" s="17">
        <v>1206</v>
      </c>
      <c r="X91" s="17" t="s">
        <v>3148</v>
      </c>
      <c r="Y91" s="17" t="s">
        <v>3149</v>
      </c>
      <c r="Z91" s="17">
        <v>2</v>
      </c>
      <c r="AA91" s="17" t="s">
        <v>65</v>
      </c>
    </row>
    <row r="92" spans="1:27" x14ac:dyDescent="0.25">
      <c r="A92" t="s">
        <v>3134</v>
      </c>
      <c r="B92" s="17" t="s">
        <v>3135</v>
      </c>
      <c r="C92" s="17" t="s">
        <v>3496</v>
      </c>
      <c r="D92" s="17" t="s">
        <v>3497</v>
      </c>
      <c r="E92" s="17" t="s">
        <v>251</v>
      </c>
      <c r="F92" s="17" t="s">
        <v>3498</v>
      </c>
      <c r="G92" s="17">
        <v>86</v>
      </c>
      <c r="H92" s="17">
        <v>0</v>
      </c>
      <c r="I92" s="17">
        <v>0.42</v>
      </c>
      <c r="J92" s="17">
        <v>0</v>
      </c>
      <c r="K92" s="17">
        <v>1</v>
      </c>
      <c r="L92" s="17" t="s">
        <v>3139</v>
      </c>
      <c r="M92" t="s">
        <v>3140</v>
      </c>
      <c r="N92" s="17" t="s">
        <v>3141</v>
      </c>
      <c r="O92" s="17" t="s">
        <v>3499</v>
      </c>
      <c r="P92" s="17" t="s">
        <v>3154</v>
      </c>
      <c r="Q92" s="17" t="s">
        <v>3143</v>
      </c>
      <c r="R92" s="17" t="s">
        <v>3144</v>
      </c>
      <c r="S92" s="17" t="s">
        <v>3145</v>
      </c>
      <c r="T92" s="17" t="s">
        <v>3155</v>
      </c>
      <c r="U92" s="17" t="s">
        <v>3146</v>
      </c>
      <c r="V92" s="17" t="s">
        <v>3147</v>
      </c>
      <c r="W92" s="17">
        <v>1206</v>
      </c>
      <c r="X92" s="17" t="s">
        <v>3148</v>
      </c>
      <c r="Y92" s="17" t="s">
        <v>3149</v>
      </c>
      <c r="Z92" s="17">
        <v>2</v>
      </c>
      <c r="AA92" s="17" t="s">
        <v>65</v>
      </c>
    </row>
    <row r="93" spans="1:27" x14ac:dyDescent="0.25">
      <c r="A93" t="s">
        <v>3134</v>
      </c>
      <c r="B93" s="17" t="s">
        <v>3135</v>
      </c>
      <c r="C93" s="17" t="s">
        <v>3500</v>
      </c>
      <c r="D93" s="17" t="s">
        <v>3501</v>
      </c>
      <c r="E93" s="17" t="s">
        <v>251</v>
      </c>
      <c r="F93" s="17" t="s">
        <v>3502</v>
      </c>
      <c r="G93" s="17">
        <v>2</v>
      </c>
      <c r="H93" s="17">
        <v>0</v>
      </c>
      <c r="I93" s="17">
        <v>0.48</v>
      </c>
      <c r="J93" s="17">
        <v>0</v>
      </c>
      <c r="K93" s="17">
        <v>1</v>
      </c>
      <c r="L93" s="17" t="s">
        <v>3139</v>
      </c>
      <c r="M93" t="s">
        <v>3140</v>
      </c>
      <c r="N93" s="17" t="s">
        <v>3141</v>
      </c>
      <c r="O93" s="17" t="s">
        <v>3503</v>
      </c>
      <c r="P93" s="17" t="s">
        <v>3163</v>
      </c>
      <c r="Q93" s="17" t="s">
        <v>3143</v>
      </c>
      <c r="R93" s="17" t="s">
        <v>3144</v>
      </c>
      <c r="S93" s="17" t="s">
        <v>3145</v>
      </c>
      <c r="T93" s="17" t="s">
        <v>3164</v>
      </c>
      <c r="U93" s="17" t="s">
        <v>3146</v>
      </c>
      <c r="V93" s="17" t="s">
        <v>3147</v>
      </c>
      <c r="W93" s="17">
        <v>1206</v>
      </c>
      <c r="X93" s="17" t="s">
        <v>3148</v>
      </c>
      <c r="Y93" s="17" t="s">
        <v>3149</v>
      </c>
      <c r="Z93" s="17">
        <v>2</v>
      </c>
      <c r="AA93" s="17" t="s">
        <v>65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Order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2019-04-25T21:56:16Z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