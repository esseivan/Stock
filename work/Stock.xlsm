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_Stock\work\"/>
    </mc:Choice>
  </mc:AlternateContent>
  <xr:revisionPtr revIDLastSave="0" documentId="13_ncr:1_{2D18C4C2-E7CE-4134-8914-ADFA28F9D476}" xr6:coauthVersionLast="43" xr6:coauthVersionMax="43" xr10:uidLastSave="{00000000-0000-0000-0000-000000000000}"/>
  <bookViews>
    <workbookView xWindow="-120" yWindow="-120" windowWidth="29040" windowHeight="15990" firstSheet="1" activeTab="2" xr2:uid="{CF2B30E1-39B2-4837-AEAE-671E5370CDE2}"/>
  </bookViews>
  <sheets>
    <sheet name="StockHistory" sheetId="6" r:id="rId1"/>
    <sheet name="Main" sheetId="4" r:id="rId2"/>
    <sheet name="Articles" sheetId="19" r:id="rId3"/>
    <sheet name="Articles_commandes" sheetId="5" state="hidden" r:id="rId4"/>
    <sheet name="Commands" sheetId="15" r:id="rId5"/>
    <sheet name="LampeSolaire_v4" sheetId="3" r:id="rId6"/>
    <sheet name="TempoMetter_v1" sheetId="8" r:id="rId7"/>
    <sheet name="USB_Tool_v1" sheetId="16" r:id="rId8"/>
    <sheet name="ProductTemplate" sheetId="14" r:id="rId9"/>
    <sheet name="ProductConfig" sheetId="9" r:id="rId10"/>
    <sheet name="OrderAdder" sheetId="11" r:id="rId11"/>
    <sheet name="OrderAdder_work" sheetId="13" r:id="rId12"/>
  </sheets>
  <externalReferences>
    <externalReference r:id="rId13"/>
  </externalReferences>
  <definedNames>
    <definedName name="_xlnm._FilterDatabase" localSheetId="3" hidden="1">Articles_commandes!$A$1:$F$64</definedName>
    <definedName name="_xlnm._FilterDatabase" localSheetId="4" hidden="1">Commands!$A$1:$M$3</definedName>
    <definedName name="_xlnm._FilterDatabase" localSheetId="5" hidden="1">LampeSolaire_v4!$A$1:$E$40</definedName>
    <definedName name="_xlnm._FilterDatabase" localSheetId="8" hidden="1">ProductTemplate!$A$1:$E$2</definedName>
    <definedName name="_xlnm._FilterDatabase" localSheetId="6" hidden="1">TempoMetter_v1!$A$1:$E$15</definedName>
    <definedName name="_xlnm._FilterDatabase" localSheetId="7" hidden="1">USB_Tool_v1!$A$1:$E$15</definedName>
    <definedName name="RF_Transceiver">OrderAdder_work!#REF!</definedName>
    <definedName name="zzzzzzzzzzz" localSheetId="8">OrderAdder_work!#REF!</definedName>
    <definedName name="zzzzzzzzzzz" localSheetId="7">OrderAdder_work!#REF!</definedName>
    <definedName name="zzzzzzzzzzz">OrderAdder_work!#REF!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" i="16" l="1"/>
  <c r="E15" i="16"/>
  <c r="F15" i="16" s="1"/>
  <c r="G15" i="16"/>
  <c r="B14" i="16"/>
  <c r="E14" i="16"/>
  <c r="F14" i="16" s="1"/>
  <c r="G14" i="16"/>
  <c r="B13" i="16"/>
  <c r="E13" i="16"/>
  <c r="F13" i="16" s="1"/>
  <c r="G13" i="16"/>
  <c r="B12" i="16"/>
  <c r="E12" i="16"/>
  <c r="F12" i="16" s="1"/>
  <c r="G12" i="16"/>
  <c r="B11" i="16"/>
  <c r="E11" i="16"/>
  <c r="F11" i="16" s="1"/>
  <c r="G11" i="16"/>
  <c r="B10" i="16"/>
  <c r="E10" i="16"/>
  <c r="G10" i="16"/>
  <c r="H15" i="16" l="1"/>
  <c r="H14" i="16"/>
  <c r="H13" i="16"/>
  <c r="H12" i="16"/>
  <c r="H11" i="16"/>
  <c r="H10" i="16"/>
  <c r="F10" i="16"/>
  <c r="K9" i="19"/>
  <c r="K64" i="19"/>
  <c r="K20" i="19"/>
  <c r="K77" i="19"/>
  <c r="K65" i="19"/>
  <c r="K21" i="19"/>
  <c r="K14" i="19"/>
  <c r="K2" i="19"/>
  <c r="K3" i="19"/>
  <c r="K32" i="19"/>
  <c r="K19" i="19"/>
  <c r="K97" i="19"/>
  <c r="K94" i="19"/>
  <c r="K81" i="19"/>
  <c r="K50" i="19"/>
  <c r="K51" i="19"/>
  <c r="K45" i="19"/>
  <c r="K28" i="19"/>
  <c r="K22" i="19"/>
  <c r="K23" i="19"/>
  <c r="K103" i="19"/>
  <c r="K4" i="19"/>
  <c r="K66" i="19"/>
  <c r="K67" i="19"/>
  <c r="K24" i="19"/>
  <c r="K25" i="19"/>
  <c r="K68" i="19"/>
  <c r="K33" i="19"/>
  <c r="K99" i="19"/>
  <c r="K95" i="19"/>
  <c r="K52" i="19"/>
  <c r="K46" i="19"/>
  <c r="K26" i="19"/>
  <c r="K12" i="19"/>
  <c r="K105" i="19"/>
  <c r="K43" i="19"/>
  <c r="K44" i="19"/>
  <c r="K27" i="19"/>
  <c r="K15" i="19"/>
  <c r="K82" i="19"/>
  <c r="K83" i="19"/>
  <c r="K84" i="19"/>
  <c r="K71" i="19"/>
  <c r="K72" i="19"/>
  <c r="K73" i="19"/>
  <c r="K74" i="19"/>
  <c r="K75" i="19"/>
  <c r="K85" i="19"/>
  <c r="K86" i="19"/>
  <c r="K87" i="19"/>
  <c r="K88" i="19"/>
  <c r="K101" i="19"/>
  <c r="K34" i="19"/>
  <c r="K13" i="19"/>
  <c r="K39" i="19"/>
  <c r="K47" i="19"/>
  <c r="K35" i="19"/>
  <c r="K16" i="19"/>
  <c r="K17" i="19"/>
  <c r="K89" i="19"/>
  <c r="K90" i="19"/>
  <c r="K91" i="19"/>
  <c r="K40" i="19"/>
  <c r="K5" i="19"/>
  <c r="K6" i="19"/>
  <c r="K7" i="19"/>
  <c r="K8" i="19"/>
  <c r="K41" i="19"/>
  <c r="K92" i="19"/>
  <c r="K93" i="19"/>
  <c r="K36" i="19"/>
  <c r="K37" i="19"/>
  <c r="K48" i="19"/>
  <c r="K42" i="19"/>
  <c r="K49" i="19"/>
  <c r="K76" i="19"/>
  <c r="K58" i="19"/>
  <c r="K59" i="19"/>
  <c r="K60" i="19"/>
  <c r="K61" i="19"/>
  <c r="K62" i="19"/>
  <c r="K10" i="19"/>
  <c r="K102" i="19"/>
  <c r="K98" i="19"/>
  <c r="K31" i="19"/>
  <c r="K56" i="19"/>
  <c r="K57" i="19"/>
  <c r="K96" i="19"/>
  <c r="K53" i="19"/>
  <c r="K104" i="19"/>
  <c r="K54" i="19"/>
  <c r="K29" i="19"/>
  <c r="K30" i="19"/>
  <c r="K100" i="19"/>
  <c r="K55" i="19"/>
  <c r="K18" i="19"/>
  <c r="K78" i="19"/>
  <c r="K79" i="19"/>
  <c r="K80" i="19"/>
  <c r="K11" i="19"/>
  <c r="K70" i="19"/>
  <c r="K69" i="19"/>
  <c r="K63" i="19"/>
  <c r="K38" i="19"/>
  <c r="B9" i="16" l="1"/>
  <c r="E9" i="16"/>
  <c r="F9" i="16" s="1"/>
  <c r="G9" i="16"/>
  <c r="B4" i="16"/>
  <c r="B5" i="16"/>
  <c r="B6" i="16"/>
  <c r="B7" i="16"/>
  <c r="B8" i="16"/>
  <c r="E4" i="16"/>
  <c r="F4" i="16" s="1"/>
  <c r="E5" i="16"/>
  <c r="F5" i="16" s="1"/>
  <c r="E6" i="16"/>
  <c r="F6" i="16" s="1"/>
  <c r="E7" i="16"/>
  <c r="F7" i="16" s="1"/>
  <c r="E8" i="16"/>
  <c r="G4" i="16"/>
  <c r="G5" i="16"/>
  <c r="G6" i="16"/>
  <c r="G7" i="16"/>
  <c r="G8" i="16"/>
  <c r="B3" i="16"/>
  <c r="E3" i="16"/>
  <c r="F3" i="16" s="1"/>
  <c r="G3" i="16"/>
  <c r="B2" i="16"/>
  <c r="H38" i="19"/>
  <c r="AB38" i="19" s="1"/>
  <c r="I38" i="19" a="1"/>
  <c r="I38" i="19" s="1"/>
  <c r="J38" i="19" a="1"/>
  <c r="J38" i="19" s="1"/>
  <c r="H63" i="19"/>
  <c r="I63" i="19" a="1"/>
  <c r="I63" i="19" s="1"/>
  <c r="J63" i="19" a="1"/>
  <c r="J63" i="19" s="1"/>
  <c r="AB63" i="19"/>
  <c r="H69" i="19"/>
  <c r="AB69" i="19" s="1"/>
  <c r="I69" i="19" a="1"/>
  <c r="I69" i="19" s="1"/>
  <c r="J69" i="19" a="1"/>
  <c r="J69" i="19" s="1"/>
  <c r="H70" i="19"/>
  <c r="AB70" i="19" s="1"/>
  <c r="I70" i="19" a="1"/>
  <c r="I70" i="19" s="1"/>
  <c r="J70" i="19" a="1"/>
  <c r="J70" i="19" s="1"/>
  <c r="H11" i="19"/>
  <c r="AB11" i="19" s="1"/>
  <c r="I11" i="19" a="1"/>
  <c r="I11" i="19" s="1"/>
  <c r="J11" i="19" a="1"/>
  <c r="J11" i="19" s="1"/>
  <c r="H4" i="16" l="1"/>
  <c r="H8" i="16"/>
  <c r="H5" i="16"/>
  <c r="H9" i="16"/>
  <c r="H7" i="16"/>
  <c r="H6" i="16"/>
  <c r="F8" i="16"/>
  <c r="H3" i="16"/>
  <c r="J3" i="15"/>
  <c r="K3" i="15" s="1"/>
  <c r="J2" i="15"/>
  <c r="K2" i="15" s="1"/>
  <c r="I23" i="19" l="1" a="1"/>
  <c r="I23" i="19" s="1"/>
  <c r="I9" i="19" a="1"/>
  <c r="I9" i="19" s="1"/>
  <c r="I64" i="19" a="1"/>
  <c r="I64" i="19" s="1"/>
  <c r="I20" i="19" a="1"/>
  <c r="I20" i="19" s="1"/>
  <c r="I77" i="19" a="1"/>
  <c r="I77" i="19" s="1"/>
  <c r="I65" i="19" a="1"/>
  <c r="I65" i="19" s="1"/>
  <c r="I21" i="19" a="1"/>
  <c r="I21" i="19" s="1"/>
  <c r="I14" i="19" a="1"/>
  <c r="I14" i="19" s="1"/>
  <c r="I2" i="19" a="1"/>
  <c r="I2" i="19" s="1"/>
  <c r="I3" i="19" a="1"/>
  <c r="I3" i="19" s="1"/>
  <c r="I32" i="19" a="1"/>
  <c r="I32" i="19" s="1"/>
  <c r="I19" i="19" a="1"/>
  <c r="I19" i="19" s="1"/>
  <c r="I97" i="19" a="1"/>
  <c r="I97" i="19" s="1"/>
  <c r="I94" i="19" a="1"/>
  <c r="I94" i="19" s="1"/>
  <c r="I81" i="19" a="1"/>
  <c r="I81" i="19" s="1"/>
  <c r="I50" i="19" a="1"/>
  <c r="I50" i="19" s="1"/>
  <c r="I51" i="19" a="1"/>
  <c r="I51" i="19" s="1"/>
  <c r="I45" i="19" a="1"/>
  <c r="I45" i="19" s="1"/>
  <c r="I28" i="19" a="1"/>
  <c r="I28" i="19" s="1"/>
  <c r="I22" i="19" a="1"/>
  <c r="I22" i="19" s="1"/>
  <c r="I103" i="19" a="1"/>
  <c r="I103" i="19" s="1"/>
  <c r="I4" i="19" a="1"/>
  <c r="I4" i="19" s="1"/>
  <c r="I66" i="19" a="1"/>
  <c r="I66" i="19" s="1"/>
  <c r="I67" i="19" a="1"/>
  <c r="I67" i="19" s="1"/>
  <c r="I24" i="19" a="1"/>
  <c r="I24" i="19" s="1"/>
  <c r="I25" i="19" a="1"/>
  <c r="I25" i="19" s="1"/>
  <c r="I68" i="19" a="1"/>
  <c r="I68" i="19" s="1"/>
  <c r="I33" i="19" a="1"/>
  <c r="I33" i="19" s="1"/>
  <c r="I99" i="19" a="1"/>
  <c r="I99" i="19" s="1"/>
  <c r="I95" i="19" a="1"/>
  <c r="I95" i="19" s="1"/>
  <c r="I52" i="19" a="1"/>
  <c r="I52" i="19" s="1"/>
  <c r="I46" i="19" a="1"/>
  <c r="I46" i="19" s="1"/>
  <c r="I26" i="19" a="1"/>
  <c r="I26" i="19" s="1"/>
  <c r="I12" i="19" a="1"/>
  <c r="I12" i="19" s="1"/>
  <c r="I105" i="19" a="1"/>
  <c r="I105" i="19" s="1"/>
  <c r="I43" i="19" a="1"/>
  <c r="I43" i="19" s="1"/>
  <c r="I44" i="19" a="1"/>
  <c r="I44" i="19" s="1"/>
  <c r="I27" i="19" a="1"/>
  <c r="I27" i="19" s="1"/>
  <c r="I15" i="19" a="1"/>
  <c r="I15" i="19" s="1"/>
  <c r="I82" i="19" a="1"/>
  <c r="I82" i="19" s="1"/>
  <c r="I83" i="19" a="1"/>
  <c r="I83" i="19" s="1"/>
  <c r="I84" i="19" a="1"/>
  <c r="I84" i="19" s="1"/>
  <c r="I71" i="19" a="1"/>
  <c r="I71" i="19" s="1"/>
  <c r="I72" i="19" a="1"/>
  <c r="I72" i="19" s="1"/>
  <c r="I73" i="19" a="1"/>
  <c r="I73" i="19" s="1"/>
  <c r="I74" i="19" a="1"/>
  <c r="I74" i="19" s="1"/>
  <c r="I75" i="19" a="1"/>
  <c r="I75" i="19" s="1"/>
  <c r="I85" i="19" a="1"/>
  <c r="I85" i="19" s="1"/>
  <c r="I86" i="19" a="1"/>
  <c r="I86" i="19" s="1"/>
  <c r="I87" i="19" a="1"/>
  <c r="I87" i="19" s="1"/>
  <c r="I88" i="19" a="1"/>
  <c r="I88" i="19" s="1"/>
  <c r="I101" i="19" a="1"/>
  <c r="I101" i="19" s="1"/>
  <c r="I34" i="19" a="1"/>
  <c r="I34" i="19" s="1"/>
  <c r="I13" i="19" a="1"/>
  <c r="I13" i="19" s="1"/>
  <c r="I39" i="19" a="1"/>
  <c r="I39" i="19" s="1"/>
  <c r="I47" i="19" a="1"/>
  <c r="I47" i="19" s="1"/>
  <c r="I35" i="19" a="1"/>
  <c r="I35" i="19" s="1"/>
  <c r="I16" i="19" a="1"/>
  <c r="I16" i="19" s="1"/>
  <c r="I17" i="19" a="1"/>
  <c r="I17" i="19" s="1"/>
  <c r="I89" i="19" a="1"/>
  <c r="I89" i="19" s="1"/>
  <c r="I90" i="19" a="1"/>
  <c r="I90" i="19" s="1"/>
  <c r="I91" i="19" a="1"/>
  <c r="I91" i="19" s="1"/>
  <c r="I40" i="19" a="1"/>
  <c r="I40" i="19" s="1"/>
  <c r="I5" i="19" a="1"/>
  <c r="I5" i="19" s="1"/>
  <c r="I6" i="19" a="1"/>
  <c r="I6" i="19" s="1"/>
  <c r="I7" i="19" a="1"/>
  <c r="I7" i="19" s="1"/>
  <c r="I8" i="19" a="1"/>
  <c r="I8" i="19" s="1"/>
  <c r="I41" i="19" a="1"/>
  <c r="I41" i="19" s="1"/>
  <c r="I92" i="19" a="1"/>
  <c r="I92" i="19" s="1"/>
  <c r="I93" i="19" a="1"/>
  <c r="I93" i="19" s="1"/>
  <c r="I36" i="19" a="1"/>
  <c r="I36" i="19" s="1"/>
  <c r="I37" i="19" a="1"/>
  <c r="I37" i="19" s="1"/>
  <c r="I48" i="19" a="1"/>
  <c r="I48" i="19" s="1"/>
  <c r="I42" i="19" a="1"/>
  <c r="I42" i="19" s="1"/>
  <c r="I49" i="19" a="1"/>
  <c r="I49" i="19" s="1"/>
  <c r="I76" i="19" a="1"/>
  <c r="I76" i="19" s="1"/>
  <c r="I58" i="19" a="1"/>
  <c r="I58" i="19" s="1"/>
  <c r="I59" i="19" a="1"/>
  <c r="I59" i="19" s="1"/>
  <c r="I60" i="19" a="1"/>
  <c r="I60" i="19" s="1"/>
  <c r="I61" i="19" a="1"/>
  <c r="I61" i="19" s="1"/>
  <c r="I62" i="19" a="1"/>
  <c r="I62" i="19" s="1"/>
  <c r="I10" i="19" a="1"/>
  <c r="I10" i="19" s="1"/>
  <c r="I102" i="19" a="1"/>
  <c r="I102" i="19" s="1"/>
  <c r="I98" i="19" a="1"/>
  <c r="I98" i="19" s="1"/>
  <c r="I31" i="19" a="1"/>
  <c r="I31" i="19" s="1"/>
  <c r="I56" i="19" a="1"/>
  <c r="I56" i="19" s="1"/>
  <c r="I57" i="19" a="1"/>
  <c r="I57" i="19" s="1"/>
  <c r="I96" i="19" a="1"/>
  <c r="I96" i="19" s="1"/>
  <c r="I53" i="19" a="1"/>
  <c r="I53" i="19" s="1"/>
  <c r="I104" i="19" a="1"/>
  <c r="I104" i="19" s="1"/>
  <c r="I54" i="19" a="1"/>
  <c r="I54" i="19" s="1"/>
  <c r="I29" i="19" a="1"/>
  <c r="I29" i="19" s="1"/>
  <c r="I30" i="19" a="1"/>
  <c r="I30" i="19" s="1"/>
  <c r="I100" i="19" a="1"/>
  <c r="I100" i="19" s="1"/>
  <c r="I55" i="19" a="1"/>
  <c r="I55" i="19" s="1"/>
  <c r="I18" i="19" a="1"/>
  <c r="I18" i="19" s="1"/>
  <c r="I78" i="19" a="1"/>
  <c r="I78" i="19" s="1"/>
  <c r="I79" i="19" a="1"/>
  <c r="I79" i="19" s="1"/>
  <c r="I80" i="19" a="1"/>
  <c r="I80" i="19" s="1"/>
  <c r="J9" i="19" a="1"/>
  <c r="J9" i="19" s="1"/>
  <c r="J64" i="19" a="1"/>
  <c r="J64" i="19" s="1"/>
  <c r="J20" i="19" a="1"/>
  <c r="J20" i="19" s="1"/>
  <c r="J77" i="19" a="1"/>
  <c r="J77" i="19" s="1"/>
  <c r="J65" i="19" a="1"/>
  <c r="J65" i="19" s="1"/>
  <c r="J21" i="19" a="1"/>
  <c r="J21" i="19" s="1"/>
  <c r="J14" i="19" a="1"/>
  <c r="J14" i="19" s="1"/>
  <c r="J2" i="19" a="1"/>
  <c r="J2" i="19" s="1"/>
  <c r="J3" i="19" a="1"/>
  <c r="J3" i="19" s="1"/>
  <c r="J32" i="19" a="1"/>
  <c r="J32" i="19" s="1"/>
  <c r="J19" i="19" a="1"/>
  <c r="J19" i="19" s="1"/>
  <c r="J97" i="19" a="1"/>
  <c r="J97" i="19" s="1"/>
  <c r="J94" i="19" a="1"/>
  <c r="J94" i="19" s="1"/>
  <c r="J81" i="19" a="1"/>
  <c r="J81" i="19" s="1"/>
  <c r="J50" i="19" a="1"/>
  <c r="J50" i="19" s="1"/>
  <c r="J51" i="19" a="1"/>
  <c r="J51" i="19" s="1"/>
  <c r="J45" i="19" a="1"/>
  <c r="J45" i="19" s="1"/>
  <c r="J28" i="19" a="1"/>
  <c r="J28" i="19" s="1"/>
  <c r="J22" i="19" a="1"/>
  <c r="J22" i="19" s="1"/>
  <c r="J23" i="19" a="1"/>
  <c r="J23" i="19" s="1"/>
  <c r="J103" i="19" a="1"/>
  <c r="J103" i="19" s="1"/>
  <c r="J4" i="19" a="1"/>
  <c r="J4" i="19" s="1"/>
  <c r="J66" i="19" a="1"/>
  <c r="J66" i="19" s="1"/>
  <c r="J67" i="19" a="1"/>
  <c r="J67" i="19" s="1"/>
  <c r="J24" i="19" a="1"/>
  <c r="J24" i="19" s="1"/>
  <c r="J25" i="19" a="1"/>
  <c r="J25" i="19" s="1"/>
  <c r="J68" i="19" a="1"/>
  <c r="J68" i="19" s="1"/>
  <c r="J33" i="19" a="1"/>
  <c r="J33" i="19" s="1"/>
  <c r="J99" i="19" a="1"/>
  <c r="J99" i="19" s="1"/>
  <c r="J95" i="19" a="1"/>
  <c r="J95" i="19" s="1"/>
  <c r="J52" i="19" a="1"/>
  <c r="J52" i="19" s="1"/>
  <c r="J46" i="19" a="1"/>
  <c r="J46" i="19" s="1"/>
  <c r="J26" i="19" a="1"/>
  <c r="J26" i="19" s="1"/>
  <c r="J12" i="19" a="1"/>
  <c r="J12" i="19" s="1"/>
  <c r="J105" i="19" a="1"/>
  <c r="J105" i="19" s="1"/>
  <c r="J43" i="19" a="1"/>
  <c r="J43" i="19" s="1"/>
  <c r="J44" i="19" a="1"/>
  <c r="J44" i="19" s="1"/>
  <c r="J27" i="19" a="1"/>
  <c r="J27" i="19" s="1"/>
  <c r="J15" i="19" a="1"/>
  <c r="J15" i="19" s="1"/>
  <c r="J82" i="19" a="1"/>
  <c r="J82" i="19" s="1"/>
  <c r="J83" i="19" a="1"/>
  <c r="J83" i="19" s="1"/>
  <c r="J84" i="19" a="1"/>
  <c r="J84" i="19" s="1"/>
  <c r="J71" i="19" a="1"/>
  <c r="J71" i="19" s="1"/>
  <c r="J72" i="19" a="1"/>
  <c r="J72" i="19" s="1"/>
  <c r="J73" i="19" a="1"/>
  <c r="J73" i="19" s="1"/>
  <c r="J74" i="19" a="1"/>
  <c r="J74" i="19" s="1"/>
  <c r="J75" i="19" a="1"/>
  <c r="J75" i="19" s="1"/>
  <c r="J85" i="19" a="1"/>
  <c r="J85" i="19" s="1"/>
  <c r="J86" i="19" a="1"/>
  <c r="J86" i="19" s="1"/>
  <c r="J87" i="19" a="1"/>
  <c r="J87" i="19" s="1"/>
  <c r="J88" i="19" a="1"/>
  <c r="J88" i="19" s="1"/>
  <c r="J101" i="19" a="1"/>
  <c r="J101" i="19" s="1"/>
  <c r="J34" i="19" a="1"/>
  <c r="J34" i="19" s="1"/>
  <c r="J13" i="19" a="1"/>
  <c r="J13" i="19" s="1"/>
  <c r="J39" i="19" a="1"/>
  <c r="J39" i="19" s="1"/>
  <c r="J47" i="19" a="1"/>
  <c r="J47" i="19" s="1"/>
  <c r="J35" i="19" a="1"/>
  <c r="J35" i="19" s="1"/>
  <c r="J16" i="19" a="1"/>
  <c r="J16" i="19" s="1"/>
  <c r="J17" i="19" a="1"/>
  <c r="J17" i="19" s="1"/>
  <c r="J89" i="19" a="1"/>
  <c r="J89" i="19" s="1"/>
  <c r="J90" i="19" a="1"/>
  <c r="J90" i="19" s="1"/>
  <c r="J91" i="19" a="1"/>
  <c r="J91" i="19" s="1"/>
  <c r="J40" i="19" a="1"/>
  <c r="J40" i="19" s="1"/>
  <c r="J5" i="19" a="1"/>
  <c r="J5" i="19" s="1"/>
  <c r="J6" i="19" a="1"/>
  <c r="J6" i="19" s="1"/>
  <c r="J7" i="19" a="1"/>
  <c r="J7" i="19" s="1"/>
  <c r="J8" i="19" a="1"/>
  <c r="J8" i="19" s="1"/>
  <c r="J41" i="19" a="1"/>
  <c r="J41" i="19" s="1"/>
  <c r="J92" i="19" a="1"/>
  <c r="J92" i="19" s="1"/>
  <c r="J93" i="19" a="1"/>
  <c r="J93" i="19" s="1"/>
  <c r="J36" i="19" a="1"/>
  <c r="J36" i="19" s="1"/>
  <c r="J37" i="19" a="1"/>
  <c r="J37" i="19" s="1"/>
  <c r="J48" i="19" a="1"/>
  <c r="J48" i="19" s="1"/>
  <c r="J42" i="19" a="1"/>
  <c r="J42" i="19" s="1"/>
  <c r="J49" i="19" a="1"/>
  <c r="J49" i="19" s="1"/>
  <c r="J76" i="19" a="1"/>
  <c r="J76" i="19" s="1"/>
  <c r="J58" i="19" a="1"/>
  <c r="J58" i="19" s="1"/>
  <c r="J59" i="19" a="1"/>
  <c r="J59" i="19" s="1"/>
  <c r="J60" i="19" a="1"/>
  <c r="J60" i="19" s="1"/>
  <c r="J61" i="19" a="1"/>
  <c r="J61" i="19" s="1"/>
  <c r="J62" i="19" a="1"/>
  <c r="J62" i="19" s="1"/>
  <c r="J10" i="19" a="1"/>
  <c r="J10" i="19" s="1"/>
  <c r="J102" i="19" a="1"/>
  <c r="J102" i="19" s="1"/>
  <c r="J98" i="19" a="1"/>
  <c r="J98" i="19" s="1"/>
  <c r="J31" i="19" a="1"/>
  <c r="J31" i="19" s="1"/>
  <c r="J56" i="19" a="1"/>
  <c r="J56" i="19" s="1"/>
  <c r="J57" i="19" a="1"/>
  <c r="J57" i="19" s="1"/>
  <c r="J96" i="19" a="1"/>
  <c r="J96" i="19" s="1"/>
  <c r="J53" i="19" a="1"/>
  <c r="J53" i="19" s="1"/>
  <c r="J104" i="19" a="1"/>
  <c r="J104" i="19" s="1"/>
  <c r="J54" i="19" a="1"/>
  <c r="J54" i="19" s="1"/>
  <c r="J29" i="19" a="1"/>
  <c r="J29" i="19" s="1"/>
  <c r="J30" i="19" a="1"/>
  <c r="J30" i="19" s="1"/>
  <c r="J100" i="19" a="1"/>
  <c r="J100" i="19" s="1"/>
  <c r="J55" i="19" a="1"/>
  <c r="J55" i="19" s="1"/>
  <c r="J18" i="19" a="1"/>
  <c r="J18" i="19" s="1"/>
  <c r="J78" i="19" a="1"/>
  <c r="J78" i="19" s="1"/>
  <c r="J79" i="19" a="1"/>
  <c r="J79" i="19" s="1"/>
  <c r="J80" i="19" a="1"/>
  <c r="J80" i="19" s="1"/>
  <c r="M2" i="15" l="1"/>
  <c r="M3" i="15"/>
  <c r="H68" i="19"/>
  <c r="H4" i="19"/>
  <c r="H24" i="19"/>
  <c r="H25" i="19"/>
  <c r="H64" i="19"/>
  <c r="H20" i="19"/>
  <c r="H77" i="19"/>
  <c r="H65" i="19"/>
  <c r="H33" i="19"/>
  <c r="H99" i="19"/>
  <c r="H19" i="19"/>
  <c r="H81" i="19"/>
  <c r="H51" i="19"/>
  <c r="H12" i="19"/>
  <c r="H76" i="19"/>
  <c r="H58" i="19"/>
  <c r="H59" i="19"/>
  <c r="H60" i="19"/>
  <c r="H62" i="19"/>
  <c r="H10" i="19"/>
  <c r="H55" i="19"/>
  <c r="H32" i="19"/>
  <c r="H79" i="19"/>
  <c r="H80" i="19"/>
  <c r="H83" i="19"/>
  <c r="H47" i="19"/>
  <c r="H53" i="19"/>
  <c r="H31" i="19"/>
  <c r="H61" i="19"/>
  <c r="H48" i="19"/>
  <c r="H27" i="19"/>
  <c r="H50" i="19"/>
  <c r="H54" i="19"/>
  <c r="H98" i="19"/>
  <c r="H97" i="19"/>
  <c r="H15" i="19"/>
  <c r="H87" i="19"/>
  <c r="H82" i="19"/>
  <c r="H84" i="19"/>
  <c r="H44" i="19"/>
  <c r="H43" i="19"/>
  <c r="H14" i="19"/>
  <c r="H105" i="19"/>
  <c r="H36" i="19"/>
  <c r="H37" i="19"/>
  <c r="H39" i="19"/>
  <c r="H100" i="19"/>
  <c r="H13" i="19"/>
  <c r="H34" i="19"/>
  <c r="H71" i="19"/>
  <c r="H72" i="19"/>
  <c r="H73" i="19"/>
  <c r="H74" i="19"/>
  <c r="H75" i="19"/>
  <c r="H86" i="19"/>
  <c r="H85" i="19"/>
  <c r="H21" i="19"/>
  <c r="H2" i="19"/>
  <c r="H3" i="19"/>
  <c r="H94" i="19"/>
  <c r="H45" i="19"/>
  <c r="H28" i="19"/>
  <c r="H22" i="19"/>
  <c r="H23" i="19"/>
  <c r="H103" i="19"/>
  <c r="H95" i="19"/>
  <c r="H52" i="19"/>
  <c r="H46" i="19"/>
  <c r="H26" i="19"/>
  <c r="H88" i="19"/>
  <c r="H101" i="19"/>
  <c r="H35" i="19"/>
  <c r="H16" i="19"/>
  <c r="H17" i="19"/>
  <c r="H89" i="19"/>
  <c r="H90" i="19"/>
  <c r="H91" i="19"/>
  <c r="H40" i="19"/>
  <c r="H5" i="19"/>
  <c r="H8" i="19"/>
  <c r="H41" i="19"/>
  <c r="H92" i="19"/>
  <c r="H93" i="19"/>
  <c r="H49" i="19"/>
  <c r="H102" i="19"/>
  <c r="H56" i="19"/>
  <c r="H57" i="19"/>
  <c r="H96" i="19"/>
  <c r="H29" i="19"/>
  <c r="H30" i="19"/>
  <c r="H18" i="19"/>
  <c r="H78" i="19"/>
  <c r="G50" i="19"/>
  <c r="G45" i="19"/>
  <c r="G28" i="19"/>
  <c r="G101" i="19"/>
  <c r="G89" i="19"/>
  <c r="G90" i="19"/>
  <c r="L3" i="15" l="1"/>
  <c r="L2" i="15"/>
  <c r="E2" i="14"/>
  <c r="B2" i="14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E2" i="16"/>
  <c r="E15" i="8"/>
  <c r="E14" i="8"/>
  <c r="E13" i="8"/>
  <c r="E12" i="8"/>
  <c r="E11" i="8"/>
  <c r="E10" i="8"/>
  <c r="E9" i="8"/>
  <c r="E8" i="8"/>
  <c r="E7" i="8"/>
  <c r="E6" i="8"/>
  <c r="E5" i="8"/>
  <c r="E4" i="8"/>
  <c r="E3" i="8"/>
  <c r="E2" i="8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AB9" i="19" l="1"/>
  <c r="K4" i="15" l="1"/>
  <c r="AB67" i="19"/>
  <c r="AB24" i="19"/>
  <c r="AB4" i="19"/>
  <c r="AB25" i="19"/>
  <c r="AB33" i="19"/>
  <c r="AB99" i="19"/>
  <c r="AB81" i="19"/>
  <c r="AB60" i="19"/>
  <c r="AB62" i="19"/>
  <c r="AB10" i="19"/>
  <c r="AB83" i="19"/>
  <c r="AB53" i="19"/>
  <c r="AB31" i="19"/>
  <c r="AB50" i="19"/>
  <c r="AB97" i="19"/>
  <c r="AB84" i="19"/>
  <c r="AB44" i="19"/>
  <c r="AB105" i="19"/>
  <c r="AB13" i="19"/>
  <c r="AB72" i="19"/>
  <c r="AB85" i="19"/>
  <c r="AB3" i="19"/>
  <c r="AB52" i="19"/>
  <c r="AB35" i="19"/>
  <c r="AB89" i="19"/>
  <c r="AB6" i="19"/>
  <c r="AB41" i="19"/>
  <c r="AB56" i="19"/>
  <c r="AB104" i="19"/>
  <c r="AB66" i="19"/>
  <c r="AB20" i="19"/>
  <c r="AB77" i="19"/>
  <c r="AB65" i="19"/>
  <c r="AB19" i="19"/>
  <c r="AB12" i="19"/>
  <c r="AB76" i="19"/>
  <c r="AB58" i="19"/>
  <c r="AB59" i="19"/>
  <c r="AB32" i="19"/>
  <c r="AB79" i="19"/>
  <c r="AB80" i="19"/>
  <c r="AB47" i="19"/>
  <c r="AB61" i="19"/>
  <c r="AB48" i="19"/>
  <c r="AB27" i="19"/>
  <c r="AB54" i="19"/>
  <c r="AB98" i="19"/>
  <c r="AB87" i="19"/>
  <c r="AB82" i="19"/>
  <c r="AB43" i="19"/>
  <c r="AB14" i="19"/>
  <c r="AB37" i="19"/>
  <c r="AB39" i="19"/>
  <c r="AB100" i="19"/>
  <c r="AB34" i="19"/>
  <c r="AB71" i="19"/>
  <c r="AB74" i="19"/>
  <c r="AB75" i="19"/>
  <c r="AB86" i="19"/>
  <c r="AB21" i="19"/>
  <c r="AB2" i="19"/>
  <c r="AB45" i="19"/>
  <c r="AB28" i="19"/>
  <c r="AB22" i="19"/>
  <c r="AB23" i="19"/>
  <c r="AB103" i="19"/>
  <c r="AB95" i="19"/>
  <c r="AB26" i="19"/>
  <c r="AB88" i="19"/>
  <c r="AB101" i="19"/>
  <c r="AB16" i="19"/>
  <c r="AB17" i="19"/>
  <c r="AB91" i="19"/>
  <c r="AB40" i="19"/>
  <c r="AB5" i="19"/>
  <c r="AB7" i="19"/>
  <c r="AB8" i="19"/>
  <c r="AB93" i="19"/>
  <c r="AB49" i="19"/>
  <c r="AB102" i="19"/>
  <c r="AB57" i="19"/>
  <c r="AB96" i="19"/>
  <c r="AB30" i="19"/>
  <c r="AB18" i="19"/>
  <c r="AB78" i="19"/>
  <c r="AB68" i="19" l="1"/>
  <c r="AB29" i="19"/>
  <c r="AB92" i="19"/>
  <c r="AB90" i="19"/>
  <c r="AB46" i="19"/>
  <c r="AB94" i="19"/>
  <c r="AB73" i="19"/>
  <c r="AB36" i="19"/>
  <c r="AB15" i="19"/>
  <c r="AB42" i="19"/>
  <c r="AB55" i="19"/>
  <c r="AB51" i="19"/>
  <c r="AB64" i="19"/>
  <c r="G2" i="16" l="1"/>
  <c r="F2" i="16"/>
  <c r="H2" i="16" l="1"/>
  <c r="F2" i="11"/>
  <c r="G2" i="14" l="1"/>
  <c r="F2" i="14"/>
  <c r="H2" i="14" l="1"/>
  <c r="F33" i="3"/>
  <c r="G33" i="3"/>
  <c r="F32" i="3"/>
  <c r="G32" i="3"/>
  <c r="H33" i="3" l="1"/>
  <c r="H32" i="3"/>
  <c r="F17" i="3"/>
  <c r="G17" i="3"/>
  <c r="H17" i="3" l="1"/>
  <c r="F15" i="8"/>
  <c r="G15" i="8"/>
  <c r="F21" i="3"/>
  <c r="G21" i="3"/>
  <c r="F23" i="3"/>
  <c r="G23" i="3"/>
  <c r="H15" i="8" l="1"/>
  <c r="H21" i="3"/>
  <c r="H23" i="3"/>
  <c r="G14" i="8" l="1"/>
  <c r="G13" i="8"/>
  <c r="G12" i="8"/>
  <c r="G11" i="8"/>
  <c r="G10" i="8"/>
  <c r="G9" i="8"/>
  <c r="G8" i="8"/>
  <c r="G7" i="8"/>
  <c r="G6" i="8"/>
  <c r="G5" i="8"/>
  <c r="G4" i="8"/>
  <c r="G3" i="8"/>
  <c r="G2" i="8"/>
  <c r="H7" i="8" l="1"/>
  <c r="H13" i="8"/>
  <c r="H14" i="8"/>
  <c r="H12" i="8"/>
  <c r="H11" i="8"/>
  <c r="H10" i="8"/>
  <c r="H9" i="8"/>
  <c r="H8" i="8"/>
  <c r="H6" i="8"/>
  <c r="H5" i="8"/>
  <c r="H4" i="8"/>
  <c r="H3" i="8"/>
  <c r="H2" i="8"/>
  <c r="F2" i="8"/>
  <c r="F4" i="8"/>
  <c r="F6" i="8"/>
  <c r="F8" i="8"/>
  <c r="F10" i="8"/>
  <c r="F12" i="8"/>
  <c r="F14" i="8"/>
  <c r="F3" i="8"/>
  <c r="F5" i="8"/>
  <c r="F7" i="8"/>
  <c r="F9" i="8"/>
  <c r="F11" i="8"/>
  <c r="F13" i="8"/>
  <c r="G24" i="3"/>
  <c r="G15" i="3"/>
  <c r="G12" i="3"/>
  <c r="G5" i="3"/>
  <c r="G7" i="3"/>
  <c r="G8" i="3"/>
  <c r="G9" i="3"/>
  <c r="G38" i="3"/>
  <c r="G29" i="3"/>
  <c r="G6" i="3"/>
  <c r="G13" i="3"/>
  <c r="G14" i="3"/>
  <c r="G19" i="3"/>
  <c r="G11" i="3"/>
  <c r="G27" i="3"/>
  <c r="G40" i="3"/>
  <c r="G39" i="3"/>
  <c r="G28" i="3"/>
  <c r="G22" i="3"/>
  <c r="G31" i="3"/>
  <c r="G35" i="3"/>
  <c r="G26" i="3"/>
  <c r="G36" i="3"/>
  <c r="G34" i="3"/>
  <c r="G30" i="3"/>
  <c r="G2" i="3"/>
  <c r="G18" i="3"/>
  <c r="G4" i="3"/>
  <c r="G20" i="3"/>
  <c r="G3" i="3"/>
  <c r="G10" i="3"/>
  <c r="G37" i="3"/>
  <c r="G25" i="3"/>
  <c r="F16" i="3" l="1"/>
  <c r="H40" i="3" l="1"/>
  <c r="F40" i="3"/>
  <c r="H38" i="3"/>
  <c r="F38" i="3"/>
  <c r="H29" i="3"/>
  <c r="F29" i="3"/>
  <c r="H10" i="3"/>
  <c r="F10" i="3"/>
  <c r="H26" i="3"/>
  <c r="F26" i="3"/>
  <c r="H27" i="3"/>
  <c r="F27" i="3"/>
  <c r="H9" i="3"/>
  <c r="F9" i="3"/>
  <c r="H34" i="3"/>
  <c r="F34" i="3"/>
  <c r="H36" i="3"/>
  <c r="F36" i="3"/>
  <c r="H3" i="3"/>
  <c r="F3" i="3"/>
  <c r="H20" i="3"/>
  <c r="F20" i="3"/>
  <c r="H35" i="3"/>
  <c r="F35" i="3"/>
  <c r="H11" i="3"/>
  <c r="F11" i="3"/>
  <c r="H8" i="3"/>
  <c r="F8" i="3"/>
  <c r="H37" i="3"/>
  <c r="F37" i="3"/>
  <c r="H4" i="3"/>
  <c r="F4" i="3"/>
  <c r="H31" i="3"/>
  <c r="F31" i="3"/>
  <c r="H19" i="3"/>
  <c r="F19" i="3"/>
  <c r="H7" i="3"/>
  <c r="F7" i="3"/>
  <c r="H18" i="3"/>
  <c r="F18" i="3"/>
  <c r="H22" i="3"/>
  <c r="F22" i="3"/>
  <c r="H14" i="3"/>
  <c r="F14" i="3"/>
  <c r="H5" i="3"/>
  <c r="F5" i="3"/>
  <c r="H24" i="3"/>
  <c r="F24" i="3"/>
  <c r="H2" i="3"/>
  <c r="F2" i="3"/>
  <c r="H28" i="3"/>
  <c r="F28" i="3"/>
  <c r="H13" i="3"/>
  <c r="F13" i="3"/>
  <c r="H12" i="3"/>
  <c r="F12" i="3"/>
  <c r="H25" i="3"/>
  <c r="F25" i="3"/>
  <c r="H30" i="3"/>
  <c r="F30" i="3"/>
  <c r="H39" i="3"/>
  <c r="F39" i="3"/>
  <c r="H6" i="3"/>
  <c r="F6" i="3"/>
  <c r="H15" i="3"/>
  <c r="F15" i="3"/>
  <c r="G16" i="3"/>
  <c r="H16" i="3" s="1"/>
</calcChain>
</file>

<file path=xl/sharedStrings.xml><?xml version="1.0" encoding="utf-8"?>
<sst xmlns="http://schemas.openxmlformats.org/spreadsheetml/2006/main" count="1747" uniqueCount="587">
  <si>
    <t>Man. Number</t>
  </si>
  <si>
    <t>Art. Number</t>
  </si>
  <si>
    <t>Description</t>
  </si>
  <si>
    <t>In stock</t>
  </si>
  <si>
    <t>Retailer</t>
  </si>
  <si>
    <t>Farnell</t>
  </si>
  <si>
    <t>Manufacturer</t>
  </si>
  <si>
    <t>3M</t>
  </si>
  <si>
    <t>Unit price</t>
  </si>
  <si>
    <t xml:space="preserve">SN74LV00AD </t>
  </si>
  <si>
    <t>Porte Logique NON-ET, 4 Portes, 2 entrées, 12 mA, 2V à 5.5V</t>
  </si>
  <si>
    <t>Condensateur électrolytique, 4.7 µF, 35 V, Série MCGPR, ± 20%, À sorties radiales, 5 mm</t>
  </si>
  <si>
    <t>MCGPR35V475M5X11</t>
  </si>
  <si>
    <t>Condensateur électrolytique, 10 µF, 35 V, Série MCGPR, ± 20%, À sorties radiales, 5 mm</t>
  </si>
  <si>
    <t>MCGPR35V106M5X11</t>
  </si>
  <si>
    <t>Fusible à cartouche, Action rapide, 630 mA, 250 V</t>
  </si>
  <si>
    <t>MC000886</t>
  </si>
  <si>
    <t>Amplificateur opérationnel, Simple, 1 amplificateur, 1 MHz, 0.6 V/µs, 1.8V à 6V</t>
  </si>
  <si>
    <t>MCP6001RT-I/OT</t>
  </si>
  <si>
    <t>LED haute luminosité, Little Star Series, Blanc froid, 120 °, 100 lm, 350 mA</t>
  </si>
  <si>
    <t>VLMW712U2U3XV-GS08</t>
  </si>
  <si>
    <t>Chargeur de batterie pour 1 cellule Li-Ion, batterie Li-Pol, entrée 6V, charge 4.2V/500mA</t>
  </si>
  <si>
    <t>MCP73832T-2ACI/OT</t>
  </si>
  <si>
    <t>Superviseur, Reset drain ouvert, actif à l'état bas, 1V-5.5Vin</t>
  </si>
  <si>
    <t>MCP121T-315E/TT</t>
  </si>
  <si>
    <t>Régulateur LDO, Fixe, Entrée 1.7 V à 5,5 V, Sortie 3.3 V/300 mA, Chute de 150 mV</t>
  </si>
  <si>
    <t xml:space="preserve"> ON SEMICONDUCTOR</t>
  </si>
  <si>
    <t>NCP114ASN330T1G</t>
  </si>
  <si>
    <t>Cavalier (barre bus), Shunt, Shunt, Embases au pas de 0.100", 2 Voies, 2.54 mm</t>
  </si>
  <si>
    <t>Porte fusible, Design ouvert, 500V, 10A, 5 x 20mm, traversant, noir</t>
  </si>
  <si>
    <t>Accessoire de fusible, Fusible cartouche, 5 x 20mm, OGN et OGN-SMD, Noir, Poignée</t>
  </si>
  <si>
    <t>0853.1201</t>
  </si>
  <si>
    <t>LED, Rouge, Traversant, 3mm, 20 mA, 1.8 V, 643 nm</t>
  </si>
  <si>
    <t>MULTICOMP</t>
  </si>
  <si>
    <t>703-0090</t>
  </si>
  <si>
    <t>Condensateur céramique multicouche CMS, 1206 [3216 Metric], 0.1 µF, 25 V, ± 10%, X7R</t>
  </si>
  <si>
    <t>VJ1206Y104KXXCW1BC</t>
  </si>
  <si>
    <t>Potentiomètres variables, 10 ohm, 15 Tour(s), Traversant</t>
  </si>
  <si>
    <t>3006P-1-100LF</t>
  </si>
  <si>
    <t>Connecteur carte-à-carte, 2.54 mm, 36 Contact(s), Embase</t>
  </si>
  <si>
    <t xml:space="preserve">929974-01-36-RK </t>
  </si>
  <si>
    <t>Transistor MOSFET, Canal P, -7.1 A, -12 V, 28.5 mohm, -4.5 V, -400 mV</t>
  </si>
  <si>
    <t>VISHAY</t>
  </si>
  <si>
    <t>SI2333CDS-T1-GE3</t>
  </si>
  <si>
    <t>Transistor MOSFET, Canal N, 2.2 A, 30 V, 65 mohm, 4.5 V, 700 mV</t>
  </si>
  <si>
    <t>ON SEMICONDUCTOR</t>
  </si>
  <si>
    <t>FDN337N</t>
  </si>
  <si>
    <t>Potentiomètres variables, 100 kohm, 23 Tour(s), Traversant</t>
  </si>
  <si>
    <t xml:space="preserve">VISHAY </t>
  </si>
  <si>
    <t>T93XA104KT20</t>
  </si>
  <si>
    <t>Résistance à puce CMS, Couche épaisse, 150 kohm</t>
  </si>
  <si>
    <t xml:space="preserve">MULTICOMP </t>
  </si>
  <si>
    <t>MCWR08X1503FTL</t>
  </si>
  <si>
    <t>Résistance à puce CMS, Céramique, 4.7 kohm</t>
  </si>
  <si>
    <t>MCMR08X4701FTL</t>
  </si>
  <si>
    <t>Résistance à puce CMS, Céramique, 22 ohm</t>
  </si>
  <si>
    <t>MCMR08X22R0FTL</t>
  </si>
  <si>
    <t>Résistance à puce CMS, Couche épaisse, 110 kohm</t>
  </si>
  <si>
    <t xml:space="preserve">PANASONIC ELECTRONIC COMPONENTS  </t>
  </si>
  <si>
    <t>ERJ6RED1103V</t>
  </si>
  <si>
    <t>Résistance à puce CMS, Couche épaisse, 1 Mohm</t>
  </si>
  <si>
    <t>MCHP05W4F1004T5E</t>
  </si>
  <si>
    <t>Résistance à puce CMS, 100 kohm</t>
  </si>
  <si>
    <t>MCWF08P1003FTL</t>
  </si>
  <si>
    <t>377-2428-ND</t>
  </si>
  <si>
    <t>-</t>
  </si>
  <si>
    <t>BOX PLASTIC GRY/CLR 4.9"LX4.92"W</t>
  </si>
  <si>
    <t>PB1175CT-ND</t>
  </si>
  <si>
    <t>RELAY TELECOM DPDT 5A 2.4V</t>
  </si>
  <si>
    <t>TE Connectivity Potter &amp; Brumfield Relays</t>
  </si>
  <si>
    <t>NSL-19M51-ND</t>
  </si>
  <si>
    <t>PHOTOCELL</t>
  </si>
  <si>
    <t>Luna Optoelectronics</t>
  </si>
  <si>
    <t>NSL-19M51</t>
  </si>
  <si>
    <t>668-1204-ND</t>
  </si>
  <si>
    <t>AUDIO PIEZO INDICATOR 2-5V TH</t>
  </si>
  <si>
    <t>PUI Audio, Inc.</t>
  </si>
  <si>
    <t>AI-3035-TWT-3V-R</t>
  </si>
  <si>
    <t>PIC16LF1827-I/P-ND</t>
  </si>
  <si>
    <t>IC MCU 8BIT 7KB FLASH 18DIP</t>
  </si>
  <si>
    <t>Microchip Technology</t>
  </si>
  <si>
    <t>PIC16LF1827-I/P</t>
  </si>
  <si>
    <t>Digikey</t>
  </si>
  <si>
    <t>Panneau solaire</t>
  </si>
  <si>
    <t>Batterie</t>
  </si>
  <si>
    <t>Communication RF</t>
  </si>
  <si>
    <t>DC Step-up</t>
  </si>
  <si>
    <t>Porte-batterie</t>
  </si>
  <si>
    <t>Banggood</t>
  </si>
  <si>
    <t>1822046</t>
  </si>
  <si>
    <t>827914-1</t>
  </si>
  <si>
    <t>TE CONNECTIVITY</t>
  </si>
  <si>
    <t>BOURNS</t>
  </si>
  <si>
    <t>SCHURTER</t>
  </si>
  <si>
    <t>MICROCHIP</t>
  </si>
  <si>
    <t>Bud Industries</t>
  </si>
  <si>
    <t>Cavalier (barre bus), Shunt, Shunt, Embases au pas de 0.100"</t>
  </si>
  <si>
    <t xml:space="preserve">1N4148TR </t>
  </si>
  <si>
    <t>Diode signaux faibles</t>
  </si>
  <si>
    <t>8540861</t>
  </si>
  <si>
    <t>MCP6004-I/ST</t>
  </si>
  <si>
    <t>MCP6002-I/MS</t>
  </si>
  <si>
    <t>Amplificateur opérationnel, Double</t>
  </si>
  <si>
    <t>8540853</t>
  </si>
  <si>
    <t>Amplificateur opérationnel, Quadruple</t>
  </si>
  <si>
    <t>MCP6004-I/P.</t>
  </si>
  <si>
    <t>1605571</t>
  </si>
  <si>
    <t>22-28-4360</t>
  </si>
  <si>
    <t>MOLEX</t>
  </si>
  <si>
    <t>1654535</t>
  </si>
  <si>
    <t>Connecteur carte-à-carte, Angle Droit, 2.54 mm, 40 Contact(s)</t>
  </si>
  <si>
    <t>2356192</t>
  </si>
  <si>
    <t>WURTH ELEKTRONIK</t>
  </si>
  <si>
    <t>2213S-40G</t>
  </si>
  <si>
    <t>2725179</t>
  </si>
  <si>
    <t>Connecteur carte-à-carte, Vertical, 2.54 mm, 36 Contact(s)</t>
  </si>
  <si>
    <t>Connecteur carte-à-carte, 2.54 mm, 40 Contact(s)</t>
  </si>
  <si>
    <t>0031.8201</t>
  </si>
  <si>
    <t>1-881545-1</t>
  </si>
  <si>
    <t>Supports CI, 20 Contact(s), Fiche femelle DIP, 2.54 mm</t>
  </si>
  <si>
    <t>SPC15501</t>
  </si>
  <si>
    <t>2678574</t>
  </si>
  <si>
    <t>Supports CI, 18 Contact(s), Fiche femelle DIP, 2.54 mm</t>
  </si>
  <si>
    <t>1-2199298-5</t>
  </si>
  <si>
    <t>2445623</t>
  </si>
  <si>
    <t>Réseau de transistors bipolaires, Darlington, NPN, 50 V, 350 mA</t>
  </si>
  <si>
    <t>ULN2004AN</t>
  </si>
  <si>
    <t>TEXAS INSTRUMENTS</t>
  </si>
  <si>
    <t>1103041</t>
  </si>
  <si>
    <t>ULN2003ADRG3</t>
  </si>
  <si>
    <t>2769437</t>
  </si>
  <si>
    <t>Réseau de transistors bipolaires, NPN, 50 V, 500 mA</t>
  </si>
  <si>
    <t>Supports CI, 16 Contact(s), Fiche femelle DIP, 2.54 mm</t>
  </si>
  <si>
    <t>4816-3004-CP</t>
  </si>
  <si>
    <t>2672298</t>
  </si>
  <si>
    <t>Porte Logique Inverseur, 1 entrée, 8 mA, 2V à 5.5V</t>
  </si>
  <si>
    <t>SN74AHC1G04QDCKRQ1</t>
  </si>
  <si>
    <t>2334901</t>
  </si>
  <si>
    <t>Quantity</t>
  </si>
  <si>
    <t>1462039-9</t>
  </si>
  <si>
    <t>732-4998-1-ND</t>
  </si>
  <si>
    <t>150141M173100</t>
  </si>
  <si>
    <t>LED RGB CLEAR 3528 SMD</t>
  </si>
  <si>
    <t>VEML6040A3OGCT-ND</t>
  </si>
  <si>
    <t>VEML6040A3OG</t>
  </si>
  <si>
    <t>RGBW COLOR SENSOR I2C INTERFACE</t>
  </si>
  <si>
    <t>PIC16LF1827-I/SS-ND</t>
  </si>
  <si>
    <t>PIC16LF1827-I/SS</t>
  </si>
  <si>
    <t>IC MCU 8BIT 7KB FLASH 20SSOP</t>
  </si>
  <si>
    <t>PIC16LF18346-E/SO-ND</t>
  </si>
  <si>
    <t>PIC16LF18346-E/SO</t>
  </si>
  <si>
    <t>IC MCU 8BIT 28KB FLASH 20SOIC</t>
  </si>
  <si>
    <t>PIC16F18346-I/P-ND</t>
  </si>
  <si>
    <t>PIC16F18346-I/P</t>
  </si>
  <si>
    <t>IC MCU 8BIT 28KB FLASH 20DIP</t>
  </si>
  <si>
    <t>609-4052-1-ND</t>
  </si>
  <si>
    <t>10104110-0001LF</t>
  </si>
  <si>
    <t>CONN RCPT STD MICRO USB TYPE B</t>
  </si>
  <si>
    <t>PTS-25310-C</t>
  </si>
  <si>
    <t>9843680</t>
  </si>
  <si>
    <t>Wurth Electronics Inc.</t>
  </si>
  <si>
    <t>Vishay Semiconductor Opto Division</t>
  </si>
  <si>
    <t>Amphenol FCI</t>
  </si>
  <si>
    <t>9451234</t>
  </si>
  <si>
    <t>1822174</t>
  </si>
  <si>
    <t>Available</t>
  </si>
  <si>
    <t>Multiplier</t>
  </si>
  <si>
    <t>Total quantity</t>
  </si>
  <si>
    <t>3006P-1-100LF-ND</t>
  </si>
  <si>
    <t>Bourns Inc.</t>
  </si>
  <si>
    <t>Date</t>
  </si>
  <si>
    <t>Creation</t>
  </si>
  <si>
    <t>INFO</t>
  </si>
  <si>
    <t>Stock Before</t>
  </si>
  <si>
    <t>Stock After</t>
  </si>
  <si>
    <t>Total available</t>
  </si>
  <si>
    <t>Modification</t>
  </si>
  <si>
    <t>MAN</t>
  </si>
  <si>
    <t>F10794-ND</t>
  </si>
  <si>
    <t>08743.15MXEP</t>
  </si>
  <si>
    <t>FUSE CERAMIC 3.15A 250VAC AXIAL</t>
  </si>
  <si>
    <t>XQDAWT-00-0000-00000BF50CT-ND</t>
  </si>
  <si>
    <t>XQDAWT-00-0000-00000BF50</t>
  </si>
  <si>
    <t>LED XLAMP COOL WHITE 6200K 0606</t>
  </si>
  <si>
    <t>XTEAWT-00-0000-000000KE1CT-ND</t>
  </si>
  <si>
    <t>XTEAWT-00-0000-000000KE1</t>
  </si>
  <si>
    <t>LED XLAMP XT-E 6500K WHITE SMD</t>
  </si>
  <si>
    <t>541-4131-1-ND</t>
  </si>
  <si>
    <t>CRCW08054K70FKEAC</t>
  </si>
  <si>
    <t>RES SMD 4.7K OHM 1% 1/8W 0805</t>
  </si>
  <si>
    <t>296-46314-1-ND</t>
  </si>
  <si>
    <t>LP38511MRX-ADJ/NOPB</t>
  </si>
  <si>
    <t>IC REG LIN POS ADJ 800MA 8SO</t>
  </si>
  <si>
    <t>1510-2262-1-ND</t>
  </si>
  <si>
    <t>SPHWHTL3DA0CF4QTW6</t>
  </si>
  <si>
    <t>LED WHITE CERAMIC LH351D</t>
  </si>
  <si>
    <t>SMD291-ND</t>
  </si>
  <si>
    <t>SMD291</t>
  </si>
  <si>
    <t>FLUX NO-CLEAN 10CC SYR SMD</t>
  </si>
  <si>
    <t>Commande Digikey</t>
  </si>
  <si>
    <t>1004068</t>
  </si>
  <si>
    <t>90990</t>
  </si>
  <si>
    <t>912951</t>
  </si>
  <si>
    <t>1181876</t>
  </si>
  <si>
    <t>965083</t>
  </si>
  <si>
    <t>Utilisation du fin de stock</t>
  </si>
  <si>
    <t>Réparation pasata maker philips</t>
  </si>
  <si>
    <t>Modification LampeSolaire_v1_1</t>
  </si>
  <si>
    <t>LampeSolaire_v1_2</t>
  </si>
  <si>
    <t>Index</t>
  </si>
  <si>
    <t>Name</t>
  </si>
  <si>
    <t>SheetName</t>
  </si>
  <si>
    <t>Tempo metter v1</t>
  </si>
  <si>
    <t>TempoMetter_v1</t>
  </si>
  <si>
    <t>IC MCU 8BIT 7KB FLASH 14SOIC</t>
  </si>
  <si>
    <t>PIC16LF18324-I/SL</t>
  </si>
  <si>
    <t>MMA8452QR1</t>
  </si>
  <si>
    <t>ACCELEROMETER 2-8G I2C 16QFN</t>
  </si>
  <si>
    <t>MMA8452QR1CT-ND</t>
  </si>
  <si>
    <t>NXP USA Inc.</t>
  </si>
  <si>
    <t>PIC16LF18324-I/SL-ND</t>
  </si>
  <si>
    <t>MIC5504-2.5YM5-TR</t>
  </si>
  <si>
    <t>IC REG LINEAR 2.5V 300MA SOT23-5</t>
  </si>
  <si>
    <t>576-4880-1-ND</t>
  </si>
  <si>
    <t>BU2032SM-JJ-GCT-ND</t>
  </si>
  <si>
    <t>BU2032SM-JJ-GTR</t>
  </si>
  <si>
    <t>MPD (Memory Protection Devices)</t>
  </si>
  <si>
    <t>BATTERY HOLDER COIN 20MM SMD</t>
  </si>
  <si>
    <t>732-4980-1-ND</t>
  </si>
  <si>
    <t>150060VS75000</t>
  </si>
  <si>
    <t>LED GREEN CLEAR 0603 SMD</t>
  </si>
  <si>
    <t>TLMS1000-GS08</t>
  </si>
  <si>
    <t>LED RED 0603 SMD</t>
  </si>
  <si>
    <t>679-3547-ND</t>
  </si>
  <si>
    <t>SLB12814</t>
  </si>
  <si>
    <t>APEM Inc.</t>
  </si>
  <si>
    <t>SWITCH SLIDE SPDT 300MA 125V</t>
  </si>
  <si>
    <t>1-1825059-3-ND</t>
  </si>
  <si>
    <t>1-1825059-3</t>
  </si>
  <si>
    <t>TE Connectivity ALCOSWITCH Switches</t>
  </si>
  <si>
    <t>SWITCH SLIDE DIP SPST 100MA 24V</t>
  </si>
  <si>
    <t>1276-3178-1-ND</t>
  </si>
  <si>
    <t>CL31B475KAHNNWE</t>
  </si>
  <si>
    <t>Samsung Electro-Mechanics</t>
  </si>
  <si>
    <t>CAP CER 4.7UF 25V X7R 1206</t>
  </si>
  <si>
    <t>P150CCT-ND</t>
  </si>
  <si>
    <t>ERJ-6ENF1500V</t>
  </si>
  <si>
    <t>Panasonic Electronic Components</t>
  </si>
  <si>
    <t>RES SMD 150 OHM 1% 1/8W 0805</t>
  </si>
  <si>
    <t>541-3979-1-ND</t>
  </si>
  <si>
    <t>CRCW0805100RFKEAC</t>
  </si>
  <si>
    <t>Vishay Dale</t>
  </si>
  <si>
    <t>RES SMD 100 OHM 1% 1/8W 0805</t>
  </si>
  <si>
    <t>EsseivaN</t>
  </si>
  <si>
    <t>PCB Lampe solaire v1</t>
  </si>
  <si>
    <t>PCB Lampe solaire v2</t>
  </si>
  <si>
    <t>PCB TempoMetter v1</t>
  </si>
  <si>
    <t>Commande JLCPCB</t>
  </si>
  <si>
    <t>Unknown</t>
  </si>
  <si>
    <t>Starting row</t>
  </si>
  <si>
    <t>Art. number</t>
  </si>
  <si>
    <t>A129415CT-ND</t>
  </si>
  <si>
    <t>RES 22 OHM 1W 5% AXIAL</t>
  </si>
  <si>
    <t>495-5633-1-ND</t>
  </si>
  <si>
    <t>FIXED IND 470UH 510MA 1.9 OHM TH</t>
  </si>
  <si>
    <t>495-5623-1-ND</t>
  </si>
  <si>
    <t>FIXED IND 470UH 280MA 2.5 OHM TH</t>
  </si>
  <si>
    <t>732-8886-1-ND</t>
  </si>
  <si>
    <t>CAP ALUM 4.7UF 20% 400V RADIAL</t>
  </si>
  <si>
    <t>495-1433-ND</t>
  </si>
  <si>
    <t>VARISTOR 430V 3.5KA DISC 10MM</t>
  </si>
  <si>
    <t>173-36-289</t>
  </si>
  <si>
    <t>LNK304PN</t>
  </si>
  <si>
    <t>Power Integrations</t>
  </si>
  <si>
    <t>Switching controller IC DIL-8</t>
  </si>
  <si>
    <t>Commande Digikey 57887296</t>
  </si>
  <si>
    <t>Commande Digikey 57887297</t>
  </si>
  <si>
    <t>Commande Digikey 57887298</t>
  </si>
  <si>
    <t>Commande Digikey 57887299</t>
  </si>
  <si>
    <t>Commande Digikey 57887300</t>
  </si>
  <si>
    <t>Commande Digikey 57887301</t>
  </si>
  <si>
    <t>Commande Digikey 57887302</t>
  </si>
  <si>
    <t>Commande Digikey 57887303</t>
  </si>
  <si>
    <t>Commande Digikey 57887304</t>
  </si>
  <si>
    <t>Commande Digikey 57887305</t>
  </si>
  <si>
    <t>Commande Digikey 57887306</t>
  </si>
  <si>
    <t>Commande Digikey 57887307</t>
  </si>
  <si>
    <t>MFU0805.63CT-ND</t>
  </si>
  <si>
    <t>Vishay Beyschlag</t>
  </si>
  <si>
    <t>FUSE BOARD MNT 630MA 32VDC 0805</t>
  </si>
  <si>
    <t>MFU1206FF00630P100</t>
  </si>
  <si>
    <t>FUSE BOARD MNT 630MA 63VDC 1206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</si>
  <si>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</si>
  <si>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</si>
  <si>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</si>
  <si>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</si>
  <si>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</si>
  <si>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</si>
  <si>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</si>
  <si>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</si>
  <si>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</si>
  <si>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</si>
  <si>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</si>
  <si>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</si>
  <si>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</si>
  <si>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</si>
  <si>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</si>
  <si>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</si>
  <si>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</si>
  <si>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</si>
  <si>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</si>
  <si>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</si>
  <si>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</si>
  <si>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</si>
  <si>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</si>
  <si>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</si>
  <si>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</si>
  <si>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</si>
  <si>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Résistance SMD 1k OHM 0805</t>
  </si>
  <si>
    <t>Résistance SMD 3.3k OHM 0805</t>
  </si>
  <si>
    <t>E-R-3301</t>
  </si>
  <si>
    <t>E-R-1001</t>
  </si>
  <si>
    <t>E-PCB-000-000</t>
  </si>
  <si>
    <t>E-PCB-000-001</t>
  </si>
  <si>
    <t>E-PCB-001-000</t>
  </si>
  <si>
    <t>E-PCB-002-000</t>
  </si>
  <si>
    <t>E-PCB-000-002</t>
  </si>
  <si>
    <t>PCB Lampe solaire v4</t>
  </si>
  <si>
    <t>301-18-567</t>
  </si>
  <si>
    <t>VEL-EC60217</t>
  </si>
  <si>
    <t>VELCRO</t>
  </si>
  <si>
    <t>Crochet et boucle adhésifs noir 20 mmx5 m</t>
  </si>
  <si>
    <t>0</t>
  </si>
  <si>
    <t>Ajout article</t>
  </si>
  <si>
    <t>155-79-878</t>
  </si>
  <si>
    <t>LIYV 0,50 MM² RED</t>
  </si>
  <si>
    <t>Kabeltronik</t>
  </si>
  <si>
    <t>Toron 0.5 mm² Toron à fil en cuivre étamé Rouge 100 m</t>
  </si>
  <si>
    <t>133-18-751</t>
  </si>
  <si>
    <t>FP300</t>
  </si>
  <si>
    <t>Beha-Amprobe</t>
  </si>
  <si>
    <t>Fusible 315 mA 1 kV FF Paquet à 4 pièces</t>
  </si>
  <si>
    <t>418973 - 62</t>
  </si>
  <si>
    <t>431015</t>
  </si>
  <si>
    <t>ESKA</t>
  </si>
  <si>
    <t>Fusible CMS ESKA 431015 rapide -F- CMS 1206 630 mA 125 V</t>
  </si>
  <si>
    <t>1558118 - 62</t>
  </si>
  <si>
    <t>435-0011-03-SP</t>
  </si>
  <si>
    <t>FLIR</t>
  </si>
  <si>
    <t>Caméra thermique FLIR 435-0011-03-SP -20 à +400 °C 160 x 120 pixels 8.7 Hz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</si>
  <si>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</si>
  <si>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</si>
  <si>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</si>
  <si>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</si>
  <si>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</si>
  <si>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</si>
  <si>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</si>
  <si>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</si>
  <si>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Lampe solaire v4</t>
  </si>
  <si>
    <t>LampeSolaire_v4</t>
  </si>
  <si>
    <t>32867696371</t>
  </si>
  <si>
    <t>SHANGSIMOUDLECX</t>
  </si>
  <si>
    <t>ESP32 Development Board</t>
  </si>
  <si>
    <t>1</t>
  </si>
  <si>
    <t>32845056564</t>
  </si>
  <si>
    <t>QIACHIP</t>
  </si>
  <si>
    <t>433mhz RF Receiver Learning Code Decoding Receiving Module</t>
  </si>
  <si>
    <t>32673925190</t>
  </si>
  <si>
    <t>Antenna For 433mhz RF Receiver and transmitter</t>
  </si>
  <si>
    <t>32710723814</t>
  </si>
  <si>
    <t>433 Mhz Remote Control</t>
  </si>
  <si>
    <t>D002-XXXX</t>
  </si>
  <si>
    <t>D001-XXXX</t>
  </si>
  <si>
    <t>Valise transparente</t>
  </si>
  <si>
    <t>Malette ESD 144</t>
  </si>
  <si>
    <t>Malette ESD 96</t>
  </si>
  <si>
    <t>Rangement tiroirs 1</t>
  </si>
  <si>
    <t>Rangement tiroirs 2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</si>
  <si>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</si>
  <si>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</si>
  <si>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</si>
  <si>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</si>
  <si>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</si>
  <si>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</si>
  <si>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</si>
  <si>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Led adaptateur v1</t>
  </si>
  <si>
    <t>PCB TempoMetter</t>
  </si>
  <si>
    <t>D001-001</t>
  </si>
  <si>
    <t>D001-002</t>
  </si>
  <si>
    <t>D001-000</t>
  </si>
  <si>
    <t>Batterie Li-Po 3.7V 2000mAh</t>
  </si>
  <si>
    <t>Article infos updated</t>
  </si>
  <si>
    <t>8540829</t>
  </si>
  <si>
    <t>D001-003</t>
  </si>
  <si>
    <t>D001-004</t>
  </si>
  <si>
    <t>D001-005</t>
  </si>
  <si>
    <t>1287598</t>
  </si>
  <si>
    <t>D001-012</t>
  </si>
  <si>
    <t>Commande conrad</t>
  </si>
  <si>
    <t>1851909</t>
  </si>
  <si>
    <t>D001-013</t>
  </si>
  <si>
    <t>1332159</t>
  </si>
  <si>
    <t>D001-014</t>
  </si>
  <si>
    <t>2677151</t>
  </si>
  <si>
    <t>D001-015</t>
  </si>
  <si>
    <t>D001-016</t>
  </si>
  <si>
    <t>D001-017</t>
  </si>
  <si>
    <t>D001-024</t>
  </si>
  <si>
    <t>D001-025</t>
  </si>
  <si>
    <t>D001-026</t>
  </si>
  <si>
    <t>D001-027</t>
  </si>
  <si>
    <t>D001-032</t>
  </si>
  <si>
    <t>2682731</t>
  </si>
  <si>
    <t>D001-036</t>
  </si>
  <si>
    <t>D001-049</t>
  </si>
  <si>
    <t>D001-048</t>
  </si>
  <si>
    <t>Undo LampeSolaire_v1_2 because not done</t>
  </si>
  <si>
    <t>0.639</t>
  </si>
  <si>
    <t>32845729569</t>
  </si>
  <si>
    <t>Mayitr</t>
  </si>
  <si>
    <t>Jack Plugs Male conector 2.1mm x 5.5mm</t>
  </si>
  <si>
    <t>Female socket adapter 2.1mm x 5.5mm</t>
  </si>
  <si>
    <t>5</t>
  </si>
  <si>
    <t>10</t>
  </si>
  <si>
    <t>2896645</t>
  </si>
  <si>
    <t>D001-C104</t>
  </si>
  <si>
    <t>D001-C475</t>
  </si>
  <si>
    <t>D001-R1001</t>
  </si>
  <si>
    <t>2694097</t>
  </si>
  <si>
    <t>D001-R1003</t>
  </si>
  <si>
    <t>1576507</t>
  </si>
  <si>
    <t>D001-R1004</t>
  </si>
  <si>
    <t>2380458</t>
  </si>
  <si>
    <t>D001-R1103</t>
  </si>
  <si>
    <t>2447573</t>
  </si>
  <si>
    <t>D001-R1503</t>
  </si>
  <si>
    <t>2073701</t>
  </si>
  <si>
    <t>D001-R220</t>
  </si>
  <si>
    <t>D001-R3301</t>
  </si>
  <si>
    <t>2073779</t>
  </si>
  <si>
    <t>D001-R4701</t>
  </si>
  <si>
    <t>Update place D001-XXXX to D001-RXXXX for resistors</t>
  </si>
  <si>
    <t>Update place D001-XXXX to D001-CXXXX for capacitors</t>
  </si>
  <si>
    <t>JLCPCB Command</t>
  </si>
  <si>
    <t>D010-XXXX</t>
  </si>
  <si>
    <t>D020-XXXX</t>
  </si>
  <si>
    <t>D100-XXXX</t>
  </si>
  <si>
    <t>D101-XXXX</t>
  </si>
  <si>
    <t>Boite avec conteneurs transparents</t>
  </si>
  <si>
    <t>Envoi pour demande d'échange USB C</t>
  </si>
  <si>
    <t>Demande acceptée, USB C</t>
  </si>
  <si>
    <t>Bulk Add : Quantity</t>
  </si>
  <si>
    <t>Min in stock</t>
  </si>
  <si>
    <t>Bulk Add : Product Number</t>
  </si>
  <si>
    <t>MFU1206.63CT-ND</t>
  </si>
  <si>
    <t>PCB USB Tool</t>
  </si>
  <si>
    <t>PCB RF Transceiver</t>
  </si>
  <si>
    <t>E-PCB-005</t>
  </si>
  <si>
    <t>E-PCB-006</t>
  </si>
  <si>
    <t>E-PCB-007</t>
  </si>
  <si>
    <t>E-PCB-008</t>
  </si>
  <si>
    <t>E-PCB-009</t>
  </si>
  <si>
    <t>E-PCB-010</t>
  </si>
  <si>
    <t>USB Tool v1</t>
  </si>
  <si>
    <t>USB_Tool_v1</t>
  </si>
  <si>
    <t>RF_Transceiver_v1</t>
  </si>
  <si>
    <t>596-1023-5-ND</t>
  </si>
  <si>
    <t>732-5350-ND</t>
  </si>
  <si>
    <t>486-1258-ND</t>
  </si>
  <si>
    <t>486-3662-ND</t>
  </si>
  <si>
    <t>A120350-ND</t>
  </si>
  <si>
    <t>A107340-ND</t>
  </si>
  <si>
    <t>1N4148TR</t>
  </si>
  <si>
    <t>0022284360</t>
  </si>
  <si>
    <t>3M5475-ND</t>
  </si>
  <si>
    <t>A106373-ND</t>
  </si>
  <si>
    <t>929974-01-36-RK</t>
  </si>
  <si>
    <t>FDN337NCT-ND</t>
  </si>
  <si>
    <t>MCP121T-315E/TTCT-ND</t>
  </si>
  <si>
    <t>NCP114ASN330T1GOSCT-ND</t>
  </si>
  <si>
    <t>SI2333CDS-T1-GE3CT-ND</t>
  </si>
  <si>
    <t>T93XA-100K-ND</t>
  </si>
  <si>
    <t>720-1805-1-ND</t>
  </si>
  <si>
    <t>Dgikey Bom</t>
  </si>
  <si>
    <t>Article Number</t>
  </si>
  <si>
    <t>32845729569A</t>
  </si>
  <si>
    <t>32845729569B</t>
  </si>
  <si>
    <t>EP1WS22RJ</t>
  </si>
  <si>
    <t>B82145A1474J000</t>
  </si>
  <si>
    <t>B82144A2474J000</t>
  </si>
  <si>
    <t>B72210S2271K101</t>
  </si>
  <si>
    <t>MFU0805FF00630P100</t>
  </si>
  <si>
    <t>Migration articles chez Digikey</t>
  </si>
  <si>
    <t>In next order</t>
  </si>
  <si>
    <t>Min Stock</t>
  </si>
  <si>
    <t>Total price</t>
  </si>
  <si>
    <t>Total</t>
  </si>
  <si>
    <t>Ret. Art. Number</t>
  </si>
  <si>
    <t>Ctrl + N</t>
  </si>
  <si>
    <t>Ctrl + K</t>
  </si>
  <si>
    <t>Ctrl + P</t>
  </si>
  <si>
    <t>Ctrl + O</t>
  </si>
  <si>
    <t>Fixed errors during file modification</t>
  </si>
  <si>
    <t>Default Art. Number</t>
  </si>
  <si>
    <t>Default Unit price</t>
  </si>
  <si>
    <t>Auto Order</t>
  </si>
  <si>
    <t>Components</t>
  </si>
  <si>
    <t>Places</t>
  </si>
  <si>
    <t>MCP2210-I/SS</t>
  </si>
  <si>
    <t>MCP2210-I/SS-ND</t>
  </si>
  <si>
    <t>IC CONVERTER USB-SPI 20-SSOP</t>
  </si>
  <si>
    <t>DSC6003JI2A-012.0000T</t>
  </si>
  <si>
    <t>DSC6003JI2A-012.0000TCT-ND</t>
  </si>
  <si>
    <t>MEMS OSC XO 12.0000MHZ CMOS SMD</t>
  </si>
  <si>
    <t>MRF89XAM8A-I/RM</t>
  </si>
  <si>
    <t>MRF89XAM8A-I/RM-ND</t>
  </si>
  <si>
    <t>RF TXRX MOD ISM&lt;1GHZ TRACE ANT</t>
  </si>
  <si>
    <t>PIC18F46K40-I/PT</t>
  </si>
  <si>
    <t>PIC18F46K40-I/PT-ND</t>
  </si>
  <si>
    <t>IC MCU 8BIT 64KB FLASH 44TQFP</t>
  </si>
  <si>
    <t>0679H0500-01</t>
  </si>
  <si>
    <t>Bel Fuse Inc.</t>
  </si>
  <si>
    <t>507-2023-1-ND</t>
  </si>
  <si>
    <t>FUSE BRD MNT 500MA 350VAC 72VDC</t>
  </si>
  <si>
    <t>Article added</t>
  </si>
  <si>
    <t>New oder</t>
  </si>
  <si>
    <t>860021374008</t>
  </si>
  <si>
    <t>JLCPCB</t>
  </si>
  <si>
    <t>Default retailer</t>
  </si>
  <si>
    <t>Conrad</t>
  </si>
  <si>
    <t>Distrelec</t>
  </si>
  <si>
    <t>Mouser</t>
  </si>
  <si>
    <t>Aliexpress</t>
  </si>
  <si>
    <t>Other</t>
  </si>
  <si>
    <t>Unit price - Digikey</t>
  </si>
  <si>
    <t>Unit price - Farnell</t>
  </si>
  <si>
    <t>Unit price - Distrelec</t>
  </si>
  <si>
    <t>Unit price - Conrad</t>
  </si>
  <si>
    <t>Unit price - Mouser</t>
  </si>
  <si>
    <t>Unit price - Aliexpress</t>
  </si>
  <si>
    <t>Unit price - Banggood</t>
  </si>
  <si>
    <t>Unit price - Other</t>
  </si>
  <si>
    <t>Connector Header Through Hole 36 position 0.100" (2.54mm)</t>
  </si>
  <si>
    <t>WM50014-36-ND</t>
  </si>
  <si>
    <t>929974E-01-36-ND</t>
  </si>
  <si>
    <t>Category</t>
  </si>
  <si>
    <t>Fuse</t>
  </si>
  <si>
    <t>Connector</t>
  </si>
  <si>
    <t>Module</t>
  </si>
  <si>
    <t>Power</t>
  </si>
  <si>
    <t>Accessory</t>
  </si>
  <si>
    <t>Capacitor</t>
  </si>
  <si>
    <t>Switch</t>
  </si>
  <si>
    <t>Relay</t>
  </si>
  <si>
    <t>Led</t>
  </si>
  <si>
    <t>Diode</t>
  </si>
  <si>
    <t>Varistor</t>
  </si>
  <si>
    <t>Conector</t>
  </si>
  <si>
    <t>Support</t>
  </si>
  <si>
    <t>Jumper</t>
  </si>
  <si>
    <t>Trimmer</t>
  </si>
  <si>
    <t>Tool</t>
  </si>
  <si>
    <t>Buzzer</t>
  </si>
  <si>
    <t>Inductor</t>
  </si>
  <si>
    <t>Resistor</t>
  </si>
  <si>
    <t>PCB</t>
  </si>
  <si>
    <t>Transistor</t>
  </si>
  <si>
    <t>Cable</t>
  </si>
  <si>
    <t>IC</t>
  </si>
  <si>
    <t>LDO</t>
  </si>
  <si>
    <t>AOP</t>
  </si>
  <si>
    <t>Photocell</t>
  </si>
  <si>
    <t>MCU</t>
  </si>
  <si>
    <t>Box</t>
  </si>
  <si>
    <t>Flux</t>
  </si>
  <si>
    <t>Logic</t>
  </si>
  <si>
    <t>Driver</t>
  </si>
  <si>
    <t>Power Led</t>
  </si>
  <si>
    <t>Bridge</t>
  </si>
  <si>
    <t>Oscillator</t>
  </si>
  <si>
    <t>Ctrl + B</t>
  </si>
  <si>
    <t>C3, C8</t>
  </si>
  <si>
    <t>C6</t>
  </si>
  <si>
    <t>J1</t>
  </si>
  <si>
    <t>Y1</t>
  </si>
  <si>
    <t>R3..5,R9,R10</t>
  </si>
  <si>
    <t>Battery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</si>
</sst>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d/mm/yyyy\ hh:mm:ss"/>
  </numFmts>
  <fonts count="5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4" fillId="0" borderId="0"/>
  </cellStyleXfs>
  <cellXfs count="69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49" fontId="0" fillId="0" borderId="0" xfId="0" applyNumberFormat="1" applyAlignment="1">
      <alignment horizontal="left" wrapText="1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6" borderId="1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7" borderId="0" xfId="0" applyFill="1" applyAlignment="1">
      <alignment horizontal="left"/>
    </xf>
    <xf numFmtId="0" fontId="0" fillId="7" borderId="0" xfId="0" applyFill="1"/>
    <xf numFmtId="2" fontId="3" fillId="8" borderId="1" xfId="0" applyNumberFormat="1" applyFont="1" applyFill="1" applyBorder="1" applyAlignment="1">
      <alignment horizontal="left"/>
    </xf>
    <xf numFmtId="0" fontId="0" fillId="7" borderId="0" xfId="0" applyNumberFormat="1" applyFill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 applyAlignment="1">
      <alignment horizontal="left"/>
    </xf>
    <xf numFmtId="2" fontId="3" fillId="0" borderId="1" xfId="0" applyNumberFormat="1" applyFont="1" applyFill="1" applyBorder="1" applyAlignment="1">
      <alignment horizontal="left"/>
    </xf>
    <xf numFmtId="2" fontId="0" fillId="0" borderId="0" xfId="0" applyNumberFormat="1"/>
    <xf numFmtId="0" fontId="0" fillId="0" borderId="0" xfId="0" applyNumberFormat="1"/>
    <xf numFmtId="49" fontId="0" fillId="0" borderId="5" xfId="0" applyNumberFormat="1" applyFont="1" applyFill="1" applyBorder="1" applyAlignment="1">
      <alignment horizontal="left"/>
    </xf>
    <xf numFmtId="0" fontId="0" fillId="0" borderId="5" xfId="0" applyFont="1" applyFill="1" applyBorder="1" applyAlignment="1">
      <alignment horizontal="left"/>
    </xf>
    <xf numFmtId="0" fontId="0" fillId="0" borderId="5" xfId="0" applyNumberFormat="1" applyFont="1" applyFill="1" applyBorder="1" applyAlignment="1">
      <alignment horizontal="left"/>
    </xf>
    <xf numFmtId="2" fontId="0" fillId="0" borderId="5" xfId="0" applyNumberFormat="1" applyFont="1" applyFill="1" applyBorder="1" applyAlignment="1">
      <alignment horizontal="left"/>
    </xf>
    <xf numFmtId="49" fontId="0" fillId="0" borderId="4" xfId="0" applyNumberFormat="1" applyFont="1" applyFill="1" applyBorder="1" applyAlignment="1">
      <alignment horizontal="left"/>
    </xf>
    <xf numFmtId="0" fontId="0" fillId="0" borderId="4" xfId="0" applyFont="1" applyFill="1" applyBorder="1" applyAlignment="1">
      <alignment horizontal="left"/>
    </xf>
    <xf numFmtId="0" fontId="0" fillId="0" borderId="4" xfId="0" applyNumberFormat="1" applyFont="1" applyFill="1" applyBorder="1" applyAlignment="1">
      <alignment horizontal="left"/>
    </xf>
    <xf numFmtId="2" fontId="0" fillId="0" borderId="4" xfId="0" applyNumberFormat="1" applyFont="1" applyFill="1" applyBorder="1" applyAlignment="1">
      <alignment horizontal="left"/>
    </xf>
    <xf numFmtId="49" fontId="0" fillId="0" borderId="4" xfId="0" applyNumberFormat="1" applyFont="1" applyFill="1" applyBorder="1" applyAlignment="1">
      <alignment horizontal="left" wrapText="1"/>
    </xf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2" fontId="0" fillId="0" borderId="5" xfId="0" applyNumberFormat="1" applyFont="1" applyFill="1" applyBorder="1" applyAlignment="1">
      <alignment horizontal="center" vertical="center"/>
    </xf>
    <xf numFmtId="2" fontId="0" fillId="0" borderId="4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3" fillId="8" borderId="0" xfId="0" applyNumberFormat="1" applyFont="1" applyFill="1" applyBorder="1" applyAlignment="1"/>
    <xf numFmtId="2" fontId="3" fillId="8" borderId="0" xfId="0" applyNumberFormat="1" applyFont="1" applyFill="1" applyBorder="1" applyAlignment="1">
      <alignment vertical="center"/>
    </xf>
    <xf numFmtId="0" fontId="3" fillId="8" borderId="0" xfId="0" applyFont="1" applyFill="1" applyBorder="1" applyAlignment="1">
      <alignment vertical="center"/>
    </xf>
    <xf numFmtId="0" fontId="3" fillId="8" borderId="0" xfId="0" applyNumberFormat="1" applyFont="1" applyFill="1" applyBorder="1" applyAlignment="1">
      <alignment vertical="center"/>
    </xf>
    <xf numFmtId="49" fontId="3" fillId="8" borderId="0" xfId="0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2" fontId="0" fillId="0" borderId="5" xfId="0" applyNumberFormat="1" applyFont="1" applyFill="1" applyBorder="1" applyAlignment="1">
      <alignment horizontal="center"/>
    </xf>
    <xf numFmtId="2" fontId="0" fillId="0" borderId="4" xfId="0" applyNumberFormat="1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5" xfId="0" applyFont="1" applyFill="1" applyBorder="1" applyAlignment="1">
      <alignment horizontal="center"/>
    </xf>
    <xf numFmtId="0" fontId="0" fillId="0" borderId="4" xfId="0" applyFont="1" applyFill="1" applyBorder="1" applyAlignment="1">
      <alignment horizontal="center"/>
    </xf>
    <xf numFmtId="0" fontId="0" fillId="0" borderId="4" xfId="0" applyFill="1" applyBorder="1" applyAlignment="1">
      <alignment horizontal="left"/>
    </xf>
    <xf numFmtId="49" fontId="0" fillId="0" borderId="0" xfId="0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Normal 2" xfId="1" xr:uid="{A8DFCB13-E247-44C2-83FC-BB74B94EE917}"/>
  </cellStyles>
  <dxfs count="141">
    <dxf>
      <fill>
        <patternFill>
          <bgColor rgb="FFFF000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FF8F8F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FF8F8F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00B050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2" formatCode="0.0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auto="1"/>
        </patternFill>
      </fill>
      <alignment horizontal="left" textRotation="0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general" vertical="center" textRotation="0" wrapText="0" indent="0" justifyLastLine="0" shrinkToFit="0" readingOrder="0"/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EAB4BC6-5566-447F-ADAA-203397440666}">
      <tableStyleElement type="wholeTable" dxfId="140"/>
      <tableStyleElement type="headerRow" dxfId="139"/>
    </tableStyle>
  </tableStyles>
  <colors>
    <mruColors>
      <color rgb="FFF1450F"/>
      <color rgb="FFFF9966"/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Make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Product articles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1</xdr:row>
          <xdr:rowOff>0</xdr:rowOff>
        </xdr:from>
        <xdr:to>
          <xdr:col>14</xdr:col>
          <xdr:colOff>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4</xdr:row>
          <xdr:rowOff>0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4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Insert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7</xdr:row>
          <xdr:rowOff>0</xdr:rowOff>
        </xdr:from>
        <xdr:to>
          <xdr:col>14</xdr:col>
          <xdr:colOff>0</xdr:colOff>
          <xdr:row>9</xdr:row>
          <xdr:rowOff>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4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Reset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10</xdr:row>
          <xdr:rowOff>0</xdr:rowOff>
        </xdr:from>
        <xdr:to>
          <xdr:col>14</xdr:col>
          <xdr:colOff>0</xdr:colOff>
          <xdr:row>12</xdr:row>
          <xdr:rowOff>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4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A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r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btn_AddArticle"/>
      <definedName name="btn_AddOrder"/>
      <definedName name="btn_ClearCommands"/>
      <definedName name="btn_CreateOrder"/>
      <definedName name="btn_EditArticles"/>
      <definedName name="btn_EditProduct"/>
      <definedName name="btn_ManageProductsArticles"/>
      <definedName name="InsertCmdRow_Click"/>
      <definedName name="ResetFirstsLines_Click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194" totalsRowShown="0" headerRowDxfId="132">
  <autoFilter ref="A1:F194" xr:uid="{BDAE12D6-129D-4B55-B01B-D1493E590308}"/>
  <tableColumns count="6">
    <tableColumn id="1" xr3:uid="{F20AB9A4-F1CA-4493-AFCA-1ECFD6C72926}" name="Date" dataDxfId="131"/>
    <tableColumn id="2" xr3:uid="{9E5C5770-C960-45BB-8115-75DB62A3B16C}" name="Article Number" dataDxfId="130"/>
    <tableColumn id="5" xr3:uid="{16BFD56B-B56A-4848-9201-68C2F28CFA64}" name="Modification" dataDxfId="129"/>
    <tableColumn id="3" xr3:uid="{10BA92E7-A8AC-46B9-9939-48EDBF630513}" name="Stock Before" dataDxfId="128"/>
    <tableColumn id="4" xr3:uid="{89A58CF5-EDCB-4EF1-963E-E9EB1A0CCFEF}" name="Stock After" dataDxfId="127"/>
    <tableColumn id="6" xr3:uid="{FF179CF1-10A5-4445-94E5-D3770F8EB2DA}" name="INFO" dataDxfId="1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97E45-E9C7-4516-9302-D8263184412D}" name="Table1" displayName="Table1" ref="A1:AB105" totalsRowShown="0" headerRowDxfId="122" dataDxfId="121" tableBorderDxfId="120">
  <autoFilter ref="A1:AB105" xr:uid="{3C65767D-796D-455D-8592-2DCFC786B11E}"/>
  <sortState ref="A2:AB105">
    <sortCondition ref="E1:E105"/>
  </sortState>
  <tableColumns count="28">
    <tableColumn id="1" xr3:uid="{435165AF-465B-418C-8DDE-9CFA2D278BBE}" name="Article Number" dataDxfId="119"/>
    <tableColumn id="2" xr3:uid="{FBC6B9C9-57F8-45DA-AF22-C249E2B185F4}" name="Manufacturer" dataDxfId="118"/>
    <tableColumn id="3" xr3:uid="{288AF9C9-A6A1-4913-A84A-1B41F0951CD7}" name="Place" dataDxfId="117"/>
    <tableColumn id="4" xr3:uid="{991CB349-C1A2-4024-AD86-41FE070F01AA}" name="Description" dataDxfId="116"/>
    <tableColumn id="28" xr3:uid="{2D19DEDD-0807-4720-910B-711676B70DD0}" name="Category" dataDxfId="115"/>
    <tableColumn id="5" xr3:uid="{AF531B20-C2C7-43E4-88F6-C002EAFA6EF0}" name="In stock" dataDxfId="114"/>
    <tableColumn id="6" xr3:uid="{4AE22FEC-1D74-4166-880B-DE3C3B0F48C3}" name="Min in stock" dataDxfId="113">
      <calculatedColumnFormula>10</calculatedColumnFormula>
    </tableColumn>
    <tableColumn id="7" xr3:uid="{DDF25EC9-10A6-4A51-A3FF-5F173DC0429C}" name="Auto Order" dataDxfId="112">
      <calculatedColumnFormula>1</calculatedColumnFormula>
    </tableColumn>
    <tableColumn id="8" xr3:uid="{8FB77B6F-1796-445F-A628-6683E80A406B}" name="Default Art. Number" dataDxfId="111">
      <calculatedColumnFormula array="1">IF(ISERROR(INDEX(Articles!$L2:$Y2, MATCH(FALSE, ISBLANK(Articles!$L2:$Y2),0))),"N/A",INDEX(Articles!$L2:$Y2, MATCH(FALSE, ISBLANK(Articles!$L2:$Y2),0)))</calculatedColumnFormula>
    </tableColumn>
    <tableColumn id="9" xr3:uid="{FFD8B420-52D8-4860-B12E-57F5E09452F3}" name="Default Unit price" dataDxfId="110">
      <calculatedColumnFormula array="1">IF(ISERROR(OFFSET(INDEX(Articles!$L2:$AA2, MATCH(FALSE, ISBLANK(Articles!$L2:$AA2),0)),0,1)),"N/A",OFFSET(INDEX(Articles!$L2:$AA2, MATCH(FALSE, ISBLANK(Articles!$L2:$AA2),0)),0,1))</calculatedColumnFormula>
    </tableColumn>
    <tableColumn id="27" xr3:uid="{4B6003B9-74ED-4799-8888-8403BEC91BE3}" name="Default retailer" dataDxfId="109">
      <calculatedColumnFormula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calculatedColumnFormula>
    </tableColumn>
    <tableColumn id="10" xr3:uid="{7E60C342-9987-408E-8654-849687FC9CF5}" name="Digikey" dataDxfId="108"/>
    <tableColumn id="11" xr3:uid="{904ACEAE-3EBB-4B5A-B40F-F27BEC67197D}" name="Unit price - Digikey" dataDxfId="107"/>
    <tableColumn id="12" xr3:uid="{1C8E6FC8-F976-4331-BE85-AE9F5CCE5385}" name="Farnell" dataDxfId="106"/>
    <tableColumn id="13" xr3:uid="{9CEB0B0D-E776-4EE1-BA17-F20F36573DF1}" name="Unit price - Farnell" dataDxfId="105"/>
    <tableColumn id="14" xr3:uid="{4835AE8C-6AA4-4E3D-AA3C-47D081785B10}" name="Distrelec" dataDxfId="104"/>
    <tableColumn id="15" xr3:uid="{CFC19F72-EB6A-4DA4-8140-6E03AC8C87E2}" name="Unit price - Distrelec" dataDxfId="103"/>
    <tableColumn id="16" xr3:uid="{440F2FEC-A527-4DB9-8F02-E02C455DD168}" name="Conrad" dataDxfId="102"/>
    <tableColumn id="17" xr3:uid="{C15F9ED7-FCDD-4ED8-8193-766AD4AACE12}" name="Unit price - Conrad" dataDxfId="101"/>
    <tableColumn id="18" xr3:uid="{E8BE4F49-80E3-4D58-8712-2588048DD5B2}" name="Mouser" dataDxfId="100"/>
    <tableColumn id="19" xr3:uid="{71B82CF1-AA7C-485A-B22F-DFCA002E3E0B}" name="Unit price - Mouser" dataDxfId="99"/>
    <tableColumn id="20" xr3:uid="{B372D927-D0BD-4305-A32A-0C014ACEEBAB}" name="Aliexpress" dataDxfId="98"/>
    <tableColumn id="21" xr3:uid="{56A9B167-940C-4D6B-8B5D-F91623F90BD6}" name="Unit price - Aliexpress" dataDxfId="97"/>
    <tableColumn id="22" xr3:uid="{2E67C835-F42C-4886-A3E6-A86A66CF03DE}" name="Banggood" dataDxfId="96"/>
    <tableColumn id="23" xr3:uid="{96EE1B48-7059-4798-A1ED-B830DB9D7D70}" name="Unit price - Banggood" dataDxfId="95"/>
    <tableColumn id="24" xr3:uid="{DFC2A0A6-4951-479C-8775-526D9FDB26B4}" name="Other" dataDxfId="94"/>
    <tableColumn id="25" xr3:uid="{09619815-DA2C-43CD-A998-2BAAC30ACE14}" name="Unit price - Other" dataDxfId="93"/>
    <tableColumn id="26" xr3:uid="{CBAAFE5B-29D9-4E86-8241-3FA6E46052BB}" name="In next order" dataDxfId="92">
      <calculatedColumnFormula>IF(Articles!$H2=1,IF(Articles!$F2&lt;Articles!$G2,1,""),"")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7EC509A-A40F-4A82-947D-97925FC66979}" name="Table13" displayName="Table13" ref="A1:F64" totalsRowShown="0" headerRowDxfId="91" dataDxfId="89" headerRowBorderDxfId="90">
  <autoFilter ref="A1:F64" xr:uid="{06E2CB8E-61AB-472E-BCF2-E6E1E6F7BC5B}"/>
  <sortState ref="A2:F64">
    <sortCondition ref="B1:B64"/>
  </sortState>
  <tableColumns count="6">
    <tableColumn id="1" xr3:uid="{8B723864-414F-452D-9283-19CAA018B66B}" name="Art. Number" dataDxfId="88"/>
    <tableColumn id="2" xr3:uid="{868F71A1-EA8D-4FE4-9E10-4FA4EE5293B1}" name="Man. Number" dataDxfId="87"/>
    <tableColumn id="3" xr3:uid="{2BE62D1D-359E-4098-A703-65FA8EB2A2EB}" name="Manufacturer" dataDxfId="86"/>
    <tableColumn id="4" xr3:uid="{AEC8A4D9-9242-49C2-8841-3FA0C13E4BF7}" name="Retailer" dataDxfId="85"/>
    <tableColumn id="5" xr3:uid="{727086BC-BBF9-470F-8005-62D7E303CEAD}" name="Description" dataDxfId="84"/>
    <tableColumn id="7" xr3:uid="{38960764-2FF5-4AE8-BD63-75EC1C594716}" name="Unit price" dataDxfId="8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M4" totalsRowCount="1" headerRowDxfId="82" dataDxfId="80" headerRowBorderDxfId="81" tableBorderDxfId="79">
  <autoFilter ref="A1:M3" xr:uid="{46700432-4BF0-4DCB-9154-EC411D24C381}"/>
  <sortState ref="A2:M3">
    <sortCondition ref="A1:A3"/>
  </sortState>
  <tableColumns count="13">
    <tableColumn id="2" xr3:uid="{09884C69-0E00-49B1-878D-118ACDF0CE5A}" name="Art. Number" totalsRowLabel="Total" dataDxfId="78" totalsRowDxfId="77"/>
    <tableColumn id="1" xr3:uid="{B10D53AF-03D1-4287-B98C-B2EBD99019D4}" name="Ret. Art. Number" dataDxfId="76" totalsRowDxfId="75"/>
    <tableColumn id="3" xr3:uid="{4C487402-2AAB-4AF3-BE67-7394C36C842C}" name="Manufacturer" dataDxfId="74" totalsRowDxfId="73"/>
    <tableColumn id="4" xr3:uid="{8EC0DC8E-76AD-4B9F-83B7-1A0DD14BB27F}" name="Retailer" dataDxfId="72" totalsRowDxfId="71"/>
    <tableColumn id="5" xr3:uid="{F034F88F-58E3-461F-AA98-A329A317450C}" name="Place" dataDxfId="70" totalsRowDxfId="69"/>
    <tableColumn id="6" xr3:uid="{270626A5-5AC9-4B4B-BFA1-CB61FB278FF7}" name="Description" dataDxfId="68" totalsRowDxfId="67"/>
    <tableColumn id="7" xr3:uid="{6AED47F2-55E6-446F-831B-A118A7B0B1ED}" name="In stock" dataDxfId="66" totalsRowDxfId="65"/>
    <tableColumn id="8" xr3:uid="{AC92F839-E54E-493C-ABE5-5E0757E61859}" name="Min Stock" dataDxfId="64" totalsRowDxfId="63"/>
    <tableColumn id="11" xr3:uid="{FA19872E-A366-497E-9D69-828A97ECF042}" name="Unit price" dataDxfId="62" totalsRowDxfId="61"/>
    <tableColumn id="13" xr3:uid="{EA825846-8448-46C3-B6A4-847B2F364E4E}" name="Quantity" dataDxfId="60" totalsRowDxfId="59">
      <calculatedColumnFormula>ROUNDUP(Table8[[#This Row],[Min Stock]]-Table8[[#This Row],[In stock]],0)</calculatedColumnFormula>
    </tableColumn>
    <tableColumn id="12" xr3:uid="{6C84EE35-1734-410D-8E78-A4C0532259BC}" name="Total price" totalsRowFunction="sum" dataDxfId="58" totalsRowDxfId="57">
      <calculatedColumnFormula>Table8[[#This Row],[Quantity]]*Table8[[#This Row],[Unit price]]</calculatedColumnFormula>
    </tableColumn>
    <tableColumn id="9" xr3:uid="{CF148814-A309-4554-8503-283AD3C9BC12}" name="Bulk Add : Quantity" dataDxfId="56" totalsRowDxfId="55">
      <calculatedColumnFormula>Table8[[#This Row],[Quantity]]</calculatedColumnFormula>
    </tableColumn>
    <tableColumn id="10" xr3:uid="{B113FB1E-B792-4B87-9210-09F62D33E8F1}" name="Bulk Add : Product Number" dataDxfId="54" totalsRowDxfId="53">
      <calculatedColumnFormula>Table8[[#This Row],[Ret. Art. Number]]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H40" totalsRowShown="0" headerRowDxfId="49" dataDxfId="47" headerRowBorderDxfId="48">
  <autoFilter ref="A1:H40" xr:uid="{06E2CB8E-61AB-472E-BCF2-E6E1E6F7BC5B}">
    <filterColumn colId="3">
      <filters>
        <filter val="0.638888889"/>
        <filter val="1"/>
        <filter val="19"/>
        <filter val="2"/>
        <filter val="3"/>
        <filter val="4"/>
        <filter val="5"/>
      </filters>
    </filterColumn>
  </autoFilter>
  <sortState ref="A2:H40">
    <sortCondition ref="B1:B40"/>
  </sortState>
  <tableColumns count="8">
    <tableColumn id="2" xr3:uid="{A92087CE-B74E-49AD-99FE-90DBB817C1AC}" name="Man. Number" dataDxfId="46"/>
    <tableColumn id="5" xr3:uid="{B1418FC9-8422-4A82-9D50-1C20CEF4A1DB}" name="Description" dataDxfId="45">
      <calculatedColumnFormula>VLOOKUP(Table14[[#This Row],[Man. Number]],Articles!A:F,COLUMN(Articles!$D$1)-COLUMN(Articles!$A$1)+1,FALSE)</calculatedColumnFormula>
    </tableColumn>
    <tableColumn id="7" xr3:uid="{B4F56298-AB90-4AEC-8A42-97A994164D1F}" name="Reference" dataDxfId="44"/>
    <tableColumn id="8" xr3:uid="{D163A9E2-18FC-4EE8-99AB-60D6C92BBDB6}" name="Quantity" dataDxfId="43"/>
    <tableColumn id="6" xr3:uid="{1583B055-BD93-4929-B8EC-DA75D23B688F}" name="In stock" dataDxfId="42">
      <calculatedColumnFormula>VLOOKUP(Table14[[#This Row],[Man. Number]],Articles!A:F,COLUMN(Articles!$F$1)-COLUMN(Articles!$A$1)+1,FALSE)</calculatedColumnFormula>
    </tableColumn>
    <tableColumn id="1" xr3:uid="{47894B8D-4567-4D67-A4F3-0A1C0DC3D40D}" name="Available" dataDxfId="41">
      <calculatedColumnFormula>IF(Table14[[#This Row],[In stock]] &gt;= Table14[[#This Row],[Quantity]],"YES","NO")</calculatedColumnFormula>
    </tableColumn>
    <tableColumn id="3" xr3:uid="{CE7B326B-C514-42C5-AECC-1A2A4AAB375C}" name="Total quantity" dataDxfId="40">
      <calculatedColumnFormula>Table14[[#This Row],[Quantity]]*$K$1</calculatedColumnFormula>
    </tableColumn>
    <tableColumn id="4" xr3:uid="{3C7D2E86-E417-47F0-B642-14D96896F255}" name="Total available" dataDxfId="39">
      <calculatedColumnFormula>IF(Table14[[#This Row],[In stock]] &gt;= Table14[[#This Row],[Total quantity]],"YES","NO")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EBA36F-BA14-4DB1-9B84-1B04D5CA8D2C}" name="Table146" displayName="Table146" ref="A1:H15" totalsRowShown="0" headerRowDxfId="35" dataDxfId="33" headerRowBorderDxfId="34">
  <autoFilter ref="A1:H15" xr:uid="{06E2CB8E-61AB-472E-BCF2-E6E1E6F7BC5B}"/>
  <tableColumns count="8">
    <tableColumn id="2" xr3:uid="{9E0E6405-0958-4064-8395-03A32BA24ED3}" name="Man. Number" dataDxfId="32"/>
    <tableColumn id="5" xr3:uid="{BA21CA97-DCD9-408A-9894-96A639A19D11}" name="Description" dataDxfId="31">
      <calculatedColumnFormula>VLOOKUP(Table146[[#This Row],[Man. Number]],Articles!A:F,COLUMN(Articles!$D$1)-COLUMN(Articles!$A$1)+1,FALSE)</calculatedColumnFormula>
    </tableColumn>
    <tableColumn id="7" xr3:uid="{77B761F7-AF17-4A17-88C8-A5C9D5D27CDC}" name="Reference" dataDxfId="30"/>
    <tableColumn id="8" xr3:uid="{79E97D26-BF86-43B2-AEF5-CE725327DF74}" name="Quantity" dataDxfId="29"/>
    <tableColumn id="6" xr3:uid="{55CA5BD7-34A5-4A62-9044-29A0D9B81880}" name="In stock" dataDxfId="28">
      <calculatedColumnFormula>VLOOKUP(Table146[[#This Row],[Man. Number]],Articles!A:F,COLUMN(Articles!$F$1)-COLUMN(Articles!$A$1)+1,FALSE)</calculatedColumnFormula>
    </tableColumn>
    <tableColumn id="1" xr3:uid="{7F9C6D4D-8B19-4B0E-8A79-73C76C57E6CB}" name="Available" dataDxfId="27">
      <calculatedColumnFormula>IF(Table146[[#This Row],[In stock]] &gt;= Table146[[#This Row],[Quantity]],"YES","NO")</calculatedColumnFormula>
    </tableColumn>
    <tableColumn id="3" xr3:uid="{A3EA9E6B-B1AC-439E-A8AB-942C2E65E112}" name="Total quantity" dataDxfId="26">
      <calculatedColumnFormula>Table146[[#This Row],[Quantity]]*$K$1</calculatedColumnFormula>
    </tableColumn>
    <tableColumn id="4" xr3:uid="{04D63216-7DC3-4D59-A043-09BBD0852B90}" name="Total available" dataDxfId="25">
      <calculatedColumnFormula>IF(Table146[[#This Row],[In stock]] &gt;= Table146[[#This Row],[Total quantity]],"YES","NO")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H15" totalsRowShown="0" headerRowDxfId="23" dataDxfId="21" headerRowBorderDxfId="22">
  <autoFilter ref="A1:H15" xr:uid="{06E2CB8E-61AB-472E-BCF2-E6E1E6F7BC5B}"/>
  <tableColumns count="8">
    <tableColumn id="2" xr3:uid="{E1B3591E-7FDF-432B-8B47-D1874E0B26F5}" name="Man. Number" dataDxfId="20"/>
    <tableColumn id="5" xr3:uid="{EE74CBB7-B4AE-4E4F-A276-4111D2262064}" name="Description" dataDxfId="19">
      <calculatedColumnFormula>VLOOKUP(Table146810[[#This Row],[Man. Number]],Articles!A:F,COLUMN(Articles!$D$1)-COLUMN(Articles!$A$1)+1,FALSE)</calculatedColumnFormula>
    </tableColumn>
    <tableColumn id="7" xr3:uid="{7774CA8B-8FBD-4AE8-8A5E-EED54B7EF35B}" name="Reference" dataDxfId="18"/>
    <tableColumn id="8" xr3:uid="{C50EC552-0304-4799-AAF5-38B8D35A381E}" name="Quantity" dataDxfId="17"/>
    <tableColumn id="6" xr3:uid="{F740468C-0E09-4D56-BD5D-693ECC8337EF}" name="In stock" dataDxfId="16">
      <calculatedColumnFormula>VLOOKUP(Table146810[[#This Row],[Man. Number]],Articles!A:F,COLUMN(Articles!$F$1)-COLUMN(Articles!$A$1)+1,FALSE)</calculatedColumnFormula>
    </tableColumn>
    <tableColumn id="1" xr3:uid="{7E4FC123-CAAA-4DFD-BD96-0C19111F4639}" name="Available" dataDxfId="15">
      <calculatedColumnFormula>IF(Table146810[[#This Row],[In stock]] &gt;= Table146810[[#This Row],[Quantity]],"YES","NO")</calculatedColumnFormula>
    </tableColumn>
    <tableColumn id="3" xr3:uid="{4A6F19BB-BD74-4582-AA81-751983BFF844}" name="Total quantity" dataDxfId="14">
      <calculatedColumnFormula>Table146810[[#This Row],[Quantity]]*$K$1</calculatedColumnFormula>
    </tableColumn>
    <tableColumn id="4" xr3:uid="{562176AD-2473-43BF-B998-A5B71A21527C}" name="Total available" dataDxfId="13">
      <calculatedColumnFormula>IF(Table146810[[#This Row],[In stock]] &gt;= Table146810[[#This Row],[Total quantity]],"YES","NO")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H2" totalsRowShown="0" headerRowDxfId="11" dataDxfId="9" headerRowBorderDxfId="10">
  <autoFilter ref="A1:H2" xr:uid="{06E2CB8E-61AB-472E-BCF2-E6E1E6F7BC5B}"/>
  <tableColumns count="8">
    <tableColumn id="2" xr3:uid="{82F37E31-D1D4-4FFD-A09E-64F3B03018B7}" name="Man. Number" dataDxfId="8"/>
    <tableColumn id="5" xr3:uid="{524F6B01-486E-4166-AE6A-BDBA58BD1A60}" name="Description" dataDxfId="7">
      <calculatedColumnFormula>VLOOKUP(Table1468[[#This Row],[Man. Number]],Articles!A:F,COLUMN(Articles!$D$1)-COLUMN(Articles!$A$1)+1,FALSE)</calculatedColumnFormula>
    </tableColumn>
    <tableColumn id="7" xr3:uid="{0EDA27D7-E2B2-4D98-8FFC-602AD8A774D7}" name="Reference" dataDxfId="6"/>
    <tableColumn id="8" xr3:uid="{A834D686-252C-4BF4-9FDE-28A4A6AFDD1F}" name="Quantity" dataDxfId="5"/>
    <tableColumn id="6" xr3:uid="{66DB620F-4FDE-44EB-BF35-96CAEBE4C1C6}" name="In stock" dataDxfId="4">
      <calculatedColumnFormula>VLOOKUP(Table1468[[#This Row],[Man. Number]],Articles!A:F,COLUMN(Articles!$F$1)-COLUMN(Articles!$A$1)+1,FALSE)</calculatedColumnFormula>
    </tableColumn>
    <tableColumn id="1" xr3:uid="{245282B4-7ECB-44D1-B528-BBB44C658582}" name="Available" dataDxfId="3">
      <calculatedColumnFormula>IF(Table1468[[#This Row],[In stock]] &gt;= Table1468[[#This Row],[Quantity]],"YES","NO")</calculatedColumnFormula>
    </tableColumn>
    <tableColumn id="3" xr3:uid="{67B74FDC-0575-406A-89BB-0D882E866451}" name="Total quantity" dataDxfId="2">
      <calculatedColumnFormula>Table1468[[#This Row],[Quantity]]*$K$1</calculatedColumnFormula>
    </tableColumn>
    <tableColumn id="4" xr3:uid="{56337732-A0D6-4CED-A2E1-0A9BD957CBCA}" name="Total available" dataDxfId="1">
      <calculatedColumnFormula>IF(Table1468[[#This Row],[In stock]] &gt;= Table1468[[#This Row],[Total quantity]],"YES","NO")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9" totalsRowShown="0">
  <autoFilter ref="A6:C9" xr:uid="{872FC7A3-44C5-4B5B-B3BD-3A0E54A1C252}"/>
  <tableColumns count="3">
    <tableColumn id="1" xr3:uid="{79A80DDF-8238-4698-90CE-9D2101A7FB4D}" name="Index"/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194"/>
  <sheetViews>
    <sheetView workbookViewId="0">
      <pane ySplit="1" topLeftCell="A170" activePane="bottomLeft" state="frozen"/>
      <selection pane="bottomLeft" activeCell="F187" sqref="F187"/>
    </sheetView>
  </sheetViews>
  <sheetFormatPr defaultRowHeight="15" x14ac:dyDescent="0.25"/>
  <cols>
    <col min="1" max="1" width="18" style="46" bestFit="1" customWidth="1"/>
    <col min="2" max="2" width="56.42578125" style="3" bestFit="1" customWidth="1"/>
    <col min="3" max="3" width="14.7109375" style="11" bestFit="1" customWidth="1"/>
    <col min="4" max="4" width="14.42578125" style="11" bestFit="1" customWidth="1"/>
    <col min="5" max="5" width="13" style="11" bestFit="1" customWidth="1"/>
    <col min="6" max="6" width="48.28515625" style="3" bestFit="1" customWidth="1"/>
  </cols>
  <sheetData>
    <row r="1" spans="1:6" x14ac:dyDescent="0.25">
      <c r="A1" s="45" t="s">
        <v>170</v>
      </c>
      <c r="B1" s="3" t="s">
        <v>484</v>
      </c>
      <c r="C1" s="5" t="s">
        <v>176</v>
      </c>
      <c r="D1" s="5" t="s">
        <v>173</v>
      </c>
      <c r="E1" s="5" t="s">
        <v>174</v>
      </c>
      <c r="F1" s="3" t="s">
        <v>172</v>
      </c>
    </row>
    <row r="2" spans="1:6" x14ac:dyDescent="0.25">
      <c r="A2" s="46">
        <v>43331.621458333335</v>
      </c>
      <c r="B2" s="12"/>
      <c r="C2" s="10"/>
      <c r="D2" s="10"/>
      <c r="E2" s="10"/>
      <c r="F2" s="3" t="s">
        <v>171</v>
      </c>
    </row>
    <row r="3" spans="1:6" x14ac:dyDescent="0.25">
      <c r="A3" s="46">
        <v>43334.714467592596</v>
      </c>
      <c r="B3" s="3" t="s">
        <v>158</v>
      </c>
      <c r="C3" s="13">
        <v>-1</v>
      </c>
      <c r="D3" s="13">
        <v>0</v>
      </c>
      <c r="E3" s="13">
        <v>1</v>
      </c>
      <c r="F3" s="3" t="s">
        <v>199</v>
      </c>
    </row>
    <row r="4" spans="1:6" x14ac:dyDescent="0.25">
      <c r="A4" s="46">
        <v>43334.71466435185</v>
      </c>
      <c r="B4" s="3" t="s">
        <v>38</v>
      </c>
      <c r="C4" s="13">
        <v>-2</v>
      </c>
      <c r="D4" s="13">
        <v>0</v>
      </c>
      <c r="E4" s="13">
        <v>2</v>
      </c>
      <c r="F4" s="3" t="s">
        <v>199</v>
      </c>
    </row>
    <row r="5" spans="1:6" x14ac:dyDescent="0.25">
      <c r="A5" s="46">
        <v>43334.714861111112</v>
      </c>
      <c r="B5" s="3" t="s">
        <v>46</v>
      </c>
      <c r="C5" s="13">
        <v>-10</v>
      </c>
      <c r="D5" s="13">
        <v>6</v>
      </c>
      <c r="E5" s="13">
        <v>16</v>
      </c>
      <c r="F5" s="3" t="s">
        <v>199</v>
      </c>
    </row>
    <row r="6" spans="1:6" x14ac:dyDescent="0.25">
      <c r="A6" s="46">
        <v>43334.718541666669</v>
      </c>
      <c r="B6" s="3" t="s">
        <v>9</v>
      </c>
      <c r="C6" s="13">
        <v>1</v>
      </c>
      <c r="D6" s="13">
        <v>4</v>
      </c>
      <c r="E6" s="13">
        <v>3</v>
      </c>
      <c r="F6" s="3" t="s">
        <v>208</v>
      </c>
    </row>
    <row r="7" spans="1:6" x14ac:dyDescent="0.25">
      <c r="A7" s="46">
        <v>43334.718541666669</v>
      </c>
      <c r="B7" s="3" t="s">
        <v>12</v>
      </c>
      <c r="C7" s="13">
        <v>2</v>
      </c>
      <c r="D7" s="13">
        <v>48</v>
      </c>
      <c r="E7" s="13">
        <v>46</v>
      </c>
      <c r="F7" s="3" t="s">
        <v>208</v>
      </c>
    </row>
    <row r="8" spans="1:6" x14ac:dyDescent="0.25">
      <c r="A8" s="46">
        <v>43334.718541666669</v>
      </c>
      <c r="B8" s="3" t="s">
        <v>14</v>
      </c>
      <c r="C8" s="13">
        <v>1</v>
      </c>
      <c r="D8" s="13">
        <v>49</v>
      </c>
      <c r="E8" s="13">
        <v>48</v>
      </c>
      <c r="F8" s="3" t="s">
        <v>208</v>
      </c>
    </row>
    <row r="9" spans="1:6" x14ac:dyDescent="0.25">
      <c r="A9" s="46">
        <v>43334.718541666669</v>
      </c>
      <c r="B9" s="3" t="s">
        <v>16</v>
      </c>
      <c r="C9" s="13">
        <v>1</v>
      </c>
      <c r="D9" s="13">
        <v>14</v>
      </c>
      <c r="E9" s="13">
        <v>13</v>
      </c>
      <c r="F9" s="3" t="s">
        <v>208</v>
      </c>
    </row>
    <row r="10" spans="1:6" x14ac:dyDescent="0.25">
      <c r="A10" s="46">
        <v>43334.718541666669</v>
      </c>
      <c r="B10" s="3" t="s">
        <v>18</v>
      </c>
      <c r="C10" s="13">
        <v>1</v>
      </c>
      <c r="D10" s="13">
        <v>19</v>
      </c>
      <c r="E10" s="13">
        <v>18</v>
      </c>
      <c r="F10" s="3" t="s">
        <v>208</v>
      </c>
    </row>
    <row r="11" spans="1:6" x14ac:dyDescent="0.25">
      <c r="A11" s="46">
        <v>43334.718541666669</v>
      </c>
      <c r="B11" s="3" t="s">
        <v>22</v>
      </c>
      <c r="C11" s="13">
        <v>1</v>
      </c>
      <c r="D11" s="13">
        <v>9</v>
      </c>
      <c r="E11" s="13">
        <v>8</v>
      </c>
      <c r="F11" s="3" t="s">
        <v>208</v>
      </c>
    </row>
    <row r="12" spans="1:6" x14ac:dyDescent="0.25">
      <c r="A12" s="46">
        <v>43334.718541666669</v>
      </c>
      <c r="B12" s="3" t="s">
        <v>24</v>
      </c>
      <c r="C12" s="13">
        <v>1</v>
      </c>
      <c r="D12" s="13">
        <v>4</v>
      </c>
      <c r="E12" s="13">
        <v>3</v>
      </c>
      <c r="F12" s="3" t="s">
        <v>208</v>
      </c>
    </row>
    <row r="13" spans="1:6" x14ac:dyDescent="0.25">
      <c r="A13" s="46">
        <v>43334.718541666669</v>
      </c>
      <c r="B13" s="3" t="s">
        <v>27</v>
      </c>
      <c r="C13" s="13">
        <v>1</v>
      </c>
      <c r="D13" s="13">
        <v>9</v>
      </c>
      <c r="E13" s="13">
        <v>8</v>
      </c>
      <c r="F13" s="3" t="s">
        <v>208</v>
      </c>
    </row>
    <row r="14" spans="1:6" x14ac:dyDescent="0.25">
      <c r="A14" s="46">
        <v>43334.718541666669</v>
      </c>
      <c r="B14" s="3" t="s">
        <v>118</v>
      </c>
      <c r="C14" s="13">
        <v>19</v>
      </c>
      <c r="D14" s="13">
        <v>100</v>
      </c>
      <c r="E14" s="13">
        <v>81</v>
      </c>
      <c r="F14" s="3" t="s">
        <v>208</v>
      </c>
    </row>
    <row r="15" spans="1:6" x14ac:dyDescent="0.25">
      <c r="A15" s="46">
        <v>43334.718541666669</v>
      </c>
      <c r="B15" s="3" t="s">
        <v>117</v>
      </c>
      <c r="C15" s="13">
        <v>1</v>
      </c>
      <c r="D15" s="13">
        <v>4</v>
      </c>
      <c r="E15" s="13">
        <v>3</v>
      </c>
      <c r="F15" s="3" t="s">
        <v>208</v>
      </c>
    </row>
    <row r="16" spans="1:6" x14ac:dyDescent="0.25">
      <c r="A16" s="46">
        <v>43334.718541666669</v>
      </c>
      <c r="B16" s="3" t="s">
        <v>31</v>
      </c>
      <c r="C16" s="13">
        <v>1</v>
      </c>
      <c r="D16" s="13">
        <v>4</v>
      </c>
      <c r="E16" s="13">
        <v>3</v>
      </c>
      <c r="F16" s="3" t="s">
        <v>208</v>
      </c>
    </row>
    <row r="17" spans="1:6" x14ac:dyDescent="0.25">
      <c r="A17" s="46">
        <v>43334.718541666669</v>
      </c>
      <c r="B17" s="3" t="s">
        <v>34</v>
      </c>
      <c r="C17" s="13">
        <v>1</v>
      </c>
      <c r="D17" s="13">
        <v>4</v>
      </c>
      <c r="E17" s="13">
        <v>3</v>
      </c>
      <c r="F17" s="3" t="s">
        <v>208</v>
      </c>
    </row>
    <row r="18" spans="1:6" x14ac:dyDescent="0.25">
      <c r="A18" s="46">
        <v>43334.718541666669</v>
      </c>
      <c r="B18" s="3" t="s">
        <v>36</v>
      </c>
      <c r="C18" s="13">
        <v>7</v>
      </c>
      <c r="D18" s="13">
        <v>93</v>
      </c>
      <c r="E18" s="13">
        <v>86</v>
      </c>
      <c r="F18" s="3" t="s">
        <v>208</v>
      </c>
    </row>
    <row r="19" spans="1:6" x14ac:dyDescent="0.25">
      <c r="A19" s="46">
        <v>43334.718541666669</v>
      </c>
      <c r="B19" s="3" t="s">
        <v>38</v>
      </c>
      <c r="C19" s="13">
        <v>2</v>
      </c>
      <c r="D19" s="13">
        <v>2</v>
      </c>
      <c r="E19" s="13">
        <v>0</v>
      </c>
      <c r="F19" s="3" t="s">
        <v>208</v>
      </c>
    </row>
    <row r="20" spans="1:6" x14ac:dyDescent="0.25">
      <c r="A20" s="46">
        <v>43334.718541666669</v>
      </c>
      <c r="B20" s="3" t="s">
        <v>40</v>
      </c>
      <c r="C20" s="13">
        <v>0.63888888888888884</v>
      </c>
      <c r="D20" s="13">
        <v>1</v>
      </c>
      <c r="E20" s="13">
        <v>0.36111111111111116</v>
      </c>
      <c r="F20" s="3" t="s">
        <v>208</v>
      </c>
    </row>
    <row r="21" spans="1:6" x14ac:dyDescent="0.25">
      <c r="A21" s="46">
        <v>43334.718541666669</v>
      </c>
      <c r="B21" s="3" t="s">
        <v>43</v>
      </c>
      <c r="C21" s="13">
        <v>1</v>
      </c>
      <c r="D21" s="13">
        <v>24</v>
      </c>
      <c r="E21" s="13">
        <v>23</v>
      </c>
      <c r="F21" s="3" t="s">
        <v>208</v>
      </c>
    </row>
    <row r="22" spans="1:6" x14ac:dyDescent="0.25">
      <c r="A22" s="46">
        <v>43334.718541666669</v>
      </c>
      <c r="B22" s="3" t="s">
        <v>46</v>
      </c>
      <c r="C22" s="13">
        <v>4</v>
      </c>
      <c r="D22" s="13">
        <v>16</v>
      </c>
      <c r="E22" s="13">
        <v>12</v>
      </c>
      <c r="F22" s="3" t="s">
        <v>208</v>
      </c>
    </row>
    <row r="23" spans="1:6" x14ac:dyDescent="0.25">
      <c r="A23" s="46">
        <v>43334.718541666669</v>
      </c>
      <c r="B23" s="3" t="s">
        <v>49</v>
      </c>
      <c r="C23" s="13">
        <v>1</v>
      </c>
      <c r="D23" s="13">
        <v>1</v>
      </c>
      <c r="E23" s="13">
        <v>0</v>
      </c>
      <c r="F23" s="3" t="s">
        <v>208</v>
      </c>
    </row>
    <row r="24" spans="1:6" x14ac:dyDescent="0.25">
      <c r="A24" s="46">
        <v>43334.718541666669</v>
      </c>
      <c r="B24" s="3" t="s">
        <v>52</v>
      </c>
      <c r="C24" s="13">
        <v>1</v>
      </c>
      <c r="D24" s="13">
        <v>9</v>
      </c>
      <c r="E24" s="13">
        <v>8</v>
      </c>
      <c r="F24" s="3" t="s">
        <v>208</v>
      </c>
    </row>
    <row r="25" spans="1:6" x14ac:dyDescent="0.25">
      <c r="A25" s="46">
        <v>43334.718541666669</v>
      </c>
      <c r="B25" s="3" t="s">
        <v>188</v>
      </c>
      <c r="C25" s="13">
        <v>6</v>
      </c>
      <c r="D25" s="13">
        <v>100</v>
      </c>
      <c r="E25" s="13">
        <v>94</v>
      </c>
      <c r="F25" s="3" t="s">
        <v>208</v>
      </c>
    </row>
    <row r="26" spans="1:6" x14ac:dyDescent="0.25">
      <c r="A26" s="46">
        <v>43334.718541666669</v>
      </c>
      <c r="B26" s="3" t="s">
        <v>56</v>
      </c>
      <c r="C26" s="13">
        <v>1</v>
      </c>
      <c r="D26" s="13">
        <v>9</v>
      </c>
      <c r="E26" s="13">
        <v>8</v>
      </c>
      <c r="F26" s="3" t="s">
        <v>208</v>
      </c>
    </row>
    <row r="27" spans="1:6" x14ac:dyDescent="0.25">
      <c r="A27" s="46">
        <v>43334.718541666669</v>
      </c>
      <c r="B27" s="3" t="s">
        <v>59</v>
      </c>
      <c r="C27" s="13">
        <v>1</v>
      </c>
      <c r="D27" s="13">
        <v>19</v>
      </c>
      <c r="E27" s="13">
        <v>18</v>
      </c>
      <c r="F27" s="3" t="s">
        <v>208</v>
      </c>
    </row>
    <row r="28" spans="1:6" x14ac:dyDescent="0.25">
      <c r="A28" s="46">
        <v>43334.718541666669</v>
      </c>
      <c r="B28" s="3" t="s">
        <v>61</v>
      </c>
      <c r="C28" s="13">
        <v>1</v>
      </c>
      <c r="D28" s="13">
        <v>9</v>
      </c>
      <c r="E28" s="13">
        <v>8</v>
      </c>
      <c r="F28" s="3" t="s">
        <v>208</v>
      </c>
    </row>
    <row r="29" spans="1:6" x14ac:dyDescent="0.25">
      <c r="A29" s="46">
        <v>43334.718541666669</v>
      </c>
      <c r="B29" s="3" t="s">
        <v>63</v>
      </c>
      <c r="C29" s="13">
        <v>3</v>
      </c>
      <c r="D29" s="13">
        <v>7</v>
      </c>
      <c r="E29" s="13">
        <v>4</v>
      </c>
      <c r="F29" s="3" t="s">
        <v>208</v>
      </c>
    </row>
    <row r="30" spans="1:6" x14ac:dyDescent="0.25">
      <c r="A30" s="46">
        <v>43334.718541666669</v>
      </c>
      <c r="B30" s="3" t="s">
        <v>139</v>
      </c>
      <c r="C30" s="13">
        <v>1</v>
      </c>
      <c r="D30" s="13">
        <v>1</v>
      </c>
      <c r="E30" s="13">
        <v>0</v>
      </c>
      <c r="F30" s="3" t="s">
        <v>208</v>
      </c>
    </row>
    <row r="31" spans="1:6" x14ac:dyDescent="0.25">
      <c r="A31" s="46">
        <v>43334.718541666669</v>
      </c>
      <c r="B31" s="3" t="s">
        <v>77</v>
      </c>
      <c r="C31" s="13">
        <v>1</v>
      </c>
      <c r="D31" s="13">
        <v>1</v>
      </c>
      <c r="E31" s="13">
        <v>0</v>
      </c>
      <c r="F31" s="3" t="s">
        <v>208</v>
      </c>
    </row>
    <row r="32" spans="1:6" x14ac:dyDescent="0.25">
      <c r="A32" s="46">
        <v>43334.718541666669</v>
      </c>
      <c r="B32" s="3" t="s">
        <v>81</v>
      </c>
      <c r="C32" s="13">
        <v>1</v>
      </c>
      <c r="D32" s="13">
        <v>2</v>
      </c>
      <c r="E32" s="13">
        <v>1</v>
      </c>
      <c r="F32" s="3" t="s">
        <v>208</v>
      </c>
    </row>
    <row r="33" spans="1:6" x14ac:dyDescent="0.25">
      <c r="A33" s="46">
        <v>43334.718541666669</v>
      </c>
      <c r="B33" s="3" t="s">
        <v>158</v>
      </c>
      <c r="C33" s="13">
        <v>1</v>
      </c>
      <c r="D33" s="13">
        <v>1</v>
      </c>
      <c r="E33" s="13">
        <v>0</v>
      </c>
      <c r="F33" s="3" t="s">
        <v>208</v>
      </c>
    </row>
    <row r="34" spans="1:6" x14ac:dyDescent="0.25">
      <c r="A34" s="46">
        <v>43334.718541666669</v>
      </c>
      <c r="B34" s="3" t="s">
        <v>200</v>
      </c>
      <c r="C34" s="13">
        <v>1</v>
      </c>
      <c r="D34" s="13">
        <v>2</v>
      </c>
      <c r="E34" s="13">
        <v>1</v>
      </c>
      <c r="F34" s="3" t="s">
        <v>208</v>
      </c>
    </row>
    <row r="35" spans="1:6" x14ac:dyDescent="0.25">
      <c r="A35" s="46">
        <v>43334.718541666669</v>
      </c>
      <c r="B35" s="3" t="s">
        <v>201</v>
      </c>
      <c r="C35" s="13">
        <v>1</v>
      </c>
      <c r="D35" s="13">
        <v>1</v>
      </c>
      <c r="E35" s="13">
        <v>0</v>
      </c>
      <c r="F35" s="3" t="s">
        <v>208</v>
      </c>
    </row>
    <row r="36" spans="1:6" x14ac:dyDescent="0.25">
      <c r="A36" s="46">
        <v>43334.718541666669</v>
      </c>
      <c r="B36" s="3" t="s">
        <v>202</v>
      </c>
      <c r="C36" s="13">
        <v>1</v>
      </c>
      <c r="D36" s="13">
        <v>1</v>
      </c>
      <c r="E36" s="13">
        <v>0</v>
      </c>
      <c r="F36" s="3" t="s">
        <v>208</v>
      </c>
    </row>
    <row r="37" spans="1:6" x14ac:dyDescent="0.25">
      <c r="A37" s="46">
        <v>43334.718541666669</v>
      </c>
      <c r="B37" s="3" t="s">
        <v>203</v>
      </c>
      <c r="C37" s="13">
        <v>1</v>
      </c>
      <c r="D37" s="13">
        <v>9</v>
      </c>
      <c r="E37" s="13">
        <v>8</v>
      </c>
      <c r="F37" s="3" t="s">
        <v>208</v>
      </c>
    </row>
    <row r="38" spans="1:6" x14ac:dyDescent="0.25">
      <c r="A38" s="46">
        <v>43334.718541666669</v>
      </c>
      <c r="B38" s="3" t="s">
        <v>204</v>
      </c>
      <c r="C38" s="13">
        <v>1</v>
      </c>
      <c r="D38" s="13">
        <v>2</v>
      </c>
      <c r="E38" s="13">
        <v>1</v>
      </c>
      <c r="F38" s="3" t="s">
        <v>208</v>
      </c>
    </row>
    <row r="39" spans="1:6" x14ac:dyDescent="0.25">
      <c r="A39" s="46">
        <v>43334.7190162037</v>
      </c>
      <c r="B39" s="3" t="s">
        <v>54</v>
      </c>
      <c r="C39" s="13">
        <v>4</v>
      </c>
      <c r="D39" s="13">
        <v>4</v>
      </c>
      <c r="E39" s="13">
        <v>0</v>
      </c>
      <c r="F39" s="3" t="s">
        <v>205</v>
      </c>
    </row>
    <row r="40" spans="1:6" x14ac:dyDescent="0.25">
      <c r="A40" s="46">
        <v>43334.719236111108</v>
      </c>
      <c r="B40" s="3" t="s">
        <v>188</v>
      </c>
      <c r="C40" s="13">
        <v>-4</v>
      </c>
      <c r="D40" s="13">
        <v>94</v>
      </c>
      <c r="E40" s="13">
        <v>98</v>
      </c>
      <c r="F40" s="3" t="s">
        <v>205</v>
      </c>
    </row>
    <row r="41" spans="1:6" x14ac:dyDescent="0.25">
      <c r="A41" s="46">
        <v>43334.719768518517</v>
      </c>
      <c r="B41" s="3" t="s">
        <v>179</v>
      </c>
      <c r="C41" s="13">
        <v>1</v>
      </c>
      <c r="D41" s="13">
        <v>2</v>
      </c>
      <c r="E41" s="13">
        <v>1</v>
      </c>
      <c r="F41" s="3" t="s">
        <v>206</v>
      </c>
    </row>
    <row r="42" spans="1:6" x14ac:dyDescent="0.25">
      <c r="A42" s="46">
        <v>43334.72148148148</v>
      </c>
      <c r="B42" s="3">
        <v>61304011021</v>
      </c>
      <c r="C42" s="13">
        <v>-6</v>
      </c>
      <c r="D42" s="13">
        <v>3.85</v>
      </c>
      <c r="E42" s="13">
        <v>9.85</v>
      </c>
      <c r="F42" s="3" t="s">
        <v>207</v>
      </c>
    </row>
    <row r="43" spans="1:6" x14ac:dyDescent="0.25">
      <c r="A43" s="46">
        <v>43334.721782407411</v>
      </c>
      <c r="B43" s="3" t="s">
        <v>113</v>
      </c>
      <c r="C43" s="13">
        <v>6</v>
      </c>
      <c r="D43" s="13">
        <v>3.8</v>
      </c>
      <c r="E43" s="13">
        <v>-2.2000000000000002</v>
      </c>
      <c r="F43" s="3" t="s">
        <v>207</v>
      </c>
    </row>
    <row r="44" spans="1:6" x14ac:dyDescent="0.25">
      <c r="A44" s="46">
        <v>43334.721828703703</v>
      </c>
      <c r="B44" s="3" t="s">
        <v>40</v>
      </c>
      <c r="C44" s="13">
        <v>1</v>
      </c>
      <c r="D44" s="13">
        <v>0.36111111111111099</v>
      </c>
      <c r="E44" s="13">
        <v>-0.63888888888888906</v>
      </c>
      <c r="F44" s="3" t="s">
        <v>207</v>
      </c>
    </row>
    <row r="45" spans="1:6" x14ac:dyDescent="0.25">
      <c r="A45" s="46">
        <v>43334.721898148149</v>
      </c>
      <c r="B45" s="3" t="s">
        <v>188</v>
      </c>
      <c r="C45" s="13">
        <v>1</v>
      </c>
      <c r="D45" s="13">
        <v>98</v>
      </c>
      <c r="E45" s="13">
        <v>97</v>
      </c>
      <c r="F45" s="3" t="s">
        <v>207</v>
      </c>
    </row>
    <row r="46" spans="1:6" x14ac:dyDescent="0.25">
      <c r="A46" s="46">
        <v>43463.663310185184</v>
      </c>
      <c r="B46" s="3" t="s">
        <v>325</v>
      </c>
      <c r="C46" s="13">
        <v>10</v>
      </c>
      <c r="D46" s="13">
        <v>0</v>
      </c>
      <c r="E46" s="13">
        <v>10</v>
      </c>
      <c r="F46" s="3" t="s">
        <v>257</v>
      </c>
    </row>
    <row r="47" spans="1:6" x14ac:dyDescent="0.25">
      <c r="A47" s="46">
        <v>43464.637476851851</v>
      </c>
      <c r="B47" s="3" t="s">
        <v>179</v>
      </c>
      <c r="C47" s="13">
        <v>3</v>
      </c>
      <c r="D47" s="13">
        <v>1</v>
      </c>
      <c r="E47" s="13">
        <v>4</v>
      </c>
      <c r="F47" s="3" t="s">
        <v>275</v>
      </c>
    </row>
    <row r="48" spans="1:6" x14ac:dyDescent="0.25">
      <c r="A48" s="46">
        <v>43464.637476851851</v>
      </c>
      <c r="B48" s="3" t="s">
        <v>215</v>
      </c>
      <c r="C48" s="13">
        <v>5</v>
      </c>
      <c r="D48" s="13">
        <v>0</v>
      </c>
      <c r="E48" s="13">
        <v>5</v>
      </c>
      <c r="F48" s="3" t="s">
        <v>276</v>
      </c>
    </row>
    <row r="49" spans="1:6" x14ac:dyDescent="0.25">
      <c r="A49" s="46">
        <v>43464.637476851851</v>
      </c>
      <c r="B49" s="3" t="s">
        <v>216</v>
      </c>
      <c r="C49" s="13">
        <v>5</v>
      </c>
      <c r="D49" s="13">
        <v>0</v>
      </c>
      <c r="E49" s="13">
        <v>5</v>
      </c>
      <c r="F49" s="3" t="s">
        <v>277</v>
      </c>
    </row>
    <row r="50" spans="1:6" x14ac:dyDescent="0.25">
      <c r="A50" s="46">
        <v>43464.637476851851</v>
      </c>
      <c r="B50" s="3" t="s">
        <v>221</v>
      </c>
      <c r="C50" s="13">
        <v>25</v>
      </c>
      <c r="D50" s="13">
        <v>0</v>
      </c>
      <c r="E50" s="13">
        <v>25</v>
      </c>
      <c r="F50" s="3" t="s">
        <v>278</v>
      </c>
    </row>
    <row r="51" spans="1:6" x14ac:dyDescent="0.25">
      <c r="A51" s="46">
        <v>43464.637476851851</v>
      </c>
      <c r="B51" s="3" t="s">
        <v>225</v>
      </c>
      <c r="C51" s="13">
        <v>5</v>
      </c>
      <c r="D51" s="13">
        <v>0</v>
      </c>
      <c r="E51" s="13">
        <v>5</v>
      </c>
      <c r="F51" s="3" t="s">
        <v>279</v>
      </c>
    </row>
    <row r="52" spans="1:6" x14ac:dyDescent="0.25">
      <c r="A52" s="46">
        <v>43464.637476851851</v>
      </c>
      <c r="B52" s="3" t="s">
        <v>229</v>
      </c>
      <c r="C52" s="13">
        <v>10</v>
      </c>
      <c r="D52" s="13">
        <v>0</v>
      </c>
      <c r="E52" s="13">
        <v>10</v>
      </c>
      <c r="F52" s="3" t="s">
        <v>280</v>
      </c>
    </row>
    <row r="53" spans="1:6" x14ac:dyDescent="0.25">
      <c r="A53" s="46">
        <v>43464.637476851851</v>
      </c>
      <c r="B53" s="3" t="s">
        <v>231</v>
      </c>
      <c r="C53" s="13">
        <v>10</v>
      </c>
      <c r="D53" s="13">
        <v>0</v>
      </c>
      <c r="E53" s="13">
        <v>10</v>
      </c>
      <c r="F53" s="3" t="s">
        <v>281</v>
      </c>
    </row>
    <row r="54" spans="1:6" x14ac:dyDescent="0.25">
      <c r="A54" s="46">
        <v>43464.637476851851</v>
      </c>
      <c r="B54" s="3" t="s">
        <v>234</v>
      </c>
      <c r="C54" s="13">
        <v>5</v>
      </c>
      <c r="D54" s="13">
        <v>0</v>
      </c>
      <c r="E54" s="13">
        <v>5</v>
      </c>
      <c r="F54" s="3" t="s">
        <v>282</v>
      </c>
    </row>
    <row r="55" spans="1:6" x14ac:dyDescent="0.25">
      <c r="A55" s="46">
        <v>43464.637476851851</v>
      </c>
      <c r="B55" s="3" t="s">
        <v>238</v>
      </c>
      <c r="C55" s="13">
        <v>5</v>
      </c>
      <c r="D55" s="13">
        <v>0</v>
      </c>
      <c r="E55" s="13">
        <v>5</v>
      </c>
      <c r="F55" s="3" t="s">
        <v>283</v>
      </c>
    </row>
    <row r="56" spans="1:6" x14ac:dyDescent="0.25">
      <c r="A56" s="46">
        <v>43464.637476851851</v>
      </c>
      <c r="B56" s="3" t="s">
        <v>242</v>
      </c>
      <c r="C56" s="13">
        <v>20</v>
      </c>
      <c r="D56" s="13">
        <v>0</v>
      </c>
      <c r="E56" s="13">
        <v>20</v>
      </c>
      <c r="F56" s="3" t="s">
        <v>284</v>
      </c>
    </row>
    <row r="57" spans="1:6" x14ac:dyDescent="0.25">
      <c r="A57" s="46">
        <v>43464.637476851851</v>
      </c>
      <c r="B57" s="3" t="s">
        <v>250</v>
      </c>
      <c r="C57" s="13">
        <v>100</v>
      </c>
      <c r="D57" s="13">
        <v>0</v>
      </c>
      <c r="E57" s="13">
        <v>100</v>
      </c>
      <c r="F57" s="3" t="s">
        <v>285</v>
      </c>
    </row>
    <row r="58" spans="1:6" x14ac:dyDescent="0.25">
      <c r="A58" s="46">
        <v>43464.637476851851</v>
      </c>
      <c r="B58" s="3" t="s">
        <v>246</v>
      </c>
      <c r="C58" s="13">
        <v>100</v>
      </c>
      <c r="D58" s="13">
        <v>0</v>
      </c>
      <c r="E58" s="13">
        <v>100</v>
      </c>
      <c r="F58" s="3" t="s">
        <v>286</v>
      </c>
    </row>
    <row r="59" spans="1:6" x14ac:dyDescent="0.25">
      <c r="A59" s="46">
        <v>43470.960046296299</v>
      </c>
      <c r="B59" s="3" t="s">
        <v>215</v>
      </c>
      <c r="C59" s="13">
        <v>1</v>
      </c>
      <c r="D59" s="13">
        <v>5</v>
      </c>
      <c r="E59" s="13">
        <v>4</v>
      </c>
      <c r="F59" s="3" t="s">
        <v>213</v>
      </c>
    </row>
    <row r="60" spans="1:6" x14ac:dyDescent="0.25">
      <c r="A60" s="46">
        <v>43470.960046296299</v>
      </c>
      <c r="B60" s="3" t="s">
        <v>216</v>
      </c>
      <c r="C60" s="13">
        <v>1</v>
      </c>
      <c r="D60" s="13">
        <v>5</v>
      </c>
      <c r="E60" s="13">
        <v>4</v>
      </c>
      <c r="F60" s="3" t="s">
        <v>213</v>
      </c>
    </row>
    <row r="61" spans="1:6" x14ac:dyDescent="0.25">
      <c r="A61" s="46">
        <v>43470.960046296299</v>
      </c>
      <c r="B61" s="3" t="s">
        <v>221</v>
      </c>
      <c r="C61" s="13">
        <v>1</v>
      </c>
      <c r="D61" s="13">
        <v>25</v>
      </c>
      <c r="E61" s="13">
        <v>24</v>
      </c>
      <c r="F61" s="3" t="s">
        <v>213</v>
      </c>
    </row>
    <row r="62" spans="1:6" x14ac:dyDescent="0.25">
      <c r="A62" s="46">
        <v>43470.960046296299</v>
      </c>
      <c r="B62" s="3" t="s">
        <v>225</v>
      </c>
      <c r="C62" s="13">
        <v>1</v>
      </c>
      <c r="D62" s="13">
        <v>5</v>
      </c>
      <c r="E62" s="13">
        <v>4</v>
      </c>
      <c r="F62" s="3" t="s">
        <v>213</v>
      </c>
    </row>
    <row r="63" spans="1:6" x14ac:dyDescent="0.25">
      <c r="A63" s="46">
        <v>43470.960046296299</v>
      </c>
      <c r="B63" s="3" t="s">
        <v>229</v>
      </c>
      <c r="C63" s="13">
        <v>1</v>
      </c>
      <c r="D63" s="13">
        <v>10</v>
      </c>
      <c r="E63" s="13">
        <v>9</v>
      </c>
      <c r="F63" s="3" t="s">
        <v>213</v>
      </c>
    </row>
    <row r="64" spans="1:6" x14ac:dyDescent="0.25">
      <c r="A64" s="46">
        <v>43470.960046296299</v>
      </c>
      <c r="B64" s="3" t="s">
        <v>231</v>
      </c>
      <c r="C64" s="13">
        <v>1</v>
      </c>
      <c r="D64" s="13">
        <v>10</v>
      </c>
      <c r="E64" s="13">
        <v>9</v>
      </c>
      <c r="F64" s="3" t="s">
        <v>213</v>
      </c>
    </row>
    <row r="65" spans="1:6" x14ac:dyDescent="0.25">
      <c r="A65" s="46">
        <v>43470.960046296299</v>
      </c>
      <c r="B65" s="3" t="s">
        <v>234</v>
      </c>
      <c r="C65" s="13">
        <v>1</v>
      </c>
      <c r="D65" s="13">
        <v>5</v>
      </c>
      <c r="E65" s="13">
        <v>4</v>
      </c>
      <c r="F65" s="3" t="s">
        <v>213</v>
      </c>
    </row>
    <row r="66" spans="1:6" x14ac:dyDescent="0.25">
      <c r="A66" s="46">
        <v>43470.960046296299</v>
      </c>
      <c r="B66" s="3" t="s">
        <v>238</v>
      </c>
      <c r="C66" s="13">
        <v>1</v>
      </c>
      <c r="D66" s="13">
        <v>5</v>
      </c>
      <c r="E66" s="13">
        <v>4</v>
      </c>
      <c r="F66" s="3" t="s">
        <v>213</v>
      </c>
    </row>
    <row r="67" spans="1:6" x14ac:dyDescent="0.25">
      <c r="A67" s="46">
        <v>43470.960046296299</v>
      </c>
      <c r="B67" s="3" t="s">
        <v>242</v>
      </c>
      <c r="C67" s="13">
        <v>3</v>
      </c>
      <c r="D67" s="13">
        <v>20</v>
      </c>
      <c r="E67" s="13">
        <v>17</v>
      </c>
      <c r="F67" s="3" t="s">
        <v>213</v>
      </c>
    </row>
    <row r="68" spans="1:6" x14ac:dyDescent="0.25">
      <c r="A68" s="46">
        <v>43470.960046296299</v>
      </c>
      <c r="B68" s="3" t="s">
        <v>188</v>
      </c>
      <c r="C68" s="13">
        <v>4</v>
      </c>
      <c r="D68" s="13">
        <v>97</v>
      </c>
      <c r="E68" s="13">
        <v>93</v>
      </c>
      <c r="F68" s="3" t="s">
        <v>213</v>
      </c>
    </row>
    <row r="69" spans="1:6" x14ac:dyDescent="0.25">
      <c r="A69" s="46">
        <v>43470.960046296299</v>
      </c>
      <c r="B69" s="3" t="s">
        <v>36</v>
      </c>
      <c r="C69" s="13">
        <v>2</v>
      </c>
      <c r="D69" s="13">
        <v>86</v>
      </c>
      <c r="E69" s="13">
        <v>84</v>
      </c>
      <c r="F69" s="3" t="s">
        <v>213</v>
      </c>
    </row>
    <row r="70" spans="1:6" x14ac:dyDescent="0.25">
      <c r="A70" s="46">
        <v>43470.960046296299</v>
      </c>
      <c r="B70" s="3" t="s">
        <v>246</v>
      </c>
      <c r="C70" s="13">
        <v>1</v>
      </c>
      <c r="D70" s="13">
        <v>100</v>
      </c>
      <c r="E70" s="13">
        <v>99</v>
      </c>
      <c r="F70" s="3" t="s">
        <v>213</v>
      </c>
    </row>
    <row r="71" spans="1:6" x14ac:dyDescent="0.25">
      <c r="A71" s="46">
        <v>43470.960046296299</v>
      </c>
      <c r="B71" s="3" t="s">
        <v>250</v>
      </c>
      <c r="C71" s="13">
        <v>1</v>
      </c>
      <c r="D71" s="13">
        <v>100</v>
      </c>
      <c r="E71" s="13">
        <v>99</v>
      </c>
      <c r="F71" s="3" t="s">
        <v>213</v>
      </c>
    </row>
    <row r="72" spans="1:6" x14ac:dyDescent="0.25">
      <c r="A72" s="46">
        <v>43470.960046296299</v>
      </c>
      <c r="B72" s="3" t="s">
        <v>325</v>
      </c>
      <c r="C72" s="13">
        <v>1</v>
      </c>
      <c r="D72" s="13">
        <v>10</v>
      </c>
      <c r="E72" s="13">
        <v>9</v>
      </c>
      <c r="F72" s="3" t="s">
        <v>213</v>
      </c>
    </row>
    <row r="73" spans="1:6" x14ac:dyDescent="0.25">
      <c r="A73" s="46">
        <v>43497.628275462965</v>
      </c>
      <c r="B73" s="3" t="s">
        <v>329</v>
      </c>
      <c r="C73" s="13" t="s">
        <v>332</v>
      </c>
      <c r="D73" s="13">
        <v>0</v>
      </c>
      <c r="E73" s="13" t="s">
        <v>332</v>
      </c>
      <c r="F73" s="3" t="s">
        <v>333</v>
      </c>
    </row>
    <row r="74" spans="1:6" x14ac:dyDescent="0.25">
      <c r="A74" s="46">
        <v>43497.784837962965</v>
      </c>
      <c r="B74" s="3" t="s">
        <v>335</v>
      </c>
      <c r="C74" s="13" t="s">
        <v>332</v>
      </c>
      <c r="D74" s="13">
        <v>0</v>
      </c>
      <c r="E74" s="13" t="s">
        <v>332</v>
      </c>
      <c r="F74" s="3" t="s">
        <v>333</v>
      </c>
    </row>
    <row r="75" spans="1:6" x14ac:dyDescent="0.25">
      <c r="A75" s="46">
        <v>43500.455185185187</v>
      </c>
      <c r="B75" s="3" t="s">
        <v>339</v>
      </c>
      <c r="C75" s="13" t="s">
        <v>332</v>
      </c>
      <c r="D75" s="13">
        <v>0</v>
      </c>
      <c r="E75" s="13" t="s">
        <v>332</v>
      </c>
      <c r="F75" s="3" t="s">
        <v>333</v>
      </c>
    </row>
    <row r="76" spans="1:6" x14ac:dyDescent="0.25">
      <c r="A76" s="46">
        <v>43500.457152777781</v>
      </c>
      <c r="B76" s="3" t="s">
        <v>343</v>
      </c>
      <c r="C76" s="13" t="s">
        <v>332</v>
      </c>
      <c r="D76" s="13">
        <v>0</v>
      </c>
      <c r="E76" s="13" t="s">
        <v>332</v>
      </c>
      <c r="F76" s="3" t="s">
        <v>333</v>
      </c>
    </row>
    <row r="77" spans="1:6" x14ac:dyDescent="0.25">
      <c r="A77" s="46">
        <v>43500.458449074074</v>
      </c>
      <c r="B77" s="3" t="s">
        <v>347</v>
      </c>
      <c r="C77" s="13" t="s">
        <v>332</v>
      </c>
      <c r="D77" s="13">
        <v>0</v>
      </c>
      <c r="E77" s="13" t="s">
        <v>332</v>
      </c>
      <c r="F77" s="3" t="s">
        <v>333</v>
      </c>
    </row>
    <row r="78" spans="1:6" x14ac:dyDescent="0.25">
      <c r="A78" s="46">
        <v>43502.505069444444</v>
      </c>
      <c r="B78" s="3" t="s">
        <v>360</v>
      </c>
      <c r="C78" s="13" t="s">
        <v>363</v>
      </c>
      <c r="D78" s="13">
        <v>0</v>
      </c>
      <c r="E78" s="13" t="s">
        <v>363</v>
      </c>
      <c r="F78" s="3" t="s">
        <v>333</v>
      </c>
    </row>
    <row r="79" spans="1:6" x14ac:dyDescent="0.25">
      <c r="A79" s="46">
        <v>43502.508912037039</v>
      </c>
      <c r="B79" s="3" t="s">
        <v>364</v>
      </c>
      <c r="C79" s="13" t="s">
        <v>363</v>
      </c>
      <c r="D79" s="13">
        <v>0</v>
      </c>
      <c r="E79" s="13" t="s">
        <v>363</v>
      </c>
      <c r="F79" s="3" t="s">
        <v>333</v>
      </c>
    </row>
    <row r="80" spans="1:6" x14ac:dyDescent="0.25">
      <c r="A80" s="46">
        <v>43502.509687500002</v>
      </c>
      <c r="B80" s="3" t="s">
        <v>367</v>
      </c>
      <c r="C80" s="13" t="s">
        <v>363</v>
      </c>
      <c r="D80" s="13">
        <v>0</v>
      </c>
      <c r="E80" s="13" t="s">
        <v>363</v>
      </c>
      <c r="F80" s="3" t="s">
        <v>333</v>
      </c>
    </row>
    <row r="81" spans="1:6" x14ac:dyDescent="0.25">
      <c r="A81" s="46">
        <v>43502.509965277779</v>
      </c>
      <c r="B81" s="3" t="s">
        <v>369</v>
      </c>
      <c r="C81" s="13" t="s">
        <v>363</v>
      </c>
      <c r="D81" s="13">
        <v>0</v>
      </c>
      <c r="E81" s="13" t="s">
        <v>363</v>
      </c>
      <c r="F81" s="3" t="s">
        <v>333</v>
      </c>
    </row>
    <row r="82" spans="1:6" x14ac:dyDescent="0.25">
      <c r="A82" s="46">
        <v>43506.582777777781</v>
      </c>
      <c r="B82" s="3" t="s">
        <v>201</v>
      </c>
      <c r="C82" s="13" t="s">
        <v>65</v>
      </c>
      <c r="D82" s="13" t="s">
        <v>65</v>
      </c>
      <c r="E82" s="13" t="s">
        <v>65</v>
      </c>
      <c r="F82" s="3" t="s">
        <v>391</v>
      </c>
    </row>
    <row r="83" spans="1:6" x14ac:dyDescent="0.25">
      <c r="A83" s="46">
        <v>43506.584803240738</v>
      </c>
      <c r="B83" s="3" t="s">
        <v>18</v>
      </c>
      <c r="C83" s="13" t="s">
        <v>65</v>
      </c>
      <c r="D83" s="13" t="s">
        <v>65</v>
      </c>
      <c r="E83" s="13" t="s">
        <v>65</v>
      </c>
      <c r="F83" s="3" t="s">
        <v>391</v>
      </c>
    </row>
    <row r="84" spans="1:6" x14ac:dyDescent="0.25">
      <c r="A84" s="46">
        <v>43506.584965277776</v>
      </c>
      <c r="B84" s="3" t="s">
        <v>101</v>
      </c>
      <c r="C84" s="13" t="s">
        <v>65</v>
      </c>
      <c r="D84" s="13" t="s">
        <v>65</v>
      </c>
      <c r="E84" s="13" t="s">
        <v>65</v>
      </c>
      <c r="F84" s="3" t="s">
        <v>391</v>
      </c>
    </row>
    <row r="85" spans="1:6" x14ac:dyDescent="0.25">
      <c r="A85" s="46">
        <v>43506.585150462961</v>
      </c>
      <c r="B85" s="3" t="s">
        <v>100</v>
      </c>
      <c r="C85" s="13" t="s">
        <v>65</v>
      </c>
      <c r="D85" s="13" t="s">
        <v>65</v>
      </c>
      <c r="E85" s="13" t="s">
        <v>65</v>
      </c>
      <c r="F85" s="3" t="s">
        <v>391</v>
      </c>
    </row>
    <row r="86" spans="1:6" x14ac:dyDescent="0.25">
      <c r="A86" s="46">
        <v>43506.59097222222</v>
      </c>
      <c r="B86" s="3" t="s">
        <v>347</v>
      </c>
      <c r="C86" s="13">
        <v>1</v>
      </c>
      <c r="D86" s="13">
        <v>0</v>
      </c>
      <c r="E86" s="13" t="s">
        <v>363</v>
      </c>
      <c r="F86" s="3" t="s">
        <v>398</v>
      </c>
    </row>
    <row r="87" spans="1:6" x14ac:dyDescent="0.25">
      <c r="A87" s="46">
        <v>43506.591550925928</v>
      </c>
      <c r="B87" s="3" t="s">
        <v>9</v>
      </c>
      <c r="C87" s="13" t="s">
        <v>65</v>
      </c>
      <c r="D87" s="13" t="s">
        <v>65</v>
      </c>
      <c r="E87" s="13" t="s">
        <v>65</v>
      </c>
      <c r="F87" s="3" t="s">
        <v>391</v>
      </c>
    </row>
    <row r="88" spans="1:6" x14ac:dyDescent="0.25">
      <c r="A88" s="46">
        <v>43506.592916666668</v>
      </c>
      <c r="B88" s="3" t="s">
        <v>24</v>
      </c>
      <c r="C88" s="13" t="s">
        <v>65</v>
      </c>
      <c r="D88" s="13" t="s">
        <v>65</v>
      </c>
      <c r="E88" s="13" t="s">
        <v>65</v>
      </c>
      <c r="F88" s="3" t="s">
        <v>391</v>
      </c>
    </row>
    <row r="89" spans="1:6" x14ac:dyDescent="0.25">
      <c r="A89" s="46">
        <v>43506.593032407407</v>
      </c>
      <c r="B89" s="3" t="s">
        <v>22</v>
      </c>
      <c r="C89" s="13" t="s">
        <v>65</v>
      </c>
      <c r="D89" s="13" t="s">
        <v>65</v>
      </c>
      <c r="E89" s="13" t="s">
        <v>65</v>
      </c>
      <c r="F89" s="3" t="s">
        <v>391</v>
      </c>
    </row>
    <row r="90" spans="1:6" x14ac:dyDescent="0.25">
      <c r="A90" s="46">
        <v>43506.593159722222</v>
      </c>
      <c r="B90" s="3" t="s">
        <v>27</v>
      </c>
      <c r="C90" s="13" t="s">
        <v>65</v>
      </c>
      <c r="D90" s="13" t="s">
        <v>65</v>
      </c>
      <c r="E90" s="13" t="s">
        <v>65</v>
      </c>
      <c r="F90" s="3" t="s">
        <v>391</v>
      </c>
    </row>
    <row r="91" spans="1:6" x14ac:dyDescent="0.25">
      <c r="A91" s="46">
        <v>43506.593275462961</v>
      </c>
      <c r="B91" s="3" t="s">
        <v>136</v>
      </c>
      <c r="C91" s="13" t="s">
        <v>65</v>
      </c>
      <c r="D91" s="13" t="s">
        <v>65</v>
      </c>
      <c r="E91" s="13" t="s">
        <v>65</v>
      </c>
      <c r="F91" s="3" t="s">
        <v>391</v>
      </c>
    </row>
    <row r="92" spans="1:6" x14ac:dyDescent="0.25">
      <c r="A92" s="46">
        <v>43506.593391203707</v>
      </c>
      <c r="B92" s="3" t="s">
        <v>221</v>
      </c>
      <c r="C92" s="13" t="s">
        <v>65</v>
      </c>
      <c r="D92" s="13" t="s">
        <v>65</v>
      </c>
      <c r="E92" s="13" t="s">
        <v>65</v>
      </c>
      <c r="F92" s="3" t="s">
        <v>391</v>
      </c>
    </row>
    <row r="93" spans="1:6" x14ac:dyDescent="0.25">
      <c r="A93" s="46">
        <v>43506.5937037037</v>
      </c>
      <c r="B93" s="3" t="s">
        <v>150</v>
      </c>
      <c r="C93" s="13" t="s">
        <v>65</v>
      </c>
      <c r="D93" s="13" t="s">
        <v>65</v>
      </c>
      <c r="E93" s="13" t="s">
        <v>65</v>
      </c>
      <c r="F93" s="3" t="s">
        <v>391</v>
      </c>
    </row>
    <row r="94" spans="1:6" x14ac:dyDescent="0.25">
      <c r="A94" s="46">
        <v>43506.593958333331</v>
      </c>
      <c r="B94" s="3" t="s">
        <v>147</v>
      </c>
      <c r="C94" s="13" t="s">
        <v>65</v>
      </c>
      <c r="D94" s="13" t="s">
        <v>65</v>
      </c>
      <c r="E94" s="13" t="s">
        <v>65</v>
      </c>
      <c r="F94" s="3" t="s">
        <v>391</v>
      </c>
    </row>
    <row r="95" spans="1:6" x14ac:dyDescent="0.25">
      <c r="A95" s="46">
        <v>43506.594108796293</v>
      </c>
      <c r="B95" s="3" t="s">
        <v>215</v>
      </c>
      <c r="C95" s="13" t="s">
        <v>65</v>
      </c>
      <c r="D95" s="13" t="s">
        <v>65</v>
      </c>
      <c r="E95" s="13" t="s">
        <v>65</v>
      </c>
      <c r="F95" s="3" t="s">
        <v>391</v>
      </c>
    </row>
    <row r="96" spans="1:6" x14ac:dyDescent="0.25">
      <c r="A96" s="46">
        <v>43506.594305555554</v>
      </c>
      <c r="B96" s="3" t="s">
        <v>216</v>
      </c>
      <c r="C96" s="13" t="s">
        <v>65</v>
      </c>
      <c r="D96" s="13" t="s">
        <v>65</v>
      </c>
      <c r="E96" s="13" t="s">
        <v>65</v>
      </c>
      <c r="F96" s="3" t="s">
        <v>391</v>
      </c>
    </row>
    <row r="97" spans="1:6" x14ac:dyDescent="0.25">
      <c r="A97" s="46">
        <v>43506.594652777778</v>
      </c>
      <c r="B97" s="3" t="s">
        <v>139</v>
      </c>
      <c r="C97" s="13" t="s">
        <v>65</v>
      </c>
      <c r="D97" s="13" t="s">
        <v>65</v>
      </c>
      <c r="E97" s="13" t="s">
        <v>65</v>
      </c>
      <c r="F97" s="3" t="s">
        <v>391</v>
      </c>
    </row>
    <row r="98" spans="1:6" x14ac:dyDescent="0.25">
      <c r="A98" s="46">
        <v>43506.596284722225</v>
      </c>
      <c r="B98" s="3" t="s">
        <v>20</v>
      </c>
      <c r="C98" s="13" t="s">
        <v>65</v>
      </c>
      <c r="D98" s="13" t="s">
        <v>65</v>
      </c>
      <c r="E98" s="13" t="s">
        <v>65</v>
      </c>
      <c r="F98" s="3" t="s">
        <v>391</v>
      </c>
    </row>
    <row r="99" spans="1:6" x14ac:dyDescent="0.25">
      <c r="A99" s="46">
        <v>43506.596585648149</v>
      </c>
      <c r="B99" s="3" t="s">
        <v>231</v>
      </c>
      <c r="C99" s="13" t="s">
        <v>65</v>
      </c>
      <c r="D99" s="13" t="s">
        <v>65</v>
      </c>
      <c r="E99" s="13" t="s">
        <v>65</v>
      </c>
      <c r="F99" s="3" t="s">
        <v>391</v>
      </c>
    </row>
    <row r="100" spans="1:6" x14ac:dyDescent="0.25">
      <c r="A100" s="46">
        <v>43506.596724537034</v>
      </c>
      <c r="B100" s="3" t="s">
        <v>229</v>
      </c>
      <c r="C100" s="13" t="s">
        <v>65</v>
      </c>
      <c r="D100" s="13" t="s">
        <v>65</v>
      </c>
      <c r="E100" s="13" t="s">
        <v>65</v>
      </c>
      <c r="F100" s="3" t="s">
        <v>391</v>
      </c>
    </row>
    <row r="101" spans="1:6" x14ac:dyDescent="0.25">
      <c r="A101" s="46">
        <v>43506.62771990741</v>
      </c>
      <c r="B101" s="3" t="s">
        <v>9</v>
      </c>
      <c r="C101" s="13">
        <v>1</v>
      </c>
      <c r="D101" s="13">
        <v>3</v>
      </c>
      <c r="E101" s="13">
        <v>4</v>
      </c>
      <c r="F101" s="3" t="s">
        <v>416</v>
      </c>
    </row>
    <row r="102" spans="1:6" x14ac:dyDescent="0.25">
      <c r="A102" s="46">
        <v>43506.62771990741</v>
      </c>
      <c r="B102" s="3" t="s">
        <v>12</v>
      </c>
      <c r="C102" s="13">
        <v>2</v>
      </c>
      <c r="D102" s="13">
        <v>46</v>
      </c>
      <c r="E102" s="13">
        <v>48</v>
      </c>
      <c r="F102" s="3" t="s">
        <v>416</v>
      </c>
    </row>
    <row r="103" spans="1:6" x14ac:dyDescent="0.25">
      <c r="A103" s="46">
        <v>43506.62771990741</v>
      </c>
      <c r="B103" s="3" t="s">
        <v>14</v>
      </c>
      <c r="C103" s="13">
        <v>1</v>
      </c>
      <c r="D103" s="13">
        <v>48</v>
      </c>
      <c r="E103" s="13">
        <v>49</v>
      </c>
      <c r="F103" s="3" t="s">
        <v>416</v>
      </c>
    </row>
    <row r="104" spans="1:6" x14ac:dyDescent="0.25">
      <c r="A104" s="46">
        <v>43506.62771990741</v>
      </c>
      <c r="B104" s="3" t="s">
        <v>16</v>
      </c>
      <c r="C104" s="13">
        <v>1</v>
      </c>
      <c r="D104" s="13">
        <v>13</v>
      </c>
      <c r="E104" s="13">
        <v>14</v>
      </c>
      <c r="F104" s="3" t="s">
        <v>416</v>
      </c>
    </row>
    <row r="105" spans="1:6" x14ac:dyDescent="0.25">
      <c r="A105" s="46">
        <v>43506.62771990741</v>
      </c>
      <c r="B105" s="3" t="s">
        <v>18</v>
      </c>
      <c r="C105" s="13">
        <v>1</v>
      </c>
      <c r="D105" s="13">
        <v>18</v>
      </c>
      <c r="E105" s="13">
        <v>19</v>
      </c>
      <c r="F105" s="3" t="s">
        <v>416</v>
      </c>
    </row>
    <row r="106" spans="1:6" x14ac:dyDescent="0.25">
      <c r="A106" s="46">
        <v>43506.62771990741</v>
      </c>
      <c r="B106" s="3" t="s">
        <v>22</v>
      </c>
      <c r="C106" s="13">
        <v>1</v>
      </c>
      <c r="D106" s="13">
        <v>8</v>
      </c>
      <c r="E106" s="13">
        <v>9</v>
      </c>
      <c r="F106" s="3" t="s">
        <v>416</v>
      </c>
    </row>
    <row r="107" spans="1:6" x14ac:dyDescent="0.25">
      <c r="A107" s="46">
        <v>43506.62771990741</v>
      </c>
      <c r="B107" s="3" t="s">
        <v>24</v>
      </c>
      <c r="C107" s="13">
        <v>1</v>
      </c>
      <c r="D107" s="13">
        <v>3</v>
      </c>
      <c r="E107" s="13">
        <v>4</v>
      </c>
      <c r="F107" s="3" t="s">
        <v>416</v>
      </c>
    </row>
    <row r="108" spans="1:6" x14ac:dyDescent="0.25">
      <c r="A108" s="46">
        <v>43506.62771990741</v>
      </c>
      <c r="B108" s="3" t="s">
        <v>27</v>
      </c>
      <c r="C108" s="13">
        <v>1</v>
      </c>
      <c r="D108" s="13">
        <v>8</v>
      </c>
      <c r="E108" s="13">
        <v>9</v>
      </c>
      <c r="F108" s="3" t="s">
        <v>416</v>
      </c>
    </row>
    <row r="109" spans="1:6" x14ac:dyDescent="0.25">
      <c r="A109" s="46">
        <v>43506.62771990741</v>
      </c>
      <c r="B109" s="3" t="s">
        <v>118</v>
      </c>
      <c r="C109" s="13">
        <v>19</v>
      </c>
      <c r="D109" s="13">
        <v>81</v>
      </c>
      <c r="E109" s="13">
        <v>100</v>
      </c>
      <c r="F109" s="3" t="s">
        <v>416</v>
      </c>
    </row>
    <row r="110" spans="1:6" x14ac:dyDescent="0.25">
      <c r="A110" s="46">
        <v>43506.62771990741</v>
      </c>
      <c r="B110" s="3" t="s">
        <v>117</v>
      </c>
      <c r="C110" s="13">
        <v>1</v>
      </c>
      <c r="D110" s="13">
        <v>3</v>
      </c>
      <c r="E110" s="13">
        <v>4</v>
      </c>
      <c r="F110" s="3" t="s">
        <v>416</v>
      </c>
    </row>
    <row r="111" spans="1:6" x14ac:dyDescent="0.25">
      <c r="A111" s="46">
        <v>43506.62771990741</v>
      </c>
      <c r="B111" s="3" t="s">
        <v>31</v>
      </c>
      <c r="C111" s="13">
        <v>1</v>
      </c>
      <c r="D111" s="13">
        <v>3</v>
      </c>
      <c r="E111" s="13">
        <v>4</v>
      </c>
      <c r="F111" s="3" t="s">
        <v>416</v>
      </c>
    </row>
    <row r="112" spans="1:6" x14ac:dyDescent="0.25">
      <c r="A112" s="46">
        <v>43506.62771990741</v>
      </c>
      <c r="B112" s="3" t="s">
        <v>34</v>
      </c>
      <c r="C112" s="13">
        <v>1</v>
      </c>
      <c r="D112" s="13">
        <v>3</v>
      </c>
      <c r="E112" s="13">
        <v>4</v>
      </c>
      <c r="F112" s="3" t="s">
        <v>416</v>
      </c>
    </row>
    <row r="113" spans="1:6" x14ac:dyDescent="0.25">
      <c r="A113" s="46">
        <v>43506.62771990741</v>
      </c>
      <c r="B113" s="3" t="s">
        <v>36</v>
      </c>
      <c r="C113" s="13">
        <v>7</v>
      </c>
      <c r="D113" s="13">
        <v>84</v>
      </c>
      <c r="E113" s="13">
        <v>91</v>
      </c>
      <c r="F113" s="3" t="s">
        <v>416</v>
      </c>
    </row>
    <row r="114" spans="1:6" x14ac:dyDescent="0.25">
      <c r="A114" s="46">
        <v>43506.62771990741</v>
      </c>
      <c r="B114" s="3" t="s">
        <v>38</v>
      </c>
      <c r="C114" s="13">
        <v>2</v>
      </c>
      <c r="D114" s="13">
        <v>0</v>
      </c>
      <c r="E114" s="13">
        <v>2</v>
      </c>
      <c r="F114" s="3" t="s">
        <v>416</v>
      </c>
    </row>
    <row r="115" spans="1:6" x14ac:dyDescent="0.25">
      <c r="A115" s="46">
        <v>43506.62771990741</v>
      </c>
      <c r="B115" s="3" t="s">
        <v>40</v>
      </c>
      <c r="C115" s="13" t="s">
        <v>417</v>
      </c>
      <c r="D115" s="13">
        <v>-0.63900000000000001</v>
      </c>
      <c r="E115" s="13">
        <v>0</v>
      </c>
      <c r="F115" s="3" t="s">
        <v>416</v>
      </c>
    </row>
    <row r="116" spans="1:6" x14ac:dyDescent="0.25">
      <c r="A116" s="46">
        <v>43506.62771990741</v>
      </c>
      <c r="B116" s="3" t="s">
        <v>43</v>
      </c>
      <c r="C116" s="13">
        <v>1</v>
      </c>
      <c r="D116" s="13">
        <v>23</v>
      </c>
      <c r="E116" s="13">
        <v>24</v>
      </c>
      <c r="F116" s="3" t="s">
        <v>416</v>
      </c>
    </row>
    <row r="117" spans="1:6" x14ac:dyDescent="0.25">
      <c r="A117" s="46">
        <v>43506.62771990741</v>
      </c>
      <c r="B117" s="3" t="s">
        <v>46</v>
      </c>
      <c r="C117" s="13">
        <v>4</v>
      </c>
      <c r="D117" s="13">
        <v>12</v>
      </c>
      <c r="E117" s="13">
        <v>16</v>
      </c>
      <c r="F117" s="3" t="s">
        <v>416</v>
      </c>
    </row>
    <row r="118" spans="1:6" x14ac:dyDescent="0.25">
      <c r="A118" s="46">
        <v>43506.62771990741</v>
      </c>
      <c r="B118" s="3" t="s">
        <v>49</v>
      </c>
      <c r="C118" s="13">
        <v>1</v>
      </c>
      <c r="D118" s="13">
        <v>0</v>
      </c>
      <c r="E118" s="13">
        <v>1</v>
      </c>
      <c r="F118" s="3" t="s">
        <v>416</v>
      </c>
    </row>
    <row r="119" spans="1:6" x14ac:dyDescent="0.25">
      <c r="A119" s="46">
        <v>43506.62771990741</v>
      </c>
      <c r="B119" s="3" t="s">
        <v>52</v>
      </c>
      <c r="C119" s="13">
        <v>1</v>
      </c>
      <c r="D119" s="13">
        <v>8</v>
      </c>
      <c r="E119" s="13">
        <v>9</v>
      </c>
      <c r="F119" s="3" t="s">
        <v>416</v>
      </c>
    </row>
    <row r="120" spans="1:6" x14ac:dyDescent="0.25">
      <c r="A120" s="46">
        <v>43506.62771990741</v>
      </c>
      <c r="B120" s="3" t="s">
        <v>188</v>
      </c>
      <c r="C120" s="13">
        <v>6</v>
      </c>
      <c r="D120" s="13">
        <v>93</v>
      </c>
      <c r="E120" s="13">
        <v>99</v>
      </c>
      <c r="F120" s="3" t="s">
        <v>416</v>
      </c>
    </row>
    <row r="121" spans="1:6" x14ac:dyDescent="0.25">
      <c r="A121" s="46">
        <v>43506.62771990741</v>
      </c>
      <c r="B121" s="3" t="s">
        <v>56</v>
      </c>
      <c r="C121" s="13">
        <v>1</v>
      </c>
      <c r="D121" s="13">
        <v>8</v>
      </c>
      <c r="E121" s="13">
        <v>9</v>
      </c>
      <c r="F121" s="3" t="s">
        <v>416</v>
      </c>
    </row>
    <row r="122" spans="1:6" x14ac:dyDescent="0.25">
      <c r="A122" s="46">
        <v>43506.62771990741</v>
      </c>
      <c r="B122" s="3" t="s">
        <v>59</v>
      </c>
      <c r="C122" s="13">
        <v>1</v>
      </c>
      <c r="D122" s="13">
        <v>18</v>
      </c>
      <c r="E122" s="13">
        <v>19</v>
      </c>
      <c r="F122" s="3" t="s">
        <v>416</v>
      </c>
    </row>
    <row r="123" spans="1:6" x14ac:dyDescent="0.25">
      <c r="A123" s="46">
        <v>43506.62771990741</v>
      </c>
      <c r="B123" s="3" t="s">
        <v>61</v>
      </c>
      <c r="C123" s="13">
        <v>1</v>
      </c>
      <c r="D123" s="13">
        <v>8</v>
      </c>
      <c r="E123" s="13">
        <v>9</v>
      </c>
      <c r="F123" s="3" t="s">
        <v>416</v>
      </c>
    </row>
    <row r="124" spans="1:6" x14ac:dyDescent="0.25">
      <c r="A124" s="46">
        <v>43506.62771990741</v>
      </c>
      <c r="B124" s="3" t="s">
        <v>63</v>
      </c>
      <c r="C124" s="13">
        <v>3</v>
      </c>
      <c r="D124" s="13">
        <v>4</v>
      </c>
      <c r="E124" s="13">
        <v>7</v>
      </c>
      <c r="F124" s="3" t="s">
        <v>416</v>
      </c>
    </row>
    <row r="125" spans="1:6" x14ac:dyDescent="0.25">
      <c r="A125" s="46">
        <v>43506.62771990741</v>
      </c>
      <c r="B125" s="3" t="s">
        <v>139</v>
      </c>
      <c r="C125" s="13">
        <v>1</v>
      </c>
      <c r="D125" s="13">
        <v>0</v>
      </c>
      <c r="E125" s="13">
        <v>1</v>
      </c>
      <c r="F125" s="3" t="s">
        <v>416</v>
      </c>
    </row>
    <row r="126" spans="1:6" x14ac:dyDescent="0.25">
      <c r="A126" s="46">
        <v>43506.62771990741</v>
      </c>
      <c r="B126" s="3" t="s">
        <v>77</v>
      </c>
      <c r="C126" s="13">
        <v>1</v>
      </c>
      <c r="D126" s="13">
        <v>0</v>
      </c>
      <c r="E126" s="13">
        <v>1</v>
      </c>
      <c r="F126" s="3" t="s">
        <v>416</v>
      </c>
    </row>
    <row r="127" spans="1:6" x14ac:dyDescent="0.25">
      <c r="A127" s="46">
        <v>43506.62771990741</v>
      </c>
      <c r="B127" s="3" t="s">
        <v>81</v>
      </c>
      <c r="C127" s="13">
        <v>1</v>
      </c>
      <c r="D127" s="13">
        <v>1</v>
      </c>
      <c r="E127" s="13">
        <v>2</v>
      </c>
      <c r="F127" s="3" t="s">
        <v>416</v>
      </c>
    </row>
    <row r="128" spans="1:6" x14ac:dyDescent="0.25">
      <c r="A128" s="46">
        <v>43506.62771990741</v>
      </c>
      <c r="B128" s="3" t="s">
        <v>158</v>
      </c>
      <c r="C128" s="13">
        <v>1</v>
      </c>
      <c r="D128" s="13">
        <v>0</v>
      </c>
      <c r="E128" s="13">
        <v>1</v>
      </c>
      <c r="F128" s="3" t="s">
        <v>416</v>
      </c>
    </row>
    <row r="129" spans="1:6" x14ac:dyDescent="0.25">
      <c r="A129" s="46">
        <v>43506.62771990741</v>
      </c>
      <c r="B129" s="3">
        <v>1004068</v>
      </c>
      <c r="C129" s="13">
        <v>1</v>
      </c>
      <c r="D129" s="13">
        <v>1</v>
      </c>
      <c r="E129" s="13">
        <v>2</v>
      </c>
      <c r="F129" s="3" t="s">
        <v>416</v>
      </c>
    </row>
    <row r="130" spans="1:6" x14ac:dyDescent="0.25">
      <c r="A130" s="46">
        <v>43506.62771990741</v>
      </c>
      <c r="B130" s="3">
        <v>90990</v>
      </c>
      <c r="C130" s="13">
        <v>1</v>
      </c>
      <c r="D130" s="13">
        <v>0</v>
      </c>
      <c r="E130" s="13">
        <v>1</v>
      </c>
      <c r="F130" s="3" t="s">
        <v>416</v>
      </c>
    </row>
    <row r="131" spans="1:6" x14ac:dyDescent="0.25">
      <c r="A131" s="46">
        <v>43506.62771990741</v>
      </c>
      <c r="B131" s="3">
        <v>912951</v>
      </c>
      <c r="C131" s="13">
        <v>1</v>
      </c>
      <c r="D131" s="13">
        <v>0</v>
      </c>
      <c r="E131" s="13">
        <v>1</v>
      </c>
      <c r="F131" s="3" t="s">
        <v>416</v>
      </c>
    </row>
    <row r="132" spans="1:6" x14ac:dyDescent="0.25">
      <c r="A132" s="46">
        <v>43506.62771990741</v>
      </c>
      <c r="B132" s="3">
        <v>1181876</v>
      </c>
      <c r="C132" s="13">
        <v>1</v>
      </c>
      <c r="D132" s="13">
        <v>8</v>
      </c>
      <c r="E132" s="13">
        <v>9</v>
      </c>
      <c r="F132" s="3" t="s">
        <v>416</v>
      </c>
    </row>
    <row r="133" spans="1:6" x14ac:dyDescent="0.25">
      <c r="A133" s="46">
        <v>43506.62771990741</v>
      </c>
      <c r="B133" s="3">
        <v>965083</v>
      </c>
      <c r="C133" s="13">
        <v>1</v>
      </c>
      <c r="D133" s="13">
        <v>1</v>
      </c>
      <c r="E133" s="13">
        <v>2</v>
      </c>
      <c r="F133" s="3" t="s">
        <v>416</v>
      </c>
    </row>
    <row r="134" spans="1:6" x14ac:dyDescent="0.25">
      <c r="A134" s="46">
        <v>43512.96502314815</v>
      </c>
      <c r="B134" s="3" t="s">
        <v>418</v>
      </c>
      <c r="C134" s="13"/>
      <c r="D134" s="13">
        <v>0</v>
      </c>
      <c r="E134" s="13"/>
      <c r="F134" s="3" t="s">
        <v>333</v>
      </c>
    </row>
    <row r="135" spans="1:6" x14ac:dyDescent="0.25">
      <c r="A135" s="46">
        <v>43512.966874999998</v>
      </c>
      <c r="B135" s="3" t="s">
        <v>418</v>
      </c>
      <c r="C135" s="13" t="s">
        <v>422</v>
      </c>
      <c r="D135" s="13">
        <v>0</v>
      </c>
      <c r="E135" s="13" t="s">
        <v>422</v>
      </c>
      <c r="F135" s="3" t="s">
        <v>333</v>
      </c>
    </row>
    <row r="136" spans="1:6" x14ac:dyDescent="0.25">
      <c r="A136" s="46">
        <v>43519.51699074074</v>
      </c>
      <c r="B136" s="3" t="s">
        <v>326</v>
      </c>
      <c r="C136" s="13" t="s">
        <v>423</v>
      </c>
      <c r="D136" s="13">
        <v>0</v>
      </c>
      <c r="E136" s="13">
        <v>10</v>
      </c>
      <c r="F136" s="3" t="s">
        <v>443</v>
      </c>
    </row>
    <row r="137" spans="1:6" x14ac:dyDescent="0.25">
      <c r="A137" s="46">
        <v>43519.517534722225</v>
      </c>
      <c r="B137" s="3" t="s">
        <v>36</v>
      </c>
      <c r="C137" s="13" t="s">
        <v>65</v>
      </c>
      <c r="D137" s="13" t="s">
        <v>65</v>
      </c>
      <c r="E137" s="13" t="s">
        <v>65</v>
      </c>
      <c r="F137" s="3" t="s">
        <v>442</v>
      </c>
    </row>
    <row r="138" spans="1:6" x14ac:dyDescent="0.25">
      <c r="A138" s="46">
        <v>43519.51771990741</v>
      </c>
      <c r="B138" s="3" t="s">
        <v>12</v>
      </c>
      <c r="C138" s="13" t="s">
        <v>65</v>
      </c>
      <c r="D138" s="13" t="s">
        <v>65</v>
      </c>
      <c r="E138" s="13" t="s">
        <v>65</v>
      </c>
      <c r="F138" s="3" t="s">
        <v>442</v>
      </c>
    </row>
    <row r="139" spans="1:6" x14ac:dyDescent="0.25">
      <c r="A139" s="46">
        <v>43519.518425925926</v>
      </c>
      <c r="B139" s="3" t="s">
        <v>36</v>
      </c>
      <c r="C139" s="13" t="s">
        <v>65</v>
      </c>
      <c r="D139" s="13" t="s">
        <v>65</v>
      </c>
      <c r="E139" s="13" t="s">
        <v>65</v>
      </c>
      <c r="F139" s="3" t="s">
        <v>441</v>
      </c>
    </row>
    <row r="140" spans="1:6" x14ac:dyDescent="0.25">
      <c r="A140" s="46">
        <v>43519.518472222226</v>
      </c>
      <c r="B140" s="3" t="s">
        <v>12</v>
      </c>
      <c r="C140" s="13" t="s">
        <v>65</v>
      </c>
      <c r="D140" s="13" t="s">
        <v>65</v>
      </c>
      <c r="E140" s="13" t="s">
        <v>65</v>
      </c>
      <c r="F140" s="3" t="s">
        <v>441</v>
      </c>
    </row>
    <row r="141" spans="1:6" x14ac:dyDescent="0.25">
      <c r="A141" s="46">
        <v>43519.518576388888</v>
      </c>
      <c r="B141" s="3" t="s">
        <v>321</v>
      </c>
      <c r="C141" s="13" t="s">
        <v>65</v>
      </c>
      <c r="D141" s="13" t="s">
        <v>65</v>
      </c>
      <c r="E141" s="13" t="s">
        <v>65</v>
      </c>
      <c r="F141" s="3" t="s">
        <v>441</v>
      </c>
    </row>
    <row r="142" spans="1:6" x14ac:dyDescent="0.25">
      <c r="A142" s="46">
        <v>43519.518599537034</v>
      </c>
      <c r="B142" s="3" t="s">
        <v>63</v>
      </c>
      <c r="C142" s="13" t="s">
        <v>65</v>
      </c>
      <c r="D142" s="13" t="s">
        <v>65</v>
      </c>
      <c r="E142" s="13" t="s">
        <v>65</v>
      </c>
      <c r="F142" s="3" t="s">
        <v>441</v>
      </c>
    </row>
    <row r="143" spans="1:6" x14ac:dyDescent="0.25">
      <c r="A143" s="46">
        <v>43519.518622685187</v>
      </c>
      <c r="B143" s="3" t="s">
        <v>61</v>
      </c>
      <c r="C143" s="13" t="s">
        <v>65</v>
      </c>
      <c r="D143" s="13" t="s">
        <v>65</v>
      </c>
      <c r="E143" s="13" t="s">
        <v>65</v>
      </c>
      <c r="F143" s="3" t="s">
        <v>441</v>
      </c>
    </row>
    <row r="144" spans="1:6" x14ac:dyDescent="0.25">
      <c r="A144" s="46">
        <v>43519.518657407411</v>
      </c>
      <c r="B144" s="3" t="s">
        <v>59</v>
      </c>
      <c r="C144" s="13" t="s">
        <v>65</v>
      </c>
      <c r="D144" s="13" t="s">
        <v>65</v>
      </c>
      <c r="E144" s="13" t="s">
        <v>65</v>
      </c>
      <c r="F144" s="3" t="s">
        <v>441</v>
      </c>
    </row>
    <row r="145" spans="1:6" x14ac:dyDescent="0.25">
      <c r="A145" s="46">
        <v>43519.518703703703</v>
      </c>
      <c r="B145" s="3" t="s">
        <v>52</v>
      </c>
      <c r="C145" s="13" t="s">
        <v>65</v>
      </c>
      <c r="D145" s="13" t="s">
        <v>65</v>
      </c>
      <c r="E145" s="13" t="s">
        <v>65</v>
      </c>
      <c r="F145" s="3" t="s">
        <v>441</v>
      </c>
    </row>
    <row r="146" spans="1:6" x14ac:dyDescent="0.25">
      <c r="A146" s="46">
        <v>43519.518750000003</v>
      </c>
      <c r="B146" s="3" t="s">
        <v>56</v>
      </c>
      <c r="C146" s="13" t="s">
        <v>65</v>
      </c>
      <c r="D146" s="13" t="s">
        <v>65</v>
      </c>
      <c r="E146" s="13" t="s">
        <v>65</v>
      </c>
      <c r="F146" s="3" t="s">
        <v>441</v>
      </c>
    </row>
    <row r="147" spans="1:6" x14ac:dyDescent="0.25">
      <c r="A147" s="46">
        <v>43519.518773148149</v>
      </c>
      <c r="B147" s="3" t="s">
        <v>320</v>
      </c>
      <c r="C147" s="13" t="s">
        <v>65</v>
      </c>
      <c r="D147" s="13" t="s">
        <v>65</v>
      </c>
      <c r="E147" s="13" t="s">
        <v>65</v>
      </c>
      <c r="F147" s="3" t="s">
        <v>441</v>
      </c>
    </row>
    <row r="148" spans="1:6" x14ac:dyDescent="0.25">
      <c r="A148" s="46">
        <v>43519.518935185188</v>
      </c>
      <c r="B148" s="3" t="s">
        <v>54</v>
      </c>
      <c r="C148" s="13" t="s">
        <v>65</v>
      </c>
      <c r="D148" s="13" t="s">
        <v>65</v>
      </c>
      <c r="E148" s="13" t="s">
        <v>65</v>
      </c>
      <c r="F148" s="3" t="s">
        <v>441</v>
      </c>
    </row>
    <row r="149" spans="1:6" x14ac:dyDescent="0.25">
      <c r="A149" s="46">
        <v>43519.51903935185</v>
      </c>
      <c r="B149" s="3" t="s">
        <v>54</v>
      </c>
      <c r="C149" s="13" t="s">
        <v>65</v>
      </c>
      <c r="D149" s="13" t="s">
        <v>65</v>
      </c>
      <c r="E149" s="13" t="s">
        <v>65</v>
      </c>
      <c r="F149" s="3" t="s">
        <v>441</v>
      </c>
    </row>
    <row r="150" spans="1:6" x14ac:dyDescent="0.25">
      <c r="A150" s="46">
        <v>43540.741203703707</v>
      </c>
      <c r="B150" s="3" t="s">
        <v>347</v>
      </c>
      <c r="C150" s="13">
        <v>-1</v>
      </c>
      <c r="D150" s="13">
        <v>1</v>
      </c>
      <c r="E150" s="13">
        <v>0</v>
      </c>
      <c r="F150" s="3" t="s">
        <v>449</v>
      </c>
    </row>
    <row r="151" spans="1:6" x14ac:dyDescent="0.25">
      <c r="A151" s="46">
        <v>43569.402199074073</v>
      </c>
      <c r="B151" s="3" t="s">
        <v>347</v>
      </c>
      <c r="C151" s="13" t="s">
        <v>363</v>
      </c>
      <c r="D151" s="13">
        <v>0</v>
      </c>
      <c r="E151" s="13">
        <v>1</v>
      </c>
      <c r="F151" s="3" t="s">
        <v>450</v>
      </c>
    </row>
    <row r="152" spans="1:6" x14ac:dyDescent="0.25">
      <c r="A152" s="46">
        <v>43572.368414351855</v>
      </c>
      <c r="B152" s="3" t="s">
        <v>290</v>
      </c>
      <c r="C152" s="13" t="s">
        <v>65</v>
      </c>
      <c r="D152" s="13" t="s">
        <v>65</v>
      </c>
      <c r="E152" s="13" t="s">
        <v>65</v>
      </c>
      <c r="F152" s="3" t="s">
        <v>391</v>
      </c>
    </row>
    <row r="153" spans="1:6" x14ac:dyDescent="0.25">
      <c r="A153" s="46">
        <v>43574.645150462966</v>
      </c>
      <c r="B153" s="3" t="s">
        <v>272</v>
      </c>
      <c r="C153" s="13" t="s">
        <v>332</v>
      </c>
      <c r="D153" s="13">
        <v>0</v>
      </c>
      <c r="E153" s="13" t="s">
        <v>332</v>
      </c>
      <c r="F153" s="3" t="s">
        <v>492</v>
      </c>
    </row>
    <row r="154" spans="1:6" x14ac:dyDescent="0.25">
      <c r="A154" s="46">
        <v>43574.645150462966</v>
      </c>
      <c r="B154" s="3">
        <v>61304011021</v>
      </c>
      <c r="C154" s="13" t="s">
        <v>332</v>
      </c>
      <c r="D154" s="13">
        <v>0</v>
      </c>
      <c r="E154" s="13" t="s">
        <v>332</v>
      </c>
      <c r="F154" s="3" t="s">
        <v>492</v>
      </c>
    </row>
    <row r="155" spans="1:6" x14ac:dyDescent="0.25">
      <c r="A155" s="46">
        <v>43574.645150462966</v>
      </c>
      <c r="B155" s="3" t="s">
        <v>117</v>
      </c>
      <c r="C155" s="13" t="s">
        <v>332</v>
      </c>
      <c r="D155" s="13">
        <v>0</v>
      </c>
      <c r="E155" s="13" t="s">
        <v>332</v>
      </c>
      <c r="F155" s="3" t="s">
        <v>492</v>
      </c>
    </row>
    <row r="156" spans="1:6" x14ac:dyDescent="0.25">
      <c r="A156" s="46">
        <v>43574.645150462966</v>
      </c>
      <c r="B156" s="3" t="s">
        <v>31</v>
      </c>
      <c r="C156" s="13" t="s">
        <v>332</v>
      </c>
      <c r="D156" s="13">
        <v>0</v>
      </c>
      <c r="E156" s="13" t="s">
        <v>332</v>
      </c>
      <c r="F156" s="3" t="s">
        <v>492</v>
      </c>
    </row>
    <row r="157" spans="1:6" x14ac:dyDescent="0.25">
      <c r="A157" s="46">
        <v>43574.645150462966</v>
      </c>
      <c r="B157" s="3" t="s">
        <v>123</v>
      </c>
      <c r="C157" s="13" t="s">
        <v>332</v>
      </c>
      <c r="D157" s="13">
        <v>0</v>
      </c>
      <c r="E157" s="13" t="s">
        <v>332</v>
      </c>
      <c r="F157" s="3" t="s">
        <v>492</v>
      </c>
    </row>
    <row r="158" spans="1:6" x14ac:dyDescent="0.25">
      <c r="A158" s="46">
        <v>43574.645150462966</v>
      </c>
      <c r="B158" s="3" t="s">
        <v>118</v>
      </c>
      <c r="C158" s="13" t="s">
        <v>332</v>
      </c>
      <c r="D158" s="13">
        <v>0</v>
      </c>
      <c r="E158" s="13" t="s">
        <v>332</v>
      </c>
      <c r="F158" s="3" t="s">
        <v>492</v>
      </c>
    </row>
    <row r="159" spans="1:6" x14ac:dyDescent="0.25">
      <c r="A159" s="46">
        <v>43574.645150462966</v>
      </c>
      <c r="B159" s="3" t="s">
        <v>472</v>
      </c>
      <c r="C159" s="13" t="s">
        <v>332</v>
      </c>
      <c r="D159" s="13">
        <v>0</v>
      </c>
      <c r="E159" s="13" t="s">
        <v>332</v>
      </c>
      <c r="F159" s="3" t="s">
        <v>492</v>
      </c>
    </row>
    <row r="160" spans="1:6" x14ac:dyDescent="0.25">
      <c r="A160" s="46">
        <v>43574.645162037035</v>
      </c>
      <c r="B160" s="3" t="s">
        <v>473</v>
      </c>
      <c r="C160" s="13" t="s">
        <v>332</v>
      </c>
      <c r="D160" s="13">
        <v>0</v>
      </c>
      <c r="E160" s="13" t="s">
        <v>332</v>
      </c>
      <c r="F160" s="3" t="s">
        <v>492</v>
      </c>
    </row>
    <row r="161" spans="1:6" x14ac:dyDescent="0.25">
      <c r="A161" s="46">
        <v>43574.645162037035</v>
      </c>
      <c r="B161" s="3" t="s">
        <v>38</v>
      </c>
      <c r="C161" s="13" t="s">
        <v>332</v>
      </c>
      <c r="D161" s="13">
        <v>0</v>
      </c>
      <c r="E161" s="13" t="s">
        <v>332</v>
      </c>
      <c r="F161" s="3" t="s">
        <v>492</v>
      </c>
    </row>
    <row r="162" spans="1:6" x14ac:dyDescent="0.25">
      <c r="A162" s="46">
        <v>43574.645162037035</v>
      </c>
      <c r="B162" s="3" t="s">
        <v>133</v>
      </c>
      <c r="C162" s="13" t="s">
        <v>332</v>
      </c>
      <c r="D162" s="13">
        <v>0</v>
      </c>
      <c r="E162" s="13" t="s">
        <v>332</v>
      </c>
      <c r="F162" s="3" t="s">
        <v>492</v>
      </c>
    </row>
    <row r="163" spans="1:6" x14ac:dyDescent="0.25">
      <c r="A163" s="46">
        <v>43574.645162037035</v>
      </c>
      <c r="B163" s="3" t="s">
        <v>90</v>
      </c>
      <c r="C163" s="13" t="s">
        <v>332</v>
      </c>
      <c r="D163" s="13">
        <v>0</v>
      </c>
      <c r="E163" s="13" t="s">
        <v>332</v>
      </c>
      <c r="F163" s="3" t="s">
        <v>492</v>
      </c>
    </row>
    <row r="164" spans="1:6" x14ac:dyDescent="0.25">
      <c r="A164" s="46">
        <v>43574.645162037035</v>
      </c>
      <c r="B164" s="3" t="s">
        <v>476</v>
      </c>
      <c r="C164" s="13" t="s">
        <v>332</v>
      </c>
      <c r="D164" s="13">
        <v>0</v>
      </c>
      <c r="E164" s="13" t="s">
        <v>332</v>
      </c>
      <c r="F164" s="3" t="s">
        <v>492</v>
      </c>
    </row>
    <row r="165" spans="1:6" x14ac:dyDescent="0.25">
      <c r="A165" s="46">
        <v>43574.645162037035</v>
      </c>
      <c r="B165" s="3" t="s">
        <v>46</v>
      </c>
      <c r="C165" s="13" t="s">
        <v>332</v>
      </c>
      <c r="D165" s="13">
        <v>0</v>
      </c>
      <c r="E165" s="13" t="s">
        <v>332</v>
      </c>
      <c r="F165" s="3" t="s">
        <v>492</v>
      </c>
    </row>
    <row r="166" spans="1:6" x14ac:dyDescent="0.25">
      <c r="A166" s="46">
        <v>43574.645162037035</v>
      </c>
      <c r="B166" s="3" t="s">
        <v>24</v>
      </c>
      <c r="C166" s="13" t="s">
        <v>332</v>
      </c>
      <c r="D166" s="13">
        <v>0</v>
      </c>
      <c r="E166" s="13" t="s">
        <v>332</v>
      </c>
      <c r="F166" s="3" t="s">
        <v>492</v>
      </c>
    </row>
    <row r="167" spans="1:6" x14ac:dyDescent="0.25">
      <c r="A167" s="46">
        <v>43574.645162037035</v>
      </c>
      <c r="B167" s="3" t="s">
        <v>27</v>
      </c>
      <c r="C167" s="13" t="s">
        <v>332</v>
      </c>
      <c r="D167" s="13">
        <v>0</v>
      </c>
      <c r="E167" s="13" t="s">
        <v>332</v>
      </c>
      <c r="F167" s="3" t="s">
        <v>492</v>
      </c>
    </row>
    <row r="168" spans="1:6" x14ac:dyDescent="0.25">
      <c r="A168" s="46">
        <v>43574.645173611112</v>
      </c>
      <c r="B168" s="3" t="s">
        <v>43</v>
      </c>
      <c r="C168" s="13" t="s">
        <v>332</v>
      </c>
      <c r="D168" s="13">
        <v>0</v>
      </c>
      <c r="E168" s="13" t="s">
        <v>332</v>
      </c>
      <c r="F168" s="3" t="s">
        <v>492</v>
      </c>
    </row>
    <row r="169" spans="1:6" x14ac:dyDescent="0.25">
      <c r="A169" s="46">
        <v>43574.645173611112</v>
      </c>
      <c r="B169" s="3" t="s">
        <v>49</v>
      </c>
      <c r="C169" s="13" t="s">
        <v>332</v>
      </c>
      <c r="D169" s="13">
        <v>0</v>
      </c>
      <c r="E169" s="13" t="s">
        <v>332</v>
      </c>
      <c r="F169" s="3" t="s">
        <v>492</v>
      </c>
    </row>
    <row r="170" spans="1:6" x14ac:dyDescent="0.25">
      <c r="A170" s="46">
        <v>43574.645173611112</v>
      </c>
      <c r="B170" s="3" t="s">
        <v>36</v>
      </c>
      <c r="C170" s="13" t="s">
        <v>332</v>
      </c>
      <c r="D170" s="13">
        <v>0</v>
      </c>
      <c r="E170" s="13" t="s">
        <v>332</v>
      </c>
      <c r="F170" s="3" t="s">
        <v>492</v>
      </c>
    </row>
    <row r="171" spans="1:6" x14ac:dyDescent="0.25">
      <c r="A171" s="46">
        <v>43574.754791666666</v>
      </c>
      <c r="B171" s="3" t="s">
        <v>272</v>
      </c>
      <c r="C171" s="13">
        <v>1</v>
      </c>
      <c r="D171" s="13">
        <v>4</v>
      </c>
      <c r="E171" s="13" t="s">
        <v>422</v>
      </c>
      <c r="F171" s="3" t="s">
        <v>502</v>
      </c>
    </row>
    <row r="172" spans="1:6" x14ac:dyDescent="0.25">
      <c r="A172" s="46">
        <v>43574.755428240744</v>
      </c>
      <c r="B172" s="3">
        <v>61304011021</v>
      </c>
      <c r="C172" s="13" t="s">
        <v>363</v>
      </c>
      <c r="D172" s="13">
        <v>8.85</v>
      </c>
      <c r="E172" s="13">
        <v>9.85</v>
      </c>
      <c r="F172" s="3" t="s">
        <v>502</v>
      </c>
    </row>
    <row r="173" spans="1:6" x14ac:dyDescent="0.25">
      <c r="A173" s="46">
        <v>43574.755497685182</v>
      </c>
      <c r="B173" s="3" t="s">
        <v>117</v>
      </c>
      <c r="C173" s="13" t="s">
        <v>363</v>
      </c>
      <c r="D173" s="13">
        <v>3</v>
      </c>
      <c r="E173" s="13">
        <v>4</v>
      </c>
      <c r="F173" s="3" t="s">
        <v>502</v>
      </c>
    </row>
    <row r="174" spans="1:6" x14ac:dyDescent="0.25">
      <c r="A174" s="46">
        <v>43574.755694444444</v>
      </c>
      <c r="B174" s="3" t="s">
        <v>31</v>
      </c>
      <c r="C174" s="13" t="s">
        <v>363</v>
      </c>
      <c r="D174" s="13">
        <v>3</v>
      </c>
      <c r="E174" s="13">
        <v>4</v>
      </c>
      <c r="F174" s="3" t="s">
        <v>502</v>
      </c>
    </row>
    <row r="175" spans="1:6" x14ac:dyDescent="0.25">
      <c r="A175" s="46">
        <v>43574.755856481483</v>
      </c>
      <c r="B175" s="3" t="s">
        <v>123</v>
      </c>
      <c r="C175" s="13" t="s">
        <v>363</v>
      </c>
      <c r="D175" s="13">
        <v>18</v>
      </c>
      <c r="E175" s="13">
        <v>19</v>
      </c>
      <c r="F175" s="3" t="s">
        <v>502</v>
      </c>
    </row>
    <row r="176" spans="1:6" x14ac:dyDescent="0.25">
      <c r="A176" s="46">
        <v>43574.755891203706</v>
      </c>
      <c r="B176" s="3" t="s">
        <v>118</v>
      </c>
      <c r="C176" s="13" t="s">
        <v>363</v>
      </c>
      <c r="D176" s="13">
        <v>99</v>
      </c>
      <c r="E176" s="13">
        <v>100</v>
      </c>
      <c r="F176" s="3" t="s">
        <v>502</v>
      </c>
    </row>
    <row r="177" spans="1:6" x14ac:dyDescent="0.25">
      <c r="A177" s="46">
        <v>43574.756099537037</v>
      </c>
      <c r="B177" s="3" t="s">
        <v>38</v>
      </c>
      <c r="C177" s="13" t="s">
        <v>363</v>
      </c>
      <c r="D177" s="13">
        <v>1</v>
      </c>
      <c r="E177" s="13">
        <v>2</v>
      </c>
      <c r="F177" s="3" t="s">
        <v>502</v>
      </c>
    </row>
    <row r="178" spans="1:6" x14ac:dyDescent="0.25">
      <c r="A178" s="46">
        <v>43574.756180555552</v>
      </c>
      <c r="B178" s="3" t="s">
        <v>133</v>
      </c>
      <c r="C178" s="13" t="s">
        <v>363</v>
      </c>
      <c r="D178" s="13">
        <v>9</v>
      </c>
      <c r="E178" s="13">
        <v>10</v>
      </c>
      <c r="F178" s="3" t="s">
        <v>502</v>
      </c>
    </row>
    <row r="179" spans="1:6" x14ac:dyDescent="0.25">
      <c r="A179" s="46">
        <v>43574.756296296298</v>
      </c>
      <c r="B179" s="3" t="s">
        <v>90</v>
      </c>
      <c r="C179" s="13" t="s">
        <v>363</v>
      </c>
      <c r="D179" s="13">
        <v>-1</v>
      </c>
      <c r="E179" s="13">
        <v>0</v>
      </c>
      <c r="F179" s="3" t="s">
        <v>502</v>
      </c>
    </row>
    <row r="180" spans="1:6" x14ac:dyDescent="0.25">
      <c r="A180" s="46">
        <v>43574.75640046296</v>
      </c>
      <c r="B180" s="3" t="s">
        <v>46</v>
      </c>
      <c r="C180" s="13" t="s">
        <v>363</v>
      </c>
      <c r="D180" s="13">
        <v>15</v>
      </c>
      <c r="E180" s="13">
        <v>16</v>
      </c>
      <c r="F180" s="3" t="s">
        <v>502</v>
      </c>
    </row>
    <row r="181" spans="1:6" x14ac:dyDescent="0.25">
      <c r="A181" s="46">
        <v>43574.756585648145</v>
      </c>
      <c r="B181" s="3" t="s">
        <v>24</v>
      </c>
      <c r="C181" s="13" t="s">
        <v>363</v>
      </c>
      <c r="D181" s="13">
        <v>3</v>
      </c>
      <c r="E181" s="13">
        <v>4</v>
      </c>
      <c r="F181" s="3" t="s">
        <v>502</v>
      </c>
    </row>
    <row r="182" spans="1:6" x14ac:dyDescent="0.25">
      <c r="A182" s="46">
        <v>43574.756793981483</v>
      </c>
      <c r="B182" s="3" t="s">
        <v>27</v>
      </c>
      <c r="C182" s="13" t="s">
        <v>363</v>
      </c>
      <c r="D182" s="13">
        <v>8</v>
      </c>
      <c r="E182" s="13">
        <v>9</v>
      </c>
      <c r="F182" s="3" t="s">
        <v>502</v>
      </c>
    </row>
    <row r="183" spans="1:6" x14ac:dyDescent="0.25">
      <c r="A183" s="46">
        <v>43574.756944444445</v>
      </c>
      <c r="B183" s="3" t="s">
        <v>43</v>
      </c>
      <c r="C183" s="13" t="s">
        <v>363</v>
      </c>
      <c r="D183" s="13">
        <v>23</v>
      </c>
      <c r="E183" s="13">
        <v>24</v>
      </c>
      <c r="F183" s="3" t="s">
        <v>502</v>
      </c>
    </row>
    <row r="184" spans="1:6" x14ac:dyDescent="0.25">
      <c r="A184" s="46">
        <v>43574.757152777776</v>
      </c>
      <c r="B184" s="3" t="s">
        <v>49</v>
      </c>
      <c r="C184" s="13" t="s">
        <v>363</v>
      </c>
      <c r="D184" s="13">
        <v>0</v>
      </c>
      <c r="E184" s="13">
        <v>1</v>
      </c>
      <c r="F184" s="3" t="s">
        <v>502</v>
      </c>
    </row>
    <row r="185" spans="1:6" x14ac:dyDescent="0.25">
      <c r="A185" s="46">
        <v>43574.757256944446</v>
      </c>
      <c r="B185" s="3" t="s">
        <v>36</v>
      </c>
      <c r="C185" s="13" t="s">
        <v>363</v>
      </c>
      <c r="D185" s="13">
        <v>90</v>
      </c>
      <c r="E185" s="13">
        <v>91</v>
      </c>
      <c r="F185" s="3" t="s">
        <v>502</v>
      </c>
    </row>
    <row r="186" spans="1:6" x14ac:dyDescent="0.25">
      <c r="A186" s="46">
        <v>43576.402766203704</v>
      </c>
      <c r="B186" s="3" t="s">
        <v>508</v>
      </c>
      <c r="C186" s="13" t="s">
        <v>332</v>
      </c>
      <c r="D186" s="13">
        <v>0</v>
      </c>
      <c r="E186" s="13" t="s">
        <v>332</v>
      </c>
      <c r="F186" s="3" t="s">
        <v>524</v>
      </c>
    </row>
    <row r="187" spans="1:6" x14ac:dyDescent="0.25">
      <c r="A187" s="46">
        <v>43576.402766203704</v>
      </c>
      <c r="B187" s="3" t="s">
        <v>156</v>
      </c>
      <c r="C187" s="13" t="s">
        <v>332</v>
      </c>
      <c r="D187" s="13">
        <v>10</v>
      </c>
      <c r="E187" s="13">
        <v>10</v>
      </c>
      <c r="F187" s="3" t="s">
        <v>525</v>
      </c>
    </row>
    <row r="188" spans="1:6" x14ac:dyDescent="0.25">
      <c r="A188" s="46">
        <v>43576.402766203704</v>
      </c>
      <c r="B188" s="3" t="s">
        <v>511</v>
      </c>
      <c r="C188" s="13" t="s">
        <v>332</v>
      </c>
      <c r="D188" s="13">
        <v>0</v>
      </c>
      <c r="E188" s="13" t="s">
        <v>332</v>
      </c>
      <c r="F188" s="3" t="s">
        <v>524</v>
      </c>
    </row>
    <row r="189" spans="1:6" x14ac:dyDescent="0.25">
      <c r="A189" s="46">
        <v>43576.402766203704</v>
      </c>
      <c r="B189" s="3" t="s">
        <v>229</v>
      </c>
      <c r="C189" s="13" t="s">
        <v>332</v>
      </c>
      <c r="D189" s="13">
        <v>9</v>
      </c>
      <c r="E189" s="13">
        <v>9</v>
      </c>
      <c r="F189" s="3" t="s">
        <v>525</v>
      </c>
    </row>
    <row r="190" spans="1:6" x14ac:dyDescent="0.25">
      <c r="A190" s="46">
        <v>43576.402766203704</v>
      </c>
      <c r="B190" s="3" t="s">
        <v>514</v>
      </c>
      <c r="C190" s="13" t="s">
        <v>332</v>
      </c>
      <c r="D190" s="13">
        <v>0</v>
      </c>
      <c r="E190" s="13" t="s">
        <v>332</v>
      </c>
      <c r="F190" s="3" t="s">
        <v>524</v>
      </c>
    </row>
    <row r="191" spans="1:6" x14ac:dyDescent="0.25">
      <c r="A191" s="46">
        <v>43576.402766203704</v>
      </c>
      <c r="B191" s="3" t="s">
        <v>517</v>
      </c>
      <c r="C191" s="13" t="s">
        <v>332</v>
      </c>
      <c r="D191" s="13">
        <v>0</v>
      </c>
      <c r="E191" s="13" t="s">
        <v>332</v>
      </c>
      <c r="F191" s="3" t="s">
        <v>524</v>
      </c>
    </row>
    <row r="192" spans="1:6" x14ac:dyDescent="0.25">
      <c r="A192" s="46">
        <v>43576.402766203704</v>
      </c>
      <c r="B192" s="3" t="s">
        <v>520</v>
      </c>
      <c r="C192" s="13" t="s">
        <v>332</v>
      </c>
      <c r="D192" s="13">
        <v>0</v>
      </c>
      <c r="E192" s="13" t="s">
        <v>332</v>
      </c>
      <c r="F192" s="3" t="s">
        <v>524</v>
      </c>
    </row>
    <row r="193" spans="1:6" x14ac:dyDescent="0.25">
      <c r="A193" s="46">
        <v>43577.507824074077</v>
      </c>
      <c r="B193" s="3" t="s">
        <v>473</v>
      </c>
      <c r="C193" s="13"/>
      <c r="D193" s="13">
        <v>0</v>
      </c>
      <c r="E193" s="13"/>
      <c r="F193" s="3" t="s">
        <v>524</v>
      </c>
    </row>
    <row r="194" spans="1:6" x14ac:dyDescent="0.25">
      <c r="A194" s="46">
        <v>43577.737164351849</v>
      </c>
      <c r="B194" s="3" t="s">
        <v>201</v>
      </c>
      <c r="C194" s="13" t="s">
        <v>65</v>
      </c>
      <c r="D194" s="13" t="s">
        <v>65</v>
      </c>
      <c r="E194" s="13" t="s">
        <v>65</v>
      </c>
      <c r="F194" s="3" t="s">
        <v>391</v>
      </c>
    </row>
  </sheetData>
  <conditionalFormatting sqref="B40">
    <cfRule type="duplicateValues" dxfId="138" priority="6"/>
  </conditionalFormatting>
  <conditionalFormatting sqref="B41">
    <cfRule type="duplicateValues" dxfId="137" priority="5"/>
  </conditionalFormatting>
  <conditionalFormatting sqref="B42">
    <cfRule type="duplicateValues" dxfId="136" priority="4"/>
  </conditionalFormatting>
  <conditionalFormatting sqref="B43">
    <cfRule type="duplicateValues" dxfId="135" priority="3"/>
  </conditionalFormatting>
  <conditionalFormatting sqref="B44">
    <cfRule type="duplicateValues" dxfId="134" priority="2"/>
  </conditionalFormatting>
  <conditionalFormatting sqref="B45">
    <cfRule type="duplicateValues" dxfId="133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2:K15"/>
  <sheetViews>
    <sheetView workbookViewId="0">
      <selection activeCell="F16" sqref="F16"/>
    </sheetView>
  </sheetViews>
  <sheetFormatPr defaultRowHeight="15" x14ac:dyDescent="0.25"/>
  <cols>
    <col min="1" max="1" width="11.140625" customWidth="1"/>
    <col min="7" max="7" width="14.5703125" bestFit="1" customWidth="1"/>
    <col min="8" max="8" width="32.85546875" bestFit="1" customWidth="1"/>
    <col min="10" max="10" width="12.28515625" bestFit="1" customWidth="1"/>
    <col min="11" max="11" width="18.140625" bestFit="1" customWidth="1"/>
  </cols>
  <sheetData>
    <row r="2" spans="1:11" x14ac:dyDescent="0.25">
      <c r="B2" s="66" t="s">
        <v>498</v>
      </c>
      <c r="G2" s="19" t="s">
        <v>507</v>
      </c>
      <c r="J2" s="19" t="s">
        <v>506</v>
      </c>
    </row>
    <row r="3" spans="1:11" x14ac:dyDescent="0.25">
      <c r="B3" s="66"/>
      <c r="G3" s="20" t="s">
        <v>357</v>
      </c>
      <c r="H3" s="20" t="s">
        <v>2</v>
      </c>
      <c r="J3" s="20" t="s">
        <v>357</v>
      </c>
      <c r="K3" s="20" t="s">
        <v>2</v>
      </c>
    </row>
    <row r="4" spans="1:11" x14ac:dyDescent="0.25">
      <c r="G4" t="s">
        <v>372</v>
      </c>
      <c r="H4" t="s">
        <v>374</v>
      </c>
      <c r="J4" t="s">
        <v>378</v>
      </c>
      <c r="K4" t="s">
        <v>383</v>
      </c>
    </row>
    <row r="5" spans="1:11" x14ac:dyDescent="0.25">
      <c r="B5" s="66" t="s">
        <v>499</v>
      </c>
      <c r="G5" t="s">
        <v>371</v>
      </c>
      <c r="H5" t="s">
        <v>375</v>
      </c>
      <c r="J5" t="s">
        <v>379</v>
      </c>
      <c r="K5" t="s">
        <v>384</v>
      </c>
    </row>
    <row r="6" spans="1:11" x14ac:dyDescent="0.25">
      <c r="B6" s="66"/>
      <c r="G6" t="s">
        <v>444</v>
      </c>
      <c r="H6" t="s">
        <v>373</v>
      </c>
      <c r="J6" t="s">
        <v>380</v>
      </c>
      <c r="K6" t="s">
        <v>386</v>
      </c>
    </row>
    <row r="7" spans="1:11" x14ac:dyDescent="0.25">
      <c r="G7" t="s">
        <v>445</v>
      </c>
      <c r="H7" t="s">
        <v>448</v>
      </c>
      <c r="J7" t="s">
        <v>381</v>
      </c>
      <c r="K7" t="s">
        <v>455</v>
      </c>
    </row>
    <row r="8" spans="1:11" x14ac:dyDescent="0.25">
      <c r="B8" s="66" t="s">
        <v>500</v>
      </c>
      <c r="G8" t="s">
        <v>446</v>
      </c>
      <c r="H8" t="s">
        <v>376</v>
      </c>
      <c r="J8" t="s">
        <v>382</v>
      </c>
      <c r="K8" t="s">
        <v>456</v>
      </c>
    </row>
    <row r="9" spans="1:11" x14ac:dyDescent="0.25">
      <c r="B9" s="66"/>
      <c r="G9" t="s">
        <v>447</v>
      </c>
      <c r="H9" t="s">
        <v>377</v>
      </c>
      <c r="J9" t="s">
        <v>457</v>
      </c>
    </row>
    <row r="10" spans="1:11" x14ac:dyDescent="0.25">
      <c r="J10" t="s">
        <v>458</v>
      </c>
    </row>
    <row r="11" spans="1:11" x14ac:dyDescent="0.25">
      <c r="A11" s="44"/>
      <c r="B11" s="66" t="s">
        <v>501</v>
      </c>
      <c r="J11" t="s">
        <v>459</v>
      </c>
    </row>
    <row r="12" spans="1:11" x14ac:dyDescent="0.25">
      <c r="A12" s="44"/>
      <c r="B12" s="66"/>
      <c r="J12" t="s">
        <v>460</v>
      </c>
    </row>
    <row r="13" spans="1:11" x14ac:dyDescent="0.25">
      <c r="J13" t="s">
        <v>461</v>
      </c>
    </row>
    <row r="14" spans="1:11" x14ac:dyDescent="0.25">
      <c r="B14" s="66" t="s">
        <v>580</v>
      </c>
      <c r="J14" t="s">
        <v>462</v>
      </c>
    </row>
    <row r="15" spans="1:11" x14ac:dyDescent="0.25">
      <c r="B15" s="66"/>
    </row>
  </sheetData>
  <mergeCells count="5">
    <mergeCell ref="B11:B12"/>
    <mergeCell ref="B2:B3"/>
    <mergeCell ref="B5:B6"/>
    <mergeCell ref="B8:B9"/>
    <mergeCell ref="B14:B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btn_AddArticle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btn_EditArticles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btn_EditProduct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1]!btn_CreateOrder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1]!btn_ManageProductsArticles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AB105"/>
  <sheetViews>
    <sheetView tabSelected="1" zoomScaleNormal="100" workbookViewId="0">
      <pane ySplit="1" topLeftCell="A65" activePane="bottomLeft" state="frozen"/>
      <selection activeCell="F1" sqref="F1"/>
      <selection pane="bottomLeft" activeCell="F77" sqref="F77"/>
    </sheetView>
  </sheetViews>
  <sheetFormatPr defaultRowHeight="15" x14ac:dyDescent="0.25"/>
  <cols>
    <col min="1" max="1" width="26.85546875" style="4" bestFit="1" customWidth="1"/>
    <col min="2" max="2" width="38.85546875" style="4" bestFit="1" customWidth="1"/>
    <col min="3" max="3" width="11.140625" style="4" bestFit="1" customWidth="1"/>
    <col min="4" max="4" width="80.85546875" style="4" bestFit="1" customWidth="1"/>
    <col min="5" max="5" width="11.140625" style="4" bestFit="1" customWidth="1"/>
    <col min="6" max="6" width="10" style="49" bestFit="1" customWidth="1"/>
    <col min="7" max="7" width="14" style="49" bestFit="1" customWidth="1"/>
    <col min="8" max="8" width="13.140625" style="49" bestFit="1" customWidth="1"/>
    <col min="9" max="9" width="32.5703125" style="34" bestFit="1" customWidth="1"/>
    <col min="10" max="10" width="19.140625" style="61" bestFit="1" customWidth="1"/>
    <col min="11" max="11" width="17" style="34" bestFit="1" customWidth="1"/>
    <col min="12" max="12" width="32.5703125" style="17" bestFit="1" customWidth="1"/>
    <col min="13" max="13" width="20.42578125" style="52" bestFit="1" customWidth="1"/>
    <col min="14" max="14" width="9.42578125" style="17" bestFit="1" customWidth="1"/>
    <col min="15" max="15" width="20" style="52" bestFit="1" customWidth="1"/>
    <col min="16" max="16" width="11.140625" style="17" bestFit="1" customWidth="1"/>
    <col min="17" max="17" width="21.7109375" style="52" bestFit="1" customWidth="1"/>
    <col min="18" max="18" width="11.5703125" style="17" bestFit="1" customWidth="1"/>
    <col min="19" max="19" width="20.140625" style="52" bestFit="1" customWidth="1"/>
    <col min="20" max="20" width="10.140625" style="17" bestFit="1" customWidth="1"/>
    <col min="21" max="21" width="20.7109375" style="52" bestFit="1" customWidth="1"/>
    <col min="22" max="22" width="12.5703125" style="17" bestFit="1" customWidth="1"/>
    <col min="23" max="23" width="23.140625" style="52" bestFit="1" customWidth="1"/>
    <col min="24" max="24" width="12" style="17" bestFit="1" customWidth="1"/>
    <col min="25" max="25" width="22.5703125" style="52" bestFit="1" customWidth="1"/>
    <col min="26" max="26" width="8.42578125" style="33" bestFit="1" customWidth="1"/>
    <col min="27" max="27" width="18.85546875" style="61" bestFit="1" customWidth="1"/>
    <col min="28" max="28" width="14.7109375" bestFit="1" customWidth="1"/>
    <col min="29" max="29" width="17.140625" customWidth="1"/>
    <col min="30" max="30" width="10.28515625" bestFit="1" customWidth="1"/>
    <col min="35" max="35" width="10" bestFit="1" customWidth="1"/>
    <col min="36" max="36" width="12" bestFit="1" customWidth="1"/>
    <col min="37" max="37" width="14" bestFit="1" customWidth="1"/>
    <col min="38" max="38" width="17.140625" bestFit="1" customWidth="1"/>
  </cols>
  <sheetData>
    <row r="1" spans="1:28" s="58" customFormat="1" ht="15.75" thickBot="1" x14ac:dyDescent="0.3">
      <c r="A1" s="55" t="s">
        <v>484</v>
      </c>
      <c r="B1" s="55" t="s">
        <v>6</v>
      </c>
      <c r="C1" s="55" t="s">
        <v>351</v>
      </c>
      <c r="D1" s="55" t="s">
        <v>2</v>
      </c>
      <c r="E1" s="55" t="s">
        <v>545</v>
      </c>
      <c r="F1" s="55" t="s">
        <v>3</v>
      </c>
      <c r="G1" s="55" t="s">
        <v>452</v>
      </c>
      <c r="H1" s="55" t="s">
        <v>505</v>
      </c>
      <c r="I1" s="56" t="s">
        <v>503</v>
      </c>
      <c r="J1" s="54" t="s">
        <v>504</v>
      </c>
      <c r="K1" s="56" t="s">
        <v>528</v>
      </c>
      <c r="L1" s="57" t="s">
        <v>82</v>
      </c>
      <c r="M1" s="54" t="s">
        <v>534</v>
      </c>
      <c r="N1" s="57" t="s">
        <v>5</v>
      </c>
      <c r="O1" s="54" t="s">
        <v>535</v>
      </c>
      <c r="P1" s="57" t="s">
        <v>530</v>
      </c>
      <c r="Q1" s="54" t="s">
        <v>536</v>
      </c>
      <c r="R1" s="57" t="s">
        <v>529</v>
      </c>
      <c r="S1" s="54" t="s">
        <v>537</v>
      </c>
      <c r="T1" s="57" t="s">
        <v>531</v>
      </c>
      <c r="U1" s="54" t="s">
        <v>538</v>
      </c>
      <c r="V1" s="57" t="s">
        <v>532</v>
      </c>
      <c r="W1" s="54" t="s">
        <v>539</v>
      </c>
      <c r="X1" s="57" t="s">
        <v>88</v>
      </c>
      <c r="Y1" s="54" t="s">
        <v>540</v>
      </c>
      <c r="Z1" s="54" t="s">
        <v>533</v>
      </c>
      <c r="AA1" s="53" t="s">
        <v>541</v>
      </c>
      <c r="AB1" s="55" t="s">
        <v>493</v>
      </c>
    </row>
    <row r="2" spans="1:28" x14ac:dyDescent="0.25">
      <c r="A2" s="35" t="s">
        <v>117</v>
      </c>
      <c r="B2" s="36" t="s">
        <v>93</v>
      </c>
      <c r="C2" s="36" t="s">
        <v>352</v>
      </c>
      <c r="D2" s="36" t="s">
        <v>29</v>
      </c>
      <c r="E2" s="36" t="s">
        <v>550</v>
      </c>
      <c r="F2" s="62">
        <v>4</v>
      </c>
      <c r="G2" s="62">
        <v>0</v>
      </c>
      <c r="H2" s="62">
        <f>1</f>
        <v>1</v>
      </c>
      <c r="I2" s="37" t="str">
        <f t="array" ref="I2">IF(ISERROR(INDEX(Articles!$L9:$Y9, MATCH(FALSE, ISBLANK(Articles!$L9:$Y9),0))),"N/A",INDEX(Articles!$L9:$Y9, MATCH(FALSE, ISBLANK(Articles!$L9:$Y9),0)))</f>
        <v>90990</v>
      </c>
      <c r="J2" s="59">
        <f t="array" aca="1" ref="J2" ca="1">IF(ISERROR(OFFSET(INDEX(Articles!$L9:$AA9, MATCH(FALSE, ISBLANK(Articles!$L9:$AA9),0)),0,1)),"N/A",OFFSET(INDEX(Articles!$L9:$AA9, MATCH(FALSE, ISBLANK(Articles!$L9:$AA9),0)),0,1))</f>
        <v>13.1</v>
      </c>
      <c r="K2" s="37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2" s="35" t="s">
        <v>468</v>
      </c>
      <c r="M2" s="50">
        <v>0.91</v>
      </c>
      <c r="N2" s="35">
        <v>1162740</v>
      </c>
      <c r="O2" s="50">
        <v>0.505</v>
      </c>
      <c r="P2" s="35"/>
      <c r="Q2" s="50"/>
      <c r="R2" s="35"/>
      <c r="S2" s="50"/>
      <c r="T2" s="35"/>
      <c r="U2" s="50"/>
      <c r="V2" s="35"/>
      <c r="W2" s="50"/>
      <c r="X2" s="35"/>
      <c r="Y2" s="50">
        <v>0.505</v>
      </c>
      <c r="Z2" s="38"/>
      <c r="AA2" s="59"/>
      <c r="AB2" s="36" t="str">
        <f>IF(Articles!$H9=1,IF(Articles!$F9&lt;Articles!$G9,1,""),"")</f>
        <v/>
      </c>
    </row>
    <row r="3" spans="1:28" x14ac:dyDescent="0.25">
      <c r="A3" s="39" t="s">
        <v>31</v>
      </c>
      <c r="B3" s="40" t="s">
        <v>93</v>
      </c>
      <c r="C3" s="40" t="s">
        <v>352</v>
      </c>
      <c r="D3" s="40" t="s">
        <v>30</v>
      </c>
      <c r="E3" s="40" t="s">
        <v>550</v>
      </c>
      <c r="F3" s="63">
        <v>4</v>
      </c>
      <c r="G3" s="63">
        <v>0</v>
      </c>
      <c r="H3" s="63">
        <f>1</f>
        <v>1</v>
      </c>
      <c r="I3" s="41" t="str">
        <f t="array" ref="I3">IF(ISERROR(INDEX(Articles!$L10:$Y10, MATCH(FALSE, ISBLANK(Articles!$L10:$Y10),0))),"N/A",INDEX(Articles!$L10:$Y10, MATCH(FALSE, ISBLANK(Articles!$L10:$Y10),0)))</f>
        <v>377-2428-ND</v>
      </c>
      <c r="J3" s="60">
        <f t="array" aca="1" ref="J3" ca="1">IF(ISERROR(OFFSET(INDEX(Articles!$L10:$AA10, MATCH(FALSE, ISBLANK(Articles!$L10:$AA10),0)),0,1)),"N/A",OFFSET(INDEX(Articles!$L10:$AA10, MATCH(FALSE, ISBLANK(Articles!$L10:$AA10),0)),0,1))</f>
        <v>15.9</v>
      </c>
      <c r="K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3" s="39" t="s">
        <v>469</v>
      </c>
      <c r="M3" s="51">
        <v>1.27</v>
      </c>
      <c r="N3" s="39">
        <v>1829519</v>
      </c>
      <c r="O3" s="51">
        <v>0.78900000000000003</v>
      </c>
      <c r="P3" s="39"/>
      <c r="Q3" s="51"/>
      <c r="R3" s="39"/>
      <c r="S3" s="51"/>
      <c r="T3" s="39"/>
      <c r="U3" s="51"/>
      <c r="V3" s="39"/>
      <c r="W3" s="51"/>
      <c r="X3" s="39"/>
      <c r="Y3" s="51">
        <v>0.78900000000000003</v>
      </c>
      <c r="Z3" s="42"/>
      <c r="AA3" s="60"/>
      <c r="AB3" s="40" t="str">
        <f>IF(Articles!$H10=1,IF(Articles!$F10&lt;Articles!$G10,1,""),"")</f>
        <v/>
      </c>
    </row>
    <row r="4" spans="1:28" x14ac:dyDescent="0.25">
      <c r="A4" s="39" t="s">
        <v>367</v>
      </c>
      <c r="B4" s="40" t="s">
        <v>365</v>
      </c>
      <c r="C4" s="40" t="s">
        <v>352</v>
      </c>
      <c r="D4" s="40" t="s">
        <v>368</v>
      </c>
      <c r="E4" s="40" t="s">
        <v>550</v>
      </c>
      <c r="F4" s="63">
        <v>1</v>
      </c>
      <c r="G4" s="63">
        <v>0</v>
      </c>
      <c r="H4" s="63">
        <f>1</f>
        <v>1</v>
      </c>
      <c r="I4" s="41" t="str">
        <f t="array" ref="I4">IF(ISERROR(INDEX(Articles!$L23:$Y23, MATCH(FALSE, ISBLANK(Articles!$L23:$Y23),0))),"N/A",INDEX(Articles!$L23:$Y23, MATCH(FALSE, ISBLANK(Articles!$L23:$Y23),0)))</f>
        <v>WM50014-36-ND</v>
      </c>
      <c r="J4" s="60">
        <f t="array" aca="1" ref="J4" ca="1">IF(ISERROR(OFFSET(INDEX(Articles!$L23:$AA23, MATCH(FALSE, ISBLANK(Articles!$L23:$AA23),0)),0,1)),"N/A",OFFSET(INDEX(Articles!$L23:$AA23, MATCH(FALSE, ISBLANK(Articles!$L23:$AA23),0)),0,1))</f>
        <v>1.02</v>
      </c>
      <c r="K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Aliexpress</v>
      </c>
      <c r="L4" s="39"/>
      <c r="M4" s="51"/>
      <c r="N4" s="39"/>
      <c r="O4" s="51"/>
      <c r="P4" s="39"/>
      <c r="Q4" s="51"/>
      <c r="R4" s="39"/>
      <c r="S4" s="51"/>
      <c r="T4" s="39"/>
      <c r="U4" s="51"/>
      <c r="V4" s="39" t="s">
        <v>367</v>
      </c>
      <c r="W4" s="51">
        <v>1</v>
      </c>
      <c r="X4" s="39"/>
      <c r="Y4" s="51"/>
      <c r="Z4" s="42"/>
      <c r="AA4" s="60"/>
      <c r="AB4" s="40">
        <f>IF(Articles!$H23=1,IF(Articles!$F23&lt;Articles!$G23,1,""),"")</f>
        <v>1</v>
      </c>
    </row>
    <row r="5" spans="1:28" x14ac:dyDescent="0.25">
      <c r="A5" s="39" t="s">
        <v>18</v>
      </c>
      <c r="B5" s="40" t="s">
        <v>94</v>
      </c>
      <c r="C5" s="40" t="s">
        <v>393</v>
      </c>
      <c r="D5" s="40" t="s">
        <v>17</v>
      </c>
      <c r="E5" s="40" t="s">
        <v>570</v>
      </c>
      <c r="F5" s="63">
        <v>19</v>
      </c>
      <c r="G5" s="63">
        <v>0</v>
      </c>
      <c r="H5" s="63">
        <f>1</f>
        <v>1</v>
      </c>
      <c r="I5" s="41">
        <f t="array" ref="I5">IF(ISERROR(INDEX(Articles!$L65:$Y65, MATCH(FALSE, ISBLANK(Articles!$L65:$Y65),0))),"N/A",INDEX(Articles!$L65:$Y65, MATCH(FALSE, ISBLANK(Articles!$L65:$Y65),0)))</f>
        <v>1181876</v>
      </c>
      <c r="J5" s="60">
        <f t="array" aca="1" ref="J5" ca="1">IF(ISERROR(OFFSET(INDEX(Articles!$L65:$AA65, MATCH(FALSE, ISBLANK(Articles!$L65:$AA65),0)),0,1)),"N/A",OFFSET(INDEX(Articles!$L65:$AA65, MATCH(FALSE, ISBLANK(Articles!$L65:$AA65),0)),0,1))</f>
        <v>3.79</v>
      </c>
      <c r="K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5" s="39"/>
      <c r="M5" s="51"/>
      <c r="N5" s="39" t="s">
        <v>392</v>
      </c>
      <c r="O5" s="51">
        <v>0.246</v>
      </c>
      <c r="P5" s="39"/>
      <c r="Q5" s="51"/>
      <c r="R5" s="39"/>
      <c r="S5" s="51"/>
      <c r="T5" s="39"/>
      <c r="U5" s="51"/>
      <c r="V5" s="39"/>
      <c r="W5" s="51"/>
      <c r="X5" s="39"/>
      <c r="Y5" s="51">
        <v>0.246</v>
      </c>
      <c r="Z5" s="42"/>
      <c r="AA5" s="60"/>
      <c r="AB5" s="40" t="str">
        <f>IF(Articles!$H65=1,IF(Articles!$F65&lt;Articles!$G65,1,""),"")</f>
        <v/>
      </c>
    </row>
    <row r="6" spans="1:28" x14ac:dyDescent="0.25">
      <c r="A6" s="43" t="s">
        <v>101</v>
      </c>
      <c r="B6" s="40" t="s">
        <v>94</v>
      </c>
      <c r="C6" s="40" t="s">
        <v>394</v>
      </c>
      <c r="D6" s="40" t="s">
        <v>102</v>
      </c>
      <c r="E6" s="40" t="s">
        <v>570</v>
      </c>
      <c r="F6" s="63">
        <v>10</v>
      </c>
      <c r="G6" s="63">
        <v>0</v>
      </c>
      <c r="H6" s="63">
        <v>1</v>
      </c>
      <c r="I6" s="41" t="str">
        <f t="array" ref="I6">IF(ISERROR(INDEX(Articles!$L66:$Y66, MATCH(FALSE, ISBLANK(Articles!$L66:$Y66),0))),"N/A",INDEX(Articles!$L66:$Y66, MATCH(FALSE, ISBLANK(Articles!$L66:$Y66),0)))</f>
        <v>32710723814</v>
      </c>
      <c r="J6" s="60">
        <f t="array" aca="1" ref="J6" ca="1">IF(ISERROR(OFFSET(INDEX(Articles!$L66:$AA66, MATCH(FALSE, ISBLANK(Articles!$L66:$AA66),0)),0,1)),"N/A",OFFSET(INDEX(Articles!$L66:$AA66, MATCH(FALSE, ISBLANK(Articles!$L66:$AA66),0)),0,1))</f>
        <v>4.5999999999999996</v>
      </c>
      <c r="K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6" s="39"/>
      <c r="M6" s="51"/>
      <c r="N6" s="39" t="s">
        <v>103</v>
      </c>
      <c r="O6" s="51">
        <v>0.34</v>
      </c>
      <c r="P6" s="39"/>
      <c r="Q6" s="51"/>
      <c r="R6" s="39"/>
      <c r="S6" s="51"/>
      <c r="T6" s="39"/>
      <c r="U6" s="51"/>
      <c r="V6" s="39"/>
      <c r="W6" s="51"/>
      <c r="X6" s="39"/>
      <c r="Y6" s="51">
        <v>0.34</v>
      </c>
      <c r="Z6" s="42"/>
      <c r="AA6" s="60"/>
      <c r="AB6" s="40" t="str">
        <f>IF(Articles!$H66=1,IF(Articles!$F66&lt;Articles!$G66,1,""),"")</f>
        <v/>
      </c>
    </row>
    <row r="7" spans="1:28" x14ac:dyDescent="0.25">
      <c r="A7" s="39" t="s">
        <v>105</v>
      </c>
      <c r="B7" s="40" t="s">
        <v>94</v>
      </c>
      <c r="C7" s="40" t="s">
        <v>352</v>
      </c>
      <c r="D7" s="40" t="s">
        <v>104</v>
      </c>
      <c r="E7" s="40" t="s">
        <v>570</v>
      </c>
      <c r="F7" s="63">
        <v>5</v>
      </c>
      <c r="G7" s="63">
        <v>0</v>
      </c>
      <c r="H7" s="63">
        <v>1</v>
      </c>
      <c r="I7" s="41" t="str">
        <f t="array" ref="I7">IF(ISERROR(INDEX(Articles!$L67:$Y67, MATCH(FALSE, ISBLANK(Articles!$L67:$Y67),0))),"N/A",INDEX(Articles!$L67:$Y67, MATCH(FALSE, ISBLANK(Articles!$L67:$Y67),0)))</f>
        <v>32845056564</v>
      </c>
      <c r="J7" s="60">
        <f t="array" aca="1" ref="J7" ca="1">IF(ISERROR(OFFSET(INDEX(Articles!$L67:$AA67, MATCH(FALSE, ISBLANK(Articles!$L67:$AA67),0)),0,1)),"N/A",OFFSET(INDEX(Articles!$L67:$AA67, MATCH(FALSE, ISBLANK(Articles!$L67:$AA67),0)),0,1))</f>
        <v>1.1619999999999999</v>
      </c>
      <c r="K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7" s="39"/>
      <c r="M7" s="51"/>
      <c r="N7" s="39" t="s">
        <v>106</v>
      </c>
      <c r="O7" s="51">
        <v>0.44600000000000001</v>
      </c>
      <c r="P7" s="39"/>
      <c r="Q7" s="51"/>
      <c r="R7" s="39"/>
      <c r="S7" s="51"/>
      <c r="T7" s="39"/>
      <c r="U7" s="51"/>
      <c r="V7" s="39"/>
      <c r="W7" s="51"/>
      <c r="X7" s="39"/>
      <c r="Y7" s="51">
        <v>0.44600000000000001</v>
      </c>
      <c r="Z7" s="42"/>
      <c r="AA7" s="60"/>
      <c r="AB7" s="40" t="str">
        <f>IF(Articles!$H67=1,IF(Articles!$F67&lt;Articles!$G67,1,""),"")</f>
        <v/>
      </c>
    </row>
    <row r="8" spans="1:28" x14ac:dyDescent="0.25">
      <c r="A8" s="43" t="s">
        <v>100</v>
      </c>
      <c r="B8" s="40" t="s">
        <v>94</v>
      </c>
      <c r="C8" s="40" t="s">
        <v>395</v>
      </c>
      <c r="D8" s="40" t="s">
        <v>104</v>
      </c>
      <c r="E8" s="40" t="s">
        <v>570</v>
      </c>
      <c r="F8" s="63">
        <v>10</v>
      </c>
      <c r="G8" s="63">
        <v>0</v>
      </c>
      <c r="H8" s="63">
        <f>1</f>
        <v>1</v>
      </c>
      <c r="I8" s="41" t="str">
        <f t="array" ref="I8">IF(ISERROR(INDEX(Articles!$L68:$Y68, MATCH(FALSE, ISBLANK(Articles!$L68:$Y68),0))),"N/A",INDEX(Articles!$L68:$Y68, MATCH(FALSE, ISBLANK(Articles!$L68:$Y68),0)))</f>
        <v>32867696371</v>
      </c>
      <c r="J8" s="60">
        <f t="array" aca="1" ref="J8" ca="1">IF(ISERROR(OFFSET(INDEX(Articles!$L68:$AA68, MATCH(FALSE, ISBLANK(Articles!$L68:$AA68),0)),0,1)),"N/A",OFFSET(INDEX(Articles!$L68:$AA68, MATCH(FALSE, ISBLANK(Articles!$L68:$AA68),0)),0,1))</f>
        <v>7.46</v>
      </c>
      <c r="K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8" s="39"/>
      <c r="M8" s="51"/>
      <c r="N8" s="39" t="s">
        <v>99</v>
      </c>
      <c r="O8" s="51">
        <v>0.44600000000000001</v>
      </c>
      <c r="P8" s="39"/>
      <c r="Q8" s="51"/>
      <c r="R8" s="39"/>
      <c r="S8" s="51"/>
      <c r="T8" s="39"/>
      <c r="U8" s="51"/>
      <c r="V8" s="39"/>
      <c r="W8" s="51"/>
      <c r="X8" s="39"/>
      <c r="Y8" s="51">
        <v>0.44600000000000001</v>
      </c>
      <c r="Z8" s="42"/>
      <c r="AA8" s="60"/>
      <c r="AB8" s="40" t="str">
        <f>IF(Articles!$H68=1,IF(Articles!$F68&lt;Articles!$G68,1,""),"")</f>
        <v/>
      </c>
    </row>
    <row r="9" spans="1:28" x14ac:dyDescent="0.25">
      <c r="A9" s="39" t="s">
        <v>201</v>
      </c>
      <c r="B9" s="40" t="s">
        <v>65</v>
      </c>
      <c r="C9" s="40" t="s">
        <v>352</v>
      </c>
      <c r="D9" s="40" t="s">
        <v>390</v>
      </c>
      <c r="E9" s="40" t="s">
        <v>586</v>
      </c>
      <c r="F9" s="63">
        <v>1</v>
      </c>
      <c r="G9" s="63">
        <v>1</v>
      </c>
      <c r="H9" s="63">
        <v>1</v>
      </c>
      <c r="I9" s="41" t="str">
        <f t="array" ref="I9">IF(ISERROR(INDEX(Articles!$L2:$Y2, MATCH(FALSE, ISBLANK(Articles!$L2:$Y2),0))),"N/A",INDEX(Articles!$L2:$Y2, MATCH(FALSE, ISBLANK(Articles!$L2:$Y2),0)))</f>
        <v>486-1258-ND</v>
      </c>
      <c r="J9" s="60">
        <f t="array" aca="1" ref="J9" ca="1">IF(ISERROR(OFFSET(INDEX(Articles!$L2:$AA2, MATCH(FALSE, ISBLANK(Articles!$L2:$AA2),0)),0,1)),"N/A",OFFSET(INDEX(Articles!$L2:$AA2, MATCH(FALSE, ISBLANK(Articles!$L2:$AA2),0)),0,1))</f>
        <v>0.91</v>
      </c>
      <c r="K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Banggood</v>
      </c>
      <c r="L9" s="39"/>
      <c r="M9" s="51"/>
      <c r="N9" s="39"/>
      <c r="O9" s="51"/>
      <c r="P9" s="39"/>
      <c r="Q9" s="51"/>
      <c r="R9" s="39"/>
      <c r="S9" s="51"/>
      <c r="T9" s="39"/>
      <c r="U9" s="51"/>
      <c r="V9" s="39"/>
      <c r="W9" s="51"/>
      <c r="X9" s="39" t="s">
        <v>201</v>
      </c>
      <c r="Y9" s="51">
        <v>13.1</v>
      </c>
      <c r="Z9" s="42"/>
      <c r="AA9" s="60"/>
      <c r="AB9" s="40" t="str">
        <f>IF(Articles!$H2=1,IF(Articles!$F2&lt;Articles!$G2,1,""),"")</f>
        <v/>
      </c>
    </row>
    <row r="10" spans="1:28" x14ac:dyDescent="0.25">
      <c r="A10" s="40" t="s">
        <v>158</v>
      </c>
      <c r="B10" s="40" t="s">
        <v>95</v>
      </c>
      <c r="C10" s="40" t="s">
        <v>352</v>
      </c>
      <c r="D10" s="40" t="s">
        <v>66</v>
      </c>
      <c r="E10" s="40" t="s">
        <v>573</v>
      </c>
      <c r="F10" s="63">
        <v>1</v>
      </c>
      <c r="G10" s="63">
        <v>1</v>
      </c>
      <c r="H10" s="63">
        <f>1</f>
        <v>1</v>
      </c>
      <c r="I10" s="41" t="str">
        <f t="array" ref="I10">IF(ISERROR(INDEX(Articles!$L83:$Y83, MATCH(FALSE, ISBLANK(Articles!$L83:$Y83),0))),"N/A",INDEX(Articles!$L83:$Y83, MATCH(FALSE, ISBLANK(Articles!$L83:$Y83),0)))</f>
        <v>541-4131-1-ND</v>
      </c>
      <c r="J10" s="60">
        <f t="array" aca="1" ref="J10" ca="1">IF(ISERROR(OFFSET(INDEX(Articles!$L83:$AA83, MATCH(FALSE, ISBLANK(Articles!$L83:$AA83),0)),0,1)),"N/A",OFFSET(INDEX(Articles!$L83:$AA83, MATCH(FALSE, ISBLANK(Articles!$L83:$AA83),0)),0,1))</f>
        <v>1.95E-2</v>
      </c>
      <c r="K1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0" s="39" t="s">
        <v>64</v>
      </c>
      <c r="M10" s="51">
        <v>15.9</v>
      </c>
      <c r="N10" s="39"/>
      <c r="O10" s="51"/>
      <c r="P10" s="39"/>
      <c r="Q10" s="51"/>
      <c r="R10" s="39"/>
      <c r="S10" s="51"/>
      <c r="T10" s="39"/>
      <c r="U10" s="51"/>
      <c r="V10" s="39"/>
      <c r="W10" s="51"/>
      <c r="X10" s="39"/>
      <c r="Y10" s="51"/>
      <c r="Z10" s="42"/>
      <c r="AA10" s="60"/>
      <c r="AB10" s="40">
        <f>IF(Articles!$H83=1,IF(Articles!$F83&lt;Articles!$G83,1,""),"")</f>
        <v>1</v>
      </c>
    </row>
    <row r="11" spans="1:28" x14ac:dyDescent="0.25">
      <c r="A11" s="64" t="s">
        <v>508</v>
      </c>
      <c r="B11" s="40" t="s">
        <v>80</v>
      </c>
      <c r="C11" s="40" t="s">
        <v>352</v>
      </c>
      <c r="D11" s="40" t="s">
        <v>510</v>
      </c>
      <c r="E11" s="40" t="s">
        <v>578</v>
      </c>
      <c r="F11" s="63">
        <v>0</v>
      </c>
      <c r="G11" s="63">
        <v>3</v>
      </c>
      <c r="H11" s="63">
        <f>1</f>
        <v>1</v>
      </c>
      <c r="I11" s="41" t="str">
        <f t="array" ref="I11">IF(ISERROR(INDEX(Articles!$L101:$Y101, MATCH(FALSE, ISBLANK(Articles!$L101:$Y101),0))),"N/A",INDEX(Articles!$L101:$Y101, MATCH(FALSE, ISBLANK(Articles!$L101:$Y101),0)))</f>
        <v>FDN337NCT-ND</v>
      </c>
      <c r="J11" s="60">
        <f t="array" aca="1" ref="J11" ca="1">IF(ISERROR(OFFSET(INDEX(Articles!$L101:$AA101, MATCH(FALSE, ISBLANK(Articles!$L101:$AA101),0)),0,1)),"N/A",OFFSET(INDEX(Articles!$L101:$AA101, MATCH(FALSE, ISBLANK(Articles!$L101:$AA101),0)),0,1))</f>
        <v>0.55000000000000004</v>
      </c>
      <c r="K1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1" s="39" t="s">
        <v>509</v>
      </c>
      <c r="M11" s="51">
        <v>2</v>
      </c>
      <c r="N11" s="39"/>
      <c r="O11" s="51"/>
      <c r="P11" s="39"/>
      <c r="Q11" s="51"/>
      <c r="R11" s="39"/>
      <c r="S11" s="51"/>
      <c r="T11" s="39"/>
      <c r="U11" s="51"/>
      <c r="V11" s="39"/>
      <c r="W11" s="51"/>
      <c r="X11" s="39"/>
      <c r="Y11" s="51"/>
      <c r="Z11" s="42"/>
      <c r="AA11" s="60"/>
      <c r="AB11" s="40" t="str">
        <f>IF(Articles!$H101=1,IF(Articles!$F101&lt;Articles!$G101,1,""),"")</f>
        <v/>
      </c>
    </row>
    <row r="12" spans="1:28" x14ac:dyDescent="0.25">
      <c r="A12" s="40" t="s">
        <v>77</v>
      </c>
      <c r="B12" s="40" t="s">
        <v>76</v>
      </c>
      <c r="C12" s="40" t="s">
        <v>352</v>
      </c>
      <c r="D12" s="40" t="s">
        <v>75</v>
      </c>
      <c r="E12" s="40" t="s">
        <v>562</v>
      </c>
      <c r="F12" s="63">
        <v>1</v>
      </c>
      <c r="G12" s="63">
        <v>0</v>
      </c>
      <c r="H12" s="63">
        <f>1</f>
        <v>1</v>
      </c>
      <c r="I12" s="41">
        <f t="array" ref="I12">IF(ISERROR(INDEX(Articles!$L35:$Y35, MATCH(FALSE, ISBLANK(Articles!$L35:$Y35),0))),"N/A",INDEX(Articles!$L35:$Y35, MATCH(FALSE, ISBLANK(Articles!$L35:$Y35),0)))</f>
        <v>2461217</v>
      </c>
      <c r="J12" s="60">
        <f t="array" aca="1" ref="J12" ca="1">IF(ISERROR(OFFSET(INDEX(Articles!$L35:$AA35, MATCH(FALSE, ISBLANK(Articles!$L35:$AA35),0)),0,1)),"N/A",OFFSET(INDEX(Articles!$L35:$AA35, MATCH(FALSE, ISBLANK(Articles!$L35:$AA35),0)),0,1))</f>
        <v>0.20200000000000001</v>
      </c>
      <c r="K1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2" s="39" t="s">
        <v>74</v>
      </c>
      <c r="M12" s="51">
        <v>2.98</v>
      </c>
      <c r="N12" s="39"/>
      <c r="O12" s="51"/>
      <c r="P12" s="39"/>
      <c r="Q12" s="51"/>
      <c r="R12" s="39"/>
      <c r="S12" s="51"/>
      <c r="T12" s="39"/>
      <c r="U12" s="51"/>
      <c r="V12" s="39"/>
      <c r="W12" s="51"/>
      <c r="X12" s="39"/>
      <c r="Y12" s="51"/>
      <c r="Z12" s="42"/>
      <c r="AA12" s="60"/>
      <c r="AB12" s="40" t="str">
        <f>IF(Articles!$H35=1,IF(Articles!$F35&lt;Articles!$G35,1,""),"")</f>
        <v/>
      </c>
    </row>
    <row r="13" spans="1:28" x14ac:dyDescent="0.25">
      <c r="A13" s="39" t="s">
        <v>335</v>
      </c>
      <c r="B13" s="40" t="s">
        <v>336</v>
      </c>
      <c r="C13" s="40" t="s">
        <v>352</v>
      </c>
      <c r="D13" s="40" t="s">
        <v>337</v>
      </c>
      <c r="E13" s="40" t="s">
        <v>567</v>
      </c>
      <c r="F13" s="63">
        <v>0</v>
      </c>
      <c r="G13" s="63">
        <v>0</v>
      </c>
      <c r="H13" s="63">
        <f>1</f>
        <v>1</v>
      </c>
      <c r="I13" s="41" t="str">
        <f t="array" ref="I13">IF(ISERROR(INDEX(Articles!$L55:$Y55, MATCH(FALSE, ISBLANK(Articles!$L55:$Y55),0))),"N/A",INDEX(Articles!$L55:$Y55, MATCH(FALSE, ISBLANK(Articles!$L55:$Y55),0)))</f>
        <v>VEML6040A3OGCT-ND</v>
      </c>
      <c r="J13" s="60">
        <f t="array" aca="1" ref="J13" ca="1">IF(ISERROR(OFFSET(INDEX(Articles!$L55:$AA55, MATCH(FALSE, ISBLANK(Articles!$L55:$AA55),0)),0,1)),"N/A",OFFSET(INDEX(Articles!$L55:$AA55, MATCH(FALSE, ISBLANK(Articles!$L55:$AA55),0)),0,1))</f>
        <v>2.52</v>
      </c>
      <c r="K1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Distrelec</v>
      </c>
      <c r="L13" s="39"/>
      <c r="M13" s="51"/>
      <c r="N13" s="39"/>
      <c r="O13" s="51"/>
      <c r="P13" s="39" t="s">
        <v>334</v>
      </c>
      <c r="Q13" s="51">
        <v>24.6</v>
      </c>
      <c r="R13" s="39"/>
      <c r="S13" s="51"/>
      <c r="T13" s="39"/>
      <c r="U13" s="51"/>
      <c r="V13" s="39"/>
      <c r="W13" s="51"/>
      <c r="X13" s="39"/>
      <c r="Y13" s="51"/>
      <c r="Z13" s="42"/>
      <c r="AA13" s="60"/>
      <c r="AB13" s="40" t="str">
        <f>IF(Articles!$H55=1,IF(Articles!$F55&lt;Articles!$G55,1,""),"")</f>
        <v/>
      </c>
    </row>
    <row r="14" spans="1:28" x14ac:dyDescent="0.25">
      <c r="A14" s="39" t="s">
        <v>526</v>
      </c>
      <c r="B14" s="40" t="s">
        <v>258</v>
      </c>
      <c r="C14" s="40" t="s">
        <v>352</v>
      </c>
      <c r="D14" s="40" t="s">
        <v>268</v>
      </c>
      <c r="E14" s="40" t="s">
        <v>551</v>
      </c>
      <c r="F14" s="63">
        <v>4</v>
      </c>
      <c r="G14" s="63">
        <v>0</v>
      </c>
      <c r="H14" s="63">
        <f>1</f>
        <v>1</v>
      </c>
      <c r="I14" s="41" t="str">
        <f t="array" ref="I14">IF(ISERROR(INDEX(Articles!$L8:$Y8, MATCH(FALSE, ISBLANK(Articles!$L8:$Y8),0))),"N/A",INDEX(Articles!$L8:$Y8, MATCH(FALSE, ISBLANK(Articles!$L8:$Y8),0)))</f>
        <v>8540861</v>
      </c>
      <c r="J14" s="60">
        <f t="array" aca="1" ref="J14" ca="1">IF(ISERROR(OFFSET(INDEX(Articles!$L8:$AA8, MATCH(FALSE, ISBLANK(Articles!$L8:$AA8),0)),0,1)),"N/A",OFFSET(INDEX(Articles!$L8:$AA8, MATCH(FALSE, ISBLANK(Articles!$L8:$AA8),0)),0,1))</f>
        <v>0.44600000000000001</v>
      </c>
      <c r="K1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4" s="39" t="s">
        <v>267</v>
      </c>
      <c r="M14" s="51">
        <v>0.43</v>
      </c>
      <c r="N14" s="39"/>
      <c r="O14" s="51"/>
      <c r="P14" s="39"/>
      <c r="Q14" s="51"/>
      <c r="R14" s="39"/>
      <c r="S14" s="51"/>
      <c r="T14" s="39"/>
      <c r="U14" s="51"/>
      <c r="V14" s="39"/>
      <c r="W14" s="51"/>
      <c r="X14" s="39"/>
      <c r="Y14" s="51"/>
      <c r="Z14" s="42"/>
      <c r="AA14" s="60"/>
      <c r="AB14" s="40" t="str">
        <f>IF(Articles!$H8=1,IF(Articles!$F8&lt;Articles!$G8,1,""),"")</f>
        <v/>
      </c>
    </row>
    <row r="15" spans="1:28" x14ac:dyDescent="0.25">
      <c r="A15" s="39" t="s">
        <v>242</v>
      </c>
      <c r="B15" s="40" t="s">
        <v>243</v>
      </c>
      <c r="C15" s="40" t="s">
        <v>352</v>
      </c>
      <c r="D15" s="40" t="s">
        <v>244</v>
      </c>
      <c r="E15" s="40" t="s">
        <v>551</v>
      </c>
      <c r="F15" s="63">
        <v>17</v>
      </c>
      <c r="G15" s="63">
        <v>20</v>
      </c>
      <c r="H15" s="63">
        <f>1</f>
        <v>1</v>
      </c>
      <c r="I15" s="41" t="str">
        <f t="array" ref="I15">IF(ISERROR(INDEX(Articles!$L40:$Y40, MATCH(FALSE, ISBLANK(Articles!$L40:$Y40),0))),"N/A",INDEX(Articles!$L40:$Y40, MATCH(FALSE, ISBLANK(Articles!$L40:$Y40),0)))</f>
        <v>MCP121T-315E/TTCT-ND</v>
      </c>
      <c r="J15" s="60">
        <f t="array" aca="1" ref="J15" ca="1">IF(ISERROR(OFFSET(INDEX(Articles!$L40:$AA40, MATCH(FALSE, ISBLANK(Articles!$L40:$AA40),0)),0,1)),"N/A",OFFSET(INDEX(Articles!$L40:$AA40, MATCH(FALSE, ISBLANK(Articles!$L40:$AA40),0)),0,1))</f>
        <v>0.52</v>
      </c>
      <c r="K1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5" s="39" t="s">
        <v>241</v>
      </c>
      <c r="M15" s="51">
        <v>0.27</v>
      </c>
      <c r="N15" s="39"/>
      <c r="O15" s="51"/>
      <c r="P15" s="39"/>
      <c r="Q15" s="51"/>
      <c r="R15" s="39"/>
      <c r="S15" s="51"/>
      <c r="T15" s="39"/>
      <c r="U15" s="51"/>
      <c r="V15" s="39"/>
      <c r="W15" s="51"/>
      <c r="X15" s="39"/>
      <c r="Y15" s="51"/>
      <c r="Z15" s="42"/>
      <c r="AA15" s="60"/>
      <c r="AB15" s="40" t="str">
        <f>IF(Articles!$H40=1,IF(Articles!$F40&lt;Articles!$G40,1,""),"")</f>
        <v/>
      </c>
    </row>
    <row r="16" spans="1:28" x14ac:dyDescent="0.25">
      <c r="A16" s="39" t="s">
        <v>14</v>
      </c>
      <c r="B16" s="40" t="s">
        <v>33</v>
      </c>
      <c r="C16" s="40" t="s">
        <v>352</v>
      </c>
      <c r="D16" s="40" t="s">
        <v>13</v>
      </c>
      <c r="E16" s="40" t="s">
        <v>551</v>
      </c>
      <c r="F16" s="63">
        <v>49</v>
      </c>
      <c r="G16" s="63">
        <v>20</v>
      </c>
      <c r="H16" s="63">
        <f>1</f>
        <v>1</v>
      </c>
      <c r="I16" s="41" t="str">
        <f t="array" ref="I16">IF(ISERROR(INDEX(Articles!$L59:$Y59, MATCH(FALSE, ISBLANK(Articles!$L59:$Y59),0))),"N/A",INDEX(Articles!$L59:$Y59, MATCH(FALSE, ISBLANK(Articles!$L59:$Y59),0)))</f>
        <v>PIC16LF1827-I/P-ND</v>
      </c>
      <c r="J16" s="60">
        <f t="array" aca="1" ref="J16" ca="1">IF(ISERROR(OFFSET(INDEX(Articles!$L59:$AA59, MATCH(FALSE, ISBLANK(Articles!$L59:$AA59),0)),0,1)),"N/A",OFFSET(INDEX(Articles!$L59:$AA59, MATCH(FALSE, ISBLANK(Articles!$L59:$AA59),0)),0,1))</f>
        <v>1.57</v>
      </c>
      <c r="K1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16" s="39"/>
      <c r="M16" s="51"/>
      <c r="N16" s="39">
        <v>9451242</v>
      </c>
      <c r="O16" s="51">
        <v>5.1700000000000003E-2</v>
      </c>
      <c r="P16" s="39"/>
      <c r="Q16" s="51"/>
      <c r="R16" s="39"/>
      <c r="S16" s="51"/>
      <c r="T16" s="39"/>
      <c r="U16" s="51"/>
      <c r="V16" s="39"/>
      <c r="W16" s="51"/>
      <c r="X16" s="39"/>
      <c r="Y16" s="51">
        <v>5.1700000000000003E-2</v>
      </c>
      <c r="Z16" s="42"/>
      <c r="AA16" s="60"/>
      <c r="AB16" s="40" t="str">
        <f>IF(Articles!$H59=1,IF(Articles!$F59&lt;Articles!$G59,1,""),"")</f>
        <v/>
      </c>
    </row>
    <row r="17" spans="1:28" x14ac:dyDescent="0.25">
      <c r="A17" s="39" t="s">
        <v>12</v>
      </c>
      <c r="B17" s="40" t="s">
        <v>33</v>
      </c>
      <c r="C17" s="40" t="s">
        <v>426</v>
      </c>
      <c r="D17" s="40" t="s">
        <v>11</v>
      </c>
      <c r="E17" s="40" t="s">
        <v>551</v>
      </c>
      <c r="F17" s="63">
        <v>48</v>
      </c>
      <c r="G17" s="63">
        <v>20</v>
      </c>
      <c r="H17" s="63">
        <f>1</f>
        <v>1</v>
      </c>
      <c r="I17" s="41" t="str">
        <f t="array" ref="I17">IF(ISERROR(INDEX(Articles!$L60:$Y60, MATCH(FALSE, ISBLANK(Articles!$L60:$Y60),0))),"N/A",INDEX(Articles!$L60:$Y60, MATCH(FALSE, ISBLANK(Articles!$L60:$Y60),0)))</f>
        <v>PIC16LF1827-I/SS-ND</v>
      </c>
      <c r="J17" s="60">
        <f t="array" aca="1" ref="J17" ca="1">IF(ISERROR(OFFSET(INDEX(Articles!$L60:$AA60, MATCH(FALSE, ISBLANK(Articles!$L60:$AA60),0)),0,1)),"N/A",OFFSET(INDEX(Articles!$L60:$AA60, MATCH(FALSE, ISBLANK(Articles!$L60:$AA60),0)),0,1))</f>
        <v>1.47</v>
      </c>
      <c r="K1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17" s="39"/>
      <c r="M17" s="51"/>
      <c r="N17" s="39" t="s">
        <v>163</v>
      </c>
      <c r="O17" s="51">
        <v>5.0900000000000001E-2</v>
      </c>
      <c r="P17" s="39"/>
      <c r="Q17" s="51"/>
      <c r="R17" s="39"/>
      <c r="S17" s="51"/>
      <c r="T17" s="39"/>
      <c r="U17" s="51"/>
      <c r="V17" s="39"/>
      <c r="W17" s="51"/>
      <c r="X17" s="39"/>
      <c r="Y17" s="51">
        <v>5.0900000000000001E-2</v>
      </c>
      <c r="Z17" s="42"/>
      <c r="AA17" s="60"/>
      <c r="AB17" s="40" t="str">
        <f>IF(Articles!$H60=1,IF(Articles!$F60&lt;Articles!$G60,1,""),"")</f>
        <v/>
      </c>
    </row>
    <row r="18" spans="1:28" x14ac:dyDescent="0.25">
      <c r="A18" s="39" t="s">
        <v>36</v>
      </c>
      <c r="B18" s="40" t="s">
        <v>42</v>
      </c>
      <c r="C18" s="40" t="s">
        <v>425</v>
      </c>
      <c r="D18" s="40" t="s">
        <v>35</v>
      </c>
      <c r="E18" s="40" t="s">
        <v>551</v>
      </c>
      <c r="F18" s="63">
        <v>92</v>
      </c>
      <c r="G18" s="63">
        <v>100</v>
      </c>
      <c r="H18" s="63">
        <f>1</f>
        <v>1</v>
      </c>
      <c r="I18" s="41" t="str">
        <f t="array" ref="I18">IF(ISERROR(INDEX(Articles!$L97:$Y97, MATCH(FALSE, ISBLANK(Articles!$L97:$Y97),0))),"N/A",INDEX(Articles!$L97:$Y97, MATCH(FALSE, ISBLANK(Articles!$L97:$Y97),0)))</f>
        <v>1-1825059-3-ND</v>
      </c>
      <c r="J18" s="60">
        <f t="array" aca="1" ref="J18" ca="1">IF(ISERROR(OFFSET(INDEX(Articles!$L97:$AA97, MATCH(FALSE, ISBLANK(Articles!$L97:$AA97),0)),0,1)),"N/A",OFFSET(INDEX(Articles!$L97:$AA97, MATCH(FALSE, ISBLANK(Articles!$L97:$AA97),0)),0,1))</f>
        <v>0.85</v>
      </c>
      <c r="K1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8" s="39" t="s">
        <v>482</v>
      </c>
      <c r="M18" s="51">
        <v>0.42</v>
      </c>
      <c r="N18" s="39" t="s">
        <v>424</v>
      </c>
      <c r="O18" s="51">
        <v>0.106</v>
      </c>
      <c r="P18" s="39"/>
      <c r="Q18" s="51"/>
      <c r="R18" s="39"/>
      <c r="S18" s="51"/>
      <c r="T18" s="39"/>
      <c r="U18" s="51"/>
      <c r="V18" s="39"/>
      <c r="W18" s="51"/>
      <c r="X18" s="39"/>
      <c r="Y18" s="51">
        <v>0.106</v>
      </c>
      <c r="Z18" s="42"/>
      <c r="AA18" s="60"/>
      <c r="AB18" s="40" t="str">
        <f>IF(Articles!$H97=1,IF(Articles!$F97&lt;Articles!$G97,1,""),"")</f>
        <v/>
      </c>
    </row>
    <row r="19" spans="1:28" x14ac:dyDescent="0.25">
      <c r="A19" s="40" t="s">
        <v>156</v>
      </c>
      <c r="B19" s="40" t="s">
        <v>162</v>
      </c>
      <c r="C19" s="40" t="s">
        <v>352</v>
      </c>
      <c r="D19" s="40" t="s">
        <v>157</v>
      </c>
      <c r="E19" s="40" t="s">
        <v>557</v>
      </c>
      <c r="F19" s="63">
        <v>10</v>
      </c>
      <c r="G19" s="63">
        <v>2</v>
      </c>
      <c r="H19" s="63">
        <f>1</f>
        <v>1</v>
      </c>
      <c r="I19" s="41" t="str">
        <f t="array" ref="I19">IF(ISERROR(INDEX(Articles!$L12:$Y12, MATCH(FALSE, ISBLANK(Articles!$L12:$Y12),0))),"N/A",INDEX(Articles!$L12:$Y12, MATCH(FALSE, ISBLANK(Articles!$L12:$Y12),0)))</f>
        <v>668-1204-ND</v>
      </c>
      <c r="J19" s="60">
        <f t="array" aca="1" ref="J19" ca="1">IF(ISERROR(OFFSET(INDEX(Articles!$L12:$AA12, MATCH(FALSE, ISBLANK(Articles!$L12:$AA12),0)),0,1)),"N/A",OFFSET(INDEX(Articles!$L12:$AA12, MATCH(FALSE, ISBLANK(Articles!$L12:$AA12),0)),0,1))</f>
        <v>2.98</v>
      </c>
      <c r="K1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9" s="39" t="s">
        <v>155</v>
      </c>
      <c r="M19" s="51">
        <v>0.66500000000000004</v>
      </c>
      <c r="N19" s="39"/>
      <c r="O19" s="51"/>
      <c r="P19" s="39"/>
      <c r="Q19" s="51"/>
      <c r="R19" s="39"/>
      <c r="S19" s="51"/>
      <c r="T19" s="39"/>
      <c r="U19" s="51"/>
      <c r="V19" s="39"/>
      <c r="W19" s="51"/>
      <c r="X19" s="39"/>
      <c r="Y19" s="51"/>
      <c r="Z19" s="42"/>
      <c r="AA19" s="60"/>
      <c r="AB19" s="40" t="str">
        <f>IF(Articles!$H12=1,IF(Articles!$F12&lt;Articles!$G12,1,""),"")</f>
        <v/>
      </c>
    </row>
    <row r="20" spans="1:28" x14ac:dyDescent="0.25">
      <c r="A20" s="39">
        <v>965083</v>
      </c>
      <c r="B20" s="40" t="s">
        <v>65</v>
      </c>
      <c r="C20" s="40" t="s">
        <v>352</v>
      </c>
      <c r="D20" s="40" t="s">
        <v>87</v>
      </c>
      <c r="E20" s="40" t="s">
        <v>547</v>
      </c>
      <c r="F20" s="63">
        <v>2</v>
      </c>
      <c r="G20" s="63">
        <v>1</v>
      </c>
      <c r="H20" s="63">
        <f>1</f>
        <v>1</v>
      </c>
      <c r="I20" s="41" t="str">
        <f t="array" ref="I20">IF(ISERROR(INDEX(Articles!$L4:$Y4, MATCH(FALSE, ISBLANK(Articles!$L4:$Y4),0))),"N/A",INDEX(Articles!$L4:$Y4, MATCH(FALSE, ISBLANK(Articles!$L4:$Y4),0)))</f>
        <v>32673925190</v>
      </c>
      <c r="J20" s="60">
        <f t="array" aca="1" ref="J20" ca="1">IF(ISERROR(OFFSET(INDEX(Articles!$L4:$AA4, MATCH(FALSE, ISBLANK(Articles!$L4:$AA4),0)),0,1)),"N/A",OFFSET(INDEX(Articles!$L4:$AA4, MATCH(FALSE, ISBLANK(Articles!$L4:$AA4),0)),0,1))</f>
        <v>1</v>
      </c>
      <c r="K2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Banggood</v>
      </c>
      <c r="L20" s="39"/>
      <c r="M20" s="51"/>
      <c r="N20" s="39"/>
      <c r="O20" s="51"/>
      <c r="P20" s="39"/>
      <c r="Q20" s="51"/>
      <c r="R20" s="39"/>
      <c r="S20" s="51"/>
      <c r="T20" s="39"/>
      <c r="U20" s="51"/>
      <c r="V20" s="39"/>
      <c r="W20" s="51"/>
      <c r="X20" s="39">
        <v>965083</v>
      </c>
      <c r="Y20" s="51">
        <v>3.18</v>
      </c>
      <c r="Z20" s="42"/>
      <c r="AA20" s="60"/>
      <c r="AB20" s="40" t="str">
        <f>IF(Articles!$H4=1,IF(Articles!$F4&lt;Articles!$G4,1,""),"")</f>
        <v/>
      </c>
    </row>
    <row r="21" spans="1:28" x14ac:dyDescent="0.25">
      <c r="A21" s="65">
        <v>61304011021</v>
      </c>
      <c r="B21" s="40" t="s">
        <v>112</v>
      </c>
      <c r="C21" s="40" t="s">
        <v>352</v>
      </c>
      <c r="D21" s="40" t="s">
        <v>110</v>
      </c>
      <c r="E21" s="40" t="s">
        <v>547</v>
      </c>
      <c r="F21" s="63">
        <v>9.85</v>
      </c>
      <c r="G21" s="63">
        <v>2</v>
      </c>
      <c r="H21" s="63">
        <f>1</f>
        <v>1</v>
      </c>
      <c r="I21" s="41" t="str">
        <f t="array" ref="I21">IF(ISERROR(INDEX(Articles!$L7:$Y7, MATCH(FALSE, ISBLANK(Articles!$L7:$Y7),0))),"N/A",INDEX(Articles!$L7:$Y7, MATCH(FALSE, ISBLANK(Articles!$L7:$Y7),0)))</f>
        <v>1605571</v>
      </c>
      <c r="J21" s="60">
        <f t="array" aca="1" ref="J21" ca="1">IF(ISERROR(OFFSET(INDEX(Articles!$L7:$AA7, MATCH(FALSE, ISBLANK(Articles!$L7:$AA7),0)),0,1)),"N/A",OFFSET(INDEX(Articles!$L7:$AA7, MATCH(FALSE, ISBLANK(Articles!$L7:$AA7),0)),0,1))</f>
        <v>0.44600000000000001</v>
      </c>
      <c r="K2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21" s="39" t="s">
        <v>467</v>
      </c>
      <c r="M21" s="51">
        <v>1.44</v>
      </c>
      <c r="N21" s="39" t="s">
        <v>111</v>
      </c>
      <c r="O21" s="51">
        <v>1.58</v>
      </c>
      <c r="P21" s="39"/>
      <c r="Q21" s="51"/>
      <c r="R21" s="39"/>
      <c r="S21" s="51"/>
      <c r="T21" s="39"/>
      <c r="U21" s="51"/>
      <c r="V21" s="39"/>
      <c r="W21" s="51"/>
      <c r="X21" s="39"/>
      <c r="Y21" s="51">
        <v>1.58</v>
      </c>
      <c r="Z21" s="42"/>
      <c r="AA21" s="60"/>
      <c r="AB21" s="40" t="str">
        <f>IF(Articles!$H7=1,IF(Articles!$F7&lt;Articles!$G7,1,""),"")</f>
        <v/>
      </c>
    </row>
    <row r="22" spans="1:28" x14ac:dyDescent="0.25">
      <c r="A22" s="39" t="s">
        <v>113</v>
      </c>
      <c r="B22" s="40" t="s">
        <v>33</v>
      </c>
      <c r="C22" s="40" t="s">
        <v>352</v>
      </c>
      <c r="D22" s="40" t="s">
        <v>116</v>
      </c>
      <c r="E22" s="40" t="s">
        <v>547</v>
      </c>
      <c r="F22" s="63">
        <v>-2.2000000000000002</v>
      </c>
      <c r="G22" s="63">
        <v>5</v>
      </c>
      <c r="H22" s="63">
        <f>1</f>
        <v>1</v>
      </c>
      <c r="I22" s="41">
        <f t="array" ref="I22">IF(ISERROR(INDEX(Articles!$L20:$Y20, MATCH(FALSE, ISBLANK(Articles!$L20:$Y20),0))),"N/A",INDEX(Articles!$L20:$Y20, MATCH(FALSE, ISBLANK(Articles!$L20:$Y20),0)))</f>
        <v>965083</v>
      </c>
      <c r="J22" s="60">
        <f t="array" aca="1" ref="J22" ca="1">IF(ISERROR(OFFSET(INDEX(Articles!$L20:$AA20, MATCH(FALSE, ISBLANK(Articles!$L20:$AA20),0)),0,1)),"N/A",OFFSET(INDEX(Articles!$L20:$AA20, MATCH(FALSE, ISBLANK(Articles!$L20:$AA20),0)),0,1))</f>
        <v>3.18</v>
      </c>
      <c r="K2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22" s="39"/>
      <c r="M22" s="51"/>
      <c r="N22" s="39" t="s">
        <v>114</v>
      </c>
      <c r="O22" s="51">
        <v>0.28699999999999998</v>
      </c>
      <c r="P22" s="39"/>
      <c r="Q22" s="51"/>
      <c r="R22" s="39"/>
      <c r="S22" s="51"/>
      <c r="T22" s="39"/>
      <c r="U22" s="51"/>
      <c r="V22" s="39"/>
      <c r="W22" s="51"/>
      <c r="X22" s="39"/>
      <c r="Y22" s="51">
        <v>0.28699999999999998</v>
      </c>
      <c r="Z22" s="42"/>
      <c r="AA22" s="60"/>
      <c r="AB22" s="40" t="str">
        <f>IF(Articles!$H20=1,IF(Articles!$F20&lt;Articles!$G20,1,""),"")</f>
        <v/>
      </c>
    </row>
    <row r="23" spans="1:28" x14ac:dyDescent="0.25">
      <c r="A23" s="64">
        <v>22284360</v>
      </c>
      <c r="B23" s="40" t="s">
        <v>108</v>
      </c>
      <c r="C23" s="40" t="s">
        <v>352</v>
      </c>
      <c r="D23" s="40" t="s">
        <v>542</v>
      </c>
      <c r="E23" s="40" t="s">
        <v>547</v>
      </c>
      <c r="F23" s="63">
        <v>3</v>
      </c>
      <c r="G23" s="63">
        <v>5</v>
      </c>
      <c r="H23" s="63">
        <f>1</f>
        <v>1</v>
      </c>
      <c r="I23" s="41" t="str">
        <f t="array" ref="I23">IF(ISERROR(INDEX(Articles!$L21:$Y21, MATCH(FALSE, ISBLANK(Articles!$L21:$Y21),0))),"N/A",INDEX(Articles!$L21:$Y21, MATCH(FALSE, ISBLANK(Articles!$L21:$Y21),0)))</f>
        <v>732-5350-ND</v>
      </c>
      <c r="J23" s="60">
        <f t="array" aca="1" ref="J23" ca="1">IF(ISERROR(OFFSET(INDEX(Articles!$L21:$AA21, MATCH(FALSE, ISBLANK(Articles!$L21:$AA21),0)),0,1)),"N/A",OFFSET(INDEX(Articles!$L21:$AA21, MATCH(FALSE, ISBLANK(Articles!$L21:$AA21),0)),0,1))</f>
        <v>1.44</v>
      </c>
      <c r="K2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23" s="39" t="s">
        <v>543</v>
      </c>
      <c r="M23" s="51">
        <v>1.02</v>
      </c>
      <c r="N23" s="39" t="s">
        <v>109</v>
      </c>
      <c r="O23" s="51">
        <v>1.55</v>
      </c>
      <c r="P23" s="39"/>
      <c r="Q23" s="51"/>
      <c r="R23" s="39"/>
      <c r="S23" s="51"/>
      <c r="T23" s="39"/>
      <c r="U23" s="51"/>
      <c r="V23" s="39"/>
      <c r="W23" s="51"/>
      <c r="X23" s="39"/>
      <c r="Y23" s="51">
        <v>1.55</v>
      </c>
      <c r="Z23" s="42"/>
      <c r="AA23" s="60"/>
      <c r="AB23" s="40" t="str">
        <f>IF(Articles!$H21=1,IF(Articles!$F21&lt;Articles!$G21,1,""),"")</f>
        <v/>
      </c>
    </row>
    <row r="24" spans="1:28" x14ac:dyDescent="0.25">
      <c r="A24" s="39" t="s">
        <v>485</v>
      </c>
      <c r="B24" s="40" t="s">
        <v>419</v>
      </c>
      <c r="C24" s="40" t="s">
        <v>352</v>
      </c>
      <c r="D24" s="40" t="s">
        <v>420</v>
      </c>
      <c r="E24" s="40" t="s">
        <v>547</v>
      </c>
      <c r="F24" s="63">
        <v>5</v>
      </c>
      <c r="G24" s="63">
        <v>0</v>
      </c>
      <c r="H24" s="63">
        <f>1</f>
        <v>1</v>
      </c>
      <c r="I24" s="41" t="str">
        <f t="array" ref="I24">IF(ISERROR(INDEX(Articles!$L26:$Y26, MATCH(FALSE, ISBLANK(Articles!$L26:$Y26),0))),"N/A",INDEX(Articles!$L26:$Y26, MATCH(FALSE, ISBLANK(Articles!$L26:$Y26),0)))</f>
        <v>929974E-01-36-ND</v>
      </c>
      <c r="J24" s="60">
        <f t="array" aca="1" ref="J24" ca="1">IF(ISERROR(OFFSET(INDEX(Articles!$L26:$AA26, MATCH(FALSE, ISBLANK(Articles!$L26:$AA26),0)),0,1)),"N/A",OFFSET(INDEX(Articles!$L26:$AA26, MATCH(FALSE, ISBLANK(Articles!$L26:$AA26),0)),0,1))</f>
        <v>3.12</v>
      </c>
      <c r="K2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Aliexpress</v>
      </c>
      <c r="L24" s="39"/>
      <c r="M24" s="51"/>
      <c r="N24" s="39"/>
      <c r="O24" s="51"/>
      <c r="P24" s="39"/>
      <c r="Q24" s="51"/>
      <c r="R24" s="39"/>
      <c r="S24" s="51"/>
      <c r="T24" s="39"/>
      <c r="U24" s="51"/>
      <c r="V24" s="39" t="s">
        <v>418</v>
      </c>
      <c r="W24" s="51">
        <v>0.127</v>
      </c>
      <c r="X24" s="39"/>
      <c r="Y24" s="51"/>
      <c r="Z24" s="42"/>
      <c r="AA24" s="60"/>
      <c r="AB24" s="40" t="str">
        <f>IF(Articles!$H26=1,IF(Articles!$F26&lt;Articles!$G26,1,""),"")</f>
        <v/>
      </c>
    </row>
    <row r="25" spans="1:28" x14ac:dyDescent="0.25">
      <c r="A25" s="39" t="s">
        <v>486</v>
      </c>
      <c r="B25" s="40" t="s">
        <v>419</v>
      </c>
      <c r="C25" s="40" t="s">
        <v>352</v>
      </c>
      <c r="D25" s="40" t="s">
        <v>421</v>
      </c>
      <c r="E25" s="40" t="s">
        <v>547</v>
      </c>
      <c r="F25" s="63">
        <v>5</v>
      </c>
      <c r="G25" s="63">
        <v>0</v>
      </c>
      <c r="H25" s="63">
        <f>1</f>
        <v>1</v>
      </c>
      <c r="I25" s="41" t="str">
        <f t="array" ref="I25">IF(ISERROR(INDEX(Articles!$L27:$Y27, MATCH(FALSE, ISBLANK(Articles!$L27:$Y27),0))),"N/A",INDEX(Articles!$L27:$Y27, MATCH(FALSE, ISBLANK(Articles!$L27:$Y27),0)))</f>
        <v>BU2032SM-JJ-GCT-ND</v>
      </c>
      <c r="J25" s="60">
        <f t="array" aca="1" ref="J25" ca="1">IF(ISERROR(OFFSET(INDEX(Articles!$L27:$AA27, MATCH(FALSE, ISBLANK(Articles!$L27:$AA27),0)),0,1)),"N/A",OFFSET(INDEX(Articles!$L27:$AA27, MATCH(FALSE, ISBLANK(Articles!$L27:$AA27),0)),0,1))</f>
        <v>1.21</v>
      </c>
      <c r="K2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Aliexpress</v>
      </c>
      <c r="L25" s="39"/>
      <c r="M25" s="51"/>
      <c r="N25" s="39"/>
      <c r="O25" s="51"/>
      <c r="P25" s="39"/>
      <c r="Q25" s="51"/>
      <c r="R25" s="39"/>
      <c r="S25" s="51"/>
      <c r="T25" s="39"/>
      <c r="U25" s="51"/>
      <c r="V25" s="39" t="s">
        <v>418</v>
      </c>
      <c r="W25" s="51">
        <v>0.127</v>
      </c>
      <c r="X25" s="39"/>
      <c r="Y25" s="51"/>
      <c r="Z25" s="42"/>
      <c r="AA25" s="60"/>
      <c r="AB25" s="40" t="str">
        <f>IF(Articles!$H27=1,IF(Articles!$F27&lt;Articles!$G27,1,""),"")</f>
        <v/>
      </c>
    </row>
    <row r="26" spans="1:28" x14ac:dyDescent="0.25">
      <c r="A26" s="39" t="s">
        <v>40</v>
      </c>
      <c r="B26" s="40" t="s">
        <v>7</v>
      </c>
      <c r="C26" s="40" t="s">
        <v>352</v>
      </c>
      <c r="D26" s="40" t="s">
        <v>39</v>
      </c>
      <c r="E26" s="40" t="s">
        <v>547</v>
      </c>
      <c r="F26" s="63">
        <v>0</v>
      </c>
      <c r="G26" s="63">
        <v>0</v>
      </c>
      <c r="H26" s="63">
        <f>1</f>
        <v>1</v>
      </c>
      <c r="I26" s="41" t="str">
        <f t="array" ref="I26">IF(ISERROR(INDEX(Articles!$L34:$Y34, MATCH(FALSE, ISBLANK(Articles!$L34:$Y34),0))),"N/A",INDEX(Articles!$L34:$Y34, MATCH(FALSE, ISBLANK(Articles!$L34:$Y34),0)))</f>
        <v>133-18-751</v>
      </c>
      <c r="J26" s="60">
        <f t="array" aca="1" ref="J26" ca="1">IF(ISERROR(OFFSET(INDEX(Articles!$L34:$AA34, MATCH(FALSE, ISBLANK(Articles!$L34:$AA34),0)),0,1)),"N/A",OFFSET(INDEX(Articles!$L34:$AA34, MATCH(FALSE, ISBLANK(Articles!$L34:$AA34),0)),0,1))</f>
        <v>5.4</v>
      </c>
      <c r="K2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26" s="39" t="s">
        <v>544</v>
      </c>
      <c r="M26" s="51">
        <v>3.12</v>
      </c>
      <c r="N26" s="39">
        <v>2064805</v>
      </c>
      <c r="O26" s="51">
        <v>2.95</v>
      </c>
      <c r="P26" s="39"/>
      <c r="Q26" s="51"/>
      <c r="R26" s="39"/>
      <c r="S26" s="51"/>
      <c r="T26" s="39"/>
      <c r="U26" s="51"/>
      <c r="V26" s="39"/>
      <c r="W26" s="51"/>
      <c r="X26" s="39"/>
      <c r="Y26" s="51">
        <v>2.95</v>
      </c>
      <c r="Z26" s="42"/>
      <c r="AA26" s="60"/>
      <c r="AB26" s="40">
        <f>IF(Articles!$H34=1,IF(Articles!$F34&lt;Articles!$G34,1,""),"")</f>
        <v>1</v>
      </c>
    </row>
    <row r="27" spans="1:28" x14ac:dyDescent="0.25">
      <c r="A27" s="39" t="s">
        <v>225</v>
      </c>
      <c r="B27" s="40" t="s">
        <v>226</v>
      </c>
      <c r="C27" s="40" t="s">
        <v>352</v>
      </c>
      <c r="D27" s="40" t="s">
        <v>227</v>
      </c>
      <c r="E27" s="40" t="s">
        <v>547</v>
      </c>
      <c r="F27" s="63">
        <v>4</v>
      </c>
      <c r="G27" s="63">
        <v>1</v>
      </c>
      <c r="H27" s="63">
        <f>1</f>
        <v>1</v>
      </c>
      <c r="I27" s="41" t="str">
        <f t="array" ref="I27">IF(ISERROR(INDEX(Articles!$L39:$Y39, MATCH(FALSE, ISBLANK(Articles!$L39:$Y39),0))),"N/A",INDEX(Articles!$L39:$Y39, MATCH(FALSE, ISBLANK(Articles!$L39:$Y39),0)))</f>
        <v>596-1023-5-ND</v>
      </c>
      <c r="J27" s="60">
        <f t="array" aca="1" ref="J27" ca="1">IF(ISERROR(OFFSET(INDEX(Articles!$L39:$AA39, MATCH(FALSE, ISBLANK(Articles!$L39:$AA39),0)),0,1)),"N/A",OFFSET(INDEX(Articles!$L39:$AA39, MATCH(FALSE, ISBLANK(Articles!$L39:$AA39),0)),0,1))</f>
        <v>1.34</v>
      </c>
      <c r="K2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27" s="39" t="s">
        <v>224</v>
      </c>
      <c r="M27" s="51">
        <v>1.21</v>
      </c>
      <c r="N27" s="39"/>
      <c r="O27" s="51"/>
      <c r="P27" s="39"/>
      <c r="Q27" s="51"/>
      <c r="R27" s="39"/>
      <c r="S27" s="51"/>
      <c r="T27" s="39"/>
      <c r="U27" s="51"/>
      <c r="V27" s="39"/>
      <c r="W27" s="51"/>
      <c r="X27" s="39"/>
      <c r="Y27" s="51"/>
      <c r="Z27" s="42"/>
      <c r="AA27" s="60"/>
      <c r="AB27" s="40" t="str">
        <f>IF(Articles!$H39=1,IF(Articles!$F39&lt;Articles!$G39,1,""),"")</f>
        <v/>
      </c>
    </row>
    <row r="28" spans="1:28" x14ac:dyDescent="0.25">
      <c r="A28" s="39" t="s">
        <v>97</v>
      </c>
      <c r="B28" s="40" t="s">
        <v>45</v>
      </c>
      <c r="C28" s="40" t="s">
        <v>352</v>
      </c>
      <c r="D28" s="40" t="s">
        <v>98</v>
      </c>
      <c r="E28" s="40" t="s">
        <v>555</v>
      </c>
      <c r="F28" s="63">
        <v>100</v>
      </c>
      <c r="G28" s="63">
        <f>10</f>
        <v>10</v>
      </c>
      <c r="H28" s="63">
        <f>1</f>
        <v>1</v>
      </c>
      <c r="I28" s="41" t="str">
        <f t="array" ref="I28">IF(ISERROR(INDEX(Articles!$L19:$Y19, MATCH(FALSE, ISBLANK(Articles!$L19:$Y19),0))),"N/A",INDEX(Articles!$L19:$Y19, MATCH(FALSE, ISBLANK(Articles!$L19:$Y19),0)))</f>
        <v>609-4052-1-ND</v>
      </c>
      <c r="J28" s="60">
        <f t="array" aca="1" ref="J28" ca="1">IF(ISERROR(OFFSET(INDEX(Articles!$L19:$AA19, MATCH(FALSE, ISBLANK(Articles!$L19:$AA19),0)),0,1)),"N/A",OFFSET(INDEX(Articles!$L19:$AA19, MATCH(FALSE, ISBLANK(Articles!$L19:$AA19),0)),0,1))</f>
        <v>0.66500000000000004</v>
      </c>
      <c r="K2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28" s="39"/>
      <c r="M28" s="51"/>
      <c r="N28" s="39" t="s">
        <v>159</v>
      </c>
      <c r="O28" s="51">
        <v>5.8900000000000001E-2</v>
      </c>
      <c r="P28" s="39"/>
      <c r="Q28" s="51"/>
      <c r="R28" s="39"/>
      <c r="S28" s="51"/>
      <c r="T28" s="39"/>
      <c r="U28" s="51"/>
      <c r="V28" s="39"/>
      <c r="W28" s="51"/>
      <c r="X28" s="39"/>
      <c r="Y28" s="51">
        <v>5.8900000000000001E-2</v>
      </c>
      <c r="Z28" s="42"/>
      <c r="AA28" s="60"/>
      <c r="AB28" s="40" t="str">
        <f>IF(Articles!$H19=1,IF(Articles!$F19&lt;Articles!$G19,1,""),"")</f>
        <v/>
      </c>
    </row>
    <row r="29" spans="1:28" x14ac:dyDescent="0.25">
      <c r="A29" s="39" t="s">
        <v>129</v>
      </c>
      <c r="B29" s="40" t="s">
        <v>127</v>
      </c>
      <c r="C29" s="40" t="s">
        <v>388</v>
      </c>
      <c r="D29" s="40" t="s">
        <v>131</v>
      </c>
      <c r="E29" s="40" t="s">
        <v>576</v>
      </c>
      <c r="F29" s="63">
        <v>10</v>
      </c>
      <c r="G29" s="63">
        <v>1</v>
      </c>
      <c r="H29" s="63">
        <f>1</f>
        <v>1</v>
      </c>
      <c r="I29" s="41" t="str">
        <f t="array" ref="I29">IF(ISERROR(INDEX(Articles!$L93:$Y93, MATCH(FALSE, ISBLANK(Articles!$L93:$Y93),0))),"N/A",INDEX(Articles!$L93:$Y93, MATCH(FALSE, ISBLANK(Articles!$L93:$Y93),0)))</f>
        <v>2447573</v>
      </c>
      <c r="J29" s="60">
        <f t="array" aca="1" ref="J29" ca="1">IF(ISERROR(OFFSET(INDEX(Articles!$L93:$AA93, MATCH(FALSE, ISBLANK(Articles!$L93:$AA93),0)),0,1)),"N/A",OFFSET(INDEX(Articles!$L93:$AA93, MATCH(FALSE, ISBLANK(Articles!$L93:$AA93),0)),0,1))</f>
        <v>1.0999999999999999E-2</v>
      </c>
      <c r="K2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29" s="39"/>
      <c r="M29" s="51"/>
      <c r="N29" s="39" t="s">
        <v>130</v>
      </c>
      <c r="O29" s="51">
        <v>0.54600000000000004</v>
      </c>
      <c r="P29" s="39"/>
      <c r="Q29" s="51"/>
      <c r="R29" s="39"/>
      <c r="S29" s="51"/>
      <c r="T29" s="39"/>
      <c r="U29" s="51"/>
      <c r="V29" s="39"/>
      <c r="W29" s="51"/>
      <c r="X29" s="39"/>
      <c r="Y29" s="51">
        <v>0.54600000000000004</v>
      </c>
      <c r="Z29" s="42"/>
      <c r="AA29" s="60"/>
      <c r="AB29" s="40">
        <f>IF(Articles!$H93=1,IF(Articles!$F93&lt;Articles!$G93,1,""),"")</f>
        <v>1</v>
      </c>
    </row>
    <row r="30" spans="1:28" x14ac:dyDescent="0.25">
      <c r="A30" s="39" t="s">
        <v>126</v>
      </c>
      <c r="B30" s="40" t="s">
        <v>127</v>
      </c>
      <c r="C30" s="40" t="s">
        <v>352</v>
      </c>
      <c r="D30" s="40" t="s">
        <v>125</v>
      </c>
      <c r="E30" s="40" t="s">
        <v>576</v>
      </c>
      <c r="F30" s="63">
        <v>5</v>
      </c>
      <c r="G30" s="63">
        <v>1</v>
      </c>
      <c r="H30" s="63">
        <f>1</f>
        <v>1</v>
      </c>
      <c r="I30" s="41" t="str">
        <f t="array" ref="I30">IF(ISERROR(INDEX(Articles!$L94:$Y94, MATCH(FALSE, ISBLANK(Articles!$L94:$Y94),0))),"N/A",INDEX(Articles!$L94:$Y94, MATCH(FALSE, ISBLANK(Articles!$L94:$Y94),0)))</f>
        <v>A120350-ND</v>
      </c>
      <c r="J30" s="60">
        <f t="array" aca="1" ref="J30" ca="1">IF(ISERROR(OFFSET(INDEX(Articles!$L94:$AA94, MATCH(FALSE, ISBLANK(Articles!$L94:$AA94),0)),0,1)),"N/A",OFFSET(INDEX(Articles!$L94:$AA94, MATCH(FALSE, ISBLANK(Articles!$L94:$AA94),0)),0,1))</f>
        <v>0.28000000000000003</v>
      </c>
      <c r="K3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30" s="39"/>
      <c r="M30" s="51"/>
      <c r="N30" s="39" t="s">
        <v>128</v>
      </c>
      <c r="O30" s="51">
        <v>0.68600000000000005</v>
      </c>
      <c r="P30" s="39"/>
      <c r="Q30" s="51"/>
      <c r="R30" s="39"/>
      <c r="S30" s="51"/>
      <c r="T30" s="39"/>
      <c r="U30" s="51"/>
      <c r="V30" s="39"/>
      <c r="W30" s="51"/>
      <c r="X30" s="39"/>
      <c r="Y30" s="51">
        <v>0.68600000000000005</v>
      </c>
      <c r="Z30" s="42"/>
      <c r="AA30" s="60"/>
      <c r="AB30" s="40" t="str">
        <f>IF(Articles!$H94=1,IF(Articles!$F94&lt;Articles!$G94,1,""),"")</f>
        <v/>
      </c>
    </row>
    <row r="31" spans="1:28" x14ac:dyDescent="0.25">
      <c r="A31" s="39" t="s">
        <v>197</v>
      </c>
      <c r="B31" s="40" t="s">
        <v>177</v>
      </c>
      <c r="C31" s="40" t="s">
        <v>352</v>
      </c>
      <c r="D31" s="40" t="s">
        <v>198</v>
      </c>
      <c r="E31" s="40" t="s">
        <v>574</v>
      </c>
      <c r="F31" s="63">
        <v>1</v>
      </c>
      <c r="G31" s="63">
        <v>1</v>
      </c>
      <c r="H31" s="63">
        <f>1</f>
        <v>1</v>
      </c>
      <c r="I31" s="41" t="str">
        <f t="array" ref="I31">IF(ISERROR(INDEX(Articles!$L86:$Y86, MATCH(FALSE, ISBLANK(Articles!$L86:$Y86),0))),"N/A",INDEX(Articles!$L86:$Y86, MATCH(FALSE, ISBLANK(Articles!$L86:$Y86),0)))</f>
        <v>N/A</v>
      </c>
      <c r="J31" s="60">
        <f t="array" aca="1" ref="J31" ca="1">IF(ISERROR(OFFSET(INDEX(Articles!$L86:$AA86, MATCH(FALSE, ISBLANK(Articles!$L86:$AA86),0)),0,1)),"N/A",OFFSET(INDEX(Articles!$L86:$AA86, MATCH(FALSE, ISBLANK(Articles!$L86:$AA86),0)),0,1))</f>
        <v>0</v>
      </c>
      <c r="K3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31" s="39" t="s">
        <v>196</v>
      </c>
      <c r="M31" s="51">
        <v>15.95</v>
      </c>
      <c r="N31" s="39"/>
      <c r="O31" s="51"/>
      <c r="P31" s="39"/>
      <c r="Q31" s="51"/>
      <c r="R31" s="39"/>
      <c r="S31" s="51"/>
      <c r="T31" s="39"/>
      <c r="U31" s="51"/>
      <c r="V31" s="39"/>
      <c r="W31" s="51"/>
      <c r="X31" s="39"/>
      <c r="Y31" s="51"/>
      <c r="Z31" s="42"/>
      <c r="AA31" s="60"/>
      <c r="AB31" s="40">
        <f>IF(Articles!$H86=1,IF(Articles!$F86&lt;Articles!$G86,1,""),"")</f>
        <v>1</v>
      </c>
    </row>
    <row r="32" spans="1:28" x14ac:dyDescent="0.25">
      <c r="A32" s="39" t="s">
        <v>179</v>
      </c>
      <c r="B32" s="40" t="s">
        <v>177</v>
      </c>
      <c r="C32" s="40" t="s">
        <v>352</v>
      </c>
      <c r="D32" s="40" t="s">
        <v>180</v>
      </c>
      <c r="E32" s="40" t="s">
        <v>546</v>
      </c>
      <c r="F32" s="63">
        <v>4</v>
      </c>
      <c r="G32" s="63">
        <v>4</v>
      </c>
      <c r="H32" s="63">
        <f>1</f>
        <v>1</v>
      </c>
      <c r="I32" s="41" t="str">
        <f t="array" ref="I32">IF(ISERROR(INDEX(Articles!$L11:$Y11, MATCH(FALSE, ISBLANK(Articles!$L11:$Y11),0))),"N/A",INDEX(Articles!$L11:$Y11, MATCH(FALSE, ISBLANK(Articles!$L11:$Y11),0)))</f>
        <v>MCP2210-I/SS-ND</v>
      </c>
      <c r="J32" s="60">
        <f t="array" aca="1" ref="J32" ca="1">IF(ISERROR(OFFSET(INDEX(Articles!$L11:$AA11, MATCH(FALSE, ISBLANK(Articles!$L11:$AA11),0)),0,1)),"N/A",OFFSET(INDEX(Articles!$L11:$AA11, MATCH(FALSE, ISBLANK(Articles!$L11:$AA11),0)),0,1))</f>
        <v>2</v>
      </c>
      <c r="K3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32" s="39" t="s">
        <v>178</v>
      </c>
      <c r="M32" s="51">
        <v>1.82</v>
      </c>
      <c r="N32" s="39"/>
      <c r="O32" s="51"/>
      <c r="P32" s="39"/>
      <c r="Q32" s="51"/>
      <c r="R32" s="39"/>
      <c r="S32" s="51"/>
      <c r="T32" s="39"/>
      <c r="U32" s="51"/>
      <c r="V32" s="39"/>
      <c r="W32" s="51"/>
      <c r="X32" s="39"/>
      <c r="Y32" s="51"/>
      <c r="Z32" s="42"/>
      <c r="AA32" s="60"/>
      <c r="AB32" s="40">
        <f>IF(Articles!$H11=1,IF(Articles!$F11&lt;Articles!$G11,1,""),"")</f>
        <v>1</v>
      </c>
    </row>
    <row r="33" spans="1:28" x14ac:dyDescent="0.25">
      <c r="A33" s="39" t="s">
        <v>343</v>
      </c>
      <c r="B33" s="40" t="s">
        <v>344</v>
      </c>
      <c r="C33" s="40" t="s">
        <v>352</v>
      </c>
      <c r="D33" s="40" t="s">
        <v>345</v>
      </c>
      <c r="E33" s="40" t="s">
        <v>546</v>
      </c>
      <c r="F33" s="63">
        <v>0</v>
      </c>
      <c r="G33" s="63">
        <v>4</v>
      </c>
      <c r="H33" s="63">
        <f>1</f>
        <v>1</v>
      </c>
      <c r="I33" s="41" t="str">
        <f t="array" ref="I33">IF(ISERROR(INDEX(Articles!$L29:$Y29, MATCH(FALSE, ISBLANK(Articles!$L29:$Y29),0))),"N/A",INDEX(Articles!$L29:$Y29, MATCH(FALSE, ISBLANK(Articles!$L29:$Y29),0)))</f>
        <v>2769437</v>
      </c>
      <c r="J33" s="60">
        <f t="array" aca="1" ref="J33" ca="1">IF(ISERROR(OFFSET(INDEX(Articles!$L29:$AA29, MATCH(FALSE, ISBLANK(Articles!$L29:$AA29),0)),0,1)),"N/A",OFFSET(INDEX(Articles!$L29:$AA29, MATCH(FALSE, ISBLANK(Articles!$L29:$AA29),0)),0,1))</f>
        <v>0.54600000000000004</v>
      </c>
      <c r="K3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Conrad</v>
      </c>
      <c r="L33" s="39"/>
      <c r="M33" s="51"/>
      <c r="N33" s="39"/>
      <c r="O33" s="51"/>
      <c r="P33" s="39"/>
      <c r="Q33" s="51"/>
      <c r="R33" s="39" t="s">
        <v>342</v>
      </c>
      <c r="S33" s="51">
        <v>0.31</v>
      </c>
      <c r="T33" s="39"/>
      <c r="U33" s="51"/>
      <c r="V33" s="39"/>
      <c r="W33" s="51"/>
      <c r="X33" s="39"/>
      <c r="Y33" s="51"/>
      <c r="Z33" s="42"/>
      <c r="AA33" s="60"/>
      <c r="AB33" s="40" t="str">
        <f>IF(Articles!$H29=1,IF(Articles!$F29&lt;Articles!$G29,1,""),"")</f>
        <v/>
      </c>
    </row>
    <row r="34" spans="1:28" x14ac:dyDescent="0.25">
      <c r="A34" s="39" t="s">
        <v>339</v>
      </c>
      <c r="B34" s="40" t="s">
        <v>340</v>
      </c>
      <c r="C34" s="40" t="s">
        <v>352</v>
      </c>
      <c r="D34" s="40" t="s">
        <v>341</v>
      </c>
      <c r="E34" s="40" t="s">
        <v>546</v>
      </c>
      <c r="F34" s="63">
        <v>0</v>
      </c>
      <c r="G34" s="63">
        <v>1</v>
      </c>
      <c r="H34" s="63">
        <f>1</f>
        <v>1</v>
      </c>
      <c r="I34" s="41" t="str">
        <f t="array" ref="I34">IF(ISERROR(INDEX(Articles!$L54:$Y54, MATCH(FALSE, ISBLANK(Articles!$L54:$Y54),0))),"N/A",INDEX(Articles!$L54:$Y54, MATCH(FALSE, ISBLANK(Articles!$L54:$Y54),0)))</f>
        <v>TLMS1000-GS08</v>
      </c>
      <c r="J34" s="60">
        <f t="array" aca="1" ref="J34" ca="1">IF(ISERROR(OFFSET(INDEX(Articles!$L54:$AA54, MATCH(FALSE, ISBLANK(Articles!$L54:$AA54),0)),0,1)),"N/A",OFFSET(INDEX(Articles!$L54:$AA54, MATCH(FALSE, ISBLANK(Articles!$L54:$AA54),0)),0,1))</f>
        <v>0.52</v>
      </c>
      <c r="K3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Distrelec</v>
      </c>
      <c r="L34" s="39"/>
      <c r="M34" s="51"/>
      <c r="N34" s="39"/>
      <c r="O34" s="51"/>
      <c r="P34" s="39" t="s">
        <v>338</v>
      </c>
      <c r="Q34" s="51">
        <v>5.4</v>
      </c>
      <c r="R34" s="39"/>
      <c r="S34" s="51"/>
      <c r="T34" s="39"/>
      <c r="U34" s="51"/>
      <c r="V34" s="39"/>
      <c r="W34" s="51"/>
      <c r="X34" s="39"/>
      <c r="Y34" s="51"/>
      <c r="Z34" s="42"/>
      <c r="AA34" s="60"/>
      <c r="AB34" s="40">
        <f>IF(Articles!$H54=1,IF(Articles!$F54&lt;Articles!$G54,1,""),"")</f>
        <v>1</v>
      </c>
    </row>
    <row r="35" spans="1:28" x14ac:dyDescent="0.25">
      <c r="A35" s="39" t="s">
        <v>16</v>
      </c>
      <c r="B35" s="40" t="s">
        <v>33</v>
      </c>
      <c r="C35" s="40" t="s">
        <v>352</v>
      </c>
      <c r="D35" s="40" t="s">
        <v>15</v>
      </c>
      <c r="E35" s="40" t="s">
        <v>546</v>
      </c>
      <c r="F35" s="63">
        <v>14</v>
      </c>
      <c r="G35" s="63">
        <v>4</v>
      </c>
      <c r="H35" s="63">
        <f>1</f>
        <v>1</v>
      </c>
      <c r="I35" s="41" t="str">
        <f t="array" ref="I35">IF(ISERROR(INDEX(Articles!$L58:$Y58, MATCH(FALSE, ISBLANK(Articles!$L58:$Y58),0))),"N/A",INDEX(Articles!$L58:$Y58, MATCH(FALSE, ISBLANK(Articles!$L58:$Y58),0)))</f>
        <v>PIC16F18346-I/P-ND</v>
      </c>
      <c r="J35" s="60">
        <f t="array" aca="1" ref="J35" ca="1">IF(ISERROR(OFFSET(INDEX(Articles!$L58:$AA58, MATCH(FALSE, ISBLANK(Articles!$L58:$AA58),0)),0,1)),"N/A",OFFSET(INDEX(Articles!$L58:$AA58, MATCH(FALSE, ISBLANK(Articles!$L58:$AA58),0)),0,1))</f>
        <v>1.53</v>
      </c>
      <c r="K3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35" s="39"/>
      <c r="M35" s="51"/>
      <c r="N35" s="39">
        <v>2461217</v>
      </c>
      <c r="O35" s="51">
        <v>0.20200000000000001</v>
      </c>
      <c r="P35" s="39"/>
      <c r="Q35" s="51"/>
      <c r="R35" s="39"/>
      <c r="S35" s="51"/>
      <c r="T35" s="39"/>
      <c r="U35" s="51"/>
      <c r="V35" s="39"/>
      <c r="W35" s="51"/>
      <c r="X35" s="39"/>
      <c r="Y35" s="51">
        <v>0.20200000000000001</v>
      </c>
      <c r="Z35" s="42"/>
      <c r="AA35" s="60"/>
      <c r="AB35" s="40" t="str">
        <f>IF(Articles!$H58=1,IF(Articles!$F58&lt;Articles!$G58,1,""),"")</f>
        <v/>
      </c>
    </row>
    <row r="36" spans="1:28" x14ac:dyDescent="0.25">
      <c r="A36" s="39" t="s">
        <v>491</v>
      </c>
      <c r="B36" s="40" t="s">
        <v>288</v>
      </c>
      <c r="C36" s="40" t="s">
        <v>352</v>
      </c>
      <c r="D36" s="40" t="s">
        <v>289</v>
      </c>
      <c r="E36" s="40" t="s">
        <v>546</v>
      </c>
      <c r="F36" s="63">
        <v>0</v>
      </c>
      <c r="G36" s="63">
        <v>0</v>
      </c>
      <c r="H36" s="63">
        <f>1</f>
        <v>1</v>
      </c>
      <c r="I36" s="41" t="str">
        <f t="array" ref="I36">IF(ISERROR(INDEX(Articles!$L72:$Y72, MATCH(FALSE, ISBLANK(Articles!$L72:$Y72),0))),"N/A",INDEX(Articles!$L72:$Y72, MATCH(FALSE, ISBLANK(Articles!$L72:$Y72),0)))</f>
        <v>N/A</v>
      </c>
      <c r="J36" s="60">
        <f t="array" aca="1" ref="J36" ca="1">IF(ISERROR(OFFSET(INDEX(Articles!$L72:$AA72, MATCH(FALSE, ISBLANK(Articles!$L72:$AA72),0)),0,1)),"N/A",OFFSET(INDEX(Articles!$L72:$AA72, MATCH(FALSE, ISBLANK(Articles!$L72:$AA72),0)),0,1))</f>
        <v>0</v>
      </c>
      <c r="K3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36" s="39" t="s">
        <v>287</v>
      </c>
      <c r="M36" s="51">
        <v>0.62</v>
      </c>
      <c r="N36" s="39"/>
      <c r="O36" s="51"/>
      <c r="P36" s="39"/>
      <c r="Q36" s="51"/>
      <c r="R36" s="39"/>
      <c r="S36" s="51"/>
      <c r="T36" s="39"/>
      <c r="U36" s="51"/>
      <c r="V36" s="39"/>
      <c r="W36" s="51"/>
      <c r="X36" s="39"/>
      <c r="Y36" s="51"/>
      <c r="Z36" s="42"/>
      <c r="AA36" s="60"/>
      <c r="AB36" s="40" t="str">
        <f>IF(Articles!$H72=1,IF(Articles!$F72&lt;Articles!$G72,1,""),"")</f>
        <v/>
      </c>
    </row>
    <row r="37" spans="1:28" x14ac:dyDescent="0.25">
      <c r="A37" s="39" t="s">
        <v>290</v>
      </c>
      <c r="B37" s="40" t="s">
        <v>288</v>
      </c>
      <c r="C37" s="40" t="s">
        <v>352</v>
      </c>
      <c r="D37" s="40" t="s">
        <v>291</v>
      </c>
      <c r="E37" s="40" t="s">
        <v>546</v>
      </c>
      <c r="F37" s="63">
        <v>0</v>
      </c>
      <c r="G37" s="63">
        <v>0</v>
      </c>
      <c r="H37" s="63">
        <f>1</f>
        <v>1</v>
      </c>
      <c r="I37" s="41" t="str">
        <f t="array" ref="I37">IF(ISERROR(INDEX(Articles!$L73:$Y73, MATCH(FALSE, ISBLANK(Articles!$L73:$Y73),0))),"N/A",INDEX(Articles!$L73:$Y73, MATCH(FALSE, ISBLANK(Articles!$L73:$Y73),0)))</f>
        <v>N/A</v>
      </c>
      <c r="J37" s="60">
        <f t="array" aca="1" ref="J37" ca="1">IF(ISERROR(OFFSET(INDEX(Articles!$L73:$AA73, MATCH(FALSE, ISBLANK(Articles!$L73:$AA73),0)),0,1)),"N/A",OFFSET(INDEX(Articles!$L73:$AA73, MATCH(FALSE, ISBLANK(Articles!$L73:$AA73),0)),0,1))</f>
        <v>0</v>
      </c>
      <c r="K3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37" s="39" t="s">
        <v>454</v>
      </c>
      <c r="M37" s="51">
        <v>0.97</v>
      </c>
      <c r="N37" s="39"/>
      <c r="O37" s="51"/>
      <c r="P37" s="39"/>
      <c r="Q37" s="51"/>
      <c r="R37" s="39"/>
      <c r="S37" s="51"/>
      <c r="T37" s="39"/>
      <c r="U37" s="51"/>
      <c r="V37" s="39"/>
      <c r="W37" s="51"/>
      <c r="X37" s="39"/>
      <c r="Y37" s="51"/>
      <c r="Z37" s="42"/>
      <c r="AA37" s="60"/>
      <c r="AB37" s="40" t="str">
        <f>IF(Articles!$H73=1,IF(Articles!$F73&lt;Articles!$G73,1,""),"")</f>
        <v/>
      </c>
    </row>
    <row r="38" spans="1:28" x14ac:dyDescent="0.25">
      <c r="A38" s="64" t="s">
        <v>520</v>
      </c>
      <c r="B38" s="40" t="s">
        <v>521</v>
      </c>
      <c r="C38" s="40" t="s">
        <v>352</v>
      </c>
      <c r="D38" s="40" t="s">
        <v>523</v>
      </c>
      <c r="E38" s="40" t="s">
        <v>546</v>
      </c>
      <c r="F38" s="63">
        <v>0</v>
      </c>
      <c r="G38" s="63">
        <v>5</v>
      </c>
      <c r="H38" s="63">
        <f>1</f>
        <v>1</v>
      </c>
      <c r="I38" s="41" t="str">
        <f t="array" ref="I38">IF(ISERROR(INDEX(Articles!$L105:$Y105, MATCH(FALSE, ISBLANK(Articles!$L105:$Y105),0))),"N/A",INDEX(Articles!$L105:$Y105, MATCH(FALSE, ISBLANK(Articles!$L105:$Y105),0)))</f>
        <v>495-1433-ND</v>
      </c>
      <c r="J38" s="60">
        <f t="array" aca="1" ref="J38" ca="1">IF(ISERROR(OFFSET(INDEX(Articles!$L105:$AA105, MATCH(FALSE, ISBLANK(Articles!$L105:$AA105),0)),0,1)),"N/A",OFFSET(INDEX(Articles!$L105:$AA105, MATCH(FALSE, ISBLANK(Articles!$L105:$AA105),0)),0,1))</f>
        <v>0.48</v>
      </c>
      <c r="K3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38" s="39" t="s">
        <v>522</v>
      </c>
      <c r="M38" s="51">
        <v>0.34</v>
      </c>
      <c r="N38" s="39"/>
      <c r="O38" s="51"/>
      <c r="P38" s="39"/>
      <c r="Q38" s="51"/>
      <c r="R38" s="39"/>
      <c r="S38" s="51"/>
      <c r="T38" s="39"/>
      <c r="U38" s="51"/>
      <c r="V38" s="39"/>
      <c r="W38" s="51"/>
      <c r="X38" s="39"/>
      <c r="Y38" s="51"/>
      <c r="Z38" s="42"/>
      <c r="AA38" s="60"/>
      <c r="AB38" s="40" t="str">
        <f>IF(Articles!$H105=1,IF(Articles!$F105&lt;Articles!$G105,1,""),"")</f>
        <v/>
      </c>
    </row>
    <row r="39" spans="1:28" x14ac:dyDescent="0.25">
      <c r="A39" s="39" t="s">
        <v>272</v>
      </c>
      <c r="B39" s="40" t="s">
        <v>273</v>
      </c>
      <c r="C39" s="40" t="s">
        <v>352</v>
      </c>
      <c r="D39" s="40" t="s">
        <v>274</v>
      </c>
      <c r="E39" s="40" t="s">
        <v>568</v>
      </c>
      <c r="F39" s="63">
        <v>5</v>
      </c>
      <c r="G39" s="63">
        <v>0</v>
      </c>
      <c r="H39" s="63">
        <f>1</f>
        <v>1</v>
      </c>
      <c r="I39" s="41" t="str">
        <f t="array" ref="I39">IF(ISERROR(INDEX(Articles!$L56:$Y56, MATCH(FALSE, ISBLANK(Articles!$L56:$Y56),0))),"N/A",INDEX(Articles!$L56:$Y56, MATCH(FALSE, ISBLANK(Articles!$L56:$Y56),0)))</f>
        <v>2334901</v>
      </c>
      <c r="J39" s="60">
        <f t="array" aca="1" ref="J39" ca="1">IF(ISERROR(OFFSET(INDEX(Articles!$L56:$AA56, MATCH(FALSE, ISBLANK(Articles!$L56:$AA56),0)),0,1)),"N/A",OFFSET(INDEX(Articles!$L56:$AA56, MATCH(FALSE, ISBLANK(Articles!$L56:$AA56),0)),0,1))</f>
        <v>0.27100000000000002</v>
      </c>
      <c r="K3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39" s="39" t="s">
        <v>466</v>
      </c>
      <c r="M39" s="51">
        <v>1.34</v>
      </c>
      <c r="N39" s="39"/>
      <c r="O39" s="51"/>
      <c r="P39" s="39" t="s">
        <v>271</v>
      </c>
      <c r="Q39" s="51">
        <v>1.04</v>
      </c>
      <c r="R39" s="39"/>
      <c r="S39" s="51"/>
      <c r="T39" s="39"/>
      <c r="U39" s="51"/>
      <c r="V39" s="39"/>
      <c r="W39" s="51"/>
      <c r="X39" s="39"/>
      <c r="Y39" s="51"/>
      <c r="Z39" s="42"/>
      <c r="AA39" s="60"/>
      <c r="AB39" s="40" t="str">
        <f>IF(Articles!$H56=1,IF(Articles!$F56&lt;Articles!$G56,1,""),"")</f>
        <v/>
      </c>
    </row>
    <row r="40" spans="1:28" x14ac:dyDescent="0.25">
      <c r="A40" s="39" t="s">
        <v>24</v>
      </c>
      <c r="B40" s="40" t="s">
        <v>94</v>
      </c>
      <c r="C40" s="40" t="s">
        <v>400</v>
      </c>
      <c r="D40" s="40" t="s">
        <v>23</v>
      </c>
      <c r="E40" s="40" t="s">
        <v>568</v>
      </c>
      <c r="F40" s="63">
        <v>4</v>
      </c>
      <c r="G40" s="63">
        <v>2</v>
      </c>
      <c r="H40" s="63">
        <f>1</f>
        <v>1</v>
      </c>
      <c r="I40" s="41">
        <f t="array" ref="I40">IF(ISERROR(INDEX(Articles!$L64:$Y64, MATCH(FALSE, ISBLANK(Articles!$L64:$Y64),0))),"N/A",INDEX(Articles!$L64:$Y64, MATCH(FALSE, ISBLANK(Articles!$L64:$Y64),0)))</f>
        <v>912951</v>
      </c>
      <c r="J40" s="60">
        <f t="array" aca="1" ref="J40" ca="1">IF(ISERROR(OFFSET(INDEX(Articles!$L64:$AA64, MATCH(FALSE, ISBLANK(Articles!$L64:$AA64),0)),0,1)),"N/A",OFFSET(INDEX(Articles!$L64:$AA64, MATCH(FALSE, ISBLANK(Articles!$L64:$AA64),0)),0,1))</f>
        <v>3.43</v>
      </c>
      <c r="K4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40" s="39" t="s">
        <v>478</v>
      </c>
      <c r="M40" s="51">
        <v>0.52</v>
      </c>
      <c r="N40" s="39" t="s">
        <v>399</v>
      </c>
      <c r="O40" s="51">
        <v>0.51600000000000001</v>
      </c>
      <c r="P40" s="39"/>
      <c r="Q40" s="51"/>
      <c r="R40" s="39"/>
      <c r="S40" s="51"/>
      <c r="T40" s="39"/>
      <c r="U40" s="51"/>
      <c r="V40" s="39"/>
      <c r="W40" s="51"/>
      <c r="X40" s="39"/>
      <c r="Y40" s="51">
        <v>0.51600000000000001</v>
      </c>
      <c r="Z40" s="42"/>
      <c r="AA40" s="60"/>
      <c r="AB40" s="40" t="str">
        <f>IF(Articles!$H64=1,IF(Articles!$F64&lt;Articles!$G64,1,""),"")</f>
        <v/>
      </c>
    </row>
    <row r="41" spans="1:28" x14ac:dyDescent="0.25">
      <c r="A41" s="39" t="s">
        <v>22</v>
      </c>
      <c r="B41" s="40" t="s">
        <v>94</v>
      </c>
      <c r="C41" s="40" t="s">
        <v>402</v>
      </c>
      <c r="D41" s="40" t="s">
        <v>21</v>
      </c>
      <c r="E41" s="40" t="s">
        <v>568</v>
      </c>
      <c r="F41" s="63">
        <v>9</v>
      </c>
      <c r="G41" s="63">
        <v>2</v>
      </c>
      <c r="H41" s="63">
        <f>1</f>
        <v>1</v>
      </c>
      <c r="I41" s="41" t="str">
        <f t="array" ref="I41">IF(ISERROR(INDEX(Articles!$L69:$Y69, MATCH(FALSE, ISBLANK(Articles!$L69:$Y69),0))),"N/A",INDEX(Articles!$L69:$Y69, MATCH(FALSE, ISBLANK(Articles!$L69:$Y69),0)))</f>
        <v>MRF89XAM8A-I/RM-ND</v>
      </c>
      <c r="J41" s="60">
        <f t="array" aca="1" ref="J41" ca="1">IF(ISERROR(OFFSET(INDEX(Articles!$L69:$AA69, MATCH(FALSE, ISBLANK(Articles!$L69:$AA69),0)),0,1)),"N/A",OFFSET(INDEX(Articles!$L69:$AA69, MATCH(FALSE, ISBLANK(Articles!$L69:$AA69),0)),0,1))</f>
        <v>8.19</v>
      </c>
      <c r="K4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41" s="39"/>
      <c r="M41" s="51"/>
      <c r="N41" s="39" t="s">
        <v>401</v>
      </c>
      <c r="O41" s="51">
        <v>0.57499999999999996</v>
      </c>
      <c r="P41" s="39"/>
      <c r="Q41" s="51"/>
      <c r="R41" s="39"/>
      <c r="S41" s="51"/>
      <c r="T41" s="39"/>
      <c r="U41" s="51"/>
      <c r="V41" s="39"/>
      <c r="W41" s="51"/>
      <c r="X41" s="39"/>
      <c r="Y41" s="51">
        <v>0.57499999999999996</v>
      </c>
      <c r="Z41" s="42"/>
      <c r="AA41" s="60"/>
      <c r="AB41" s="40">
        <f>IF(Articles!$H69=1,IF(Articles!$F69&lt;Articles!$G69,1,""),"")</f>
        <v>1</v>
      </c>
    </row>
    <row r="42" spans="1:28" x14ac:dyDescent="0.25">
      <c r="A42" s="39" t="s">
        <v>216</v>
      </c>
      <c r="B42" s="40" t="s">
        <v>219</v>
      </c>
      <c r="C42" s="40" t="s">
        <v>410</v>
      </c>
      <c r="D42" s="40" t="s">
        <v>217</v>
      </c>
      <c r="E42" s="40" t="s">
        <v>568</v>
      </c>
      <c r="F42" s="63">
        <v>4</v>
      </c>
      <c r="G42" s="63">
        <v>0</v>
      </c>
      <c r="H42" s="63">
        <v>1</v>
      </c>
      <c r="I42" s="41" t="str">
        <f t="array" ref="I42">IF(ISERROR(INDEX(Articles!$L75:$Y75, MATCH(FALSE, ISBLANK(Articles!$L75:$Y75),0))),"N/A",INDEX(Articles!$L75:$Y75, MATCH(FALSE, ISBLANK(Articles!$L75:$Y75),0)))</f>
        <v>N/A</v>
      </c>
      <c r="J42" s="60">
        <f t="array" aca="1" ref="J42" ca="1">IF(ISERROR(OFFSET(INDEX(Articles!$L75:$AA75, MATCH(FALSE, ISBLANK(Articles!$L75:$AA75),0)),0,1)),"N/A",OFFSET(INDEX(Articles!$L75:$AA75, MATCH(FALSE, ISBLANK(Articles!$L75:$AA75),0)),0,1))</f>
        <v>0</v>
      </c>
      <c r="K4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42" s="39" t="s">
        <v>218</v>
      </c>
      <c r="M42" s="51">
        <v>2.64</v>
      </c>
      <c r="N42" s="39"/>
      <c r="O42" s="51"/>
      <c r="P42" s="39"/>
      <c r="Q42" s="51"/>
      <c r="R42" s="39"/>
      <c r="S42" s="51"/>
      <c r="T42" s="39"/>
      <c r="U42" s="51"/>
      <c r="V42" s="39"/>
      <c r="W42" s="51"/>
      <c r="X42" s="39"/>
      <c r="Y42" s="51"/>
      <c r="Z42" s="42"/>
      <c r="AA42" s="60"/>
      <c r="AB42" s="40" t="str">
        <f>IF(Articles!$H75=1,IF(Articles!$F75&lt;Articles!$G75,1,""),"")</f>
        <v/>
      </c>
    </row>
    <row r="43" spans="1:28" x14ac:dyDescent="0.25">
      <c r="A43" s="39" t="s">
        <v>489</v>
      </c>
      <c r="B43" s="40" t="s">
        <v>258</v>
      </c>
      <c r="C43" s="40" t="s">
        <v>352</v>
      </c>
      <c r="D43" s="40" t="s">
        <v>266</v>
      </c>
      <c r="E43" s="40" t="s">
        <v>563</v>
      </c>
      <c r="F43" s="63">
        <v>1</v>
      </c>
      <c r="G43" s="63">
        <v>0</v>
      </c>
      <c r="H43" s="63">
        <f>1</f>
        <v>1</v>
      </c>
      <c r="I43" s="41" t="str">
        <f t="array" ref="I43">IF(ISERROR(INDEX(Articles!$L37:$Y37, MATCH(FALSE, ISBLANK(Articles!$L37:$Y37),0))),"N/A",INDEX(Articles!$L37:$Y37, MATCH(FALSE, ISBLANK(Articles!$L37:$Y37),0)))</f>
        <v>MFU1206.63CT-ND</v>
      </c>
      <c r="J43" s="60">
        <f t="array" aca="1" ref="J43" ca="1">IF(ISERROR(OFFSET(INDEX(Articles!$L37:$AA37, MATCH(FALSE, ISBLANK(Articles!$L37:$AA37),0)),0,1)),"N/A",OFFSET(INDEX(Articles!$L37:$AA37, MATCH(FALSE, ISBLANK(Articles!$L37:$AA37),0)),0,1))</f>
        <v>0.97</v>
      </c>
      <c r="K4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43" s="39" t="s">
        <v>265</v>
      </c>
      <c r="M43" s="51">
        <v>0.72</v>
      </c>
      <c r="N43" s="39"/>
      <c r="O43" s="51"/>
      <c r="P43" s="39"/>
      <c r="Q43" s="51"/>
      <c r="R43" s="39"/>
      <c r="S43" s="51"/>
      <c r="T43" s="39"/>
      <c r="U43" s="51"/>
      <c r="V43" s="39"/>
      <c r="W43" s="51"/>
      <c r="X43" s="39"/>
      <c r="Y43" s="51"/>
      <c r="Z43" s="42"/>
      <c r="AA43" s="60"/>
      <c r="AB43" s="40" t="str">
        <f>IF(Articles!$H37=1,IF(Articles!$F37&lt;Articles!$G37,1,""),"")</f>
        <v/>
      </c>
    </row>
    <row r="44" spans="1:28" x14ac:dyDescent="0.25">
      <c r="A44" s="39" t="s">
        <v>488</v>
      </c>
      <c r="B44" s="40" t="s">
        <v>258</v>
      </c>
      <c r="C44" s="40" t="s">
        <v>352</v>
      </c>
      <c r="D44" s="40" t="s">
        <v>264</v>
      </c>
      <c r="E44" s="40" t="s">
        <v>563</v>
      </c>
      <c r="F44" s="63">
        <v>1</v>
      </c>
      <c r="G44" s="63">
        <v>0</v>
      </c>
      <c r="H44" s="63">
        <f>1</f>
        <v>1</v>
      </c>
      <c r="I44" s="41" t="str">
        <f t="array" ref="I44">IF(ISERROR(INDEX(Articles!$L38:$Y38, MATCH(FALSE, ISBLANK(Articles!$L38:$Y38),0))),"N/A",INDEX(Articles!$L38:$Y38, MATCH(FALSE, ISBLANK(Articles!$L38:$Y38),0)))</f>
        <v>507-2023-1-ND</v>
      </c>
      <c r="J44" s="60">
        <f t="array" aca="1" ref="J44" ca="1">IF(ISERROR(OFFSET(INDEX(Articles!$L38:$AA38, MATCH(FALSE, ISBLANK(Articles!$L38:$AA38),0)),0,1)),"N/A",OFFSET(INDEX(Articles!$L38:$AA38, MATCH(FALSE, ISBLANK(Articles!$L38:$AA38),0)),0,1))</f>
        <v>0.34</v>
      </c>
      <c r="K4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44" s="39" t="s">
        <v>263</v>
      </c>
      <c r="M44" s="51">
        <v>0.93</v>
      </c>
      <c r="N44" s="39"/>
      <c r="O44" s="51"/>
      <c r="P44" s="39"/>
      <c r="Q44" s="51"/>
      <c r="R44" s="39"/>
      <c r="S44" s="51"/>
      <c r="T44" s="39"/>
      <c r="U44" s="51"/>
      <c r="V44" s="39"/>
      <c r="W44" s="51"/>
      <c r="X44" s="39"/>
      <c r="Y44" s="51"/>
      <c r="Z44" s="42"/>
      <c r="AA44" s="60"/>
      <c r="AB44" s="40">
        <f>IF(Articles!$H38=1,IF(Articles!$F38&lt;Articles!$G38,1,""),"")</f>
        <v>1</v>
      </c>
    </row>
    <row r="45" spans="1:28" x14ac:dyDescent="0.25">
      <c r="A45" s="39" t="s">
        <v>118</v>
      </c>
      <c r="B45" s="40" t="s">
        <v>91</v>
      </c>
      <c r="C45" s="40" t="s">
        <v>352</v>
      </c>
      <c r="D45" s="40" t="s">
        <v>28</v>
      </c>
      <c r="E45" s="40" t="s">
        <v>559</v>
      </c>
      <c r="F45" s="63">
        <v>100</v>
      </c>
      <c r="G45" s="63">
        <f>10</f>
        <v>10</v>
      </c>
      <c r="H45" s="63">
        <f>1</f>
        <v>1</v>
      </c>
      <c r="I45" s="41" t="str">
        <f t="array" ref="I45">IF(ISERROR(INDEX(Articles!$L18:$Y18, MATCH(FALSE, ISBLANK(Articles!$L18:$Y18),0))),"N/A",INDEX(Articles!$L18:$Y18, MATCH(FALSE, ISBLANK(Articles!$L18:$Y18),0)))</f>
        <v>720-1805-1-ND</v>
      </c>
      <c r="J45" s="60">
        <f t="array" aca="1" ref="J45" ca="1">IF(ISERROR(OFFSET(INDEX(Articles!$L18:$AA18, MATCH(FALSE, ISBLANK(Articles!$L18:$AA18),0)),0,1)),"N/A",OFFSET(INDEX(Articles!$L18:$AA18, MATCH(FALSE, ISBLANK(Articles!$L18:$AA18),0)),0,1))</f>
        <v>0.42</v>
      </c>
      <c r="K4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45" s="39" t="s">
        <v>471</v>
      </c>
      <c r="M45" s="51">
        <v>0.26</v>
      </c>
      <c r="N45" s="39" t="s">
        <v>164</v>
      </c>
      <c r="O45" s="51">
        <v>0.112</v>
      </c>
      <c r="P45" s="39"/>
      <c r="Q45" s="51"/>
      <c r="R45" s="39"/>
      <c r="S45" s="51"/>
      <c r="T45" s="39"/>
      <c r="U45" s="51"/>
      <c r="V45" s="39"/>
      <c r="W45" s="51"/>
      <c r="X45" s="39"/>
      <c r="Y45" s="51">
        <v>0.112</v>
      </c>
      <c r="Z45" s="42"/>
      <c r="AA45" s="60"/>
      <c r="AB45" s="40">
        <f>IF(Articles!$H18=1,IF(Articles!$F18&lt;Articles!$G18,1,""),"")</f>
        <v>1</v>
      </c>
    </row>
    <row r="46" spans="1:28" x14ac:dyDescent="0.25">
      <c r="A46" s="39" t="s">
        <v>90</v>
      </c>
      <c r="B46" s="40" t="s">
        <v>91</v>
      </c>
      <c r="C46" s="40" t="s">
        <v>352</v>
      </c>
      <c r="D46" s="40" t="s">
        <v>96</v>
      </c>
      <c r="E46" s="40" t="s">
        <v>559</v>
      </c>
      <c r="F46" s="63">
        <v>0</v>
      </c>
      <c r="G46" s="63">
        <v>0</v>
      </c>
      <c r="H46" s="63">
        <f>1</f>
        <v>1</v>
      </c>
      <c r="I46" s="41" t="str">
        <f t="array" ref="I46">IF(ISERROR(INDEX(Articles!$L33:$Y33, MATCH(FALSE, ISBLANK(Articles!$L33:$Y33),0))),"N/A",INDEX(Articles!$L33:$Y33, MATCH(FALSE, ISBLANK(Articles!$L33:$Y33),0)))</f>
        <v>418973 - 62</v>
      </c>
      <c r="J46" s="60">
        <f t="array" aca="1" ref="J46" ca="1">IF(ISERROR(OFFSET(INDEX(Articles!$L33:$AA33, MATCH(FALSE, ISBLANK(Articles!$L33:$AA33),0)),0,1)),"N/A",OFFSET(INDEX(Articles!$L33:$AA33, MATCH(FALSE, ISBLANK(Articles!$L33:$AA33),0)),0,1))</f>
        <v>0.31</v>
      </c>
      <c r="K4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46" s="39" t="s">
        <v>475</v>
      </c>
      <c r="M46" s="51">
        <v>1.38</v>
      </c>
      <c r="N46" s="39" t="s">
        <v>89</v>
      </c>
      <c r="O46" s="51">
        <v>0.32600000000000001</v>
      </c>
      <c r="P46" s="39"/>
      <c r="Q46" s="51"/>
      <c r="R46" s="39"/>
      <c r="S46" s="51"/>
      <c r="T46" s="39"/>
      <c r="U46" s="51"/>
      <c r="V46" s="39"/>
      <c r="W46" s="51"/>
      <c r="X46" s="39"/>
      <c r="Y46" s="51">
        <v>0.32600000000000001</v>
      </c>
      <c r="Z46" s="42"/>
      <c r="AA46" s="60"/>
      <c r="AB46" s="40">
        <f>IF(Articles!$H33=1,IF(Articles!$F33&lt;Articles!$G33,1,""),"")</f>
        <v>1</v>
      </c>
    </row>
    <row r="47" spans="1:28" x14ac:dyDescent="0.25">
      <c r="A47" s="39" t="s">
        <v>191</v>
      </c>
      <c r="B47" s="40" t="s">
        <v>177</v>
      </c>
      <c r="C47" s="40" t="s">
        <v>352</v>
      </c>
      <c r="D47" s="40" t="s">
        <v>192</v>
      </c>
      <c r="E47" s="40" t="s">
        <v>569</v>
      </c>
      <c r="F47" s="63">
        <v>1</v>
      </c>
      <c r="G47" s="63">
        <v>0</v>
      </c>
      <c r="H47" s="63">
        <f>1</f>
        <v>1</v>
      </c>
      <c r="I47" s="41" t="str">
        <f t="array" ref="I47">IF(ISERROR(INDEX(Articles!$L57:$Y57, MATCH(FALSE, ISBLANK(Articles!$L57:$Y57),0))),"N/A",INDEX(Articles!$L57:$Y57, MATCH(FALSE, ISBLANK(Articles!$L57:$Y57),0)))</f>
        <v>1287598</v>
      </c>
      <c r="J47" s="60">
        <f t="array" aca="1" ref="J47" ca="1">IF(ISERROR(OFFSET(INDEX(Articles!$L57:$AA57, MATCH(FALSE, ISBLANK(Articles!$L57:$AA57),0)),0,1)),"N/A",OFFSET(INDEX(Articles!$L57:$AA57, MATCH(FALSE, ISBLANK(Articles!$L57:$AA57),0)),0,1))</f>
        <v>0.33100000000000002</v>
      </c>
      <c r="K4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47" s="39" t="s">
        <v>190</v>
      </c>
      <c r="M47" s="51">
        <v>1.82</v>
      </c>
      <c r="N47" s="39"/>
      <c r="O47" s="51"/>
      <c r="P47" s="39"/>
      <c r="Q47" s="51"/>
      <c r="R47" s="39"/>
      <c r="S47" s="51"/>
      <c r="T47" s="39"/>
      <c r="U47" s="51"/>
      <c r="V47" s="39"/>
      <c r="W47" s="51"/>
      <c r="X47" s="39"/>
      <c r="Y47" s="51"/>
      <c r="Z47" s="42"/>
      <c r="AA47" s="60"/>
      <c r="AB47" s="40" t="str">
        <f>IF(Articles!$H57=1,IF(Articles!$F57&lt;Articles!$G57,1,""),"")</f>
        <v/>
      </c>
    </row>
    <row r="48" spans="1:28" x14ac:dyDescent="0.25">
      <c r="A48" s="39" t="s">
        <v>221</v>
      </c>
      <c r="B48" s="40" t="s">
        <v>80</v>
      </c>
      <c r="C48" s="40" t="s">
        <v>406</v>
      </c>
      <c r="D48" s="40" t="s">
        <v>222</v>
      </c>
      <c r="E48" s="40" t="s">
        <v>569</v>
      </c>
      <c r="F48" s="63">
        <v>24</v>
      </c>
      <c r="G48" s="63">
        <v>0</v>
      </c>
      <c r="H48" s="63">
        <f>1</f>
        <v>1</v>
      </c>
      <c r="I48" s="41" t="str">
        <f t="array" ref="I48">IF(ISERROR(INDEX(Articles!$L74:$Y74, MATCH(FALSE, ISBLANK(Articles!$L74:$Y74),0))),"N/A",INDEX(Articles!$L74:$Y74, MATCH(FALSE, ISBLANK(Articles!$L74:$Y74),0)))</f>
        <v>N/A</v>
      </c>
      <c r="J48" s="60">
        <f t="array" aca="1" ref="J48" ca="1">IF(ISERROR(OFFSET(INDEX(Articles!$L74:$AA74, MATCH(FALSE, ISBLANK(Articles!$L74:$AA74),0)),0,1)),"N/A",OFFSET(INDEX(Articles!$L74:$AA74, MATCH(FALSE, ISBLANK(Articles!$L74:$AA74),0)),0,1))</f>
        <v>0</v>
      </c>
      <c r="K4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48" s="39" t="s">
        <v>223</v>
      </c>
      <c r="M48" s="51">
        <v>0.11</v>
      </c>
      <c r="N48" s="39"/>
      <c r="O48" s="51"/>
      <c r="P48" s="39"/>
      <c r="Q48" s="51"/>
      <c r="R48" s="39"/>
      <c r="S48" s="51"/>
      <c r="T48" s="39"/>
      <c r="U48" s="51"/>
      <c r="V48" s="39"/>
      <c r="W48" s="51"/>
      <c r="X48" s="39"/>
      <c r="Y48" s="51"/>
      <c r="Z48" s="42"/>
      <c r="AA48" s="60"/>
      <c r="AB48" s="40" t="str">
        <f>IF(Articles!$H74=1,IF(Articles!$F74&lt;Articles!$G74,1,""),"")</f>
        <v/>
      </c>
    </row>
    <row r="49" spans="1:28" x14ac:dyDescent="0.25">
      <c r="A49" s="39" t="s">
        <v>27</v>
      </c>
      <c r="B49" s="40" t="s">
        <v>45</v>
      </c>
      <c r="C49" s="40" t="s">
        <v>404</v>
      </c>
      <c r="D49" s="40" t="s">
        <v>25</v>
      </c>
      <c r="E49" s="40" t="s">
        <v>569</v>
      </c>
      <c r="F49" s="63">
        <v>9</v>
      </c>
      <c r="G49" s="63">
        <v>20</v>
      </c>
      <c r="H49" s="63">
        <f>1</f>
        <v>1</v>
      </c>
      <c r="I49" s="41" t="str">
        <f t="array" ref="I49">IF(ISERROR(INDEX(Articles!$L76:$Y76, MATCH(FALSE, ISBLANK(Articles!$L76:$Y76),0))),"N/A",INDEX(Articles!$L76:$Y76, MATCH(FALSE, ISBLANK(Articles!$L76:$Y76),0)))</f>
        <v>NSL-19M51-ND</v>
      </c>
      <c r="J49" s="60">
        <f t="array" aca="1" ref="J49" ca="1">IF(ISERROR(OFFSET(INDEX(Articles!$L76:$AA76, MATCH(FALSE, ISBLANK(Articles!$L76:$AA76),0)),0,1)),"N/A",OFFSET(INDEX(Articles!$L76:$AA76, MATCH(FALSE, ISBLANK(Articles!$L76:$AA76),0)),0,1))</f>
        <v>1.07</v>
      </c>
      <c r="K4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49" s="39" t="s">
        <v>479</v>
      </c>
      <c r="M49" s="51">
        <v>0.35</v>
      </c>
      <c r="N49" s="39" t="s">
        <v>403</v>
      </c>
      <c r="O49" s="51">
        <v>0.26500000000000001</v>
      </c>
      <c r="P49" s="39"/>
      <c r="Q49" s="51"/>
      <c r="R49" s="39"/>
      <c r="S49" s="51"/>
      <c r="T49" s="39"/>
      <c r="U49" s="51"/>
      <c r="V49" s="39"/>
      <c r="W49" s="51"/>
      <c r="X49" s="39"/>
      <c r="Y49" s="51">
        <v>0.26500000000000001</v>
      </c>
      <c r="Z49" s="42"/>
      <c r="AA49" s="60"/>
      <c r="AB49" s="40" t="str">
        <f>IF(Articles!$H76=1,IF(Articles!$F76&lt;Articles!$G76,1,""),"")</f>
        <v/>
      </c>
    </row>
    <row r="50" spans="1:28" x14ac:dyDescent="0.25">
      <c r="A50" s="39" t="s">
        <v>229</v>
      </c>
      <c r="B50" s="40" t="s">
        <v>160</v>
      </c>
      <c r="C50" s="40" t="s">
        <v>415</v>
      </c>
      <c r="D50" s="40" t="s">
        <v>230</v>
      </c>
      <c r="E50" s="40" t="s">
        <v>554</v>
      </c>
      <c r="F50" s="63">
        <v>9</v>
      </c>
      <c r="G50" s="63">
        <f>10</f>
        <v>10</v>
      </c>
      <c r="H50" s="63">
        <f>1</f>
        <v>1</v>
      </c>
      <c r="I50" s="41">
        <f t="array" ref="I50">IF(ISERROR(INDEX(Articles!$L16:$Y16, MATCH(FALSE, ISBLANK(Articles!$L16:$Y16),0))),"N/A",INDEX(Articles!$L16:$Y16, MATCH(FALSE, ISBLANK(Articles!$L16:$Y16),0)))</f>
        <v>9451242</v>
      </c>
      <c r="J50" s="60">
        <f t="array" aca="1" ref="J50" ca="1">IF(ISERROR(OFFSET(INDEX(Articles!$L16:$AA16, MATCH(FALSE, ISBLANK(Articles!$L16:$AA16),0)),0,1)),"N/A",OFFSET(INDEX(Articles!$L16:$AA16, MATCH(FALSE, ISBLANK(Articles!$L16:$AA16),0)),0,1))</f>
        <v>5.1700000000000003E-2</v>
      </c>
      <c r="K5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50" s="39" t="s">
        <v>228</v>
      </c>
      <c r="M50" s="51">
        <v>0.14000000000000001</v>
      </c>
      <c r="N50" s="39"/>
      <c r="O50" s="51"/>
      <c r="P50" s="39"/>
      <c r="Q50" s="51"/>
      <c r="R50" s="39"/>
      <c r="S50" s="51"/>
      <c r="T50" s="39"/>
      <c r="U50" s="51"/>
      <c r="V50" s="39"/>
      <c r="W50" s="51"/>
      <c r="X50" s="39"/>
      <c r="Y50" s="51"/>
      <c r="Z50" s="42"/>
      <c r="AA50" s="60"/>
      <c r="AB50" s="40" t="str">
        <f>IF(Articles!$H16=1,IF(Articles!$F16&lt;Articles!$G16,1,""),"")</f>
        <v/>
      </c>
    </row>
    <row r="51" spans="1:28" x14ac:dyDescent="0.25">
      <c r="A51" s="40" t="s">
        <v>141</v>
      </c>
      <c r="B51" s="40" t="s">
        <v>160</v>
      </c>
      <c r="C51" s="40" t="s">
        <v>352</v>
      </c>
      <c r="D51" s="40" t="s">
        <v>142</v>
      </c>
      <c r="E51" s="40" t="s">
        <v>554</v>
      </c>
      <c r="F51" s="63">
        <v>5</v>
      </c>
      <c r="G51" s="63">
        <v>0</v>
      </c>
      <c r="H51" s="63">
        <f>1</f>
        <v>1</v>
      </c>
      <c r="I51" s="41" t="str">
        <f t="array" ref="I51">IF(ISERROR(INDEX(Articles!$L17:$Y17, MATCH(FALSE, ISBLANK(Articles!$L17:$Y17),0))),"N/A",INDEX(Articles!$L17:$Y17, MATCH(FALSE, ISBLANK(Articles!$L17:$Y17),0)))</f>
        <v>9451234</v>
      </c>
      <c r="J51" s="60">
        <f t="array" aca="1" ref="J51" ca="1">IF(ISERROR(OFFSET(INDEX(Articles!$L17:$AA17, MATCH(FALSE, ISBLANK(Articles!$L17:$AA17),0)),0,1)),"N/A",OFFSET(INDEX(Articles!$L17:$AA17, MATCH(FALSE, ISBLANK(Articles!$L17:$AA17),0)),0,1))</f>
        <v>5.0900000000000001E-2</v>
      </c>
      <c r="K5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51" s="39" t="s">
        <v>140</v>
      </c>
      <c r="M51" s="51">
        <v>0.45</v>
      </c>
      <c r="N51" s="39"/>
      <c r="O51" s="51"/>
      <c r="P51" s="39"/>
      <c r="Q51" s="51"/>
      <c r="R51" s="39"/>
      <c r="S51" s="51"/>
      <c r="T51" s="39"/>
      <c r="U51" s="51"/>
      <c r="V51" s="39"/>
      <c r="W51" s="51"/>
      <c r="X51" s="39"/>
      <c r="Y51" s="51"/>
      <c r="Z51" s="42"/>
      <c r="AA51" s="60"/>
      <c r="AB51" s="40" t="str">
        <f>IF(Articles!$H17=1,IF(Articles!$F17&lt;Articles!$G17,1,""),"")</f>
        <v/>
      </c>
    </row>
    <row r="52" spans="1:28" x14ac:dyDescent="0.25">
      <c r="A52" s="39" t="s">
        <v>34</v>
      </c>
      <c r="B52" s="40" t="s">
        <v>33</v>
      </c>
      <c r="C52" s="40" t="s">
        <v>352</v>
      </c>
      <c r="D52" s="40" t="s">
        <v>32</v>
      </c>
      <c r="E52" s="40" t="s">
        <v>554</v>
      </c>
      <c r="F52" s="63">
        <v>4</v>
      </c>
      <c r="G52" s="63">
        <v>2</v>
      </c>
      <c r="H52" s="63">
        <f>1</f>
        <v>1</v>
      </c>
      <c r="I52" s="41" t="str">
        <f t="array" ref="I52">IF(ISERROR(INDEX(Articles!$L32:$Y32, MATCH(FALSE, ISBLANK(Articles!$L32:$Y32),0))),"N/A",INDEX(Articles!$L32:$Y32, MATCH(FALSE, ISBLANK(Articles!$L32:$Y32),0)))</f>
        <v>F10794-ND</v>
      </c>
      <c r="J52" s="60">
        <f t="array" aca="1" ref="J52" ca="1">IF(ISERROR(OFFSET(INDEX(Articles!$L32:$AA32, MATCH(FALSE, ISBLANK(Articles!$L32:$AA32),0)),0,1)),"N/A",OFFSET(INDEX(Articles!$L32:$AA32, MATCH(FALSE, ISBLANK(Articles!$L32:$AA32),0)),0,1))</f>
        <v>1.82</v>
      </c>
      <c r="K5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52" s="39"/>
      <c r="M52" s="51"/>
      <c r="N52" s="39">
        <v>2112100</v>
      </c>
      <c r="O52" s="51">
        <v>0.28999999999999998</v>
      </c>
      <c r="P52" s="39"/>
      <c r="Q52" s="51"/>
      <c r="R52" s="39"/>
      <c r="S52" s="51"/>
      <c r="T52" s="39"/>
      <c r="U52" s="51"/>
      <c r="V52" s="39"/>
      <c r="W52" s="51"/>
      <c r="X52" s="39"/>
      <c r="Y52" s="51">
        <v>0.28999999999999998</v>
      </c>
      <c r="Z52" s="42"/>
      <c r="AA52" s="60"/>
      <c r="AB52" s="40" t="str">
        <f>IF(Articles!$H32=1,IF(Articles!$F32&lt;Articles!$G32,1,""),"")</f>
        <v/>
      </c>
    </row>
    <row r="53" spans="1:28" x14ac:dyDescent="0.25">
      <c r="A53" s="39" t="s">
        <v>194</v>
      </c>
      <c r="B53" s="40" t="s">
        <v>177</v>
      </c>
      <c r="C53" s="40" t="s">
        <v>352</v>
      </c>
      <c r="D53" s="40" t="s">
        <v>195</v>
      </c>
      <c r="E53" s="40" t="s">
        <v>554</v>
      </c>
      <c r="F53" s="63">
        <v>2</v>
      </c>
      <c r="G53" s="63">
        <v>0</v>
      </c>
      <c r="H53" s="63">
        <f>1</f>
        <v>1</v>
      </c>
      <c r="I53" s="41" t="str">
        <f t="array" ref="I53">IF(ISERROR(INDEX(Articles!$L90:$Y90, MATCH(FALSE, ISBLANK(Articles!$L90:$Y90),0))),"N/A",INDEX(Articles!$L90:$Y90, MATCH(FALSE, ISBLANK(Articles!$L90:$Y90),0)))</f>
        <v>2073701</v>
      </c>
      <c r="J53" s="60">
        <f t="array" aca="1" ref="J53" ca="1">IF(ISERROR(OFFSET(INDEX(Articles!$L90:$AA90, MATCH(FALSE, ISBLANK(Articles!$L90:$AA90),0)),0,1)),"N/A",OFFSET(INDEX(Articles!$L90:$AA90, MATCH(FALSE, ISBLANK(Articles!$L90:$AA90),0)),0,1))</f>
        <v>1.55E-2</v>
      </c>
      <c r="K5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53" s="39" t="s">
        <v>193</v>
      </c>
      <c r="M53" s="51">
        <v>2.64</v>
      </c>
      <c r="N53" s="39"/>
      <c r="O53" s="51"/>
      <c r="P53" s="39"/>
      <c r="Q53" s="51"/>
      <c r="R53" s="39"/>
      <c r="S53" s="51"/>
      <c r="T53" s="39"/>
      <c r="U53" s="51"/>
      <c r="V53" s="39"/>
      <c r="W53" s="51"/>
      <c r="X53" s="39"/>
      <c r="Y53" s="51"/>
      <c r="Z53" s="42"/>
      <c r="AA53" s="60"/>
      <c r="AB53" s="40">
        <f>IF(Articles!$H90=1,IF(Articles!$F90&lt;Articles!$G90,1,""),"")</f>
        <v>1</v>
      </c>
    </row>
    <row r="54" spans="1:28" x14ac:dyDescent="0.25">
      <c r="A54" s="39" t="s">
        <v>231</v>
      </c>
      <c r="B54" s="40" t="s">
        <v>161</v>
      </c>
      <c r="C54" s="40" t="s">
        <v>414</v>
      </c>
      <c r="D54" s="40" t="s">
        <v>232</v>
      </c>
      <c r="E54" s="40" t="s">
        <v>554</v>
      </c>
      <c r="F54" s="63">
        <v>9</v>
      </c>
      <c r="G54" s="63">
        <v>10</v>
      </c>
      <c r="H54" s="63">
        <f>1</f>
        <v>1</v>
      </c>
      <c r="I54" s="41" t="str">
        <f t="array" ref="I54">IF(ISERROR(INDEX(Articles!$L92:$Y92, MATCH(FALSE, ISBLANK(Articles!$L92:$Y92),0))),"N/A",INDEX(Articles!$L92:$Y92, MATCH(FALSE, ISBLANK(Articles!$L92:$Y92),0)))</f>
        <v>2694097</v>
      </c>
      <c r="J54" s="60">
        <f t="array" aca="1" ref="J54" ca="1">IF(ISERROR(OFFSET(INDEX(Articles!$L92:$AA92, MATCH(FALSE, ISBLANK(Articles!$L92:$AA92),0)),0,1)),"N/A",OFFSET(INDEX(Articles!$L92:$AA92, MATCH(FALSE, ISBLANK(Articles!$L92:$AA92),0)),0,1))</f>
        <v>2.3900000000000001E-2</v>
      </c>
      <c r="K5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54" s="39" t="s">
        <v>231</v>
      </c>
      <c r="M54" s="51">
        <v>0.52</v>
      </c>
      <c r="N54" s="39"/>
      <c r="O54" s="51"/>
      <c r="P54" s="39"/>
      <c r="Q54" s="51"/>
      <c r="R54" s="39"/>
      <c r="S54" s="51"/>
      <c r="T54" s="39"/>
      <c r="U54" s="51"/>
      <c r="V54" s="39"/>
      <c r="W54" s="51"/>
      <c r="X54" s="39"/>
      <c r="Y54" s="51"/>
      <c r="Z54" s="42"/>
      <c r="AA54" s="60"/>
      <c r="AB54" s="40">
        <f>IF(Articles!$H92=1,IF(Articles!$F92&lt;Articles!$G92,1,""),"")</f>
        <v>1</v>
      </c>
    </row>
    <row r="55" spans="1:28" x14ac:dyDescent="0.25">
      <c r="A55" s="40" t="s">
        <v>144</v>
      </c>
      <c r="B55" s="40" t="s">
        <v>161</v>
      </c>
      <c r="C55" s="40" t="s">
        <v>352</v>
      </c>
      <c r="D55" s="40" t="s">
        <v>145</v>
      </c>
      <c r="E55" s="40" t="s">
        <v>554</v>
      </c>
      <c r="F55" s="63">
        <v>2</v>
      </c>
      <c r="G55" s="63">
        <v>0</v>
      </c>
      <c r="H55" s="63">
        <f>1</f>
        <v>1</v>
      </c>
      <c r="I55" s="41" t="str">
        <f t="array" ref="I55">IF(ISERROR(INDEX(Articles!$L96:$Y96, MATCH(FALSE, ISBLANK(Articles!$L96:$Y96),0))),"N/A",INDEX(Articles!$L96:$Y96, MATCH(FALSE, ISBLANK(Articles!$L96:$Y96),0)))</f>
        <v>2678574</v>
      </c>
      <c r="J55" s="60">
        <f t="array" aca="1" ref="J55" ca="1">IF(ISERROR(OFFSET(INDEX(Articles!$L96:$AA96, MATCH(FALSE, ISBLANK(Articles!$L96:$AA96),0)),0,1)),"N/A",OFFSET(INDEX(Articles!$L96:$AA96, MATCH(FALSE, ISBLANK(Articles!$L96:$AA96),0)),0,1))</f>
        <v>0.26500000000000001</v>
      </c>
      <c r="K5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55" s="39" t="s">
        <v>143</v>
      </c>
      <c r="M55" s="51">
        <v>2.52</v>
      </c>
      <c r="N55" s="39"/>
      <c r="O55" s="51"/>
      <c r="P55" s="39"/>
      <c r="Q55" s="51"/>
      <c r="R55" s="39"/>
      <c r="S55" s="51"/>
      <c r="T55" s="39"/>
      <c r="U55" s="51"/>
      <c r="V55" s="39"/>
      <c r="W55" s="51"/>
      <c r="X55" s="39"/>
      <c r="Y55" s="51"/>
      <c r="Z55" s="42"/>
      <c r="AA55" s="60"/>
      <c r="AB55" s="40" t="str">
        <f>IF(Articles!$H96=1,IF(Articles!$F96&lt;Articles!$G96,1,""),"")</f>
        <v/>
      </c>
    </row>
    <row r="56" spans="1:28" x14ac:dyDescent="0.25">
      <c r="A56" s="39" t="s">
        <v>136</v>
      </c>
      <c r="B56" s="40" t="s">
        <v>127</v>
      </c>
      <c r="C56" s="40" t="s">
        <v>405</v>
      </c>
      <c r="D56" s="40" t="s">
        <v>135</v>
      </c>
      <c r="E56" s="40" t="s">
        <v>575</v>
      </c>
      <c r="F56" s="63">
        <v>5</v>
      </c>
      <c r="G56" s="63">
        <v>0</v>
      </c>
      <c r="H56" s="63">
        <f>1</f>
        <v>1</v>
      </c>
      <c r="I56" s="41" t="str">
        <f t="array" ref="I56">IF(ISERROR(INDEX(Articles!$L87:$Y87, MATCH(FALSE, ISBLANK(Articles!$L87:$Y87),0))),"N/A",INDEX(Articles!$L87:$Y87, MATCH(FALSE, ISBLANK(Articles!$L87:$Y87),0)))</f>
        <v>P150CCT-ND</v>
      </c>
      <c r="J56" s="60">
        <f t="array" aca="1" ref="J56" ca="1">IF(ISERROR(OFFSET(INDEX(Articles!$L87:$AA87, MATCH(FALSE, ISBLANK(Articles!$L87:$AA87),0)),0,1)),"N/A",OFFSET(INDEX(Articles!$L87:$AA87, MATCH(FALSE, ISBLANK(Articles!$L87:$AA87),0)),0,1))</f>
        <v>8.1000000000000003E-2</v>
      </c>
      <c r="K5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56" s="39"/>
      <c r="M56" s="51"/>
      <c r="N56" s="39" t="s">
        <v>137</v>
      </c>
      <c r="O56" s="51">
        <v>0.27100000000000002</v>
      </c>
      <c r="P56" s="39"/>
      <c r="Q56" s="51"/>
      <c r="R56" s="39"/>
      <c r="S56" s="51"/>
      <c r="T56" s="39"/>
      <c r="U56" s="51"/>
      <c r="V56" s="39"/>
      <c r="W56" s="51"/>
      <c r="X56" s="39"/>
      <c r="Y56" s="51">
        <v>0.27100000000000002</v>
      </c>
      <c r="Z56" s="42"/>
      <c r="AA56" s="60"/>
      <c r="AB56" s="40" t="str">
        <f>IF(Articles!$H87=1,IF(Articles!$F87&lt;Articles!$G87,1,""),"")</f>
        <v/>
      </c>
    </row>
    <row r="57" spans="1:28" x14ac:dyDescent="0.25">
      <c r="A57" s="39" t="s">
        <v>9</v>
      </c>
      <c r="B57" s="40" t="s">
        <v>7</v>
      </c>
      <c r="C57" s="40" t="s">
        <v>397</v>
      </c>
      <c r="D57" s="40" t="s">
        <v>10</v>
      </c>
      <c r="E57" s="40" t="s">
        <v>575</v>
      </c>
      <c r="F57" s="63">
        <v>4</v>
      </c>
      <c r="G57" s="63">
        <v>0</v>
      </c>
      <c r="H57" s="63">
        <f>1</f>
        <v>1</v>
      </c>
      <c r="I57" s="41" t="str">
        <f t="array" ref="I57">IF(ISERROR(INDEX(Articles!$L88:$Y88, MATCH(FALSE, ISBLANK(Articles!$L88:$Y88),0))),"N/A",INDEX(Articles!$L88:$Y88, MATCH(FALSE, ISBLANK(Articles!$L88:$Y88),0)))</f>
        <v>2380458</v>
      </c>
      <c r="J57" s="60">
        <f t="array" aca="1" ref="J57" ca="1">IF(ISERROR(OFFSET(INDEX(Articles!$L88:$AA88, MATCH(FALSE, ISBLANK(Articles!$L88:$AA88),0)),0,1)),"N/A",OFFSET(INDEX(Articles!$L88:$AA88, MATCH(FALSE, ISBLANK(Articles!$L88:$AA88),0)),0,1))</f>
        <v>3.7499999999999999E-2</v>
      </c>
      <c r="K5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57" s="39"/>
      <c r="M57" s="51"/>
      <c r="N57" s="39" t="s">
        <v>396</v>
      </c>
      <c r="O57" s="51">
        <v>0.33100000000000002</v>
      </c>
      <c r="P57" s="39"/>
      <c r="Q57" s="51"/>
      <c r="R57" s="39"/>
      <c r="S57" s="51"/>
      <c r="T57" s="39"/>
      <c r="U57" s="51"/>
      <c r="V57" s="39"/>
      <c r="W57" s="51"/>
      <c r="X57" s="39"/>
      <c r="Y57" s="51">
        <v>0.33100000000000002</v>
      </c>
      <c r="Z57" s="42"/>
      <c r="AA57" s="60"/>
      <c r="AB57" s="40">
        <f>IF(Articles!$H88=1,IF(Articles!$F88&lt;Articles!$G88,1,""),"")</f>
        <v>1</v>
      </c>
    </row>
    <row r="58" spans="1:28" x14ac:dyDescent="0.25">
      <c r="A58" s="40" t="s">
        <v>153</v>
      </c>
      <c r="B58" s="40" t="s">
        <v>80</v>
      </c>
      <c r="C58" s="40" t="s">
        <v>352</v>
      </c>
      <c r="D58" s="40" t="s">
        <v>154</v>
      </c>
      <c r="E58" s="40" t="s">
        <v>572</v>
      </c>
      <c r="F58" s="63">
        <v>3</v>
      </c>
      <c r="G58" s="63">
        <v>1</v>
      </c>
      <c r="H58" s="63">
        <f>1</f>
        <v>1</v>
      </c>
      <c r="I58" s="41" t="str">
        <f t="array" ref="I58">IF(ISERROR(INDEX(Articles!$L78:$Y78, MATCH(FALSE, ISBLANK(Articles!$L78:$Y78),0))),"N/A",INDEX(Articles!$L78:$Y78, MATCH(FALSE, ISBLANK(Articles!$L78:$Y78),0)))</f>
        <v>2682731</v>
      </c>
      <c r="J58" s="60">
        <f t="array" aca="1" ref="J58" ca="1">IF(ISERROR(OFFSET(INDEX(Articles!$L78:$AA78, MATCH(FALSE, ISBLANK(Articles!$L78:$AA78),0)),0,1)),"N/A",OFFSET(INDEX(Articles!$L78:$AA78, MATCH(FALSE, ISBLANK(Articles!$L78:$AA78),0)),0,1))</f>
        <v>3.64</v>
      </c>
      <c r="K5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58" s="39" t="s">
        <v>152</v>
      </c>
      <c r="M58" s="51">
        <v>1.53</v>
      </c>
      <c r="N58" s="39"/>
      <c r="O58" s="51"/>
      <c r="P58" s="39"/>
      <c r="Q58" s="51"/>
      <c r="R58" s="39"/>
      <c r="S58" s="51"/>
      <c r="T58" s="39"/>
      <c r="U58" s="51"/>
      <c r="V58" s="39"/>
      <c r="W58" s="51"/>
      <c r="X58" s="39"/>
      <c r="Y58" s="51"/>
      <c r="Z58" s="42"/>
      <c r="AA58" s="60"/>
      <c r="AB58" s="40" t="str">
        <f>IF(Articles!$H78=1,IF(Articles!$F78&lt;Articles!$G78,1,""),"")</f>
        <v/>
      </c>
    </row>
    <row r="59" spans="1:28" x14ac:dyDescent="0.25">
      <c r="A59" s="40" t="s">
        <v>81</v>
      </c>
      <c r="B59" s="40" t="s">
        <v>80</v>
      </c>
      <c r="C59" s="40" t="s">
        <v>352</v>
      </c>
      <c r="D59" s="40" t="s">
        <v>79</v>
      </c>
      <c r="E59" s="40" t="s">
        <v>572</v>
      </c>
      <c r="F59" s="63">
        <v>2</v>
      </c>
      <c r="G59" s="63">
        <v>1</v>
      </c>
      <c r="H59" s="63">
        <f>1</f>
        <v>1</v>
      </c>
      <c r="I59" s="41" t="str">
        <f t="array" ref="I59">IF(ISERROR(INDEX(Articles!$L79:$Y79, MATCH(FALSE, ISBLANK(Articles!$L79:$Y79),0))),"N/A",INDEX(Articles!$L79:$Y79, MATCH(FALSE, ISBLANK(Articles!$L79:$Y79),0)))</f>
        <v>XQDAWT-00-0000-00000BF50CT-ND</v>
      </c>
      <c r="J59" s="60">
        <f t="array" aca="1" ref="J59" ca="1">IF(ISERROR(OFFSET(INDEX(Articles!$L79:$AA79, MATCH(FALSE, ISBLANK(Articles!$L79:$AA79),0)),0,1)),"N/A",OFFSET(INDEX(Articles!$L79:$AA79, MATCH(FALSE, ISBLANK(Articles!$L79:$AA79),0)),0,1))</f>
        <v>0.8</v>
      </c>
      <c r="K5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59" s="39" t="s">
        <v>78</v>
      </c>
      <c r="M59" s="51">
        <v>1.57</v>
      </c>
      <c r="N59" s="39"/>
      <c r="O59" s="51"/>
      <c r="P59" s="39"/>
      <c r="Q59" s="51"/>
      <c r="R59" s="39"/>
      <c r="S59" s="51"/>
      <c r="T59" s="39"/>
      <c r="U59" s="51"/>
      <c r="V59" s="39"/>
      <c r="W59" s="51"/>
      <c r="X59" s="39"/>
      <c r="Y59" s="51"/>
      <c r="Z59" s="42"/>
      <c r="AA59" s="60"/>
      <c r="AB59" s="40" t="str">
        <f>IF(Articles!$H79=1,IF(Articles!$F79&lt;Articles!$G79,1,""),"")</f>
        <v/>
      </c>
    </row>
    <row r="60" spans="1:28" x14ac:dyDescent="0.25">
      <c r="A60" s="40" t="s">
        <v>147</v>
      </c>
      <c r="B60" s="40" t="s">
        <v>80</v>
      </c>
      <c r="C60" s="40" t="s">
        <v>408</v>
      </c>
      <c r="D60" s="40" t="s">
        <v>148</v>
      </c>
      <c r="E60" s="40" t="s">
        <v>572</v>
      </c>
      <c r="F60" s="63">
        <v>3</v>
      </c>
      <c r="G60" s="63">
        <v>1</v>
      </c>
      <c r="H60" s="63">
        <f>1</f>
        <v>1</v>
      </c>
      <c r="I60" s="41" t="str">
        <f t="array" ref="I60">IF(ISERROR(INDEX(Articles!$L80:$Y80, MATCH(FALSE, ISBLANK(Articles!$L80:$Y80),0))),"N/A",INDEX(Articles!$L80:$Y80, MATCH(FALSE, ISBLANK(Articles!$L80:$Y80),0)))</f>
        <v>XTEAWT-00-0000-000000KE1CT-ND</v>
      </c>
      <c r="J60" s="60">
        <f t="array" aca="1" ref="J60" ca="1">IF(ISERROR(OFFSET(INDEX(Articles!$L80:$AA80, MATCH(FALSE, ISBLANK(Articles!$L80:$AA80),0)),0,1)),"N/A",OFFSET(INDEX(Articles!$L80:$AA80, MATCH(FALSE, ISBLANK(Articles!$L80:$AA80),0)),0,1))</f>
        <v>1.06</v>
      </c>
      <c r="K6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60" s="39" t="s">
        <v>146</v>
      </c>
      <c r="M60" s="51">
        <v>1.47</v>
      </c>
      <c r="N60" s="39"/>
      <c r="O60" s="51"/>
      <c r="P60" s="39"/>
      <c r="Q60" s="51"/>
      <c r="R60" s="39"/>
      <c r="S60" s="51"/>
      <c r="T60" s="39"/>
      <c r="U60" s="51"/>
      <c r="V60" s="39"/>
      <c r="W60" s="51"/>
      <c r="X60" s="39"/>
      <c r="Y60" s="51"/>
      <c r="Z60" s="42"/>
      <c r="AA60" s="60"/>
      <c r="AB60" s="40" t="str">
        <f>IF(Articles!$H80=1,IF(Articles!$F80&lt;Articles!$G80,1,""),"")</f>
        <v/>
      </c>
    </row>
    <row r="61" spans="1:28" x14ac:dyDescent="0.25">
      <c r="A61" s="39" t="s">
        <v>215</v>
      </c>
      <c r="B61" s="40" t="s">
        <v>80</v>
      </c>
      <c r="C61" s="40" t="s">
        <v>409</v>
      </c>
      <c r="D61" s="40" t="s">
        <v>214</v>
      </c>
      <c r="E61" s="40" t="s">
        <v>572</v>
      </c>
      <c r="F61" s="63">
        <v>4</v>
      </c>
      <c r="G61" s="63">
        <v>1</v>
      </c>
      <c r="H61" s="63">
        <f>1</f>
        <v>1</v>
      </c>
      <c r="I61" s="41" t="str">
        <f t="array" ref="I61">IF(ISERROR(INDEX(Articles!$L81:$Y81, MATCH(FALSE, ISBLANK(Articles!$L81:$Y81),0))),"N/A",INDEX(Articles!$L81:$Y81, MATCH(FALSE, ISBLANK(Articles!$L81:$Y81),0)))</f>
        <v>PB1175CT-ND</v>
      </c>
      <c r="J61" s="60">
        <f t="array" aca="1" ref="J61" ca="1">IF(ISERROR(OFFSET(INDEX(Articles!$L81:$AA81, MATCH(FALSE, ISBLANK(Articles!$L81:$AA81),0)),0,1)),"N/A",OFFSET(INDEX(Articles!$L81:$AA81, MATCH(FALSE, ISBLANK(Articles!$L81:$AA81),0)),0,1))</f>
        <v>4.88</v>
      </c>
      <c r="K6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61" s="39" t="s">
        <v>220</v>
      </c>
      <c r="M61" s="51">
        <v>0.92</v>
      </c>
      <c r="N61" s="39"/>
      <c r="O61" s="51"/>
      <c r="P61" s="39"/>
      <c r="Q61" s="51"/>
      <c r="R61" s="39"/>
      <c r="S61" s="51"/>
      <c r="T61" s="39"/>
      <c r="U61" s="51"/>
      <c r="V61" s="39"/>
      <c r="W61" s="51"/>
      <c r="X61" s="39"/>
      <c r="Y61" s="51"/>
      <c r="Z61" s="42"/>
      <c r="AA61" s="60"/>
      <c r="AB61" s="40" t="str">
        <f>IF(Articles!$H81=1,IF(Articles!$F81&lt;Articles!$G81,1,""),"")</f>
        <v/>
      </c>
    </row>
    <row r="62" spans="1:28" x14ac:dyDescent="0.25">
      <c r="A62" s="40" t="s">
        <v>150</v>
      </c>
      <c r="B62" s="40" t="s">
        <v>80</v>
      </c>
      <c r="C62" s="40" t="s">
        <v>407</v>
      </c>
      <c r="D62" s="40" t="s">
        <v>151</v>
      </c>
      <c r="E62" s="40" t="s">
        <v>572</v>
      </c>
      <c r="F62" s="63">
        <v>3</v>
      </c>
      <c r="G62" s="63">
        <v>1</v>
      </c>
      <c r="H62" s="63">
        <f>1</f>
        <v>1</v>
      </c>
      <c r="I62" s="41" t="str">
        <f t="array" ref="I62">IF(ISERROR(INDEX(Articles!$L82:$Y82, MATCH(FALSE, ISBLANK(Articles!$L82:$Y82),0))),"N/A",INDEX(Articles!$L82:$Y82, MATCH(FALSE, ISBLANK(Articles!$L82:$Y82),0)))</f>
        <v>541-3979-1-ND</v>
      </c>
      <c r="J62" s="60">
        <f t="array" aca="1" ref="J62" ca="1">IF(ISERROR(OFFSET(INDEX(Articles!$L82:$AA82, MATCH(FALSE, ISBLANK(Articles!$L82:$AA82),0)),0,1)),"N/A",OFFSET(INDEX(Articles!$L82:$AA82, MATCH(FALSE, ISBLANK(Articles!$L82:$AA82),0)),0,1))</f>
        <v>4.8000000000000001E-2</v>
      </c>
      <c r="K6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62" s="39" t="s">
        <v>149</v>
      </c>
      <c r="M62" s="51">
        <v>1.43</v>
      </c>
      <c r="N62" s="39"/>
      <c r="O62" s="51"/>
      <c r="P62" s="39"/>
      <c r="Q62" s="51"/>
      <c r="R62" s="39"/>
      <c r="S62" s="51"/>
      <c r="T62" s="39"/>
      <c r="U62" s="51"/>
      <c r="V62" s="39"/>
      <c r="W62" s="51"/>
      <c r="X62" s="39"/>
      <c r="Y62" s="51"/>
      <c r="Z62" s="42"/>
      <c r="AA62" s="60"/>
      <c r="AB62" s="40">
        <f>IF(Articles!$H82=1,IF(Articles!$F82&lt;Articles!$G82,1,""),"")</f>
        <v>1</v>
      </c>
    </row>
    <row r="63" spans="1:28" x14ac:dyDescent="0.25">
      <c r="A63" s="64" t="s">
        <v>517</v>
      </c>
      <c r="B63" s="40" t="s">
        <v>80</v>
      </c>
      <c r="C63" s="40" t="s">
        <v>352</v>
      </c>
      <c r="D63" s="40" t="s">
        <v>519</v>
      </c>
      <c r="E63" s="40" t="s">
        <v>572</v>
      </c>
      <c r="F63" s="63">
        <v>0</v>
      </c>
      <c r="G63" s="63">
        <v>1</v>
      </c>
      <c r="H63" s="63">
        <f>1</f>
        <v>1</v>
      </c>
      <c r="I63" s="41" t="str">
        <f t="array" ref="I63">IF(ISERROR(INDEX(Articles!$L104:$Y104, MATCH(FALSE, ISBLANK(Articles!$L104:$Y104),0))),"N/A",INDEX(Articles!$L104:$Y104, MATCH(FALSE, ISBLANK(Articles!$L104:$Y104),0)))</f>
        <v>T93XA-100K-ND</v>
      </c>
      <c r="J63" s="60">
        <f t="array" aca="1" ref="J63" ca="1">IF(ISERROR(OFFSET(INDEX(Articles!$L104:$AA104, MATCH(FALSE, ISBLANK(Articles!$L104:$AA104),0)),0,1)),"N/A",OFFSET(INDEX(Articles!$L104:$AA104, MATCH(FALSE, ISBLANK(Articles!$L104:$AA104),0)),0,1))</f>
        <v>1.81</v>
      </c>
      <c r="K6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63" s="39" t="s">
        <v>518</v>
      </c>
      <c r="M63" s="51">
        <v>1.78</v>
      </c>
      <c r="N63" s="39"/>
      <c r="O63" s="51"/>
      <c r="P63" s="39"/>
      <c r="Q63" s="51"/>
      <c r="R63" s="39"/>
      <c r="S63" s="51"/>
      <c r="T63" s="39"/>
      <c r="U63" s="51"/>
      <c r="V63" s="39"/>
      <c r="W63" s="51"/>
      <c r="X63" s="39"/>
      <c r="Y63" s="51"/>
      <c r="Z63" s="42"/>
      <c r="AA63" s="60"/>
      <c r="AB63" s="40" t="str">
        <f>IF(Articles!$H104=1,IF(Articles!$F104&lt;Articles!$G104,1,""),"")</f>
        <v/>
      </c>
    </row>
    <row r="64" spans="1:28" x14ac:dyDescent="0.25">
      <c r="A64" s="39">
        <v>912951</v>
      </c>
      <c r="B64" s="40" t="s">
        <v>65</v>
      </c>
      <c r="C64" s="40" t="s">
        <v>352</v>
      </c>
      <c r="D64" s="40" t="s">
        <v>85</v>
      </c>
      <c r="E64" s="40" t="s">
        <v>548</v>
      </c>
      <c r="F64" s="63">
        <v>1</v>
      </c>
      <c r="G64" s="63">
        <v>0</v>
      </c>
      <c r="H64" s="63">
        <f>1</f>
        <v>1</v>
      </c>
      <c r="I64" s="41" t="str">
        <f t="array" ref="I64">IF(ISERROR(INDEX(Articles!$L3:$Y3, MATCH(FALSE, ISBLANK(Articles!$L3:$Y3),0))),"N/A",INDEX(Articles!$L3:$Y3, MATCH(FALSE, ISBLANK(Articles!$L3:$Y3),0)))</f>
        <v>486-3662-ND</v>
      </c>
      <c r="J64" s="60">
        <f t="array" aca="1" ref="J64" ca="1">IF(ISERROR(OFFSET(INDEX(Articles!$L3:$AA3, MATCH(FALSE, ISBLANK(Articles!$L3:$AA3),0)),0,1)),"N/A",OFFSET(INDEX(Articles!$L3:$AA3, MATCH(FALSE, ISBLANK(Articles!$L3:$AA3),0)),0,1))</f>
        <v>1.27</v>
      </c>
      <c r="K6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Banggood</v>
      </c>
      <c r="L64" s="39"/>
      <c r="M64" s="51"/>
      <c r="N64" s="39"/>
      <c r="O64" s="51"/>
      <c r="P64" s="39"/>
      <c r="Q64" s="51"/>
      <c r="R64" s="39"/>
      <c r="S64" s="51"/>
      <c r="T64" s="39"/>
      <c r="U64" s="51"/>
      <c r="V64" s="39"/>
      <c r="W64" s="51"/>
      <c r="X64" s="39">
        <v>912951</v>
      </c>
      <c r="Y64" s="51">
        <v>3.43</v>
      </c>
      <c r="Z64" s="42"/>
      <c r="AA64" s="60"/>
      <c r="AB64" s="40" t="str">
        <f>IF(Articles!$H3=1,IF(Articles!$F3&lt;Articles!$G3,1,""),"")</f>
        <v/>
      </c>
    </row>
    <row r="65" spans="1:28" x14ac:dyDescent="0.25">
      <c r="A65" s="39">
        <v>1181876</v>
      </c>
      <c r="B65" s="40" t="s">
        <v>65</v>
      </c>
      <c r="C65" s="40" t="s">
        <v>352</v>
      </c>
      <c r="D65" s="40" t="s">
        <v>86</v>
      </c>
      <c r="E65" s="40" t="s">
        <v>548</v>
      </c>
      <c r="F65" s="63">
        <v>9</v>
      </c>
      <c r="G65" s="63">
        <v>1</v>
      </c>
      <c r="H65" s="63">
        <f>1</f>
        <v>1</v>
      </c>
      <c r="I65" s="41" t="str">
        <f t="array" ref="I65">IF(ISERROR(INDEX(Articles!$L6:$Y6, MATCH(FALSE, ISBLANK(Articles!$L6:$Y6),0))),"N/A",INDEX(Articles!$L6:$Y6, MATCH(FALSE, ISBLANK(Articles!$L6:$Y6),0)))</f>
        <v>8540853</v>
      </c>
      <c r="J65" s="60">
        <f t="array" aca="1" ref="J65" ca="1">IF(ISERROR(OFFSET(INDEX(Articles!$L6:$AA6, MATCH(FALSE, ISBLANK(Articles!$L6:$AA6),0)),0,1)),"N/A",OFFSET(INDEX(Articles!$L6:$AA6, MATCH(FALSE, ISBLANK(Articles!$L6:$AA6),0)),0,1))</f>
        <v>0.34</v>
      </c>
      <c r="K6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Banggood</v>
      </c>
      <c r="L65" s="39"/>
      <c r="M65" s="51"/>
      <c r="N65" s="39"/>
      <c r="O65" s="51"/>
      <c r="P65" s="39"/>
      <c r="Q65" s="51"/>
      <c r="R65" s="39"/>
      <c r="S65" s="51"/>
      <c r="T65" s="39"/>
      <c r="U65" s="51"/>
      <c r="V65" s="39"/>
      <c r="W65" s="51"/>
      <c r="X65" s="39">
        <v>1181876</v>
      </c>
      <c r="Y65" s="51">
        <v>3.79</v>
      </c>
      <c r="Z65" s="42"/>
      <c r="AA65" s="60"/>
      <c r="AB65" s="40" t="str">
        <f>IF(Articles!$H6=1,IF(Articles!$F6&lt;Articles!$G6,1,""),"")</f>
        <v/>
      </c>
    </row>
    <row r="66" spans="1:28" x14ac:dyDescent="0.25">
      <c r="A66" s="39" t="s">
        <v>369</v>
      </c>
      <c r="B66" s="40" t="s">
        <v>365</v>
      </c>
      <c r="C66" s="40" t="s">
        <v>352</v>
      </c>
      <c r="D66" s="40" t="s">
        <v>370</v>
      </c>
      <c r="E66" s="40" t="s">
        <v>548</v>
      </c>
      <c r="F66" s="63">
        <v>1</v>
      </c>
      <c r="G66" s="63">
        <v>1</v>
      </c>
      <c r="H66" s="63">
        <v>1</v>
      </c>
      <c r="I66" s="41" t="str">
        <f t="array" ref="I66">IF(ISERROR(INDEX(Articles!$L24:$Y24, MATCH(FALSE, ISBLANK(Articles!$L24:$Y24),0))),"N/A",INDEX(Articles!$L24:$Y24, MATCH(FALSE, ISBLANK(Articles!$L24:$Y24),0)))</f>
        <v>32845729569</v>
      </c>
      <c r="J66" s="60">
        <f t="array" aca="1" ref="J66" ca="1">IF(ISERROR(OFFSET(INDEX(Articles!$L24:$AA24, MATCH(FALSE, ISBLANK(Articles!$L24:$AA24),0)),0,1)),"N/A",OFFSET(INDEX(Articles!$L24:$AA24, MATCH(FALSE, ISBLANK(Articles!$L24:$AA24),0)),0,1))</f>
        <v>0.127</v>
      </c>
      <c r="K6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Aliexpress</v>
      </c>
      <c r="L66" s="39"/>
      <c r="M66" s="51"/>
      <c r="N66" s="39"/>
      <c r="O66" s="51"/>
      <c r="P66" s="39"/>
      <c r="Q66" s="51"/>
      <c r="R66" s="39"/>
      <c r="S66" s="51"/>
      <c r="T66" s="39"/>
      <c r="U66" s="51"/>
      <c r="V66" s="39" t="s">
        <v>369</v>
      </c>
      <c r="W66" s="51">
        <v>4.5999999999999996</v>
      </c>
      <c r="X66" s="39"/>
      <c r="Y66" s="51"/>
      <c r="Z66" s="42"/>
      <c r="AA66" s="60"/>
      <c r="AB66" s="40" t="str">
        <f>IF(Articles!$H24=1,IF(Articles!$F24&lt;Articles!$G24,1,""),"")</f>
        <v/>
      </c>
    </row>
    <row r="67" spans="1:28" x14ac:dyDescent="0.25">
      <c r="A67" s="39" t="s">
        <v>364</v>
      </c>
      <c r="B67" s="40" t="s">
        <v>365</v>
      </c>
      <c r="C67" s="40" t="s">
        <v>352</v>
      </c>
      <c r="D67" s="40" t="s">
        <v>366</v>
      </c>
      <c r="E67" s="40" t="s">
        <v>548</v>
      </c>
      <c r="F67" s="63">
        <v>1</v>
      </c>
      <c r="G67" s="63">
        <v>1</v>
      </c>
      <c r="H67" s="63">
        <v>1</v>
      </c>
      <c r="I67" s="41" t="str">
        <f t="array" ref="I67">IF(ISERROR(INDEX(Articles!$L25:$Y25, MATCH(FALSE, ISBLANK(Articles!$L25:$Y25),0))),"N/A",INDEX(Articles!$L25:$Y25, MATCH(FALSE, ISBLANK(Articles!$L25:$Y25),0)))</f>
        <v>32845729569</v>
      </c>
      <c r="J67" s="60">
        <f t="array" aca="1" ref="J67" ca="1">IF(ISERROR(OFFSET(INDEX(Articles!$L25:$AA25, MATCH(FALSE, ISBLANK(Articles!$L25:$AA25),0)),0,1)),"N/A",OFFSET(INDEX(Articles!$L25:$AA25, MATCH(FALSE, ISBLANK(Articles!$L25:$AA25),0)),0,1))</f>
        <v>0.127</v>
      </c>
      <c r="K6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Aliexpress</v>
      </c>
      <c r="L67" s="39"/>
      <c r="M67" s="51"/>
      <c r="N67" s="39"/>
      <c r="O67" s="51"/>
      <c r="P67" s="39"/>
      <c r="Q67" s="51"/>
      <c r="R67" s="39"/>
      <c r="S67" s="51"/>
      <c r="T67" s="39"/>
      <c r="U67" s="51"/>
      <c r="V67" s="39" t="s">
        <v>364</v>
      </c>
      <c r="W67" s="51">
        <v>1.1619999999999999</v>
      </c>
      <c r="X67" s="39"/>
      <c r="Y67" s="51"/>
      <c r="Z67" s="42"/>
      <c r="AA67" s="60"/>
      <c r="AB67" s="40" t="str">
        <f>IF(Articles!$H25=1,IF(Articles!$F25&lt;Articles!$G25,1,""),"")</f>
        <v/>
      </c>
    </row>
    <row r="68" spans="1:28" x14ac:dyDescent="0.25">
      <c r="A68" s="39" t="s">
        <v>360</v>
      </c>
      <c r="B68" s="40" t="s">
        <v>361</v>
      </c>
      <c r="C68" s="40" t="s">
        <v>352</v>
      </c>
      <c r="D68" s="40" t="s">
        <v>362</v>
      </c>
      <c r="E68" s="40" t="s">
        <v>548</v>
      </c>
      <c r="F68" s="63">
        <v>1</v>
      </c>
      <c r="G68" s="63">
        <v>0</v>
      </c>
      <c r="H68" s="63">
        <f>1</f>
        <v>1</v>
      </c>
      <c r="I68" s="41" t="str">
        <f t="array" ref="I68">IF(ISERROR(INDEX(Articles!$L28:$Y28, MATCH(FALSE, ISBLANK(Articles!$L28:$Y28),0))),"N/A",INDEX(Articles!$L28:$Y28, MATCH(FALSE, ISBLANK(Articles!$L28:$Y28),0)))</f>
        <v>9843680</v>
      </c>
      <c r="J68" s="60">
        <f t="array" aca="1" ref="J68" ca="1">IF(ISERROR(OFFSET(INDEX(Articles!$L28:$AA28, MATCH(FALSE, ISBLANK(Articles!$L28:$AA28),0)),0,1)),"N/A",OFFSET(INDEX(Articles!$L28:$AA28, MATCH(FALSE, ISBLANK(Articles!$L28:$AA28),0)),0,1))</f>
        <v>5.8900000000000001E-2</v>
      </c>
      <c r="K6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Aliexpress</v>
      </c>
      <c r="L68" s="39"/>
      <c r="M68" s="51"/>
      <c r="N68" s="39"/>
      <c r="O68" s="51"/>
      <c r="P68" s="39"/>
      <c r="Q68" s="51"/>
      <c r="R68" s="39"/>
      <c r="S68" s="51"/>
      <c r="T68" s="39"/>
      <c r="U68" s="51"/>
      <c r="V68" s="39" t="s">
        <v>360</v>
      </c>
      <c r="W68" s="51">
        <v>7.46</v>
      </c>
      <c r="X68" s="39"/>
      <c r="Y68" s="51"/>
      <c r="Z68" s="42"/>
      <c r="AA68" s="60"/>
      <c r="AB68" s="40" t="str">
        <f>IF(Articles!$H28=1,IF(Articles!$F28&lt;Articles!$G28,1,""),"")</f>
        <v/>
      </c>
    </row>
    <row r="69" spans="1:28" x14ac:dyDescent="0.25">
      <c r="A69" s="64" t="s">
        <v>514</v>
      </c>
      <c r="B69" s="40" t="s">
        <v>80</v>
      </c>
      <c r="C69" s="40" t="s">
        <v>352</v>
      </c>
      <c r="D69" s="40" t="s">
        <v>516</v>
      </c>
      <c r="E69" s="40" t="s">
        <v>548</v>
      </c>
      <c r="F69" s="63">
        <v>0</v>
      </c>
      <c r="G69" s="63">
        <v>1</v>
      </c>
      <c r="H69" s="63">
        <f>1</f>
        <v>1</v>
      </c>
      <c r="I69" s="41" t="str">
        <f t="array" ref="I69">IF(ISERROR(INDEX(Articles!$L103:$Y103, MATCH(FALSE, ISBLANK(Articles!$L103:$Y103),0))),"N/A",INDEX(Articles!$L103:$Y103, MATCH(FALSE, ISBLANK(Articles!$L103:$Y103),0)))</f>
        <v>3006P-1-100LF-ND</v>
      </c>
      <c r="J69" s="60">
        <f t="array" aca="1" ref="J69" ca="1">IF(ISERROR(OFFSET(INDEX(Articles!$L103:$AA103, MATCH(FALSE, ISBLANK(Articles!$L103:$AA103),0)),0,1)),"N/A",OFFSET(INDEX(Articles!$L103:$AA103, MATCH(FALSE, ISBLANK(Articles!$L103:$AA103),0)),0,1))</f>
        <v>2.08</v>
      </c>
      <c r="K6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69" s="39" t="s">
        <v>515</v>
      </c>
      <c r="M69" s="51">
        <v>8.19</v>
      </c>
      <c r="N69" s="39"/>
      <c r="O69" s="51"/>
      <c r="P69" s="39"/>
      <c r="Q69" s="51"/>
      <c r="R69" s="39"/>
      <c r="S69" s="51"/>
      <c r="T69" s="39"/>
      <c r="U69" s="51"/>
      <c r="V69" s="39"/>
      <c r="W69" s="51"/>
      <c r="X69" s="39"/>
      <c r="Y69" s="51"/>
      <c r="Z69" s="42"/>
      <c r="AA69" s="60"/>
      <c r="AB69" s="40" t="str">
        <f>IF(Articles!$H103=1,IF(Articles!$F103&lt;Articles!$G103,1,""),"")</f>
        <v/>
      </c>
    </row>
    <row r="70" spans="1:28" x14ac:dyDescent="0.25">
      <c r="A70" s="64" t="s">
        <v>511</v>
      </c>
      <c r="B70" s="40" t="s">
        <v>80</v>
      </c>
      <c r="C70" s="40" t="s">
        <v>352</v>
      </c>
      <c r="D70" s="40" t="s">
        <v>513</v>
      </c>
      <c r="E70" s="40" t="s">
        <v>579</v>
      </c>
      <c r="F70" s="63">
        <v>0</v>
      </c>
      <c r="G70" s="63">
        <v>1</v>
      </c>
      <c r="H70" s="63">
        <f>1</f>
        <v>1</v>
      </c>
      <c r="I70" s="41" t="str">
        <f t="array" ref="I70">IF(ISERROR(INDEX(Articles!$L102:$Y102, MATCH(FALSE, ISBLANK(Articles!$L102:$Y102),0))),"N/A",INDEX(Articles!$L102:$Y102, MATCH(FALSE, ISBLANK(Articles!$L102:$Y102),0)))</f>
        <v>SI2333CDS-T1-GE3CT-ND</v>
      </c>
      <c r="J70" s="60">
        <f t="array" aca="1" ref="J70" ca="1">IF(ISERROR(OFFSET(INDEX(Articles!$L102:$AA102, MATCH(FALSE, ISBLANK(Articles!$L102:$AA102),0)),0,1)),"N/A",OFFSET(INDEX(Articles!$L102:$AA102, MATCH(FALSE, ISBLANK(Articles!$L102:$AA102),0)),0,1))</f>
        <v>0.56999999999999995</v>
      </c>
      <c r="K7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70" s="39" t="s">
        <v>512</v>
      </c>
      <c r="M70" s="51">
        <v>0.93</v>
      </c>
      <c r="N70" s="39"/>
      <c r="O70" s="51"/>
      <c r="P70" s="39"/>
      <c r="Q70" s="51"/>
      <c r="R70" s="39"/>
      <c r="S70" s="51"/>
      <c r="T70" s="39"/>
      <c r="U70" s="51"/>
      <c r="V70" s="39"/>
      <c r="W70" s="51"/>
      <c r="X70" s="39"/>
      <c r="Y70" s="51"/>
      <c r="Z70" s="42"/>
      <c r="AA70" s="60"/>
      <c r="AB70" s="40" t="str">
        <f>IF(Articles!$H102=1,IF(Articles!$F102&lt;Articles!$G102,1,""),"")</f>
        <v/>
      </c>
    </row>
    <row r="71" spans="1:28" x14ac:dyDescent="0.25">
      <c r="A71" s="39" t="s">
        <v>322</v>
      </c>
      <c r="B71" s="40" t="s">
        <v>253</v>
      </c>
      <c r="C71" s="40" t="s">
        <v>352</v>
      </c>
      <c r="D71" s="40" t="s">
        <v>254</v>
      </c>
      <c r="E71" s="40" t="s">
        <v>565</v>
      </c>
      <c r="F71" s="63">
        <v>9</v>
      </c>
      <c r="G71" s="63">
        <v>0</v>
      </c>
      <c r="H71" s="63">
        <f>1</f>
        <v>1</v>
      </c>
      <c r="I71" s="41" t="str">
        <f t="array" ref="I71">IF(ISERROR(INDEX(Articles!$L44:$Y44, MATCH(FALSE, ISBLANK(Articles!$L44:$Y44),0))),"N/A",INDEX(Articles!$L44:$Y44, MATCH(FALSE, ISBLANK(Articles!$L44:$Y44),0)))</f>
        <v>495-5633-1-ND</v>
      </c>
      <c r="J71" s="60">
        <f t="array" aca="1" ref="J71" ca="1">IF(ISERROR(OFFSET(INDEX(Articles!$L44:$AA44, MATCH(FALSE, ISBLANK(Articles!$L44:$AA44),0)),0,1)),"N/A",OFFSET(INDEX(Articles!$L44:$AA44, MATCH(FALSE, ISBLANK(Articles!$L44:$AA44),0)),0,1))</f>
        <v>0.93</v>
      </c>
      <c r="K7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JLCPCB</v>
      </c>
      <c r="L71" s="39"/>
      <c r="M71" s="51"/>
      <c r="N71" s="39"/>
      <c r="O71" s="51"/>
      <c r="P71" s="39"/>
      <c r="Q71" s="51"/>
      <c r="R71" s="39"/>
      <c r="S71" s="51"/>
      <c r="T71" s="39"/>
      <c r="U71" s="51"/>
      <c r="V71" s="39"/>
      <c r="W71" s="51"/>
      <c r="X71" s="39"/>
      <c r="Y71" s="51"/>
      <c r="Z71" s="42" t="s">
        <v>527</v>
      </c>
      <c r="AA71" s="60"/>
      <c r="AB71" s="40" t="str">
        <f>IF(Articles!$H44=1,IF(Articles!$F44&lt;Articles!$G44,1,""),"")</f>
        <v/>
      </c>
    </row>
    <row r="72" spans="1:28" x14ac:dyDescent="0.25">
      <c r="A72" s="39" t="s">
        <v>323</v>
      </c>
      <c r="B72" s="40" t="s">
        <v>253</v>
      </c>
      <c r="C72" s="40" t="s">
        <v>352</v>
      </c>
      <c r="D72" s="40" t="s">
        <v>255</v>
      </c>
      <c r="E72" s="40" t="s">
        <v>565</v>
      </c>
      <c r="F72" s="63">
        <v>10</v>
      </c>
      <c r="G72" s="63">
        <v>0</v>
      </c>
      <c r="H72" s="63">
        <f>1</f>
        <v>1</v>
      </c>
      <c r="I72" s="41" t="str">
        <f t="array" ref="I72">IF(ISERROR(INDEX(Articles!$L45:$Y45, MATCH(FALSE, ISBLANK(Articles!$L45:$Y45),0))),"N/A",INDEX(Articles!$L45:$Y45, MATCH(FALSE, ISBLANK(Articles!$L45:$Y45),0)))</f>
        <v>A107340-ND</v>
      </c>
      <c r="J72" s="60">
        <f t="array" aca="1" ref="J72" ca="1">IF(ISERROR(OFFSET(INDEX(Articles!$L45:$AA45, MATCH(FALSE, ISBLANK(Articles!$L45:$AA45),0)),0,1)),"N/A",OFFSET(INDEX(Articles!$L45:$AA45, MATCH(FALSE, ISBLANK(Articles!$L45:$AA45),0)),0,1))</f>
        <v>0.26</v>
      </c>
      <c r="K7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JLCPCB</v>
      </c>
      <c r="L72" s="39"/>
      <c r="M72" s="51"/>
      <c r="N72" s="39"/>
      <c r="O72" s="51"/>
      <c r="P72" s="39"/>
      <c r="Q72" s="51"/>
      <c r="R72" s="39"/>
      <c r="S72" s="51"/>
      <c r="T72" s="39"/>
      <c r="U72" s="51"/>
      <c r="V72" s="39"/>
      <c r="W72" s="51"/>
      <c r="X72" s="39"/>
      <c r="Y72" s="51"/>
      <c r="Z72" s="42" t="s">
        <v>527</v>
      </c>
      <c r="AA72" s="60"/>
      <c r="AB72" s="40" t="str">
        <f>IF(Articles!$H45=1,IF(Articles!$F45&lt;Articles!$G45,1,""),"")</f>
        <v/>
      </c>
    </row>
    <row r="73" spans="1:28" x14ac:dyDescent="0.25">
      <c r="A73" s="39" t="s">
        <v>326</v>
      </c>
      <c r="B73" s="40" t="s">
        <v>253</v>
      </c>
      <c r="C73" s="40" t="s">
        <v>352</v>
      </c>
      <c r="D73" s="40" t="s">
        <v>327</v>
      </c>
      <c r="E73" s="40" t="s">
        <v>565</v>
      </c>
      <c r="F73" s="63">
        <v>10</v>
      </c>
      <c r="G73" s="63">
        <v>0</v>
      </c>
      <c r="H73" s="63">
        <f>1</f>
        <v>1</v>
      </c>
      <c r="I73" s="41" t="str">
        <f t="array" ref="I73">IF(ISERROR(INDEX(Articles!$L46:$Y46, MATCH(FALSE, ISBLANK(Articles!$L46:$Y46),0))),"N/A",INDEX(Articles!$L46:$Y46, MATCH(FALSE, ISBLANK(Articles!$L46:$Y46),0)))</f>
        <v>A106373-ND</v>
      </c>
      <c r="J73" s="60">
        <f t="array" aca="1" ref="J73" ca="1">IF(ISERROR(OFFSET(INDEX(Articles!$L46:$AA46, MATCH(FALSE, ISBLANK(Articles!$L46:$AA46),0)),0,1)),"N/A",OFFSET(INDEX(Articles!$L46:$AA46, MATCH(FALSE, ISBLANK(Articles!$L46:$AA46),0)),0,1))</f>
        <v>1.38</v>
      </c>
      <c r="K7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JLCPCB</v>
      </c>
      <c r="L73" s="39"/>
      <c r="M73" s="51"/>
      <c r="N73" s="39"/>
      <c r="O73" s="51"/>
      <c r="P73" s="39"/>
      <c r="Q73" s="51"/>
      <c r="R73" s="39"/>
      <c r="S73" s="51"/>
      <c r="T73" s="39"/>
      <c r="U73" s="51"/>
      <c r="V73" s="39"/>
      <c r="W73" s="51"/>
      <c r="X73" s="39"/>
      <c r="Y73" s="51"/>
      <c r="Z73" s="42" t="s">
        <v>527</v>
      </c>
      <c r="AA73" s="60"/>
      <c r="AB73" s="40" t="str">
        <f>IF(Articles!$H46=1,IF(Articles!$F46&lt;Articles!$G46,1,""),"")</f>
        <v/>
      </c>
    </row>
    <row r="74" spans="1:28" x14ac:dyDescent="0.25">
      <c r="A74" s="39" t="s">
        <v>324</v>
      </c>
      <c r="B74" s="40" t="s">
        <v>253</v>
      </c>
      <c r="C74" s="40" t="s">
        <v>352</v>
      </c>
      <c r="D74" s="40" t="s">
        <v>385</v>
      </c>
      <c r="E74" s="40" t="s">
        <v>565</v>
      </c>
      <c r="F74" s="63">
        <v>9</v>
      </c>
      <c r="G74" s="63">
        <v>0</v>
      </c>
      <c r="H74" s="63">
        <f>1</f>
        <v>1</v>
      </c>
      <c r="I74" s="41" t="str">
        <f t="array" ref="I74">IF(ISERROR(INDEX(Articles!$L47:$Y47, MATCH(FALSE, ISBLANK(Articles!$L47:$Y47),0))),"N/A",INDEX(Articles!$L47:$Y47, MATCH(FALSE, ISBLANK(Articles!$L47:$Y47),0)))</f>
        <v>296-46314-1-ND</v>
      </c>
      <c r="J74" s="60">
        <f t="array" aca="1" ref="J74" ca="1">IF(ISERROR(OFFSET(INDEX(Articles!$L47:$AA47, MATCH(FALSE, ISBLANK(Articles!$L47:$AA47),0)),0,1)),"N/A",OFFSET(INDEX(Articles!$L47:$AA47, MATCH(FALSE, ISBLANK(Articles!$L47:$AA47),0)),0,1))</f>
        <v>1.82</v>
      </c>
      <c r="K7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JLCPCB</v>
      </c>
      <c r="L74" s="39"/>
      <c r="M74" s="51"/>
      <c r="N74" s="39"/>
      <c r="O74" s="51"/>
      <c r="P74" s="39"/>
      <c r="Q74" s="51"/>
      <c r="R74" s="39"/>
      <c r="S74" s="51"/>
      <c r="T74" s="39"/>
      <c r="U74" s="51"/>
      <c r="V74" s="39"/>
      <c r="W74" s="51"/>
      <c r="X74" s="39"/>
      <c r="Y74" s="51"/>
      <c r="Z74" s="42" t="s">
        <v>527</v>
      </c>
      <c r="AA74" s="60"/>
      <c r="AB74" s="40" t="str">
        <f>IF(Articles!$H47=1,IF(Articles!$F47&lt;Articles!$G47,1,""),"")</f>
        <v/>
      </c>
    </row>
    <row r="75" spans="1:28" x14ac:dyDescent="0.25">
      <c r="A75" s="39" t="s">
        <v>325</v>
      </c>
      <c r="B75" s="40" t="s">
        <v>253</v>
      </c>
      <c r="C75" s="40" t="s">
        <v>352</v>
      </c>
      <c r="D75" s="40" t="s">
        <v>256</v>
      </c>
      <c r="E75" s="40" t="s">
        <v>565</v>
      </c>
      <c r="F75" s="63">
        <v>9</v>
      </c>
      <c r="G75" s="63">
        <v>0</v>
      </c>
      <c r="H75" s="63">
        <f>1</f>
        <v>1</v>
      </c>
      <c r="I75" s="41" t="str">
        <f t="array" ref="I75">IF(ISERROR(INDEX(Articles!$L48:$Y48, MATCH(FALSE, ISBLANK(Articles!$L48:$Y48),0))),"N/A",INDEX(Articles!$L48:$Y48, MATCH(FALSE, ISBLANK(Articles!$L48:$Y48),0)))</f>
        <v>576-4880-1-ND</v>
      </c>
      <c r="J75" s="60">
        <f t="array" aca="1" ref="J75" ca="1">IF(ISERROR(OFFSET(INDEX(Articles!$L48:$AA48, MATCH(FALSE, ISBLANK(Articles!$L48:$AA48),0)),0,1)),"N/A",OFFSET(INDEX(Articles!$L48:$AA48, MATCH(FALSE, ISBLANK(Articles!$L48:$AA48),0)),0,1))</f>
        <v>0.11</v>
      </c>
      <c r="K7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JLCPCB</v>
      </c>
      <c r="L75" s="39"/>
      <c r="M75" s="51"/>
      <c r="N75" s="39"/>
      <c r="O75" s="51"/>
      <c r="P75" s="39"/>
      <c r="Q75" s="51"/>
      <c r="R75" s="39"/>
      <c r="S75" s="51"/>
      <c r="T75" s="39"/>
      <c r="U75" s="51"/>
      <c r="V75" s="39"/>
      <c r="W75" s="51"/>
      <c r="X75" s="39"/>
      <c r="Y75" s="51"/>
      <c r="Z75" s="42" t="s">
        <v>527</v>
      </c>
      <c r="AA75" s="60"/>
      <c r="AB75" s="40" t="str">
        <f>IF(Articles!$H48=1,IF(Articles!$F48&lt;Articles!$G48,1,""),"")</f>
        <v/>
      </c>
    </row>
    <row r="76" spans="1:28" x14ac:dyDescent="0.25">
      <c r="A76" s="40" t="s">
        <v>73</v>
      </c>
      <c r="B76" s="40" t="s">
        <v>72</v>
      </c>
      <c r="C76" s="40" t="s">
        <v>352</v>
      </c>
      <c r="D76" s="40" t="s">
        <v>71</v>
      </c>
      <c r="E76" s="40" t="s">
        <v>571</v>
      </c>
      <c r="F76" s="63">
        <v>3</v>
      </c>
      <c r="G76" s="63">
        <v>2</v>
      </c>
      <c r="H76" s="63">
        <f>1</f>
        <v>1</v>
      </c>
      <c r="I76" s="41">
        <f t="array" ref="I76">IF(ISERROR(INDEX(Articles!$L77:$Y77, MATCH(FALSE, ISBLANK(Articles!$L77:$Y77),0))),"N/A",INDEX(Articles!$L77:$Y77, MATCH(FALSE, ISBLANK(Articles!$L77:$Y77),0)))</f>
        <v>1004068</v>
      </c>
      <c r="J76" s="60">
        <f t="array" aca="1" ref="J76" ca="1">IF(ISERROR(OFFSET(INDEX(Articles!$L77:$AA77, MATCH(FALSE, ISBLANK(Articles!$L77:$AA77),0)),0,1)),"N/A",OFFSET(INDEX(Articles!$L77:$AA77, MATCH(FALSE, ISBLANK(Articles!$L77:$AA77),0)),0,1))</f>
        <v>3.49</v>
      </c>
      <c r="K7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76" s="39" t="s">
        <v>70</v>
      </c>
      <c r="M76" s="51">
        <v>1.07</v>
      </c>
      <c r="N76" s="39"/>
      <c r="O76" s="51"/>
      <c r="P76" s="39"/>
      <c r="Q76" s="51"/>
      <c r="R76" s="39"/>
      <c r="S76" s="51"/>
      <c r="T76" s="39"/>
      <c r="U76" s="51"/>
      <c r="V76" s="39"/>
      <c r="W76" s="51"/>
      <c r="X76" s="39"/>
      <c r="Y76" s="51"/>
      <c r="Z76" s="42"/>
      <c r="AA76" s="60"/>
      <c r="AB76" s="40" t="str">
        <f>IF(Articles!$H77=1,IF(Articles!$F77&lt;Articles!$G77,1,""),"")</f>
        <v/>
      </c>
    </row>
    <row r="77" spans="1:28" x14ac:dyDescent="0.25">
      <c r="A77" s="39">
        <v>1004068</v>
      </c>
      <c r="B77" s="40" t="s">
        <v>65</v>
      </c>
      <c r="C77" s="40" t="s">
        <v>352</v>
      </c>
      <c r="D77" s="40" t="s">
        <v>83</v>
      </c>
      <c r="E77" s="40" t="s">
        <v>549</v>
      </c>
      <c r="F77" s="63">
        <v>2</v>
      </c>
      <c r="G77" s="63">
        <v>1</v>
      </c>
      <c r="H77" s="63">
        <f>1</f>
        <v>1</v>
      </c>
      <c r="I77" s="41" t="str">
        <f t="array" ref="I77">IF(ISERROR(INDEX(Articles!$L5:$Y5, MATCH(FALSE, ISBLANK(Articles!$L5:$Y5),0))),"N/A",INDEX(Articles!$L5:$Y5, MATCH(FALSE, ISBLANK(Articles!$L5:$Y5),0)))</f>
        <v>8540829</v>
      </c>
      <c r="J77" s="60">
        <f t="array" aca="1" ref="J77" ca="1">IF(ISERROR(OFFSET(INDEX(Articles!$L5:$AA5, MATCH(FALSE, ISBLANK(Articles!$L5:$AA5),0)),0,1)),"N/A",OFFSET(INDEX(Articles!$L5:$AA5, MATCH(FALSE, ISBLANK(Articles!$L5:$AA5),0)),0,1))</f>
        <v>0.246</v>
      </c>
      <c r="K7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Banggood</v>
      </c>
      <c r="L77" s="39"/>
      <c r="M77" s="51"/>
      <c r="N77" s="39"/>
      <c r="O77" s="51"/>
      <c r="P77" s="39"/>
      <c r="Q77" s="51"/>
      <c r="R77" s="39"/>
      <c r="S77" s="51"/>
      <c r="T77" s="39"/>
      <c r="U77" s="51"/>
      <c r="V77" s="39"/>
      <c r="W77" s="51"/>
      <c r="X77" s="39">
        <v>1004068</v>
      </c>
      <c r="Y77" s="51">
        <v>3.49</v>
      </c>
      <c r="Z77" s="42"/>
      <c r="AA77" s="60"/>
      <c r="AB77" s="40" t="str">
        <f>IF(Articles!$H5=1,IF(Articles!$F5&lt;Articles!$G5,1,""),"")</f>
        <v/>
      </c>
    </row>
    <row r="78" spans="1:28" x14ac:dyDescent="0.25">
      <c r="A78" s="39" t="s">
        <v>20</v>
      </c>
      <c r="B78" s="40" t="s">
        <v>42</v>
      </c>
      <c r="C78" s="40" t="s">
        <v>413</v>
      </c>
      <c r="D78" s="40" t="s">
        <v>19</v>
      </c>
      <c r="E78" s="40" t="s">
        <v>577</v>
      </c>
      <c r="F78" s="63">
        <v>0</v>
      </c>
      <c r="G78" s="63">
        <v>0</v>
      </c>
      <c r="H78" s="63">
        <f>1</f>
        <v>1</v>
      </c>
      <c r="I78" s="41" t="str">
        <f t="array" ref="I78">IF(ISERROR(INDEX(Articles!$L98:$Y98, MATCH(FALSE, ISBLANK(Articles!$L98:$Y98),0))),"N/A",INDEX(Articles!$L98:$Y98, MATCH(FALSE, ISBLANK(Articles!$L98:$Y98),0)))</f>
        <v>679-3547-ND</v>
      </c>
      <c r="J78" s="60">
        <f t="array" aca="1" ref="J78" ca="1">IF(ISERROR(OFFSET(INDEX(Articles!$L98:$AA98, MATCH(FALSE, ISBLANK(Articles!$L98:$AA98),0)),0,1)),"N/A",OFFSET(INDEX(Articles!$L98:$AA98, MATCH(FALSE, ISBLANK(Articles!$L98:$AA98),0)),0,1))</f>
        <v>1.39</v>
      </c>
      <c r="K7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78" s="39"/>
      <c r="M78" s="51"/>
      <c r="N78" s="39" t="s">
        <v>412</v>
      </c>
      <c r="O78" s="51">
        <v>3.64</v>
      </c>
      <c r="P78" s="39"/>
      <c r="Q78" s="51"/>
      <c r="R78" s="39"/>
      <c r="S78" s="51"/>
      <c r="T78" s="39"/>
      <c r="U78" s="51"/>
      <c r="V78" s="39"/>
      <c r="W78" s="51"/>
      <c r="X78" s="39"/>
      <c r="Y78" s="51"/>
      <c r="Z78" s="42"/>
      <c r="AA78" s="60"/>
      <c r="AB78" s="40" t="str">
        <f>IF(Articles!$H98=1,IF(Articles!$F98&lt;Articles!$G98,1,""),"")</f>
        <v/>
      </c>
    </row>
    <row r="79" spans="1:28" x14ac:dyDescent="0.25">
      <c r="A79" s="39" t="s">
        <v>182</v>
      </c>
      <c r="B79" s="40" t="s">
        <v>177</v>
      </c>
      <c r="C79" s="40" t="s">
        <v>352</v>
      </c>
      <c r="D79" s="40" t="s">
        <v>183</v>
      </c>
      <c r="E79" s="40" t="s">
        <v>577</v>
      </c>
      <c r="F79" s="63">
        <v>1</v>
      </c>
      <c r="G79" s="63">
        <v>0</v>
      </c>
      <c r="H79" s="63">
        <f>1</f>
        <v>1</v>
      </c>
      <c r="I79" s="41" t="str">
        <f t="array" ref="I79">IF(ISERROR(INDEX(Articles!$L99:$Y99, MATCH(FALSE, ISBLANK(Articles!$L99:$Y99),0))),"N/A",INDEX(Articles!$L99:$Y99, MATCH(FALSE, ISBLANK(Articles!$L99:$Y99),0)))</f>
        <v>1558118 - 62</v>
      </c>
      <c r="J79" s="60">
        <f t="array" aca="1" ref="J79" ca="1">IF(ISERROR(OFFSET(INDEX(Articles!$L99:$AA99, MATCH(FALSE, ISBLANK(Articles!$L99:$AA99),0)),0,1)),"N/A",OFFSET(INDEX(Articles!$L99:$AA99, MATCH(FALSE, ISBLANK(Articles!$L99:$AA99),0)),0,1))</f>
        <v>399.95</v>
      </c>
      <c r="K7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79" s="39" t="s">
        <v>181</v>
      </c>
      <c r="M79" s="51">
        <v>0.8</v>
      </c>
      <c r="N79" s="39"/>
      <c r="O79" s="51"/>
      <c r="P79" s="39"/>
      <c r="Q79" s="51"/>
      <c r="R79" s="39"/>
      <c r="S79" s="51"/>
      <c r="T79" s="39"/>
      <c r="U79" s="51"/>
      <c r="V79" s="39"/>
      <c r="W79" s="51"/>
      <c r="X79" s="39"/>
      <c r="Y79" s="51"/>
      <c r="Z79" s="42"/>
      <c r="AA79" s="60"/>
      <c r="AB79" s="40" t="str">
        <f>IF(Articles!$H99=1,IF(Articles!$F99&lt;Articles!$G99,1,""),"")</f>
        <v/>
      </c>
    </row>
    <row r="80" spans="1:28" x14ac:dyDescent="0.25">
      <c r="A80" s="39" t="s">
        <v>185</v>
      </c>
      <c r="B80" s="40" t="s">
        <v>177</v>
      </c>
      <c r="C80" s="40" t="s">
        <v>352</v>
      </c>
      <c r="D80" s="40" t="s">
        <v>186</v>
      </c>
      <c r="E80" s="40" t="s">
        <v>577</v>
      </c>
      <c r="F80" s="63">
        <v>2</v>
      </c>
      <c r="G80" s="63">
        <v>0</v>
      </c>
      <c r="H80" s="63">
        <f>1</f>
        <v>1</v>
      </c>
      <c r="I80" s="41" t="str">
        <f t="array" ref="I80">IF(ISERROR(INDEX(Articles!$L100:$Y100, MATCH(FALSE, ISBLANK(Articles!$L100:$Y100),0))),"N/A",INDEX(Articles!$L100:$Y100, MATCH(FALSE, ISBLANK(Articles!$L100:$Y100),0)))</f>
        <v>301-18-567</v>
      </c>
      <c r="J80" s="60">
        <f t="array" aca="1" ref="J80" ca="1">IF(ISERROR(OFFSET(INDEX(Articles!$L100:$AA100, MATCH(FALSE, ISBLANK(Articles!$L100:$AA100),0)),0,1)),"N/A",OFFSET(INDEX(Articles!$L100:$AA100, MATCH(FALSE, ISBLANK(Articles!$L100:$AA100),0)),0,1))</f>
        <v>14.6</v>
      </c>
      <c r="K8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80" s="39" t="s">
        <v>184</v>
      </c>
      <c r="M80" s="51">
        <v>1.06</v>
      </c>
      <c r="N80" s="39"/>
      <c r="O80" s="51"/>
      <c r="P80" s="39"/>
      <c r="Q80" s="51"/>
      <c r="R80" s="39"/>
      <c r="S80" s="51"/>
      <c r="T80" s="39"/>
      <c r="U80" s="51"/>
      <c r="V80" s="39"/>
      <c r="W80" s="51"/>
      <c r="X80" s="39"/>
      <c r="Y80" s="51"/>
      <c r="Z80" s="42"/>
      <c r="AA80" s="60"/>
      <c r="AB80" s="40">
        <f>IF(Articles!$H100=1,IF(Articles!$F100&lt;Articles!$G100,1,""),"")</f>
        <v>1</v>
      </c>
    </row>
    <row r="81" spans="1:28" x14ac:dyDescent="0.25">
      <c r="A81" s="40" t="s">
        <v>139</v>
      </c>
      <c r="B81" s="40" t="s">
        <v>69</v>
      </c>
      <c r="C81" s="40" t="s">
        <v>411</v>
      </c>
      <c r="D81" s="40" t="s">
        <v>68</v>
      </c>
      <c r="E81" s="40" t="s">
        <v>553</v>
      </c>
      <c r="F81" s="63">
        <v>1</v>
      </c>
      <c r="G81" s="63">
        <v>1</v>
      </c>
      <c r="H81" s="63">
        <f>1</f>
        <v>1</v>
      </c>
      <c r="I81" s="41" t="str">
        <f t="array" ref="I81">IF(ISERROR(INDEX(Articles!$L15:$Y15, MATCH(FALSE, ISBLANK(Articles!$L15:$Y15),0))),"N/A",INDEX(Articles!$L15:$Y15, MATCH(FALSE, ISBLANK(Articles!$L15:$Y15),0)))</f>
        <v>1276-3178-1-ND</v>
      </c>
      <c r="J81" s="60">
        <f t="array" aca="1" ref="J81" ca="1">IF(ISERROR(OFFSET(INDEX(Articles!$L15:$AA15, MATCH(FALSE, ISBLANK(Articles!$L15:$AA15),0)),0,1)),"N/A",OFFSET(INDEX(Articles!$L15:$AA15, MATCH(FALSE, ISBLANK(Articles!$L15:$AA15),0)),0,1))</f>
        <v>0.27</v>
      </c>
      <c r="K8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81" s="39" t="s">
        <v>67</v>
      </c>
      <c r="M81" s="51">
        <v>4.88</v>
      </c>
      <c r="N81" s="39"/>
      <c r="O81" s="51"/>
      <c r="P81" s="39"/>
      <c r="Q81" s="51"/>
      <c r="R81" s="39"/>
      <c r="S81" s="51"/>
      <c r="T81" s="39"/>
      <c r="U81" s="51"/>
      <c r="V81" s="39"/>
      <c r="W81" s="51"/>
      <c r="X81" s="39"/>
      <c r="Y81" s="51"/>
      <c r="Z81" s="42"/>
      <c r="AA81" s="60"/>
      <c r="AB81" s="40">
        <f>IF(Articles!$H15=1,IF(Articles!$F15&lt;Articles!$G15,1,""),"")</f>
        <v>1</v>
      </c>
    </row>
    <row r="82" spans="1:28" x14ac:dyDescent="0.25">
      <c r="A82" s="39" t="s">
        <v>250</v>
      </c>
      <c r="B82" s="40" t="s">
        <v>251</v>
      </c>
      <c r="C82" s="40" t="s">
        <v>352</v>
      </c>
      <c r="D82" s="40" t="s">
        <v>252</v>
      </c>
      <c r="E82" s="40" t="s">
        <v>564</v>
      </c>
      <c r="F82" s="63">
        <v>99</v>
      </c>
      <c r="G82" s="63">
        <v>100</v>
      </c>
      <c r="H82" s="63">
        <f>1</f>
        <v>1</v>
      </c>
      <c r="I82" s="41" t="str">
        <f t="array" ref="I82">IF(ISERROR(INDEX(Articles!$L41:$Y41, MATCH(FALSE, ISBLANK(Articles!$L41:$Y41),0))),"N/A",INDEX(Articles!$L41:$Y41, MATCH(FALSE, ISBLANK(Articles!$L41:$Y41),0)))</f>
        <v>1332159</v>
      </c>
      <c r="J82" s="60">
        <f t="array" aca="1" ref="J82" ca="1">IF(ISERROR(OFFSET(INDEX(Articles!$L41:$AA41, MATCH(FALSE, ISBLANK(Articles!$L41:$AA41),0)),0,1)),"N/A",OFFSET(INDEX(Articles!$L41:$AA41, MATCH(FALSE, ISBLANK(Articles!$L41:$AA41),0)),0,1))</f>
        <v>0.57499999999999996</v>
      </c>
      <c r="K8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82" s="39" t="s">
        <v>249</v>
      </c>
      <c r="M82" s="51">
        <v>4.8000000000000001E-2</v>
      </c>
      <c r="N82" s="39"/>
      <c r="O82" s="51"/>
      <c r="P82" s="39"/>
      <c r="Q82" s="51"/>
      <c r="R82" s="39"/>
      <c r="S82" s="51"/>
      <c r="T82" s="39"/>
      <c r="U82" s="51"/>
      <c r="V82" s="39"/>
      <c r="W82" s="51"/>
      <c r="X82" s="39"/>
      <c r="Y82" s="51"/>
      <c r="Z82" s="42"/>
      <c r="AA82" s="60"/>
      <c r="AB82" s="40" t="str">
        <f>IF(Articles!$H41=1,IF(Articles!$F41&lt;Articles!$G41,1,""),"")</f>
        <v/>
      </c>
    </row>
    <row r="83" spans="1:28" x14ac:dyDescent="0.25">
      <c r="A83" s="39" t="s">
        <v>188</v>
      </c>
      <c r="B83" s="40" t="s">
        <v>177</v>
      </c>
      <c r="C83" s="40" t="s">
        <v>352</v>
      </c>
      <c r="D83" s="40" t="s">
        <v>189</v>
      </c>
      <c r="E83" s="40" t="s">
        <v>564</v>
      </c>
      <c r="F83" s="63">
        <v>99</v>
      </c>
      <c r="G83" s="63">
        <v>100</v>
      </c>
      <c r="H83" s="63">
        <f>1</f>
        <v>1</v>
      </c>
      <c r="I83" s="41" t="str">
        <f t="array" ref="I83">IF(ISERROR(INDEX(Articles!$L42:$Y42, MATCH(FALSE, ISBLANK(Articles!$L42:$Y42),0))),"N/A",INDEX(Articles!$L42:$Y42, MATCH(FALSE, ISBLANK(Articles!$L42:$Y42),0)))</f>
        <v>MMA8452QR1CT-ND</v>
      </c>
      <c r="J83" s="60">
        <f t="array" aca="1" ref="J83" ca="1">IF(ISERROR(OFFSET(INDEX(Articles!$L42:$AA42, MATCH(FALSE, ISBLANK(Articles!$L42:$AA42),0)),0,1)),"N/A",OFFSET(INDEX(Articles!$L42:$AA42, MATCH(FALSE, ISBLANK(Articles!$L42:$AA42),0)),0,1))</f>
        <v>2.64</v>
      </c>
      <c r="K8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83" s="39" t="s">
        <v>187</v>
      </c>
      <c r="M83" s="51">
        <v>1.95E-2</v>
      </c>
      <c r="N83" s="39"/>
      <c r="O83" s="51"/>
      <c r="P83" s="39"/>
      <c r="Q83" s="51"/>
      <c r="R83" s="39"/>
      <c r="S83" s="51"/>
      <c r="T83" s="39"/>
      <c r="U83" s="51"/>
      <c r="V83" s="39"/>
      <c r="W83" s="51"/>
      <c r="X83" s="39"/>
      <c r="Y83" s="51"/>
      <c r="Z83" s="42"/>
      <c r="AA83" s="60"/>
      <c r="AB83" s="40" t="str">
        <f>IF(Articles!$H42=1,IF(Articles!$F42&lt;Articles!$G42,1,""),"")</f>
        <v/>
      </c>
    </row>
    <row r="84" spans="1:28" x14ac:dyDescent="0.25">
      <c r="A84" s="39" t="s">
        <v>487</v>
      </c>
      <c r="B84" s="40" t="s">
        <v>258</v>
      </c>
      <c r="C84" s="40" t="s">
        <v>352</v>
      </c>
      <c r="D84" s="40" t="s">
        <v>262</v>
      </c>
      <c r="E84" s="40" t="s">
        <v>564</v>
      </c>
      <c r="F84" s="63">
        <v>3</v>
      </c>
      <c r="G84" s="63">
        <v>0</v>
      </c>
      <c r="H84" s="63">
        <f>1</f>
        <v>1</v>
      </c>
      <c r="I84" s="41" t="str">
        <f t="array" ref="I84">IF(ISERROR(INDEX(Articles!$L43:$Y43, MATCH(FALSE, ISBLANK(Articles!$L43:$Y43),0))),"N/A",INDEX(Articles!$L43:$Y43, MATCH(FALSE, ISBLANK(Articles!$L43:$Y43),0)))</f>
        <v>495-5623-1-ND</v>
      </c>
      <c r="J84" s="60">
        <f t="array" aca="1" ref="J84" ca="1">IF(ISERROR(OFFSET(INDEX(Articles!$L43:$AA43, MATCH(FALSE, ISBLANK(Articles!$L43:$AA43),0)),0,1)),"N/A",OFFSET(INDEX(Articles!$L43:$AA43, MATCH(FALSE, ISBLANK(Articles!$L43:$AA43),0)),0,1))</f>
        <v>0.72</v>
      </c>
      <c r="K8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84" s="39" t="s">
        <v>261</v>
      </c>
      <c r="M84" s="51">
        <v>0.31</v>
      </c>
      <c r="N84" s="39"/>
      <c r="O84" s="51"/>
      <c r="P84" s="39"/>
      <c r="Q84" s="51"/>
      <c r="R84" s="39"/>
      <c r="S84" s="51"/>
      <c r="T84" s="39"/>
      <c r="U84" s="51"/>
      <c r="V84" s="39"/>
      <c r="W84" s="51"/>
      <c r="X84" s="39"/>
      <c r="Y84" s="51"/>
      <c r="Z84" s="42"/>
      <c r="AA84" s="60"/>
      <c r="AB84" s="40" t="str">
        <f>IF(Articles!$H43=1,IF(Articles!$F43&lt;Articles!$G43,1,""),"")</f>
        <v/>
      </c>
    </row>
    <row r="85" spans="1:28" x14ac:dyDescent="0.25">
      <c r="A85" s="39" t="s">
        <v>321</v>
      </c>
      <c r="B85" s="40" t="s">
        <v>253</v>
      </c>
      <c r="C85" s="40" t="s">
        <v>427</v>
      </c>
      <c r="D85" s="40" t="s">
        <v>318</v>
      </c>
      <c r="E85" s="40" t="s">
        <v>564</v>
      </c>
      <c r="F85" s="63">
        <v>5</v>
      </c>
      <c r="G85" s="63">
        <v>50</v>
      </c>
      <c r="H85" s="63">
        <f>1</f>
        <v>1</v>
      </c>
      <c r="I85" s="41" t="str">
        <f t="array" ref="I85">IF(ISERROR(INDEX(Articles!$L49:$Y49, MATCH(FALSE, ISBLANK(Articles!$L49:$Y49),0))),"N/A",INDEX(Articles!$L49:$Y49, MATCH(FALSE, ISBLANK(Articles!$L49:$Y49),0)))</f>
        <v>NCP114ASN330T1GOSCT-ND</v>
      </c>
      <c r="J85" s="60">
        <f t="array" aca="1" ref="J85" ca="1">IF(ISERROR(OFFSET(INDEX(Articles!$L49:$AA49, MATCH(FALSE, ISBLANK(Articles!$L49:$AA49),0)),0,1)),"N/A",OFFSET(INDEX(Articles!$L49:$AA49, MATCH(FALSE, ISBLANK(Articles!$L49:$AA49),0)),0,1))</f>
        <v>0.35</v>
      </c>
      <c r="K8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JLCPCB</v>
      </c>
      <c r="L85" s="39"/>
      <c r="M85" s="51"/>
      <c r="N85" s="39"/>
      <c r="O85" s="51"/>
      <c r="P85" s="39"/>
      <c r="Q85" s="51"/>
      <c r="R85" s="39"/>
      <c r="S85" s="51"/>
      <c r="T85" s="39"/>
      <c r="U85" s="51"/>
      <c r="V85" s="39"/>
      <c r="W85" s="51"/>
      <c r="X85" s="39"/>
      <c r="Y85" s="51"/>
      <c r="Z85" s="42" t="s">
        <v>527</v>
      </c>
      <c r="AA85" s="60"/>
      <c r="AB85" s="40">
        <f>IF(Articles!$H49=1,IF(Articles!$F49&lt;Articles!$G49,1,""),"")</f>
        <v>1</v>
      </c>
    </row>
    <row r="86" spans="1:28" x14ac:dyDescent="0.25">
      <c r="A86" s="39" t="s">
        <v>320</v>
      </c>
      <c r="B86" s="40" t="s">
        <v>253</v>
      </c>
      <c r="C86" s="40" t="s">
        <v>438</v>
      </c>
      <c r="D86" s="40" t="s">
        <v>319</v>
      </c>
      <c r="E86" s="40" t="s">
        <v>564</v>
      </c>
      <c r="F86" s="63">
        <v>5</v>
      </c>
      <c r="G86" s="63">
        <v>50</v>
      </c>
      <c r="H86" s="63">
        <f>1</f>
        <v>1</v>
      </c>
      <c r="I86" s="41" t="str">
        <f t="array" ref="I86">IF(ISERROR(INDEX(Articles!$L50:$Y50, MATCH(FALSE, ISBLANK(Articles!$L50:$Y50),0))),"N/A",INDEX(Articles!$L50:$Y50, MATCH(FALSE, ISBLANK(Articles!$L50:$Y50),0)))</f>
        <v>732-4980-1-ND</v>
      </c>
      <c r="J86" s="60">
        <f t="array" aca="1" ref="J86" ca="1">IF(ISERROR(OFFSET(INDEX(Articles!$L50:$AA50, MATCH(FALSE, ISBLANK(Articles!$L50:$AA50),0)),0,1)),"N/A",OFFSET(INDEX(Articles!$L50:$AA50, MATCH(FALSE, ISBLANK(Articles!$L50:$AA50),0)),0,1))</f>
        <v>0.14000000000000001</v>
      </c>
      <c r="K8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JLCPCB</v>
      </c>
      <c r="L86" s="39"/>
      <c r="M86" s="51"/>
      <c r="N86" s="39"/>
      <c r="O86" s="51"/>
      <c r="P86" s="39"/>
      <c r="Q86" s="51"/>
      <c r="R86" s="39"/>
      <c r="S86" s="51"/>
      <c r="T86" s="39"/>
      <c r="U86" s="51"/>
      <c r="V86" s="39"/>
      <c r="W86" s="51"/>
      <c r="X86" s="39"/>
      <c r="Y86" s="51"/>
      <c r="Z86" s="42" t="s">
        <v>527</v>
      </c>
      <c r="AA86" s="60"/>
      <c r="AB86" s="40">
        <f>IF(Articles!$H50=1,IF(Articles!$F50&lt;Articles!$G50,1,""),"")</f>
        <v>1</v>
      </c>
    </row>
    <row r="87" spans="1:28" x14ac:dyDescent="0.25">
      <c r="A87" s="39" t="s">
        <v>246</v>
      </c>
      <c r="B87" s="40" t="s">
        <v>247</v>
      </c>
      <c r="C87" s="40" t="s">
        <v>352</v>
      </c>
      <c r="D87" s="40" t="s">
        <v>248</v>
      </c>
      <c r="E87" s="40" t="s">
        <v>564</v>
      </c>
      <c r="F87" s="63">
        <v>99</v>
      </c>
      <c r="G87" s="63">
        <v>20</v>
      </c>
      <c r="H87" s="63">
        <f>1</f>
        <v>1</v>
      </c>
      <c r="I87" s="41" t="str">
        <f t="array" ref="I87">IF(ISERROR(INDEX(Articles!$L51:$Y51, MATCH(FALSE, ISBLANK(Articles!$L51:$Y51),0))),"N/A",INDEX(Articles!$L51:$Y51, MATCH(FALSE, ISBLANK(Articles!$L51:$Y51),0)))</f>
        <v>732-4998-1-ND</v>
      </c>
      <c r="J87" s="60">
        <f t="array" aca="1" ref="J87" ca="1">IF(ISERROR(OFFSET(INDEX(Articles!$L51:$AA51, MATCH(FALSE, ISBLANK(Articles!$L51:$AA51),0)),0,1)),"N/A",OFFSET(INDEX(Articles!$L51:$AA51, MATCH(FALSE, ISBLANK(Articles!$L51:$AA51),0)),0,1))</f>
        <v>0.45</v>
      </c>
      <c r="K8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87" s="39" t="s">
        <v>245</v>
      </c>
      <c r="M87" s="51">
        <v>8.1000000000000003E-2</v>
      </c>
      <c r="N87" s="39"/>
      <c r="O87" s="51"/>
      <c r="P87" s="39"/>
      <c r="Q87" s="51"/>
      <c r="R87" s="39"/>
      <c r="S87" s="51"/>
      <c r="T87" s="39"/>
      <c r="U87" s="51"/>
      <c r="V87" s="39"/>
      <c r="W87" s="51"/>
      <c r="X87" s="39"/>
      <c r="Y87" s="51"/>
      <c r="Z87" s="42"/>
      <c r="AA87" s="60"/>
      <c r="AB87" s="40" t="str">
        <f>IF(Articles!$H51=1,IF(Articles!$F51&lt;Articles!$G51,1,""),"")</f>
        <v/>
      </c>
    </row>
    <row r="88" spans="1:28" x14ac:dyDescent="0.25">
      <c r="A88" s="39" t="s">
        <v>59</v>
      </c>
      <c r="B88" s="40" t="s">
        <v>58</v>
      </c>
      <c r="C88" s="40" t="s">
        <v>433</v>
      </c>
      <c r="D88" s="40" t="s">
        <v>57</v>
      </c>
      <c r="E88" s="40" t="s">
        <v>564</v>
      </c>
      <c r="F88" s="63">
        <v>19</v>
      </c>
      <c r="G88" s="63">
        <v>20</v>
      </c>
      <c r="H88" s="63">
        <f>1</f>
        <v>1</v>
      </c>
      <c r="I88" s="41">
        <f t="array" ref="I88">IF(ISERROR(INDEX(Articles!$L52:$Y52, MATCH(FALSE, ISBLANK(Articles!$L52:$Y52),0))),"N/A",INDEX(Articles!$L52:$Y52, MATCH(FALSE, ISBLANK(Articles!$L52:$Y52),0)))</f>
        <v>2112100</v>
      </c>
      <c r="J88" s="60">
        <f t="array" aca="1" ref="J88" ca="1">IF(ISERROR(OFFSET(INDEX(Articles!$L52:$AA52, MATCH(FALSE, ISBLANK(Articles!$L52:$AA52),0)),0,1)),"N/A",OFFSET(INDEX(Articles!$L52:$AA52, MATCH(FALSE, ISBLANK(Articles!$L52:$AA52),0)),0,1))</f>
        <v>0.28999999999999998</v>
      </c>
      <c r="K8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88" s="39"/>
      <c r="M88" s="51"/>
      <c r="N88" s="39" t="s">
        <v>432</v>
      </c>
      <c r="O88" s="51">
        <v>3.7499999999999999E-2</v>
      </c>
      <c r="P88" s="39"/>
      <c r="Q88" s="51"/>
      <c r="R88" s="39"/>
      <c r="S88" s="51"/>
      <c r="T88" s="39"/>
      <c r="U88" s="51"/>
      <c r="V88" s="39"/>
      <c r="W88" s="51"/>
      <c r="X88" s="39"/>
      <c r="Y88" s="51">
        <v>3.7499999999999999E-2</v>
      </c>
      <c r="Z88" s="42"/>
      <c r="AA88" s="60"/>
      <c r="AB88" s="40" t="str">
        <f>IF(Articles!$H52=1,IF(Articles!$F52&lt;Articles!$G52,1,""),"")</f>
        <v/>
      </c>
    </row>
    <row r="89" spans="1:28" x14ac:dyDescent="0.25">
      <c r="A89" s="39" t="s">
        <v>61</v>
      </c>
      <c r="B89" s="40" t="s">
        <v>33</v>
      </c>
      <c r="C89" s="40" t="s">
        <v>431</v>
      </c>
      <c r="D89" s="40" t="s">
        <v>60</v>
      </c>
      <c r="E89" s="40" t="s">
        <v>564</v>
      </c>
      <c r="F89" s="63">
        <v>9</v>
      </c>
      <c r="G89" s="63">
        <f>10</f>
        <v>10</v>
      </c>
      <c r="H89" s="63">
        <f>1</f>
        <v>1</v>
      </c>
      <c r="I89" s="41" t="str">
        <f t="array" ref="I89">IF(ISERROR(INDEX(Articles!$L61:$Y61, MATCH(FALSE, ISBLANK(Articles!$L61:$Y61),0))),"N/A",INDEX(Articles!$L61:$Y61, MATCH(FALSE, ISBLANK(Articles!$L61:$Y61),0)))</f>
        <v>PIC16LF18324-I/SL-ND</v>
      </c>
      <c r="J89" s="60">
        <f t="array" aca="1" ref="J89" ca="1">IF(ISERROR(OFFSET(INDEX(Articles!$L61:$AA61, MATCH(FALSE, ISBLANK(Articles!$L61:$AA61),0)),0,1)),"N/A",OFFSET(INDEX(Articles!$L61:$AA61, MATCH(FALSE, ISBLANK(Articles!$L61:$AA61),0)),0,1))</f>
        <v>0.92</v>
      </c>
      <c r="K8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89" s="39"/>
      <c r="M89" s="51"/>
      <c r="N89" s="39" t="s">
        <v>430</v>
      </c>
      <c r="O89" s="51">
        <v>4.4499999999999998E-2</v>
      </c>
      <c r="P89" s="39"/>
      <c r="Q89" s="51"/>
      <c r="R89" s="39"/>
      <c r="S89" s="51"/>
      <c r="T89" s="39"/>
      <c r="U89" s="51"/>
      <c r="V89" s="39"/>
      <c r="W89" s="51"/>
      <c r="X89" s="39"/>
      <c r="Y89" s="51">
        <v>4.4499999999999998E-2</v>
      </c>
      <c r="Z89" s="42"/>
      <c r="AA89" s="60"/>
      <c r="AB89" s="40" t="str">
        <f>IF(Articles!$H61=1,IF(Articles!$F61&lt;Articles!$G61,1,""),"")</f>
        <v/>
      </c>
    </row>
    <row r="90" spans="1:28" x14ac:dyDescent="0.25">
      <c r="A90" s="39" t="s">
        <v>56</v>
      </c>
      <c r="B90" s="40" t="s">
        <v>33</v>
      </c>
      <c r="C90" s="40" t="s">
        <v>437</v>
      </c>
      <c r="D90" s="40" t="s">
        <v>55</v>
      </c>
      <c r="E90" s="40" t="s">
        <v>564</v>
      </c>
      <c r="F90" s="63">
        <v>9</v>
      </c>
      <c r="G90" s="63">
        <f>10</f>
        <v>10</v>
      </c>
      <c r="H90" s="63">
        <f>1</f>
        <v>1</v>
      </c>
      <c r="I90" s="41" t="str">
        <f t="array" ref="I90">IF(ISERROR(INDEX(Articles!$L62:$Y62, MATCH(FALSE, ISBLANK(Articles!$L62:$Y62),0))),"N/A",INDEX(Articles!$L62:$Y62, MATCH(FALSE, ISBLANK(Articles!$L62:$Y62),0)))</f>
        <v>PIC16LF18346-E/SO-ND</v>
      </c>
      <c r="J90" s="60">
        <f t="array" aca="1" ref="J90" ca="1">IF(ISERROR(OFFSET(INDEX(Articles!$L62:$AA62, MATCH(FALSE, ISBLANK(Articles!$L62:$AA62),0)),0,1)),"N/A",OFFSET(INDEX(Articles!$L62:$AA62, MATCH(FALSE, ISBLANK(Articles!$L62:$AA62),0)),0,1))</f>
        <v>1.43</v>
      </c>
      <c r="K9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90" s="39"/>
      <c r="M90" s="51"/>
      <c r="N90" s="39" t="s">
        <v>436</v>
      </c>
      <c r="O90" s="51">
        <v>1.55E-2</v>
      </c>
      <c r="P90" s="39"/>
      <c r="Q90" s="51"/>
      <c r="R90" s="39"/>
      <c r="S90" s="51"/>
      <c r="T90" s="39"/>
      <c r="U90" s="51"/>
      <c r="V90" s="39"/>
      <c r="W90" s="51"/>
      <c r="X90" s="39"/>
      <c r="Y90" s="51">
        <v>1.55E-2</v>
      </c>
      <c r="Z90" s="42"/>
      <c r="AA90" s="60"/>
      <c r="AB90" s="40" t="str">
        <f>IF(Articles!$H62=1,IF(Articles!$F62&lt;Articles!$G62,1,""),"")</f>
        <v/>
      </c>
    </row>
    <row r="91" spans="1:28" x14ac:dyDescent="0.25">
      <c r="A91" s="39" t="s">
        <v>54</v>
      </c>
      <c r="B91" s="40" t="s">
        <v>33</v>
      </c>
      <c r="C91" s="40" t="s">
        <v>440</v>
      </c>
      <c r="D91" s="40" t="s">
        <v>53</v>
      </c>
      <c r="E91" s="40" t="s">
        <v>564</v>
      </c>
      <c r="F91" s="63">
        <v>0</v>
      </c>
      <c r="G91" s="63">
        <v>0</v>
      </c>
      <c r="H91" s="63">
        <f>1</f>
        <v>1</v>
      </c>
      <c r="I91" s="41" t="str">
        <f t="array" ref="I91">IF(ISERROR(INDEX(Articles!$L63:$Y63, MATCH(FALSE, ISBLANK(Articles!$L63:$Y63),0))),"N/A",INDEX(Articles!$L63:$Y63, MATCH(FALSE, ISBLANK(Articles!$L63:$Y63),0)))</f>
        <v>PIC18F46K40-I/PT-ND</v>
      </c>
      <c r="J91" s="60">
        <f t="array" aca="1" ref="J91" ca="1">IF(ISERROR(OFFSET(INDEX(Articles!$L63:$AA63, MATCH(FALSE, ISBLANK(Articles!$L63:$AA63),0)),0,1)),"N/A",OFFSET(INDEX(Articles!$L63:$AA63, MATCH(FALSE, ISBLANK(Articles!$L63:$AA63),0)),0,1))</f>
        <v>1.78</v>
      </c>
      <c r="K9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91" s="39"/>
      <c r="M91" s="51"/>
      <c r="N91" s="39" t="s">
        <v>439</v>
      </c>
      <c r="O91" s="51">
        <v>2.3E-2</v>
      </c>
      <c r="P91" s="39"/>
      <c r="Q91" s="51"/>
      <c r="R91" s="39"/>
      <c r="S91" s="51"/>
      <c r="T91" s="39"/>
      <c r="U91" s="51"/>
      <c r="V91" s="39"/>
      <c r="W91" s="51"/>
      <c r="X91" s="39"/>
      <c r="Y91" s="51">
        <v>2.3E-2</v>
      </c>
      <c r="Z91" s="42"/>
      <c r="AA91" s="60"/>
      <c r="AB91" s="40">
        <f>IF(Articles!$H63=1,IF(Articles!$F63&lt;Articles!$G63,1,""),"")</f>
        <v>1</v>
      </c>
    </row>
    <row r="92" spans="1:28" x14ac:dyDescent="0.25">
      <c r="A92" s="39" t="s">
        <v>63</v>
      </c>
      <c r="B92" s="40" t="s">
        <v>33</v>
      </c>
      <c r="C92" s="40" t="s">
        <v>429</v>
      </c>
      <c r="D92" s="40" t="s">
        <v>62</v>
      </c>
      <c r="E92" s="40" t="s">
        <v>564</v>
      </c>
      <c r="F92" s="63">
        <v>7</v>
      </c>
      <c r="G92" s="63">
        <v>20</v>
      </c>
      <c r="H92" s="63">
        <f>1</f>
        <v>1</v>
      </c>
      <c r="I92" s="41" t="str">
        <f t="array" ref="I92">IF(ISERROR(INDEX(Articles!$L70:$Y70, MATCH(FALSE, ISBLANK(Articles!$L70:$Y70),0))),"N/A",INDEX(Articles!$L70:$Y70, MATCH(FALSE, ISBLANK(Articles!$L70:$Y70),0)))</f>
        <v>DSC6003JI2A-012.0000TCT-ND</v>
      </c>
      <c r="J92" s="60">
        <f t="array" aca="1" ref="J92" ca="1">IF(ISERROR(OFFSET(INDEX(Articles!$L70:$AA70, MATCH(FALSE, ISBLANK(Articles!$L70:$AA70),0)),0,1)),"N/A",OFFSET(INDEX(Articles!$L70:$AA70, MATCH(FALSE, ISBLANK(Articles!$L70:$AA70),0)),0,1))</f>
        <v>0.93</v>
      </c>
      <c r="K9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92" s="39"/>
      <c r="M92" s="51"/>
      <c r="N92" s="39" t="s">
        <v>428</v>
      </c>
      <c r="O92" s="51">
        <v>2.3900000000000001E-2</v>
      </c>
      <c r="P92" s="39"/>
      <c r="Q92" s="51"/>
      <c r="R92" s="39"/>
      <c r="S92" s="51"/>
      <c r="T92" s="39"/>
      <c r="U92" s="51"/>
      <c r="V92" s="39"/>
      <c r="W92" s="51"/>
      <c r="X92" s="39"/>
      <c r="Y92" s="51">
        <v>2.3900000000000001E-2</v>
      </c>
      <c r="Z92" s="42"/>
      <c r="AA92" s="60"/>
      <c r="AB92" s="40">
        <f>IF(Articles!$H70=1,IF(Articles!$F70&lt;Articles!$G70,1,""),"")</f>
        <v>1</v>
      </c>
    </row>
    <row r="93" spans="1:28" x14ac:dyDescent="0.25">
      <c r="A93" s="39" t="s">
        <v>52</v>
      </c>
      <c r="B93" s="40" t="s">
        <v>51</v>
      </c>
      <c r="C93" s="40" t="s">
        <v>435</v>
      </c>
      <c r="D93" s="40" t="s">
        <v>50</v>
      </c>
      <c r="E93" s="40" t="s">
        <v>564</v>
      </c>
      <c r="F93" s="63">
        <v>9</v>
      </c>
      <c r="G93" s="63">
        <v>20</v>
      </c>
      <c r="H93" s="63">
        <f>1</f>
        <v>1</v>
      </c>
      <c r="I93" s="41" t="str">
        <f t="array" ref="I93">IF(ISERROR(INDEX(Articles!$L71:$Y71, MATCH(FALSE, ISBLANK(Articles!$L71:$Y71),0))),"N/A",INDEX(Articles!$L71:$Y71, MATCH(FALSE, ISBLANK(Articles!$L71:$Y71),0)))</f>
        <v>N/A</v>
      </c>
      <c r="J93" s="60">
        <f t="array" aca="1" ref="J93" ca="1">IF(ISERROR(OFFSET(INDEX(Articles!$L71:$AA71, MATCH(FALSE, ISBLANK(Articles!$L71:$AA71),0)),0,1)),"N/A",OFFSET(INDEX(Articles!$L71:$AA71, MATCH(FALSE, ISBLANK(Articles!$L71:$AA71),0)),0,1))</f>
        <v>0</v>
      </c>
      <c r="K9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93" s="39"/>
      <c r="M93" s="51"/>
      <c r="N93" s="39" t="s">
        <v>434</v>
      </c>
      <c r="O93" s="51">
        <v>1.0999999999999999E-2</v>
      </c>
      <c r="P93" s="39"/>
      <c r="Q93" s="51"/>
      <c r="R93" s="39"/>
      <c r="S93" s="51"/>
      <c r="T93" s="39"/>
      <c r="U93" s="51"/>
      <c r="V93" s="39"/>
      <c r="W93" s="51"/>
      <c r="X93" s="39"/>
      <c r="Y93" s="51">
        <v>1.0999999999999999E-2</v>
      </c>
      <c r="Z93" s="42"/>
      <c r="AA93" s="60"/>
      <c r="AB93" s="40" t="str">
        <f>IF(Articles!$H71=1,IF(Articles!$F71&lt;Articles!$G71,1,""),"")</f>
        <v/>
      </c>
    </row>
    <row r="94" spans="1:28" x14ac:dyDescent="0.25">
      <c r="A94" s="39" t="s">
        <v>123</v>
      </c>
      <c r="B94" s="40" t="s">
        <v>91</v>
      </c>
      <c r="C94" s="40" t="s">
        <v>352</v>
      </c>
      <c r="D94" s="40" t="s">
        <v>122</v>
      </c>
      <c r="E94" s="40" t="s">
        <v>558</v>
      </c>
      <c r="F94" s="63">
        <v>19</v>
      </c>
      <c r="G94" s="63">
        <v>2</v>
      </c>
      <c r="H94" s="63">
        <f>1</f>
        <v>1</v>
      </c>
      <c r="I94" s="41" t="str">
        <f t="array" ref="I94">IF(ISERROR(INDEX(Articles!$L14:$Y14, MATCH(FALSE, ISBLANK(Articles!$L14:$Y14),0))),"N/A",INDEX(Articles!$L14:$Y14, MATCH(FALSE, ISBLANK(Articles!$L14:$Y14),0)))</f>
        <v>732-8886-1-ND</v>
      </c>
      <c r="J94" s="60">
        <f t="array" aca="1" ref="J94" ca="1">IF(ISERROR(OFFSET(INDEX(Articles!$L14:$AA14, MATCH(FALSE, ISBLANK(Articles!$L14:$AA14),0)),0,1)),"N/A",OFFSET(INDEX(Articles!$L14:$AA14, MATCH(FALSE, ISBLANK(Articles!$L14:$AA14),0)),0,1))</f>
        <v>0.43</v>
      </c>
      <c r="K9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94" s="39" t="s">
        <v>470</v>
      </c>
      <c r="M94" s="51">
        <v>0.28000000000000003</v>
      </c>
      <c r="N94" s="39" t="s">
        <v>124</v>
      </c>
      <c r="O94" s="51">
        <v>0.191</v>
      </c>
      <c r="P94" s="39"/>
      <c r="Q94" s="51"/>
      <c r="R94" s="39"/>
      <c r="S94" s="51"/>
      <c r="T94" s="39"/>
      <c r="U94" s="51"/>
      <c r="V94" s="39"/>
      <c r="W94" s="51"/>
      <c r="X94" s="39"/>
      <c r="Y94" s="51">
        <v>0.191</v>
      </c>
      <c r="Z94" s="42"/>
      <c r="AA94" s="60"/>
      <c r="AB94" s="40" t="str">
        <f>IF(Articles!$H14=1,IF(Articles!$F14&lt;Articles!$G14,1,""),"")</f>
        <v/>
      </c>
    </row>
    <row r="95" spans="1:28" x14ac:dyDescent="0.25">
      <c r="A95" s="39" t="s">
        <v>133</v>
      </c>
      <c r="B95" s="40" t="s">
        <v>7</v>
      </c>
      <c r="C95" s="40" t="s">
        <v>352</v>
      </c>
      <c r="D95" s="40" t="s">
        <v>132</v>
      </c>
      <c r="E95" s="40" t="s">
        <v>558</v>
      </c>
      <c r="F95" s="63">
        <v>10</v>
      </c>
      <c r="G95" s="63">
        <v>2</v>
      </c>
      <c r="H95" s="63">
        <f>1</f>
        <v>1</v>
      </c>
      <c r="I95" s="41" t="str">
        <f t="array" ref="I95">IF(ISERROR(INDEX(Articles!$L31:$Y31, MATCH(FALSE, ISBLANK(Articles!$L31:$Y31),0))),"N/A",INDEX(Articles!$L31:$Y31, MATCH(FALSE, ISBLANK(Articles!$L31:$Y31),0)))</f>
        <v>SMD291-ND</v>
      </c>
      <c r="J95" s="60">
        <f t="array" aca="1" ref="J95" ca="1">IF(ISERROR(OFFSET(INDEX(Articles!$L31:$AA31, MATCH(FALSE, ISBLANK(Articles!$L31:$AA31),0)),0,1)),"N/A",OFFSET(INDEX(Articles!$L31:$AA31, MATCH(FALSE, ISBLANK(Articles!$L31:$AA31),0)),0,1))</f>
        <v>15.95</v>
      </c>
      <c r="K9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95" s="39" t="s">
        <v>474</v>
      </c>
      <c r="M95" s="51">
        <v>0.61</v>
      </c>
      <c r="N95" s="39" t="s">
        <v>134</v>
      </c>
      <c r="O95" s="51">
        <v>0.34899999999999998</v>
      </c>
      <c r="P95" s="39"/>
      <c r="Q95" s="51"/>
      <c r="R95" s="39"/>
      <c r="S95" s="51"/>
      <c r="T95" s="39"/>
      <c r="U95" s="51"/>
      <c r="V95" s="39"/>
      <c r="W95" s="51"/>
      <c r="X95" s="39"/>
      <c r="Y95" s="51">
        <v>0.34899999999999998</v>
      </c>
      <c r="Z95" s="42"/>
      <c r="AA95" s="60"/>
      <c r="AB95" s="40" t="str">
        <f>IF(Articles!$H31=1,IF(Articles!$F31&lt;Articles!$G31,1,""),"")</f>
        <v/>
      </c>
    </row>
    <row r="96" spans="1:28" x14ac:dyDescent="0.25">
      <c r="A96" s="39" t="s">
        <v>120</v>
      </c>
      <c r="B96" s="40" t="s">
        <v>33</v>
      </c>
      <c r="C96" s="40" t="s">
        <v>352</v>
      </c>
      <c r="D96" s="40" t="s">
        <v>119</v>
      </c>
      <c r="E96" s="40" t="s">
        <v>558</v>
      </c>
      <c r="F96" s="63">
        <v>15</v>
      </c>
      <c r="G96" s="63">
        <v>2</v>
      </c>
      <c r="H96" s="63">
        <f>1</f>
        <v>1</v>
      </c>
      <c r="I96" s="41" t="str">
        <f t="array" ref="I96">IF(ISERROR(INDEX(Articles!$L89:$Y89, MATCH(FALSE, ISBLANK(Articles!$L89:$Y89),0))),"N/A",INDEX(Articles!$L89:$Y89, MATCH(FALSE, ISBLANK(Articles!$L89:$Y89),0)))</f>
        <v>1576507</v>
      </c>
      <c r="J96" s="60">
        <f t="array" aca="1" ref="J96" ca="1">IF(ISERROR(OFFSET(INDEX(Articles!$L89:$AA89, MATCH(FALSE, ISBLANK(Articles!$L89:$AA89),0)),0,1)),"N/A",OFFSET(INDEX(Articles!$L89:$AA89, MATCH(FALSE, ISBLANK(Articles!$L89:$AA89),0)),0,1))</f>
        <v>4.4499999999999998E-2</v>
      </c>
      <c r="K9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96" s="39"/>
      <c r="M96" s="51"/>
      <c r="N96" s="39" t="s">
        <v>121</v>
      </c>
      <c r="O96" s="51">
        <v>0.26500000000000001</v>
      </c>
      <c r="P96" s="39"/>
      <c r="Q96" s="51"/>
      <c r="R96" s="39"/>
      <c r="S96" s="51"/>
      <c r="T96" s="39"/>
      <c r="U96" s="51"/>
      <c r="V96" s="39"/>
      <c r="W96" s="51"/>
      <c r="X96" s="39"/>
      <c r="Y96" s="51">
        <v>0.26500000000000001</v>
      </c>
      <c r="Z96" s="42"/>
      <c r="AA96" s="60"/>
      <c r="AB96" s="40">
        <f>IF(Articles!$H89=1,IF(Articles!$F89&lt;Articles!$G89,1,""),"")</f>
        <v>1</v>
      </c>
    </row>
    <row r="97" spans="1:28" x14ac:dyDescent="0.25">
      <c r="A97" s="39" t="s">
        <v>238</v>
      </c>
      <c r="B97" s="40" t="s">
        <v>239</v>
      </c>
      <c r="C97" s="40" t="s">
        <v>352</v>
      </c>
      <c r="D97" s="40" t="s">
        <v>240</v>
      </c>
      <c r="E97" s="40" t="s">
        <v>552</v>
      </c>
      <c r="F97" s="63">
        <v>4</v>
      </c>
      <c r="G97" s="63">
        <v>4</v>
      </c>
      <c r="H97" s="63">
        <f>1</f>
        <v>1</v>
      </c>
      <c r="I97" s="41" t="str">
        <f t="array" ref="I97">IF(ISERROR(INDEX(Articles!$L13:$Y13, MATCH(FALSE, ISBLANK(Articles!$L13:$Y13),0))),"N/A",INDEX(Articles!$L13:$Y13, MATCH(FALSE, ISBLANK(Articles!$L13:$Y13),0)))</f>
        <v>155-79-878</v>
      </c>
      <c r="J97" s="60">
        <f t="array" aca="1" ref="J97" ca="1">IF(ISERROR(OFFSET(INDEX(Articles!$L13:$AA13, MATCH(FALSE, ISBLANK(Articles!$L13:$AA13),0)),0,1)),"N/A",OFFSET(INDEX(Articles!$L13:$AA13, MATCH(FALSE, ISBLANK(Articles!$L13:$AA13),0)),0,1))</f>
        <v>24.6</v>
      </c>
      <c r="K9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97" s="39" t="s">
        <v>237</v>
      </c>
      <c r="M97" s="51">
        <v>0.85</v>
      </c>
      <c r="N97" s="39"/>
      <c r="O97" s="51"/>
      <c r="P97" s="39"/>
      <c r="Q97" s="51"/>
      <c r="R97" s="39"/>
      <c r="S97" s="51"/>
      <c r="T97" s="39"/>
      <c r="U97" s="51"/>
      <c r="V97" s="39"/>
      <c r="W97" s="51"/>
      <c r="X97" s="39"/>
      <c r="Y97" s="51"/>
      <c r="Z97" s="42"/>
      <c r="AA97" s="60"/>
      <c r="AB97" s="40" t="str">
        <f>IF(Articles!$H13=1,IF(Articles!$F13&lt;Articles!$G13,1,""),"")</f>
        <v/>
      </c>
    </row>
    <row r="98" spans="1:28" x14ac:dyDescent="0.25">
      <c r="A98" s="39" t="s">
        <v>234</v>
      </c>
      <c r="B98" s="40" t="s">
        <v>235</v>
      </c>
      <c r="C98" s="40" t="s">
        <v>352</v>
      </c>
      <c r="D98" s="40" t="s">
        <v>236</v>
      </c>
      <c r="E98" s="40" t="s">
        <v>552</v>
      </c>
      <c r="F98" s="63">
        <v>4</v>
      </c>
      <c r="G98" s="63">
        <v>2</v>
      </c>
      <c r="H98" s="63">
        <f>1</f>
        <v>1</v>
      </c>
      <c r="I98" s="41" t="str">
        <f t="array" ref="I98">IF(ISERROR(INDEX(Articles!$L85:$Y85, MATCH(FALSE, ISBLANK(Articles!$L85:$Y85),0))),"N/A",INDEX(Articles!$L85:$Y85, MATCH(FALSE, ISBLANK(Articles!$L85:$Y85),0)))</f>
        <v>N/A</v>
      </c>
      <c r="J98" s="60">
        <f t="array" aca="1" ref="J98" ca="1">IF(ISERROR(OFFSET(INDEX(Articles!$L85:$AA85, MATCH(FALSE, ISBLANK(Articles!$L85:$AA85),0)),0,1)),"N/A",OFFSET(INDEX(Articles!$L85:$AA85, MATCH(FALSE, ISBLANK(Articles!$L85:$AA85),0)),0,1))</f>
        <v>0</v>
      </c>
      <c r="K9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98" s="39" t="s">
        <v>233</v>
      </c>
      <c r="M98" s="51">
        <v>1.39</v>
      </c>
      <c r="N98" s="39"/>
      <c r="O98" s="51"/>
      <c r="P98" s="39"/>
      <c r="Q98" s="51"/>
      <c r="R98" s="39"/>
      <c r="S98" s="51"/>
      <c r="T98" s="39"/>
      <c r="U98" s="51"/>
      <c r="V98" s="39"/>
      <c r="W98" s="51"/>
      <c r="X98" s="39"/>
      <c r="Y98" s="51"/>
      <c r="Z98" s="42"/>
      <c r="AA98" s="60"/>
      <c r="AB98" s="40">
        <f>IF(Articles!$H85=1,IF(Articles!$F85&lt;Articles!$G85,1,""),"")</f>
        <v>1</v>
      </c>
    </row>
    <row r="99" spans="1:28" x14ac:dyDescent="0.25">
      <c r="A99" s="39" t="s">
        <v>347</v>
      </c>
      <c r="B99" s="40" t="s">
        <v>348</v>
      </c>
      <c r="C99" s="40" t="s">
        <v>352</v>
      </c>
      <c r="D99" s="40" t="s">
        <v>349</v>
      </c>
      <c r="E99" s="40" t="s">
        <v>561</v>
      </c>
      <c r="F99" s="63">
        <v>1</v>
      </c>
      <c r="G99" s="63">
        <v>-1</v>
      </c>
      <c r="H99" s="63">
        <f>1</f>
        <v>1</v>
      </c>
      <c r="I99" s="41" t="str">
        <f t="array" ref="I99">IF(ISERROR(INDEX(Articles!$L30:$Y30, MATCH(FALSE, ISBLANK(Articles!$L30:$Y30),0))),"N/A",INDEX(Articles!$L30:$Y30, MATCH(FALSE, ISBLANK(Articles!$L30:$Y30),0)))</f>
        <v>1103041</v>
      </c>
      <c r="J99" s="60">
        <f t="array" aca="1" ref="J99" ca="1">IF(ISERROR(OFFSET(INDEX(Articles!$L30:$AA30, MATCH(FALSE, ISBLANK(Articles!$L30:$AA30),0)),0,1)),"N/A",OFFSET(INDEX(Articles!$L30:$AA30, MATCH(FALSE, ISBLANK(Articles!$L30:$AA30),0)),0,1))</f>
        <v>0.68600000000000005</v>
      </c>
      <c r="K9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Conrad</v>
      </c>
      <c r="L99" s="39"/>
      <c r="M99" s="51"/>
      <c r="N99" s="39"/>
      <c r="O99" s="51"/>
      <c r="P99" s="39"/>
      <c r="Q99" s="51"/>
      <c r="R99" s="39" t="s">
        <v>346</v>
      </c>
      <c r="S99" s="51">
        <v>399.95</v>
      </c>
      <c r="T99" s="39"/>
      <c r="U99" s="51"/>
      <c r="V99" s="39"/>
      <c r="W99" s="51"/>
      <c r="X99" s="39"/>
      <c r="Y99" s="51"/>
      <c r="Z99" s="42"/>
      <c r="AA99" s="60"/>
      <c r="AB99" s="40" t="str">
        <f>IF(Articles!$H30=1,IF(Articles!$F30&lt;Articles!$G30,1,""),"")</f>
        <v/>
      </c>
    </row>
    <row r="100" spans="1:28" x14ac:dyDescent="0.25">
      <c r="A100" s="39" t="s">
        <v>329</v>
      </c>
      <c r="B100" s="40" t="s">
        <v>330</v>
      </c>
      <c r="C100" s="40" t="s">
        <v>352</v>
      </c>
      <c r="D100" s="40" t="s">
        <v>331</v>
      </c>
      <c r="E100" s="40" t="s">
        <v>561</v>
      </c>
      <c r="F100" s="63">
        <v>0</v>
      </c>
      <c r="G100" s="63">
        <v>1</v>
      </c>
      <c r="H100" s="63">
        <f>1</f>
        <v>1</v>
      </c>
      <c r="I100" s="41" t="str">
        <f t="array" ref="I100">IF(ISERROR(INDEX(Articles!$L95:$Y95, MATCH(FALSE, ISBLANK(Articles!$L95:$Y95),0))),"N/A",INDEX(Articles!$L95:$Y95, MATCH(FALSE, ISBLANK(Articles!$L95:$Y95),0)))</f>
        <v>3M5475-ND</v>
      </c>
      <c r="J100" s="60">
        <f t="array" aca="1" ref="J100" ca="1">IF(ISERROR(OFFSET(INDEX(Articles!$L95:$AA95, MATCH(FALSE, ISBLANK(Articles!$L95:$AA95),0)),0,1)),"N/A",OFFSET(INDEX(Articles!$L95:$AA95, MATCH(FALSE, ISBLANK(Articles!$L95:$AA95),0)),0,1))</f>
        <v>0.61</v>
      </c>
      <c r="K10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Distrelec</v>
      </c>
      <c r="L100" s="39"/>
      <c r="M100" s="51"/>
      <c r="N100" s="39"/>
      <c r="O100" s="51"/>
      <c r="P100" s="39" t="s">
        <v>328</v>
      </c>
      <c r="Q100" s="51">
        <v>14.6</v>
      </c>
      <c r="R100" s="39"/>
      <c r="S100" s="51"/>
      <c r="T100" s="39"/>
      <c r="U100" s="51"/>
      <c r="V100" s="39"/>
      <c r="W100" s="51"/>
      <c r="X100" s="39"/>
      <c r="Y100" s="51"/>
      <c r="Z100" s="42"/>
      <c r="AA100" s="60"/>
      <c r="AB100" s="40" t="str">
        <f>IF(Articles!$H95=1,IF(Articles!$F95&lt;Articles!$G95,1,""),"")</f>
        <v/>
      </c>
    </row>
    <row r="101" spans="1:28" x14ac:dyDescent="0.25">
      <c r="A101" s="65" t="s">
        <v>46</v>
      </c>
      <c r="B101" s="40" t="s">
        <v>45</v>
      </c>
      <c r="C101" s="40" t="s">
        <v>389</v>
      </c>
      <c r="D101" s="40" t="s">
        <v>44</v>
      </c>
      <c r="E101" s="40" t="s">
        <v>566</v>
      </c>
      <c r="F101" s="63">
        <v>16</v>
      </c>
      <c r="G101" s="63">
        <f>10</f>
        <v>10</v>
      </c>
      <c r="H101" s="63">
        <f>1</f>
        <v>1</v>
      </c>
      <c r="I101" s="41" t="str">
        <f t="array" ref="I101">IF(ISERROR(INDEX(Articles!$L53:$Y53, MATCH(FALSE, ISBLANK(Articles!$L53:$Y53),0))),"N/A",INDEX(Articles!$L53:$Y53, MATCH(FALSE, ISBLANK(Articles!$L53:$Y53),0)))</f>
        <v>1510-2262-1-ND</v>
      </c>
      <c r="J101" s="60">
        <f t="array" aca="1" ref="J101" ca="1">IF(ISERROR(OFFSET(INDEX(Articles!$L53:$AA53, MATCH(FALSE, ISBLANK(Articles!$L53:$AA53),0)),0,1)),"N/A",OFFSET(INDEX(Articles!$L53:$AA53, MATCH(FALSE, ISBLANK(Articles!$L53:$AA53),0)),0,1))</f>
        <v>2.64</v>
      </c>
      <c r="K10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01" s="39" t="s">
        <v>477</v>
      </c>
      <c r="M101" s="51">
        <v>0.55000000000000004</v>
      </c>
      <c r="N101" s="39">
        <v>9845356</v>
      </c>
      <c r="O101" s="51">
        <v>0.42199999999999999</v>
      </c>
      <c r="P101" s="39"/>
      <c r="Q101" s="51"/>
      <c r="R101" s="39"/>
      <c r="S101" s="51"/>
      <c r="T101" s="39"/>
      <c r="U101" s="51"/>
      <c r="V101" s="39"/>
      <c r="W101" s="51"/>
      <c r="X101" s="39"/>
      <c r="Y101" s="51">
        <v>0.42199999999999999</v>
      </c>
      <c r="Z101" s="42"/>
      <c r="AA101" s="60"/>
      <c r="AB101" s="40" t="str">
        <f>IF(Articles!$H53=1,IF(Articles!$F53&lt;Articles!$G53,1,""),"")</f>
        <v/>
      </c>
    </row>
    <row r="102" spans="1:28" x14ac:dyDescent="0.25">
      <c r="A102" s="65" t="s">
        <v>43</v>
      </c>
      <c r="B102" s="40" t="s">
        <v>7</v>
      </c>
      <c r="C102" s="40" t="s">
        <v>387</v>
      </c>
      <c r="D102" s="40" t="s">
        <v>41</v>
      </c>
      <c r="E102" s="40" t="s">
        <v>566</v>
      </c>
      <c r="F102" s="63">
        <v>24</v>
      </c>
      <c r="G102" s="63">
        <v>10</v>
      </c>
      <c r="H102" s="63">
        <f>1</f>
        <v>1</v>
      </c>
      <c r="I102" s="41" t="str">
        <f t="array" ref="I102">IF(ISERROR(INDEX(Articles!$L84:$Y84, MATCH(FALSE, ISBLANK(Articles!$L84:$Y84),0))),"N/A",INDEX(Articles!$L84:$Y84, MATCH(FALSE, ISBLANK(Articles!$L84:$Y84),0)))</f>
        <v>A129415CT-ND</v>
      </c>
      <c r="J102" s="60">
        <f t="array" aca="1" ref="J102" ca="1">IF(ISERROR(OFFSET(INDEX(Articles!$L84:$AA84, MATCH(FALSE, ISBLANK(Articles!$L84:$AA84),0)),0,1)),"N/A",OFFSET(INDEX(Articles!$L84:$AA84, MATCH(FALSE, ISBLANK(Articles!$L84:$AA84),0)),0,1))</f>
        <v>0.31</v>
      </c>
      <c r="K10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02" s="39" t="s">
        <v>480</v>
      </c>
      <c r="M102" s="51">
        <v>0.56999999999999995</v>
      </c>
      <c r="N102" s="39">
        <v>1779259</v>
      </c>
      <c r="O102" s="51">
        <v>0.27100000000000002</v>
      </c>
      <c r="P102" s="39"/>
      <c r="Q102" s="51"/>
      <c r="R102" s="39"/>
      <c r="S102" s="51"/>
      <c r="T102" s="39"/>
      <c r="U102" s="51"/>
      <c r="V102" s="39"/>
      <c r="W102" s="51"/>
      <c r="X102" s="39"/>
      <c r="Y102" s="51">
        <v>0.27100000000000002</v>
      </c>
      <c r="Z102" s="42"/>
      <c r="AA102" s="60"/>
      <c r="AB102" s="40" t="str">
        <f>IF(Articles!$H84=1,IF(Articles!$F84&lt;Articles!$G84,1,""),"")</f>
        <v/>
      </c>
    </row>
    <row r="103" spans="1:28" x14ac:dyDescent="0.25">
      <c r="A103" s="65" t="s">
        <v>38</v>
      </c>
      <c r="B103" s="40" t="s">
        <v>92</v>
      </c>
      <c r="C103" s="40" t="s">
        <v>352</v>
      </c>
      <c r="D103" s="40" t="s">
        <v>37</v>
      </c>
      <c r="E103" s="40" t="s">
        <v>560</v>
      </c>
      <c r="F103" s="63">
        <v>2</v>
      </c>
      <c r="G103" s="63">
        <v>0</v>
      </c>
      <c r="H103" s="63">
        <f>1</f>
        <v>1</v>
      </c>
      <c r="I103" s="41" t="str">
        <f t="array" ref="I103">IF(ISERROR(INDEX(Articles!$L22:$Y22, MATCH(FALSE, ISBLANK(Articles!$L22:$Y22),0))),"N/A",INDEX(Articles!$L22:$Y22, MATCH(FALSE, ISBLANK(Articles!$L22:$Y22),0)))</f>
        <v>2725179</v>
      </c>
      <c r="J103" s="60">
        <f t="array" aca="1" ref="J103" ca="1">IF(ISERROR(OFFSET(INDEX(Articles!$L22:$AA22, MATCH(FALSE, ISBLANK(Articles!$L22:$AA22),0)),0,1)),"N/A",OFFSET(INDEX(Articles!$L22:$AA22, MATCH(FALSE, ISBLANK(Articles!$L22:$AA22),0)),0,1))</f>
        <v>0.28699999999999998</v>
      </c>
      <c r="K10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03" s="39" t="s">
        <v>168</v>
      </c>
      <c r="M103" s="51">
        <v>2.08</v>
      </c>
      <c r="N103" s="39">
        <v>9352260</v>
      </c>
      <c r="O103" s="51">
        <v>2.76</v>
      </c>
      <c r="P103" s="39"/>
      <c r="Q103" s="51"/>
      <c r="R103" s="39"/>
      <c r="S103" s="51"/>
      <c r="T103" s="39"/>
      <c r="U103" s="51"/>
      <c r="V103" s="39"/>
      <c r="W103" s="51"/>
      <c r="X103" s="39"/>
      <c r="Y103" s="51">
        <v>2.76</v>
      </c>
      <c r="Z103" s="42"/>
      <c r="AA103" s="60"/>
      <c r="AB103" s="40">
        <f>IF(Articles!$H22=1,IF(Articles!$F22&lt;Articles!$G22,1,""),"")</f>
        <v>1</v>
      </c>
    </row>
    <row r="104" spans="1:28" x14ac:dyDescent="0.25">
      <c r="A104" s="65" t="s">
        <v>49</v>
      </c>
      <c r="B104" s="40" t="s">
        <v>48</v>
      </c>
      <c r="C104" s="40" t="s">
        <v>352</v>
      </c>
      <c r="D104" s="40" t="s">
        <v>47</v>
      </c>
      <c r="E104" s="40" t="s">
        <v>560</v>
      </c>
      <c r="F104" s="63">
        <v>1</v>
      </c>
      <c r="G104" s="63">
        <v>1</v>
      </c>
      <c r="H104" s="63">
        <v>1</v>
      </c>
      <c r="I104" s="41" t="str">
        <f t="array" ref="I104">IF(ISERROR(INDEX(Articles!$L91:$Y91, MATCH(FALSE, ISBLANK(Articles!$L91:$Y91),0))),"N/A",INDEX(Articles!$L91:$Y91, MATCH(FALSE, ISBLANK(Articles!$L91:$Y91),0)))</f>
        <v>2073779</v>
      </c>
      <c r="J104" s="60">
        <f t="array" aca="1" ref="J104" ca="1">IF(ISERROR(OFFSET(INDEX(Articles!$L91:$AA91, MATCH(FALSE, ISBLANK(Articles!$L91:$AA91),0)),0,1)),"N/A",OFFSET(INDEX(Articles!$L91:$AA91, MATCH(FALSE, ISBLANK(Articles!$L91:$AA91),0)),0,1))</f>
        <v>2.3E-2</v>
      </c>
      <c r="K10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04" s="39" t="s">
        <v>481</v>
      </c>
      <c r="M104" s="51">
        <v>1.81</v>
      </c>
      <c r="N104" s="39">
        <v>1141380</v>
      </c>
      <c r="O104" s="51">
        <v>1.62</v>
      </c>
      <c r="P104" s="39"/>
      <c r="Q104" s="51"/>
      <c r="R104" s="39"/>
      <c r="S104" s="51"/>
      <c r="T104" s="39"/>
      <c r="U104" s="51"/>
      <c r="V104" s="39"/>
      <c r="W104" s="51"/>
      <c r="X104" s="39"/>
      <c r="Y104" s="51">
        <v>1.62</v>
      </c>
      <c r="Z104" s="42"/>
      <c r="AA104" s="60"/>
      <c r="AB104" s="40" t="str">
        <f>IF(Articles!$H91=1,IF(Articles!$F91&lt;Articles!$G91,1,""),"")</f>
        <v/>
      </c>
    </row>
    <row r="105" spans="1:28" x14ac:dyDescent="0.25">
      <c r="A105" s="65" t="s">
        <v>490</v>
      </c>
      <c r="B105" s="40" t="s">
        <v>258</v>
      </c>
      <c r="C105" s="40" t="s">
        <v>352</v>
      </c>
      <c r="D105" s="40" t="s">
        <v>270</v>
      </c>
      <c r="E105" s="40" t="s">
        <v>556</v>
      </c>
      <c r="F105" s="63">
        <v>3</v>
      </c>
      <c r="G105" s="63">
        <v>0</v>
      </c>
      <c r="H105" s="63">
        <f>1</f>
        <v>1</v>
      </c>
      <c r="I105" s="41" t="str">
        <f t="array" ref="I105">IF(ISERROR(INDEX(Articles!$L36:$Y36, MATCH(FALSE, ISBLANK(Articles!$L36:$Y36),0))),"N/A",INDEX(Articles!$L36:$Y36, MATCH(FALSE, ISBLANK(Articles!$L36:$Y36),0)))</f>
        <v>MFU0805.63CT-ND</v>
      </c>
      <c r="J105" s="60">
        <f t="array" aca="1" ref="J105" ca="1">IF(ISERROR(OFFSET(INDEX(Articles!$L36:$AA36, MATCH(FALSE, ISBLANK(Articles!$L36:$AA36),0)),0,1)),"N/A",OFFSET(INDEX(Articles!$L36:$AA36, MATCH(FALSE, ISBLANK(Articles!$L36:$AA36),0)),0,1))</f>
        <v>0.62</v>
      </c>
      <c r="K10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05" s="39" t="s">
        <v>269</v>
      </c>
      <c r="M105" s="51">
        <v>0.48</v>
      </c>
      <c r="N105" s="39"/>
      <c r="O105" s="51"/>
      <c r="P105" s="39"/>
      <c r="Q105" s="51"/>
      <c r="R105" s="39"/>
      <c r="S105" s="51"/>
      <c r="T105" s="39"/>
      <c r="U105" s="51"/>
      <c r="V105" s="39"/>
      <c r="W105" s="51"/>
      <c r="X105" s="39"/>
      <c r="Y105" s="51"/>
      <c r="Z105" s="42"/>
      <c r="AA105" s="60"/>
      <c r="AB105" s="40" t="str">
        <f>IF(Articles!$H36=1,IF(Articles!$F36&lt;Articles!$G36,1,""),"")</f>
        <v/>
      </c>
    </row>
  </sheetData>
  <dataConsolidate/>
  <conditionalFormatting sqref="AB2:AB1048576">
    <cfRule type="cellIs" dxfId="125" priority="59" operator="equal">
      <formula>1</formula>
    </cfRule>
  </conditionalFormatting>
  <conditionalFormatting sqref="A2:A1048576">
    <cfRule type="duplicateValues" dxfId="124" priority="2"/>
  </conditionalFormatting>
  <conditionalFormatting sqref="F2:F1048576">
    <cfRule type="containsBlanks" priority="8" stopIfTrue="1">
      <formula>LEN(TRIM(F2))=0</formula>
    </cfRule>
    <cfRule type="cellIs" dxfId="123" priority="19" operator="lessThan">
      <formula>$G2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452E8-98FA-4088-BCD0-DC7B7A67B9E6}">
  <sheetPr codeName="Sheet4">
    <tabColor rgb="FFFFC000"/>
  </sheetPr>
  <dimension ref="A1:F64"/>
  <sheetViews>
    <sheetView workbookViewId="0">
      <pane ySplit="1" topLeftCell="A38" activePane="bottomLeft" state="frozen"/>
      <selection pane="bottomLeft" activeCell="E70" sqref="E70"/>
    </sheetView>
  </sheetViews>
  <sheetFormatPr defaultRowHeight="15" x14ac:dyDescent="0.25"/>
  <cols>
    <col min="1" max="1" width="18.7109375" style="3" bestFit="1" customWidth="1"/>
    <col min="2" max="2" width="22.140625" style="3" bestFit="1" customWidth="1"/>
    <col min="3" max="3" width="38.85546875" style="4" bestFit="1" customWidth="1"/>
    <col min="4" max="4" width="10.140625" style="4" customWidth="1"/>
    <col min="5" max="5" width="80.85546875" style="4" bestFit="1" customWidth="1"/>
    <col min="6" max="6" width="11.85546875" style="5" customWidth="1"/>
  </cols>
  <sheetData>
    <row r="1" spans="1:6" ht="15.75" thickBot="1" x14ac:dyDescent="0.3">
      <c r="A1" s="1" t="s">
        <v>1</v>
      </c>
      <c r="B1" s="2" t="s">
        <v>0</v>
      </c>
      <c r="C1" s="2" t="s">
        <v>6</v>
      </c>
      <c r="D1" s="2" t="s">
        <v>4</v>
      </c>
      <c r="E1" s="2" t="s">
        <v>2</v>
      </c>
      <c r="F1" s="2" t="s">
        <v>8</v>
      </c>
    </row>
    <row r="2" spans="1:6" x14ac:dyDescent="0.25">
      <c r="A2" s="3">
        <v>90990</v>
      </c>
      <c r="B2" s="3">
        <v>90990</v>
      </c>
      <c r="C2" s="4" t="s">
        <v>65</v>
      </c>
      <c r="D2" s="4" t="s">
        <v>88</v>
      </c>
      <c r="E2" s="4" t="s">
        <v>84</v>
      </c>
      <c r="F2" s="5">
        <v>13.1</v>
      </c>
    </row>
    <row r="3" spans="1:6" x14ac:dyDescent="0.25">
      <c r="A3" s="3">
        <v>912951</v>
      </c>
      <c r="B3" s="3">
        <v>912951</v>
      </c>
      <c r="C3" s="4" t="s">
        <v>65</v>
      </c>
      <c r="D3" s="4" t="s">
        <v>88</v>
      </c>
      <c r="E3" s="4" t="s">
        <v>85</v>
      </c>
      <c r="F3" s="5">
        <v>3.43</v>
      </c>
    </row>
    <row r="4" spans="1:6" x14ac:dyDescent="0.25">
      <c r="A4" s="3">
        <v>965083</v>
      </c>
      <c r="B4" s="3">
        <v>965083</v>
      </c>
      <c r="C4" s="4" t="s">
        <v>65</v>
      </c>
      <c r="D4" s="4" t="s">
        <v>88</v>
      </c>
      <c r="E4" s="4" t="s">
        <v>87</v>
      </c>
      <c r="F4" s="5">
        <v>3.18</v>
      </c>
    </row>
    <row r="5" spans="1:6" x14ac:dyDescent="0.25">
      <c r="A5" s="3">
        <v>1004068</v>
      </c>
      <c r="B5" s="3">
        <v>1004068</v>
      </c>
      <c r="C5" s="4" t="s">
        <v>65</v>
      </c>
      <c r="D5" s="4" t="s">
        <v>88</v>
      </c>
      <c r="E5" s="4" t="s">
        <v>83</v>
      </c>
      <c r="F5" s="5">
        <v>3.49</v>
      </c>
    </row>
    <row r="6" spans="1:6" x14ac:dyDescent="0.25">
      <c r="A6" s="3">
        <v>1181876</v>
      </c>
      <c r="B6" s="3">
        <v>1181876</v>
      </c>
      <c r="C6" s="4" t="s">
        <v>65</v>
      </c>
      <c r="D6" s="4" t="s">
        <v>88</v>
      </c>
      <c r="E6" s="4" t="s">
        <v>86</v>
      </c>
      <c r="F6" s="5">
        <v>3.79</v>
      </c>
    </row>
    <row r="7" spans="1:6" x14ac:dyDescent="0.25">
      <c r="A7" s="3" t="s">
        <v>111</v>
      </c>
      <c r="B7" s="3">
        <v>61304011021</v>
      </c>
      <c r="C7" s="4" t="s">
        <v>112</v>
      </c>
      <c r="D7" s="4" t="s">
        <v>5</v>
      </c>
      <c r="E7" s="4" t="s">
        <v>110</v>
      </c>
      <c r="F7" s="5">
        <v>1.58</v>
      </c>
    </row>
    <row r="8" spans="1:6" x14ac:dyDescent="0.25">
      <c r="A8" s="3">
        <v>1162740</v>
      </c>
      <c r="B8" s="3" t="s">
        <v>117</v>
      </c>
      <c r="C8" s="4" t="s">
        <v>93</v>
      </c>
      <c r="D8" s="4" t="s">
        <v>5</v>
      </c>
      <c r="E8" s="4" t="s">
        <v>29</v>
      </c>
      <c r="F8" s="5">
        <v>0.505</v>
      </c>
    </row>
    <row r="9" spans="1:6" x14ac:dyDescent="0.25">
      <c r="A9" s="3">
        <v>1829519</v>
      </c>
      <c r="B9" s="3" t="s">
        <v>31</v>
      </c>
      <c r="C9" s="4" t="s">
        <v>93</v>
      </c>
      <c r="D9" s="4" t="s">
        <v>5</v>
      </c>
      <c r="E9" s="4" t="s">
        <v>30</v>
      </c>
      <c r="F9" s="5">
        <v>0.78900000000000003</v>
      </c>
    </row>
    <row r="10" spans="1:6" x14ac:dyDescent="0.25">
      <c r="A10" s="3" t="s">
        <v>178</v>
      </c>
      <c r="B10" s="3" t="s">
        <v>179</v>
      </c>
      <c r="C10" s="4" t="s">
        <v>177</v>
      </c>
      <c r="D10" s="4" t="s">
        <v>82</v>
      </c>
      <c r="E10" s="4" t="s">
        <v>180</v>
      </c>
      <c r="F10" s="5">
        <v>1.82</v>
      </c>
    </row>
    <row r="11" spans="1:6" x14ac:dyDescent="0.25">
      <c r="A11" s="4" t="s">
        <v>155</v>
      </c>
      <c r="B11" s="4" t="s">
        <v>156</v>
      </c>
      <c r="C11" s="4" t="s">
        <v>162</v>
      </c>
      <c r="D11" s="4" t="s">
        <v>82</v>
      </c>
      <c r="E11" s="4" t="s">
        <v>157</v>
      </c>
      <c r="F11" s="5">
        <v>0.66500000000000004</v>
      </c>
    </row>
    <row r="12" spans="1:6" x14ac:dyDescent="0.25">
      <c r="A12" s="3" t="s">
        <v>124</v>
      </c>
      <c r="B12" s="3" t="s">
        <v>123</v>
      </c>
      <c r="C12" s="4" t="s">
        <v>91</v>
      </c>
      <c r="D12" s="4" t="s">
        <v>5</v>
      </c>
      <c r="E12" s="4" t="s">
        <v>122</v>
      </c>
      <c r="F12" s="5">
        <v>0.191</v>
      </c>
    </row>
    <row r="13" spans="1:6" x14ac:dyDescent="0.25">
      <c r="A13" s="4" t="s">
        <v>67</v>
      </c>
      <c r="B13" s="4" t="s">
        <v>139</v>
      </c>
      <c r="C13" s="4" t="s">
        <v>69</v>
      </c>
      <c r="D13" s="4" t="s">
        <v>82</v>
      </c>
      <c r="E13" s="4" t="s">
        <v>68</v>
      </c>
      <c r="F13" s="5">
        <v>4.88</v>
      </c>
    </row>
    <row r="14" spans="1:6" x14ac:dyDescent="0.25">
      <c r="A14" s="4" t="s">
        <v>140</v>
      </c>
      <c r="B14" s="4" t="s">
        <v>141</v>
      </c>
      <c r="C14" s="4" t="s">
        <v>160</v>
      </c>
      <c r="D14" s="4" t="s">
        <v>82</v>
      </c>
      <c r="E14" s="4" t="s">
        <v>142</v>
      </c>
      <c r="F14" s="5">
        <v>0.45</v>
      </c>
    </row>
    <row r="15" spans="1:6" x14ac:dyDescent="0.25">
      <c r="A15" s="3" t="s">
        <v>164</v>
      </c>
      <c r="B15" s="3" t="s">
        <v>118</v>
      </c>
      <c r="C15" s="4" t="s">
        <v>91</v>
      </c>
      <c r="D15" s="4" t="s">
        <v>5</v>
      </c>
      <c r="E15" s="4" t="s">
        <v>28</v>
      </c>
      <c r="F15" s="5">
        <v>0.112</v>
      </c>
    </row>
    <row r="16" spans="1:6" x14ac:dyDescent="0.25">
      <c r="A16" s="3" t="s">
        <v>159</v>
      </c>
      <c r="B16" s="3" t="s">
        <v>97</v>
      </c>
      <c r="C16" s="4" t="s">
        <v>26</v>
      </c>
      <c r="D16" s="4" t="s">
        <v>5</v>
      </c>
      <c r="E16" s="4" t="s">
        <v>98</v>
      </c>
      <c r="F16" s="5">
        <v>5.8900000000000001E-2</v>
      </c>
    </row>
    <row r="17" spans="1:6" x14ac:dyDescent="0.25">
      <c r="A17" s="3" t="s">
        <v>114</v>
      </c>
      <c r="B17" s="3" t="s">
        <v>113</v>
      </c>
      <c r="C17" s="4" t="s">
        <v>33</v>
      </c>
      <c r="D17" s="4" t="s">
        <v>5</v>
      </c>
      <c r="E17" s="4" t="s">
        <v>116</v>
      </c>
      <c r="F17" s="5">
        <v>0.28699999999999998</v>
      </c>
    </row>
    <row r="18" spans="1:6" x14ac:dyDescent="0.25">
      <c r="A18" s="3" t="s">
        <v>109</v>
      </c>
      <c r="B18" s="3" t="s">
        <v>107</v>
      </c>
      <c r="C18" s="4" t="s">
        <v>108</v>
      </c>
      <c r="D18" s="4" t="s">
        <v>5</v>
      </c>
      <c r="E18" s="4" t="s">
        <v>115</v>
      </c>
      <c r="F18" s="5">
        <v>1.55</v>
      </c>
    </row>
    <row r="19" spans="1:6" x14ac:dyDescent="0.25">
      <c r="A19" s="3" t="s">
        <v>168</v>
      </c>
      <c r="B19" s="3" t="s">
        <v>38</v>
      </c>
      <c r="C19" s="4" t="s">
        <v>169</v>
      </c>
      <c r="D19" s="4" t="s">
        <v>82</v>
      </c>
      <c r="E19" s="4" t="s">
        <v>37</v>
      </c>
      <c r="F19" s="5">
        <v>2.08</v>
      </c>
    </row>
    <row r="20" spans="1:6" x14ac:dyDescent="0.25">
      <c r="A20" s="3">
        <v>9352260</v>
      </c>
      <c r="B20" s="3" t="s">
        <v>38</v>
      </c>
      <c r="C20" s="4" t="s">
        <v>92</v>
      </c>
      <c r="D20" s="4" t="s">
        <v>5</v>
      </c>
      <c r="E20" s="4" t="s">
        <v>37</v>
      </c>
      <c r="F20" s="5">
        <v>2.76</v>
      </c>
    </row>
    <row r="21" spans="1:6" x14ac:dyDescent="0.25">
      <c r="A21" s="3" t="s">
        <v>134</v>
      </c>
      <c r="B21" s="3" t="s">
        <v>133</v>
      </c>
      <c r="C21" s="4" t="s">
        <v>7</v>
      </c>
      <c r="D21" s="4" t="s">
        <v>5</v>
      </c>
      <c r="E21" s="4" t="s">
        <v>132</v>
      </c>
      <c r="F21" s="5">
        <v>0.34899999999999998</v>
      </c>
    </row>
    <row r="22" spans="1:6" x14ac:dyDescent="0.25">
      <c r="A22" s="3">
        <v>2112100</v>
      </c>
      <c r="B22" s="3" t="s">
        <v>34</v>
      </c>
      <c r="C22" s="4" t="s">
        <v>33</v>
      </c>
      <c r="D22" s="4" t="s">
        <v>5</v>
      </c>
      <c r="E22" s="4" t="s">
        <v>32</v>
      </c>
      <c r="F22" s="5">
        <v>0.28999999999999998</v>
      </c>
    </row>
    <row r="23" spans="1:6" x14ac:dyDescent="0.25">
      <c r="A23" s="3" t="s">
        <v>89</v>
      </c>
      <c r="B23" s="3" t="s">
        <v>90</v>
      </c>
      <c r="C23" s="4" t="s">
        <v>91</v>
      </c>
      <c r="D23" s="4" t="s">
        <v>5</v>
      </c>
      <c r="E23" s="4" t="s">
        <v>96</v>
      </c>
      <c r="F23" s="5">
        <v>0.32600000000000001</v>
      </c>
    </row>
    <row r="24" spans="1:6" x14ac:dyDescent="0.25">
      <c r="A24" s="3">
        <v>2064805</v>
      </c>
      <c r="B24" s="3" t="s">
        <v>40</v>
      </c>
      <c r="C24" s="4" t="s">
        <v>7</v>
      </c>
      <c r="D24" s="4" t="s">
        <v>5</v>
      </c>
      <c r="E24" s="4" t="s">
        <v>39</v>
      </c>
      <c r="F24" s="5">
        <v>2.95</v>
      </c>
    </row>
    <row r="25" spans="1:6" x14ac:dyDescent="0.25">
      <c r="A25" s="4" t="s">
        <v>74</v>
      </c>
      <c r="B25" s="4" t="s">
        <v>77</v>
      </c>
      <c r="C25" s="4" t="s">
        <v>76</v>
      </c>
      <c r="D25" s="4" t="s">
        <v>82</v>
      </c>
      <c r="E25" s="4" t="s">
        <v>75</v>
      </c>
      <c r="F25" s="5">
        <v>2.98</v>
      </c>
    </row>
    <row r="26" spans="1:6" x14ac:dyDescent="0.25">
      <c r="A26" s="3" t="s">
        <v>187</v>
      </c>
      <c r="B26" s="3" t="s">
        <v>188</v>
      </c>
      <c r="C26" s="4" t="s">
        <v>177</v>
      </c>
      <c r="D26" s="4" t="s">
        <v>82</v>
      </c>
      <c r="E26" s="4" t="s">
        <v>189</v>
      </c>
      <c r="F26" s="5">
        <v>1.95E-2</v>
      </c>
    </row>
    <row r="27" spans="1:6" x14ac:dyDescent="0.25">
      <c r="A27" s="3">
        <v>2380458</v>
      </c>
      <c r="B27" s="3" t="s">
        <v>59</v>
      </c>
      <c r="C27" s="4" t="s">
        <v>58</v>
      </c>
      <c r="D27" s="4" t="s">
        <v>5</v>
      </c>
      <c r="E27" s="4" t="s">
        <v>57</v>
      </c>
      <c r="F27" s="5">
        <v>3.7499999999999999E-2</v>
      </c>
    </row>
    <row r="28" spans="1:6" x14ac:dyDescent="0.25">
      <c r="A28" s="3">
        <v>9845356</v>
      </c>
      <c r="B28" s="3" t="s">
        <v>46</v>
      </c>
      <c r="C28" s="4" t="s">
        <v>45</v>
      </c>
      <c r="D28" s="4" t="s">
        <v>5</v>
      </c>
      <c r="E28" s="4" t="s">
        <v>44</v>
      </c>
      <c r="F28" s="5">
        <v>0.42199999999999999</v>
      </c>
    </row>
    <row r="29" spans="1:6" x14ac:dyDescent="0.25">
      <c r="A29" s="3" t="s">
        <v>190</v>
      </c>
      <c r="B29" s="3" t="s">
        <v>191</v>
      </c>
      <c r="C29" s="4" t="s">
        <v>177</v>
      </c>
      <c r="D29" s="4" t="s">
        <v>82</v>
      </c>
      <c r="E29" s="4" t="s">
        <v>192</v>
      </c>
      <c r="F29" s="5">
        <v>1.82</v>
      </c>
    </row>
    <row r="30" spans="1:6" x14ac:dyDescent="0.25">
      <c r="A30" s="3">
        <v>2461217</v>
      </c>
      <c r="B30" s="3" t="s">
        <v>16</v>
      </c>
      <c r="C30" s="4" t="s">
        <v>33</v>
      </c>
      <c r="D30" s="4" t="s">
        <v>5</v>
      </c>
      <c r="E30" s="4" t="s">
        <v>15</v>
      </c>
      <c r="F30" s="5">
        <v>0.20200000000000001</v>
      </c>
    </row>
    <row r="31" spans="1:6" x14ac:dyDescent="0.25">
      <c r="A31" s="3">
        <v>9451242</v>
      </c>
      <c r="B31" s="3" t="s">
        <v>14</v>
      </c>
      <c r="C31" s="4" t="s">
        <v>33</v>
      </c>
      <c r="D31" s="4" t="s">
        <v>5</v>
      </c>
      <c r="E31" s="4" t="s">
        <v>13</v>
      </c>
      <c r="F31" s="5">
        <v>5.1700000000000003E-2</v>
      </c>
    </row>
    <row r="32" spans="1:6" x14ac:dyDescent="0.25">
      <c r="A32" s="3" t="s">
        <v>163</v>
      </c>
      <c r="B32" s="3" t="s">
        <v>12</v>
      </c>
      <c r="C32" s="4" t="s">
        <v>33</v>
      </c>
      <c r="D32" s="4" t="s">
        <v>5</v>
      </c>
      <c r="E32" s="4" t="s">
        <v>11</v>
      </c>
      <c r="F32" s="5">
        <v>5.0900000000000001E-2</v>
      </c>
    </row>
    <row r="33" spans="1:6" x14ac:dyDescent="0.25">
      <c r="A33" s="3">
        <v>1576507</v>
      </c>
      <c r="B33" s="3" t="s">
        <v>61</v>
      </c>
      <c r="C33" s="4" t="s">
        <v>33</v>
      </c>
      <c r="D33" s="4" t="s">
        <v>5</v>
      </c>
      <c r="E33" s="4" t="s">
        <v>60</v>
      </c>
      <c r="F33" s="5">
        <v>4.4499999999999998E-2</v>
      </c>
    </row>
    <row r="34" spans="1:6" x14ac:dyDescent="0.25">
      <c r="A34" s="3">
        <v>2073701</v>
      </c>
      <c r="B34" s="3" t="s">
        <v>56</v>
      </c>
      <c r="C34" s="4" t="s">
        <v>33</v>
      </c>
      <c r="D34" s="4" t="s">
        <v>5</v>
      </c>
      <c r="E34" s="4" t="s">
        <v>55</v>
      </c>
      <c r="F34" s="5">
        <v>1.55E-2</v>
      </c>
    </row>
    <row r="35" spans="1:6" x14ac:dyDescent="0.25">
      <c r="A35" s="3">
        <v>2073779</v>
      </c>
      <c r="B35" s="3" t="s">
        <v>54</v>
      </c>
      <c r="C35" s="4" t="s">
        <v>33</v>
      </c>
      <c r="D35" s="4" t="s">
        <v>5</v>
      </c>
      <c r="E35" s="4" t="s">
        <v>53</v>
      </c>
      <c r="F35" s="5">
        <v>2.3E-2</v>
      </c>
    </row>
    <row r="36" spans="1:6" x14ac:dyDescent="0.25">
      <c r="A36" s="3">
        <v>1851909</v>
      </c>
      <c r="B36" s="3" t="s">
        <v>24</v>
      </c>
      <c r="C36" s="4" t="s">
        <v>94</v>
      </c>
      <c r="D36" s="4" t="s">
        <v>5</v>
      </c>
      <c r="E36" s="4" t="s">
        <v>23</v>
      </c>
      <c r="F36" s="5">
        <v>0.51600000000000001</v>
      </c>
    </row>
    <row r="37" spans="1:6" x14ac:dyDescent="0.25">
      <c r="A37" s="3">
        <v>8540829</v>
      </c>
      <c r="B37" s="3" t="s">
        <v>18</v>
      </c>
      <c r="C37" s="4" t="s">
        <v>94</v>
      </c>
      <c r="D37" s="4" t="s">
        <v>5</v>
      </c>
      <c r="E37" s="4" t="s">
        <v>17</v>
      </c>
      <c r="F37" s="5">
        <v>0.246</v>
      </c>
    </row>
    <row r="38" spans="1:6" x14ac:dyDescent="0.25">
      <c r="A38" s="3" t="s">
        <v>103</v>
      </c>
      <c r="B38" s="6" t="s">
        <v>101</v>
      </c>
      <c r="C38" s="4" t="s">
        <v>94</v>
      </c>
      <c r="D38" s="4" t="s">
        <v>5</v>
      </c>
      <c r="E38" s="4" t="s">
        <v>102</v>
      </c>
      <c r="F38" s="5">
        <v>0.34</v>
      </c>
    </row>
    <row r="39" spans="1:6" x14ac:dyDescent="0.25">
      <c r="A39" s="3" t="s">
        <v>106</v>
      </c>
      <c r="B39" s="3" t="s">
        <v>105</v>
      </c>
      <c r="C39" s="4" t="s">
        <v>94</v>
      </c>
      <c r="D39" s="4" t="s">
        <v>5</v>
      </c>
      <c r="E39" s="4" t="s">
        <v>104</v>
      </c>
      <c r="F39" s="5">
        <v>0.44600000000000001</v>
      </c>
    </row>
    <row r="40" spans="1:6" x14ac:dyDescent="0.25">
      <c r="A40" s="3" t="s">
        <v>99</v>
      </c>
      <c r="B40" s="6" t="s">
        <v>100</v>
      </c>
      <c r="C40" s="4" t="s">
        <v>94</v>
      </c>
      <c r="D40" s="4" t="s">
        <v>5</v>
      </c>
      <c r="E40" s="4" t="s">
        <v>104</v>
      </c>
      <c r="F40" s="5">
        <v>0.44600000000000001</v>
      </c>
    </row>
    <row r="41" spans="1:6" x14ac:dyDescent="0.25">
      <c r="A41" s="3">
        <v>1332159</v>
      </c>
      <c r="B41" s="3" t="s">
        <v>22</v>
      </c>
      <c r="C41" s="4" t="s">
        <v>94</v>
      </c>
      <c r="D41" s="4" t="s">
        <v>5</v>
      </c>
      <c r="E41" s="4" t="s">
        <v>21</v>
      </c>
      <c r="F41" s="5">
        <v>0.57499999999999996</v>
      </c>
    </row>
    <row r="42" spans="1:6" x14ac:dyDescent="0.25">
      <c r="A42" s="3">
        <v>2694097</v>
      </c>
      <c r="B42" s="3" t="s">
        <v>63</v>
      </c>
      <c r="C42" s="4" t="s">
        <v>33</v>
      </c>
      <c r="D42" s="4" t="s">
        <v>5</v>
      </c>
      <c r="E42" s="4" t="s">
        <v>62</v>
      </c>
      <c r="F42" s="5">
        <v>2.3900000000000001E-2</v>
      </c>
    </row>
    <row r="43" spans="1:6" x14ac:dyDescent="0.25">
      <c r="A43" s="3">
        <v>2447573</v>
      </c>
      <c r="B43" s="3" t="s">
        <v>52</v>
      </c>
      <c r="C43" s="4" t="s">
        <v>51</v>
      </c>
      <c r="D43" s="4" t="s">
        <v>5</v>
      </c>
      <c r="E43" s="4" t="s">
        <v>50</v>
      </c>
      <c r="F43" s="5">
        <v>1.0999999999999999E-2</v>
      </c>
    </row>
    <row r="44" spans="1:6" x14ac:dyDescent="0.25">
      <c r="A44" s="3">
        <v>2677151</v>
      </c>
      <c r="B44" s="3" t="s">
        <v>27</v>
      </c>
      <c r="C44" s="4" t="s">
        <v>45</v>
      </c>
      <c r="D44" s="4" t="s">
        <v>5</v>
      </c>
      <c r="E44" s="4" t="s">
        <v>25</v>
      </c>
      <c r="F44" s="5">
        <v>0.26500000000000001</v>
      </c>
    </row>
    <row r="45" spans="1:6" x14ac:dyDescent="0.25">
      <c r="A45" s="4" t="s">
        <v>70</v>
      </c>
      <c r="B45" s="4" t="s">
        <v>73</v>
      </c>
      <c r="C45" s="4" t="s">
        <v>72</v>
      </c>
      <c r="D45" s="4" t="s">
        <v>82</v>
      </c>
      <c r="E45" s="4" t="s">
        <v>71</v>
      </c>
      <c r="F45" s="5">
        <v>1.07</v>
      </c>
    </row>
    <row r="46" spans="1:6" x14ac:dyDescent="0.25">
      <c r="A46" s="4" t="s">
        <v>152</v>
      </c>
      <c r="B46" s="4" t="s">
        <v>153</v>
      </c>
      <c r="C46" s="4" t="s">
        <v>80</v>
      </c>
      <c r="D46" s="4" t="s">
        <v>82</v>
      </c>
      <c r="E46" s="4" t="s">
        <v>154</v>
      </c>
      <c r="F46" s="5">
        <v>1.53</v>
      </c>
    </row>
    <row r="47" spans="1:6" x14ac:dyDescent="0.25">
      <c r="A47" s="4" t="s">
        <v>78</v>
      </c>
      <c r="B47" s="4" t="s">
        <v>81</v>
      </c>
      <c r="C47" s="4" t="s">
        <v>80</v>
      </c>
      <c r="D47" s="4" t="s">
        <v>82</v>
      </c>
      <c r="E47" s="4" t="s">
        <v>79</v>
      </c>
      <c r="F47" s="5">
        <v>1.57</v>
      </c>
    </row>
    <row r="48" spans="1:6" x14ac:dyDescent="0.25">
      <c r="A48" s="4" t="s">
        <v>146</v>
      </c>
      <c r="B48" s="4" t="s">
        <v>147</v>
      </c>
      <c r="C48" s="4" t="s">
        <v>80</v>
      </c>
      <c r="D48" s="4" t="s">
        <v>82</v>
      </c>
      <c r="E48" s="4" t="s">
        <v>148</v>
      </c>
      <c r="F48" s="5">
        <v>1.47</v>
      </c>
    </row>
    <row r="49" spans="1:6" x14ac:dyDescent="0.25">
      <c r="A49" s="4" t="s">
        <v>149</v>
      </c>
      <c r="B49" s="4" t="s">
        <v>150</v>
      </c>
      <c r="C49" s="4" t="s">
        <v>80</v>
      </c>
      <c r="D49" s="4" t="s">
        <v>82</v>
      </c>
      <c r="E49" s="4" t="s">
        <v>151</v>
      </c>
      <c r="F49" s="5">
        <v>1.43</v>
      </c>
    </row>
    <row r="50" spans="1:6" x14ac:dyDescent="0.25">
      <c r="A50" s="4" t="s">
        <v>64</v>
      </c>
      <c r="B50" s="4" t="s">
        <v>158</v>
      </c>
      <c r="C50" s="4" t="s">
        <v>95</v>
      </c>
      <c r="D50" s="4" t="s">
        <v>82</v>
      </c>
      <c r="E50" s="4" t="s">
        <v>66</v>
      </c>
      <c r="F50" s="5">
        <v>15.9</v>
      </c>
    </row>
    <row r="51" spans="1:6" x14ac:dyDescent="0.25">
      <c r="A51" s="3">
        <v>1779259</v>
      </c>
      <c r="B51" s="3" t="s">
        <v>43</v>
      </c>
      <c r="C51" s="4" t="s">
        <v>7</v>
      </c>
      <c r="D51" s="4" t="s">
        <v>5</v>
      </c>
      <c r="E51" s="4" t="s">
        <v>41</v>
      </c>
      <c r="F51" s="5">
        <v>0.27100000000000002</v>
      </c>
    </row>
    <row r="52" spans="1:6" x14ac:dyDescent="0.25">
      <c r="A52" s="3" t="s">
        <v>196</v>
      </c>
      <c r="B52" s="3" t="s">
        <v>197</v>
      </c>
      <c r="C52" s="4" t="s">
        <v>177</v>
      </c>
      <c r="D52" s="4" t="s">
        <v>82</v>
      </c>
      <c r="E52" s="4" t="s">
        <v>198</v>
      </c>
      <c r="F52" s="5">
        <v>15.95</v>
      </c>
    </row>
    <row r="53" spans="1:6" x14ac:dyDescent="0.25">
      <c r="A53" s="3" t="s">
        <v>137</v>
      </c>
      <c r="B53" s="3" t="s">
        <v>136</v>
      </c>
      <c r="C53" s="4" t="s">
        <v>127</v>
      </c>
      <c r="D53" s="4" t="s">
        <v>5</v>
      </c>
      <c r="E53" s="4" t="s">
        <v>135</v>
      </c>
      <c r="F53" s="5">
        <v>0.27100000000000002</v>
      </c>
    </row>
    <row r="54" spans="1:6" x14ac:dyDescent="0.25">
      <c r="A54" s="3">
        <v>1287598</v>
      </c>
      <c r="B54" s="3" t="s">
        <v>9</v>
      </c>
      <c r="C54" s="4" t="s">
        <v>7</v>
      </c>
      <c r="D54" s="4" t="s">
        <v>5</v>
      </c>
      <c r="E54" s="4" t="s">
        <v>10</v>
      </c>
      <c r="F54" s="5">
        <v>0.33100000000000002</v>
      </c>
    </row>
    <row r="55" spans="1:6" x14ac:dyDescent="0.25">
      <c r="A55" s="3" t="s">
        <v>121</v>
      </c>
      <c r="B55" s="3" t="s">
        <v>120</v>
      </c>
      <c r="C55" s="4" t="s">
        <v>33</v>
      </c>
      <c r="D55" s="4" t="s">
        <v>5</v>
      </c>
      <c r="E55" s="4" t="s">
        <v>119</v>
      </c>
      <c r="F55" s="5">
        <v>0.26500000000000001</v>
      </c>
    </row>
    <row r="56" spans="1:6" x14ac:dyDescent="0.25">
      <c r="A56" s="3" t="s">
        <v>193</v>
      </c>
      <c r="B56" s="3" t="s">
        <v>194</v>
      </c>
      <c r="C56" s="4" t="s">
        <v>177</v>
      </c>
      <c r="D56" s="4" t="s">
        <v>82</v>
      </c>
      <c r="E56" s="4" t="s">
        <v>195</v>
      </c>
      <c r="F56" s="5">
        <v>2.64</v>
      </c>
    </row>
    <row r="57" spans="1:6" x14ac:dyDescent="0.25">
      <c r="A57" s="3">
        <v>1141380</v>
      </c>
      <c r="B57" s="3" t="s">
        <v>49</v>
      </c>
      <c r="C57" s="4" t="s">
        <v>48</v>
      </c>
      <c r="D57" s="4" t="s">
        <v>5</v>
      </c>
      <c r="E57" s="4" t="s">
        <v>47</v>
      </c>
      <c r="F57" s="5">
        <v>1.62</v>
      </c>
    </row>
    <row r="58" spans="1:6" x14ac:dyDescent="0.25">
      <c r="A58" s="3" t="s">
        <v>130</v>
      </c>
      <c r="B58" s="3" t="s">
        <v>129</v>
      </c>
      <c r="C58" s="4" t="s">
        <v>127</v>
      </c>
      <c r="D58" s="4" t="s">
        <v>5</v>
      </c>
      <c r="E58" s="4" t="s">
        <v>131</v>
      </c>
      <c r="F58" s="5">
        <v>0.54600000000000004</v>
      </c>
    </row>
    <row r="59" spans="1:6" x14ac:dyDescent="0.25">
      <c r="A59" s="3" t="s">
        <v>128</v>
      </c>
      <c r="B59" s="3" t="s">
        <v>126</v>
      </c>
      <c r="C59" s="4" t="s">
        <v>127</v>
      </c>
      <c r="D59" s="4" t="s">
        <v>5</v>
      </c>
      <c r="E59" s="4" t="s">
        <v>125</v>
      </c>
      <c r="F59" s="5">
        <v>0.68600000000000005</v>
      </c>
    </row>
    <row r="60" spans="1:6" x14ac:dyDescent="0.25">
      <c r="A60" s="4" t="s">
        <v>143</v>
      </c>
      <c r="B60" s="4" t="s">
        <v>144</v>
      </c>
      <c r="C60" s="4" t="s">
        <v>161</v>
      </c>
      <c r="D60" s="4" t="s">
        <v>82</v>
      </c>
      <c r="E60" s="4" t="s">
        <v>145</v>
      </c>
      <c r="F60" s="5">
        <v>2.52</v>
      </c>
    </row>
    <row r="61" spans="1:6" x14ac:dyDescent="0.25">
      <c r="A61" s="3">
        <v>2896645</v>
      </c>
      <c r="B61" s="3" t="s">
        <v>36</v>
      </c>
      <c r="C61" s="4" t="s">
        <v>42</v>
      </c>
      <c r="D61" s="4" t="s">
        <v>5</v>
      </c>
      <c r="E61" s="4" t="s">
        <v>35</v>
      </c>
      <c r="F61" s="5">
        <v>0.106</v>
      </c>
    </row>
    <row r="62" spans="1:6" x14ac:dyDescent="0.25">
      <c r="A62" s="3">
        <v>2682731</v>
      </c>
      <c r="B62" s="3" t="s">
        <v>20</v>
      </c>
      <c r="C62" s="4" t="s">
        <v>42</v>
      </c>
      <c r="D62" s="4" t="s">
        <v>5</v>
      </c>
      <c r="E62" s="4" t="s">
        <v>19</v>
      </c>
      <c r="F62" s="5">
        <v>3.64</v>
      </c>
    </row>
    <row r="63" spans="1:6" x14ac:dyDescent="0.25">
      <c r="A63" s="3" t="s">
        <v>181</v>
      </c>
      <c r="B63" s="3" t="s">
        <v>182</v>
      </c>
      <c r="C63" s="4" t="s">
        <v>177</v>
      </c>
      <c r="D63" s="4" t="s">
        <v>82</v>
      </c>
      <c r="E63" s="4" t="s">
        <v>183</v>
      </c>
      <c r="F63" s="5">
        <v>0.8</v>
      </c>
    </row>
    <row r="64" spans="1:6" x14ac:dyDescent="0.25">
      <c r="A64" s="3" t="s">
        <v>184</v>
      </c>
      <c r="B64" s="3" t="s">
        <v>185</v>
      </c>
      <c r="C64" s="4" t="s">
        <v>177</v>
      </c>
      <c r="D64" s="4" t="s">
        <v>82</v>
      </c>
      <c r="E64" s="4" t="s">
        <v>186</v>
      </c>
      <c r="F64" s="5">
        <v>1.06</v>
      </c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O4"/>
  <sheetViews>
    <sheetView zoomScaleNormal="100" workbookViewId="0">
      <pane ySplit="1" topLeftCell="A2" activePane="bottomLeft" state="frozen"/>
      <selection pane="bottomLeft" activeCell="I17" sqref="I17"/>
    </sheetView>
  </sheetViews>
  <sheetFormatPr defaultRowHeight="15" x14ac:dyDescent="0.25"/>
  <cols>
    <col min="1" max="1" width="26.85546875" bestFit="1" customWidth="1"/>
    <col min="2" max="2" width="19" customWidth="1"/>
    <col min="3" max="3" width="20.28515625" customWidth="1"/>
    <col min="4" max="4" width="10.28515625" bestFit="1" customWidth="1"/>
    <col min="5" max="5" width="9" bestFit="1" customWidth="1"/>
    <col min="6" max="6" width="34.5703125" customWidth="1"/>
    <col min="7" max="7" width="10" bestFit="1" customWidth="1"/>
    <col min="8" max="9" width="12" bestFit="1" customWidth="1"/>
    <col min="10" max="10" width="11" style="26" bestFit="1" customWidth="1"/>
    <col min="11" max="11" width="12.5703125" style="26" bestFit="1" customWidth="1"/>
    <col min="12" max="12" width="12.5703125" style="19" customWidth="1"/>
    <col min="13" max="13" width="32.5703125" style="19" bestFit="1" customWidth="1"/>
    <col min="14" max="14" width="21.140625" style="24" customWidth="1"/>
    <col min="15" max="15" width="28.7109375" style="24" bestFit="1" customWidth="1"/>
  </cols>
  <sheetData>
    <row r="1" spans="1:15" ht="15.75" thickBot="1" x14ac:dyDescent="0.3">
      <c r="A1" s="2" t="s">
        <v>1</v>
      </c>
      <c r="B1" s="2" t="s">
        <v>497</v>
      </c>
      <c r="C1" s="2" t="s">
        <v>6</v>
      </c>
      <c r="D1" s="2" t="s">
        <v>4</v>
      </c>
      <c r="E1" s="2" t="s">
        <v>351</v>
      </c>
      <c r="F1" s="21" t="s">
        <v>2</v>
      </c>
      <c r="G1" s="2" t="s">
        <v>3</v>
      </c>
      <c r="H1" s="27" t="s">
        <v>494</v>
      </c>
      <c r="I1" s="18" t="s">
        <v>8</v>
      </c>
      <c r="J1" s="32" t="s">
        <v>138</v>
      </c>
      <c r="K1" s="29" t="s">
        <v>495</v>
      </c>
      <c r="L1" s="29" t="s">
        <v>451</v>
      </c>
      <c r="M1" s="29" t="s">
        <v>453</v>
      </c>
      <c r="N1" s="23"/>
      <c r="O1" s="4"/>
    </row>
    <row r="2" spans="1:15" x14ac:dyDescent="0.25">
      <c r="A2" s="4"/>
      <c r="B2" s="4"/>
      <c r="C2" s="4"/>
      <c r="D2" s="4"/>
      <c r="E2" s="4"/>
      <c r="F2" s="4"/>
      <c r="G2" s="4"/>
      <c r="H2" s="4"/>
      <c r="I2" s="4"/>
      <c r="J2" s="25">
        <f>ROUNDUP(Table8[[#This Row],[Min Stock]]-Table8[[#This Row],[In stock]],0)</f>
        <v>0</v>
      </c>
      <c r="K2" s="28">
        <f>Table8[[#This Row],[Quantity]]*Table8[[#This Row],[Unit price]]</f>
        <v>0</v>
      </c>
      <c r="L2" s="30">
        <f>Table8[[#This Row],[Quantity]]</f>
        <v>0</v>
      </c>
      <c r="M2" s="30">
        <f>Table8[[#This Row],[Ret. Art. Number]]</f>
        <v>0</v>
      </c>
      <c r="O2"/>
    </row>
    <row r="3" spans="1:15" x14ac:dyDescent="0.25">
      <c r="A3" s="4"/>
      <c r="B3" s="4"/>
      <c r="C3" s="4"/>
      <c r="D3" s="4"/>
      <c r="E3" s="4"/>
      <c r="F3" s="4"/>
      <c r="G3" s="4"/>
      <c r="H3" s="4"/>
      <c r="I3" s="4"/>
      <c r="J3" s="25">
        <f>ROUNDUP(Table8[[#This Row],[Min Stock]]-Table8[[#This Row],[In stock]],0)</f>
        <v>0</v>
      </c>
      <c r="K3" s="28">
        <f>Table8[[#This Row],[Quantity]]*Table8[[#This Row],[Unit price]]</f>
        <v>0</v>
      </c>
      <c r="L3" s="30">
        <f>Table8[[#This Row],[Quantity]]</f>
        <v>0</v>
      </c>
      <c r="M3" s="30">
        <f>Table8[[#This Row],[Ret. Art. Number]]</f>
        <v>0</v>
      </c>
      <c r="O3"/>
    </row>
    <row r="4" spans="1:15" x14ac:dyDescent="0.25">
      <c r="A4" s="4" t="s">
        <v>496</v>
      </c>
      <c r="B4" s="4"/>
      <c r="C4" s="4"/>
      <c r="D4" s="4"/>
      <c r="E4" s="4"/>
      <c r="F4" s="4"/>
      <c r="G4" s="4"/>
      <c r="H4" s="4"/>
      <c r="I4" s="4"/>
      <c r="J4" s="28"/>
      <c r="K4" s="25">
        <f>SUBTOTAL(109,Table8[Total price])</f>
        <v>0</v>
      </c>
      <c r="L4" s="31"/>
      <c r="M4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1]!btn_ClearCommands">
                <anchor>
                  <from>
                    <xdr:col>13</xdr:col>
                    <xdr:colOff>333375</xdr:colOff>
                    <xdr:row>1</xdr:row>
                    <xdr:rowOff>0</xdr:rowOff>
                  </from>
                  <to>
                    <xdr:col>14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4" name="Button 8">
              <controlPr defaultSize="0" print="0" autoFill="0" autoPict="0" macro="[1]!InsertCmdRow_Click">
                <anchor>
                  <from>
                    <xdr:col>13</xdr:col>
                    <xdr:colOff>333375</xdr:colOff>
                    <xdr:row>4</xdr:row>
                    <xdr:rowOff>0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5" name="Button 11">
              <controlPr defaultSize="0" print="0" autoFill="0" autoPict="0" macro="[1]!ResetFirstsLines_Click">
                <anchor>
                  <from>
                    <xdr:col>13</xdr:col>
                    <xdr:colOff>333375</xdr:colOff>
                    <xdr:row>7</xdr:row>
                    <xdr:rowOff>0</xdr:rowOff>
                  </from>
                  <to>
                    <xdr:col>14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Button 12">
              <controlPr defaultSize="0" print="0" autoFill="0" autoPict="0" macro="[1]!btn_CreateOrder">
                <anchor>
                  <from>
                    <xdr:col>13</xdr:col>
                    <xdr:colOff>333375</xdr:colOff>
                    <xdr:row>10</xdr:row>
                    <xdr:rowOff>0</xdr:rowOff>
                  </from>
                  <to>
                    <xdr:col>14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K40"/>
  <sheetViews>
    <sheetView workbookViewId="0">
      <pane ySplit="1" topLeftCell="A2" activePane="bottomLeft" state="frozen"/>
      <selection activeCell="B6" sqref="B6"/>
      <selection pane="bottomLeft" activeCell="A2" sqref="A2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4" t="s">
        <v>77</v>
      </c>
      <c r="B2" s="4" t="str">
        <f>VLOOKUP(Table14[[#This Row],[Man. Number]],Articles!A:F,COLUMN(Articles!$D$1)-COLUMN(Articles!$A$1)+1,FALSE)</f>
        <v>AUDIO PIEZO INDICATOR 2-5V TH</v>
      </c>
      <c r="C2" s="4" t="s">
        <v>312</v>
      </c>
      <c r="D2" s="4">
        <v>1</v>
      </c>
      <c r="E2" s="4">
        <f>VLOOKUP(Table14[[#This Row],[Man. Number]],Articles!A:F,COLUMN(Articles!$F$1)-COLUMN(Articles!$A$1)+1,FALSE)</f>
        <v>1</v>
      </c>
      <c r="F2" s="4" t="str">
        <f>IF(Table14[[#This Row],[In stock]] &gt;= Table14[[#This Row],[Quantity]],"YES","NO")</f>
        <v>YES</v>
      </c>
      <c r="G2" s="4">
        <f>Table14[[#This Row],[Quantity]]*$K$1</f>
        <v>1</v>
      </c>
      <c r="H2" s="4" t="str">
        <f>IF(Table14[[#This Row],[In stock]] &gt;= Table14[[#This Row],[Total quantity]],"YES","NO")</f>
        <v>YES</v>
      </c>
    </row>
    <row r="3" spans="1:11" x14ac:dyDescent="0.25">
      <c r="A3" s="3">
        <v>90990</v>
      </c>
      <c r="B3" s="4" t="e">
        <f>VLOOKUP(Table14[[#This Row],[Man. Number]],Articles!A:F,COLUMN(Articles!$D$1)-COLUMN(Articles!$A$1)+1,FALSE)</f>
        <v>#N/A</v>
      </c>
      <c r="C3" s="4" t="s">
        <v>315</v>
      </c>
      <c r="D3" s="4">
        <v>1</v>
      </c>
      <c r="E3" s="4" t="e">
        <f>VLOOKUP(Table14[[#This Row],[Man. Number]],Articles!A:F,COLUMN(Articles!$F$1)-COLUMN(Articles!$A$1)+1,FALSE)</f>
        <v>#N/A</v>
      </c>
      <c r="F3" s="4" t="e">
        <f>IF(Table14[[#This Row],[In stock]] &gt;= Table14[[#This Row],[Quantity]],"YES","NO")</f>
        <v>#N/A</v>
      </c>
      <c r="G3" s="4">
        <f>Table14[[#This Row],[Quantity]]*$K$1</f>
        <v>1</v>
      </c>
      <c r="H3" s="4" t="e">
        <f>IF(Table14[[#This Row],[In stock]] &gt;= Table14[[#This Row],[Total quantity]],"YES","NO")</f>
        <v>#N/A</v>
      </c>
    </row>
    <row r="4" spans="1:11" x14ac:dyDescent="0.25">
      <c r="A4" s="4" t="s">
        <v>158</v>
      </c>
      <c r="B4" s="4" t="str">
        <f>VLOOKUP(Table14[[#This Row],[Man. Number]],Articles!A:F,COLUMN(Articles!$D$1)-COLUMN(Articles!$A$1)+1,FALSE)</f>
        <v>BOX PLASTIC GRY/CLR 4.9"LX4.92"W</v>
      </c>
      <c r="C4" s="4" t="s">
        <v>65</v>
      </c>
      <c r="D4" s="4">
        <v>1</v>
      </c>
      <c r="E4" s="4">
        <f>VLOOKUP(Table14[[#This Row],[Man. Number]],Articles!A:F,COLUMN(Articles!$F$1)-COLUMN(Articles!$A$1)+1,FALSE)</f>
        <v>1</v>
      </c>
      <c r="F4" s="4" t="str">
        <f>IF(Table14[[#This Row],[In stock]] &gt;= Table14[[#This Row],[Quantity]],"YES","NO")</f>
        <v>YES</v>
      </c>
      <c r="G4" s="4">
        <f>Table14[[#This Row],[Quantity]]*$K$1</f>
        <v>1</v>
      </c>
      <c r="H4" s="4" t="str">
        <f>IF(Table14[[#This Row],[In stock]] &gt;= Table14[[#This Row],[Total quantity]],"YES","NO")</f>
        <v>YES</v>
      </c>
    </row>
    <row r="5" spans="1:11" hidden="1" x14ac:dyDescent="0.25">
      <c r="A5" s="3" t="s">
        <v>16</v>
      </c>
      <c r="B5" s="4" t="str">
        <f>VLOOKUP(Table14[[#This Row],[Man. Number]],Articles!A:F,COLUMN(Articles!$D$1)-COLUMN(Articles!$A$1)+1,FALSE)</f>
        <v>Fusible à cartouche, Action rapide, 630 mA, 250 V</v>
      </c>
      <c r="D5" s="4">
        <v>0</v>
      </c>
      <c r="E5" s="4">
        <f>VLOOKUP(Table14[[#This Row],[Man. Number]],Articles!A:F,COLUMN(Articles!$F$1)-COLUMN(Articles!$A$1)+1,FALSE)</f>
        <v>14</v>
      </c>
      <c r="F5" s="4" t="str">
        <f>IF(Table14[[#This Row],[In stock]] &gt;= Table14[[#This Row],[Quantity]],"YES","NO")</f>
        <v>YES</v>
      </c>
      <c r="G5" s="4">
        <f>Table14[[#This Row],[Quantity]]*$K$1</f>
        <v>0</v>
      </c>
      <c r="H5" s="4" t="str">
        <f>IF(Table14[[#This Row],[In stock]] &gt;= Table14[[#This Row],[Total quantity]],"YES","NO")</f>
        <v>YES</v>
      </c>
    </row>
    <row r="6" spans="1:11" x14ac:dyDescent="0.25">
      <c r="A6" s="3" t="s">
        <v>118</v>
      </c>
      <c r="B6" s="4" t="str">
        <f>VLOOKUP(Table14[[#This Row],[Man. Number]],Articles!A:F,COLUMN(Articles!$D$1)-COLUMN(Articles!$A$1)+1,FALSE)</f>
        <v>Cavalier (barre bus), Shunt, Shunt, Embases au pas de 0.100", 2 Voies, 2.54 mm</v>
      </c>
      <c r="C6" s="4" t="s">
        <v>65</v>
      </c>
      <c r="D6" s="4">
        <v>19</v>
      </c>
      <c r="E6" s="4">
        <f>VLOOKUP(Table14[[#This Row],[Man. Number]],Articles!A:F,COLUMN(Articles!$F$1)-COLUMN(Articles!$A$1)+1,FALSE)</f>
        <v>100</v>
      </c>
      <c r="F6" s="4" t="str">
        <f>IF(Table14[[#This Row],[In stock]] &gt;= Table14[[#This Row],[Quantity]],"YES","NO")</f>
        <v>YES</v>
      </c>
      <c r="G6" s="4">
        <f>Table14[[#This Row],[Quantity]]*$K$1</f>
        <v>19</v>
      </c>
      <c r="H6" s="4" t="str">
        <f>IF(Table14[[#This Row],[In stock]] &gt;= Table14[[#This Row],[Total quantity]],"YES","NO")</f>
        <v>YES</v>
      </c>
    </row>
    <row r="7" spans="1:11" hidden="1" x14ac:dyDescent="0.25">
      <c r="A7" s="3" t="s">
        <v>18</v>
      </c>
      <c r="B7" s="4" t="str">
        <f>VLOOKUP(Table14[[#This Row],[Man. Number]],Articles!A:F,COLUMN(Articles!$D$1)-COLUMN(Articles!$A$1)+1,FALSE)</f>
        <v>Amplificateur opérationnel, Simple, 1 amplificateur, 1 MHz, 0.6 V/µs, 1.8V à 6V</v>
      </c>
      <c r="D7" s="4">
        <v>0</v>
      </c>
      <c r="E7" s="4">
        <f>VLOOKUP(Table14[[#This Row],[Man. Number]],Articles!A:F,COLUMN(Articles!$F$1)-COLUMN(Articles!$A$1)+1,FALSE)</f>
        <v>19</v>
      </c>
      <c r="F7" s="4" t="str">
        <f>IF(Table14[[#This Row],[In stock]] &gt;= Table14[[#This Row],[Quantity]],"YES","NO")</f>
        <v>YES</v>
      </c>
      <c r="G7" s="4">
        <f>Table14[[#This Row],[Quantity]]*$K$1</f>
        <v>0</v>
      </c>
      <c r="H7" s="4" t="str">
        <f>IF(Table14[[#This Row],[In stock]] &gt;= Table14[[#This Row],[Total quantity]],"YES","NO")</f>
        <v>YES</v>
      </c>
    </row>
    <row r="8" spans="1:11" hidden="1" x14ac:dyDescent="0.25">
      <c r="A8" s="3" t="s">
        <v>20</v>
      </c>
      <c r="B8" s="4" t="str">
        <f>VLOOKUP(Table14[[#This Row],[Man. Number]],Articles!A:F,COLUMN(Articles!$D$1)-COLUMN(Articles!$A$1)+1,FALSE)</f>
        <v>LED haute luminosité, Little Star Series, Blanc froid, 120 °, 100 lm, 350 mA</v>
      </c>
      <c r="D8" s="4">
        <v>0</v>
      </c>
      <c r="E8" s="4">
        <f>VLOOKUP(Table14[[#This Row],[Man. Number]],Articles!A:F,COLUMN(Articles!$F$1)-COLUMN(Articles!$A$1)+1,FALSE)</f>
        <v>0</v>
      </c>
      <c r="F8" s="4" t="str">
        <f>IF(Table14[[#This Row],[In stock]] &gt;= Table14[[#This Row],[Quantity]],"YES","NO")</f>
        <v>YES</v>
      </c>
      <c r="G8" s="4">
        <f>Table14[[#This Row],[Quantity]]*$K$1</f>
        <v>0</v>
      </c>
      <c r="H8" s="4" t="str">
        <f>IF(Table14[[#This Row],[In stock]] &gt;= Table14[[#This Row],[Total quantity]],"YES","NO")</f>
        <v>YES</v>
      </c>
    </row>
    <row r="9" spans="1:11" x14ac:dyDescent="0.25">
      <c r="A9" s="3" t="s">
        <v>22</v>
      </c>
      <c r="B9" s="4" t="str">
        <f>VLOOKUP(Table14[[#This Row],[Man. Number]],Articles!A:F,COLUMN(Articles!$D$1)-COLUMN(Articles!$A$1)+1,FALSE)</f>
        <v>Chargeur de batterie pour 1 cellule Li-Ion, batterie Li-Pol, entrée 6V, charge 4.2V/500mA</v>
      </c>
      <c r="C9" s="4" t="s">
        <v>297</v>
      </c>
      <c r="D9" s="4">
        <v>1</v>
      </c>
      <c r="E9" s="4">
        <f>VLOOKUP(Table14[[#This Row],[Man. Number]],Articles!A:F,COLUMN(Articles!$F$1)-COLUMN(Articles!$A$1)+1,FALSE)</f>
        <v>9</v>
      </c>
      <c r="F9" s="4" t="str">
        <f>IF(Table14[[#This Row],[In stock]] &gt;= Table14[[#This Row],[Quantity]],"YES","NO")</f>
        <v>YES</v>
      </c>
      <c r="G9" s="4">
        <f>Table14[[#This Row],[Quantity]]*$K$1</f>
        <v>1</v>
      </c>
      <c r="H9" s="4" t="str">
        <f>IF(Table14[[#This Row],[In stock]] &gt;= Table14[[#This Row],[Total quantity]],"YES","NO")</f>
        <v>YES</v>
      </c>
    </row>
    <row r="10" spans="1:11" x14ac:dyDescent="0.25">
      <c r="A10" s="3">
        <v>912951</v>
      </c>
      <c r="B10" s="4" t="str">
        <f>VLOOKUP(Table14[[#This Row],[Man. Number]],Articles!A:F,COLUMN(Articles!$D$1)-COLUMN(Articles!$A$1)+1,FALSE)</f>
        <v>Communication RF</v>
      </c>
      <c r="C10" s="4" t="s">
        <v>316</v>
      </c>
      <c r="D10" s="4">
        <v>1</v>
      </c>
      <c r="E10" s="4">
        <f>VLOOKUP(Table14[[#This Row],[Man. Number]],Articles!A:F,COLUMN(Articles!$F$1)-COLUMN(Articles!$A$1)+1,FALSE)</f>
        <v>1</v>
      </c>
      <c r="F10" s="4" t="str">
        <f>IF(Table14[[#This Row],[In stock]] &gt;= Table14[[#This Row],[Quantity]],"YES","NO")</f>
        <v>YES</v>
      </c>
      <c r="G10" s="4">
        <f>Table14[[#This Row],[Quantity]]*$K$1</f>
        <v>1</v>
      </c>
      <c r="H10" s="4" t="str">
        <f>IF(Table14[[#This Row],[In stock]] &gt;= Table14[[#This Row],[Total quantity]],"YES","NO")</f>
        <v>YES</v>
      </c>
    </row>
    <row r="11" spans="1:11" x14ac:dyDescent="0.25">
      <c r="A11" s="3" t="s">
        <v>36</v>
      </c>
      <c r="B11" s="4" t="str">
        <f>VLOOKUP(Table14[[#This Row],[Man. Number]],Articles!A:F,COLUMN(Articles!$D$1)-COLUMN(Articles!$A$1)+1,FALSE)</f>
        <v>Condensateur céramique multicouche CMS, 1206 [3216 Metric], 0.1 µF, 25 V, ± 10%, X7R</v>
      </c>
      <c r="C11" s="4" t="s">
        <v>293</v>
      </c>
      <c r="D11" s="4">
        <v>4</v>
      </c>
      <c r="E11" s="4">
        <f>VLOOKUP(Table14[[#This Row],[Man. Number]],Articles!A:F,COLUMN(Articles!$F$1)-COLUMN(Articles!$A$1)+1,FALSE)</f>
        <v>92</v>
      </c>
      <c r="F11" s="4" t="str">
        <f>IF(Table14[[#This Row],[In stock]] &gt;= Table14[[#This Row],[Quantity]],"YES","NO")</f>
        <v>YES</v>
      </c>
      <c r="G11" s="4">
        <f>Table14[[#This Row],[Quantity]]*$K$1</f>
        <v>4</v>
      </c>
      <c r="H11" s="4" t="str">
        <f>IF(Table14[[#This Row],[In stock]] &gt;= Table14[[#This Row],[Total quantity]],"YES","NO")</f>
        <v>YES</v>
      </c>
    </row>
    <row r="12" spans="1:11" x14ac:dyDescent="0.25">
      <c r="A12" s="3" t="s">
        <v>14</v>
      </c>
      <c r="B12" s="4" t="str">
        <f>VLOOKUP(Table14[[#This Row],[Man. Number]],Articles!A:F,COLUMN(Articles!$D$1)-COLUMN(Articles!$A$1)+1,FALSE)</f>
        <v>Condensateur électrolytique, 10 µF, 35 V, Série MCGPR, ± 20%, À sorties radiales, 5 mm</v>
      </c>
      <c r="C12" s="4" t="s">
        <v>295</v>
      </c>
      <c r="D12" s="4">
        <v>1</v>
      </c>
      <c r="E12" s="4">
        <f>VLOOKUP(Table14[[#This Row],[Man. Number]],Articles!A:F,COLUMN(Articles!$F$1)-COLUMN(Articles!$A$1)+1,FALSE)</f>
        <v>49</v>
      </c>
      <c r="F12" s="4" t="str">
        <f>IF(Table14[[#This Row],[In stock]] &gt;= Table14[[#This Row],[Quantity]],"YES","NO")</f>
        <v>YES</v>
      </c>
      <c r="G12" s="4">
        <f>Table14[[#This Row],[Quantity]]*$K$1</f>
        <v>1</v>
      </c>
      <c r="H12" s="4" t="str">
        <f>IF(Table14[[#This Row],[In stock]] &gt;= Table14[[#This Row],[Total quantity]],"YES","NO")</f>
        <v>YES</v>
      </c>
    </row>
    <row r="13" spans="1:11" hidden="1" x14ac:dyDescent="0.25">
      <c r="A13" s="3" t="s">
        <v>117</v>
      </c>
      <c r="B13" s="4" t="str">
        <f>VLOOKUP(Table14[[#This Row],[Man. Number]],Articles!A:F,COLUMN(Articles!$D$1)-COLUMN(Articles!$A$1)+1,FALSE)</f>
        <v>Porte fusible, Design ouvert, 500V, 10A, 5 x 20mm, traversant, noir</v>
      </c>
      <c r="D13" s="4">
        <v>0</v>
      </c>
      <c r="E13" s="4">
        <f>VLOOKUP(Table14[[#This Row],[Man. Number]],Articles!A:F,COLUMN(Articles!$F$1)-COLUMN(Articles!$A$1)+1,FALSE)</f>
        <v>4</v>
      </c>
      <c r="F13" s="4" t="str">
        <f>IF(Table14[[#This Row],[In stock]] &gt;= Table14[[#This Row],[Quantity]],"YES","NO")</f>
        <v>YES</v>
      </c>
      <c r="G13" s="4">
        <f>Table14[[#This Row],[Quantity]]*$K$1</f>
        <v>0</v>
      </c>
      <c r="H13" s="4" t="str">
        <f>IF(Table14[[#This Row],[In stock]] &gt;= Table14[[#This Row],[Total quantity]],"YES","NO")</f>
        <v>YES</v>
      </c>
    </row>
    <row r="14" spans="1:11" hidden="1" x14ac:dyDescent="0.25">
      <c r="A14" s="3" t="s">
        <v>31</v>
      </c>
      <c r="B14" s="4" t="str">
        <f>VLOOKUP(Table14[[#This Row],[Man. Number]],Articles!A:F,COLUMN(Articles!$D$1)-COLUMN(Articles!$A$1)+1,FALSE)</f>
        <v>Accessoire de fusible, Fusible cartouche, 5 x 20mm, OGN et OGN-SMD, Noir, Poignée</v>
      </c>
      <c r="D14" s="4">
        <v>0</v>
      </c>
      <c r="E14" s="4">
        <f>VLOOKUP(Table14[[#This Row],[Man. Number]],Articles!A:F,COLUMN(Articles!$F$1)-COLUMN(Articles!$A$1)+1,FALSE)</f>
        <v>4</v>
      </c>
      <c r="F14" s="4" t="str">
        <f>IF(Table14[[#This Row],[In stock]] &gt;= Table14[[#This Row],[Quantity]],"YES","NO")</f>
        <v>YES</v>
      </c>
      <c r="G14" s="4">
        <f>Table14[[#This Row],[Quantity]]*$K$1</f>
        <v>0</v>
      </c>
      <c r="H14" s="4" t="str">
        <f>IF(Table14[[#This Row],[In stock]] &gt;= Table14[[#This Row],[Total quantity]],"YES","NO")</f>
        <v>YES</v>
      </c>
    </row>
    <row r="15" spans="1:11" x14ac:dyDescent="0.25">
      <c r="A15" s="3" t="s">
        <v>12</v>
      </c>
      <c r="B15" s="4" t="str">
        <f>VLOOKUP(Table14[[#This Row],[Man. Number]],Articles!A:F,COLUMN(Articles!$D$1)-COLUMN(Articles!$A$1)+1,FALSE)</f>
        <v>Condensateur électrolytique, 4.7 µF, 35 V, Série MCGPR, ± 20%, À sorties radiales, 5 mm</v>
      </c>
      <c r="C15" s="4" t="s">
        <v>294</v>
      </c>
      <c r="D15" s="4">
        <v>1</v>
      </c>
      <c r="E15" s="4">
        <f>VLOOKUP(Table14[[#This Row],[Man. Number]],Articles!A:F,COLUMN(Articles!$F$1)-COLUMN(Articles!$A$1)+1,FALSE)</f>
        <v>48</v>
      </c>
      <c r="F15" s="4" t="str">
        <f>IF(Table14[[#This Row],[In stock]] &gt;= Table14[[#This Row],[Quantity]],"YES","NO")</f>
        <v>YES</v>
      </c>
      <c r="G15" s="4">
        <f>Table14[[#This Row],[Quantity]]*$K$1</f>
        <v>1</v>
      </c>
      <c r="H15" s="4" t="str">
        <f>IF(Table14[[#This Row],[In stock]] &gt;= Table14[[#This Row],[Total quantity]],"YES","NO")</f>
        <v>YES</v>
      </c>
    </row>
    <row r="16" spans="1:11" x14ac:dyDescent="0.25">
      <c r="A16" s="3" t="s">
        <v>40</v>
      </c>
      <c r="B16" s="4" t="str">
        <f>VLOOKUP(Table14[[#This Row],[Man. Number]],Articles!A:F,COLUMN(Articles!$D$1)-COLUMN(Articles!$A$1)+1,FALSE)</f>
        <v>Connecteur carte-à-carte, 2.54 mm, 36 Contact(s), Embase</v>
      </c>
      <c r="C16" s="4" t="s">
        <v>65</v>
      </c>
      <c r="D16" s="4">
        <v>0.63888888888888884</v>
      </c>
      <c r="E16" s="4">
        <f>VLOOKUP(Table14[[#This Row],[Man. Number]],Articles!A:F,COLUMN(Articles!$F$1)-COLUMN(Articles!$A$1)+1,FALSE)</f>
        <v>0</v>
      </c>
      <c r="F16" s="4" t="str">
        <f>IF(Table14[[#This Row],[In stock]] &gt;= Table14[[#This Row],[Quantity]],"YES","NO")</f>
        <v>NO</v>
      </c>
      <c r="G16" s="4">
        <f>Table14[[#This Row],[Quantity]]*$K$1</f>
        <v>0.63888888888888884</v>
      </c>
      <c r="H16" s="4" t="str">
        <f>IF(Table14[[#This Row],[In stock]] &gt;= Table14[[#This Row],[Total quantity]],"YES","NO")</f>
        <v>NO</v>
      </c>
    </row>
    <row r="17" spans="1:8" x14ac:dyDescent="0.25">
      <c r="A17" s="3" t="s">
        <v>290</v>
      </c>
      <c r="B17" s="4" t="str">
        <f>VLOOKUP(Table14[[#This Row],[Man. Number]],Articles!A:F,COLUMN(Articles!$D$1)-COLUMN(Articles!$A$1)+1,FALSE)</f>
        <v>FUSE BOARD MNT 630MA 63VDC 1206</v>
      </c>
      <c r="C17" s="4" t="s">
        <v>292</v>
      </c>
      <c r="D17" s="4">
        <v>1</v>
      </c>
      <c r="E17" s="4">
        <f>VLOOKUP(Table14[[#This Row],[Man. Number]],Articles!A:F,COLUMN(Articles!$F$1)-COLUMN(Articles!$A$1)+1,FALSE)</f>
        <v>0</v>
      </c>
      <c r="F17" s="4" t="str">
        <f>IF(Table14[[#This Row],[In stock]] &gt;= Table14[[#This Row],[Quantity]],"YES","NO")</f>
        <v>NO</v>
      </c>
      <c r="G17" s="4">
        <f>Table14[[#This Row],[Quantity]]*$K$1</f>
        <v>1</v>
      </c>
      <c r="H17" s="4" t="str">
        <f>IF(Table14[[#This Row],[In stock]] &gt;= Table14[[#This Row],[Total quantity]],"YES","NO")</f>
        <v>NO</v>
      </c>
    </row>
    <row r="18" spans="1:8" x14ac:dyDescent="0.25">
      <c r="A18" s="4" t="s">
        <v>81</v>
      </c>
      <c r="B18" s="4" t="str">
        <f>VLOOKUP(Table14[[#This Row],[Man. Number]],Articles!A:F,COLUMN(Articles!$D$1)-COLUMN(Articles!$A$1)+1,FALSE)</f>
        <v>IC MCU 8BIT 7KB FLASH 18DIP</v>
      </c>
      <c r="C18" s="4" t="s">
        <v>313</v>
      </c>
      <c r="D18" s="4">
        <v>1</v>
      </c>
      <c r="E18" s="4">
        <f>VLOOKUP(Table14[[#This Row],[Man. Number]],Articles!A:F,COLUMN(Articles!$F$1)-COLUMN(Articles!$A$1)+1,FALSE)</f>
        <v>2</v>
      </c>
      <c r="F18" s="4" t="str">
        <f>IF(Table14[[#This Row],[In stock]] &gt;= Table14[[#This Row],[Quantity]],"YES","NO")</f>
        <v>YES</v>
      </c>
      <c r="G18" s="4">
        <f>Table14[[#This Row],[Quantity]]*$K$1</f>
        <v>1</v>
      </c>
      <c r="H18" s="4" t="str">
        <f>IF(Table14[[#This Row],[In stock]] &gt;= Table14[[#This Row],[Total quantity]],"YES","NO")</f>
        <v>YES</v>
      </c>
    </row>
    <row r="19" spans="1:8" x14ac:dyDescent="0.25">
      <c r="A19" s="3" t="s">
        <v>34</v>
      </c>
      <c r="B19" s="4" t="str">
        <f>VLOOKUP(Table14[[#This Row],[Man. Number]],Articles!A:F,COLUMN(Articles!$D$1)-COLUMN(Articles!$A$1)+1,FALSE)</f>
        <v>LED, Rouge, Traversant, 3mm, 20 mA, 1.8 V, 643 nm</v>
      </c>
      <c r="C19" s="4" t="s">
        <v>298</v>
      </c>
      <c r="D19" s="4">
        <v>1</v>
      </c>
      <c r="E19" s="4">
        <f>VLOOKUP(Table14[[#This Row],[Man. Number]],Articles!A:F,COLUMN(Articles!$F$1)-COLUMN(Articles!$A$1)+1,FALSE)</f>
        <v>4</v>
      </c>
      <c r="F19" s="4" t="str">
        <f>IF(Table14[[#This Row],[In stock]] &gt;= Table14[[#This Row],[Quantity]],"YES","NO")</f>
        <v>YES</v>
      </c>
      <c r="G19" s="4">
        <f>Table14[[#This Row],[Quantity]]*$K$1</f>
        <v>1</v>
      </c>
      <c r="H19" s="4" t="str">
        <f>IF(Table14[[#This Row],[In stock]] &gt;= Table14[[#This Row],[Total quantity]],"YES","NO")</f>
        <v>YES</v>
      </c>
    </row>
    <row r="20" spans="1:8" x14ac:dyDescent="0.25">
      <c r="A20" s="3">
        <v>1004068</v>
      </c>
      <c r="B20" s="4" t="str">
        <f>VLOOKUP(Table14[[#This Row],[Man. Number]],Articles!A:F,COLUMN(Articles!$D$1)-COLUMN(Articles!$A$1)+1,FALSE)</f>
        <v>Panneau solaire</v>
      </c>
      <c r="C20" s="4" t="s">
        <v>314</v>
      </c>
      <c r="D20" s="4">
        <v>1</v>
      </c>
      <c r="E20" s="4">
        <f>VLOOKUP(Table14[[#This Row],[Man. Number]],Articles!A:F,COLUMN(Articles!$F$1)-COLUMN(Articles!$A$1)+1,FALSE)</f>
        <v>2</v>
      </c>
      <c r="F20" s="4" t="str">
        <f>IF(Table14[[#This Row],[In stock]] &gt;= Table14[[#This Row],[Quantity]],"YES","NO")</f>
        <v>YES</v>
      </c>
      <c r="G20" s="4">
        <f>Table14[[#This Row],[Quantity]]*$K$1</f>
        <v>1</v>
      </c>
      <c r="H20" s="4" t="str">
        <f>IF(Table14[[#This Row],[In stock]] &gt;= Table14[[#This Row],[Total quantity]],"YES","NO")</f>
        <v>YES</v>
      </c>
    </row>
    <row r="21" spans="1:8" x14ac:dyDescent="0.25">
      <c r="A21" s="3" t="s">
        <v>326</v>
      </c>
      <c r="B21" s="4" t="str">
        <f>VLOOKUP(Table14[[#This Row],[Man. Number]],Articles!A:F,COLUMN(Articles!$D$1)-COLUMN(Articles!$A$1)+1,FALSE)</f>
        <v>PCB Lampe solaire v4</v>
      </c>
      <c r="C21" s="4" t="s">
        <v>65</v>
      </c>
      <c r="D21" s="4">
        <v>1</v>
      </c>
      <c r="E21" s="4">
        <f>VLOOKUP(Table14[[#This Row],[Man. Number]],Articles!A:F,COLUMN(Articles!$F$1)-COLUMN(Articles!$A$1)+1,FALSE)</f>
        <v>10</v>
      </c>
      <c r="F21" s="4" t="str">
        <f>IF(Table14[[#This Row],[In stock]] &gt;= Table14[[#This Row],[Quantity]],"YES","NO")</f>
        <v>YES</v>
      </c>
      <c r="G21" s="4">
        <f>Table14[[#This Row],[Quantity]]*$K$1</f>
        <v>1</v>
      </c>
      <c r="H21" s="4" t="str">
        <f>IF(Table14[[#This Row],[In stock]] &gt;= Table14[[#This Row],[Total quantity]],"YES","NO")</f>
        <v>YES</v>
      </c>
    </row>
    <row r="22" spans="1:8" hidden="1" x14ac:dyDescent="0.25">
      <c r="A22" s="3" t="s">
        <v>52</v>
      </c>
      <c r="B22" s="4" t="str">
        <f>VLOOKUP(Table14[[#This Row],[Man. Number]],Articles!A:F,COLUMN(Articles!$D$1)-COLUMN(Articles!$A$1)+1,FALSE)</f>
        <v>Résistance à puce CMS, Couche épaisse, 150 kohm</v>
      </c>
      <c r="D22" s="4">
        <v>0</v>
      </c>
      <c r="E22" s="4">
        <f>VLOOKUP(Table14[[#This Row],[Man. Number]],Articles!A:F,COLUMN(Articles!$F$1)-COLUMN(Articles!$A$1)+1,FALSE)</f>
        <v>9</v>
      </c>
      <c r="F22" s="4" t="str">
        <f>IF(Table14[[#This Row],[In stock]] &gt;= Table14[[#This Row],[Quantity]],"YES","NO")</f>
        <v>YES</v>
      </c>
      <c r="G22" s="4">
        <f>Table14[[#This Row],[Quantity]]*$K$1</f>
        <v>0</v>
      </c>
      <c r="H22" s="4" t="str">
        <f>IF(Table14[[#This Row],[In stock]] &gt;= Table14[[#This Row],[Total quantity]],"YES","NO")</f>
        <v>YES</v>
      </c>
    </row>
    <row r="23" spans="1:8" x14ac:dyDescent="0.25">
      <c r="A23" s="3" t="s">
        <v>324</v>
      </c>
      <c r="B23" s="4" t="str">
        <f>VLOOKUP(Table14[[#This Row],[Man. Number]],Articles!A:F,COLUMN(Articles!$D$1)-COLUMN(Articles!$A$1)+1,FALSE)</f>
        <v>PCB Led adaptateur v1</v>
      </c>
      <c r="C23" s="4" t="s">
        <v>301</v>
      </c>
      <c r="D23" s="4">
        <v>1</v>
      </c>
      <c r="E23" s="4">
        <f>VLOOKUP(Table14[[#This Row],[Man. Number]],Articles!A:F,COLUMN(Articles!$F$1)-COLUMN(Articles!$A$1)+1,FALSE)</f>
        <v>9</v>
      </c>
      <c r="F23" s="4" t="str">
        <f>IF(Table14[[#This Row],[In stock]] &gt;= Table14[[#This Row],[Quantity]],"YES","NO")</f>
        <v>YES</v>
      </c>
      <c r="G23" s="4">
        <f>Table14[[#This Row],[Quantity]]*$K$1</f>
        <v>1</v>
      </c>
      <c r="H23" s="4" t="str">
        <f>IF(Table14[[#This Row],[In stock]] &gt;= Table14[[#This Row],[Total quantity]],"YES","NO")</f>
        <v>YES</v>
      </c>
    </row>
    <row r="24" spans="1:8" x14ac:dyDescent="0.25">
      <c r="A24" s="3" t="s">
        <v>9</v>
      </c>
      <c r="B24" s="4" t="str">
        <f>VLOOKUP(Table14[[#This Row],[Man. Number]],Articles!A:F,COLUMN(Articles!$D$1)-COLUMN(Articles!$A$1)+1,FALSE)</f>
        <v>Porte Logique NON-ET, 4 Portes, 2 entrées, 12 mA, 2V à 5.5V</v>
      </c>
      <c r="C24" s="4" t="s">
        <v>296</v>
      </c>
      <c r="D24" s="4">
        <v>1</v>
      </c>
      <c r="E24" s="4">
        <f>VLOOKUP(Table14[[#This Row],[Man. Number]],Articles!A:F,COLUMN(Articles!$F$1)-COLUMN(Articles!$A$1)+1,FALSE)</f>
        <v>4</v>
      </c>
      <c r="F24" s="4" t="str">
        <f>IF(Table14[[#This Row],[In stock]] &gt;= Table14[[#This Row],[Quantity]],"YES","NO")</f>
        <v>YES</v>
      </c>
      <c r="G24" s="4">
        <f>Table14[[#This Row],[Quantity]]*$K$1</f>
        <v>1</v>
      </c>
      <c r="H24" s="4" t="str">
        <f>IF(Table14[[#This Row],[In stock]] &gt;= Table14[[#This Row],[Total quantity]],"YES","NO")</f>
        <v>YES</v>
      </c>
    </row>
    <row r="25" spans="1:8" x14ac:dyDescent="0.25">
      <c r="A25" s="3">
        <v>965083</v>
      </c>
      <c r="B25" s="4" t="str">
        <f>VLOOKUP(Table14[[#This Row],[Man. Number]],Articles!A:F,COLUMN(Articles!$D$1)-COLUMN(Articles!$A$1)+1,FALSE)</f>
        <v>Porte-batterie</v>
      </c>
      <c r="C25" s="4" t="s">
        <v>315</v>
      </c>
      <c r="D25" s="4">
        <v>1</v>
      </c>
      <c r="E25" s="4">
        <f>VLOOKUP(Table14[[#This Row],[Man. Number]],Articles!A:F,COLUMN(Articles!$F$1)-COLUMN(Articles!$A$1)+1,FALSE)</f>
        <v>2</v>
      </c>
      <c r="F25" s="4" t="str">
        <f>IF(Table14[[#This Row],[In stock]] &gt;= Table14[[#This Row],[Quantity]],"YES","NO")</f>
        <v>YES</v>
      </c>
      <c r="G25" s="4">
        <f>Table14[[#This Row],[Quantity]]*$K$1</f>
        <v>1</v>
      </c>
      <c r="H25" s="4" t="str">
        <f>IF(Table14[[#This Row],[In stock]] &gt;= Table14[[#This Row],[Total quantity]],"YES","NO")</f>
        <v>YES</v>
      </c>
    </row>
    <row r="26" spans="1:8" hidden="1" x14ac:dyDescent="0.25">
      <c r="A26" s="3" t="s">
        <v>59</v>
      </c>
      <c r="B26" s="4" t="str">
        <f>VLOOKUP(Table14[[#This Row],[Man. Number]],Articles!A:F,COLUMN(Articles!$D$1)-COLUMN(Articles!$A$1)+1,FALSE)</f>
        <v>Résistance à puce CMS, Couche épaisse, 110 kohm</v>
      </c>
      <c r="D26" s="4">
        <v>0</v>
      </c>
      <c r="E26" s="4">
        <f>VLOOKUP(Table14[[#This Row],[Man. Number]],Articles!A:F,COLUMN(Articles!$F$1)-COLUMN(Articles!$A$1)+1,FALSE)</f>
        <v>19</v>
      </c>
      <c r="F26" s="4" t="str">
        <f>IF(Table14[[#This Row],[In stock]] &gt;= Table14[[#This Row],[Quantity]],"YES","NO")</f>
        <v>YES</v>
      </c>
      <c r="G26" s="4">
        <f>Table14[[#This Row],[Quantity]]*$K$1</f>
        <v>0</v>
      </c>
      <c r="H26" s="4" t="str">
        <f>IF(Table14[[#This Row],[In stock]] &gt;= Table14[[#This Row],[Total quantity]],"YES","NO")</f>
        <v>YES</v>
      </c>
    </row>
    <row r="27" spans="1:8" x14ac:dyDescent="0.25">
      <c r="A27" s="3" t="s">
        <v>38</v>
      </c>
      <c r="B27" s="4" t="str">
        <f>VLOOKUP(Table14[[#This Row],[Man. Number]],Articles!A:F,COLUMN(Articles!$D$1)-COLUMN(Articles!$A$1)+1,FALSE)</f>
        <v>Potentiomètres variables, 10 ohm, 15 Tour(s), Traversant</v>
      </c>
      <c r="C27" s="4" t="s">
        <v>302</v>
      </c>
      <c r="D27" s="4">
        <v>2</v>
      </c>
      <c r="E27" s="4">
        <f>VLOOKUP(Table14[[#This Row],[Man. Number]],Articles!A:F,COLUMN(Articles!$F$1)-COLUMN(Articles!$A$1)+1,FALSE)</f>
        <v>2</v>
      </c>
      <c r="F27" s="4" t="str">
        <f>IF(Table14[[#This Row],[In stock]] &gt;= Table14[[#This Row],[Quantity]],"YES","NO")</f>
        <v>YES</v>
      </c>
      <c r="G27" s="4">
        <f>Table14[[#This Row],[Quantity]]*$K$1</f>
        <v>2</v>
      </c>
      <c r="H27" s="4" t="str">
        <f>IF(Table14[[#This Row],[In stock]] &gt;= Table14[[#This Row],[Total quantity]],"YES","NO")</f>
        <v>YES</v>
      </c>
    </row>
    <row r="28" spans="1:8" x14ac:dyDescent="0.25">
      <c r="A28" s="3" t="s">
        <v>49</v>
      </c>
      <c r="B28" s="4" t="str">
        <f>VLOOKUP(Table14[[#This Row],[Man. Number]],Articles!A:F,COLUMN(Articles!$D$1)-COLUMN(Articles!$A$1)+1,FALSE)</f>
        <v>Potentiomètres variables, 100 kohm, 23 Tour(s), Traversant</v>
      </c>
      <c r="C28" s="4" t="s">
        <v>305</v>
      </c>
      <c r="D28" s="4">
        <v>1</v>
      </c>
      <c r="E28" s="4">
        <f>VLOOKUP(Table14[[#This Row],[Man. Number]],Articles!A:F,COLUMN(Articles!$F$1)-COLUMN(Articles!$A$1)+1,FALSE)</f>
        <v>1</v>
      </c>
      <c r="F28" s="4" t="str">
        <f>IF(Table14[[#This Row],[In stock]] &gt;= Table14[[#This Row],[Quantity]],"YES","NO")</f>
        <v>YES</v>
      </c>
      <c r="G28" s="4">
        <f>Table14[[#This Row],[Quantity]]*$K$1</f>
        <v>1</v>
      </c>
      <c r="H28" s="4" t="str">
        <f>IF(Table14[[#This Row],[In stock]] &gt;= Table14[[#This Row],[Total quantity]],"YES","NO")</f>
        <v>YES</v>
      </c>
    </row>
    <row r="29" spans="1:8" x14ac:dyDescent="0.25">
      <c r="A29" s="3" t="s">
        <v>27</v>
      </c>
      <c r="B29" s="4" t="str">
        <f>VLOOKUP(Table14[[#This Row],[Man. Number]],Articles!A:F,COLUMN(Articles!$D$1)-COLUMN(Articles!$A$1)+1,FALSE)</f>
        <v>Régulateur LDO, Fixe, Entrée 1.7 V à 5,5 V, Sortie 3.3 V/300 mA, Chute de 150 mV</v>
      </c>
      <c r="C29" s="4" t="s">
        <v>300</v>
      </c>
      <c r="D29" s="4">
        <v>1</v>
      </c>
      <c r="E29" s="4">
        <f>VLOOKUP(Table14[[#This Row],[Man. Number]],Articles!A:F,COLUMN(Articles!$F$1)-COLUMN(Articles!$A$1)+1,FALSE)</f>
        <v>9</v>
      </c>
      <c r="F29" s="4" t="str">
        <f>IF(Table14[[#This Row],[In stock]] &gt;= Table14[[#This Row],[Quantity]],"YES","NO")</f>
        <v>YES</v>
      </c>
      <c r="G29" s="4">
        <f>Table14[[#This Row],[Quantity]]*$K$1</f>
        <v>1</v>
      </c>
      <c r="H29" s="4" t="str">
        <f>IF(Table14[[#This Row],[In stock]] &gt;= Table14[[#This Row],[Total quantity]],"YES","NO")</f>
        <v>YES</v>
      </c>
    </row>
    <row r="30" spans="1:8" x14ac:dyDescent="0.25">
      <c r="A30" s="4" t="s">
        <v>139</v>
      </c>
      <c r="B30" s="4" t="str">
        <f>VLOOKUP(Table14[[#This Row],[Man. Number]],Articles!A:F,COLUMN(Articles!$D$1)-COLUMN(Articles!$A$1)+1,FALSE)</f>
        <v>RELAY TELECOM DPDT 5A 2.4V</v>
      </c>
      <c r="C30" s="4" t="s">
        <v>311</v>
      </c>
      <c r="D30" s="4">
        <v>1</v>
      </c>
      <c r="E30" s="4">
        <f>VLOOKUP(Table14[[#This Row],[Man. Number]],Articles!A:F,COLUMN(Articles!$F$1)-COLUMN(Articles!$A$1)+1,FALSE)</f>
        <v>1</v>
      </c>
      <c r="F30" s="4" t="str">
        <f>IF(Table14[[#This Row],[In stock]] &gt;= Table14[[#This Row],[Quantity]],"YES","NO")</f>
        <v>YES</v>
      </c>
      <c r="G30" s="4">
        <f>Table14[[#This Row],[Quantity]]*$K$1</f>
        <v>1</v>
      </c>
      <c r="H30" s="4" t="str">
        <f>IF(Table14[[#This Row],[In stock]] &gt;= Table14[[#This Row],[Total quantity]],"YES","NO")</f>
        <v>YES</v>
      </c>
    </row>
    <row r="31" spans="1:8" x14ac:dyDescent="0.25">
      <c r="A31" s="3" t="s">
        <v>188</v>
      </c>
      <c r="B31" s="4" t="str">
        <f>VLOOKUP(Table14[[#This Row],[Man. Number]],Articles!A:F,COLUMN(Articles!$D$1)-COLUMN(Articles!$A$1)+1,FALSE)</f>
        <v>RES SMD 4.7K OHM 1% 1/8W 0805</v>
      </c>
      <c r="C31" s="4" t="s">
        <v>306</v>
      </c>
      <c r="D31" s="4">
        <v>3</v>
      </c>
      <c r="E31" s="4">
        <f>VLOOKUP(Table14[[#This Row],[Man. Number]],Articles!A:F,COLUMN(Articles!$F$1)-COLUMN(Articles!$A$1)+1,FALSE)</f>
        <v>99</v>
      </c>
      <c r="F31" s="4" t="str">
        <f>IF(Table14[[#This Row],[In stock]] &gt;= Table14[[#This Row],[Quantity]],"YES","NO")</f>
        <v>YES</v>
      </c>
      <c r="G31" s="4">
        <f>Table14[[#This Row],[Quantity]]*$K$1</f>
        <v>3</v>
      </c>
      <c r="H31" s="4" t="str">
        <f>IF(Table14[[#This Row],[In stock]] &gt;= Table14[[#This Row],[Total quantity]],"YES","NO")</f>
        <v>YES</v>
      </c>
    </row>
    <row r="32" spans="1:8" x14ac:dyDescent="0.25">
      <c r="A32" s="3" t="s">
        <v>321</v>
      </c>
      <c r="B32" s="4" t="str">
        <f>VLOOKUP(Table14[[#This Row],[Man. Number]],Articles!A:F,COLUMN(Articles!$D$1)-COLUMN(Articles!$A$1)+1,FALSE)</f>
        <v>Résistance SMD 1k OHM 0805</v>
      </c>
      <c r="C32" s="4" t="s">
        <v>307</v>
      </c>
      <c r="D32" s="4">
        <v>4</v>
      </c>
      <c r="E32" s="4">
        <f>VLOOKUP(Table14[[#This Row],[Man. Number]],Articles!A:F,COLUMN(Articles!$F$1)-COLUMN(Articles!$A$1)+1,FALSE)</f>
        <v>5</v>
      </c>
      <c r="F32" s="4" t="str">
        <f>IF(Table14[[#This Row],[In stock]] &gt;= Table14[[#This Row],[Quantity]],"YES","NO")</f>
        <v>YES</v>
      </c>
      <c r="G32" s="4">
        <f>Table14[[#This Row],[Quantity]]*$K$1</f>
        <v>4</v>
      </c>
      <c r="H32" s="4" t="str">
        <f>IF(Table14[[#This Row],[In stock]] &gt;= Table14[[#This Row],[Total quantity]],"YES","NO")</f>
        <v>YES</v>
      </c>
    </row>
    <row r="33" spans="1:8" x14ac:dyDescent="0.25">
      <c r="A33" s="3" t="s">
        <v>320</v>
      </c>
      <c r="B33" s="4" t="str">
        <f>VLOOKUP(Table14[[#This Row],[Man. Number]],Articles!A:F,COLUMN(Articles!$D$1)-COLUMN(Articles!$A$1)+1,FALSE)</f>
        <v>Résistance SMD 3.3k OHM 0805</v>
      </c>
      <c r="C33" s="4" t="s">
        <v>317</v>
      </c>
      <c r="D33" s="4">
        <v>1</v>
      </c>
      <c r="E33" s="4">
        <f>VLOOKUP(Table14[[#This Row],[Man. Number]],Articles!A:F,COLUMN(Articles!$F$1)-COLUMN(Articles!$A$1)+1,FALSE)</f>
        <v>5</v>
      </c>
      <c r="F33" s="4" t="str">
        <f>IF(Table14[[#This Row],[In stock]] &gt;= Table14[[#This Row],[Quantity]],"YES","NO")</f>
        <v>YES</v>
      </c>
      <c r="G33" s="4">
        <f>Table14[[#This Row],[Quantity]]*$K$1</f>
        <v>1</v>
      </c>
      <c r="H33" s="4" t="str">
        <f>IF(Table14[[#This Row],[In stock]] &gt;= Table14[[#This Row],[Total quantity]],"YES","NO")</f>
        <v>YES</v>
      </c>
    </row>
    <row r="34" spans="1:8" x14ac:dyDescent="0.25">
      <c r="A34" s="3" t="s">
        <v>63</v>
      </c>
      <c r="B34" s="4" t="str">
        <f>VLOOKUP(Table14[[#This Row],[Man. Number]],Articles!A:F,COLUMN(Articles!$D$1)-COLUMN(Articles!$A$1)+1,FALSE)</f>
        <v>Résistance à puce CMS, 100 kohm</v>
      </c>
      <c r="C34" s="4" t="s">
        <v>310</v>
      </c>
      <c r="D34" s="4">
        <v>2</v>
      </c>
      <c r="E34" s="4">
        <f>VLOOKUP(Table14[[#This Row],[Man. Number]],Articles!A:F,COLUMN(Articles!$F$1)-COLUMN(Articles!$A$1)+1,FALSE)</f>
        <v>7</v>
      </c>
      <c r="F34" s="4" t="str">
        <f>IF(Table14[[#This Row],[In stock]] &gt;= Table14[[#This Row],[Quantity]],"YES","NO")</f>
        <v>YES</v>
      </c>
      <c r="G34" s="4">
        <f>Table14[[#This Row],[Quantity]]*$K$1</f>
        <v>2</v>
      </c>
      <c r="H34" s="4" t="str">
        <f>IF(Table14[[#This Row],[In stock]] &gt;= Table14[[#This Row],[Total quantity]],"YES","NO")</f>
        <v>YES</v>
      </c>
    </row>
    <row r="35" spans="1:8" x14ac:dyDescent="0.25">
      <c r="A35" s="3" t="s">
        <v>56</v>
      </c>
      <c r="B35" s="4" t="str">
        <f>VLOOKUP(Table14[[#This Row],[Man. Number]],Articles!A:F,COLUMN(Articles!$D$1)-COLUMN(Articles!$A$1)+1,FALSE)</f>
        <v>Résistance à puce CMS, Céramique, 22 ohm</v>
      </c>
      <c r="C35" s="4" t="s">
        <v>308</v>
      </c>
      <c r="D35" s="4">
        <v>1</v>
      </c>
      <c r="E35" s="4">
        <f>VLOOKUP(Table14[[#This Row],[Man. Number]],Articles!A:F,COLUMN(Articles!$F$1)-COLUMN(Articles!$A$1)+1,FALSE)</f>
        <v>9</v>
      </c>
      <c r="F35" s="4" t="str">
        <f>IF(Table14[[#This Row],[In stock]] &gt;= Table14[[#This Row],[Quantity]],"YES","NO")</f>
        <v>YES</v>
      </c>
      <c r="G35" s="4">
        <f>Table14[[#This Row],[Quantity]]*$K$1</f>
        <v>1</v>
      </c>
      <c r="H35" s="4" t="str">
        <f>IF(Table14[[#This Row],[In stock]] &gt;= Table14[[#This Row],[Total quantity]],"YES","NO")</f>
        <v>YES</v>
      </c>
    </row>
    <row r="36" spans="1:8" x14ac:dyDescent="0.25">
      <c r="A36" s="3" t="s">
        <v>61</v>
      </c>
      <c r="B36" s="4" t="str">
        <f>VLOOKUP(Table14[[#This Row],[Man. Number]],Articles!A:F,COLUMN(Articles!$D$1)-COLUMN(Articles!$A$1)+1,FALSE)</f>
        <v>Résistance à puce CMS, Couche épaisse, 1 Mohm</v>
      </c>
      <c r="C36" s="4" t="s">
        <v>309</v>
      </c>
      <c r="D36" s="4">
        <v>1</v>
      </c>
      <c r="E36" s="4">
        <f>VLOOKUP(Table14[[#This Row],[Man. Number]],Articles!A:F,COLUMN(Articles!$F$1)-COLUMN(Articles!$A$1)+1,FALSE)</f>
        <v>9</v>
      </c>
      <c r="F36" s="4" t="str">
        <f>IF(Table14[[#This Row],[In stock]] &gt;= Table14[[#This Row],[Quantity]],"YES","NO")</f>
        <v>YES</v>
      </c>
      <c r="G36" s="4">
        <f>Table14[[#This Row],[Quantity]]*$K$1</f>
        <v>1</v>
      </c>
      <c r="H36" s="4" t="str">
        <f>IF(Table14[[#This Row],[In stock]] &gt;= Table14[[#This Row],[Total quantity]],"YES","NO")</f>
        <v>YES</v>
      </c>
    </row>
    <row r="37" spans="1:8" hidden="1" x14ac:dyDescent="0.25">
      <c r="A37" s="3">
        <v>1181876</v>
      </c>
      <c r="B37" s="4" t="str">
        <f>VLOOKUP(Table14[[#This Row],[Man. Number]],Articles!A:F,COLUMN(Articles!$D$1)-COLUMN(Articles!$A$1)+1,FALSE)</f>
        <v>DC Step-up</v>
      </c>
      <c r="D37" s="4">
        <v>0</v>
      </c>
      <c r="E37" s="4">
        <f>VLOOKUP(Table14[[#This Row],[Man. Number]],Articles!A:F,COLUMN(Articles!$F$1)-COLUMN(Articles!$A$1)+1,FALSE)</f>
        <v>9</v>
      </c>
      <c r="F37" s="4" t="str">
        <f>IF(Table14[[#This Row],[In stock]] &gt;= Table14[[#This Row],[Quantity]],"YES","NO")</f>
        <v>YES</v>
      </c>
      <c r="G37" s="4">
        <f>Table14[[#This Row],[Quantity]]*$K$1</f>
        <v>0</v>
      </c>
      <c r="H37" s="4" t="str">
        <f>IF(Table14[[#This Row],[In stock]] &gt;= Table14[[#This Row],[Total quantity]],"YES","NO")</f>
        <v>YES</v>
      </c>
    </row>
    <row r="38" spans="1:8" x14ac:dyDescent="0.25">
      <c r="A38" s="3" t="s">
        <v>24</v>
      </c>
      <c r="B38" s="4" t="str">
        <f>VLOOKUP(Table14[[#This Row],[Man. Number]],Articles!A:F,COLUMN(Articles!$D$1)-COLUMN(Articles!$A$1)+1,FALSE)</f>
        <v>Superviseur, Reset drain ouvert, actif à l'état bas, 1V-5.5Vin</v>
      </c>
      <c r="C38" s="4" t="s">
        <v>299</v>
      </c>
      <c r="D38" s="4">
        <v>1</v>
      </c>
      <c r="E38" s="4">
        <f>VLOOKUP(Table14[[#This Row],[Man. Number]],Articles!A:F,COLUMN(Articles!$F$1)-COLUMN(Articles!$A$1)+1,FALSE)</f>
        <v>4</v>
      </c>
      <c r="F38" s="4" t="str">
        <f>IF(Table14[[#This Row],[In stock]] &gt;= Table14[[#This Row],[Quantity]],"YES","NO")</f>
        <v>YES</v>
      </c>
      <c r="G38" s="4">
        <f>Table14[[#This Row],[Quantity]]*$K$1</f>
        <v>1</v>
      </c>
      <c r="H38" s="4" t="str">
        <f>IF(Table14[[#This Row],[In stock]] &gt;= Table14[[#This Row],[Total quantity]],"YES","NO")</f>
        <v>YES</v>
      </c>
    </row>
    <row r="39" spans="1:8" x14ac:dyDescent="0.25">
      <c r="A39" s="3" t="s">
        <v>46</v>
      </c>
      <c r="B39" s="4" t="str">
        <f>VLOOKUP(Table14[[#This Row],[Man. Number]],Articles!A:F,COLUMN(Articles!$D$1)-COLUMN(Articles!$A$1)+1,FALSE)</f>
        <v>Transistor MOSFET, Canal N, 2.2 A, 30 V, 65 mohm, 4.5 V, 700 mV</v>
      </c>
      <c r="C39" s="4" t="s">
        <v>304</v>
      </c>
      <c r="D39" s="4">
        <v>5</v>
      </c>
      <c r="E39" s="4">
        <f>VLOOKUP(Table14[[#This Row],[Man. Number]],Articles!A:F,COLUMN(Articles!$F$1)-COLUMN(Articles!$A$1)+1,FALSE)</f>
        <v>16</v>
      </c>
      <c r="F39" s="4" t="str">
        <f>IF(Table14[[#This Row],[In stock]] &gt;= Table14[[#This Row],[Quantity]],"YES","NO")</f>
        <v>YES</v>
      </c>
      <c r="G39" s="4">
        <f>Table14[[#This Row],[Quantity]]*$K$1</f>
        <v>5</v>
      </c>
      <c r="H39" s="4" t="str">
        <f>IF(Table14[[#This Row],[In stock]] &gt;= Table14[[#This Row],[Total quantity]],"YES","NO")</f>
        <v>YES</v>
      </c>
    </row>
    <row r="40" spans="1:8" x14ac:dyDescent="0.25">
      <c r="A40" s="3" t="s">
        <v>43</v>
      </c>
      <c r="B40" s="4" t="str">
        <f>VLOOKUP(Table14[[#This Row],[Man. Number]],Articles!A:F,COLUMN(Articles!$D$1)-COLUMN(Articles!$A$1)+1,FALSE)</f>
        <v>Transistor MOSFET, Canal P, -7.1 A, -12 V, 28.5 mohm, -4.5 V, -400 mV</v>
      </c>
      <c r="C40" s="4" t="s">
        <v>303</v>
      </c>
      <c r="D40" s="4">
        <v>2</v>
      </c>
      <c r="E40" s="4">
        <f>VLOOKUP(Table14[[#This Row],[Man. Number]],Articles!A:F,COLUMN(Articles!$F$1)-COLUMN(Articles!$A$1)+1,FALSE)</f>
        <v>24</v>
      </c>
      <c r="F40" s="4" t="str">
        <f>IF(Table14[[#This Row],[In stock]] &gt;= Table14[[#This Row],[Quantity]],"YES","NO")</f>
        <v>YES</v>
      </c>
      <c r="G40" s="4">
        <f>Table14[[#This Row],[Quantity]]*$K$1</f>
        <v>2</v>
      </c>
      <c r="H40" s="4" t="str">
        <f>IF(Table14[[#This Row],[In stock]] &gt;= Table14[[#This Row],[Total quantity]],"YES","NO")</f>
        <v>YES</v>
      </c>
    </row>
  </sheetData>
  <conditionalFormatting sqref="F2:G1048576">
    <cfRule type="containsText" dxfId="52" priority="3" operator="containsText" text="NO">
      <formula>NOT(ISERROR(SEARCH("NO",F2)))</formula>
    </cfRule>
  </conditionalFormatting>
  <conditionalFormatting sqref="A24">
    <cfRule type="duplicateValues" dxfId="51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NO" id="{40EC6F50-91C0-442A-B64E-8D4F01F7D441}">
            <xm:f>NOT(ISERROR(SEARCH("NO",TempoMetter_v1!H2)))</xm:f>
            <x14:dxf>
              <fill>
                <patternFill>
                  <bgColor rgb="FFFF8F8F"/>
                </patternFill>
              </fill>
            </x14:dxf>
          </x14:cfRule>
          <xm:sqref>H2:H1048576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0330-3491-403F-BEB4-6AC16E74DE21}">
  <sheetPr codeName="Sheet6"/>
  <dimension ref="A1:K15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3" bestFit="1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215</v>
      </c>
      <c r="B2" s="4" t="str">
        <f>VLOOKUP(Table146[[#This Row],[Man. Number]],Articles!A:F,COLUMN(Articles!$D$1)-COLUMN(Articles!$A$1)+1,FALSE)</f>
        <v>IC MCU 8BIT 7KB FLASH 14SOIC</v>
      </c>
      <c r="D2" s="4">
        <v>1</v>
      </c>
      <c r="E2" s="4">
        <f>VLOOKUP(Table146[[#This Row],[Man. Number]],Articles!A:F,COLUMN(Articles!$F$1)-COLUMN(Articles!$A$1)+1,FALSE)</f>
        <v>4</v>
      </c>
      <c r="F2" s="4" t="str">
        <f>IF(Table146[[#This Row],[In stock]] &gt;= Table146[[#This Row],[Quantity]],"YES","NO")</f>
        <v>YES</v>
      </c>
      <c r="G2" s="4">
        <f>Table146[[#This Row],[Quantity]]*$K$1</f>
        <v>1</v>
      </c>
      <c r="H2" s="4" t="str">
        <f>IF(Table146[[#This Row],[In stock]] &gt;= Table146[[#This Row],[Total quantity]],"YES","NO")</f>
        <v>YES</v>
      </c>
    </row>
    <row r="3" spans="1:11" x14ac:dyDescent="0.25">
      <c r="A3" s="3" t="s">
        <v>216</v>
      </c>
      <c r="B3" s="4" t="str">
        <f>VLOOKUP(Table146[[#This Row],[Man. Number]],Articles!A:F,COLUMN(Articles!$D$1)-COLUMN(Articles!$A$1)+1,FALSE)</f>
        <v>ACCELEROMETER 2-8G I2C 16QFN</v>
      </c>
      <c r="D3" s="4">
        <v>1</v>
      </c>
      <c r="E3" s="4">
        <f>VLOOKUP(Table146[[#This Row],[Man. Number]],Articles!A:F,COLUMN(Articles!$F$1)-COLUMN(Articles!$A$1)+1,FALSE)</f>
        <v>4</v>
      </c>
      <c r="F3" s="4" t="str">
        <f>IF(Table146[[#This Row],[In stock]] &gt;= Table146[[#This Row],[Quantity]],"YES","NO")</f>
        <v>YES</v>
      </c>
      <c r="G3" s="4">
        <f>Table146[[#This Row],[Quantity]]*$K$1</f>
        <v>1</v>
      </c>
      <c r="H3" s="4" t="str">
        <f>IF(Table146[[#This Row],[In stock]] &gt;= Table146[[#This Row],[Total quantity]],"YES","NO")</f>
        <v>YES</v>
      </c>
    </row>
    <row r="4" spans="1:11" x14ac:dyDescent="0.25">
      <c r="A4" s="3" t="s">
        <v>221</v>
      </c>
      <c r="B4" s="4" t="str">
        <f>VLOOKUP(Table146[[#This Row],[Man. Number]],Articles!A:F,COLUMN(Articles!$D$1)-COLUMN(Articles!$A$1)+1,FALSE)</f>
        <v>IC REG LINEAR 2.5V 300MA SOT23-5</v>
      </c>
      <c r="D4" s="4">
        <v>1</v>
      </c>
      <c r="E4" s="4">
        <f>VLOOKUP(Table146[[#This Row],[Man. Number]],Articles!A:F,COLUMN(Articles!$F$1)-COLUMN(Articles!$A$1)+1,FALSE)</f>
        <v>24</v>
      </c>
      <c r="F4" s="4" t="str">
        <f>IF(Table146[[#This Row],[In stock]] &gt;= Table146[[#This Row],[Quantity]],"YES","NO")</f>
        <v>YES</v>
      </c>
      <c r="G4" s="4">
        <f>Table146[[#This Row],[Quantity]]*$K$1</f>
        <v>1</v>
      </c>
      <c r="H4" s="4" t="str">
        <f>IF(Table146[[#This Row],[In stock]] &gt;= Table146[[#This Row],[Total quantity]],"YES","NO")</f>
        <v>YES</v>
      </c>
    </row>
    <row r="5" spans="1:11" x14ac:dyDescent="0.25">
      <c r="A5" s="3" t="s">
        <v>225</v>
      </c>
      <c r="B5" s="4" t="str">
        <f>VLOOKUP(Table146[[#This Row],[Man. Number]],Articles!A:F,COLUMN(Articles!$D$1)-COLUMN(Articles!$A$1)+1,FALSE)</f>
        <v>BATTERY HOLDER COIN 20MM SMD</v>
      </c>
      <c r="D5" s="4">
        <v>1</v>
      </c>
      <c r="E5" s="4">
        <f>VLOOKUP(Table146[[#This Row],[Man. Number]],Articles!A:F,COLUMN(Articles!$F$1)-COLUMN(Articles!$A$1)+1,FALSE)</f>
        <v>4</v>
      </c>
      <c r="F5" s="4" t="str">
        <f>IF(Table146[[#This Row],[In stock]] &gt;= Table146[[#This Row],[Quantity]],"YES","NO")</f>
        <v>YES</v>
      </c>
      <c r="G5" s="4">
        <f>Table146[[#This Row],[Quantity]]*$K$1</f>
        <v>1</v>
      </c>
      <c r="H5" s="4" t="str">
        <f>IF(Table146[[#This Row],[In stock]] &gt;= Table146[[#This Row],[Total quantity]],"YES","NO")</f>
        <v>YES</v>
      </c>
    </row>
    <row r="6" spans="1:11" x14ac:dyDescent="0.25">
      <c r="A6" s="3" t="s">
        <v>229</v>
      </c>
      <c r="B6" s="4" t="str">
        <f>VLOOKUP(Table146[[#This Row],[Man. Number]],Articles!A:F,COLUMN(Articles!$D$1)-COLUMN(Articles!$A$1)+1,FALSE)</f>
        <v>LED GREEN CLEAR 0603 SMD</v>
      </c>
      <c r="D6" s="4">
        <v>1</v>
      </c>
      <c r="E6" s="4">
        <f>VLOOKUP(Table146[[#This Row],[Man. Number]],Articles!A:F,COLUMN(Articles!$F$1)-COLUMN(Articles!$A$1)+1,FALSE)</f>
        <v>9</v>
      </c>
      <c r="F6" s="4" t="str">
        <f>IF(Table146[[#This Row],[In stock]] &gt;= Table146[[#This Row],[Quantity]],"YES","NO")</f>
        <v>YES</v>
      </c>
      <c r="G6" s="4">
        <f>Table146[[#This Row],[Quantity]]*$K$1</f>
        <v>1</v>
      </c>
      <c r="H6" s="4" t="str">
        <f>IF(Table146[[#This Row],[In stock]] &gt;= Table146[[#This Row],[Total quantity]],"YES","NO")</f>
        <v>YES</v>
      </c>
    </row>
    <row r="7" spans="1:11" x14ac:dyDescent="0.25">
      <c r="A7" s="3" t="s">
        <v>231</v>
      </c>
      <c r="B7" s="4" t="str">
        <f>VLOOKUP(Table146[[#This Row],[Man. Number]],Articles!A:F,COLUMN(Articles!$D$1)-COLUMN(Articles!$A$1)+1,FALSE)</f>
        <v>LED RED 0603 SMD</v>
      </c>
      <c r="D7" s="4">
        <v>1</v>
      </c>
      <c r="E7" s="4">
        <f>VLOOKUP(Table146[[#This Row],[Man. Number]],Articles!A:F,COLUMN(Articles!$F$1)-COLUMN(Articles!$A$1)+1,FALSE)</f>
        <v>9</v>
      </c>
      <c r="F7" s="4" t="str">
        <f>IF(Table146[[#This Row],[In stock]] &gt;= Table146[[#This Row],[Quantity]],"YES","NO")</f>
        <v>YES</v>
      </c>
      <c r="G7" s="4">
        <f>Table146[[#This Row],[Quantity]]*$K$1</f>
        <v>1</v>
      </c>
      <c r="H7" s="4" t="str">
        <f>IF(Table146[[#This Row],[In stock]] &gt;= Table146[[#This Row],[Total quantity]],"YES","NO")</f>
        <v>YES</v>
      </c>
    </row>
    <row r="8" spans="1:11" x14ac:dyDescent="0.25">
      <c r="A8" s="3" t="s">
        <v>234</v>
      </c>
      <c r="B8" s="4" t="str">
        <f>VLOOKUP(Table146[[#This Row],[Man. Number]],Articles!A:F,COLUMN(Articles!$D$1)-COLUMN(Articles!$A$1)+1,FALSE)</f>
        <v>SWITCH SLIDE SPDT 300MA 125V</v>
      </c>
      <c r="D8" s="4">
        <v>1</v>
      </c>
      <c r="E8" s="4">
        <f>VLOOKUP(Table146[[#This Row],[Man. Number]],Articles!A:F,COLUMN(Articles!$F$1)-COLUMN(Articles!$A$1)+1,FALSE)</f>
        <v>4</v>
      </c>
      <c r="F8" s="4" t="str">
        <f>IF(Table146[[#This Row],[In stock]] &gt;= Table146[[#This Row],[Quantity]],"YES","NO")</f>
        <v>YES</v>
      </c>
      <c r="G8" s="4">
        <f>Table146[[#This Row],[Quantity]]*$K$1</f>
        <v>1</v>
      </c>
      <c r="H8" s="4" t="str">
        <f>IF(Table146[[#This Row],[In stock]] &gt;= Table146[[#This Row],[Total quantity]],"YES","NO")</f>
        <v>YES</v>
      </c>
    </row>
    <row r="9" spans="1:11" x14ac:dyDescent="0.25">
      <c r="A9" s="3" t="s">
        <v>238</v>
      </c>
      <c r="B9" s="4" t="str">
        <f>VLOOKUP(Table146[[#This Row],[Man. Number]],Articles!A:F,COLUMN(Articles!$D$1)-COLUMN(Articles!$A$1)+1,FALSE)</f>
        <v>SWITCH SLIDE DIP SPST 100MA 24V</v>
      </c>
      <c r="D9" s="4">
        <v>1</v>
      </c>
      <c r="E9" s="4">
        <f>VLOOKUP(Table146[[#This Row],[Man. Number]],Articles!A:F,COLUMN(Articles!$F$1)-COLUMN(Articles!$A$1)+1,FALSE)</f>
        <v>4</v>
      </c>
      <c r="F9" s="4" t="str">
        <f>IF(Table146[[#This Row],[In stock]] &gt;= Table146[[#This Row],[Quantity]],"YES","NO")</f>
        <v>YES</v>
      </c>
      <c r="G9" s="4">
        <f>Table146[[#This Row],[Quantity]]*$K$1</f>
        <v>1</v>
      </c>
      <c r="H9" s="4" t="str">
        <f>IF(Table146[[#This Row],[In stock]] &gt;= Table146[[#This Row],[Total quantity]],"YES","NO")</f>
        <v>YES</v>
      </c>
    </row>
    <row r="10" spans="1:11" x14ac:dyDescent="0.25">
      <c r="A10" s="3" t="s">
        <v>242</v>
      </c>
      <c r="B10" s="4" t="str">
        <f>VLOOKUP(Table146[[#This Row],[Man. Number]],Articles!A:F,COLUMN(Articles!$D$1)-COLUMN(Articles!$A$1)+1,FALSE)</f>
        <v>CAP CER 4.7UF 25V X7R 1206</v>
      </c>
      <c r="D10" s="4">
        <v>3</v>
      </c>
      <c r="E10" s="4">
        <f>VLOOKUP(Table146[[#This Row],[Man. Number]],Articles!A:F,COLUMN(Articles!$F$1)-COLUMN(Articles!$A$1)+1,FALSE)</f>
        <v>17</v>
      </c>
      <c r="F10" s="4" t="str">
        <f>IF(Table146[[#This Row],[In stock]] &gt;= Table146[[#This Row],[Quantity]],"YES","NO")</f>
        <v>YES</v>
      </c>
      <c r="G10" s="4">
        <f>Table146[[#This Row],[Quantity]]*$K$1</f>
        <v>3</v>
      </c>
      <c r="H10" s="4" t="str">
        <f>IF(Table146[[#This Row],[In stock]] &gt;= Table146[[#This Row],[Total quantity]],"YES","NO")</f>
        <v>YES</v>
      </c>
    </row>
    <row r="11" spans="1:11" x14ac:dyDescent="0.25">
      <c r="A11" s="3" t="s">
        <v>188</v>
      </c>
      <c r="B11" s="4" t="str">
        <f>VLOOKUP(Table146[[#This Row],[Man. Number]],Articles!A:F,COLUMN(Articles!$D$1)-COLUMN(Articles!$A$1)+1,FALSE)</f>
        <v>RES SMD 4.7K OHM 1% 1/8W 0805</v>
      </c>
      <c r="D11" s="4">
        <v>4</v>
      </c>
      <c r="E11" s="4">
        <f>VLOOKUP(Table146[[#This Row],[Man. Number]],Articles!A:F,COLUMN(Articles!$F$1)-COLUMN(Articles!$A$1)+1,FALSE)</f>
        <v>99</v>
      </c>
      <c r="F11" s="4" t="str">
        <f>IF(Table146[[#This Row],[In stock]] &gt;= Table146[[#This Row],[Quantity]],"YES","NO")</f>
        <v>YES</v>
      </c>
      <c r="G11" s="4">
        <f>Table146[[#This Row],[Quantity]]*$K$1</f>
        <v>4</v>
      </c>
      <c r="H11" s="4" t="str">
        <f>IF(Table146[[#This Row],[In stock]] &gt;= Table146[[#This Row],[Total quantity]],"YES","NO")</f>
        <v>YES</v>
      </c>
    </row>
    <row r="12" spans="1:11" x14ac:dyDescent="0.25">
      <c r="A12" s="3" t="s">
        <v>36</v>
      </c>
      <c r="B12" s="4" t="str">
        <f>VLOOKUP(Table146[[#This Row],[Man. Number]],Articles!A:F,COLUMN(Articles!$D$1)-COLUMN(Articles!$A$1)+1,FALSE)</f>
        <v>Condensateur céramique multicouche CMS, 1206 [3216 Metric], 0.1 µF, 25 V, ± 10%, X7R</v>
      </c>
      <c r="D12" s="4">
        <v>2</v>
      </c>
      <c r="E12" s="4">
        <f>VLOOKUP(Table146[[#This Row],[Man. Number]],Articles!A:F,COLUMN(Articles!$F$1)-COLUMN(Articles!$A$1)+1,FALSE)</f>
        <v>92</v>
      </c>
      <c r="F12" s="4" t="str">
        <f>IF(Table146[[#This Row],[In stock]] &gt;= Table146[[#This Row],[Quantity]],"YES","NO")</f>
        <v>YES</v>
      </c>
      <c r="G12" s="4">
        <f>Table146[[#This Row],[Quantity]]*$K$1</f>
        <v>2</v>
      </c>
      <c r="H12" s="4" t="str">
        <f>IF(Table146[[#This Row],[In stock]] &gt;= Table146[[#This Row],[Total quantity]],"YES","NO")</f>
        <v>YES</v>
      </c>
    </row>
    <row r="13" spans="1:11" x14ac:dyDescent="0.25">
      <c r="A13" s="3" t="s">
        <v>246</v>
      </c>
      <c r="B13" s="4" t="str">
        <f>VLOOKUP(Table146[[#This Row],[Man. Number]],Articles!A:F,COLUMN(Articles!$D$1)-COLUMN(Articles!$A$1)+1,FALSE)</f>
        <v>RES SMD 150 OHM 1% 1/8W 0805</v>
      </c>
      <c r="D13" s="4">
        <v>1</v>
      </c>
      <c r="E13" s="4">
        <f>VLOOKUP(Table146[[#This Row],[Man. Number]],Articles!A:F,COLUMN(Articles!$F$1)-COLUMN(Articles!$A$1)+1,FALSE)</f>
        <v>99</v>
      </c>
      <c r="F13" s="4" t="str">
        <f>IF(Table146[[#This Row],[In stock]] &gt;= Table146[[#This Row],[Quantity]],"YES","NO")</f>
        <v>YES</v>
      </c>
      <c r="G13" s="4">
        <f>Table146[[#This Row],[Quantity]]*$K$1</f>
        <v>1</v>
      </c>
      <c r="H13" s="4" t="str">
        <f>IF(Table146[[#This Row],[In stock]] &gt;= Table146[[#This Row],[Total quantity]],"YES","NO")</f>
        <v>YES</v>
      </c>
    </row>
    <row r="14" spans="1:11" x14ac:dyDescent="0.25">
      <c r="A14" s="3" t="s">
        <v>250</v>
      </c>
      <c r="B14" s="4" t="str">
        <f>VLOOKUP(Table146[[#This Row],[Man. Number]],Articles!A:F,COLUMN(Articles!$D$1)-COLUMN(Articles!$A$1)+1,FALSE)</f>
        <v>RES SMD 100 OHM 1% 1/8W 0805</v>
      </c>
      <c r="D14" s="4">
        <v>1</v>
      </c>
      <c r="E14" s="4">
        <f>VLOOKUP(Table146[[#This Row],[Man. Number]],Articles!A:F,COLUMN(Articles!$F$1)-COLUMN(Articles!$A$1)+1,FALSE)</f>
        <v>99</v>
      </c>
      <c r="F14" s="4" t="str">
        <f>IF(Table146[[#This Row],[In stock]] &gt;= Table146[[#This Row],[Quantity]],"YES","NO")</f>
        <v>YES</v>
      </c>
      <c r="G14" s="4">
        <f>Table146[[#This Row],[Quantity]]*$K$1</f>
        <v>1</v>
      </c>
      <c r="H14" s="4" t="str">
        <f>IF(Table146[[#This Row],[In stock]] &gt;= Table146[[#This Row],[Total quantity]],"YES","NO")</f>
        <v>YES</v>
      </c>
    </row>
    <row r="15" spans="1:11" x14ac:dyDescent="0.25">
      <c r="A15" s="3" t="s">
        <v>325</v>
      </c>
      <c r="B15" s="4" t="str">
        <f>VLOOKUP(Table146[[#This Row],[Man. Number]],Articles!A:F,COLUMN(Articles!$D$1)-COLUMN(Articles!$A$1)+1,FALSE)</f>
        <v>PCB TempoMetter v1</v>
      </c>
      <c r="D15" s="4">
        <v>1</v>
      </c>
      <c r="E15" s="4">
        <f>VLOOKUP(Table146[[#This Row],[Man. Number]],Articles!A:F,COLUMN(Articles!$F$1)-COLUMN(Articles!$A$1)+1,FALSE)</f>
        <v>9</v>
      </c>
      <c r="F15" s="4" t="str">
        <f>IF(Table146[[#This Row],[In stock]] &gt;= Table146[[#This Row],[Quantity]],"YES","NO")</f>
        <v>YES</v>
      </c>
      <c r="G15" s="4">
        <f>Table146[[#This Row],[Quantity]]*$K$1</f>
        <v>1</v>
      </c>
      <c r="H15" s="4" t="str">
        <f>IF(Table146[[#This Row],[In stock]] &gt;= Table146[[#This Row],[Total quantity]],"YES","NO")</f>
        <v>YES</v>
      </c>
    </row>
  </sheetData>
  <conditionalFormatting sqref="F2:G1048576">
    <cfRule type="containsText" dxfId="38" priority="4" operator="containsText" text="NO">
      <formula>NOT(ISERROR(SEARCH("NO",F2)))</formula>
    </cfRule>
  </conditionalFormatting>
  <conditionalFormatting sqref="H2:H1048576">
    <cfRule type="containsText" dxfId="37" priority="3" operator="containsText" text="NO">
      <formula>NOT(ISERROR(SEARCH("NO",H2)))</formula>
    </cfRule>
  </conditionalFormatting>
  <conditionalFormatting sqref="A13:A14">
    <cfRule type="duplicateValues" dxfId="36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80445AC7-CDD5-46B8-B349-4ED24B24F081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K15"/>
  <sheetViews>
    <sheetView workbookViewId="0">
      <pane ySplit="1" topLeftCell="A2" activePane="bottomLeft" state="frozen"/>
      <selection pane="bottomLeft" activeCell="F16" sqref="F16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508</v>
      </c>
      <c r="B2" s="4" t="str">
        <f>VLOOKUP(Table146810[[#This Row],[Man. Number]],Articles!A:F,COLUMN(Articles!$D$1)-COLUMN(Articles!$A$1)+1,FALSE)</f>
        <v>IC CONVERTER USB-SPI 20-SSOP</v>
      </c>
      <c r="C2" s="4" t="s">
        <v>297</v>
      </c>
      <c r="D2" s="4">
        <v>1</v>
      </c>
      <c r="E2" s="4">
        <f>VLOOKUP(Table146810[[#This Row],[Man. Number]],Articles!A:F,COLUMN(Articles!$F$1)-COLUMN(Articles!$A$1)+1,FALSE)</f>
        <v>0</v>
      </c>
      <c r="F2" s="4" t="str">
        <f>IF(Table146810[[#This Row],[In stock]] &gt;= Table146810[[#This Row],[Quantity]],"YES","NO")</f>
        <v>NO</v>
      </c>
      <c r="G2" s="4">
        <f>Table146810[[#This Row],[Quantity]]*$K$1</f>
        <v>1</v>
      </c>
      <c r="H2" s="4" t="str">
        <f>IF(Table146810[[#This Row],[In stock]] &gt;= Table146810[[#This Row],[Total quantity]],"YES","NO")</f>
        <v>NO</v>
      </c>
    </row>
    <row r="3" spans="1:11" x14ac:dyDescent="0.25">
      <c r="A3" s="3" t="s">
        <v>156</v>
      </c>
      <c r="B3" s="48" t="str">
        <f>VLOOKUP(Table146810[[#This Row],[Man. Number]],Articles!A:F,COLUMN(Articles!$D$1)-COLUMN(Articles!$A$1)+1,FALSE)</f>
        <v>CONN RCPT STD MICRO USB TYPE B</v>
      </c>
      <c r="C3" s="4" t="s">
        <v>583</v>
      </c>
      <c r="D3" s="4">
        <v>1</v>
      </c>
      <c r="E3" s="4">
        <f>VLOOKUP(Table146810[[#This Row],[Man. Number]],Articles!A:F,COLUMN(Articles!$F$1)-COLUMN(Articles!$A$1)+1,FALSE)</f>
        <v>10</v>
      </c>
      <c r="F3" s="48" t="str">
        <f>IF(Table146810[[#This Row],[In stock]] &gt;= Table146810[[#This Row],[Quantity]],"YES","NO")</f>
        <v>YES</v>
      </c>
      <c r="G3" s="48">
        <f>Table146810[[#This Row],[Quantity]]*$K$1</f>
        <v>1</v>
      </c>
      <c r="H3" s="48" t="str">
        <f>IF(Table146810[[#This Row],[In stock]] &gt;= Table146810[[#This Row],[Total quantity]],"YES","NO")</f>
        <v>YES</v>
      </c>
    </row>
    <row r="4" spans="1:11" x14ac:dyDescent="0.25">
      <c r="A4" s="3" t="s">
        <v>511</v>
      </c>
      <c r="B4" s="48" t="str">
        <f>VLOOKUP(Table146810[[#This Row],[Man. Number]],Articles!A:F,COLUMN(Articles!$D$1)-COLUMN(Articles!$A$1)+1,FALSE)</f>
        <v>MEMS OSC XO 12.0000MHZ CMOS SMD</v>
      </c>
      <c r="C4" s="4" t="s">
        <v>584</v>
      </c>
      <c r="D4" s="4">
        <v>1</v>
      </c>
      <c r="E4" s="4">
        <f>VLOOKUP(Table146810[[#This Row],[Man. Number]],Articles!A:F,COLUMN(Articles!$F$1)-COLUMN(Articles!$A$1)+1,FALSE)</f>
        <v>0</v>
      </c>
      <c r="F4" s="48" t="str">
        <f>IF(Table146810[[#This Row],[In stock]] &gt;= Table146810[[#This Row],[Quantity]],"YES","NO")</f>
        <v>NO</v>
      </c>
      <c r="G4" s="48">
        <f>Table146810[[#This Row],[Quantity]]*$K$1</f>
        <v>1</v>
      </c>
      <c r="H4" s="48" t="str">
        <f>IF(Table146810[[#This Row],[In stock]] &gt;= Table146810[[#This Row],[Total quantity]],"YES","NO")</f>
        <v>NO</v>
      </c>
    </row>
    <row r="5" spans="1:11" x14ac:dyDescent="0.25">
      <c r="A5" s="3" t="s">
        <v>229</v>
      </c>
      <c r="B5" s="48" t="str">
        <f>VLOOKUP(Table146810[[#This Row],[Man. Number]],Articles!A:F,COLUMN(Articles!$D$1)-COLUMN(Articles!$A$1)+1,FALSE)</f>
        <v>LED GREEN CLEAR 0603 SMD</v>
      </c>
      <c r="D5" s="4">
        <v>4</v>
      </c>
      <c r="E5" s="4">
        <f>VLOOKUP(Table146810[[#This Row],[Man. Number]],Articles!A:F,COLUMN(Articles!$F$1)-COLUMN(Articles!$A$1)+1,FALSE)</f>
        <v>9</v>
      </c>
      <c r="F5" s="48" t="str">
        <f>IF(Table146810[[#This Row],[In stock]] &gt;= Table146810[[#This Row],[Quantity]],"YES","NO")</f>
        <v>YES</v>
      </c>
      <c r="G5" s="48">
        <f>Table146810[[#This Row],[Quantity]]*$K$1</f>
        <v>4</v>
      </c>
      <c r="H5" s="48" t="str">
        <f>IF(Table146810[[#This Row],[In stock]] &gt;= Table146810[[#This Row],[Total quantity]],"YES","NO")</f>
        <v>YES</v>
      </c>
    </row>
    <row r="6" spans="1:11" x14ac:dyDescent="0.25">
      <c r="A6" s="3" t="s">
        <v>514</v>
      </c>
      <c r="B6" s="48" t="str">
        <f>VLOOKUP(Table146810[[#This Row],[Man. Number]],Articles!A:F,COLUMN(Articles!$D$1)-COLUMN(Articles!$A$1)+1,FALSE)</f>
        <v>RF TXRX MOD ISM&lt;1GHZ TRACE ANT</v>
      </c>
      <c r="C6" s="4" t="s">
        <v>297</v>
      </c>
      <c r="D6" s="4">
        <v>1</v>
      </c>
      <c r="E6" s="4">
        <f>VLOOKUP(Table146810[[#This Row],[Man. Number]],Articles!A:F,COLUMN(Articles!$F$1)-COLUMN(Articles!$A$1)+1,FALSE)</f>
        <v>0</v>
      </c>
      <c r="F6" s="48" t="str">
        <f>IF(Table146810[[#This Row],[In stock]] &gt;= Table146810[[#This Row],[Quantity]],"YES","NO")</f>
        <v>NO</v>
      </c>
      <c r="G6" s="48">
        <f>Table146810[[#This Row],[Quantity]]*$K$1</f>
        <v>1</v>
      </c>
      <c r="H6" s="48" t="str">
        <f>IF(Table146810[[#This Row],[In stock]] &gt;= Table146810[[#This Row],[Total quantity]],"YES","NO")</f>
        <v>NO</v>
      </c>
    </row>
    <row r="7" spans="1:11" x14ac:dyDescent="0.25">
      <c r="A7" s="3" t="s">
        <v>517</v>
      </c>
      <c r="B7" s="48" t="str">
        <f>VLOOKUP(Table146810[[#This Row],[Man. Number]],Articles!A:F,COLUMN(Articles!$D$1)-COLUMN(Articles!$A$1)+1,FALSE)</f>
        <v>IC MCU 8BIT 64KB FLASH 44TQFP</v>
      </c>
      <c r="C7" s="4" t="s">
        <v>316</v>
      </c>
      <c r="D7" s="4">
        <v>1</v>
      </c>
      <c r="E7" s="4">
        <f>VLOOKUP(Table146810[[#This Row],[Man. Number]],Articles!A:F,COLUMN(Articles!$F$1)-COLUMN(Articles!$A$1)+1,FALSE)</f>
        <v>0</v>
      </c>
      <c r="F7" s="48" t="str">
        <f>IF(Table146810[[#This Row],[In stock]] &gt;= Table146810[[#This Row],[Quantity]],"YES","NO")</f>
        <v>NO</v>
      </c>
      <c r="G7" s="48">
        <f>Table146810[[#This Row],[Quantity]]*$K$1</f>
        <v>1</v>
      </c>
      <c r="H7" s="48" t="str">
        <f>IF(Table146810[[#This Row],[In stock]] &gt;= Table146810[[#This Row],[Total quantity]],"YES","NO")</f>
        <v>NO</v>
      </c>
    </row>
    <row r="8" spans="1:11" x14ac:dyDescent="0.25">
      <c r="A8" s="3" t="s">
        <v>520</v>
      </c>
      <c r="B8" s="48" t="str">
        <f>VLOOKUP(Table146810[[#This Row],[Man. Number]],Articles!A:F,COLUMN(Articles!$D$1)-COLUMN(Articles!$A$1)+1,FALSE)</f>
        <v>FUSE BRD MNT 500MA 350VAC 72VDC</v>
      </c>
      <c r="C8" s="4" t="s">
        <v>292</v>
      </c>
      <c r="D8" s="4">
        <v>1</v>
      </c>
      <c r="E8" s="4">
        <f>VLOOKUP(Table146810[[#This Row],[Man. Number]],Articles!A:F,COLUMN(Articles!$F$1)-COLUMN(Articles!$A$1)+1,FALSE)</f>
        <v>0</v>
      </c>
      <c r="F8" s="48" t="str">
        <f>IF(Table146810[[#This Row],[In stock]] &gt;= Table146810[[#This Row],[Quantity]],"YES","NO")</f>
        <v>NO</v>
      </c>
      <c r="G8" s="48">
        <f>Table146810[[#This Row],[Quantity]]*$K$1</f>
        <v>1</v>
      </c>
      <c r="H8" s="48" t="str">
        <f>IF(Table146810[[#This Row],[In stock]] &gt;= Table146810[[#This Row],[Total quantity]],"YES","NO")</f>
        <v>NO</v>
      </c>
    </row>
    <row r="9" spans="1:11" x14ac:dyDescent="0.25">
      <c r="A9" s="3" t="s">
        <v>27</v>
      </c>
      <c r="B9" s="48" t="str">
        <f>VLOOKUP(Table146810[[#This Row],[Man. Number]],Articles!A:F,COLUMN(Articles!$D$1)-COLUMN(Articles!$A$1)+1,FALSE)</f>
        <v>Régulateur LDO, Fixe, Entrée 1.7 V à 5,5 V, Sortie 3.3 V/300 mA, Chute de 150 mV</v>
      </c>
      <c r="C9" s="4" t="s">
        <v>299</v>
      </c>
      <c r="E9" s="4">
        <f>VLOOKUP(Table146810[[#This Row],[Man. Number]],Articles!A:F,COLUMN(Articles!$F$1)-COLUMN(Articles!$A$1)+1,FALSE)</f>
        <v>9</v>
      </c>
      <c r="F9" s="48" t="str">
        <f>IF(Table146810[[#This Row],[In stock]] &gt;= Table146810[[#This Row],[Quantity]],"YES","NO")</f>
        <v>YES</v>
      </c>
      <c r="G9" s="48">
        <f>Table146810[[#This Row],[Quantity]]*$K$1</f>
        <v>0</v>
      </c>
      <c r="H9" s="48" t="str">
        <f>IF(Table146810[[#This Row],[In stock]] &gt;= Table146810[[#This Row],[Total quantity]],"YES","NO")</f>
        <v>YES</v>
      </c>
    </row>
    <row r="10" spans="1:11" x14ac:dyDescent="0.25">
      <c r="A10" s="3" t="s">
        <v>242</v>
      </c>
      <c r="B10" s="48" t="str">
        <f>VLOOKUP(Table146810[[#This Row],[Man. Number]],Articles!A:F,COLUMN(Articles!$D$1)-COLUMN(Articles!$A$1)+1,FALSE)</f>
        <v>CAP CER 4.7UF 25V X7R 1206</v>
      </c>
      <c r="C10" s="4" t="s">
        <v>582</v>
      </c>
      <c r="D10" s="4">
        <v>1</v>
      </c>
      <c r="E10" s="4">
        <f>VLOOKUP(Table146810[[#This Row],[Man. Number]],Articles!A:F,COLUMN(Articles!$F$1)-COLUMN(Articles!$A$1)+1,FALSE)</f>
        <v>17</v>
      </c>
      <c r="F10" s="48" t="str">
        <f>IF(Table146810[[#This Row],[In stock]] &gt;= Table146810[[#This Row],[Quantity]],"YES","NO")</f>
        <v>YES</v>
      </c>
      <c r="G10" s="48">
        <f>Table146810[[#This Row],[Quantity]]*$K$1</f>
        <v>1</v>
      </c>
      <c r="H10" s="48" t="str">
        <f>IF(Table146810[[#This Row],[In stock]] &gt;= Table146810[[#This Row],[Total quantity]],"YES","NO")</f>
        <v>YES</v>
      </c>
    </row>
    <row r="11" spans="1:11" x14ac:dyDescent="0.25">
      <c r="A11" s="3" t="s">
        <v>14</v>
      </c>
      <c r="B11" s="48" t="str">
        <f>VLOOKUP(Table146810[[#This Row],[Man. Number]],Articles!A:F,COLUMN(Articles!$D$1)-COLUMN(Articles!$A$1)+1,FALSE)</f>
        <v>Condensateur électrolytique, 10 µF, 35 V, Série MCGPR, ± 20%, À sorties radiales, 5 mm</v>
      </c>
      <c r="C11" s="4" t="s">
        <v>295</v>
      </c>
      <c r="D11" s="4">
        <v>1</v>
      </c>
      <c r="E11" s="4">
        <f>VLOOKUP(Table146810[[#This Row],[Man. Number]],Articles!A:F,COLUMN(Articles!$F$1)-COLUMN(Articles!$A$1)+1,FALSE)</f>
        <v>49</v>
      </c>
      <c r="F11" s="48" t="str">
        <f>IF(Table146810[[#This Row],[In stock]] &gt;= Table146810[[#This Row],[Quantity]],"YES","NO")</f>
        <v>YES</v>
      </c>
      <c r="G11" s="48">
        <f>Table146810[[#This Row],[Quantity]]*$K$1</f>
        <v>1</v>
      </c>
      <c r="H11" s="48" t="str">
        <f>IF(Table146810[[#This Row],[In stock]] &gt;= Table146810[[#This Row],[Total quantity]],"YES","NO")</f>
        <v>YES</v>
      </c>
    </row>
    <row r="12" spans="1:11" x14ac:dyDescent="0.25">
      <c r="A12" s="3" t="s">
        <v>36</v>
      </c>
      <c r="B12" s="48" t="str">
        <f>VLOOKUP(Table146810[[#This Row],[Man. Number]],Articles!A:F,COLUMN(Articles!$D$1)-COLUMN(Articles!$A$1)+1,FALSE)</f>
        <v>Condensateur céramique multicouche CMS, 1206 [3216 Metric], 0.1 µF, 25 V, ± 10%, X7R</v>
      </c>
      <c r="C12" s="4" t="s">
        <v>581</v>
      </c>
      <c r="D12" s="4">
        <v>2</v>
      </c>
      <c r="E12" s="4">
        <f>VLOOKUP(Table146810[[#This Row],[Man. Number]],Articles!A:F,COLUMN(Articles!$F$1)-COLUMN(Articles!$A$1)+1,FALSE)</f>
        <v>92</v>
      </c>
      <c r="F12" s="48" t="str">
        <f>IF(Table146810[[#This Row],[In stock]] &gt;= Table146810[[#This Row],[Quantity]],"YES","NO")</f>
        <v>YES</v>
      </c>
      <c r="G12" s="48">
        <f>Table146810[[#This Row],[Quantity]]*$K$1</f>
        <v>2</v>
      </c>
      <c r="H12" s="48" t="str">
        <f>IF(Table146810[[#This Row],[In stock]] &gt;= Table146810[[#This Row],[Total quantity]],"YES","NO")</f>
        <v>YES</v>
      </c>
    </row>
    <row r="13" spans="1:11" x14ac:dyDescent="0.25">
      <c r="A13" s="3" t="s">
        <v>61</v>
      </c>
      <c r="B13" s="48" t="str">
        <f>VLOOKUP(Table146810[[#This Row],[Man. Number]],Articles!A:F,COLUMN(Articles!$D$1)-COLUMN(Articles!$A$1)+1,FALSE)</f>
        <v>Résistance à puce CMS, Couche épaisse, 1 Mohm</v>
      </c>
      <c r="C13" s="4" t="s">
        <v>317</v>
      </c>
      <c r="D13" s="4">
        <v>1</v>
      </c>
      <c r="E13" s="4">
        <f>VLOOKUP(Table146810[[#This Row],[Man. Number]],Articles!A:F,COLUMN(Articles!$F$1)-COLUMN(Articles!$A$1)+1,FALSE)</f>
        <v>9</v>
      </c>
      <c r="F13" s="48" t="str">
        <f>IF(Table146810[[#This Row],[In stock]] &gt;= Table146810[[#This Row],[Quantity]],"YES","NO")</f>
        <v>YES</v>
      </c>
      <c r="G13" s="48">
        <f>Table146810[[#This Row],[Quantity]]*$K$1</f>
        <v>1</v>
      </c>
      <c r="H13" s="48" t="str">
        <f>IF(Table146810[[#This Row],[In stock]] &gt;= Table146810[[#This Row],[Total quantity]],"YES","NO")</f>
        <v>YES</v>
      </c>
    </row>
    <row r="14" spans="1:11" x14ac:dyDescent="0.25">
      <c r="A14" s="3" t="s">
        <v>321</v>
      </c>
      <c r="B14" s="48" t="str">
        <f>VLOOKUP(Table146810[[#This Row],[Man. Number]],Articles!A:F,COLUMN(Articles!$D$1)-COLUMN(Articles!$A$1)+1,FALSE)</f>
        <v>Résistance SMD 1k OHM 0805</v>
      </c>
      <c r="C14" s="4" t="s">
        <v>585</v>
      </c>
      <c r="D14" s="4">
        <v>5</v>
      </c>
      <c r="E14" s="4">
        <f>VLOOKUP(Table146810[[#This Row],[Man. Number]],Articles!A:F,COLUMN(Articles!$F$1)-COLUMN(Articles!$A$1)+1,FALSE)</f>
        <v>5</v>
      </c>
      <c r="F14" s="48" t="str">
        <f>IF(Table146810[[#This Row],[In stock]] &gt;= Table146810[[#This Row],[Quantity]],"YES","NO")</f>
        <v>YES</v>
      </c>
      <c r="G14" s="48">
        <f>Table146810[[#This Row],[Quantity]]*$K$1</f>
        <v>5</v>
      </c>
      <c r="H14" s="48" t="str">
        <f>IF(Table146810[[#This Row],[In stock]] &gt;= Table146810[[#This Row],[Total quantity]],"YES","NO")</f>
        <v>YES</v>
      </c>
    </row>
    <row r="15" spans="1:11" x14ac:dyDescent="0.25">
      <c r="A15" s="3" t="s">
        <v>126</v>
      </c>
      <c r="B15" s="48" t="str">
        <f>VLOOKUP(Table146810[[#This Row],[Man. Number]],Articles!A:F,COLUMN(Articles!$D$1)-COLUMN(Articles!$A$1)+1,FALSE)</f>
        <v>Réseau de transistors bipolaires, Darlington, NPN, 50 V, 350 mA</v>
      </c>
      <c r="C15" s="4" t="s">
        <v>313</v>
      </c>
      <c r="D15" s="4">
        <v>1</v>
      </c>
      <c r="E15" s="4">
        <f>VLOOKUP(Table146810[[#This Row],[Man. Number]],Articles!A:F,COLUMN(Articles!$F$1)-COLUMN(Articles!$A$1)+1,FALSE)</f>
        <v>5</v>
      </c>
      <c r="F15" s="48" t="str">
        <f>IF(Table146810[[#This Row],[In stock]] &gt;= Table146810[[#This Row],[Quantity]],"YES","NO")</f>
        <v>YES</v>
      </c>
      <c r="G15" s="48">
        <f>Table146810[[#This Row],[Quantity]]*$K$1</f>
        <v>1</v>
      </c>
      <c r="H15" s="48" t="str">
        <f>IF(Table146810[[#This Row],[In stock]] &gt;= Table146810[[#This Row],[Total quantity]],"YES","NO")</f>
        <v>YES</v>
      </c>
    </row>
  </sheetData>
  <conditionalFormatting sqref="F2:H1048576">
    <cfRule type="containsText" dxfId="24" priority="1" operator="containsText" text="NO">
      <formula>NOT(ISERROR(SEARCH("NO",F2)))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/>
  <dimension ref="A1:K2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355</v>
      </c>
      <c r="B2" s="4" t="e">
        <f>VLOOKUP(Table1468[[#This Row],[Man. Number]],Articles!A:F,COLUMN(Articles!$D$1)-COLUMN(Articles!$A$1)+1,FALSE)</f>
        <v>#N/A</v>
      </c>
      <c r="C2" s="4" t="s">
        <v>356</v>
      </c>
      <c r="D2" s="4" t="s">
        <v>354</v>
      </c>
      <c r="E2" s="4" t="e">
        <f>VLOOKUP(Table1468[[#This Row],[Man. Number]],Articles!A:F,COLUMN(Articles!$F$1)-COLUMN(Articles!$A$1)+1,FALSE)</f>
        <v>#N/A</v>
      </c>
      <c r="F2" s="4" t="e">
        <f>IF(Table1468[[#This Row],[In stock]] &gt;= Table1468[[#This Row],[Quantity]],"YES","NO")</f>
        <v>#N/A</v>
      </c>
      <c r="G2" s="4" t="e">
        <f>Table1468[[#This Row],[Quantity]]*$K$1</f>
        <v>#VALUE!</v>
      </c>
      <c r="H2" s="4" t="e">
        <f>IF(Table1468[[#This Row],[In stock]] &gt;= Table1468[[#This Row],[Total quantity]],"YES","NO")</f>
        <v>#N/A</v>
      </c>
    </row>
  </sheetData>
  <conditionalFormatting sqref="F2:H1048576">
    <cfRule type="containsText" dxfId="12" priority="3" operator="containsText" text="NO">
      <formula>NOT(ISERROR(SEARCH("NO",F2)))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D9"/>
  <sheetViews>
    <sheetView workbookViewId="0"/>
  </sheetViews>
  <sheetFormatPr defaultRowHeight="15" x14ac:dyDescent="0.25"/>
  <cols>
    <col min="1" max="1" width="8.28515625" bestFit="1" customWidth="1"/>
    <col min="2" max="2" width="16.28515625" bestFit="1" customWidth="1"/>
    <col min="3" max="3" width="17.5703125" bestFit="1" customWidth="1"/>
  </cols>
  <sheetData>
    <row r="1" spans="1:4" x14ac:dyDescent="0.25">
      <c r="A1" t="s">
        <v>359</v>
      </c>
      <c r="B1" t="s">
        <v>213</v>
      </c>
      <c r="C1" t="s">
        <v>464</v>
      </c>
      <c r="D1" t="s">
        <v>465</v>
      </c>
    </row>
    <row r="3" spans="1:4" s="47" customFormat="1" ht="15" customHeight="1" x14ac:dyDescent="0.35"/>
    <row r="6" spans="1:4" x14ac:dyDescent="0.25">
      <c r="A6" t="s">
        <v>209</v>
      </c>
      <c r="B6" t="s">
        <v>210</v>
      </c>
      <c r="C6" t="s">
        <v>211</v>
      </c>
    </row>
    <row r="7" spans="1:4" x14ac:dyDescent="0.25">
      <c r="A7">
        <v>0</v>
      </c>
      <c r="B7" t="s">
        <v>358</v>
      </c>
      <c r="C7" t="s">
        <v>359</v>
      </c>
    </row>
    <row r="8" spans="1:4" x14ac:dyDescent="0.25">
      <c r="A8">
        <v>1</v>
      </c>
      <c r="B8" t="s">
        <v>212</v>
      </c>
      <c r="C8" t="s">
        <v>213</v>
      </c>
    </row>
    <row r="9" spans="1:4" x14ac:dyDescent="0.25">
      <c r="A9">
        <v>2</v>
      </c>
      <c r="B9" t="s">
        <v>463</v>
      </c>
      <c r="C9" t="s">
        <v>464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9"/>
  <sheetViews>
    <sheetView workbookViewId="0"/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67" t="s">
        <v>353</v>
      </c>
      <c r="B2" s="67"/>
      <c r="C2" s="67"/>
      <c r="D2" s="67"/>
      <c r="F2" s="68" t="str">
        <f>IF(ISNUMBER(C5),"","Man. Number must be set")</f>
        <v/>
      </c>
      <c r="G2" s="68"/>
      <c r="H2" s="68"/>
    </row>
    <row r="4" spans="1:23" x14ac:dyDescent="0.25">
      <c r="A4" s="16" t="s">
        <v>138</v>
      </c>
      <c r="B4" s="16" t="s">
        <v>260</v>
      </c>
      <c r="C4" s="16" t="s">
        <v>0</v>
      </c>
      <c r="D4" s="16" t="s">
        <v>6</v>
      </c>
      <c r="E4" s="16" t="s">
        <v>4</v>
      </c>
      <c r="F4" s="16" t="s">
        <v>2</v>
      </c>
      <c r="G4" s="16" t="s">
        <v>8</v>
      </c>
      <c r="H4" s="16" t="s">
        <v>259</v>
      </c>
      <c r="O4" s="15" t="s">
        <v>350</v>
      </c>
      <c r="P4" t="s">
        <v>138</v>
      </c>
      <c r="Q4" t="s">
        <v>260</v>
      </c>
      <c r="R4" t="s">
        <v>0</v>
      </c>
      <c r="S4" t="s">
        <v>6</v>
      </c>
      <c r="T4" t="s">
        <v>4</v>
      </c>
      <c r="U4" t="s">
        <v>2</v>
      </c>
      <c r="V4" t="s">
        <v>8</v>
      </c>
      <c r="W4" t="s">
        <v>259</v>
      </c>
    </row>
    <row r="5" spans="1:23" x14ac:dyDescent="0.25">
      <c r="A5" s="14">
        <v>8</v>
      </c>
      <c r="B5" s="14">
        <v>3</v>
      </c>
      <c r="C5" s="14">
        <v>1</v>
      </c>
      <c r="D5" s="14">
        <v>2</v>
      </c>
      <c r="E5" s="14" t="s">
        <v>82</v>
      </c>
      <c r="F5" s="14">
        <v>13</v>
      </c>
      <c r="G5" s="14">
        <v>9</v>
      </c>
      <c r="H5" s="14">
        <v>2</v>
      </c>
      <c r="O5" s="8"/>
      <c r="P5" s="8">
        <v>2</v>
      </c>
      <c r="Q5" s="8">
        <v>3</v>
      </c>
      <c r="R5" s="8">
        <v>4</v>
      </c>
      <c r="S5" s="8" t="s">
        <v>258</v>
      </c>
      <c r="T5" s="8" t="s">
        <v>82</v>
      </c>
      <c r="U5" s="8">
        <v>5</v>
      </c>
      <c r="V5" s="8">
        <v>8</v>
      </c>
      <c r="W5" s="8">
        <v>2</v>
      </c>
    </row>
    <row r="8" spans="1:23" x14ac:dyDescent="0.25">
      <c r="O8" s="15" t="s">
        <v>483</v>
      </c>
      <c r="P8" t="s">
        <v>138</v>
      </c>
      <c r="Q8" t="s">
        <v>260</v>
      </c>
      <c r="R8" t="s">
        <v>0</v>
      </c>
      <c r="S8" t="s">
        <v>6</v>
      </c>
      <c r="T8" t="s">
        <v>4</v>
      </c>
      <c r="U8" t="s">
        <v>2</v>
      </c>
      <c r="V8" t="s">
        <v>8</v>
      </c>
      <c r="W8" t="s">
        <v>259</v>
      </c>
    </row>
    <row r="9" spans="1:23" x14ac:dyDescent="0.25">
      <c r="O9" s="22"/>
      <c r="P9" s="22">
        <v>8</v>
      </c>
      <c r="Q9" s="22">
        <v>3</v>
      </c>
      <c r="R9" s="22">
        <v>1</v>
      </c>
      <c r="S9" s="22">
        <v>2</v>
      </c>
      <c r="T9" s="22" t="s">
        <v>82</v>
      </c>
      <c r="U9" s="22">
        <v>13</v>
      </c>
      <c r="V9" s="22">
        <v>9</v>
      </c>
      <c r="W9" s="22">
        <v>2</v>
      </c>
    </row>
  </sheetData>
  <mergeCells count="2">
    <mergeCell ref="A2:D2"/>
    <mergeCell ref="F2:H2"/>
  </mergeCells>
  <conditionalFormatting sqref="F2:H2">
    <cfRule type="cellIs" dxfId="0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"/>
  <sheetViews>
    <sheetView workbookViewId="0">
      <selection activeCell="G19" sqref="G19"/>
    </sheetView>
  </sheetViews>
  <sheetFormatPr defaultColWidth="20.7109375" defaultRowHeight="15" x14ac:dyDescent="0.25"/>
  <cols>
    <col min="1" max="16384" width="20.7109375" style="17"/>
  </cols>
  <sheetData/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StockHistory</vt:lpstr>
      <vt:lpstr>Main</vt:lpstr>
      <vt:lpstr>Articles</vt:lpstr>
      <vt:lpstr>Articles_commandes</vt:lpstr>
      <vt:lpstr>Commands</vt:lpstr>
      <vt:lpstr>LampeSolaire_v4</vt:lpstr>
      <vt:lpstr>TempoMetter_v1</vt:lpstr>
      <vt:lpstr>USB_Tool_v1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cp:lastPrinted>2019-04-19T15:54:30Z</cp:lastPrinted>
  <dcterms:created xsi:type="dcterms:W3CDTF">2018-08-18T11:04:50Z</dcterms:created>
  <dcterms:modified xsi:type="dcterms:W3CDTF">2019-04-22T16:08:58Z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